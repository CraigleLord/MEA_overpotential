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\"/>
    </mc:Choice>
  </mc:AlternateContent>
  <xr:revisionPtr revIDLastSave="0" documentId="13_ncr:1_{E36BAC03-37EF-434B-AF80-875DD17EAE10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303" i="1"/>
  <c r="P303" i="1" s="1"/>
  <c r="K277" i="1"/>
  <c r="P277" i="1" s="1"/>
  <c r="K255" i="1"/>
  <c r="P255" i="1" s="1"/>
  <c r="K235" i="1"/>
  <c r="P235" i="1" s="1"/>
  <c r="K220" i="1"/>
  <c r="P220" i="1" s="1"/>
  <c r="K229" i="1"/>
  <c r="P229" i="1" s="1"/>
  <c r="K213" i="1"/>
  <c r="P213" i="1" s="1"/>
  <c r="K283" i="1"/>
  <c r="P283" i="1" s="1"/>
  <c r="K263" i="1"/>
  <c r="P263" i="1" s="1"/>
  <c r="K243" i="1"/>
  <c r="P243" i="1" s="1"/>
  <c r="K290" i="1"/>
  <c r="P290" i="1" s="1"/>
  <c r="K272" i="1"/>
  <c r="P272" i="1" s="1"/>
  <c r="K260" i="1"/>
  <c r="P260" i="1" s="1"/>
  <c r="K252" i="1"/>
  <c r="P252" i="1" s="1"/>
  <c r="K244" i="1"/>
  <c r="P244" i="1" s="1"/>
  <c r="K236" i="1"/>
  <c r="P236" i="1" s="1"/>
  <c r="K222" i="1"/>
  <c r="P222" i="1" s="1"/>
  <c r="K293" i="1"/>
  <c r="P293" i="1" s="1"/>
  <c r="K265" i="1"/>
  <c r="P265" i="1" s="1"/>
  <c r="K302" i="1"/>
  <c r="P302" i="1" s="1"/>
  <c r="K286" i="1"/>
  <c r="P286" i="1" s="1"/>
  <c r="K270" i="1"/>
  <c r="P270" i="1" s="1"/>
  <c r="K223" i="1"/>
  <c r="P223" i="1" s="1"/>
  <c r="K297" i="1"/>
  <c r="P297" i="1" s="1"/>
  <c r="K271" i="1"/>
  <c r="P271" i="1" s="1"/>
  <c r="K251" i="1"/>
  <c r="P251" i="1" s="1"/>
  <c r="K232" i="1"/>
  <c r="P232" i="1" s="1"/>
  <c r="K216" i="1"/>
  <c r="P216" i="1" s="1"/>
  <c r="K225" i="1"/>
  <c r="P225" i="1" s="1"/>
  <c r="K299" i="1"/>
  <c r="P299" i="1" s="1"/>
  <c r="K279" i="1"/>
  <c r="P279" i="1" s="1"/>
  <c r="K259" i="1"/>
  <c r="P259" i="1" s="1"/>
  <c r="K239" i="1"/>
  <c r="P239" i="1" s="1"/>
  <c r="K284" i="1"/>
  <c r="P284" i="1" s="1"/>
  <c r="K268" i="1"/>
  <c r="P268" i="1" s="1"/>
  <c r="K258" i="1"/>
  <c r="P258" i="1" s="1"/>
  <c r="K250" i="1"/>
  <c r="P250" i="1" s="1"/>
  <c r="K242" i="1"/>
  <c r="P242" i="1" s="1"/>
  <c r="K234" i="1"/>
  <c r="P234" i="1" s="1"/>
  <c r="K218" i="1"/>
  <c r="P218" i="1" s="1"/>
  <c r="K287" i="1"/>
  <c r="P287" i="1" s="1"/>
  <c r="K257" i="1"/>
  <c r="P257" i="1" s="1"/>
  <c r="K300" i="1"/>
  <c r="P300" i="1" s="1"/>
  <c r="K282" i="1"/>
  <c r="P282" i="1" s="1"/>
  <c r="K264" i="1"/>
  <c r="P264" i="1" s="1"/>
  <c r="K219" i="1"/>
  <c r="P219" i="1" s="1"/>
  <c r="K291" i="1"/>
  <c r="P291" i="1" s="1"/>
  <c r="K267" i="1"/>
  <c r="P267" i="1" s="1"/>
  <c r="K245" i="1"/>
  <c r="P245" i="1" s="1"/>
  <c r="K228" i="1"/>
  <c r="P228" i="1" s="1"/>
  <c r="K212" i="1"/>
  <c r="P212" i="1" s="1"/>
  <c r="K221" i="1"/>
  <c r="P221" i="1" s="1"/>
  <c r="K295" i="1"/>
  <c r="P295" i="1" s="1"/>
  <c r="K275" i="1"/>
  <c r="P275" i="1" s="1"/>
  <c r="K253" i="1"/>
  <c r="P253" i="1" s="1"/>
  <c r="K298" i="1"/>
  <c r="P298" i="1" s="1"/>
  <c r="K280" i="1"/>
  <c r="P280" i="1" s="1"/>
  <c r="K266" i="1"/>
  <c r="P266" i="1" s="1"/>
  <c r="K256" i="1"/>
  <c r="P256" i="1" s="1"/>
  <c r="K248" i="1"/>
  <c r="P248" i="1" s="1"/>
  <c r="K240" i="1"/>
  <c r="P240" i="1" s="1"/>
  <c r="K230" i="1"/>
  <c r="P230" i="1" s="1"/>
  <c r="K214" i="1"/>
  <c r="P214" i="1" s="1"/>
  <c r="K281" i="1"/>
  <c r="P281" i="1" s="1"/>
  <c r="K249" i="1"/>
  <c r="P249" i="1" s="1"/>
  <c r="K296" i="1"/>
  <c r="P296" i="1" s="1"/>
  <c r="K278" i="1"/>
  <c r="P278" i="1" s="1"/>
  <c r="K231" i="1"/>
  <c r="P231" i="1" s="1"/>
  <c r="K215" i="1"/>
  <c r="P215" i="1" s="1"/>
  <c r="K285" i="1"/>
  <c r="P285" i="1" s="1"/>
  <c r="K233" i="1"/>
  <c r="P233" i="1" s="1"/>
  <c r="K247" i="1"/>
  <c r="P247" i="1" s="1"/>
  <c r="K254" i="1"/>
  <c r="P254" i="1" s="1"/>
  <c r="K301" i="1"/>
  <c r="P301" i="1" s="1"/>
  <c r="K274" i="1"/>
  <c r="P274" i="1" s="1"/>
  <c r="K261" i="1"/>
  <c r="P261" i="1" s="1"/>
  <c r="K217" i="1"/>
  <c r="P217" i="1" s="1"/>
  <c r="K294" i="1"/>
  <c r="P294" i="1" s="1"/>
  <c r="K246" i="1"/>
  <c r="P246" i="1" s="1"/>
  <c r="K273" i="1"/>
  <c r="P273" i="1" s="1"/>
  <c r="K227" i="1"/>
  <c r="P227" i="1" s="1"/>
  <c r="K241" i="1"/>
  <c r="P241" i="1" s="1"/>
  <c r="K289" i="1"/>
  <c r="P289" i="1" s="1"/>
  <c r="K276" i="1"/>
  <c r="P276" i="1" s="1"/>
  <c r="K238" i="1"/>
  <c r="P238" i="1" s="1"/>
  <c r="K237" i="1"/>
  <c r="P237" i="1" s="1"/>
  <c r="K224" i="1"/>
  <c r="P224" i="1" s="1"/>
  <c r="K292" i="1"/>
  <c r="P292" i="1" s="1"/>
  <c r="K226" i="1"/>
  <c r="P226" i="1" s="1"/>
  <c r="K269" i="1"/>
  <c r="P269" i="1" s="1"/>
  <c r="K262" i="1"/>
  <c r="P262" i="1" s="1"/>
  <c r="K183" i="1"/>
  <c r="K165" i="1"/>
  <c r="K144" i="1"/>
  <c r="K136" i="1"/>
  <c r="K128" i="1"/>
  <c r="K167" i="1"/>
  <c r="K185" i="1"/>
  <c r="P185" i="1" s="1"/>
  <c r="K157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05" i="1"/>
  <c r="P205" i="1" s="1"/>
  <c r="K197" i="1"/>
  <c r="P197" i="1" s="1"/>
  <c r="K189" i="1"/>
  <c r="P189" i="1" s="1"/>
  <c r="K178" i="1"/>
  <c r="K170" i="1"/>
  <c r="K162" i="1"/>
  <c r="K154" i="1"/>
  <c r="P154" i="1" s="1"/>
  <c r="K146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8" i="1"/>
  <c r="P208" i="1" s="1"/>
  <c r="K200" i="1"/>
  <c r="P200" i="1" s="1"/>
  <c r="K192" i="1"/>
  <c r="P192" i="1" s="1"/>
  <c r="K147" i="1"/>
  <c r="K40" i="1"/>
  <c r="K8" i="1"/>
  <c r="K191" i="1"/>
  <c r="P191" i="1" s="1"/>
  <c r="K164" i="1"/>
  <c r="K139" i="1"/>
  <c r="K107" i="1"/>
  <c r="K83" i="1"/>
  <c r="K67" i="1"/>
  <c r="K43" i="1"/>
  <c r="K19" i="1"/>
  <c r="K202" i="1"/>
  <c r="P202" i="1" s="1"/>
  <c r="K181" i="1"/>
  <c r="K159" i="1"/>
  <c r="K142" i="1"/>
  <c r="K134" i="1"/>
  <c r="K187" i="1"/>
  <c r="K161" i="1"/>
  <c r="K177" i="1"/>
  <c r="P177" i="1" s="1"/>
  <c r="K151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211" i="1"/>
  <c r="P211" i="1" s="1"/>
  <c r="K203" i="1"/>
  <c r="P203" i="1" s="1"/>
  <c r="K195" i="1"/>
  <c r="P195" i="1" s="1"/>
  <c r="K184" i="1"/>
  <c r="P184" i="1" s="1"/>
  <c r="K176" i="1"/>
  <c r="K168" i="1"/>
  <c r="K160" i="1"/>
  <c r="K152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06" i="1"/>
  <c r="P206" i="1" s="1"/>
  <c r="K198" i="1"/>
  <c r="P198" i="1" s="1"/>
  <c r="K190" i="1"/>
  <c r="P190" i="1" s="1"/>
  <c r="K138" i="1"/>
  <c r="K56" i="1"/>
  <c r="K24" i="1"/>
  <c r="K207" i="1"/>
  <c r="P207" i="1" s="1"/>
  <c r="K180" i="1"/>
  <c r="K148" i="1"/>
  <c r="K123" i="1"/>
  <c r="K91" i="1"/>
  <c r="K59" i="1"/>
  <c r="K35" i="1"/>
  <c r="K11" i="1"/>
  <c r="K175" i="1"/>
  <c r="K155" i="1"/>
  <c r="P155" i="1" s="1"/>
  <c r="K140" i="1"/>
  <c r="K132" i="1"/>
  <c r="K179" i="1"/>
  <c r="K153" i="1"/>
  <c r="K169" i="1"/>
  <c r="K145" i="1"/>
  <c r="P145" i="1" s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209" i="1"/>
  <c r="P209" i="1" s="1"/>
  <c r="K201" i="1"/>
  <c r="P201" i="1" s="1"/>
  <c r="K193" i="1"/>
  <c r="P193" i="1" s="1"/>
  <c r="K182" i="1"/>
  <c r="K174" i="1"/>
  <c r="P174" i="1" s="1"/>
  <c r="K166" i="1"/>
  <c r="P166" i="1" s="1"/>
  <c r="K158" i="1"/>
  <c r="P158" i="1" s="1"/>
  <c r="K150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04" i="1"/>
  <c r="P204" i="1" s="1"/>
  <c r="K196" i="1"/>
  <c r="P196" i="1" s="1"/>
  <c r="K188" i="1"/>
  <c r="P188" i="1" s="1"/>
  <c r="K171" i="1"/>
  <c r="K130" i="1"/>
  <c r="K173" i="1"/>
  <c r="K149" i="1"/>
  <c r="P149" i="1" s="1"/>
  <c r="K163" i="1"/>
  <c r="K186" i="1"/>
  <c r="P186" i="1" s="1"/>
  <c r="K120" i="1"/>
  <c r="K112" i="1"/>
  <c r="K104" i="1"/>
  <c r="K96" i="1"/>
  <c r="K88" i="1"/>
  <c r="K80" i="1"/>
  <c r="K72" i="1"/>
  <c r="K64" i="1"/>
  <c r="K48" i="1"/>
  <c r="K32" i="1"/>
  <c r="K16" i="1"/>
  <c r="K199" i="1"/>
  <c r="P199" i="1" s="1"/>
  <c r="K172" i="1"/>
  <c r="K156" i="1"/>
  <c r="P156" i="1" s="1"/>
  <c r="K131" i="1"/>
  <c r="K115" i="1"/>
  <c r="K99" i="1"/>
  <c r="K75" i="1"/>
  <c r="K51" i="1"/>
  <c r="K27" i="1"/>
  <c r="K210" i="1"/>
  <c r="P210" i="1" s="1"/>
  <c r="K194" i="1"/>
  <c r="P194" i="1" s="1"/>
  <c r="P146" i="1"/>
  <c r="P148" i="1"/>
  <c r="P150" i="1"/>
  <c r="P152" i="1"/>
  <c r="P160" i="1"/>
  <c r="P162" i="1"/>
  <c r="P164" i="1"/>
  <c r="P168" i="1"/>
  <c r="P170" i="1"/>
  <c r="P172" i="1"/>
  <c r="P176" i="1"/>
  <c r="P178" i="1"/>
  <c r="P180" i="1"/>
  <c r="P182" i="1"/>
  <c r="P157" i="1"/>
  <c r="P165" i="1"/>
  <c r="P173" i="1"/>
  <c r="P181" i="1"/>
  <c r="P151" i="1"/>
  <c r="P159" i="1"/>
  <c r="P167" i="1"/>
  <c r="P175" i="1"/>
  <c r="P183" i="1"/>
  <c r="P153" i="1"/>
  <c r="P161" i="1"/>
  <c r="P169" i="1"/>
  <c r="P147" i="1"/>
  <c r="P163" i="1"/>
  <c r="P171" i="1"/>
  <c r="P179" i="1"/>
  <c r="P187" i="1"/>
  <c r="L177" i="3" l="1"/>
  <c r="L195" i="3"/>
  <c r="L171" i="3"/>
  <c r="L151" i="3"/>
  <c r="L135" i="3"/>
  <c r="L119" i="3"/>
  <c r="L161" i="3"/>
  <c r="L125" i="3"/>
  <c r="L173" i="3"/>
  <c r="L167" i="3"/>
  <c r="L182" i="3"/>
  <c r="L166" i="3"/>
  <c r="L150" i="3"/>
  <c r="L134" i="3"/>
  <c r="L118" i="3"/>
  <c r="L102" i="3"/>
  <c r="L86" i="3"/>
  <c r="L70" i="3"/>
  <c r="L54" i="3"/>
  <c r="L38" i="3"/>
  <c r="L22" i="3"/>
  <c r="L6" i="3"/>
  <c r="L133" i="3"/>
  <c r="L105" i="3"/>
  <c r="L89" i="3"/>
  <c r="L73" i="3"/>
  <c r="L57" i="3"/>
  <c r="L41" i="3"/>
  <c r="L25" i="3"/>
  <c r="L9" i="3"/>
  <c r="L172" i="3"/>
  <c r="L152" i="3"/>
  <c r="L103" i="3"/>
  <c r="L87" i="3"/>
  <c r="L71" i="3"/>
  <c r="L55" i="3"/>
  <c r="L39" i="3"/>
  <c r="L23" i="3"/>
  <c r="L7" i="3"/>
  <c r="L164" i="3"/>
  <c r="L136" i="3"/>
  <c r="L120" i="3"/>
  <c r="L104" i="3"/>
  <c r="L88" i="3"/>
  <c r="L72" i="3"/>
  <c r="L56" i="3"/>
  <c r="L40" i="3"/>
  <c r="L24" i="3"/>
  <c r="L8" i="3"/>
  <c r="L198" i="3"/>
  <c r="L209" i="3"/>
  <c r="L216" i="3"/>
  <c r="L215" i="3"/>
  <c r="L214" i="3"/>
  <c r="L208" i="3"/>
  <c r="L196" i="3"/>
  <c r="L155" i="3"/>
  <c r="L137" i="3"/>
  <c r="L186" i="3"/>
  <c r="L154" i="3"/>
  <c r="L122" i="3"/>
  <c r="L74" i="3"/>
  <c r="L42" i="3"/>
  <c r="L149" i="3"/>
  <c r="L77" i="3"/>
  <c r="L29" i="3"/>
  <c r="L107" i="3"/>
  <c r="L59" i="3"/>
  <c r="L11" i="3"/>
  <c r="L124" i="3"/>
  <c r="L76" i="3"/>
  <c r="L28" i="3"/>
  <c r="L222" i="3"/>
  <c r="L219" i="3"/>
  <c r="L205" i="3"/>
  <c r="L192" i="3"/>
  <c r="L187" i="3"/>
  <c r="L163" i="3"/>
  <c r="L147" i="3"/>
  <c r="L131" i="3"/>
  <c r="L185" i="3"/>
  <c r="L153" i="3"/>
  <c r="L121" i="3"/>
  <c r="L141" i="3"/>
  <c r="L194" i="3"/>
  <c r="L178" i="3"/>
  <c r="L162" i="3"/>
  <c r="L146" i="3"/>
  <c r="L130" i="3"/>
  <c r="L114" i="3"/>
  <c r="L98" i="3"/>
  <c r="L82" i="3"/>
  <c r="L66" i="3"/>
  <c r="L50" i="3"/>
  <c r="L34" i="3"/>
  <c r="L18" i="3"/>
  <c r="L181" i="3"/>
  <c r="L117" i="3"/>
  <c r="L101" i="3"/>
  <c r="L85" i="3"/>
  <c r="L69" i="3"/>
  <c r="L53" i="3"/>
  <c r="L37" i="3"/>
  <c r="L21" i="3"/>
  <c r="L5" i="3"/>
  <c r="L168" i="3"/>
  <c r="L115" i="3"/>
  <c r="L99" i="3"/>
  <c r="L83" i="3"/>
  <c r="L67" i="3"/>
  <c r="L51" i="3"/>
  <c r="L35" i="3"/>
  <c r="L19" i="3"/>
  <c r="L3" i="3"/>
  <c r="L148" i="3"/>
  <c r="L132" i="3"/>
  <c r="L116" i="3"/>
  <c r="L100" i="3"/>
  <c r="L84" i="3"/>
  <c r="L68" i="3"/>
  <c r="L52" i="3"/>
  <c r="L36" i="3"/>
  <c r="L20" i="3"/>
  <c r="L4" i="3"/>
  <c r="L221" i="3"/>
  <c r="L201" i="3"/>
  <c r="L212" i="3"/>
  <c r="L211" i="3"/>
  <c r="L210" i="3"/>
  <c r="L204" i="3"/>
  <c r="L199" i="3"/>
  <c r="L175" i="3"/>
  <c r="L139" i="3"/>
  <c r="L123" i="3"/>
  <c r="L169" i="3"/>
  <c r="L129" i="3"/>
  <c r="L183" i="3"/>
  <c r="L138" i="3"/>
  <c r="L90" i="3"/>
  <c r="L26" i="3"/>
  <c r="L109" i="3"/>
  <c r="L61" i="3"/>
  <c r="L176" i="3"/>
  <c r="L91" i="3"/>
  <c r="L43" i="3"/>
  <c r="L180" i="3"/>
  <c r="L108" i="3"/>
  <c r="L44" i="3"/>
  <c r="L213" i="3"/>
  <c r="L203" i="3"/>
  <c r="L188" i="3"/>
  <c r="L179" i="3"/>
  <c r="L159" i="3"/>
  <c r="L143" i="3"/>
  <c r="L127" i="3"/>
  <c r="L189" i="3"/>
  <c r="L145" i="3"/>
  <c r="L193" i="3"/>
  <c r="L191" i="3"/>
  <c r="L190" i="3"/>
  <c r="L174" i="3"/>
  <c r="L158" i="3"/>
  <c r="L142" i="3"/>
  <c r="L126" i="3"/>
  <c r="L110" i="3"/>
  <c r="L94" i="3"/>
  <c r="L78" i="3"/>
  <c r="L62" i="3"/>
  <c r="L46" i="3"/>
  <c r="L30" i="3"/>
  <c r="L14" i="3"/>
  <c r="L165" i="3"/>
  <c r="L113" i="3"/>
  <c r="L97" i="3"/>
  <c r="L81" i="3"/>
  <c r="L65" i="3"/>
  <c r="L49" i="3"/>
  <c r="L33" i="3"/>
  <c r="L17" i="3"/>
  <c r="L184" i="3"/>
  <c r="L160" i="3"/>
  <c r="L111" i="3"/>
  <c r="L95" i="3"/>
  <c r="L79" i="3"/>
  <c r="L63" i="3"/>
  <c r="L47" i="3"/>
  <c r="L31" i="3"/>
  <c r="L15" i="3"/>
  <c r="L2" i="3"/>
  <c r="L144" i="3"/>
  <c r="L128" i="3"/>
  <c r="L112" i="3"/>
  <c r="L96" i="3"/>
  <c r="L80" i="3"/>
  <c r="L64" i="3"/>
  <c r="L48" i="3"/>
  <c r="L32" i="3"/>
  <c r="L16" i="3"/>
  <c r="L218" i="3"/>
  <c r="L217" i="3"/>
  <c r="L197" i="3"/>
  <c r="L223" i="3"/>
  <c r="L207" i="3"/>
  <c r="L206" i="3"/>
  <c r="L202" i="3"/>
  <c r="L157" i="3"/>
  <c r="L170" i="3"/>
  <c r="L106" i="3"/>
  <c r="L58" i="3"/>
  <c r="L10" i="3"/>
  <c r="L93" i="3"/>
  <c r="L45" i="3"/>
  <c r="L13" i="3"/>
  <c r="L156" i="3"/>
  <c r="L75" i="3"/>
  <c r="L27" i="3"/>
  <c r="L140" i="3"/>
  <c r="L92" i="3"/>
  <c r="L60" i="3"/>
  <c r="L12" i="3"/>
  <c r="L220" i="3"/>
  <c r="L200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<sst xmlns="http://schemas.openxmlformats.org/spreadsheetml/2006/main" count="40" uniqueCount="36">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</sst>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245" zoomScale="55" zoomScaleNormal="55" workbookViewId="0">
      <selection activeCell="U251" sqref="U251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-0.29493000000000003</v>
      </c>
      <c r="AC3" t="s">
        <v>30</v>
      </c>
    </row>
    <row r="4" spans="1:29" x14ac:dyDescent="0.3">
      <c r="A4">
        <v>9.7651850000000012E-2</v>
      </c>
      <c r="B4">
        <v>0.82301999999999997</v>
      </c>
      <c r="C4">
        <f>A4*B4</f>
        <v>8.0369425587000012E-2</v>
      </c>
      <c r="D4">
        <v>1.9800000000000002E-2</v>
      </c>
      <c r="E4">
        <v>4.1920000000000004E-3</v>
      </c>
      <c r="F4">
        <f>A4*200</f>
        <v>19.530370000000001</v>
      </c>
      <c r="G4">
        <f>-B4</f>
        <v>-0.82301999999999997</v>
      </c>
      <c r="H4">
        <f t="shared" ref="H4" si="0">-C4*200</f>
        <v>-16.073885117400003</v>
      </c>
      <c r="I4">
        <v>1</v>
      </c>
      <c r="J4">
        <f>LN(F4/1000)</f>
        <v>-3.9357845890605141</v>
      </c>
      <c r="K4">
        <f>((-G4)-$N$2)</f>
        <v>-0.35689057297601201</v>
      </c>
      <c r="L4">
        <v>1</v>
      </c>
      <c r="M4">
        <f>-1*($S$4+($S$5*J4))</f>
        <v>0.32359558691017404</v>
      </c>
      <c r="N4">
        <f>D4*A4</f>
        <v>1.9335066300000005E-3</v>
      </c>
      <c r="O4">
        <f>E4*A4</f>
        <v>4.0935655520000011E-4</v>
      </c>
      <c r="P4">
        <f>-K4-M4-N4-O4</f>
        <v>3.0952122880637974E-2</v>
      </c>
      <c r="R4" s="2" t="s">
        <v>16</v>
      </c>
      <c r="S4">
        <v>-0.48268</v>
      </c>
      <c r="V4">
        <v>-6</v>
      </c>
      <c r="W4">
        <f>V4*$S$5+$S$4</f>
        <v>-0.24016000000000001</v>
      </c>
      <c r="Y4">
        <v>0</v>
      </c>
      <c r="Z4">
        <f>$AB$4*Y4+$AB$3</f>
        <v>-0.29493000000000003</v>
      </c>
      <c r="AB4">
        <v>7.33704</v>
      </c>
      <c r="AC4" t="s">
        <v>31</v>
      </c>
    </row>
    <row r="5" spans="1:29" x14ac:dyDescent="0.3">
      <c r="A5">
        <v>0.19638890000000001</v>
      </c>
      <c r="B5">
        <v>0.79271000000000003</v>
      </c>
      <c r="C5">
        <f t="shared" ref="C5:C68" si="1">A5*B5</f>
        <v>0.15567944491900002</v>
      </c>
      <c r="D5">
        <v>1.9800000000000002E-2</v>
      </c>
      <c r="E5">
        <v>4.1920000000000004E-3</v>
      </c>
      <c r="F5">
        <f t="shared" ref="F5:F68" si="2">A5*200</f>
        <v>39.27778</v>
      </c>
      <c r="G5">
        <f t="shared" ref="G5:G68" si="3">-B5</f>
        <v>-0.79271000000000003</v>
      </c>
      <c r="H5">
        <f t="shared" ref="H5:H68" si="4">-C5*200</f>
        <v>-31.135888983800005</v>
      </c>
      <c r="I5">
        <v>1</v>
      </c>
      <c r="J5">
        <f t="shared" ref="J5:J68" si="5">LN(F5/1000)</f>
        <v>-3.2370963144046443</v>
      </c>
      <c r="K5">
        <f t="shared" ref="K5:K68" si="6">((-G5)-$N$2)</f>
        <v>-0.38720057297601196</v>
      </c>
      <c r="L5">
        <v>1</v>
      </c>
      <c r="M5">
        <f t="shared" ref="M5:M68" si="7">-1*($S$4+($S$5*J5))</f>
        <v>0.35183656697176424</v>
      </c>
      <c r="N5">
        <f t="shared" ref="N5:N6" si="8">D5*A5</f>
        <v>3.8885002200000005E-3</v>
      </c>
      <c r="O5">
        <f>E5*A5</f>
        <v>8.2326226880000011E-4</v>
      </c>
      <c r="P5">
        <f>-K5-M5-N5-O5</f>
        <v>3.0652243515447715E-2</v>
      </c>
      <c r="R5" s="2" t="s">
        <v>17</v>
      </c>
      <c r="S5">
        <v>-4.0419999999999998E-2</v>
      </c>
      <c r="V5">
        <v>-5.9</v>
      </c>
      <c r="W5">
        <f t="shared" ref="W5:W68" si="9">V5*$S$5+$S$4</f>
        <v>-0.244202</v>
      </c>
      <c r="Y5">
        <v>0.01</v>
      </c>
      <c r="Z5">
        <f t="shared" ref="Z5:Z31" si="10">$AB$4*Y5+$AB$3</f>
        <v>-0.22155960000000002</v>
      </c>
    </row>
    <row r="6" spans="1:29" x14ac:dyDescent="0.3">
      <c r="A6">
        <v>0.30017090000000002</v>
      </c>
      <c r="B6">
        <v>0.77098999999999995</v>
      </c>
      <c r="C6">
        <f t="shared" si="1"/>
        <v>0.231428762191</v>
      </c>
      <c r="D6">
        <v>1.9800000000000002E-2</v>
      </c>
      <c r="E6">
        <v>4.1920000000000004E-3</v>
      </c>
      <c r="F6">
        <f t="shared" si="2"/>
        <v>60.034180000000006</v>
      </c>
      <c r="G6">
        <f t="shared" si="3"/>
        <v>-0.77098999999999995</v>
      </c>
      <c r="H6">
        <f t="shared" si="4"/>
        <v>-46.285752438199999</v>
      </c>
      <c r="I6">
        <v>1</v>
      </c>
      <c r="J6">
        <f t="shared" si="5"/>
        <v>-2.8128412122918287</v>
      </c>
      <c r="K6">
        <f t="shared" si="6"/>
        <v>-0.40892057297601203</v>
      </c>
      <c r="L6">
        <v>1</v>
      </c>
      <c r="M6">
        <f t="shared" si="7"/>
        <v>0.36898495819916427</v>
      </c>
      <c r="N6">
        <f t="shared" si="8"/>
        <v>5.9433838200000011E-3</v>
      </c>
      <c r="O6">
        <f t="shared" ref="O6:O69" si="11">E6*A6</f>
        <v>1.2583164128000001E-3</v>
      </c>
      <c r="P6">
        <f t="shared" ref="P6:P69" si="12">-K6-M6-N6-O6</f>
        <v>3.2733914544047761E-2</v>
      </c>
      <c r="V6">
        <v>-5.8</v>
      </c>
      <c r="W6">
        <f t="shared" si="9"/>
        <v>-0.24824400000000002</v>
      </c>
      <c r="Y6">
        <v>0.02</v>
      </c>
      <c r="Z6">
        <f t="shared" si="10"/>
        <v>-0.14818920000000002</v>
      </c>
      <c r="AB6" t="s">
        <v>32</v>
      </c>
    </row>
    <row r="7" spans="1:29" x14ac:dyDescent="0.3">
      <c r="A7">
        <v>0.3974665</v>
      </c>
      <c r="B7">
        <v>0.75314999999999999</v>
      </c>
      <c r="C7">
        <f t="shared" si="1"/>
        <v>0.29935189447499999</v>
      </c>
      <c r="D7">
        <v>1.9800000000000002E-2</v>
      </c>
      <c r="E7">
        <v>4.1920000000000004E-3</v>
      </c>
      <c r="F7">
        <f t="shared" si="2"/>
        <v>79.493300000000005</v>
      </c>
      <c r="G7">
        <f t="shared" si="3"/>
        <v>-0.75314999999999999</v>
      </c>
      <c r="H7">
        <f t="shared" si="4"/>
        <v>-59.870378895000002</v>
      </c>
      <c r="I7">
        <v>1</v>
      </c>
      <c r="J7">
        <f t="shared" si="5"/>
        <v>-2.5320825376028937</v>
      </c>
      <c r="K7">
        <f t="shared" si="6"/>
        <v>-0.426760572976012</v>
      </c>
      <c r="L7">
        <v>1</v>
      </c>
      <c r="M7">
        <f t="shared" si="7"/>
        <v>0.38033322383009105</v>
      </c>
      <c r="N7">
        <f t="shared" ref="N7:N70" si="13">D7*A7</f>
        <v>7.8698367000000005E-3</v>
      </c>
      <c r="O7">
        <f t="shared" si="11"/>
        <v>1.6661795680000002E-3</v>
      </c>
      <c r="P7">
        <f t="shared" si="12"/>
        <v>3.689133287792095E-2</v>
      </c>
      <c r="V7">
        <v>-5.7</v>
      </c>
      <c r="W7">
        <f t="shared" si="9"/>
        <v>-0.25228600000000001</v>
      </c>
      <c r="Y7">
        <v>0.03</v>
      </c>
      <c r="Z7">
        <f t="shared" si="10"/>
        <v>-7.4818800000000046E-2</v>
      </c>
      <c r="AB7" t="s">
        <v>33</v>
      </c>
      <c r="AC7">
        <f>-AB3/AB4</f>
        <v>4.0197409309476302E-2</v>
      </c>
    </row>
    <row r="8" spans="1:29" x14ac:dyDescent="0.3">
      <c r="A8">
        <v>0.50052779999999997</v>
      </c>
      <c r="B8">
        <v>0.73773</v>
      </c>
      <c r="C8">
        <f t="shared" si="1"/>
        <v>0.36925437389399995</v>
      </c>
      <c r="D8">
        <v>1.9800000000000002E-2</v>
      </c>
      <c r="E8">
        <v>4.1920000000000004E-3</v>
      </c>
      <c r="F8">
        <f t="shared" si="2"/>
        <v>100.10556</v>
      </c>
      <c r="G8">
        <f t="shared" si="3"/>
        <v>-0.73773</v>
      </c>
      <c r="H8">
        <f t="shared" si="4"/>
        <v>-73.850874778799991</v>
      </c>
      <c r="I8">
        <v>1</v>
      </c>
      <c r="J8">
        <f t="shared" si="5"/>
        <v>-2.3015300497479538</v>
      </c>
      <c r="K8">
        <f t="shared" si="6"/>
        <v>-0.44218057297601199</v>
      </c>
      <c r="L8">
        <v>1</v>
      </c>
      <c r="M8">
        <f t="shared" si="7"/>
        <v>0.38965215538918774</v>
      </c>
      <c r="N8">
        <f t="shared" si="13"/>
        <v>9.9104504399999994E-3</v>
      </c>
      <c r="O8">
        <f t="shared" si="11"/>
        <v>2.0982125376E-3</v>
      </c>
      <c r="P8">
        <f t="shared" si="12"/>
        <v>4.0519754609224252E-2</v>
      </c>
      <c r="V8">
        <v>-5.6</v>
      </c>
      <c r="W8">
        <f t="shared" si="9"/>
        <v>-0.256328</v>
      </c>
      <c r="Y8">
        <v>0.04</v>
      </c>
      <c r="Z8">
        <f t="shared" si="10"/>
        <v>-1.4484000000000163E-3</v>
      </c>
    </row>
    <row r="9" spans="1:29" x14ac:dyDescent="0.3">
      <c r="A9">
        <v>0.60070630000000003</v>
      </c>
      <c r="B9">
        <v>0.72372999999999998</v>
      </c>
      <c r="C9">
        <f t="shared" si="1"/>
        <v>0.43474917049900003</v>
      </c>
      <c r="D9">
        <v>1.9800000000000002E-2</v>
      </c>
      <c r="E9">
        <v>4.1920000000000004E-3</v>
      </c>
      <c r="F9">
        <f t="shared" si="2"/>
        <v>120.14126</v>
      </c>
      <c r="G9">
        <f t="shared" si="3"/>
        <v>-0.72372999999999998</v>
      </c>
      <c r="H9">
        <f t="shared" si="4"/>
        <v>-86.9498340998</v>
      </c>
      <c r="I9">
        <v>1</v>
      </c>
      <c r="J9">
        <f t="shared" si="5"/>
        <v>-2.1190870618508431</v>
      </c>
      <c r="K9">
        <f t="shared" si="6"/>
        <v>-0.456180572976012</v>
      </c>
      <c r="L9">
        <v>1</v>
      </c>
      <c r="M9">
        <f t="shared" si="7"/>
        <v>0.39702650095998893</v>
      </c>
      <c r="N9">
        <f t="shared" si="13"/>
        <v>1.1893984740000002E-2</v>
      </c>
      <c r="O9">
        <f t="shared" si="11"/>
        <v>2.5181608096000005E-3</v>
      </c>
      <c r="P9">
        <f t="shared" si="12"/>
        <v>4.4741926466423068E-2</v>
      </c>
      <c r="V9">
        <v>-5.5</v>
      </c>
      <c r="W9">
        <f t="shared" si="9"/>
        <v>-0.26036999999999999</v>
      </c>
      <c r="Y9">
        <v>0.05</v>
      </c>
      <c r="Z9">
        <f t="shared" si="10"/>
        <v>7.1921999999999986E-2</v>
      </c>
      <c r="AB9" t="s">
        <v>35</v>
      </c>
      <c r="AC9">
        <v>3.8800000000000001E-2</v>
      </c>
    </row>
    <row r="10" spans="1:29" x14ac:dyDescent="0.3">
      <c r="A10">
        <v>0.69872259999999997</v>
      </c>
      <c r="B10">
        <v>0.71062999999999998</v>
      </c>
      <c r="C10">
        <f t="shared" si="1"/>
        <v>0.49653324123799997</v>
      </c>
      <c r="D10">
        <v>1.9800000000000002E-2</v>
      </c>
      <c r="E10">
        <v>4.1920000000000004E-3</v>
      </c>
      <c r="F10">
        <f t="shared" si="2"/>
        <v>139.74451999999999</v>
      </c>
      <c r="G10">
        <f t="shared" si="3"/>
        <v>-0.71062999999999998</v>
      </c>
      <c r="H10">
        <f t="shared" si="4"/>
        <v>-99.306648247599995</v>
      </c>
      <c r="I10">
        <v>1</v>
      </c>
      <c r="J10">
        <f t="shared" si="5"/>
        <v>-1.9679393805959169</v>
      </c>
      <c r="K10">
        <f t="shared" si="6"/>
        <v>-0.469280572976012</v>
      </c>
      <c r="L10">
        <v>1</v>
      </c>
      <c r="M10">
        <f t="shared" si="7"/>
        <v>0.40313589023631302</v>
      </c>
      <c r="N10">
        <f t="shared" si="13"/>
        <v>1.383470748E-2</v>
      </c>
      <c r="O10">
        <f t="shared" si="11"/>
        <v>2.9290451392E-3</v>
      </c>
      <c r="P10">
        <f t="shared" si="12"/>
        <v>4.9380930120498982E-2</v>
      </c>
      <c r="V10">
        <v>-5.4</v>
      </c>
      <c r="W10">
        <f t="shared" si="9"/>
        <v>-0.26441199999999998</v>
      </c>
      <c r="Y10">
        <v>0.06</v>
      </c>
      <c r="Z10">
        <f t="shared" si="10"/>
        <v>0.14529239999999993</v>
      </c>
    </row>
    <row r="11" spans="1:29" x14ac:dyDescent="0.3">
      <c r="A11">
        <v>0.79890110000000003</v>
      </c>
      <c r="B11">
        <v>0.69821999999999995</v>
      </c>
      <c r="C11">
        <f t="shared" si="1"/>
        <v>0.55780872604199994</v>
      </c>
      <c r="D11">
        <v>1.9800000000000002E-2</v>
      </c>
      <c r="E11">
        <v>4.1920000000000004E-3</v>
      </c>
      <c r="F11">
        <f t="shared" si="2"/>
        <v>159.78022000000001</v>
      </c>
      <c r="G11">
        <f t="shared" si="3"/>
        <v>-0.69821999999999995</v>
      </c>
      <c r="H11">
        <f t="shared" si="4"/>
        <v>-111.56174520839998</v>
      </c>
      <c r="I11">
        <v>1</v>
      </c>
      <c r="J11">
        <f t="shared" si="5"/>
        <v>-1.833956033035961</v>
      </c>
      <c r="K11">
        <f t="shared" si="6"/>
        <v>-0.48169057297601203</v>
      </c>
      <c r="L11">
        <v>1</v>
      </c>
      <c r="M11">
        <f t="shared" si="7"/>
        <v>0.40855149714468647</v>
      </c>
      <c r="N11">
        <f t="shared" si="13"/>
        <v>1.5818241780000002E-2</v>
      </c>
      <c r="O11">
        <f t="shared" si="11"/>
        <v>3.3489934112000005E-3</v>
      </c>
      <c r="P11">
        <f t="shared" si="12"/>
        <v>5.3971840640125557E-2</v>
      </c>
      <c r="V11">
        <v>-5.3</v>
      </c>
      <c r="W11">
        <f t="shared" si="9"/>
        <v>-0.26845400000000003</v>
      </c>
      <c r="Y11">
        <v>7.0000000000000007E-2</v>
      </c>
      <c r="Z11">
        <f t="shared" si="10"/>
        <v>0.21866280000000005</v>
      </c>
      <c r="AB11" t="s">
        <v>34</v>
      </c>
      <c r="AC11">
        <f>AC7-AC9</f>
        <v>1.397409309476301E-3</v>
      </c>
    </row>
    <row r="12" spans="1:29" x14ac:dyDescent="0.3">
      <c r="A12">
        <v>0.89835880000000001</v>
      </c>
      <c r="B12">
        <v>0.68647999999999998</v>
      </c>
      <c r="C12">
        <f t="shared" si="1"/>
        <v>0.61670534902399998</v>
      </c>
      <c r="D12">
        <v>1.9800000000000002E-2</v>
      </c>
      <c r="E12">
        <v>4.1920000000000004E-3</v>
      </c>
      <c r="F12">
        <f t="shared" si="2"/>
        <v>179.67176000000001</v>
      </c>
      <c r="G12">
        <f t="shared" si="3"/>
        <v>-0.68647999999999998</v>
      </c>
      <c r="H12">
        <f t="shared" si="4"/>
        <v>-123.3410698048</v>
      </c>
      <c r="I12">
        <v>1</v>
      </c>
      <c r="J12">
        <f t="shared" si="5"/>
        <v>-1.7166236483490058</v>
      </c>
      <c r="K12">
        <f t="shared" si="6"/>
        <v>-0.49343057297601201</v>
      </c>
      <c r="L12">
        <v>1</v>
      </c>
      <c r="M12">
        <f t="shared" si="7"/>
        <v>0.4132940721337332</v>
      </c>
      <c r="N12">
        <f t="shared" si="13"/>
        <v>1.7787504240000002E-2</v>
      </c>
      <c r="O12">
        <f t="shared" si="11"/>
        <v>3.7659200896000005E-3</v>
      </c>
      <c r="P12">
        <f t="shared" si="12"/>
        <v>5.85830765126788E-2</v>
      </c>
      <c r="V12">
        <v>-5.2</v>
      </c>
      <c r="W12">
        <f t="shared" si="9"/>
        <v>-0.27249600000000002</v>
      </c>
      <c r="Y12">
        <v>0.08</v>
      </c>
      <c r="Z12">
        <f t="shared" si="10"/>
        <v>0.29203319999999999</v>
      </c>
      <c r="AC12">
        <f>AC11*3</f>
        <v>4.192227928428903E-3</v>
      </c>
    </row>
    <row r="13" spans="1:29" x14ac:dyDescent="0.3">
      <c r="A13">
        <v>0.99709590000000003</v>
      </c>
      <c r="B13">
        <v>0.67537000000000003</v>
      </c>
      <c r="C13">
        <f t="shared" si="1"/>
        <v>0.67340865798300009</v>
      </c>
      <c r="D13">
        <v>1.9800000000000002E-2</v>
      </c>
      <c r="E13">
        <v>4.1920000000000004E-3</v>
      </c>
      <c r="F13">
        <f t="shared" si="2"/>
        <v>199.41918000000001</v>
      </c>
      <c r="G13">
        <f t="shared" si="3"/>
        <v>-0.67537000000000003</v>
      </c>
      <c r="H13">
        <f t="shared" si="4"/>
        <v>-134.68173159660003</v>
      </c>
      <c r="I13">
        <v>1</v>
      </c>
      <c r="J13">
        <f t="shared" si="5"/>
        <v>-1.6123462375145254</v>
      </c>
      <c r="K13">
        <f t="shared" si="6"/>
        <v>-0.50454057297601196</v>
      </c>
      <c r="L13">
        <v>1</v>
      </c>
      <c r="M13">
        <f t="shared" si="7"/>
        <v>0.4175089650796629</v>
      </c>
      <c r="N13">
        <f t="shared" si="13"/>
        <v>1.9742498820000003E-2</v>
      </c>
      <c r="O13">
        <f t="shared" si="11"/>
        <v>4.1798260128000008E-3</v>
      </c>
      <c r="P13">
        <f t="shared" si="12"/>
        <v>6.3109283063549057E-2</v>
      </c>
      <c r="V13">
        <v>-5.0999999999999996</v>
      </c>
      <c r="W13">
        <f t="shared" si="9"/>
        <v>-0.27653800000000006</v>
      </c>
      <c r="Y13">
        <v>0.09</v>
      </c>
      <c r="Z13">
        <f t="shared" si="10"/>
        <v>0.36540359999999994</v>
      </c>
    </row>
    <row r="14" spans="1:29" x14ac:dyDescent="0.3">
      <c r="A14">
        <v>1.0972743</v>
      </c>
      <c r="B14">
        <v>0.66461999999999999</v>
      </c>
      <c r="C14">
        <f t="shared" si="1"/>
        <v>0.72927044526600004</v>
      </c>
      <c r="D14">
        <v>1.9800000000000002E-2</v>
      </c>
      <c r="E14">
        <v>4.1920000000000004E-3</v>
      </c>
      <c r="F14">
        <f t="shared" si="2"/>
        <v>219.45486</v>
      </c>
      <c r="G14">
        <f t="shared" si="3"/>
        <v>-0.66461999999999999</v>
      </c>
      <c r="H14">
        <f t="shared" si="4"/>
        <v>-145.8540890532</v>
      </c>
      <c r="I14">
        <v>1</v>
      </c>
      <c r="J14">
        <f t="shared" si="5"/>
        <v>-1.5166087168183413</v>
      </c>
      <c r="K14">
        <f t="shared" si="6"/>
        <v>-0.515290572976012</v>
      </c>
      <c r="L14">
        <v>1</v>
      </c>
      <c r="M14">
        <f t="shared" si="7"/>
        <v>0.42137867566620263</v>
      </c>
      <c r="N14">
        <f t="shared" si="13"/>
        <v>2.1726031140000001E-2</v>
      </c>
      <c r="O14">
        <f t="shared" si="11"/>
        <v>4.5997738656000002E-3</v>
      </c>
      <c r="P14">
        <f t="shared" si="12"/>
        <v>6.7586092304209366E-2</v>
      </c>
      <c r="V14">
        <v>-5</v>
      </c>
      <c r="W14">
        <f t="shared" si="9"/>
        <v>-0.28058</v>
      </c>
      <c r="Y14">
        <v>0.1</v>
      </c>
      <c r="Z14">
        <f t="shared" si="10"/>
        <v>0.438774</v>
      </c>
    </row>
    <row r="15" spans="1:29" x14ac:dyDescent="0.3">
      <c r="A15">
        <v>1.1974528</v>
      </c>
      <c r="B15">
        <v>0.65439000000000003</v>
      </c>
      <c r="C15">
        <f t="shared" si="1"/>
        <v>0.78360113779200002</v>
      </c>
      <c r="D15">
        <v>1.9800000000000002E-2</v>
      </c>
      <c r="E15">
        <v>4.1920000000000004E-3</v>
      </c>
      <c r="F15">
        <f t="shared" si="2"/>
        <v>239.49055999999999</v>
      </c>
      <c r="G15">
        <f t="shared" si="3"/>
        <v>-0.65439000000000003</v>
      </c>
      <c r="H15">
        <f t="shared" si="4"/>
        <v>-156.72022755840001</v>
      </c>
      <c r="I15">
        <v>1</v>
      </c>
      <c r="J15">
        <f t="shared" si="5"/>
        <v>-1.4292412783568282</v>
      </c>
      <c r="K15">
        <f t="shared" si="6"/>
        <v>-0.52552057297601196</v>
      </c>
      <c r="L15">
        <v>1</v>
      </c>
      <c r="M15">
        <f t="shared" si="7"/>
        <v>0.42491006752881699</v>
      </c>
      <c r="N15">
        <f t="shared" si="13"/>
        <v>2.370956544E-2</v>
      </c>
      <c r="O15">
        <f t="shared" si="11"/>
        <v>5.0197221376000007E-3</v>
      </c>
      <c r="P15">
        <f t="shared" si="12"/>
        <v>7.1881217869594963E-2</v>
      </c>
      <c r="V15">
        <v>-4.9000000000000004</v>
      </c>
      <c r="W15">
        <f t="shared" si="9"/>
        <v>-0.28462199999999999</v>
      </c>
      <c r="Y15">
        <v>0.11</v>
      </c>
      <c r="Z15">
        <f t="shared" si="10"/>
        <v>0.51214439999999994</v>
      </c>
    </row>
    <row r="16" spans="1:29" x14ac:dyDescent="0.3">
      <c r="A16">
        <v>1.2969104999999999</v>
      </c>
      <c r="B16">
        <v>0.64437999999999995</v>
      </c>
      <c r="C16">
        <f t="shared" si="1"/>
        <v>0.83570318798999987</v>
      </c>
      <c r="D16">
        <v>1.9800000000000002E-2</v>
      </c>
      <c r="E16">
        <v>4.1920000000000004E-3</v>
      </c>
      <c r="F16">
        <f t="shared" si="2"/>
        <v>259.38209999999998</v>
      </c>
      <c r="G16">
        <f t="shared" si="3"/>
        <v>-0.64437999999999995</v>
      </c>
      <c r="H16">
        <f t="shared" si="4"/>
        <v>-167.14063759799998</v>
      </c>
      <c r="I16">
        <v>1</v>
      </c>
      <c r="J16">
        <f t="shared" si="5"/>
        <v>-1.3494530148778456</v>
      </c>
      <c r="K16">
        <f t="shared" si="6"/>
        <v>-0.53553057297601203</v>
      </c>
      <c r="L16">
        <v>1</v>
      </c>
      <c r="M16">
        <f t="shared" si="7"/>
        <v>0.4281351091386375</v>
      </c>
      <c r="N16">
        <f t="shared" si="13"/>
        <v>2.5678827899999999E-2</v>
      </c>
      <c r="O16">
        <f t="shared" si="11"/>
        <v>5.4366488159999999E-3</v>
      </c>
      <c r="P16">
        <f t="shared" si="12"/>
        <v>7.6279987121374515E-2</v>
      </c>
      <c r="V16">
        <v>-4.8</v>
      </c>
      <c r="W16">
        <f t="shared" si="9"/>
        <v>-0.28866400000000003</v>
      </c>
      <c r="Y16">
        <v>0.12</v>
      </c>
      <c r="Z16">
        <f t="shared" si="10"/>
        <v>0.58551479999999989</v>
      </c>
    </row>
    <row r="17" spans="1:26" x14ac:dyDescent="0.3">
      <c r="A17">
        <v>1.3963682499999999</v>
      </c>
      <c r="B17">
        <v>0.63456999999999997</v>
      </c>
      <c r="C17">
        <f t="shared" si="1"/>
        <v>0.88609340040249984</v>
      </c>
      <c r="D17">
        <v>1.9800000000000002E-2</v>
      </c>
      <c r="E17">
        <v>4.1920000000000004E-3</v>
      </c>
      <c r="F17">
        <f t="shared" si="2"/>
        <v>279.27364999999998</v>
      </c>
      <c r="G17">
        <f t="shared" si="3"/>
        <v>-0.63456999999999997</v>
      </c>
      <c r="H17">
        <f t="shared" si="4"/>
        <v>-177.21868008049998</v>
      </c>
      <c r="I17">
        <v>1</v>
      </c>
      <c r="J17">
        <f t="shared" si="5"/>
        <v>-1.2755631534819449</v>
      </c>
      <c r="K17">
        <f t="shared" si="6"/>
        <v>-0.54534057297601202</v>
      </c>
      <c r="L17">
        <v>1</v>
      </c>
      <c r="M17">
        <f t="shared" si="7"/>
        <v>0.4311217373362598</v>
      </c>
      <c r="N17">
        <f t="shared" si="13"/>
        <v>2.7648091350000001E-2</v>
      </c>
      <c r="O17">
        <f t="shared" si="11"/>
        <v>5.8535757040000004E-3</v>
      </c>
      <c r="P17">
        <f t="shared" si="12"/>
        <v>8.0717168585752216E-2</v>
      </c>
      <c r="V17">
        <v>-4.7</v>
      </c>
      <c r="W17">
        <f t="shared" si="9"/>
        <v>-0.29270600000000002</v>
      </c>
      <c r="Y17">
        <v>0.13</v>
      </c>
      <c r="Z17">
        <f t="shared" si="10"/>
        <v>0.65888520000000006</v>
      </c>
    </row>
    <row r="18" spans="1:26" x14ac:dyDescent="0.3">
      <c r="A18">
        <v>1.4922225499999999</v>
      </c>
      <c r="B18">
        <v>0.62514999999999998</v>
      </c>
      <c r="C18">
        <f t="shared" si="1"/>
        <v>0.93286292713249996</v>
      </c>
      <c r="D18">
        <v>1.9800000000000002E-2</v>
      </c>
      <c r="E18">
        <v>4.1920000000000004E-3</v>
      </c>
      <c r="F18">
        <f t="shared" si="2"/>
        <v>298.44450999999998</v>
      </c>
      <c r="G18">
        <f t="shared" si="3"/>
        <v>-0.62514999999999998</v>
      </c>
      <c r="H18">
        <f t="shared" si="4"/>
        <v>-186.57258542649998</v>
      </c>
      <c r="I18">
        <v>1</v>
      </c>
      <c r="J18">
        <f t="shared" si="5"/>
        <v>-1.2091712595777144</v>
      </c>
      <c r="K18">
        <f t="shared" si="6"/>
        <v>-0.554760572976012</v>
      </c>
      <c r="L18">
        <v>1</v>
      </c>
      <c r="M18">
        <f t="shared" si="7"/>
        <v>0.4338052976878688</v>
      </c>
      <c r="N18">
        <f t="shared" si="13"/>
        <v>2.9546006490000002E-2</v>
      </c>
      <c r="O18">
        <f t="shared" si="11"/>
        <v>6.2553969296000001E-3</v>
      </c>
      <c r="P18">
        <f t="shared" si="12"/>
        <v>8.5153871868543202E-2</v>
      </c>
      <c r="V18">
        <v>-4.5999999999999996</v>
      </c>
      <c r="W18">
        <f t="shared" si="9"/>
        <v>-0.29674800000000001</v>
      </c>
      <c r="Y18">
        <v>0.14000000000000001</v>
      </c>
      <c r="Z18">
        <f t="shared" si="10"/>
        <v>0.73225560000000012</v>
      </c>
    </row>
    <row r="19" spans="1:26" x14ac:dyDescent="0.3">
      <c r="A19">
        <v>1.5945631499999999</v>
      </c>
      <c r="B19">
        <v>0.61570000000000003</v>
      </c>
      <c r="C19">
        <f t="shared" si="1"/>
        <v>0.98177253145499999</v>
      </c>
      <c r="D19">
        <v>1.9800000000000002E-2</v>
      </c>
      <c r="E19">
        <v>4.1920000000000004E-3</v>
      </c>
      <c r="F19">
        <f t="shared" si="2"/>
        <v>318.91262999999998</v>
      </c>
      <c r="G19">
        <f t="shared" si="3"/>
        <v>-0.61570000000000003</v>
      </c>
      <c r="H19">
        <f t="shared" si="4"/>
        <v>-196.35450629100001</v>
      </c>
      <c r="I19">
        <v>1</v>
      </c>
      <c r="J19">
        <f t="shared" si="5"/>
        <v>-1.1428381008585626</v>
      </c>
      <c r="K19">
        <f t="shared" si="6"/>
        <v>-0.56421057297601196</v>
      </c>
      <c r="L19">
        <v>1</v>
      </c>
      <c r="M19">
        <f t="shared" si="7"/>
        <v>0.43648648396329692</v>
      </c>
      <c r="N19">
        <f t="shared" si="13"/>
        <v>3.1572350370000002E-2</v>
      </c>
      <c r="O19">
        <f t="shared" si="11"/>
        <v>6.6844087248000006E-3</v>
      </c>
      <c r="P19">
        <f t="shared" si="12"/>
        <v>8.9467329917915034E-2</v>
      </c>
      <c r="V19">
        <v>-4.5000000000000098</v>
      </c>
      <c r="W19">
        <f t="shared" si="9"/>
        <v>-0.30078999999999961</v>
      </c>
      <c r="Y19">
        <v>0.15</v>
      </c>
      <c r="Z19">
        <f t="shared" si="10"/>
        <v>0.80562599999999984</v>
      </c>
    </row>
    <row r="20" spans="1:26" x14ac:dyDescent="0.3">
      <c r="A20">
        <v>1.69402085</v>
      </c>
      <c r="B20">
        <v>0.60650999999999999</v>
      </c>
      <c r="C20">
        <f t="shared" si="1"/>
        <v>1.0274405857335001</v>
      </c>
      <c r="D20">
        <v>1.9800000000000002E-2</v>
      </c>
      <c r="E20">
        <v>4.1920000000000004E-3</v>
      </c>
      <c r="F20">
        <f t="shared" si="2"/>
        <v>338.80417</v>
      </c>
      <c r="G20">
        <f t="shared" si="3"/>
        <v>-0.60650999999999999</v>
      </c>
      <c r="H20">
        <f t="shared" si="4"/>
        <v>-205.48811714670001</v>
      </c>
      <c r="I20">
        <v>1</v>
      </c>
      <c r="J20">
        <f t="shared" si="5"/>
        <v>-1.0823330081335831</v>
      </c>
      <c r="K20">
        <f t="shared" si="6"/>
        <v>-0.57340057297601199</v>
      </c>
      <c r="L20">
        <v>1</v>
      </c>
      <c r="M20">
        <f t="shared" si="7"/>
        <v>0.43893209981124059</v>
      </c>
      <c r="N20">
        <f t="shared" si="13"/>
        <v>3.3541612830000005E-2</v>
      </c>
      <c r="O20">
        <f t="shared" si="11"/>
        <v>7.1013354032000006E-3</v>
      </c>
      <c r="P20">
        <f t="shared" si="12"/>
        <v>9.3825524931571383E-2</v>
      </c>
      <c r="V20">
        <v>-4.4000000000000101</v>
      </c>
      <c r="W20">
        <f t="shared" si="9"/>
        <v>-0.3048319999999996</v>
      </c>
      <c r="Y20">
        <v>0.16</v>
      </c>
      <c r="Z20">
        <f t="shared" si="10"/>
        <v>0.87899640000000001</v>
      </c>
    </row>
    <row r="21" spans="1:26" x14ac:dyDescent="0.3">
      <c r="A21">
        <v>1.7920372499999999</v>
      </c>
      <c r="B21">
        <v>0.59767000000000003</v>
      </c>
      <c r="C21">
        <f t="shared" si="1"/>
        <v>1.0710469032075001</v>
      </c>
      <c r="D21">
        <v>1.9800000000000002E-2</v>
      </c>
      <c r="E21">
        <v>4.1920000000000004E-3</v>
      </c>
      <c r="F21">
        <f t="shared" si="2"/>
        <v>358.40744999999998</v>
      </c>
      <c r="G21">
        <f t="shared" si="3"/>
        <v>-0.59767000000000003</v>
      </c>
      <c r="H21">
        <f t="shared" si="4"/>
        <v>-214.20938064150002</v>
      </c>
      <c r="I21">
        <v>1</v>
      </c>
      <c r="J21">
        <f t="shared" si="5"/>
        <v>-1.0260848112670478</v>
      </c>
      <c r="K21">
        <f t="shared" si="6"/>
        <v>-0.58224057297601195</v>
      </c>
      <c r="L21">
        <v>1</v>
      </c>
      <c r="M21">
        <f t="shared" si="7"/>
        <v>0.44120565192858591</v>
      </c>
      <c r="N21">
        <f t="shared" si="13"/>
        <v>3.548233755E-2</v>
      </c>
      <c r="O21">
        <f t="shared" si="11"/>
        <v>7.5122201520000003E-3</v>
      </c>
      <c r="P21">
        <f t="shared" si="12"/>
        <v>9.8040363345426054E-2</v>
      </c>
      <c r="V21">
        <v>-4.3000000000000096</v>
      </c>
      <c r="W21">
        <f t="shared" si="9"/>
        <v>-0.30887399999999965</v>
      </c>
      <c r="Y21">
        <v>0.17</v>
      </c>
      <c r="Z21">
        <f t="shared" si="10"/>
        <v>0.95236679999999996</v>
      </c>
    </row>
    <row r="22" spans="1:26" x14ac:dyDescent="0.3">
      <c r="A22">
        <v>1.8922156000000001</v>
      </c>
      <c r="B22">
        <v>0.58853</v>
      </c>
      <c r="C22">
        <f t="shared" si="1"/>
        <v>1.1136256470680002</v>
      </c>
      <c r="D22">
        <v>1.9800000000000002E-2</v>
      </c>
      <c r="E22">
        <v>4.1920000000000004E-3</v>
      </c>
      <c r="F22">
        <f t="shared" si="2"/>
        <v>378.44312000000002</v>
      </c>
      <c r="G22">
        <f t="shared" si="3"/>
        <v>-0.58853</v>
      </c>
      <c r="H22">
        <f t="shared" si="4"/>
        <v>-222.72512941360003</v>
      </c>
      <c r="I22">
        <v>1</v>
      </c>
      <c r="J22">
        <f t="shared" si="5"/>
        <v>-0.97168949480824729</v>
      </c>
      <c r="K22">
        <f t="shared" si="6"/>
        <v>-0.59138057297601199</v>
      </c>
      <c r="L22">
        <v>1</v>
      </c>
      <c r="M22">
        <f t="shared" si="7"/>
        <v>0.44340431061985064</v>
      </c>
      <c r="N22">
        <f t="shared" si="13"/>
        <v>3.7465868880000003E-2</v>
      </c>
      <c r="O22">
        <f t="shared" si="11"/>
        <v>7.9321677952000017E-3</v>
      </c>
      <c r="P22">
        <f t="shared" si="12"/>
        <v>0.10257822568096134</v>
      </c>
      <c r="V22">
        <v>-4.2000000000000099</v>
      </c>
      <c r="W22">
        <f t="shared" si="9"/>
        <v>-0.31291599999999964</v>
      </c>
      <c r="Y22">
        <v>0.18</v>
      </c>
      <c r="Z22">
        <f t="shared" si="10"/>
        <v>1.0257372</v>
      </c>
    </row>
    <row r="23" spans="1:26" x14ac:dyDescent="0.3">
      <c r="A23">
        <v>1.9923940999999998</v>
      </c>
      <c r="B23">
        <v>0.57989000000000002</v>
      </c>
      <c r="C23">
        <f t="shared" si="1"/>
        <v>1.1553694146489999</v>
      </c>
      <c r="D23">
        <v>1.9800000000000002E-2</v>
      </c>
      <c r="E23">
        <v>4.1920000000000004E-3</v>
      </c>
      <c r="F23">
        <f t="shared" si="2"/>
        <v>398.47881999999998</v>
      </c>
      <c r="G23">
        <f t="shared" si="3"/>
        <v>-0.57989000000000002</v>
      </c>
      <c r="H23">
        <f t="shared" si="4"/>
        <v>-231.07388292979999</v>
      </c>
      <c r="I23">
        <v>1</v>
      </c>
      <c r="J23">
        <f t="shared" si="5"/>
        <v>-0.92010093147425409</v>
      </c>
      <c r="K23">
        <f t="shared" si="6"/>
        <v>-0.60002057297601197</v>
      </c>
      <c r="L23">
        <v>1</v>
      </c>
      <c r="M23">
        <f t="shared" si="7"/>
        <v>0.44548952034981065</v>
      </c>
      <c r="N23">
        <f t="shared" si="13"/>
        <v>3.9449403180000002E-2</v>
      </c>
      <c r="O23">
        <f t="shared" si="11"/>
        <v>8.3521160672000005E-3</v>
      </c>
      <c r="P23">
        <f t="shared" si="12"/>
        <v>0.1067295333790013</v>
      </c>
      <c r="V23">
        <v>-4.1000000000000103</v>
      </c>
      <c r="W23">
        <f t="shared" si="9"/>
        <v>-0.31695799999999963</v>
      </c>
      <c r="Y23">
        <v>0.19</v>
      </c>
      <c r="Z23">
        <f t="shared" si="10"/>
        <v>1.0991076</v>
      </c>
    </row>
    <row r="24" spans="1:26" x14ac:dyDescent="0.3">
      <c r="A24">
        <v>2.0925726999999998</v>
      </c>
      <c r="B24">
        <v>0.57091999999999998</v>
      </c>
      <c r="C24">
        <f t="shared" si="1"/>
        <v>1.1946916058839998</v>
      </c>
      <c r="D24">
        <v>1.9800000000000002E-2</v>
      </c>
      <c r="E24">
        <v>4.1920000000000004E-3</v>
      </c>
      <c r="F24">
        <f t="shared" si="2"/>
        <v>418.51453999999995</v>
      </c>
      <c r="G24">
        <f t="shared" si="3"/>
        <v>-0.57091999999999998</v>
      </c>
      <c r="H24">
        <f t="shared" si="4"/>
        <v>-238.93832117679997</v>
      </c>
      <c r="I24">
        <v>1</v>
      </c>
      <c r="J24">
        <f t="shared" si="5"/>
        <v>-0.87104364652590871</v>
      </c>
      <c r="K24">
        <f t="shared" si="6"/>
        <v>-0.608990572976012</v>
      </c>
      <c r="L24">
        <v>1</v>
      </c>
      <c r="M24">
        <f t="shared" si="7"/>
        <v>0.44747241580742275</v>
      </c>
      <c r="N24">
        <f t="shared" si="13"/>
        <v>4.1432939459999998E-2</v>
      </c>
      <c r="O24">
        <f t="shared" si="11"/>
        <v>8.7720647584000003E-3</v>
      </c>
      <c r="P24">
        <f t="shared" si="12"/>
        <v>0.11131315295018925</v>
      </c>
      <c r="V24">
        <v>-4.0000000000000098</v>
      </c>
      <c r="W24">
        <f t="shared" si="9"/>
        <v>-0.32099999999999962</v>
      </c>
      <c r="Y24">
        <v>0.2</v>
      </c>
      <c r="Z24">
        <f t="shared" si="10"/>
        <v>1.1724779999999999</v>
      </c>
    </row>
    <row r="25" spans="1:26" x14ac:dyDescent="0.3">
      <c r="A25">
        <v>2.1913096999999997</v>
      </c>
      <c r="B25">
        <v>0.56201000000000001</v>
      </c>
      <c r="C25">
        <f t="shared" si="1"/>
        <v>1.2315379644969999</v>
      </c>
      <c r="D25">
        <v>1.9800000000000002E-2</v>
      </c>
      <c r="E25">
        <v>4.1920000000000004E-3</v>
      </c>
      <c r="F25">
        <f t="shared" si="2"/>
        <v>438.26193999999992</v>
      </c>
      <c r="G25">
        <f t="shared" si="3"/>
        <v>-0.56201000000000001</v>
      </c>
      <c r="H25">
        <f t="shared" si="4"/>
        <v>-246.30759289939999</v>
      </c>
      <c r="I25">
        <v>1</v>
      </c>
      <c r="J25">
        <f t="shared" si="5"/>
        <v>-0.82493851082859271</v>
      </c>
      <c r="K25">
        <f t="shared" si="6"/>
        <v>-0.61790057297601197</v>
      </c>
      <c r="L25">
        <v>1</v>
      </c>
      <c r="M25">
        <f t="shared" si="7"/>
        <v>0.44933598539230829</v>
      </c>
      <c r="N25">
        <f t="shared" si="13"/>
        <v>4.3387932059999995E-2</v>
      </c>
      <c r="O25">
        <f t="shared" si="11"/>
        <v>9.1859702623999992E-3</v>
      </c>
      <c r="P25">
        <f t="shared" si="12"/>
        <v>0.11599068526130368</v>
      </c>
      <c r="V25">
        <v>-3.9000000000000101</v>
      </c>
      <c r="W25">
        <f t="shared" si="9"/>
        <v>-0.32504199999999961</v>
      </c>
      <c r="Y25">
        <v>0.21</v>
      </c>
      <c r="Z25">
        <f t="shared" si="10"/>
        <v>1.2458483999999999</v>
      </c>
    </row>
    <row r="26" spans="1:26" x14ac:dyDescent="0.3">
      <c r="A26">
        <v>2.2929293999999998</v>
      </c>
      <c r="B26">
        <v>0.55386999999999997</v>
      </c>
      <c r="C26">
        <f t="shared" si="1"/>
        <v>1.2699848067779997</v>
      </c>
      <c r="D26">
        <v>1.9800000000000002E-2</v>
      </c>
      <c r="E26">
        <v>4.1920000000000004E-3</v>
      </c>
      <c r="F26">
        <f t="shared" si="2"/>
        <v>458.58587999999997</v>
      </c>
      <c r="G26">
        <f t="shared" si="3"/>
        <v>-0.55386999999999997</v>
      </c>
      <c r="H26">
        <f t="shared" si="4"/>
        <v>-253.99696135559995</v>
      </c>
      <c r="I26">
        <v>1</v>
      </c>
      <c r="J26">
        <f t="shared" si="5"/>
        <v>-0.77960769839125343</v>
      </c>
      <c r="K26">
        <f t="shared" si="6"/>
        <v>-0.62604057297601201</v>
      </c>
      <c r="L26">
        <v>1</v>
      </c>
      <c r="M26">
        <f t="shared" si="7"/>
        <v>0.45116825683102552</v>
      </c>
      <c r="N26">
        <f t="shared" si="13"/>
        <v>4.5400002119999998E-2</v>
      </c>
      <c r="O26">
        <f t="shared" si="11"/>
        <v>9.6119600447999998E-3</v>
      </c>
      <c r="P26">
        <f t="shared" si="12"/>
        <v>0.11986035398018649</v>
      </c>
      <c r="V26">
        <v>-3.80000000000001</v>
      </c>
      <c r="W26">
        <f t="shared" si="9"/>
        <v>-0.3290839999999996</v>
      </c>
      <c r="Y26">
        <v>0.22</v>
      </c>
      <c r="Z26">
        <f t="shared" si="10"/>
        <v>1.3192187999999998</v>
      </c>
    </row>
    <row r="27" spans="1:26" x14ac:dyDescent="0.3">
      <c r="A27">
        <v>2.3923871500000002</v>
      </c>
      <c r="B27">
        <v>0.54446000000000006</v>
      </c>
      <c r="C27">
        <f t="shared" si="1"/>
        <v>1.3025591076890002</v>
      </c>
      <c r="D27">
        <v>1.9800000000000002E-2</v>
      </c>
      <c r="E27">
        <v>4.1920000000000004E-3</v>
      </c>
      <c r="F27">
        <f t="shared" si="2"/>
        <v>478.47743000000003</v>
      </c>
      <c r="G27">
        <f t="shared" si="3"/>
        <v>-0.54446000000000006</v>
      </c>
      <c r="H27">
        <f t="shared" si="4"/>
        <v>-260.51182153780002</v>
      </c>
      <c r="I27">
        <v>1</v>
      </c>
      <c r="J27">
        <f t="shared" si="5"/>
        <v>-0.73714623743564889</v>
      </c>
      <c r="K27">
        <f t="shared" si="6"/>
        <v>-0.63545057297601193</v>
      </c>
      <c r="L27">
        <v>1</v>
      </c>
      <c r="M27">
        <f t="shared" si="7"/>
        <v>0.45288454908285108</v>
      </c>
      <c r="N27">
        <f t="shared" si="13"/>
        <v>4.7369265570000006E-2</v>
      </c>
      <c r="O27">
        <f t="shared" si="11"/>
        <v>1.0028886932800001E-2</v>
      </c>
      <c r="P27">
        <f t="shared" si="12"/>
        <v>0.12516787139036084</v>
      </c>
      <c r="V27">
        <v>-3.7000000000000099</v>
      </c>
      <c r="W27">
        <f t="shared" si="9"/>
        <v>-0.33312599999999959</v>
      </c>
      <c r="Y27">
        <v>0.23</v>
      </c>
      <c r="Z27">
        <f t="shared" si="10"/>
        <v>1.3925892000000002</v>
      </c>
    </row>
    <row r="28" spans="1:26" x14ac:dyDescent="0.3">
      <c r="A28">
        <v>2.4896829</v>
      </c>
      <c r="B28">
        <v>0.53557999999999995</v>
      </c>
      <c r="C28">
        <f t="shared" si="1"/>
        <v>1.3334243675819999</v>
      </c>
      <c r="D28">
        <v>1.9800000000000002E-2</v>
      </c>
      <c r="E28">
        <v>4.1920000000000004E-3</v>
      </c>
      <c r="F28">
        <f t="shared" si="2"/>
        <v>497.93657999999999</v>
      </c>
      <c r="G28">
        <f t="shared" si="3"/>
        <v>-0.53557999999999995</v>
      </c>
      <c r="H28">
        <f t="shared" si="4"/>
        <v>-266.68487351639999</v>
      </c>
      <c r="I28">
        <v>1</v>
      </c>
      <c r="J28">
        <f t="shared" si="5"/>
        <v>-0.69728255946469753</v>
      </c>
      <c r="K28">
        <f t="shared" si="6"/>
        <v>-0.64433057297601204</v>
      </c>
      <c r="L28">
        <v>1</v>
      </c>
      <c r="M28">
        <f t="shared" si="7"/>
        <v>0.45449583894643691</v>
      </c>
      <c r="N28">
        <f t="shared" si="13"/>
        <v>4.9295721420000008E-2</v>
      </c>
      <c r="O28">
        <f t="shared" si="11"/>
        <v>1.0436750716800001E-2</v>
      </c>
      <c r="P28">
        <f t="shared" si="12"/>
        <v>0.13010226189277513</v>
      </c>
      <c r="V28">
        <v>-3.6000000000000099</v>
      </c>
      <c r="W28">
        <f t="shared" si="9"/>
        <v>-0.33716799999999958</v>
      </c>
      <c r="Y28">
        <v>0.24</v>
      </c>
      <c r="Z28">
        <f t="shared" si="10"/>
        <v>1.4659595999999997</v>
      </c>
    </row>
    <row r="29" spans="1:26" x14ac:dyDescent="0.3">
      <c r="A29">
        <v>2.5920233499999998</v>
      </c>
      <c r="B29">
        <v>0.52700000000000002</v>
      </c>
      <c r="C29">
        <f t="shared" si="1"/>
        <v>1.3659963054499999</v>
      </c>
      <c r="D29">
        <v>1.9800000000000002E-2</v>
      </c>
      <c r="E29">
        <v>4.1920000000000004E-3</v>
      </c>
      <c r="F29">
        <f t="shared" si="2"/>
        <v>518.40467000000001</v>
      </c>
      <c r="G29">
        <f t="shared" si="3"/>
        <v>-0.52700000000000002</v>
      </c>
      <c r="H29">
        <f t="shared" si="4"/>
        <v>-273.19926108999999</v>
      </c>
      <c r="I29">
        <v>1</v>
      </c>
      <c r="J29">
        <f t="shared" si="5"/>
        <v>-0.65699912549699391</v>
      </c>
      <c r="K29">
        <f t="shared" si="6"/>
        <v>-0.65291057297601196</v>
      </c>
      <c r="L29">
        <v>1</v>
      </c>
      <c r="M29">
        <f t="shared" si="7"/>
        <v>0.4561240953474115</v>
      </c>
      <c r="N29">
        <f t="shared" si="13"/>
        <v>5.1322062330000001E-2</v>
      </c>
      <c r="O29">
        <f t="shared" si="11"/>
        <v>1.0865761883200001E-2</v>
      </c>
      <c r="P29">
        <f t="shared" si="12"/>
        <v>0.13459865341540045</v>
      </c>
      <c r="V29">
        <v>-3.5000000000000102</v>
      </c>
      <c r="W29">
        <f t="shared" si="9"/>
        <v>-0.34120999999999957</v>
      </c>
      <c r="Y29">
        <v>0.25</v>
      </c>
      <c r="Z29">
        <f t="shared" si="10"/>
        <v>1.5393300000000001</v>
      </c>
    </row>
    <row r="30" spans="1:26" x14ac:dyDescent="0.3">
      <c r="A30">
        <v>2.69220185</v>
      </c>
      <c r="B30">
        <v>0.51765000000000005</v>
      </c>
      <c r="C30">
        <f t="shared" si="1"/>
        <v>1.3936182876525001</v>
      </c>
      <c r="D30">
        <v>1.9800000000000002E-2</v>
      </c>
      <c r="E30">
        <v>4.1920000000000004E-3</v>
      </c>
      <c r="F30">
        <f t="shared" si="2"/>
        <v>538.44037000000003</v>
      </c>
      <c r="G30">
        <f t="shared" si="3"/>
        <v>-0.51765000000000005</v>
      </c>
      <c r="H30">
        <f t="shared" si="4"/>
        <v>-278.72365753050002</v>
      </c>
      <c r="I30">
        <v>1</v>
      </c>
      <c r="J30">
        <f t="shared" si="5"/>
        <v>-0.61907852203613689</v>
      </c>
      <c r="K30">
        <f t="shared" si="6"/>
        <v>-0.66226057297601193</v>
      </c>
      <c r="L30">
        <v>1</v>
      </c>
      <c r="M30">
        <f t="shared" si="7"/>
        <v>0.45765684613929936</v>
      </c>
      <c r="N30">
        <f t="shared" si="13"/>
        <v>5.3305596630000007E-2</v>
      </c>
      <c r="O30">
        <f t="shared" si="11"/>
        <v>1.1285710155200001E-2</v>
      </c>
      <c r="P30">
        <f t="shared" si="12"/>
        <v>0.14001242005151257</v>
      </c>
      <c r="V30">
        <v>-3.4000000000000101</v>
      </c>
      <c r="W30">
        <f t="shared" si="9"/>
        <v>-0.34525199999999956</v>
      </c>
      <c r="Y30">
        <v>0.26</v>
      </c>
      <c r="Z30">
        <f t="shared" si="10"/>
        <v>1.6127004</v>
      </c>
    </row>
    <row r="31" spans="1:26" x14ac:dyDescent="0.3">
      <c r="A31">
        <v>2.79021835</v>
      </c>
      <c r="B31">
        <v>0.50817000000000001</v>
      </c>
      <c r="C31">
        <f t="shared" si="1"/>
        <v>1.4179052589195</v>
      </c>
      <c r="D31">
        <v>1.9800000000000002E-2</v>
      </c>
      <c r="E31">
        <v>4.1920000000000004E-3</v>
      </c>
      <c r="F31">
        <f t="shared" si="2"/>
        <v>558.04367000000002</v>
      </c>
      <c r="G31">
        <f t="shared" si="3"/>
        <v>-0.50817000000000001</v>
      </c>
      <c r="H31">
        <f t="shared" si="4"/>
        <v>-283.58105178390002</v>
      </c>
      <c r="I31">
        <v>1</v>
      </c>
      <c r="J31">
        <f t="shared" si="5"/>
        <v>-0.58331805801436365</v>
      </c>
      <c r="K31">
        <f t="shared" si="6"/>
        <v>-0.67174057297601197</v>
      </c>
      <c r="L31">
        <v>1</v>
      </c>
      <c r="M31">
        <f t="shared" si="7"/>
        <v>0.45910228409505943</v>
      </c>
      <c r="N31">
        <f t="shared" si="13"/>
        <v>5.5246323330000006E-2</v>
      </c>
      <c r="O31">
        <f t="shared" si="11"/>
        <v>1.16965953232E-2</v>
      </c>
      <c r="P31">
        <f t="shared" si="12"/>
        <v>0.14569537022775253</v>
      </c>
      <c r="V31">
        <v>-3.30000000000001</v>
      </c>
      <c r="W31">
        <f t="shared" si="9"/>
        <v>-0.3492939999999996</v>
      </c>
      <c r="Y31">
        <v>0.27</v>
      </c>
      <c r="Z31">
        <f t="shared" si="10"/>
        <v>1.6860708</v>
      </c>
    </row>
    <row r="32" spans="1:26" x14ac:dyDescent="0.3">
      <c r="A32">
        <v>2.8903968500000001</v>
      </c>
      <c r="B32">
        <v>0.49879000000000001</v>
      </c>
      <c r="C32">
        <f t="shared" si="1"/>
        <v>1.4417010448115002</v>
      </c>
      <c r="D32">
        <v>1.9800000000000002E-2</v>
      </c>
      <c r="E32">
        <v>4.1920000000000004E-3</v>
      </c>
      <c r="F32">
        <f t="shared" si="2"/>
        <v>578.07937000000004</v>
      </c>
      <c r="G32">
        <f t="shared" si="3"/>
        <v>-0.49879000000000001</v>
      </c>
      <c r="H32">
        <f t="shared" si="4"/>
        <v>-288.34020896230004</v>
      </c>
      <c r="I32">
        <v>1</v>
      </c>
      <c r="J32">
        <f t="shared" si="5"/>
        <v>-0.54804410139795923</v>
      </c>
      <c r="K32">
        <f t="shared" si="6"/>
        <v>-0.68112057297601192</v>
      </c>
      <c r="L32">
        <v>1</v>
      </c>
      <c r="M32">
        <f t="shared" si="7"/>
        <v>0.4605280574214945</v>
      </c>
      <c r="N32">
        <f t="shared" si="13"/>
        <v>5.7229857630000006E-2</v>
      </c>
      <c r="O32">
        <f t="shared" si="11"/>
        <v>1.2116543595200003E-2</v>
      </c>
      <c r="P32">
        <f t="shared" si="12"/>
        <v>0.15124611432931742</v>
      </c>
      <c r="V32">
        <v>-3.2000000000000099</v>
      </c>
      <c r="W32">
        <f t="shared" si="9"/>
        <v>-0.35333599999999959</v>
      </c>
    </row>
    <row r="33" spans="1:23" x14ac:dyDescent="0.3">
      <c r="A33">
        <v>2.9905752999999997</v>
      </c>
      <c r="B33">
        <v>0.48942000000000002</v>
      </c>
      <c r="C33">
        <f t="shared" si="1"/>
        <v>1.4636473633259999</v>
      </c>
      <c r="D33">
        <v>1.9800000000000002E-2</v>
      </c>
      <c r="E33">
        <v>4.1920000000000004E-3</v>
      </c>
      <c r="F33">
        <f t="shared" si="2"/>
        <v>598.11505999999997</v>
      </c>
      <c r="G33">
        <f t="shared" si="3"/>
        <v>-0.48942000000000002</v>
      </c>
      <c r="H33">
        <f t="shared" si="4"/>
        <v>-292.72947266519998</v>
      </c>
      <c r="I33">
        <v>1</v>
      </c>
      <c r="J33">
        <f t="shared" si="5"/>
        <v>-0.51397213551279997</v>
      </c>
      <c r="K33">
        <f t="shared" si="6"/>
        <v>-0.69049057297601202</v>
      </c>
      <c r="L33">
        <v>1</v>
      </c>
      <c r="M33">
        <f t="shared" si="7"/>
        <v>0.46190524628257262</v>
      </c>
      <c r="N33">
        <f t="shared" si="13"/>
        <v>5.9213390939999999E-2</v>
      </c>
      <c r="O33">
        <f t="shared" si="11"/>
        <v>1.2536491657600001E-2</v>
      </c>
      <c r="P33">
        <f t="shared" si="12"/>
        <v>0.15683544409583938</v>
      </c>
      <c r="V33">
        <v>-3.1000000000000099</v>
      </c>
      <c r="W33">
        <f t="shared" si="9"/>
        <v>-0.35737799999999964</v>
      </c>
    </row>
    <row r="34" spans="1:23" x14ac:dyDescent="0.3">
      <c r="A34">
        <v>3.0900330500000002</v>
      </c>
      <c r="B34">
        <v>0.47966999999999999</v>
      </c>
      <c r="C34">
        <f t="shared" si="1"/>
        <v>1.4821961530934999</v>
      </c>
      <c r="D34">
        <v>1.9800000000000002E-2</v>
      </c>
      <c r="E34">
        <v>4.1920000000000004E-3</v>
      </c>
      <c r="F34">
        <f t="shared" si="2"/>
        <v>618.00661000000002</v>
      </c>
      <c r="G34">
        <f t="shared" si="3"/>
        <v>-0.47966999999999999</v>
      </c>
      <c r="H34">
        <f t="shared" si="4"/>
        <v>-296.43923061869998</v>
      </c>
      <c r="I34">
        <v>1</v>
      </c>
      <c r="J34">
        <f t="shared" si="5"/>
        <v>-0.48125612578876559</v>
      </c>
      <c r="K34">
        <f t="shared" si="6"/>
        <v>-0.70024057297601194</v>
      </c>
      <c r="L34">
        <v>1</v>
      </c>
      <c r="M34">
        <f t="shared" si="7"/>
        <v>0.46322762739561807</v>
      </c>
      <c r="N34">
        <f t="shared" si="13"/>
        <v>6.1182654390000007E-2</v>
      </c>
      <c r="O34">
        <f t="shared" si="11"/>
        <v>1.2953418545600002E-2</v>
      </c>
      <c r="P34">
        <f t="shared" si="12"/>
        <v>0.16287687264479386</v>
      </c>
      <c r="V34">
        <v>-3.0000000000000102</v>
      </c>
      <c r="W34">
        <f t="shared" si="9"/>
        <v>-0.36141999999999957</v>
      </c>
    </row>
    <row r="35" spans="1:23" x14ac:dyDescent="0.3">
      <c r="A35">
        <v>3.18877005</v>
      </c>
      <c r="B35">
        <v>0.46975</v>
      </c>
      <c r="C35">
        <f t="shared" si="1"/>
        <v>1.4979247309875001</v>
      </c>
      <c r="D35">
        <v>1.9800000000000002E-2</v>
      </c>
      <c r="E35">
        <v>4.1920000000000004E-3</v>
      </c>
      <c r="F35">
        <f t="shared" si="2"/>
        <v>637.75400999999999</v>
      </c>
      <c r="G35">
        <f t="shared" si="3"/>
        <v>-0.46975</v>
      </c>
      <c r="H35">
        <f t="shared" si="4"/>
        <v>-299.58494619750002</v>
      </c>
      <c r="I35">
        <v>1</v>
      </c>
      <c r="J35">
        <f t="shared" si="5"/>
        <v>-0.44980263424968214</v>
      </c>
      <c r="K35">
        <f t="shared" si="6"/>
        <v>-0.71016057297601198</v>
      </c>
      <c r="L35">
        <v>1</v>
      </c>
      <c r="M35">
        <f t="shared" si="7"/>
        <v>0.46449897752362784</v>
      </c>
      <c r="N35">
        <f t="shared" si="13"/>
        <v>6.3137646990000004E-2</v>
      </c>
      <c r="O35">
        <f t="shared" si="11"/>
        <v>1.3367324049600001E-2</v>
      </c>
      <c r="P35">
        <f t="shared" si="12"/>
        <v>0.16915662441278412</v>
      </c>
      <c r="V35">
        <v>-2.9000000000000101</v>
      </c>
      <c r="W35">
        <f t="shared" si="9"/>
        <v>-0.36546199999999962</v>
      </c>
    </row>
    <row r="36" spans="1:23" x14ac:dyDescent="0.3">
      <c r="A36">
        <v>3.2889485500000002</v>
      </c>
      <c r="B36">
        <v>0.45985999999999999</v>
      </c>
      <c r="C36">
        <f t="shared" si="1"/>
        <v>1.5124558802030001</v>
      </c>
      <c r="D36">
        <v>1.9800000000000002E-2</v>
      </c>
      <c r="E36">
        <v>4.1920000000000004E-3</v>
      </c>
      <c r="F36">
        <f t="shared" si="2"/>
        <v>657.78971000000001</v>
      </c>
      <c r="G36">
        <f t="shared" si="3"/>
        <v>-0.45985999999999999</v>
      </c>
      <c r="H36">
        <f t="shared" si="4"/>
        <v>-302.49117604060001</v>
      </c>
      <c r="I36">
        <v>1</v>
      </c>
      <c r="J36">
        <f t="shared" si="5"/>
        <v>-0.41886998840213391</v>
      </c>
      <c r="K36">
        <f t="shared" si="6"/>
        <v>-0.72005057297601205</v>
      </c>
      <c r="L36">
        <v>1</v>
      </c>
      <c r="M36">
        <f t="shared" si="7"/>
        <v>0.46574927506878572</v>
      </c>
      <c r="N36">
        <f t="shared" si="13"/>
        <v>6.512118129000001E-2</v>
      </c>
      <c r="O36">
        <f t="shared" si="11"/>
        <v>1.3787272321600002E-2</v>
      </c>
      <c r="P36">
        <f t="shared" si="12"/>
        <v>0.17539284429562632</v>
      </c>
      <c r="V36">
        <v>-2.80000000000001</v>
      </c>
      <c r="W36">
        <f t="shared" si="9"/>
        <v>-0.36950399999999961</v>
      </c>
    </row>
    <row r="37" spans="1:23" x14ac:dyDescent="0.3">
      <c r="A37">
        <v>3.3891269999999998</v>
      </c>
      <c r="B37">
        <v>0.45001999999999998</v>
      </c>
      <c r="C37">
        <f t="shared" si="1"/>
        <v>1.5251749325399999</v>
      </c>
      <c r="D37">
        <v>1.9800000000000002E-2</v>
      </c>
      <c r="E37">
        <v>4.1920000000000004E-3</v>
      </c>
      <c r="F37">
        <f t="shared" si="2"/>
        <v>677.82539999999995</v>
      </c>
      <c r="G37">
        <f t="shared" si="3"/>
        <v>-0.45001999999999998</v>
      </c>
      <c r="H37">
        <f t="shared" si="4"/>
        <v>-305.03498650799997</v>
      </c>
      <c r="I37">
        <v>1</v>
      </c>
      <c r="J37">
        <f t="shared" si="5"/>
        <v>-0.38886554633015141</v>
      </c>
      <c r="K37">
        <f t="shared" si="6"/>
        <v>-0.72989057297601201</v>
      </c>
      <c r="L37">
        <v>1</v>
      </c>
      <c r="M37">
        <f t="shared" si="7"/>
        <v>0.46696205461733525</v>
      </c>
      <c r="N37">
        <f t="shared" si="13"/>
        <v>6.7104714600000004E-2</v>
      </c>
      <c r="O37">
        <f t="shared" si="11"/>
        <v>1.4207220384E-2</v>
      </c>
      <c r="P37">
        <f t="shared" si="12"/>
        <v>0.18161658337467676</v>
      </c>
      <c r="V37">
        <v>-2.7000000000000099</v>
      </c>
      <c r="W37">
        <f t="shared" si="9"/>
        <v>-0.3735459999999996</v>
      </c>
    </row>
    <row r="38" spans="1:23" x14ac:dyDescent="0.3">
      <c r="A38">
        <v>3.4885847499999998</v>
      </c>
      <c r="B38">
        <v>0.43934000000000001</v>
      </c>
      <c r="C38">
        <f t="shared" si="1"/>
        <v>1.5326748240649999</v>
      </c>
      <c r="D38">
        <v>1.9800000000000002E-2</v>
      </c>
      <c r="E38">
        <v>4.1920000000000004E-3</v>
      </c>
      <c r="F38">
        <f t="shared" si="2"/>
        <v>697.71695</v>
      </c>
      <c r="G38">
        <f t="shared" si="3"/>
        <v>-0.43934000000000001</v>
      </c>
      <c r="H38">
        <f t="shared" si="4"/>
        <v>-306.53496481299999</v>
      </c>
      <c r="I38">
        <v>1</v>
      </c>
      <c r="J38">
        <f t="shared" si="5"/>
        <v>-0.35994177422282725</v>
      </c>
      <c r="K38">
        <f t="shared" si="6"/>
        <v>-0.74057057297601192</v>
      </c>
      <c r="L38">
        <v>1</v>
      </c>
      <c r="M38">
        <f t="shared" si="7"/>
        <v>0.46813115348591333</v>
      </c>
      <c r="N38">
        <f t="shared" si="13"/>
        <v>6.9073978049999998E-2</v>
      </c>
      <c r="O38">
        <f t="shared" si="11"/>
        <v>1.4624147272000001E-2</v>
      </c>
      <c r="P38">
        <f t="shared" si="12"/>
        <v>0.18874129416809859</v>
      </c>
      <c r="V38">
        <v>-2.6000000000000099</v>
      </c>
      <c r="W38">
        <f t="shared" si="9"/>
        <v>-0.37758799999999959</v>
      </c>
    </row>
    <row r="39" spans="1:23" x14ac:dyDescent="0.3">
      <c r="A39">
        <v>3.5880425000000002</v>
      </c>
      <c r="B39">
        <v>0.42914000000000002</v>
      </c>
      <c r="C39">
        <f t="shared" si="1"/>
        <v>1.5397725584500002</v>
      </c>
      <c r="D39">
        <v>1.9800000000000002E-2</v>
      </c>
      <c r="E39">
        <v>4.1920000000000004E-3</v>
      </c>
      <c r="F39">
        <f t="shared" si="2"/>
        <v>717.60850000000005</v>
      </c>
      <c r="G39">
        <f t="shared" si="3"/>
        <v>-0.42914000000000002</v>
      </c>
      <c r="H39">
        <f t="shared" si="4"/>
        <v>-307.95451169</v>
      </c>
      <c r="I39">
        <v>1</v>
      </c>
      <c r="J39">
        <f t="shared" si="5"/>
        <v>-0.33183112326868353</v>
      </c>
      <c r="K39">
        <f t="shared" si="6"/>
        <v>-0.75077057297601191</v>
      </c>
      <c r="L39">
        <v>1</v>
      </c>
      <c r="M39">
        <f t="shared" si="7"/>
        <v>0.4692673859974798</v>
      </c>
      <c r="N39">
        <f t="shared" si="13"/>
        <v>7.1043241500000007E-2</v>
      </c>
      <c r="O39">
        <f t="shared" si="11"/>
        <v>1.5041074160000003E-2</v>
      </c>
      <c r="P39">
        <f t="shared" si="12"/>
        <v>0.19541887131853208</v>
      </c>
      <c r="V39">
        <v>-2.5000000000000102</v>
      </c>
      <c r="W39">
        <f t="shared" si="9"/>
        <v>-0.38162999999999958</v>
      </c>
    </row>
    <row r="40" spans="1:23" x14ac:dyDescent="0.3">
      <c r="A40">
        <v>3.6889416999999995</v>
      </c>
      <c r="B40">
        <v>0.41847000000000001</v>
      </c>
      <c r="C40">
        <f t="shared" si="1"/>
        <v>1.5437114331989998</v>
      </c>
      <c r="D40">
        <v>1.9800000000000002E-2</v>
      </c>
      <c r="E40">
        <v>4.1920000000000004E-3</v>
      </c>
      <c r="F40">
        <f t="shared" si="2"/>
        <v>737.78833999999995</v>
      </c>
      <c r="G40">
        <f t="shared" si="3"/>
        <v>-0.41847000000000001</v>
      </c>
      <c r="H40">
        <f t="shared" si="4"/>
        <v>-308.74228663979994</v>
      </c>
      <c r="I40">
        <v>1</v>
      </c>
      <c r="J40">
        <f t="shared" si="5"/>
        <v>-0.30409829768529351</v>
      </c>
      <c r="K40">
        <f t="shared" si="6"/>
        <v>-0.76144057297601198</v>
      </c>
      <c r="L40">
        <v>1</v>
      </c>
      <c r="M40">
        <f t="shared" si="7"/>
        <v>0.47038834680756042</v>
      </c>
      <c r="N40">
        <f t="shared" si="13"/>
        <v>7.3041045659999998E-2</v>
      </c>
      <c r="O40">
        <f t="shared" si="11"/>
        <v>1.54640436064E-2</v>
      </c>
      <c r="P40">
        <f t="shared" si="12"/>
        <v>0.20254713690205156</v>
      </c>
      <c r="V40">
        <v>-2.4000000000000101</v>
      </c>
      <c r="W40">
        <f t="shared" si="9"/>
        <v>-0.38567199999999957</v>
      </c>
    </row>
    <row r="41" spans="1:23" x14ac:dyDescent="0.3">
      <c r="A41">
        <v>3.78839945</v>
      </c>
      <c r="B41">
        <v>0.40693000000000001</v>
      </c>
      <c r="C41">
        <f t="shared" si="1"/>
        <v>1.5416133881885001</v>
      </c>
      <c r="D41">
        <v>1.9800000000000002E-2</v>
      </c>
      <c r="E41">
        <v>4.1920000000000004E-3</v>
      </c>
      <c r="F41">
        <f t="shared" si="2"/>
        <v>757.67989</v>
      </c>
      <c r="G41">
        <f t="shared" si="3"/>
        <v>-0.40693000000000001</v>
      </c>
      <c r="H41">
        <f t="shared" si="4"/>
        <v>-308.32267763770005</v>
      </c>
      <c r="I41">
        <v>1</v>
      </c>
      <c r="J41">
        <f t="shared" si="5"/>
        <v>-0.2774942912443249</v>
      </c>
      <c r="K41">
        <f t="shared" si="6"/>
        <v>-0.77298057297601197</v>
      </c>
      <c r="L41">
        <v>1</v>
      </c>
      <c r="M41">
        <f t="shared" si="7"/>
        <v>0.4714636807479044</v>
      </c>
      <c r="N41">
        <f t="shared" si="13"/>
        <v>7.5010309110000006E-2</v>
      </c>
      <c r="O41">
        <f t="shared" si="11"/>
        <v>1.5880970494400001E-2</v>
      </c>
      <c r="P41">
        <f t="shared" si="12"/>
        <v>0.21062561262370755</v>
      </c>
      <c r="V41">
        <v>-2.30000000000001</v>
      </c>
      <c r="W41">
        <f t="shared" si="9"/>
        <v>-0.38971399999999962</v>
      </c>
    </row>
    <row r="42" spans="1:23" x14ac:dyDescent="0.3">
      <c r="A42">
        <v>3.8871364499999999</v>
      </c>
      <c r="B42">
        <v>0.39578999999999998</v>
      </c>
      <c r="C42">
        <f t="shared" si="1"/>
        <v>1.5384897355454998</v>
      </c>
      <c r="D42">
        <v>1.9800000000000002E-2</v>
      </c>
      <c r="E42">
        <v>4.1920000000000004E-3</v>
      </c>
      <c r="F42">
        <f t="shared" si="2"/>
        <v>777.42728999999997</v>
      </c>
      <c r="G42">
        <f t="shared" si="3"/>
        <v>-0.39578999999999998</v>
      </c>
      <c r="H42">
        <f t="shared" si="4"/>
        <v>-307.69794710909997</v>
      </c>
      <c r="I42">
        <v>1</v>
      </c>
      <c r="J42">
        <f t="shared" si="5"/>
        <v>-0.25176515698668667</v>
      </c>
      <c r="K42">
        <f t="shared" si="6"/>
        <v>-0.78412057297601201</v>
      </c>
      <c r="L42">
        <v>1</v>
      </c>
      <c r="M42">
        <f t="shared" si="7"/>
        <v>0.47250365235459812</v>
      </c>
      <c r="N42">
        <f t="shared" si="13"/>
        <v>7.6965301710000003E-2</v>
      </c>
      <c r="O42">
        <f t="shared" si="11"/>
        <v>1.6294875998400002E-2</v>
      </c>
      <c r="P42">
        <f t="shared" si="12"/>
        <v>0.21835674291301388</v>
      </c>
      <c r="V42">
        <v>-2.2000000000000099</v>
      </c>
      <c r="W42">
        <f t="shared" si="9"/>
        <v>-0.39375599999999961</v>
      </c>
    </row>
    <row r="43" spans="1:23" x14ac:dyDescent="0.3">
      <c r="A43">
        <v>3.984432</v>
      </c>
      <c r="B43">
        <v>0.38424999999999998</v>
      </c>
      <c r="C43">
        <f t="shared" si="1"/>
        <v>1.5310179959999999</v>
      </c>
      <c r="D43">
        <v>1.9800000000000002E-2</v>
      </c>
      <c r="E43">
        <v>4.1920000000000004E-3</v>
      </c>
      <c r="F43">
        <f t="shared" si="2"/>
        <v>796.88639999999998</v>
      </c>
      <c r="G43">
        <f t="shared" si="3"/>
        <v>-0.38424999999999998</v>
      </c>
      <c r="H43">
        <f t="shared" si="4"/>
        <v>-306.20359919999999</v>
      </c>
      <c r="I43">
        <v>1</v>
      </c>
      <c r="J43">
        <f t="shared" si="5"/>
        <v>-0.22704314485532132</v>
      </c>
      <c r="K43">
        <f t="shared" si="6"/>
        <v>-0.795660572976012</v>
      </c>
      <c r="L43">
        <v>1</v>
      </c>
      <c r="M43">
        <f t="shared" si="7"/>
        <v>0.47350291608494793</v>
      </c>
      <c r="N43">
        <f t="shared" si="13"/>
        <v>7.8891753600000003E-2</v>
      </c>
      <c r="O43">
        <f t="shared" si="11"/>
        <v>1.6702738944000001E-2</v>
      </c>
      <c r="P43">
        <f t="shared" si="12"/>
        <v>0.22656316434706406</v>
      </c>
      <c r="V43">
        <v>-2.1000000000000099</v>
      </c>
      <c r="W43">
        <f t="shared" si="9"/>
        <v>-0.3977979999999996</v>
      </c>
    </row>
    <row r="44" spans="1:23" x14ac:dyDescent="0.3">
      <c r="A44">
        <v>4.0853309500000003</v>
      </c>
      <c r="B44">
        <v>0.37222</v>
      </c>
      <c r="C44">
        <f t="shared" si="1"/>
        <v>1.5206418862090001</v>
      </c>
      <c r="D44">
        <v>1.9800000000000002E-2</v>
      </c>
      <c r="E44">
        <v>4.1920000000000004E-3</v>
      </c>
      <c r="F44">
        <f t="shared" si="2"/>
        <v>817.06619000000012</v>
      </c>
      <c r="G44">
        <f t="shared" si="3"/>
        <v>-0.37222</v>
      </c>
      <c r="H44">
        <f t="shared" si="4"/>
        <v>-304.12837724180002</v>
      </c>
      <c r="I44">
        <v>1</v>
      </c>
      <c r="J44">
        <f t="shared" si="5"/>
        <v>-0.20203517149187306</v>
      </c>
      <c r="K44">
        <f t="shared" si="6"/>
        <v>-0.80769057297601199</v>
      </c>
      <c r="L44">
        <v>1</v>
      </c>
      <c r="M44">
        <f t="shared" si="7"/>
        <v>0.47451373836829847</v>
      </c>
      <c r="N44">
        <f t="shared" si="13"/>
        <v>8.0889552810000015E-2</v>
      </c>
      <c r="O44">
        <f t="shared" si="11"/>
        <v>1.7125707342400005E-2</v>
      </c>
      <c r="P44">
        <f t="shared" si="12"/>
        <v>0.23516157445531352</v>
      </c>
      <c r="V44">
        <v>-2.0000000000000102</v>
      </c>
      <c r="W44">
        <f t="shared" si="9"/>
        <v>-0.40183999999999959</v>
      </c>
    </row>
    <row r="45" spans="1:23" x14ac:dyDescent="0.3">
      <c r="A45">
        <v>4.1847892</v>
      </c>
      <c r="B45">
        <v>0.35981000000000002</v>
      </c>
      <c r="C45">
        <f t="shared" si="1"/>
        <v>1.505729002052</v>
      </c>
      <c r="D45">
        <v>1.9800000000000002E-2</v>
      </c>
      <c r="E45">
        <v>4.1920000000000004E-3</v>
      </c>
      <c r="F45">
        <f t="shared" si="2"/>
        <v>836.95784000000003</v>
      </c>
      <c r="G45">
        <f t="shared" si="3"/>
        <v>-0.35981000000000002</v>
      </c>
      <c r="H45">
        <f t="shared" si="4"/>
        <v>-301.1458004104</v>
      </c>
      <c r="I45">
        <v>1</v>
      </c>
      <c r="J45">
        <f t="shared" si="5"/>
        <v>-0.17798158013166174</v>
      </c>
      <c r="K45">
        <f t="shared" si="6"/>
        <v>-0.82010057297601202</v>
      </c>
      <c r="L45">
        <v>1</v>
      </c>
      <c r="M45">
        <f t="shared" si="7"/>
        <v>0.47548598453107821</v>
      </c>
      <c r="N45">
        <f t="shared" si="13"/>
        <v>8.285882616000001E-2</v>
      </c>
      <c r="O45">
        <f t="shared" si="11"/>
        <v>1.7542636326400001E-2</v>
      </c>
      <c r="P45">
        <f t="shared" si="12"/>
        <v>0.24421312595853381</v>
      </c>
      <c r="V45">
        <v>-1.9000000000000099</v>
      </c>
      <c r="W45">
        <f t="shared" si="9"/>
        <v>-0.40588199999999963</v>
      </c>
    </row>
    <row r="46" spans="1:23" x14ac:dyDescent="0.3">
      <c r="A46">
        <v>4.2842469000000003</v>
      </c>
      <c r="B46">
        <v>0.34723999999999999</v>
      </c>
      <c r="C46">
        <f t="shared" si="1"/>
        <v>1.487661893556</v>
      </c>
      <c r="D46">
        <v>1.9800000000000002E-2</v>
      </c>
      <c r="E46">
        <v>4.1920000000000004E-3</v>
      </c>
      <c r="F46">
        <f t="shared" si="2"/>
        <v>856.84938000000011</v>
      </c>
      <c r="G46">
        <f t="shared" si="3"/>
        <v>-0.34723999999999999</v>
      </c>
      <c r="H46">
        <f t="shared" si="4"/>
        <v>-297.53237871120001</v>
      </c>
      <c r="I46">
        <v>1</v>
      </c>
      <c r="J46">
        <f t="shared" si="5"/>
        <v>-0.15449312845609722</v>
      </c>
      <c r="K46">
        <f t="shared" si="6"/>
        <v>-0.83267057297601199</v>
      </c>
      <c r="L46">
        <v>1</v>
      </c>
      <c r="M46">
        <f t="shared" si="7"/>
        <v>0.47643538774780453</v>
      </c>
      <c r="N46">
        <f t="shared" si="13"/>
        <v>8.4828088620000019E-2</v>
      </c>
      <c r="O46">
        <f t="shared" si="11"/>
        <v>1.7959563004800002E-2</v>
      </c>
      <c r="P46">
        <f t="shared" si="12"/>
        <v>0.25344753360340744</v>
      </c>
      <c r="V46">
        <v>-1.80000000000001</v>
      </c>
      <c r="W46">
        <f t="shared" si="9"/>
        <v>-0.40992399999999962</v>
      </c>
    </row>
    <row r="47" spans="1:23" x14ac:dyDescent="0.3">
      <c r="A47">
        <v>4.3837046500000003</v>
      </c>
      <c r="B47">
        <v>0.33432000000000001</v>
      </c>
      <c r="C47">
        <f t="shared" si="1"/>
        <v>1.4655601385880002</v>
      </c>
      <c r="D47">
        <v>1.9800000000000002E-2</v>
      </c>
      <c r="E47">
        <v>4.1920000000000004E-3</v>
      </c>
      <c r="F47">
        <f t="shared" si="2"/>
        <v>876.74093000000005</v>
      </c>
      <c r="G47">
        <f t="shared" si="3"/>
        <v>-0.33432000000000001</v>
      </c>
      <c r="H47">
        <f t="shared" si="4"/>
        <v>-293.11202771760003</v>
      </c>
      <c r="I47">
        <v>1</v>
      </c>
      <c r="J47">
        <f t="shared" si="5"/>
        <v>-0.13154373503959685</v>
      </c>
      <c r="K47">
        <f t="shared" si="6"/>
        <v>-0.84559057297601203</v>
      </c>
      <c r="L47">
        <v>1</v>
      </c>
      <c r="M47">
        <f t="shared" si="7"/>
        <v>0.47736300222969952</v>
      </c>
      <c r="N47">
        <f t="shared" si="13"/>
        <v>8.6797352070000014E-2</v>
      </c>
      <c r="O47">
        <f t="shared" si="11"/>
        <v>1.8376489892800003E-2</v>
      </c>
      <c r="P47">
        <f t="shared" si="12"/>
        <v>0.26305372878351252</v>
      </c>
      <c r="V47">
        <v>-1.7000000000000199</v>
      </c>
      <c r="W47">
        <f t="shared" si="9"/>
        <v>-0.41396599999999917</v>
      </c>
    </row>
    <row r="48" spans="1:23" x14ac:dyDescent="0.3">
      <c r="A48">
        <v>4.4824414499999996</v>
      </c>
      <c r="B48">
        <v>0.32099</v>
      </c>
      <c r="C48">
        <f t="shared" si="1"/>
        <v>1.4388188810354998</v>
      </c>
      <c r="D48">
        <v>1.9800000000000002E-2</v>
      </c>
      <c r="E48">
        <v>4.1920000000000004E-3</v>
      </c>
      <c r="F48">
        <f t="shared" si="2"/>
        <v>896.48828999999989</v>
      </c>
      <c r="G48">
        <f t="shared" si="3"/>
        <v>-0.32099</v>
      </c>
      <c r="H48">
        <f t="shared" si="4"/>
        <v>-287.76377620709997</v>
      </c>
      <c r="I48">
        <v>1</v>
      </c>
      <c r="J48">
        <f t="shared" si="5"/>
        <v>-0.10927004792967483</v>
      </c>
      <c r="K48">
        <f t="shared" si="6"/>
        <v>-0.85892057297601199</v>
      </c>
      <c r="L48">
        <v>1</v>
      </c>
      <c r="M48">
        <f t="shared" si="7"/>
        <v>0.47826330466268252</v>
      </c>
      <c r="N48">
        <f t="shared" si="13"/>
        <v>8.8752340710000002E-2</v>
      </c>
      <c r="O48">
        <f t="shared" si="11"/>
        <v>1.8790394558400002E-2</v>
      </c>
      <c r="P48">
        <f t="shared" si="12"/>
        <v>0.2731145330449295</v>
      </c>
      <c r="V48">
        <v>-1.6000000000000201</v>
      </c>
      <c r="W48">
        <f t="shared" si="9"/>
        <v>-0.41800799999999916</v>
      </c>
    </row>
    <row r="49" spans="1:23" x14ac:dyDescent="0.3">
      <c r="A49">
        <v>4.5840616000000001</v>
      </c>
      <c r="B49">
        <v>0.30717</v>
      </c>
      <c r="C49">
        <f t="shared" si="1"/>
        <v>1.4080862016719999</v>
      </c>
      <c r="D49">
        <v>1.9800000000000002E-2</v>
      </c>
      <c r="E49">
        <v>4.1920000000000004E-3</v>
      </c>
      <c r="F49">
        <f t="shared" si="2"/>
        <v>916.81232</v>
      </c>
      <c r="G49">
        <f t="shared" si="3"/>
        <v>-0.30717</v>
      </c>
      <c r="H49">
        <f t="shared" si="4"/>
        <v>-281.61724033439998</v>
      </c>
      <c r="I49">
        <v>1</v>
      </c>
      <c r="J49">
        <f t="shared" si="5"/>
        <v>-8.6852495066576427E-2</v>
      </c>
      <c r="K49">
        <f t="shared" si="6"/>
        <v>-0.87274057297601204</v>
      </c>
      <c r="L49">
        <v>1</v>
      </c>
      <c r="M49">
        <f t="shared" si="7"/>
        <v>0.479169422149409</v>
      </c>
      <c r="N49">
        <f t="shared" si="13"/>
        <v>9.0764419680000014E-2</v>
      </c>
      <c r="O49">
        <f t="shared" si="11"/>
        <v>1.9216386227200004E-2</v>
      </c>
      <c r="P49">
        <f t="shared" si="12"/>
        <v>0.28359034491940305</v>
      </c>
      <c r="V49">
        <v>-1.50000000000002</v>
      </c>
      <c r="W49">
        <f t="shared" si="9"/>
        <v>-0.4220499999999992</v>
      </c>
    </row>
    <row r="50" spans="1:23" x14ac:dyDescent="0.3">
      <c r="A50">
        <v>4.6827983999999994</v>
      </c>
      <c r="B50">
        <v>0.29266999999999999</v>
      </c>
      <c r="C50">
        <f t="shared" si="1"/>
        <v>1.3705146077279997</v>
      </c>
      <c r="D50">
        <v>1.9800000000000002E-2</v>
      </c>
      <c r="E50">
        <v>4.1920000000000004E-3</v>
      </c>
      <c r="F50">
        <f t="shared" si="2"/>
        <v>936.55967999999984</v>
      </c>
      <c r="G50">
        <f t="shared" si="3"/>
        <v>-0.29266999999999999</v>
      </c>
      <c r="H50">
        <f t="shared" si="4"/>
        <v>-274.10292154559994</v>
      </c>
      <c r="I50">
        <v>1</v>
      </c>
      <c r="J50">
        <f t="shared" si="5"/>
        <v>-6.5542032486698931E-2</v>
      </c>
      <c r="K50">
        <f t="shared" si="6"/>
        <v>-0.887240572976012</v>
      </c>
      <c r="L50">
        <v>1</v>
      </c>
      <c r="M50">
        <f t="shared" si="7"/>
        <v>0.48003079104688762</v>
      </c>
      <c r="N50">
        <f t="shared" si="13"/>
        <v>9.2719408320000002E-2</v>
      </c>
      <c r="O50">
        <f t="shared" si="11"/>
        <v>1.9630290892799999E-2</v>
      </c>
      <c r="P50">
        <f t="shared" si="12"/>
        <v>0.29486008271632436</v>
      </c>
      <c r="V50">
        <v>-1.4000000000000199</v>
      </c>
      <c r="W50">
        <f t="shared" si="9"/>
        <v>-0.42609199999999919</v>
      </c>
    </row>
    <row r="51" spans="1:23" x14ac:dyDescent="0.3">
      <c r="A51">
        <v>4.7829771000000001</v>
      </c>
      <c r="B51">
        <v>0.27776000000000001</v>
      </c>
      <c r="C51">
        <f t="shared" si="1"/>
        <v>1.3285197192960001</v>
      </c>
      <c r="D51">
        <v>1.9800000000000002E-2</v>
      </c>
      <c r="E51">
        <v>4.1920000000000004E-3</v>
      </c>
      <c r="F51">
        <f t="shared" si="2"/>
        <v>956.59541999999999</v>
      </c>
      <c r="G51">
        <f t="shared" si="3"/>
        <v>-0.27776000000000001</v>
      </c>
      <c r="H51">
        <f t="shared" si="4"/>
        <v>-265.70394385920002</v>
      </c>
      <c r="I51">
        <v>1</v>
      </c>
      <c r="J51">
        <f t="shared" si="5"/>
        <v>-4.4374735537491966E-2</v>
      </c>
      <c r="K51">
        <f t="shared" si="6"/>
        <v>-0.90215057297601198</v>
      </c>
      <c r="L51">
        <v>1</v>
      </c>
      <c r="M51">
        <f t="shared" si="7"/>
        <v>0.48088637318957456</v>
      </c>
      <c r="N51">
        <f t="shared" si="13"/>
        <v>9.4702946580000016E-2</v>
      </c>
      <c r="O51">
        <f t="shared" si="11"/>
        <v>2.0050240003200003E-2</v>
      </c>
      <c r="P51">
        <f t="shared" si="12"/>
        <v>0.30651101320323743</v>
      </c>
      <c r="V51">
        <v>-1.30000000000002</v>
      </c>
      <c r="W51">
        <f t="shared" si="9"/>
        <v>-0.43013399999999918</v>
      </c>
    </row>
    <row r="52" spans="1:23" x14ac:dyDescent="0.3">
      <c r="A52">
        <v>4.88315535</v>
      </c>
      <c r="B52">
        <v>0.26296999999999998</v>
      </c>
      <c r="C52">
        <f t="shared" si="1"/>
        <v>1.2841233623894999</v>
      </c>
      <c r="D52">
        <v>1.9800000000000002E-2</v>
      </c>
      <c r="E52">
        <v>4.1920000000000004E-3</v>
      </c>
      <c r="F52">
        <f t="shared" si="2"/>
        <v>976.63107000000002</v>
      </c>
      <c r="G52">
        <f t="shared" si="3"/>
        <v>-0.26296999999999998</v>
      </c>
      <c r="H52">
        <f t="shared" si="4"/>
        <v>-256.82467247789998</v>
      </c>
      <c r="I52">
        <v>1</v>
      </c>
      <c r="J52">
        <f t="shared" si="5"/>
        <v>-2.3646313402321466E-2</v>
      </c>
      <c r="K52">
        <f t="shared" si="6"/>
        <v>-0.91694057297601206</v>
      </c>
      <c r="L52">
        <v>1</v>
      </c>
      <c r="M52">
        <f t="shared" si="7"/>
        <v>0.48172421601227816</v>
      </c>
      <c r="N52">
        <f t="shared" si="13"/>
        <v>9.6686475930000002E-2</v>
      </c>
      <c r="O52">
        <f t="shared" si="11"/>
        <v>2.0470187227200003E-2</v>
      </c>
      <c r="P52">
        <f t="shared" si="12"/>
        <v>0.31805969380653387</v>
      </c>
      <c r="V52">
        <v>-1.2000000000000199</v>
      </c>
      <c r="W52">
        <f t="shared" si="9"/>
        <v>-0.43417599999999917</v>
      </c>
    </row>
    <row r="53" spans="1:23" x14ac:dyDescent="0.3">
      <c r="A53">
        <v>4.9818926000000001</v>
      </c>
      <c r="B53">
        <v>0.24976000000000001</v>
      </c>
      <c r="C53">
        <f t="shared" si="1"/>
        <v>1.2442774957760001</v>
      </c>
      <c r="D53">
        <v>1.9800000000000002E-2</v>
      </c>
      <c r="E53">
        <v>4.1920000000000004E-3</v>
      </c>
      <c r="F53">
        <f t="shared" si="2"/>
        <v>996.37851999999998</v>
      </c>
      <c r="G53">
        <f t="shared" si="3"/>
        <v>-0.24976000000000001</v>
      </c>
      <c r="H53">
        <f t="shared" si="4"/>
        <v>-248.85549915520002</v>
      </c>
      <c r="I53">
        <v>1</v>
      </c>
      <c r="J53">
        <f t="shared" si="5"/>
        <v>-3.6280534338669116E-3</v>
      </c>
      <c r="K53">
        <f t="shared" si="6"/>
        <v>-0.930150572976012</v>
      </c>
      <c r="L53">
        <v>1</v>
      </c>
      <c r="M53">
        <f t="shared" si="7"/>
        <v>0.48253335408020309</v>
      </c>
      <c r="N53">
        <f t="shared" si="13"/>
        <v>9.8641473480000005E-2</v>
      </c>
      <c r="O53">
        <f t="shared" si="11"/>
        <v>2.0884093779200003E-2</v>
      </c>
      <c r="P53">
        <f t="shared" si="12"/>
        <v>0.32809165163660892</v>
      </c>
      <c r="V53">
        <v>-1.1000000000000201</v>
      </c>
      <c r="W53">
        <f t="shared" si="9"/>
        <v>-0.43821799999999922</v>
      </c>
    </row>
    <row r="54" spans="1:23" x14ac:dyDescent="0.3">
      <c r="C54">
        <f t="shared" si="1"/>
        <v>0</v>
      </c>
      <c r="D54">
        <v>1.9800000000000002E-2</v>
      </c>
      <c r="E54">
        <v>4.1920000000000004E-3</v>
      </c>
      <c r="F54">
        <f t="shared" si="2"/>
        <v>0</v>
      </c>
      <c r="G54">
        <f t="shared" si="3"/>
        <v>0</v>
      </c>
      <c r="H54">
        <f t="shared" si="4"/>
        <v>0</v>
      </c>
      <c r="I54">
        <v>1</v>
      </c>
      <c r="J54" t="e">
        <f t="shared" si="5"/>
        <v>#NUM!</v>
      </c>
      <c r="K54">
        <f t="shared" si="6"/>
        <v>-1.179910572976012</v>
      </c>
      <c r="L54">
        <v>1</v>
      </c>
      <c r="M54" t="e">
        <f t="shared" si="7"/>
        <v>#NUM!</v>
      </c>
      <c r="N54">
        <f t="shared" si="13"/>
        <v>0</v>
      </c>
      <c r="O54">
        <f t="shared" si="11"/>
        <v>0</v>
      </c>
      <c r="P54" t="e">
        <f t="shared" si="12"/>
        <v>#NUM!</v>
      </c>
      <c r="V54">
        <v>-1.00000000000002</v>
      </c>
      <c r="W54">
        <f t="shared" si="9"/>
        <v>-0.44225999999999921</v>
      </c>
    </row>
    <row r="55" spans="1:23" x14ac:dyDescent="0.3">
      <c r="C55">
        <f t="shared" si="1"/>
        <v>0</v>
      </c>
      <c r="D55">
        <v>1.9800000000000002E-2</v>
      </c>
      <c r="E55">
        <v>4.1920000000000004E-3</v>
      </c>
      <c r="F55">
        <f t="shared" si="2"/>
        <v>0</v>
      </c>
      <c r="G55">
        <f t="shared" si="3"/>
        <v>0</v>
      </c>
      <c r="H55">
        <f t="shared" si="4"/>
        <v>0</v>
      </c>
      <c r="I55">
        <v>1</v>
      </c>
      <c r="J55" t="e">
        <f t="shared" si="5"/>
        <v>#NUM!</v>
      </c>
      <c r="K55">
        <f t="shared" si="6"/>
        <v>-1.179910572976012</v>
      </c>
      <c r="L55">
        <v>1</v>
      </c>
      <c r="M55" t="e">
        <f t="shared" si="7"/>
        <v>#NUM!</v>
      </c>
      <c r="N55">
        <f t="shared" si="13"/>
        <v>0</v>
      </c>
      <c r="O55">
        <f t="shared" si="11"/>
        <v>0</v>
      </c>
      <c r="P55" t="e">
        <f t="shared" si="12"/>
        <v>#NUM!</v>
      </c>
      <c r="V55">
        <v>-0.90000000000002001</v>
      </c>
      <c r="W55">
        <f t="shared" si="9"/>
        <v>-0.4463019999999992</v>
      </c>
    </row>
    <row r="56" spans="1:23" x14ac:dyDescent="0.3">
      <c r="C56">
        <f t="shared" si="1"/>
        <v>0</v>
      </c>
      <c r="D56">
        <v>1.9800000000000002E-2</v>
      </c>
      <c r="E56">
        <v>4.1920000000000004E-3</v>
      </c>
      <c r="F56">
        <f t="shared" si="2"/>
        <v>0</v>
      </c>
      <c r="G56">
        <f t="shared" si="3"/>
        <v>0</v>
      </c>
      <c r="H56">
        <f t="shared" si="4"/>
        <v>0</v>
      </c>
      <c r="I56">
        <v>1</v>
      </c>
      <c r="J56" t="e">
        <f t="shared" si="5"/>
        <v>#NUM!</v>
      </c>
      <c r="K56">
        <f t="shared" si="6"/>
        <v>-1.179910572976012</v>
      </c>
      <c r="L56">
        <v>1</v>
      </c>
      <c r="M56" t="e">
        <f t="shared" si="7"/>
        <v>#NUM!</v>
      </c>
      <c r="N56">
        <f t="shared" si="13"/>
        <v>0</v>
      </c>
      <c r="O56">
        <f t="shared" si="11"/>
        <v>0</v>
      </c>
      <c r="P56" t="e">
        <f t="shared" si="12"/>
        <v>#NUM!</v>
      </c>
      <c r="V56">
        <v>-0.80000000000002003</v>
      </c>
      <c r="W56">
        <f t="shared" si="9"/>
        <v>-0.45034399999999919</v>
      </c>
    </row>
    <row r="57" spans="1:23" x14ac:dyDescent="0.3">
      <c r="C57">
        <f t="shared" si="1"/>
        <v>0</v>
      </c>
      <c r="D57">
        <v>1.9800000000000002E-2</v>
      </c>
      <c r="E57">
        <v>4.1920000000000004E-3</v>
      </c>
      <c r="F57">
        <f t="shared" si="2"/>
        <v>0</v>
      </c>
      <c r="G57">
        <f t="shared" si="3"/>
        <v>0</v>
      </c>
      <c r="H57">
        <f t="shared" si="4"/>
        <v>0</v>
      </c>
      <c r="I57">
        <v>1</v>
      </c>
      <c r="J57" t="e">
        <f t="shared" si="5"/>
        <v>#NUM!</v>
      </c>
      <c r="K57">
        <f t="shared" si="6"/>
        <v>-1.179910572976012</v>
      </c>
      <c r="L57">
        <v>1</v>
      </c>
      <c r="M57" t="e">
        <f t="shared" si="7"/>
        <v>#NUM!</v>
      </c>
      <c r="N57">
        <f t="shared" si="13"/>
        <v>0</v>
      </c>
      <c r="O57">
        <f t="shared" si="11"/>
        <v>0</v>
      </c>
      <c r="P57" t="e">
        <f t="shared" si="12"/>
        <v>#NUM!</v>
      </c>
      <c r="V57">
        <v>-0.70000000000002005</v>
      </c>
      <c r="W57">
        <f t="shared" si="9"/>
        <v>-0.45438599999999918</v>
      </c>
    </row>
    <row r="58" spans="1:23" x14ac:dyDescent="0.3">
      <c r="C58">
        <f t="shared" si="1"/>
        <v>0</v>
      </c>
      <c r="D58">
        <v>1.9800000000000002E-2</v>
      </c>
      <c r="E58">
        <v>4.1920000000000004E-3</v>
      </c>
      <c r="F58">
        <f t="shared" si="2"/>
        <v>0</v>
      </c>
      <c r="G58">
        <f t="shared" si="3"/>
        <v>0</v>
      </c>
      <c r="H58">
        <f t="shared" si="4"/>
        <v>0</v>
      </c>
      <c r="I58">
        <v>1</v>
      </c>
      <c r="J58" t="e">
        <f t="shared" si="5"/>
        <v>#NUM!</v>
      </c>
      <c r="K58">
        <f t="shared" si="6"/>
        <v>-1.179910572976012</v>
      </c>
      <c r="L58">
        <v>1</v>
      </c>
      <c r="M58" t="e">
        <f t="shared" si="7"/>
        <v>#NUM!</v>
      </c>
      <c r="N58">
        <f t="shared" si="13"/>
        <v>0</v>
      </c>
      <c r="O58">
        <f t="shared" si="11"/>
        <v>0</v>
      </c>
      <c r="P58" t="e">
        <f t="shared" si="12"/>
        <v>#NUM!</v>
      </c>
      <c r="V58">
        <v>-0.60000000000001996</v>
      </c>
      <c r="W58">
        <f t="shared" si="9"/>
        <v>-0.45842799999999917</v>
      </c>
    </row>
    <row r="59" spans="1:23" x14ac:dyDescent="0.3">
      <c r="C59">
        <f t="shared" si="1"/>
        <v>0</v>
      </c>
      <c r="D59">
        <v>1.9800000000000002E-2</v>
      </c>
      <c r="E59">
        <v>4.1920000000000004E-3</v>
      </c>
      <c r="F59">
        <f t="shared" si="2"/>
        <v>0</v>
      </c>
      <c r="G59">
        <f t="shared" si="3"/>
        <v>0</v>
      </c>
      <c r="H59">
        <f t="shared" si="4"/>
        <v>0</v>
      </c>
      <c r="I59">
        <v>1</v>
      </c>
      <c r="J59" t="e">
        <f t="shared" si="5"/>
        <v>#NUM!</v>
      </c>
      <c r="K59">
        <f t="shared" si="6"/>
        <v>-1.179910572976012</v>
      </c>
      <c r="L59">
        <v>1</v>
      </c>
      <c r="M59" t="e">
        <f t="shared" si="7"/>
        <v>#NUM!</v>
      </c>
      <c r="N59">
        <f t="shared" si="13"/>
        <v>0</v>
      </c>
      <c r="O59">
        <f t="shared" si="11"/>
        <v>0</v>
      </c>
      <c r="P59" t="e">
        <f t="shared" si="12"/>
        <v>#NUM!</v>
      </c>
      <c r="V59">
        <v>-0.50000000000001998</v>
      </c>
      <c r="W59">
        <f t="shared" si="9"/>
        <v>-0.46246999999999922</v>
      </c>
    </row>
    <row r="60" spans="1:23" x14ac:dyDescent="0.3">
      <c r="C60">
        <f t="shared" si="1"/>
        <v>0</v>
      </c>
      <c r="D60">
        <v>1.9800000000000002E-2</v>
      </c>
      <c r="E60">
        <v>4.1920000000000004E-3</v>
      </c>
      <c r="F60">
        <f t="shared" si="2"/>
        <v>0</v>
      </c>
      <c r="G60">
        <f t="shared" si="3"/>
        <v>0</v>
      </c>
      <c r="H60">
        <f t="shared" si="4"/>
        <v>0</v>
      </c>
      <c r="I60">
        <v>1</v>
      </c>
      <c r="J60" t="e">
        <f t="shared" si="5"/>
        <v>#NUM!</v>
      </c>
      <c r="K60">
        <f t="shared" si="6"/>
        <v>-1.179910572976012</v>
      </c>
      <c r="L60">
        <v>1</v>
      </c>
      <c r="M60" t="e">
        <f t="shared" si="7"/>
        <v>#NUM!</v>
      </c>
      <c r="N60">
        <f t="shared" si="13"/>
        <v>0</v>
      </c>
      <c r="O60">
        <f t="shared" si="11"/>
        <v>0</v>
      </c>
      <c r="P60" t="e">
        <f t="shared" si="12"/>
        <v>#NUM!</v>
      </c>
      <c r="V60">
        <v>-0.40000000000002001</v>
      </c>
      <c r="W60">
        <f t="shared" si="9"/>
        <v>-0.46651199999999921</v>
      </c>
    </row>
    <row r="61" spans="1:23" x14ac:dyDescent="0.3">
      <c r="C61">
        <f t="shared" si="1"/>
        <v>0</v>
      </c>
      <c r="D61">
        <v>1.9800000000000002E-2</v>
      </c>
      <c r="E61">
        <v>4.1920000000000004E-3</v>
      </c>
      <c r="F61">
        <f t="shared" si="2"/>
        <v>0</v>
      </c>
      <c r="G61">
        <f t="shared" si="3"/>
        <v>0</v>
      </c>
      <c r="H61">
        <f t="shared" si="4"/>
        <v>0</v>
      </c>
      <c r="I61">
        <v>1</v>
      </c>
      <c r="J61" t="e">
        <f t="shared" si="5"/>
        <v>#NUM!</v>
      </c>
      <c r="K61">
        <f t="shared" si="6"/>
        <v>-1.179910572976012</v>
      </c>
      <c r="L61">
        <v>1</v>
      </c>
      <c r="M61" t="e">
        <f t="shared" si="7"/>
        <v>#NUM!</v>
      </c>
      <c r="N61">
        <f t="shared" si="13"/>
        <v>0</v>
      </c>
      <c r="O61">
        <f t="shared" si="11"/>
        <v>0</v>
      </c>
      <c r="P61" t="e">
        <f t="shared" si="12"/>
        <v>#NUM!</v>
      </c>
      <c r="V61">
        <v>-0.30000000000001997</v>
      </c>
      <c r="W61">
        <f t="shared" si="9"/>
        <v>-0.4705539999999992</v>
      </c>
    </row>
    <row r="62" spans="1:23" x14ac:dyDescent="0.3">
      <c r="C62">
        <f t="shared" si="1"/>
        <v>0</v>
      </c>
      <c r="D62">
        <v>1.9800000000000002E-2</v>
      </c>
      <c r="E62">
        <v>4.1920000000000004E-3</v>
      </c>
      <c r="F62">
        <f t="shared" si="2"/>
        <v>0</v>
      </c>
      <c r="G62">
        <f t="shared" si="3"/>
        <v>0</v>
      </c>
      <c r="H62">
        <f t="shared" si="4"/>
        <v>0</v>
      </c>
      <c r="I62">
        <v>1</v>
      </c>
      <c r="J62" t="e">
        <f t="shared" si="5"/>
        <v>#NUM!</v>
      </c>
      <c r="K62">
        <f t="shared" si="6"/>
        <v>-1.179910572976012</v>
      </c>
      <c r="L62">
        <v>1</v>
      </c>
      <c r="M62" t="e">
        <f t="shared" si="7"/>
        <v>#NUM!</v>
      </c>
      <c r="N62">
        <f t="shared" si="13"/>
        <v>0</v>
      </c>
      <c r="O62">
        <f t="shared" si="11"/>
        <v>0</v>
      </c>
      <c r="P62" t="e">
        <f t="shared" si="12"/>
        <v>#NUM!</v>
      </c>
      <c r="V62">
        <v>-0.20000000000002</v>
      </c>
      <c r="W62">
        <f t="shared" si="9"/>
        <v>-0.47459599999999919</v>
      </c>
    </row>
    <row r="63" spans="1:23" x14ac:dyDescent="0.3">
      <c r="C63">
        <f t="shared" si="1"/>
        <v>0</v>
      </c>
      <c r="D63">
        <v>1.9800000000000002E-2</v>
      </c>
      <c r="E63">
        <v>4.1920000000000004E-3</v>
      </c>
      <c r="F63">
        <f t="shared" si="2"/>
        <v>0</v>
      </c>
      <c r="G63">
        <f t="shared" si="3"/>
        <v>0</v>
      </c>
      <c r="H63">
        <f t="shared" si="4"/>
        <v>0</v>
      </c>
      <c r="I63">
        <v>1</v>
      </c>
      <c r="J63" t="e">
        <f t="shared" si="5"/>
        <v>#NUM!</v>
      </c>
      <c r="K63">
        <f t="shared" si="6"/>
        <v>-1.179910572976012</v>
      </c>
      <c r="L63">
        <v>1</v>
      </c>
      <c r="M63" t="e">
        <f t="shared" si="7"/>
        <v>#NUM!</v>
      </c>
      <c r="N63">
        <f t="shared" si="13"/>
        <v>0</v>
      </c>
      <c r="O63">
        <f t="shared" si="11"/>
        <v>0</v>
      </c>
      <c r="P63" t="e">
        <f t="shared" si="12"/>
        <v>#NUM!</v>
      </c>
      <c r="V63">
        <v>-0.10000000000002</v>
      </c>
      <c r="W63">
        <f t="shared" si="9"/>
        <v>-0.47863799999999918</v>
      </c>
    </row>
    <row r="64" spans="1:23" x14ac:dyDescent="0.3">
      <c r="C64">
        <f t="shared" si="1"/>
        <v>0</v>
      </c>
      <c r="D64">
        <v>1.9800000000000002E-2</v>
      </c>
      <c r="E64">
        <v>4.1920000000000004E-3</v>
      </c>
      <c r="F64">
        <f t="shared" si="2"/>
        <v>0</v>
      </c>
      <c r="G64">
        <f t="shared" si="3"/>
        <v>0</v>
      </c>
      <c r="H64">
        <f t="shared" si="4"/>
        <v>0</v>
      </c>
      <c r="I64">
        <v>1</v>
      </c>
      <c r="J64" t="e">
        <f t="shared" si="5"/>
        <v>#NUM!</v>
      </c>
      <c r="K64">
        <f t="shared" si="6"/>
        <v>-1.179910572976012</v>
      </c>
      <c r="L64">
        <v>1</v>
      </c>
      <c r="M64" t="e">
        <f t="shared" si="7"/>
        <v>#NUM!</v>
      </c>
      <c r="N64">
        <f t="shared" si="13"/>
        <v>0</v>
      </c>
      <c r="O64">
        <f t="shared" si="11"/>
        <v>0</v>
      </c>
      <c r="P64" t="e">
        <f t="shared" si="12"/>
        <v>#NUM!</v>
      </c>
      <c r="V64">
        <v>-2.0428103653102899E-14</v>
      </c>
      <c r="W64">
        <f t="shared" si="9"/>
        <v>-0.48267999999999917</v>
      </c>
    </row>
    <row r="65" spans="3:23" x14ac:dyDescent="0.3">
      <c r="C65">
        <f t="shared" si="1"/>
        <v>0</v>
      </c>
      <c r="D65">
        <v>1.9800000000000002E-2</v>
      </c>
      <c r="E65">
        <v>4.1920000000000004E-3</v>
      </c>
      <c r="F65">
        <f t="shared" si="2"/>
        <v>0</v>
      </c>
      <c r="G65">
        <f t="shared" si="3"/>
        <v>0</v>
      </c>
      <c r="H65">
        <f t="shared" si="4"/>
        <v>0</v>
      </c>
      <c r="I65">
        <v>1</v>
      </c>
      <c r="J65" t="e">
        <f t="shared" si="5"/>
        <v>#NUM!</v>
      </c>
      <c r="K65">
        <f t="shared" si="6"/>
        <v>-1.179910572976012</v>
      </c>
      <c r="L65">
        <v>1</v>
      </c>
      <c r="M65" t="e">
        <f t="shared" si="7"/>
        <v>#NUM!</v>
      </c>
      <c r="N65">
        <f t="shared" si="13"/>
        <v>0</v>
      </c>
      <c r="O65">
        <f t="shared" si="11"/>
        <v>0</v>
      </c>
      <c r="P65" t="e">
        <f t="shared" si="12"/>
        <v>#NUM!</v>
      </c>
      <c r="V65">
        <v>9.9999999999980105E-2</v>
      </c>
      <c r="W65">
        <f t="shared" si="9"/>
        <v>-0.48672199999999921</v>
      </c>
    </row>
    <row r="66" spans="3:23" x14ac:dyDescent="0.3">
      <c r="C66">
        <f t="shared" si="1"/>
        <v>0</v>
      </c>
      <c r="D66">
        <v>1.9800000000000002E-2</v>
      </c>
      <c r="E66">
        <v>4.1920000000000004E-3</v>
      </c>
      <c r="F66">
        <f t="shared" si="2"/>
        <v>0</v>
      </c>
      <c r="G66">
        <f t="shared" si="3"/>
        <v>0</v>
      </c>
      <c r="H66">
        <f t="shared" si="4"/>
        <v>0</v>
      </c>
      <c r="I66">
        <v>1</v>
      </c>
      <c r="J66" t="e">
        <f t="shared" si="5"/>
        <v>#NUM!</v>
      </c>
      <c r="K66">
        <f t="shared" si="6"/>
        <v>-1.179910572976012</v>
      </c>
      <c r="L66">
        <v>1</v>
      </c>
      <c r="M66" t="e">
        <f t="shared" si="7"/>
        <v>#NUM!</v>
      </c>
      <c r="N66">
        <f t="shared" si="13"/>
        <v>0</v>
      </c>
      <c r="O66">
        <f t="shared" si="11"/>
        <v>0</v>
      </c>
      <c r="P66" t="e">
        <f t="shared" si="12"/>
        <v>#NUM!</v>
      </c>
      <c r="V66">
        <v>0.19999999999998</v>
      </c>
      <c r="W66">
        <f t="shared" si="9"/>
        <v>-0.4907639999999992</v>
      </c>
    </row>
    <row r="67" spans="3:23" x14ac:dyDescent="0.3">
      <c r="C67">
        <f t="shared" si="1"/>
        <v>0</v>
      </c>
      <c r="D67">
        <v>1.9800000000000002E-2</v>
      </c>
      <c r="E67">
        <v>4.1920000000000004E-3</v>
      </c>
      <c r="F67">
        <f t="shared" si="2"/>
        <v>0</v>
      </c>
      <c r="G67">
        <f t="shared" si="3"/>
        <v>0</v>
      </c>
      <c r="H67">
        <f t="shared" si="4"/>
        <v>0</v>
      </c>
      <c r="I67">
        <v>1</v>
      </c>
      <c r="J67" t="e">
        <f t="shared" si="5"/>
        <v>#NUM!</v>
      </c>
      <c r="K67">
        <f t="shared" si="6"/>
        <v>-1.179910572976012</v>
      </c>
      <c r="L67">
        <v>1</v>
      </c>
      <c r="M67" t="e">
        <f t="shared" si="7"/>
        <v>#NUM!</v>
      </c>
      <c r="N67">
        <f t="shared" si="13"/>
        <v>0</v>
      </c>
      <c r="O67">
        <f t="shared" si="11"/>
        <v>0</v>
      </c>
      <c r="P67" t="e">
        <f t="shared" si="12"/>
        <v>#NUM!</v>
      </c>
      <c r="V67">
        <v>0.29999999999998</v>
      </c>
      <c r="W67">
        <f t="shared" si="9"/>
        <v>-0.49480599999999919</v>
      </c>
    </row>
    <row r="68" spans="3:23" x14ac:dyDescent="0.3">
      <c r="C68">
        <f t="shared" si="1"/>
        <v>0</v>
      </c>
      <c r="D68">
        <v>1.9800000000000002E-2</v>
      </c>
      <c r="E68">
        <v>4.1920000000000004E-3</v>
      </c>
      <c r="F68">
        <f t="shared" si="2"/>
        <v>0</v>
      </c>
      <c r="G68">
        <f t="shared" si="3"/>
        <v>0</v>
      </c>
      <c r="H68">
        <f t="shared" si="4"/>
        <v>0</v>
      </c>
      <c r="I68">
        <v>1</v>
      </c>
      <c r="J68" t="e">
        <f t="shared" si="5"/>
        <v>#NUM!</v>
      </c>
      <c r="K68">
        <f t="shared" si="6"/>
        <v>-1.179910572976012</v>
      </c>
      <c r="L68">
        <v>1</v>
      </c>
      <c r="M68" t="e">
        <f t="shared" si="7"/>
        <v>#NUM!</v>
      </c>
      <c r="N68">
        <f t="shared" si="13"/>
        <v>0</v>
      </c>
      <c r="O68">
        <f t="shared" si="11"/>
        <v>0</v>
      </c>
      <c r="P68" t="e">
        <f t="shared" si="12"/>
        <v>#NUM!</v>
      </c>
      <c r="V68">
        <v>0.39999999999997998</v>
      </c>
      <c r="W68">
        <f t="shared" si="9"/>
        <v>-0.49884799999999918</v>
      </c>
    </row>
    <row r="69" spans="3:23" x14ac:dyDescent="0.3">
      <c r="C69">
        <f t="shared" ref="C69:C132" si="14">A69*B69</f>
        <v>0</v>
      </c>
      <c r="D69">
        <v>1.9800000000000002E-2</v>
      </c>
      <c r="E69">
        <v>4.1920000000000004E-3</v>
      </c>
      <c r="F69">
        <f t="shared" ref="F69:F132" si="15">A69*200</f>
        <v>0</v>
      </c>
      <c r="G69">
        <f t="shared" ref="G69:G132" si="16">-B69</f>
        <v>0</v>
      </c>
      <c r="H69">
        <f t="shared" ref="H69:H132" si="17">-C69*200</f>
        <v>0</v>
      </c>
      <c r="I69">
        <v>1</v>
      </c>
      <c r="J69" t="e">
        <f t="shared" ref="J69:J132" si="18">LN(F69/1000)</f>
        <v>#NUM!</v>
      </c>
      <c r="K69">
        <f t="shared" ref="K69:K132" si="19">((-G69)-$N$2)</f>
        <v>-1.179910572976012</v>
      </c>
      <c r="L69">
        <v>1</v>
      </c>
      <c r="M69" t="e">
        <f t="shared" ref="M69:M132" si="20">-1*($S$4+($S$5*J69))</f>
        <v>#NUM!</v>
      </c>
      <c r="N69">
        <f t="shared" si="13"/>
        <v>0</v>
      </c>
      <c r="O69">
        <f t="shared" si="11"/>
        <v>0</v>
      </c>
      <c r="P69" t="e">
        <f t="shared" si="12"/>
        <v>#NUM!</v>
      </c>
      <c r="V69">
        <v>0.49999999999998002</v>
      </c>
      <c r="W69">
        <f t="shared" ref="W69:W132" si="21">V69*$S$5+$S$4</f>
        <v>-0.50288999999999917</v>
      </c>
    </row>
    <row r="70" spans="3:23" x14ac:dyDescent="0.3">
      <c r="C70">
        <f t="shared" si="14"/>
        <v>0</v>
      </c>
      <c r="D70">
        <v>1.9800000000000002E-2</v>
      </c>
      <c r="E70">
        <v>4.1920000000000004E-3</v>
      </c>
      <c r="F70">
        <f t="shared" si="15"/>
        <v>0</v>
      </c>
      <c r="G70">
        <f t="shared" si="16"/>
        <v>0</v>
      </c>
      <c r="H70">
        <f t="shared" si="17"/>
        <v>0</v>
      </c>
      <c r="I70">
        <v>1</v>
      </c>
      <c r="J70" t="e">
        <f t="shared" si="18"/>
        <v>#NUM!</v>
      </c>
      <c r="K70">
        <f t="shared" si="19"/>
        <v>-1.179910572976012</v>
      </c>
      <c r="L70">
        <v>1</v>
      </c>
      <c r="M70" t="e">
        <f t="shared" si="20"/>
        <v>#NUM!</v>
      </c>
      <c r="N70">
        <f t="shared" si="13"/>
        <v>0</v>
      </c>
      <c r="O70">
        <f t="shared" ref="O70:O133" si="22">E70*A70</f>
        <v>0</v>
      </c>
      <c r="P70" t="e">
        <f t="shared" ref="P70:P133" si="23">-K70-M70-N70-O70</f>
        <v>#NUM!</v>
      </c>
      <c r="V70">
        <v>0.59999999999997999</v>
      </c>
      <c r="W70">
        <f t="shared" si="21"/>
        <v>-0.50693199999999916</v>
      </c>
    </row>
    <row r="71" spans="3:23" x14ac:dyDescent="0.3">
      <c r="C71">
        <f t="shared" si="14"/>
        <v>0</v>
      </c>
      <c r="D71">
        <v>1.9800000000000002E-2</v>
      </c>
      <c r="E71">
        <v>4.1920000000000004E-3</v>
      </c>
      <c r="F71">
        <f t="shared" si="15"/>
        <v>0</v>
      </c>
      <c r="G71">
        <f t="shared" si="16"/>
        <v>0</v>
      </c>
      <c r="H71">
        <f t="shared" si="17"/>
        <v>0</v>
      </c>
      <c r="I71">
        <v>1</v>
      </c>
      <c r="J71" t="e">
        <f t="shared" si="18"/>
        <v>#NUM!</v>
      </c>
      <c r="K71">
        <f t="shared" si="19"/>
        <v>-1.179910572976012</v>
      </c>
      <c r="L71">
        <v>1</v>
      </c>
      <c r="M71" t="e">
        <f t="shared" si="20"/>
        <v>#NUM!</v>
      </c>
      <c r="N71">
        <f t="shared" ref="N71:N134" si="24">D71*A71</f>
        <v>0</v>
      </c>
      <c r="O71">
        <f t="shared" si="22"/>
        <v>0</v>
      </c>
      <c r="P71" t="e">
        <f t="shared" si="23"/>
        <v>#NUM!</v>
      </c>
      <c r="V71">
        <v>0.69999999999997997</v>
      </c>
      <c r="W71">
        <f t="shared" si="21"/>
        <v>-0.51097399999999915</v>
      </c>
    </row>
    <row r="72" spans="3:23" x14ac:dyDescent="0.3">
      <c r="C72">
        <f t="shared" si="14"/>
        <v>0</v>
      </c>
      <c r="D72">
        <v>1.9800000000000002E-2</v>
      </c>
      <c r="E72">
        <v>4.1920000000000004E-3</v>
      </c>
      <c r="F72">
        <f t="shared" si="15"/>
        <v>0</v>
      </c>
      <c r="G72">
        <f t="shared" si="16"/>
        <v>0</v>
      </c>
      <c r="H72">
        <f t="shared" si="17"/>
        <v>0</v>
      </c>
      <c r="I72">
        <v>1</v>
      </c>
      <c r="J72" t="e">
        <f t="shared" si="18"/>
        <v>#NUM!</v>
      </c>
      <c r="K72">
        <f t="shared" si="19"/>
        <v>-1.179910572976012</v>
      </c>
      <c r="L72">
        <v>1</v>
      </c>
      <c r="M72" t="e">
        <f t="shared" si="20"/>
        <v>#NUM!</v>
      </c>
      <c r="N72">
        <f t="shared" si="24"/>
        <v>0</v>
      </c>
      <c r="O72">
        <f t="shared" si="22"/>
        <v>0</v>
      </c>
      <c r="P72" t="e">
        <f t="shared" si="23"/>
        <v>#NUM!</v>
      </c>
      <c r="V72">
        <v>0.79999999999997995</v>
      </c>
      <c r="W72">
        <f t="shared" si="21"/>
        <v>-0.51501599999999914</v>
      </c>
    </row>
    <row r="73" spans="3:23" x14ac:dyDescent="0.3">
      <c r="C73">
        <f t="shared" si="14"/>
        <v>0</v>
      </c>
      <c r="D73">
        <v>1.9800000000000002E-2</v>
      </c>
      <c r="E73">
        <v>4.1920000000000004E-3</v>
      </c>
      <c r="F73">
        <f t="shared" si="15"/>
        <v>0</v>
      </c>
      <c r="G73">
        <f t="shared" si="16"/>
        <v>0</v>
      </c>
      <c r="H73">
        <f t="shared" si="17"/>
        <v>0</v>
      </c>
      <c r="I73">
        <v>1</v>
      </c>
      <c r="J73" t="e">
        <f t="shared" si="18"/>
        <v>#NUM!</v>
      </c>
      <c r="K73">
        <f t="shared" si="19"/>
        <v>-1.179910572976012</v>
      </c>
      <c r="L73">
        <v>1</v>
      </c>
      <c r="M73" t="e">
        <f t="shared" si="20"/>
        <v>#NUM!</v>
      </c>
      <c r="N73">
        <f t="shared" si="24"/>
        <v>0</v>
      </c>
      <c r="O73">
        <f t="shared" si="22"/>
        <v>0</v>
      </c>
      <c r="P73" t="e">
        <f t="shared" si="23"/>
        <v>#NUM!</v>
      </c>
      <c r="V73">
        <v>0.89999999999998004</v>
      </c>
      <c r="W73">
        <f t="shared" si="21"/>
        <v>-0.51905799999999913</v>
      </c>
    </row>
    <row r="74" spans="3:23" x14ac:dyDescent="0.3">
      <c r="C74">
        <f t="shared" si="14"/>
        <v>0</v>
      </c>
      <c r="D74">
        <v>1.9800000000000002E-2</v>
      </c>
      <c r="E74">
        <v>4.1920000000000004E-3</v>
      </c>
      <c r="F74">
        <f t="shared" si="15"/>
        <v>0</v>
      </c>
      <c r="G74">
        <f t="shared" si="16"/>
        <v>0</v>
      </c>
      <c r="H74">
        <f t="shared" si="17"/>
        <v>0</v>
      </c>
      <c r="I74">
        <v>1</v>
      </c>
      <c r="J74" t="e">
        <f t="shared" si="18"/>
        <v>#NUM!</v>
      </c>
      <c r="K74">
        <f t="shared" si="19"/>
        <v>-1.179910572976012</v>
      </c>
      <c r="L74">
        <v>1</v>
      </c>
      <c r="M74" t="e">
        <f t="shared" si="20"/>
        <v>#NUM!</v>
      </c>
      <c r="N74">
        <f t="shared" si="24"/>
        <v>0</v>
      </c>
      <c r="O74">
        <f t="shared" si="22"/>
        <v>0</v>
      </c>
      <c r="P74" t="e">
        <f t="shared" si="23"/>
        <v>#NUM!</v>
      </c>
      <c r="V74">
        <v>0.99999999999998002</v>
      </c>
      <c r="W74">
        <f t="shared" si="21"/>
        <v>-0.52309999999999923</v>
      </c>
    </row>
    <row r="75" spans="3:23" x14ac:dyDescent="0.3">
      <c r="C75">
        <f t="shared" si="14"/>
        <v>0</v>
      </c>
      <c r="D75">
        <v>1.9800000000000002E-2</v>
      </c>
      <c r="E75">
        <v>4.1920000000000004E-3</v>
      </c>
      <c r="F75">
        <f t="shared" si="15"/>
        <v>0</v>
      </c>
      <c r="G75">
        <f t="shared" si="16"/>
        <v>0</v>
      </c>
      <c r="H75">
        <f t="shared" si="17"/>
        <v>0</v>
      </c>
      <c r="I75">
        <v>1</v>
      </c>
      <c r="J75" t="e">
        <f t="shared" si="18"/>
        <v>#NUM!</v>
      </c>
      <c r="K75">
        <f t="shared" si="19"/>
        <v>-1.179910572976012</v>
      </c>
      <c r="L75">
        <v>1</v>
      </c>
      <c r="M75" t="e">
        <f t="shared" si="20"/>
        <v>#NUM!</v>
      </c>
      <c r="N75">
        <f t="shared" si="24"/>
        <v>0</v>
      </c>
      <c r="O75">
        <f t="shared" si="22"/>
        <v>0</v>
      </c>
      <c r="P75" t="e">
        <f t="shared" si="23"/>
        <v>#NUM!</v>
      </c>
      <c r="V75">
        <v>1.0999999999999699</v>
      </c>
      <c r="W75">
        <f t="shared" si="21"/>
        <v>-0.52714199999999878</v>
      </c>
    </row>
    <row r="76" spans="3:23" x14ac:dyDescent="0.3">
      <c r="C76">
        <f t="shared" si="14"/>
        <v>0</v>
      </c>
      <c r="D76">
        <v>1.9800000000000002E-2</v>
      </c>
      <c r="E76">
        <v>4.1920000000000004E-3</v>
      </c>
      <c r="F76">
        <f t="shared" si="15"/>
        <v>0</v>
      </c>
      <c r="G76">
        <f t="shared" si="16"/>
        <v>0</v>
      </c>
      <c r="H76">
        <f t="shared" si="17"/>
        <v>0</v>
      </c>
      <c r="I76">
        <v>1</v>
      </c>
      <c r="J76" t="e">
        <f t="shared" si="18"/>
        <v>#NUM!</v>
      </c>
      <c r="K76">
        <f t="shared" si="19"/>
        <v>-1.179910572976012</v>
      </c>
      <c r="L76">
        <v>1</v>
      </c>
      <c r="M76" t="e">
        <f t="shared" si="20"/>
        <v>#NUM!</v>
      </c>
      <c r="N76">
        <f t="shared" si="24"/>
        <v>0</v>
      </c>
      <c r="O76">
        <f t="shared" si="22"/>
        <v>0</v>
      </c>
      <c r="P76" t="e">
        <f t="shared" si="23"/>
        <v>#NUM!</v>
      </c>
      <c r="V76">
        <v>1.19999999999997</v>
      </c>
      <c r="W76">
        <f t="shared" si="21"/>
        <v>-0.53118399999999877</v>
      </c>
    </row>
    <row r="77" spans="3:23" x14ac:dyDescent="0.3">
      <c r="C77">
        <f t="shared" si="14"/>
        <v>0</v>
      </c>
      <c r="D77">
        <v>1.9800000000000002E-2</v>
      </c>
      <c r="E77">
        <v>4.1920000000000004E-3</v>
      </c>
      <c r="F77">
        <f t="shared" si="15"/>
        <v>0</v>
      </c>
      <c r="G77">
        <f t="shared" si="16"/>
        <v>0</v>
      </c>
      <c r="H77">
        <f t="shared" si="17"/>
        <v>0</v>
      </c>
      <c r="I77">
        <v>1</v>
      </c>
      <c r="J77" t="e">
        <f t="shared" si="18"/>
        <v>#NUM!</v>
      </c>
      <c r="K77">
        <f t="shared" si="19"/>
        <v>-1.179910572976012</v>
      </c>
      <c r="L77">
        <v>1</v>
      </c>
      <c r="M77" t="e">
        <f t="shared" si="20"/>
        <v>#NUM!</v>
      </c>
      <c r="N77">
        <f t="shared" si="24"/>
        <v>0</v>
      </c>
      <c r="O77">
        <f t="shared" si="22"/>
        <v>0</v>
      </c>
      <c r="P77" t="e">
        <f t="shared" si="23"/>
        <v>#NUM!</v>
      </c>
      <c r="V77">
        <v>1.2999999999999701</v>
      </c>
      <c r="W77">
        <f t="shared" si="21"/>
        <v>-0.53522599999999876</v>
      </c>
    </row>
    <row r="78" spans="3:23" x14ac:dyDescent="0.3">
      <c r="C78">
        <f t="shared" si="14"/>
        <v>0</v>
      </c>
      <c r="D78">
        <v>1.9800000000000002E-2</v>
      </c>
      <c r="E78">
        <v>4.1920000000000004E-3</v>
      </c>
      <c r="F78">
        <f t="shared" si="15"/>
        <v>0</v>
      </c>
      <c r="G78">
        <f t="shared" si="16"/>
        <v>0</v>
      </c>
      <c r="H78">
        <f t="shared" si="17"/>
        <v>0</v>
      </c>
      <c r="I78">
        <v>1</v>
      </c>
      <c r="J78" t="e">
        <f t="shared" si="18"/>
        <v>#NUM!</v>
      </c>
      <c r="K78">
        <f t="shared" si="19"/>
        <v>-1.179910572976012</v>
      </c>
      <c r="L78">
        <v>1</v>
      </c>
      <c r="M78" t="e">
        <f t="shared" si="20"/>
        <v>#NUM!</v>
      </c>
      <c r="N78">
        <f t="shared" si="24"/>
        <v>0</v>
      </c>
      <c r="O78">
        <f t="shared" si="22"/>
        <v>0</v>
      </c>
      <c r="P78" t="e">
        <f t="shared" si="23"/>
        <v>#NUM!</v>
      </c>
      <c r="V78">
        <v>1.3999999999999699</v>
      </c>
      <c r="W78">
        <f t="shared" si="21"/>
        <v>-0.53926799999999875</v>
      </c>
    </row>
    <row r="79" spans="3:23" x14ac:dyDescent="0.3">
      <c r="C79">
        <f t="shared" si="14"/>
        <v>0</v>
      </c>
      <c r="D79">
        <v>1.9800000000000002E-2</v>
      </c>
      <c r="E79">
        <v>4.1920000000000004E-3</v>
      </c>
      <c r="F79">
        <f t="shared" si="15"/>
        <v>0</v>
      </c>
      <c r="G79">
        <f t="shared" si="16"/>
        <v>0</v>
      </c>
      <c r="H79">
        <f t="shared" si="17"/>
        <v>0</v>
      </c>
      <c r="I79">
        <v>1</v>
      </c>
      <c r="J79" t="e">
        <f t="shared" si="18"/>
        <v>#NUM!</v>
      </c>
      <c r="K79">
        <f t="shared" si="19"/>
        <v>-1.179910572976012</v>
      </c>
      <c r="L79">
        <v>1</v>
      </c>
      <c r="M79" t="e">
        <f t="shared" si="20"/>
        <v>#NUM!</v>
      </c>
      <c r="N79">
        <f t="shared" si="24"/>
        <v>0</v>
      </c>
      <c r="O79">
        <f t="shared" si="22"/>
        <v>0</v>
      </c>
      <c r="P79" t="e">
        <f t="shared" si="23"/>
        <v>#NUM!</v>
      </c>
      <c r="V79">
        <v>1.49999999999997</v>
      </c>
      <c r="W79">
        <f t="shared" si="21"/>
        <v>-0.54330999999999874</v>
      </c>
    </row>
    <row r="80" spans="3:23" x14ac:dyDescent="0.3">
      <c r="C80">
        <f t="shared" si="14"/>
        <v>0</v>
      </c>
      <c r="D80">
        <v>1.9800000000000002E-2</v>
      </c>
      <c r="E80">
        <v>4.1920000000000004E-3</v>
      </c>
      <c r="F80">
        <f t="shared" si="15"/>
        <v>0</v>
      </c>
      <c r="G80">
        <f t="shared" si="16"/>
        <v>0</v>
      </c>
      <c r="H80">
        <f t="shared" si="17"/>
        <v>0</v>
      </c>
      <c r="I80">
        <v>1</v>
      </c>
      <c r="J80" t="e">
        <f t="shared" si="18"/>
        <v>#NUM!</v>
      </c>
      <c r="K80">
        <f t="shared" si="19"/>
        <v>-1.179910572976012</v>
      </c>
      <c r="L80">
        <v>1</v>
      </c>
      <c r="M80" t="e">
        <f t="shared" si="20"/>
        <v>#NUM!</v>
      </c>
      <c r="N80">
        <f t="shared" si="24"/>
        <v>0</v>
      </c>
      <c r="O80">
        <f t="shared" si="22"/>
        <v>0</v>
      </c>
      <c r="P80" t="e">
        <f t="shared" si="23"/>
        <v>#NUM!</v>
      </c>
      <c r="V80">
        <v>1.5999999999999699</v>
      </c>
      <c r="W80">
        <f t="shared" si="21"/>
        <v>-0.54735199999999873</v>
      </c>
    </row>
    <row r="81" spans="3:23" x14ac:dyDescent="0.3">
      <c r="C81">
        <f t="shared" si="14"/>
        <v>0</v>
      </c>
      <c r="D81">
        <v>1.9800000000000002E-2</v>
      </c>
      <c r="E81">
        <v>4.1920000000000004E-3</v>
      </c>
      <c r="F81">
        <f t="shared" si="15"/>
        <v>0</v>
      </c>
      <c r="G81">
        <f t="shared" si="16"/>
        <v>0</v>
      </c>
      <c r="H81">
        <f t="shared" si="17"/>
        <v>0</v>
      </c>
      <c r="I81">
        <v>1</v>
      </c>
      <c r="J81" t="e">
        <f t="shared" si="18"/>
        <v>#NUM!</v>
      </c>
      <c r="K81">
        <f t="shared" si="19"/>
        <v>-1.179910572976012</v>
      </c>
      <c r="L81">
        <v>1</v>
      </c>
      <c r="M81" t="e">
        <f t="shared" si="20"/>
        <v>#NUM!</v>
      </c>
      <c r="N81">
        <f t="shared" si="24"/>
        <v>0</v>
      </c>
      <c r="O81">
        <f t="shared" si="22"/>
        <v>0</v>
      </c>
      <c r="P81" t="e">
        <f t="shared" si="23"/>
        <v>#NUM!</v>
      </c>
      <c r="V81">
        <v>1.69999999999997</v>
      </c>
      <c r="W81">
        <f t="shared" si="21"/>
        <v>-0.55139399999999883</v>
      </c>
    </row>
    <row r="82" spans="3:23" x14ac:dyDescent="0.3">
      <c r="C82">
        <f t="shared" si="14"/>
        <v>0</v>
      </c>
      <c r="D82">
        <v>1.9800000000000002E-2</v>
      </c>
      <c r="E82">
        <v>4.1920000000000004E-3</v>
      </c>
      <c r="F82">
        <f t="shared" si="15"/>
        <v>0</v>
      </c>
      <c r="G82">
        <f t="shared" si="16"/>
        <v>0</v>
      </c>
      <c r="H82">
        <f t="shared" si="17"/>
        <v>0</v>
      </c>
      <c r="I82">
        <v>1</v>
      </c>
      <c r="J82" t="e">
        <f t="shared" si="18"/>
        <v>#NUM!</v>
      </c>
      <c r="K82">
        <f t="shared" si="19"/>
        <v>-1.179910572976012</v>
      </c>
      <c r="L82">
        <v>1</v>
      </c>
      <c r="M82" t="e">
        <f t="shared" si="20"/>
        <v>#NUM!</v>
      </c>
      <c r="N82">
        <f t="shared" si="24"/>
        <v>0</v>
      </c>
      <c r="O82">
        <f t="shared" si="22"/>
        <v>0</v>
      </c>
      <c r="P82" t="e">
        <f t="shared" si="23"/>
        <v>#NUM!</v>
      </c>
      <c r="V82">
        <v>1.7999999999999701</v>
      </c>
      <c r="W82">
        <f t="shared" si="21"/>
        <v>-0.55543599999999882</v>
      </c>
    </row>
    <row r="83" spans="3:23" x14ac:dyDescent="0.3">
      <c r="C83">
        <f t="shared" si="14"/>
        <v>0</v>
      </c>
      <c r="D83">
        <v>1.9800000000000002E-2</v>
      </c>
      <c r="E83">
        <v>4.1920000000000004E-3</v>
      </c>
      <c r="F83">
        <f t="shared" si="15"/>
        <v>0</v>
      </c>
      <c r="G83">
        <f t="shared" si="16"/>
        <v>0</v>
      </c>
      <c r="H83">
        <f t="shared" si="17"/>
        <v>0</v>
      </c>
      <c r="I83">
        <v>1</v>
      </c>
      <c r="J83" t="e">
        <f t="shared" si="18"/>
        <v>#NUM!</v>
      </c>
      <c r="K83">
        <f t="shared" si="19"/>
        <v>-1.179910572976012</v>
      </c>
      <c r="L83">
        <v>1</v>
      </c>
      <c r="M83" t="e">
        <f t="shared" si="20"/>
        <v>#NUM!</v>
      </c>
      <c r="N83">
        <f t="shared" si="24"/>
        <v>0</v>
      </c>
      <c r="O83">
        <f t="shared" si="22"/>
        <v>0</v>
      </c>
      <c r="P83" t="e">
        <f t="shared" si="23"/>
        <v>#NUM!</v>
      </c>
      <c r="V83">
        <v>1.8999999999999699</v>
      </c>
      <c r="W83">
        <f t="shared" si="21"/>
        <v>-0.55947799999999881</v>
      </c>
    </row>
    <row r="84" spans="3:23" x14ac:dyDescent="0.3">
      <c r="C84">
        <f t="shared" si="14"/>
        <v>0</v>
      </c>
      <c r="D84">
        <v>1.9800000000000002E-2</v>
      </c>
      <c r="E84">
        <v>4.1920000000000004E-3</v>
      </c>
      <c r="F84">
        <f t="shared" si="15"/>
        <v>0</v>
      </c>
      <c r="G84">
        <f t="shared" si="16"/>
        <v>0</v>
      </c>
      <c r="H84">
        <f t="shared" si="17"/>
        <v>0</v>
      </c>
      <c r="I84">
        <v>1</v>
      </c>
      <c r="J84" t="e">
        <f t="shared" si="18"/>
        <v>#NUM!</v>
      </c>
      <c r="K84">
        <f t="shared" si="19"/>
        <v>-1.179910572976012</v>
      </c>
      <c r="L84">
        <v>1</v>
      </c>
      <c r="M84" t="e">
        <f t="shared" si="20"/>
        <v>#NUM!</v>
      </c>
      <c r="N84">
        <f t="shared" si="24"/>
        <v>0</v>
      </c>
      <c r="O84">
        <f t="shared" si="22"/>
        <v>0</v>
      </c>
      <c r="P84" t="e">
        <f t="shared" si="23"/>
        <v>#NUM!</v>
      </c>
      <c r="V84">
        <v>1.99999999999997</v>
      </c>
      <c r="W84">
        <f t="shared" si="21"/>
        <v>-0.5635199999999988</v>
      </c>
    </row>
    <row r="85" spans="3:23" x14ac:dyDescent="0.3">
      <c r="C85">
        <f t="shared" si="14"/>
        <v>0</v>
      </c>
      <c r="D85">
        <v>1.9800000000000002E-2</v>
      </c>
      <c r="E85">
        <v>4.1920000000000004E-3</v>
      </c>
      <c r="F85">
        <f t="shared" si="15"/>
        <v>0</v>
      </c>
      <c r="G85">
        <f t="shared" si="16"/>
        <v>0</v>
      </c>
      <c r="H85">
        <f t="shared" si="17"/>
        <v>0</v>
      </c>
      <c r="I85">
        <v>1</v>
      </c>
      <c r="J85" t="e">
        <f t="shared" si="18"/>
        <v>#NUM!</v>
      </c>
      <c r="K85">
        <f t="shared" si="19"/>
        <v>-1.179910572976012</v>
      </c>
      <c r="L85">
        <v>1</v>
      </c>
      <c r="M85" t="e">
        <f t="shared" si="20"/>
        <v>#NUM!</v>
      </c>
      <c r="N85">
        <f t="shared" si="24"/>
        <v>0</v>
      </c>
      <c r="O85">
        <f t="shared" si="22"/>
        <v>0</v>
      </c>
      <c r="P85" t="e">
        <f t="shared" si="23"/>
        <v>#NUM!</v>
      </c>
      <c r="V85">
        <v>2.0999999999999699</v>
      </c>
      <c r="W85">
        <f t="shared" si="21"/>
        <v>-0.56756199999999879</v>
      </c>
    </row>
    <row r="86" spans="3:23" x14ac:dyDescent="0.3">
      <c r="C86">
        <f t="shared" si="14"/>
        <v>0</v>
      </c>
      <c r="D86">
        <v>1.9800000000000002E-2</v>
      </c>
      <c r="E86">
        <v>4.1920000000000004E-3</v>
      </c>
      <c r="F86">
        <f t="shared" si="15"/>
        <v>0</v>
      </c>
      <c r="G86">
        <f t="shared" si="16"/>
        <v>0</v>
      </c>
      <c r="H86">
        <f t="shared" si="17"/>
        <v>0</v>
      </c>
      <c r="I86">
        <v>1</v>
      </c>
      <c r="J86" t="e">
        <f t="shared" si="18"/>
        <v>#NUM!</v>
      </c>
      <c r="K86">
        <f t="shared" si="19"/>
        <v>-1.179910572976012</v>
      </c>
      <c r="L86">
        <v>1</v>
      </c>
      <c r="M86" t="e">
        <f t="shared" si="20"/>
        <v>#NUM!</v>
      </c>
      <c r="N86">
        <f t="shared" si="24"/>
        <v>0</v>
      </c>
      <c r="O86">
        <f t="shared" si="22"/>
        <v>0</v>
      </c>
      <c r="P86" t="e">
        <f t="shared" si="23"/>
        <v>#NUM!</v>
      </c>
      <c r="V86">
        <v>2.19999999999997</v>
      </c>
      <c r="W86">
        <f t="shared" si="21"/>
        <v>-0.57160399999999878</v>
      </c>
    </row>
    <row r="87" spans="3:23" x14ac:dyDescent="0.3">
      <c r="C87">
        <f t="shared" si="14"/>
        <v>0</v>
      </c>
      <c r="D87">
        <v>1.9800000000000002E-2</v>
      </c>
      <c r="E87">
        <v>4.1920000000000004E-3</v>
      </c>
      <c r="F87">
        <f t="shared" si="15"/>
        <v>0</v>
      </c>
      <c r="G87">
        <f t="shared" si="16"/>
        <v>0</v>
      </c>
      <c r="H87">
        <f t="shared" si="17"/>
        <v>0</v>
      </c>
      <c r="I87">
        <v>1</v>
      </c>
      <c r="J87" t="e">
        <f t="shared" si="18"/>
        <v>#NUM!</v>
      </c>
      <c r="K87">
        <f t="shared" si="19"/>
        <v>-1.179910572976012</v>
      </c>
      <c r="L87">
        <v>1</v>
      </c>
      <c r="M87" t="e">
        <f t="shared" si="20"/>
        <v>#NUM!</v>
      </c>
      <c r="N87">
        <f t="shared" si="24"/>
        <v>0</v>
      </c>
      <c r="O87">
        <f t="shared" si="22"/>
        <v>0</v>
      </c>
      <c r="P87" t="e">
        <f t="shared" si="23"/>
        <v>#NUM!</v>
      </c>
      <c r="V87">
        <v>2.2999999999999701</v>
      </c>
      <c r="W87">
        <f t="shared" si="21"/>
        <v>-0.57564599999999877</v>
      </c>
    </row>
    <row r="88" spans="3:23" x14ac:dyDescent="0.3">
      <c r="C88">
        <f t="shared" si="14"/>
        <v>0</v>
      </c>
      <c r="D88">
        <v>1.9800000000000002E-2</v>
      </c>
      <c r="E88">
        <v>4.1920000000000004E-3</v>
      </c>
      <c r="F88">
        <f t="shared" si="15"/>
        <v>0</v>
      </c>
      <c r="G88">
        <f t="shared" si="16"/>
        <v>0</v>
      </c>
      <c r="H88">
        <f t="shared" si="17"/>
        <v>0</v>
      </c>
      <c r="I88">
        <v>1</v>
      </c>
      <c r="J88" t="e">
        <f t="shared" si="18"/>
        <v>#NUM!</v>
      </c>
      <c r="K88">
        <f t="shared" si="19"/>
        <v>-1.179910572976012</v>
      </c>
      <c r="L88">
        <v>1</v>
      </c>
      <c r="M88" t="e">
        <f t="shared" si="20"/>
        <v>#NUM!</v>
      </c>
      <c r="N88">
        <f t="shared" si="24"/>
        <v>0</v>
      </c>
      <c r="O88">
        <f t="shared" si="22"/>
        <v>0</v>
      </c>
      <c r="P88" t="e">
        <f t="shared" si="23"/>
        <v>#NUM!</v>
      </c>
      <c r="V88">
        <v>2.3999999999999702</v>
      </c>
      <c r="W88">
        <f t="shared" si="21"/>
        <v>-0.57968799999999876</v>
      </c>
    </row>
    <row r="89" spans="3:23" x14ac:dyDescent="0.3">
      <c r="C89">
        <f t="shared" si="14"/>
        <v>0</v>
      </c>
      <c r="D89">
        <v>1.9800000000000002E-2</v>
      </c>
      <c r="E89">
        <v>4.1920000000000004E-3</v>
      </c>
      <c r="F89">
        <f t="shared" si="15"/>
        <v>0</v>
      </c>
      <c r="G89">
        <f t="shared" si="16"/>
        <v>0</v>
      </c>
      <c r="H89">
        <f t="shared" si="17"/>
        <v>0</v>
      </c>
      <c r="I89">
        <v>1</v>
      </c>
      <c r="J89" t="e">
        <f t="shared" si="18"/>
        <v>#NUM!</v>
      </c>
      <c r="K89">
        <f t="shared" si="19"/>
        <v>-1.179910572976012</v>
      </c>
      <c r="L89">
        <v>1</v>
      </c>
      <c r="M89" t="e">
        <f t="shared" si="20"/>
        <v>#NUM!</v>
      </c>
      <c r="N89">
        <f t="shared" si="24"/>
        <v>0</v>
      </c>
      <c r="O89">
        <f t="shared" si="22"/>
        <v>0</v>
      </c>
      <c r="P89" t="e">
        <f t="shared" si="23"/>
        <v>#NUM!</v>
      </c>
      <c r="V89">
        <v>2.4999999999999698</v>
      </c>
      <c r="W89">
        <f t="shared" si="21"/>
        <v>-0.58372999999999875</v>
      </c>
    </row>
    <row r="90" spans="3:23" x14ac:dyDescent="0.3">
      <c r="C90">
        <f t="shared" si="14"/>
        <v>0</v>
      </c>
      <c r="D90">
        <v>1.9800000000000002E-2</v>
      </c>
      <c r="E90">
        <v>4.1920000000000004E-3</v>
      </c>
      <c r="F90">
        <f t="shared" si="15"/>
        <v>0</v>
      </c>
      <c r="G90">
        <f t="shared" si="16"/>
        <v>0</v>
      </c>
      <c r="H90">
        <f t="shared" si="17"/>
        <v>0</v>
      </c>
      <c r="I90">
        <v>1</v>
      </c>
      <c r="J90" t="e">
        <f t="shared" si="18"/>
        <v>#NUM!</v>
      </c>
      <c r="K90">
        <f t="shared" si="19"/>
        <v>-1.179910572976012</v>
      </c>
      <c r="L90">
        <v>1</v>
      </c>
      <c r="M90" t="e">
        <f t="shared" si="20"/>
        <v>#NUM!</v>
      </c>
      <c r="N90">
        <f t="shared" si="24"/>
        <v>0</v>
      </c>
      <c r="O90">
        <f t="shared" si="22"/>
        <v>0</v>
      </c>
      <c r="P90" t="e">
        <f t="shared" si="23"/>
        <v>#NUM!</v>
      </c>
      <c r="V90">
        <v>2.5999999999999699</v>
      </c>
      <c r="W90">
        <f t="shared" si="21"/>
        <v>-0.58777199999999874</v>
      </c>
    </row>
    <row r="91" spans="3:23" x14ac:dyDescent="0.3">
      <c r="C91">
        <f t="shared" si="14"/>
        <v>0</v>
      </c>
      <c r="D91">
        <v>1.9800000000000002E-2</v>
      </c>
      <c r="E91">
        <v>4.1920000000000004E-3</v>
      </c>
      <c r="F91">
        <f t="shared" si="15"/>
        <v>0</v>
      </c>
      <c r="G91">
        <f t="shared" si="16"/>
        <v>0</v>
      </c>
      <c r="H91">
        <f t="shared" si="17"/>
        <v>0</v>
      </c>
      <c r="I91">
        <v>1</v>
      </c>
      <c r="J91" t="e">
        <f t="shared" si="18"/>
        <v>#NUM!</v>
      </c>
      <c r="K91">
        <f t="shared" si="19"/>
        <v>-1.179910572976012</v>
      </c>
      <c r="L91">
        <v>1</v>
      </c>
      <c r="M91" t="e">
        <f t="shared" si="20"/>
        <v>#NUM!</v>
      </c>
      <c r="N91">
        <f t="shared" si="24"/>
        <v>0</v>
      </c>
      <c r="O91">
        <f t="shared" si="22"/>
        <v>0</v>
      </c>
      <c r="P91" t="e">
        <f t="shared" si="23"/>
        <v>#NUM!</v>
      </c>
      <c r="V91">
        <v>2.69999999999997</v>
      </c>
      <c r="W91">
        <f t="shared" si="21"/>
        <v>-0.59181399999999873</v>
      </c>
    </row>
    <row r="92" spans="3:23" x14ac:dyDescent="0.3">
      <c r="C92">
        <f t="shared" si="14"/>
        <v>0</v>
      </c>
      <c r="D92">
        <v>1.9800000000000002E-2</v>
      </c>
      <c r="E92">
        <v>4.1920000000000004E-3</v>
      </c>
      <c r="F92">
        <f t="shared" si="15"/>
        <v>0</v>
      </c>
      <c r="G92">
        <f t="shared" si="16"/>
        <v>0</v>
      </c>
      <c r="H92">
        <f t="shared" si="17"/>
        <v>0</v>
      </c>
      <c r="I92">
        <v>1</v>
      </c>
      <c r="J92" t="e">
        <f t="shared" si="18"/>
        <v>#NUM!</v>
      </c>
      <c r="K92">
        <f t="shared" si="19"/>
        <v>-1.179910572976012</v>
      </c>
      <c r="L92">
        <v>1</v>
      </c>
      <c r="M92" t="e">
        <f t="shared" si="20"/>
        <v>#NUM!</v>
      </c>
      <c r="N92">
        <f t="shared" si="24"/>
        <v>0</v>
      </c>
      <c r="O92">
        <f t="shared" si="22"/>
        <v>0</v>
      </c>
      <c r="P92" t="e">
        <f t="shared" si="23"/>
        <v>#NUM!</v>
      </c>
      <c r="V92">
        <v>2.7999999999999701</v>
      </c>
      <c r="W92">
        <f t="shared" si="21"/>
        <v>-0.59585599999999883</v>
      </c>
    </row>
    <row r="93" spans="3:23" x14ac:dyDescent="0.3">
      <c r="C93">
        <f t="shared" si="14"/>
        <v>0</v>
      </c>
      <c r="D93">
        <v>1.9800000000000002E-2</v>
      </c>
      <c r="E93">
        <v>4.1920000000000004E-3</v>
      </c>
      <c r="F93">
        <f t="shared" si="15"/>
        <v>0</v>
      </c>
      <c r="G93">
        <f t="shared" si="16"/>
        <v>0</v>
      </c>
      <c r="H93">
        <f t="shared" si="17"/>
        <v>0</v>
      </c>
      <c r="I93">
        <v>1</v>
      </c>
      <c r="J93" t="e">
        <f t="shared" si="18"/>
        <v>#NUM!</v>
      </c>
      <c r="K93">
        <f t="shared" si="19"/>
        <v>-1.179910572976012</v>
      </c>
      <c r="L93">
        <v>1</v>
      </c>
      <c r="M93" t="e">
        <f t="shared" si="20"/>
        <v>#NUM!</v>
      </c>
      <c r="N93">
        <f t="shared" si="24"/>
        <v>0</v>
      </c>
      <c r="O93">
        <f t="shared" si="22"/>
        <v>0</v>
      </c>
      <c r="P93" t="e">
        <f t="shared" si="23"/>
        <v>#NUM!</v>
      </c>
      <c r="V93">
        <v>2.8999999999999702</v>
      </c>
      <c r="W93">
        <f t="shared" si="21"/>
        <v>-0.59989799999999882</v>
      </c>
    </row>
    <row r="94" spans="3:23" x14ac:dyDescent="0.3">
      <c r="C94">
        <f t="shared" si="14"/>
        <v>0</v>
      </c>
      <c r="D94">
        <v>1.9800000000000002E-2</v>
      </c>
      <c r="E94">
        <v>4.1920000000000004E-3</v>
      </c>
      <c r="F94">
        <f t="shared" si="15"/>
        <v>0</v>
      </c>
      <c r="G94">
        <f t="shared" si="16"/>
        <v>0</v>
      </c>
      <c r="H94">
        <f t="shared" si="17"/>
        <v>0</v>
      </c>
      <c r="I94">
        <v>1</v>
      </c>
      <c r="J94" t="e">
        <f t="shared" si="18"/>
        <v>#NUM!</v>
      </c>
      <c r="K94">
        <f t="shared" si="19"/>
        <v>-1.179910572976012</v>
      </c>
      <c r="L94">
        <v>1</v>
      </c>
      <c r="M94" t="e">
        <f t="shared" si="20"/>
        <v>#NUM!</v>
      </c>
      <c r="N94">
        <f t="shared" si="24"/>
        <v>0</v>
      </c>
      <c r="O94">
        <f t="shared" si="22"/>
        <v>0</v>
      </c>
      <c r="P94" t="e">
        <f t="shared" si="23"/>
        <v>#NUM!</v>
      </c>
      <c r="V94">
        <v>2.9999999999999698</v>
      </c>
      <c r="W94">
        <f t="shared" si="21"/>
        <v>-0.60393999999999881</v>
      </c>
    </row>
    <row r="95" spans="3:23" x14ac:dyDescent="0.3">
      <c r="C95">
        <f t="shared" si="14"/>
        <v>0</v>
      </c>
      <c r="D95">
        <v>1.9800000000000002E-2</v>
      </c>
      <c r="E95">
        <v>4.1920000000000004E-3</v>
      </c>
      <c r="F95">
        <f t="shared" si="15"/>
        <v>0</v>
      </c>
      <c r="G95">
        <f t="shared" si="16"/>
        <v>0</v>
      </c>
      <c r="H95">
        <f t="shared" si="17"/>
        <v>0</v>
      </c>
      <c r="I95">
        <v>1</v>
      </c>
      <c r="J95" t="e">
        <f t="shared" si="18"/>
        <v>#NUM!</v>
      </c>
      <c r="K95">
        <f t="shared" si="19"/>
        <v>-1.179910572976012</v>
      </c>
      <c r="L95">
        <v>1</v>
      </c>
      <c r="M95" t="e">
        <f t="shared" si="20"/>
        <v>#NUM!</v>
      </c>
      <c r="N95">
        <f t="shared" si="24"/>
        <v>0</v>
      </c>
      <c r="O95">
        <f t="shared" si="22"/>
        <v>0</v>
      </c>
      <c r="P95" t="e">
        <f t="shared" si="23"/>
        <v>#NUM!</v>
      </c>
      <c r="V95">
        <v>3.0999999999999699</v>
      </c>
      <c r="W95">
        <f t="shared" si="21"/>
        <v>-0.6079819999999988</v>
      </c>
    </row>
    <row r="96" spans="3:23" x14ac:dyDescent="0.3">
      <c r="C96">
        <f t="shared" si="14"/>
        <v>0</v>
      </c>
      <c r="D96">
        <v>1.9800000000000002E-2</v>
      </c>
      <c r="E96">
        <v>4.1920000000000004E-3</v>
      </c>
      <c r="F96">
        <f t="shared" si="15"/>
        <v>0</v>
      </c>
      <c r="G96">
        <f t="shared" si="16"/>
        <v>0</v>
      </c>
      <c r="H96">
        <f t="shared" si="17"/>
        <v>0</v>
      </c>
      <c r="I96">
        <v>1</v>
      </c>
      <c r="J96" t="e">
        <f t="shared" si="18"/>
        <v>#NUM!</v>
      </c>
      <c r="K96">
        <f t="shared" si="19"/>
        <v>-1.179910572976012</v>
      </c>
      <c r="L96">
        <v>1</v>
      </c>
      <c r="M96" t="e">
        <f t="shared" si="20"/>
        <v>#NUM!</v>
      </c>
      <c r="N96">
        <f t="shared" si="24"/>
        <v>0</v>
      </c>
      <c r="O96">
        <f t="shared" si="22"/>
        <v>0</v>
      </c>
      <c r="P96" t="e">
        <f t="shared" si="23"/>
        <v>#NUM!</v>
      </c>
      <c r="V96">
        <v>3.19999999999997</v>
      </c>
      <c r="W96">
        <f t="shared" si="21"/>
        <v>-0.61202399999999879</v>
      </c>
    </row>
    <row r="97" spans="3:23" x14ac:dyDescent="0.3">
      <c r="C97">
        <f t="shared" si="14"/>
        <v>0</v>
      </c>
      <c r="D97">
        <v>1.9800000000000002E-2</v>
      </c>
      <c r="E97">
        <v>4.1920000000000004E-3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-1.179910572976012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-0.61606599999999878</v>
      </c>
    </row>
    <row r="98" spans="3:23" x14ac:dyDescent="0.3">
      <c r="C98">
        <f t="shared" si="14"/>
        <v>0</v>
      </c>
      <c r="D98">
        <v>1.9800000000000002E-2</v>
      </c>
      <c r="E98">
        <v>4.1920000000000004E-3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-1.179910572976012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-0.62010799999999877</v>
      </c>
    </row>
    <row r="99" spans="3:23" x14ac:dyDescent="0.3">
      <c r="C99">
        <f t="shared" si="14"/>
        <v>0</v>
      </c>
      <c r="D99">
        <v>1.9800000000000002E-2</v>
      </c>
      <c r="E99">
        <v>4.1920000000000004E-3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-1.179910572976012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-0.62414999999999876</v>
      </c>
    </row>
    <row r="100" spans="3:23" x14ac:dyDescent="0.3">
      <c r="C100">
        <f t="shared" si="14"/>
        <v>0</v>
      </c>
      <c r="D100">
        <v>1.9800000000000002E-2</v>
      </c>
      <c r="E100">
        <v>4.1920000000000004E-3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-1.179910572976012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-0.62819199999999875</v>
      </c>
    </row>
    <row r="101" spans="3:23" x14ac:dyDescent="0.3">
      <c r="C101">
        <f t="shared" si="14"/>
        <v>0</v>
      </c>
      <c r="D101">
        <v>1.9800000000000002E-2</v>
      </c>
      <c r="E101">
        <v>4.1920000000000004E-3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-1.179910572976012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-0.63223399999999874</v>
      </c>
    </row>
    <row r="102" spans="3:23" x14ac:dyDescent="0.3">
      <c r="C102">
        <f t="shared" si="14"/>
        <v>0</v>
      </c>
      <c r="D102">
        <v>1.9800000000000002E-2</v>
      </c>
      <c r="E102">
        <v>4.1920000000000004E-3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-1.179910572976012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-0.63627599999999873</v>
      </c>
    </row>
    <row r="103" spans="3:23" x14ac:dyDescent="0.3">
      <c r="C103">
        <f t="shared" si="14"/>
        <v>0</v>
      </c>
      <c r="D103">
        <v>1.9800000000000002E-2</v>
      </c>
      <c r="E103">
        <v>4.1920000000000004E-3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-1.179910572976012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-0.64031799999999839</v>
      </c>
    </row>
    <row r="104" spans="3:23" x14ac:dyDescent="0.3">
      <c r="C104">
        <f t="shared" si="14"/>
        <v>0</v>
      </c>
      <c r="D104">
        <v>1.9800000000000002E-2</v>
      </c>
      <c r="E104">
        <v>4.1920000000000004E-3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-1.179910572976012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-0.64435999999999838</v>
      </c>
    </row>
    <row r="105" spans="3:23" x14ac:dyDescent="0.3">
      <c r="C105">
        <f t="shared" si="14"/>
        <v>0</v>
      </c>
      <c r="D105">
        <v>1.9800000000000002E-2</v>
      </c>
      <c r="E105">
        <v>4.1920000000000004E-3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-1.179910572976012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-0.64840199999999992</v>
      </c>
    </row>
    <row r="106" spans="3:23" x14ac:dyDescent="0.3">
      <c r="C106">
        <f t="shared" si="14"/>
        <v>0</v>
      </c>
      <c r="D106">
        <v>1.9800000000000002E-2</v>
      </c>
      <c r="E106">
        <v>4.1920000000000004E-3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-1.179910572976012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-0.65244400000000002</v>
      </c>
    </row>
    <row r="107" spans="3:23" x14ac:dyDescent="0.3">
      <c r="C107">
        <f t="shared" si="14"/>
        <v>0</v>
      </c>
      <c r="D107">
        <v>1.9800000000000002E-2</v>
      </c>
      <c r="E107">
        <v>4.1920000000000004E-3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-1.179910572976012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-0.65648600000000001</v>
      </c>
    </row>
    <row r="108" spans="3:23" x14ac:dyDescent="0.3">
      <c r="C108">
        <f t="shared" si="14"/>
        <v>0</v>
      </c>
      <c r="D108">
        <v>1.9800000000000002E-2</v>
      </c>
      <c r="E108">
        <v>4.1920000000000004E-3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-1.179910572976012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-0.660528</v>
      </c>
    </row>
    <row r="109" spans="3:23" x14ac:dyDescent="0.3">
      <c r="C109">
        <f t="shared" si="14"/>
        <v>0</v>
      </c>
      <c r="D109">
        <v>1.9800000000000002E-2</v>
      </c>
      <c r="E109">
        <v>4.1920000000000004E-3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-1.179910572976012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-0.66456999999999999</v>
      </c>
    </row>
    <row r="110" spans="3:23" x14ac:dyDescent="0.3">
      <c r="C110">
        <f t="shared" si="14"/>
        <v>0</v>
      </c>
      <c r="D110">
        <v>1.9800000000000002E-2</v>
      </c>
      <c r="E110">
        <v>4.1920000000000004E-3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-1.179910572976012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-0.66861199999999998</v>
      </c>
    </row>
    <row r="111" spans="3:23" x14ac:dyDescent="0.3">
      <c r="C111">
        <f t="shared" si="14"/>
        <v>0</v>
      </c>
      <c r="D111">
        <v>1.9800000000000002E-2</v>
      </c>
      <c r="E111">
        <v>4.1920000000000004E-3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-1.179910572976012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-0.67265399999999997</v>
      </c>
    </row>
    <row r="112" spans="3:23" x14ac:dyDescent="0.3">
      <c r="C112">
        <f t="shared" si="14"/>
        <v>0</v>
      </c>
      <c r="D112">
        <v>1.9800000000000002E-2</v>
      </c>
      <c r="E112">
        <v>4.1920000000000004E-3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-1.179910572976012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-0.67669599999999996</v>
      </c>
    </row>
    <row r="113" spans="3:23" x14ac:dyDescent="0.3">
      <c r="C113">
        <f t="shared" si="14"/>
        <v>0</v>
      </c>
      <c r="D113">
        <v>1.9800000000000002E-2</v>
      </c>
      <c r="E113">
        <v>4.1920000000000004E-3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-1.179910572976012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-0.68073800000000007</v>
      </c>
    </row>
    <row r="114" spans="3:23" x14ac:dyDescent="0.3">
      <c r="C114">
        <f t="shared" si="14"/>
        <v>0</v>
      </c>
      <c r="D114">
        <v>1.9800000000000002E-2</v>
      </c>
      <c r="E114">
        <v>4.1920000000000004E-3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-1.179910572976012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-0.68477999999999994</v>
      </c>
    </row>
    <row r="115" spans="3:23" x14ac:dyDescent="0.3">
      <c r="C115">
        <f t="shared" si="14"/>
        <v>0</v>
      </c>
      <c r="D115">
        <v>1.9800000000000002E-2</v>
      </c>
      <c r="E115">
        <v>4.1920000000000004E-3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-1.179910572976012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-0.68882199999999993</v>
      </c>
    </row>
    <row r="116" spans="3:23" x14ac:dyDescent="0.3">
      <c r="C116">
        <f t="shared" si="14"/>
        <v>0</v>
      </c>
      <c r="D116">
        <v>1.9800000000000002E-2</v>
      </c>
      <c r="E116">
        <v>4.1920000000000004E-3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-1.179910572976012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-0.69286399999999992</v>
      </c>
    </row>
    <row r="117" spans="3:23" x14ac:dyDescent="0.3">
      <c r="C117">
        <f t="shared" si="14"/>
        <v>0</v>
      </c>
      <c r="D117">
        <v>1.9800000000000002E-2</v>
      </c>
      <c r="E117">
        <v>4.1920000000000004E-3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-1.179910572976012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-0.69690600000000003</v>
      </c>
    </row>
    <row r="118" spans="3:23" x14ac:dyDescent="0.3">
      <c r="C118">
        <f t="shared" si="14"/>
        <v>0</v>
      </c>
      <c r="D118">
        <v>1.9800000000000002E-2</v>
      </c>
      <c r="E118">
        <v>4.1920000000000004E-3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-1.179910572976012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-0.70094800000000002</v>
      </c>
    </row>
    <row r="119" spans="3:23" x14ac:dyDescent="0.3">
      <c r="C119">
        <f t="shared" si="14"/>
        <v>0</v>
      </c>
      <c r="D119">
        <v>1.9800000000000002E-2</v>
      </c>
      <c r="E119">
        <v>4.1920000000000004E-3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-1.179910572976012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-0.70499000000000001</v>
      </c>
    </row>
    <row r="120" spans="3:23" x14ac:dyDescent="0.3">
      <c r="C120">
        <f t="shared" si="14"/>
        <v>0</v>
      </c>
      <c r="D120">
        <v>1.9800000000000002E-2</v>
      </c>
      <c r="E120">
        <v>4.1920000000000004E-3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-1.179910572976012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-0.709032</v>
      </c>
    </row>
    <row r="121" spans="3:23" x14ac:dyDescent="0.3">
      <c r="C121">
        <f t="shared" si="14"/>
        <v>0</v>
      </c>
      <c r="D121">
        <v>1.9800000000000002E-2</v>
      </c>
      <c r="E121">
        <v>4.1920000000000004E-3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-1.179910572976012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-0.71307399999999999</v>
      </c>
    </row>
    <row r="122" spans="3:23" x14ac:dyDescent="0.3">
      <c r="C122">
        <f t="shared" si="14"/>
        <v>0</v>
      </c>
      <c r="D122">
        <v>1.9800000000000002E-2</v>
      </c>
      <c r="E122">
        <v>4.1920000000000004E-3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-1.179910572976012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-0.71711599999999998</v>
      </c>
    </row>
    <row r="123" spans="3:23" x14ac:dyDescent="0.3">
      <c r="C123">
        <f t="shared" si="14"/>
        <v>0</v>
      </c>
      <c r="D123">
        <v>1.9800000000000002E-2</v>
      </c>
      <c r="E123">
        <v>4.1920000000000004E-3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-1.179910572976012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-0.72115799999999997</v>
      </c>
    </row>
    <row r="124" spans="3:23" x14ac:dyDescent="0.3">
      <c r="C124">
        <f t="shared" si="14"/>
        <v>0</v>
      </c>
      <c r="D124">
        <v>1.9800000000000002E-2</v>
      </c>
      <c r="E124">
        <v>4.1920000000000004E-3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-1.179910572976012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-0.72519999999999996</v>
      </c>
    </row>
    <row r="125" spans="3:23" x14ac:dyDescent="0.3">
      <c r="C125">
        <f t="shared" si="14"/>
        <v>0</v>
      </c>
      <c r="D125">
        <v>1.9800000000000002E-2</v>
      </c>
      <c r="E125">
        <v>4.1920000000000004E-3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-1.179910572976012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-0.72924199999999995</v>
      </c>
    </row>
    <row r="126" spans="3:23" x14ac:dyDescent="0.3">
      <c r="C126">
        <f t="shared" si="14"/>
        <v>0</v>
      </c>
      <c r="D126">
        <v>1.9800000000000002E-2</v>
      </c>
      <c r="E126">
        <v>4.1920000000000004E-3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-1.179910572976012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-0.73328400000000005</v>
      </c>
    </row>
    <row r="127" spans="3:23" x14ac:dyDescent="0.3">
      <c r="C127">
        <f t="shared" si="14"/>
        <v>0</v>
      </c>
      <c r="D127">
        <v>1.9800000000000002E-2</v>
      </c>
      <c r="E127">
        <v>4.1920000000000004E-3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-1.179910572976012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-0.73732599999999993</v>
      </c>
    </row>
    <row r="128" spans="3:23" x14ac:dyDescent="0.3">
      <c r="C128">
        <f t="shared" si="14"/>
        <v>0</v>
      </c>
      <c r="D128">
        <v>1.9800000000000002E-2</v>
      </c>
      <c r="E128">
        <v>4.1920000000000004E-3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-1.179910572976012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-0.74136800000000003</v>
      </c>
    </row>
    <row r="129" spans="3:23" x14ac:dyDescent="0.3">
      <c r="C129">
        <f t="shared" si="14"/>
        <v>0</v>
      </c>
      <c r="D129">
        <v>1.9800000000000002E-2</v>
      </c>
      <c r="E129">
        <v>4.1920000000000004E-3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-1.179910572976012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-0.74540999999999991</v>
      </c>
    </row>
    <row r="130" spans="3:23" x14ac:dyDescent="0.3">
      <c r="C130">
        <f t="shared" si="14"/>
        <v>0</v>
      </c>
      <c r="D130">
        <v>1.9800000000000002E-2</v>
      </c>
      <c r="E130">
        <v>4.1920000000000004E-3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-1.179910572976012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-0.74945200000000001</v>
      </c>
    </row>
    <row r="131" spans="3:23" x14ac:dyDescent="0.3">
      <c r="C131">
        <f t="shared" si="14"/>
        <v>0</v>
      </c>
      <c r="D131">
        <v>1.9800000000000002E-2</v>
      </c>
      <c r="E131">
        <v>4.1920000000000004E-3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-1.179910572976012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-0.753494</v>
      </c>
    </row>
    <row r="132" spans="3:23" x14ac:dyDescent="0.3">
      <c r="C132">
        <f t="shared" si="14"/>
        <v>0</v>
      </c>
      <c r="D132">
        <v>1.9800000000000002E-2</v>
      </c>
      <c r="E132">
        <v>4.1920000000000004E-3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-1.179910572976012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-0.75753599999999999</v>
      </c>
    </row>
    <row r="133" spans="3:23" x14ac:dyDescent="0.3">
      <c r="C133">
        <f t="shared" ref="C133:C196" si="25">A133*B133</f>
        <v>0</v>
      </c>
      <c r="D133">
        <v>1.9800000000000002E-2</v>
      </c>
      <c r="E133">
        <v>4.1920000000000004E-3</v>
      </c>
      <c r="F133">
        <f t="shared" ref="F133:F196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-1.179910572976012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-0.76157799999999998</v>
      </c>
    </row>
    <row r="134" spans="3:23" x14ac:dyDescent="0.3">
      <c r="C134">
        <f t="shared" si="25"/>
        <v>0</v>
      </c>
      <c r="D134">
        <v>1.9800000000000002E-2</v>
      </c>
      <c r="E134">
        <v>4.1920000000000004E-3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-1.179910572976012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-0.76561999999999997</v>
      </c>
    </row>
    <row r="135" spans="3:23" x14ac:dyDescent="0.3">
      <c r="C135">
        <f t="shared" si="25"/>
        <v>0</v>
      </c>
      <c r="D135">
        <v>1.9800000000000002E-2</v>
      </c>
      <c r="E135">
        <v>4.1920000000000004E-3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-1.179910572976012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-0.76966199999999996</v>
      </c>
    </row>
    <row r="136" spans="3:23" x14ac:dyDescent="0.3">
      <c r="C136">
        <f t="shared" si="25"/>
        <v>0</v>
      </c>
      <c r="D136">
        <v>1.9800000000000002E-2</v>
      </c>
      <c r="E136">
        <v>4.1920000000000004E-3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-1.179910572976012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-0.77370399999999995</v>
      </c>
    </row>
    <row r="137" spans="3:23" x14ac:dyDescent="0.3">
      <c r="C137">
        <f t="shared" si="25"/>
        <v>0</v>
      </c>
      <c r="D137">
        <v>1.9800000000000002E-2</v>
      </c>
      <c r="E137">
        <v>4.1920000000000004E-3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-1.179910572976012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-0.77774600000000005</v>
      </c>
    </row>
    <row r="138" spans="3:23" x14ac:dyDescent="0.3">
      <c r="C138">
        <f t="shared" si="25"/>
        <v>0</v>
      </c>
      <c r="D138">
        <v>1.9800000000000002E-2</v>
      </c>
      <c r="E138">
        <v>4.1920000000000004E-3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-1.179910572976012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-0.78178799999999993</v>
      </c>
    </row>
    <row r="139" spans="3:23" x14ac:dyDescent="0.3">
      <c r="C139">
        <f t="shared" si="25"/>
        <v>0</v>
      </c>
      <c r="D139">
        <v>1.9800000000000002E-2</v>
      </c>
      <c r="E139">
        <v>4.1920000000000004E-3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-1.179910572976012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-0.78583000000000003</v>
      </c>
    </row>
    <row r="140" spans="3:23" x14ac:dyDescent="0.3">
      <c r="C140">
        <f t="shared" si="25"/>
        <v>0</v>
      </c>
      <c r="D140">
        <v>1.9800000000000002E-2</v>
      </c>
      <c r="E140">
        <v>4.1920000000000004E-3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-1.179910572976012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1.9800000000000002E-2</v>
      </c>
      <c r="E141">
        <v>4.1920000000000004E-3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-1.179910572976012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1.9800000000000002E-2</v>
      </c>
      <c r="E142">
        <v>4.1920000000000004E-3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-1.179910572976012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1.9800000000000002E-2</v>
      </c>
      <c r="E143">
        <v>4.1920000000000004E-3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-1.179910572976012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1.9800000000000002E-2</v>
      </c>
      <c r="E144">
        <v>4.1920000000000004E-3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-1.179910572976012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1.9800000000000002E-2</v>
      </c>
      <c r="E145">
        <v>4.1920000000000004E-3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-1.179910572976012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1.9800000000000002E-2</v>
      </c>
      <c r="E146">
        <v>4.1920000000000004E-3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-1.179910572976012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1.9800000000000002E-2</v>
      </c>
      <c r="E147">
        <v>4.1920000000000004E-3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-1.179910572976012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1.9800000000000002E-2</v>
      </c>
      <c r="E148">
        <v>4.1920000000000004E-3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-1.179910572976012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1.9800000000000002E-2</v>
      </c>
      <c r="E149">
        <v>4.1920000000000004E-3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-1.179910572976012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1.9800000000000002E-2</v>
      </c>
      <c r="E150">
        <v>4.1920000000000004E-3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-1.179910572976012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1.9800000000000002E-2</v>
      </c>
      <c r="E151">
        <v>4.1920000000000004E-3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-1.179910572976012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1.9800000000000002E-2</v>
      </c>
      <c r="E152">
        <v>4.1920000000000004E-3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-1.179910572976012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1.9800000000000002E-2</v>
      </c>
      <c r="E153">
        <v>4.1920000000000004E-3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-1.179910572976012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1.9800000000000002E-2</v>
      </c>
      <c r="E154">
        <v>4.1920000000000004E-3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-1.179910572976012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1.9800000000000002E-2</v>
      </c>
      <c r="E155">
        <v>4.1920000000000004E-3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-1.179910572976012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1.9800000000000002E-2</v>
      </c>
      <c r="E156">
        <v>4.1920000000000004E-3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-1.179910572976012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1.9800000000000002E-2</v>
      </c>
      <c r="E157">
        <v>4.1920000000000004E-3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-1.179910572976012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1.9800000000000002E-2</v>
      </c>
      <c r="E158">
        <v>4.1920000000000004E-3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-1.179910572976012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1.9800000000000002E-2</v>
      </c>
      <c r="E159">
        <v>4.1920000000000004E-3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-1.179910572976012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1.9800000000000002E-2</v>
      </c>
      <c r="E160">
        <v>4.1920000000000004E-3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-1.179910572976012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1.9800000000000002E-2</v>
      </c>
      <c r="E161">
        <v>4.1920000000000004E-3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-1.179910572976012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1.9800000000000002E-2</v>
      </c>
      <c r="E162">
        <v>4.1920000000000004E-3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-1.179910572976012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1.9800000000000002E-2</v>
      </c>
      <c r="E163">
        <v>4.1920000000000004E-3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-1.179910572976012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1.9800000000000002E-2</v>
      </c>
      <c r="E164">
        <v>4.1920000000000004E-3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-1.179910572976012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1.9800000000000002E-2</v>
      </c>
      <c r="E165">
        <v>4.1920000000000004E-3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-1.179910572976012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1.9800000000000002E-2</v>
      </c>
      <c r="E166">
        <v>4.1920000000000004E-3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-1.179910572976012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1.9800000000000002E-2</v>
      </c>
      <c r="E167">
        <v>4.1920000000000004E-3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-1.179910572976012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1.9800000000000002E-2</v>
      </c>
      <c r="E168">
        <v>4.1920000000000004E-3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-1.179910572976012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1.9800000000000002E-2</v>
      </c>
      <c r="E169">
        <v>4.1920000000000004E-3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-1.179910572976012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1.9800000000000002E-2</v>
      </c>
      <c r="E170">
        <v>4.1920000000000004E-3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-1.179910572976012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1.9800000000000002E-2</v>
      </c>
      <c r="E171">
        <v>4.1920000000000004E-3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-1.179910572976012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1.9800000000000002E-2</v>
      </c>
      <c r="E172">
        <v>4.1920000000000004E-3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-1.179910572976012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1.9800000000000002E-2</v>
      </c>
      <c r="E173">
        <v>4.1920000000000004E-3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-1.179910572976012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1.9800000000000002E-2</v>
      </c>
      <c r="E174">
        <v>4.1920000000000004E-3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-1.179910572976012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1.9800000000000002E-2</v>
      </c>
      <c r="E175">
        <v>4.1920000000000004E-3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-1.179910572976012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1.9800000000000002E-2</v>
      </c>
      <c r="E176">
        <v>4.1920000000000004E-3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-1.179910572976012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1.9800000000000002E-2</v>
      </c>
      <c r="E177">
        <v>4.1920000000000004E-3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-1.179910572976012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1.9800000000000002E-2</v>
      </c>
      <c r="E178">
        <v>4.1920000000000004E-3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-1.179910572976012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1.9800000000000002E-2</v>
      </c>
      <c r="E179">
        <v>4.1920000000000004E-3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-1.179910572976012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1.9800000000000002E-2</v>
      </c>
      <c r="E180">
        <v>4.1920000000000004E-3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-1.179910572976012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1.9800000000000002E-2</v>
      </c>
      <c r="E181">
        <v>4.1920000000000004E-3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-1.179910572976012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1.9800000000000002E-2</v>
      </c>
      <c r="E182">
        <v>4.1920000000000004E-3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-1.179910572976012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1.9800000000000002E-2</v>
      </c>
      <c r="E183">
        <v>4.1920000000000004E-3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-1.179910572976012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1.9800000000000002E-2</v>
      </c>
      <c r="E184">
        <v>4.1920000000000004E-3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-1.179910572976012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1.9800000000000002E-2</v>
      </c>
      <c r="E185">
        <v>4.1920000000000004E-3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-1.179910572976012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1.9800000000000002E-2</v>
      </c>
      <c r="E186">
        <v>4.1920000000000004E-3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-1.179910572976012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1.9800000000000002E-2</v>
      </c>
      <c r="E187">
        <v>4.1920000000000004E-3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-1.179910572976012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1.9800000000000002E-2</v>
      </c>
      <c r="E188">
        <v>4.1920000000000004E-3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-1.179910572976012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1.9800000000000002E-2</v>
      </c>
      <c r="E189">
        <v>4.1920000000000004E-3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-1.179910572976012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1.9800000000000002E-2</v>
      </c>
      <c r="E190">
        <v>4.1920000000000004E-3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-1.179910572976012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1.9800000000000002E-2</v>
      </c>
      <c r="E191">
        <v>4.1920000000000004E-3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-1.179910572976012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1.9800000000000002E-2</v>
      </c>
      <c r="E192">
        <v>4.1920000000000004E-3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-1.179910572976012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1.9800000000000002E-2</v>
      </c>
      <c r="E193">
        <v>4.1920000000000004E-3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-1.179910572976012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1.9800000000000002E-2</v>
      </c>
      <c r="E194">
        <v>4.1920000000000004E-3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-1.179910572976012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1.9800000000000002E-2</v>
      </c>
      <c r="E195">
        <v>4.1920000000000004E-3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-1.179910572976012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1.9800000000000002E-2</v>
      </c>
      <c r="E196">
        <v>4.1920000000000004E-3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-1.179910572976012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1.9800000000000002E-2</v>
      </c>
      <c r="E197">
        <v>4.1920000000000004E-3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-1.179910572976012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1.9800000000000002E-2</v>
      </c>
      <c r="E198">
        <v>4.1920000000000004E-3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-1.179910572976012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1.9800000000000002E-2</v>
      </c>
      <c r="E199">
        <v>4.1920000000000004E-3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-1.179910572976012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1.9800000000000002E-2</v>
      </c>
      <c r="E200">
        <v>4.1920000000000004E-3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-1.179910572976012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1.9800000000000002E-2</v>
      </c>
      <c r="E201">
        <v>4.1920000000000004E-3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-1.179910572976012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1.9800000000000002E-2</v>
      </c>
      <c r="E202">
        <v>4.1920000000000004E-3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-1.179910572976012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1.9800000000000002E-2</v>
      </c>
      <c r="E203">
        <v>4.1920000000000004E-3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-1.179910572976012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1.9800000000000002E-2</v>
      </c>
      <c r="E204">
        <v>4.1920000000000004E-3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-1.179910572976012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1.9800000000000002E-2</v>
      </c>
      <c r="E205">
        <v>4.1920000000000004E-3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-1.179910572976012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1.9800000000000002E-2</v>
      </c>
      <c r="E206">
        <v>4.1920000000000004E-3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-1.179910572976012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1.9800000000000002E-2</v>
      </c>
      <c r="E207">
        <v>4.1920000000000004E-3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-1.179910572976012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1.9800000000000002E-2</v>
      </c>
      <c r="E208">
        <v>4.1920000000000004E-3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-1.179910572976012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1.9800000000000002E-2</v>
      </c>
      <c r="E209">
        <v>4.1920000000000004E-3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-1.179910572976012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1.9800000000000002E-2</v>
      </c>
      <c r="E210">
        <v>4.1920000000000004E-3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-1.179910572976012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1.9800000000000002E-2</v>
      </c>
      <c r="E211">
        <v>4.1920000000000004E-3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-1.179910572976012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1.9800000000000002E-2</v>
      </c>
      <c r="E212">
        <v>4.1920000000000004E-3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-1.179910572976012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1.9800000000000002E-2</v>
      </c>
      <c r="E213">
        <v>4.1920000000000004E-3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-1.179910572976012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1.9800000000000002E-2</v>
      </c>
      <c r="E214">
        <v>4.1920000000000004E-3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-1.179910572976012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1.9800000000000002E-2</v>
      </c>
      <c r="E215">
        <v>4.1920000000000004E-3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-1.179910572976012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1.9800000000000002E-2</v>
      </c>
      <c r="E216">
        <v>4.1920000000000004E-3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-1.179910572976012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1.9800000000000002E-2</v>
      </c>
      <c r="E217">
        <v>4.1920000000000004E-3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-1.179910572976012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1.9800000000000002E-2</v>
      </c>
      <c r="E218">
        <v>4.1920000000000004E-3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-1.179910572976012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1.9800000000000002E-2</v>
      </c>
      <c r="E219">
        <v>4.1920000000000004E-3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-1.179910572976012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1.9800000000000002E-2</v>
      </c>
      <c r="E220">
        <v>4.1920000000000004E-3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-1.179910572976012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1.9800000000000002E-2</v>
      </c>
      <c r="E221">
        <v>4.1920000000000004E-3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-1.179910572976012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1.9800000000000002E-2</v>
      </c>
      <c r="E222">
        <v>4.1920000000000004E-3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-1.179910572976012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1.9800000000000002E-2</v>
      </c>
      <c r="E223">
        <v>4.1920000000000004E-3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-1.179910572976012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1.9800000000000002E-2</v>
      </c>
      <c r="E224">
        <v>4.1920000000000004E-3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-1.179910572976012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1.9800000000000002E-2</v>
      </c>
      <c r="E225">
        <v>4.1920000000000004E-3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-1.179910572976012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1.9800000000000002E-2</v>
      </c>
      <c r="E226">
        <v>4.1920000000000004E-3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-1.179910572976012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1.9800000000000002E-2</v>
      </c>
      <c r="E227">
        <v>4.1920000000000004E-3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-1.179910572976012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1.9800000000000002E-2</v>
      </c>
      <c r="E228">
        <v>4.1920000000000004E-3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-1.179910572976012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1.9800000000000002E-2</v>
      </c>
      <c r="E229">
        <v>4.1920000000000004E-3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-1.179910572976012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1.9800000000000002E-2</v>
      </c>
      <c r="E230">
        <v>4.1920000000000004E-3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-1.179910572976012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1.9800000000000002E-2</v>
      </c>
      <c r="E231">
        <v>4.1920000000000004E-3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-1.179910572976012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1.9800000000000002E-2</v>
      </c>
      <c r="E232">
        <v>4.1920000000000004E-3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-1.179910572976012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1.9800000000000002E-2</v>
      </c>
      <c r="E233">
        <v>4.1920000000000004E-3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-1.179910572976012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1.9800000000000002E-2</v>
      </c>
      <c r="E234">
        <v>4.1920000000000004E-3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-1.179910572976012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1.9800000000000002E-2</v>
      </c>
      <c r="E235">
        <v>4.1920000000000004E-3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-1.179910572976012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1.9800000000000002E-2</v>
      </c>
      <c r="E236">
        <v>4.1920000000000004E-3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-1.179910572976012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1.9800000000000002E-2</v>
      </c>
      <c r="E237">
        <v>4.1920000000000004E-3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-1.179910572976012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1.9800000000000002E-2</v>
      </c>
      <c r="E238">
        <v>4.1920000000000004E-3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-1.179910572976012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1.9800000000000002E-2</v>
      </c>
      <c r="E239">
        <v>4.1920000000000004E-3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-1.179910572976012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1.9800000000000002E-2</v>
      </c>
      <c r="E240">
        <v>4.1920000000000004E-3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-1.179910572976012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1.9800000000000002E-2</v>
      </c>
      <c r="E241">
        <v>4.1920000000000004E-3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-1.179910572976012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1.9800000000000002E-2</v>
      </c>
      <c r="E242">
        <v>4.1920000000000004E-3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-1.179910572976012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1.9800000000000002E-2</v>
      </c>
      <c r="E243">
        <v>4.1920000000000004E-3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-1.179910572976012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1.9800000000000002E-2</v>
      </c>
      <c r="E244">
        <v>4.1920000000000004E-3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-1.179910572976012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1.9800000000000002E-2</v>
      </c>
      <c r="E245">
        <v>4.1920000000000004E-3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-1.179910572976012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1.9800000000000002E-2</v>
      </c>
      <c r="E246">
        <v>4.1920000000000004E-3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-1.179910572976012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1.9800000000000002E-2</v>
      </c>
      <c r="E247">
        <v>4.1920000000000004E-3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-1.179910572976012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1.9800000000000002E-2</v>
      </c>
      <c r="E248">
        <v>4.1920000000000004E-3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-1.179910572976012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1.9800000000000002E-2</v>
      </c>
      <c r="E249">
        <v>4.1920000000000004E-3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-1.179910572976012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1.9800000000000002E-2</v>
      </c>
      <c r="E250">
        <v>4.1920000000000004E-3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-1.179910572976012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1.9800000000000002E-2</v>
      </c>
      <c r="E251">
        <v>4.1920000000000004E-3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-1.179910572976012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1.9800000000000002E-2</v>
      </c>
      <c r="E252">
        <v>4.1920000000000004E-3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-1.179910572976012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1.9800000000000002E-2</v>
      </c>
      <c r="E253">
        <v>4.1920000000000004E-3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-1.179910572976012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1.9800000000000002E-2</v>
      </c>
      <c r="E254">
        <v>4.1920000000000004E-3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-1.179910572976012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1.9800000000000002E-2</v>
      </c>
      <c r="E255">
        <v>4.1920000000000004E-3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-1.179910572976012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1.9800000000000002E-2</v>
      </c>
      <c r="E256">
        <v>4.1920000000000004E-3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-1.179910572976012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1.9800000000000002E-2</v>
      </c>
      <c r="E257">
        <v>4.1920000000000004E-3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-1.179910572976012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1.9800000000000002E-2</v>
      </c>
      <c r="E258">
        <v>4.1920000000000004E-3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-1.179910572976012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1.9800000000000002E-2</v>
      </c>
      <c r="E259">
        <v>4.1920000000000004E-3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-1.179910572976012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1.9800000000000002E-2</v>
      </c>
      <c r="E260">
        <v>4.1920000000000004E-3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-1.179910572976012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1.9800000000000002E-2</v>
      </c>
      <c r="E261">
        <v>4.1920000000000004E-3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-1.179910572976012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1.9800000000000002E-2</v>
      </c>
      <c r="E262">
        <v>4.1920000000000004E-3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-1.179910572976012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1.9800000000000002E-2</v>
      </c>
      <c r="E263">
        <v>4.1920000000000004E-3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-1.179910572976012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1.9800000000000002E-2</v>
      </c>
      <c r="E264">
        <v>4.1920000000000004E-3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-1.179910572976012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1.9800000000000002E-2</v>
      </c>
      <c r="E265">
        <v>4.1920000000000004E-3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-1.179910572976012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1.9800000000000002E-2</v>
      </c>
      <c r="E266">
        <v>4.1920000000000004E-3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-1.179910572976012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1.9800000000000002E-2</v>
      </c>
      <c r="E267">
        <v>4.1920000000000004E-3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-1.179910572976012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1.9800000000000002E-2</v>
      </c>
      <c r="E268">
        <v>4.1920000000000004E-3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-1.179910572976012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1.9800000000000002E-2</v>
      </c>
      <c r="E269">
        <v>4.1920000000000004E-3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-1.179910572976012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1.9800000000000002E-2</v>
      </c>
      <c r="E270">
        <v>4.1920000000000004E-3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-1.179910572976012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1.9800000000000002E-2</v>
      </c>
      <c r="E271">
        <v>4.1920000000000004E-3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-1.179910572976012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1.9800000000000002E-2</v>
      </c>
      <c r="E272">
        <v>4.1920000000000004E-3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-1.179910572976012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1.9800000000000002E-2</v>
      </c>
      <c r="E273">
        <v>4.1920000000000004E-3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-1.179910572976012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1.9800000000000002E-2</v>
      </c>
      <c r="E274">
        <v>4.1920000000000004E-3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-1.179910572976012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1.9800000000000002E-2</v>
      </c>
      <c r="E275">
        <v>4.1920000000000004E-3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-1.179910572976012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1.9800000000000002E-2</v>
      </c>
      <c r="E276">
        <v>4.1920000000000004E-3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-1.179910572976012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1.9800000000000002E-2</v>
      </c>
      <c r="E277">
        <v>4.1920000000000004E-3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-1.179910572976012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1.9800000000000002E-2</v>
      </c>
      <c r="E278">
        <v>4.1920000000000004E-3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-1.179910572976012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1.9800000000000002E-2</v>
      </c>
      <c r="E279">
        <v>4.1920000000000004E-3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-1.179910572976012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1.9800000000000002E-2</v>
      </c>
      <c r="E280">
        <v>4.1920000000000004E-3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-1.179910572976012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1.9800000000000002E-2</v>
      </c>
      <c r="E281">
        <v>4.1920000000000004E-3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-1.179910572976012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1.9800000000000002E-2</v>
      </c>
      <c r="E282">
        <v>4.1920000000000004E-3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-1.179910572976012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1.9800000000000002E-2</v>
      </c>
      <c r="E283">
        <v>4.1920000000000004E-3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-1.179910572976012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1.9800000000000002E-2</v>
      </c>
      <c r="E284">
        <v>4.1920000000000004E-3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-1.179910572976012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1.9800000000000002E-2</v>
      </c>
      <c r="E285">
        <v>4.1920000000000004E-3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-1.179910572976012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1.9800000000000002E-2</v>
      </c>
      <c r="E286">
        <v>4.1920000000000004E-3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-1.179910572976012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1.9800000000000002E-2</v>
      </c>
      <c r="E287">
        <v>4.1920000000000004E-3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-1.179910572976012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1.9800000000000002E-2</v>
      </c>
      <c r="E288">
        <v>4.1920000000000004E-3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-1.179910572976012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1.9800000000000002E-2</v>
      </c>
      <c r="E289">
        <v>4.1920000000000004E-3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-1.179910572976012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1.9800000000000002E-2</v>
      </c>
      <c r="E290">
        <v>4.1920000000000004E-3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-1.179910572976012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1.9800000000000002E-2</v>
      </c>
      <c r="E291">
        <v>4.1920000000000004E-3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-1.179910572976012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1.9800000000000002E-2</v>
      </c>
      <c r="E292">
        <v>4.1920000000000004E-3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-1.179910572976012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1.9800000000000002E-2</v>
      </c>
      <c r="E293">
        <v>4.1920000000000004E-3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-1.179910572976012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1.9800000000000002E-2</v>
      </c>
      <c r="E294">
        <v>4.1920000000000004E-3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-1.179910572976012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1.9800000000000002E-2</v>
      </c>
      <c r="E295">
        <v>4.1920000000000004E-3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-1.179910572976012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1.9800000000000002E-2</v>
      </c>
      <c r="E296">
        <v>4.1920000000000004E-3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-1.179910572976012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1.9800000000000002E-2</v>
      </c>
      <c r="E297">
        <v>4.1920000000000004E-3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-1.179910572976012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1.9800000000000002E-2</v>
      </c>
      <c r="E298">
        <v>4.1920000000000004E-3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-1.179910572976012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1.9800000000000002E-2</v>
      </c>
      <c r="E299">
        <v>4.1920000000000004E-3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-1.179910572976012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1.9800000000000002E-2</v>
      </c>
      <c r="E300">
        <v>4.1920000000000004E-3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-1.179910572976012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1.9800000000000002E-2</v>
      </c>
      <c r="E301">
        <v>4.1920000000000004E-3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-1.179910572976012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1.9800000000000002E-2</v>
      </c>
      <c r="E302">
        <v>4.1920000000000004E-3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-1.179910572976012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1.9800000000000002E-2</v>
      </c>
      <c r="E303">
        <v>4.1920000000000004E-3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-1.179910572976012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1.179910572976012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-0.31775649707346809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-0.32755694601335028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-0.33547398075868595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-0.34631824823682411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-0.34771106025840737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-0.35791743224223349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-0.36302915267266722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-0.36737433428380284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-0.37126499784125777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-0.3771984742993304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-0.3791141905199179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-0.38635584264983625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-0.38799567548098068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-0.39301701211931195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-0.39557758404405807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-0.39895319816111419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-0.40173044283251858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-0.40379981562726597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-0.40807027207822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-0.41058256117497771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-0.41512207126596967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-0.4152430154300818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-0.41865723577358227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-0.42020708752562497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-0.42566361695962052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-0.42540201099779107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-0.43208486360237397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-0.4315008944110762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-0.43448400066043835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-0.43603636181272964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-0.44122560042934522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-0.43979555125150482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-0.44557747531220704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-0.4455289144128749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-0.4499314018839935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-0.44846920116354916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-0.4537519083866367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-0.45263708583631013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-0.45767645103978005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-0.4569680449130723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-0.46159475842495645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-0.46221935475378129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-0.46465039846375977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-0.46597961075620742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-0.46667160196374746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-0.46891890668024505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-0.47210834185268369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-0.47254712513451669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-0.47522493514909236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-0.47794249136805933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-0.47996368926020361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-0.47945188178997145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-0.48306794009448972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-0.48655057781781652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-0.48540458812912202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-0.48532693353417911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-0.49044909742166498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-0.49108584776713338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-0.49277137140338523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-0.492621743093271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-0.49249600155522322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-0.49752484004012143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-0.50048345700425301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-0.50046776850609875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-0.50248032168887946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-0.50210941456063485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-0.50396947921745872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-0.50203230655460451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-0.50640734815434019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-0.50804671216367581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-0.51205973602570998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-0.51244931741132249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-0.5091586144346486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-0.5117823378683517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-0.51321719919641706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-0.51757198319091302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-0.51759515330781436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-0.51921337115733723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-0.51886376724322536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-0.52063481099422659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-0.51857533221711605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-0.5235943097433039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-0.52522364658059562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-0.52147346837889041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-0.52926385020682598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-0.52576852522577733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-0.52817293787868713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-0.52922176709853497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-0.53010000377172628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-0.53182555027850353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-0.53024474498929475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-0.5346441220892707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-0.53134502799658867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-0.53723053214137639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-0.53406292997818083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-0.53856844003232218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-0.53727791731480146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-0.53942153359400136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-0.53836898454435556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-0.54227679826231701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-0.54155216273166629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-0.54387965298279017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-0.54493852546979882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-0.54740831652041166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-0.54643149112050626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-0.546410741722543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-0.54977761355036892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-0.54730853837292293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-0.54811383455516793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-0.5564104941175172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-0.54942332974268893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-0.54959864582647777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-0.55304122647738851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-0.55220645998475348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-0.55690438823047672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-0.55439231119843224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-0.55473059510194167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-0.55988963998736829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-0.5547697109193841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-0.56047096653087836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-0.55681200967123001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-0.55822325332190481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-0.56457201859416462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-0.56033793175615765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-0.55779725236802191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-0.56470703057890037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-0.5586435056559631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-0.56502985727076627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-0.56690695434432126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-0.56414683321261805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-0.57076494562730584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-0.5675414789996186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-0.56973985840966201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-0.56867395754146977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-0.57142759712176416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-0.56965264655001857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-0.57239621367158389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-0.56976920496859051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-0.57393423416985967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-0.56783052872603035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-0.57772383977915742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-0.57593243574010233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-0.57576620597385264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-0.57846903967811558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-0.5685219289391229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-0.58038117018218727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-0.57645106110354161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-0.58035765980522724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-0.58104078488910593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-0.58043960964754626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-0.57711655827089037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-0.58163554453660937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-0.58139504048745727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-0.58199554384605989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-0.58670284545489049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-0.58408073316915721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-0.58737214665104831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-0.58295318004234531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-0.59098450762112831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-0.5846556829143652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-0.59058966837452742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-0.5873978074785362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-0.59211052766366701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-0.58566725199927783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-0.59321316723911854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-0.58981610628192516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-0.59313547702628766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-0.59284738218309385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-0.59063454252154024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-0.59177062711684802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-0.5989440985726604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-0.59367577938291827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-0.59615275359769559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-0.59618324768002717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-0.59314928930791122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-0.59834350716449713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-0.5999984916643688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-0.59670876868118738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-0.59480336731310579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-0.59543019529198493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-0.59566458515364318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-0.60122443613844001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-0.60469597230874395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-0.60829459105043504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-0.59983176375870795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-0.60343127611352898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-0.60372321337868673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-0.6059701288511643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-0.60458992291571589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-0.61047180304222193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-0.60003083149968484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-0.61009481698282464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-0.61092232841967442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-0.61048678814177604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-0.61777550389211278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-0.6199774649825136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-0.6203014151481876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-0.62258708845319244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-0.62336735335211846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-0.62538156965928171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-0.62490031107508048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-0.6270768080721687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-0.62674174645309544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-0.62866392101820201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-0.62924335561027034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-0.63137175281759006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-0.63108843792082758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-0.63320692326315142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-0.63360501011626813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-0.63570217175536259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-0.6353287023076305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-0.63821354379572359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-0.63807195185377097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-0.64021893557002041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-0.64085577070533128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-0.64278835452501859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-0.64254917419667934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-0.64221116659568644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-0.64516712658013786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-0.64459055307971336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-0.64683452659525364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-0.6469348542211244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2026-04-20T06:39:46Z</dcterms:modified>
</cp:coreProperties>
</file>