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Air\"/>
    </mc:Choice>
  </mc:AlternateContent>
  <xr:revisionPtr revIDLastSave="0" documentId="13_ncr:1_{20866D82-8540-4833-B1F1-A2B9682E2EE3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3" sheetId="4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C213" i="1"/>
  <c r="H213" i="1" s="1"/>
  <c r="J213" i="1"/>
  <c r="M213" i="1" s="1"/>
  <c r="G213" i="1"/>
  <c r="C214" i="1"/>
  <c r="H214" i="1" s="1"/>
  <c r="J214" i="1"/>
  <c r="M214" i="1" s="1"/>
  <c r="G214" i="1"/>
  <c r="C215" i="1"/>
  <c r="H215" i="1" s="1"/>
  <c r="J215" i="1"/>
  <c r="M215" i="1" s="1"/>
  <c r="G215" i="1"/>
  <c r="C216" i="1"/>
  <c r="H216" i="1" s="1"/>
  <c r="J216" i="1"/>
  <c r="M216" i="1" s="1"/>
  <c r="G216" i="1"/>
  <c r="C217" i="1"/>
  <c r="H217" i="1" s="1"/>
  <c r="J217" i="1"/>
  <c r="M217" i="1" s="1"/>
  <c r="G217" i="1"/>
  <c r="C218" i="1"/>
  <c r="H218" i="1" s="1"/>
  <c r="J218" i="1"/>
  <c r="M218" i="1" s="1"/>
  <c r="G218" i="1"/>
  <c r="C219" i="1"/>
  <c r="H219" i="1" s="1"/>
  <c r="J219" i="1"/>
  <c r="M219" i="1" s="1"/>
  <c r="G219" i="1"/>
  <c r="C220" i="1"/>
  <c r="H220" i="1" s="1"/>
  <c r="J220" i="1"/>
  <c r="M220" i="1" s="1"/>
  <c r="G220" i="1"/>
  <c r="C221" i="1"/>
  <c r="H221" i="1" s="1"/>
  <c r="J221" i="1"/>
  <c r="M221" i="1" s="1"/>
  <c r="G221" i="1"/>
  <c r="C222" i="1"/>
  <c r="H222" i="1" s="1"/>
  <c r="J222" i="1"/>
  <c r="M222" i="1" s="1"/>
  <c r="G222" i="1"/>
  <c r="C223" i="1"/>
  <c r="H223" i="1" s="1"/>
  <c r="J223" i="1"/>
  <c r="M223" i="1" s="1"/>
  <c r="G223" i="1"/>
  <c r="C224" i="1"/>
  <c r="H224" i="1" s="1"/>
  <c r="J224" i="1"/>
  <c r="M224" i="1" s="1"/>
  <c r="G224" i="1"/>
  <c r="C225" i="1"/>
  <c r="H225" i="1" s="1"/>
  <c r="J225" i="1"/>
  <c r="M225" i="1" s="1"/>
  <c r="G225" i="1"/>
  <c r="C226" i="1"/>
  <c r="H226" i="1" s="1"/>
  <c r="J226" i="1"/>
  <c r="M226" i="1" s="1"/>
  <c r="G226" i="1"/>
  <c r="C227" i="1"/>
  <c r="H227" i="1" s="1"/>
  <c r="J227" i="1"/>
  <c r="M227" i="1" s="1"/>
  <c r="G227" i="1"/>
  <c r="C228" i="1"/>
  <c r="H228" i="1" s="1"/>
  <c r="J228" i="1"/>
  <c r="M228" i="1" s="1"/>
  <c r="G228" i="1"/>
  <c r="C229" i="1"/>
  <c r="H229" i="1" s="1"/>
  <c r="J229" i="1"/>
  <c r="M229" i="1" s="1"/>
  <c r="G229" i="1"/>
  <c r="C230" i="1"/>
  <c r="H230" i="1" s="1"/>
  <c r="J230" i="1"/>
  <c r="M230" i="1" s="1"/>
  <c r="G230" i="1"/>
  <c r="C231" i="1"/>
  <c r="H231" i="1" s="1"/>
  <c r="J231" i="1"/>
  <c r="M231" i="1" s="1"/>
  <c r="G231" i="1"/>
  <c r="C232" i="1"/>
  <c r="H232" i="1" s="1"/>
  <c r="J232" i="1"/>
  <c r="M232" i="1" s="1"/>
  <c r="G232" i="1"/>
  <c r="C233" i="1"/>
  <c r="H233" i="1" s="1"/>
  <c r="J233" i="1"/>
  <c r="M233" i="1" s="1"/>
  <c r="G233" i="1"/>
  <c r="C234" i="1"/>
  <c r="H234" i="1" s="1"/>
  <c r="J234" i="1"/>
  <c r="M234" i="1" s="1"/>
  <c r="G234" i="1"/>
  <c r="C235" i="1"/>
  <c r="H235" i="1" s="1"/>
  <c r="G235" i="1"/>
  <c r="C236" i="1"/>
  <c r="H236" i="1" s="1"/>
  <c r="G236" i="1"/>
  <c r="C237" i="1"/>
  <c r="H237" i="1" s="1"/>
  <c r="G237" i="1"/>
  <c r="C238" i="1"/>
  <c r="H238" i="1" s="1"/>
  <c r="G238" i="1"/>
  <c r="C239" i="1"/>
  <c r="H239" i="1" s="1"/>
  <c r="G239" i="1"/>
  <c r="C240" i="1"/>
  <c r="H240" i="1" s="1"/>
  <c r="G240" i="1"/>
  <c r="C241" i="1"/>
  <c r="H241" i="1" s="1"/>
  <c r="G241" i="1"/>
  <c r="C242" i="1"/>
  <c r="H242" i="1" s="1"/>
  <c r="G242" i="1"/>
  <c r="C243" i="1"/>
  <c r="H243" i="1" s="1"/>
  <c r="G243" i="1"/>
  <c r="C244" i="1"/>
  <c r="H244" i="1" s="1"/>
  <c r="G244" i="1"/>
  <c r="C245" i="1"/>
  <c r="H245" i="1" s="1"/>
  <c r="G245" i="1"/>
  <c r="C246" i="1"/>
  <c r="H246" i="1" s="1"/>
  <c r="G246" i="1"/>
  <c r="C247" i="1"/>
  <c r="H247" i="1" s="1"/>
  <c r="G247" i="1"/>
  <c r="C248" i="1"/>
  <c r="H248" i="1" s="1"/>
  <c r="G248" i="1"/>
  <c r="C249" i="1"/>
  <c r="H249" i="1" s="1"/>
  <c r="G249" i="1"/>
  <c r="C250" i="1"/>
  <c r="H250" i="1" s="1"/>
  <c r="G250" i="1"/>
  <c r="C251" i="1"/>
  <c r="H251" i="1" s="1"/>
  <c r="G251" i="1"/>
  <c r="C252" i="1"/>
  <c r="H252" i="1" s="1"/>
  <c r="G252" i="1"/>
  <c r="C253" i="1"/>
  <c r="H253" i="1" s="1"/>
  <c r="G253" i="1"/>
  <c r="C254" i="1"/>
  <c r="H254" i="1" s="1"/>
  <c r="G254" i="1"/>
  <c r="C255" i="1"/>
  <c r="H255" i="1" s="1"/>
  <c r="G255" i="1"/>
  <c r="C256" i="1"/>
  <c r="H256" i="1" s="1"/>
  <c r="G256" i="1"/>
  <c r="C257" i="1"/>
  <c r="H257" i="1" s="1"/>
  <c r="G257" i="1"/>
  <c r="C258" i="1"/>
  <c r="H258" i="1" s="1"/>
  <c r="G258" i="1"/>
  <c r="C259" i="1"/>
  <c r="H259" i="1" s="1"/>
  <c r="G259" i="1"/>
  <c r="C260" i="1"/>
  <c r="H260" i="1" s="1"/>
  <c r="G260" i="1"/>
  <c r="C261" i="1"/>
  <c r="H261" i="1" s="1"/>
  <c r="G261" i="1"/>
  <c r="C262" i="1"/>
  <c r="H262" i="1" s="1"/>
  <c r="G262" i="1"/>
  <c r="C263" i="1"/>
  <c r="H263" i="1" s="1"/>
  <c r="G263" i="1"/>
  <c r="C264" i="1"/>
  <c r="H264" i="1" s="1"/>
  <c r="G264" i="1"/>
  <c r="C265" i="1"/>
  <c r="H265" i="1" s="1"/>
  <c r="G265" i="1"/>
  <c r="C266" i="1"/>
  <c r="H266" i="1" s="1"/>
  <c r="G266" i="1"/>
  <c r="C267" i="1"/>
  <c r="H267" i="1" s="1"/>
  <c r="G267" i="1"/>
  <c r="C268" i="1"/>
  <c r="H268" i="1" s="1"/>
  <c r="G268" i="1"/>
  <c r="C269" i="1"/>
  <c r="H269" i="1" s="1"/>
  <c r="G269" i="1"/>
  <c r="C270" i="1"/>
  <c r="H270" i="1" s="1"/>
  <c r="G270" i="1"/>
  <c r="C271" i="1"/>
  <c r="H271" i="1" s="1"/>
  <c r="G271" i="1"/>
  <c r="C272" i="1"/>
  <c r="H272" i="1" s="1"/>
  <c r="G272" i="1"/>
  <c r="C273" i="1"/>
  <c r="H273" i="1" s="1"/>
  <c r="G273" i="1"/>
  <c r="C274" i="1"/>
  <c r="H274" i="1" s="1"/>
  <c r="G274" i="1"/>
  <c r="C275" i="1"/>
  <c r="H275" i="1" s="1"/>
  <c r="G275" i="1"/>
  <c r="C276" i="1"/>
  <c r="H276" i="1" s="1"/>
  <c r="G276" i="1"/>
  <c r="C277" i="1"/>
  <c r="H277" i="1" s="1"/>
  <c r="G277" i="1"/>
  <c r="C278" i="1"/>
  <c r="H278" i="1" s="1"/>
  <c r="G278" i="1"/>
  <c r="C279" i="1"/>
  <c r="H279" i="1" s="1"/>
  <c r="G279" i="1"/>
  <c r="C280" i="1"/>
  <c r="H280" i="1" s="1"/>
  <c r="G280" i="1"/>
  <c r="C281" i="1"/>
  <c r="H281" i="1" s="1"/>
  <c r="G281" i="1"/>
  <c r="C282" i="1"/>
  <c r="H282" i="1" s="1"/>
  <c r="G282" i="1"/>
  <c r="C283" i="1"/>
  <c r="H283" i="1" s="1"/>
  <c r="G283" i="1"/>
  <c r="C284" i="1"/>
  <c r="H284" i="1" s="1"/>
  <c r="G284" i="1"/>
  <c r="C285" i="1"/>
  <c r="H285" i="1" s="1"/>
  <c r="G285" i="1"/>
  <c r="C286" i="1"/>
  <c r="H286" i="1" s="1"/>
  <c r="G286" i="1"/>
  <c r="C287" i="1"/>
  <c r="H287" i="1" s="1"/>
  <c r="G287" i="1"/>
  <c r="C288" i="1"/>
  <c r="H288" i="1" s="1"/>
  <c r="G288" i="1"/>
  <c r="C289" i="1"/>
  <c r="H289" i="1" s="1"/>
  <c r="G289" i="1"/>
  <c r="C290" i="1"/>
  <c r="H290" i="1" s="1"/>
  <c r="G290" i="1"/>
  <c r="C291" i="1"/>
  <c r="H291" i="1" s="1"/>
  <c r="G291" i="1"/>
  <c r="C292" i="1"/>
  <c r="H292" i="1" s="1"/>
  <c r="G292" i="1"/>
  <c r="C293" i="1"/>
  <c r="H293" i="1" s="1"/>
  <c r="G293" i="1"/>
  <c r="C294" i="1"/>
  <c r="H294" i="1" s="1"/>
  <c r="G294" i="1"/>
  <c r="C295" i="1"/>
  <c r="H295" i="1" s="1"/>
  <c r="G295" i="1"/>
  <c r="C296" i="1"/>
  <c r="H296" i="1" s="1"/>
  <c r="G296" i="1"/>
  <c r="C297" i="1"/>
  <c r="H297" i="1" s="1"/>
  <c r="G297" i="1"/>
  <c r="C298" i="1"/>
  <c r="H298" i="1" s="1"/>
  <c r="G298" i="1"/>
  <c r="C299" i="1"/>
  <c r="H299" i="1" s="1"/>
  <c r="G299" i="1"/>
  <c r="C300" i="1"/>
  <c r="H300" i="1" s="1"/>
  <c r="G300" i="1"/>
  <c r="C301" i="1"/>
  <c r="H301" i="1" s="1"/>
  <c r="G301" i="1"/>
  <c r="C302" i="1"/>
  <c r="H302" i="1" s="1"/>
  <c r="G302" i="1"/>
  <c r="C303" i="1"/>
  <c r="H303" i="1" s="1"/>
  <c r="G303" i="1"/>
  <c r="R225" i="1" l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J189" i="1"/>
  <c r="M189" i="1" s="1"/>
  <c r="G189" i="1"/>
  <c r="J190" i="1"/>
  <c r="M190" i="1" s="1"/>
  <c r="G190" i="1"/>
  <c r="J191" i="1"/>
  <c r="M191" i="1" s="1"/>
  <c r="G191" i="1"/>
  <c r="J192" i="1"/>
  <c r="M192" i="1" s="1"/>
  <c r="G192" i="1"/>
  <c r="J193" i="1"/>
  <c r="M193" i="1" s="1"/>
  <c r="G193" i="1"/>
  <c r="J194" i="1"/>
  <c r="M194" i="1" s="1"/>
  <c r="G194" i="1"/>
  <c r="J195" i="1"/>
  <c r="M195" i="1" s="1"/>
  <c r="G195" i="1"/>
  <c r="J196" i="1"/>
  <c r="M196" i="1" s="1"/>
  <c r="G196" i="1"/>
  <c r="J197" i="1"/>
  <c r="M197" i="1" s="1"/>
  <c r="G197" i="1"/>
  <c r="J198" i="1"/>
  <c r="M198" i="1" s="1"/>
  <c r="G198" i="1"/>
  <c r="J199" i="1"/>
  <c r="M199" i="1" s="1"/>
  <c r="G199" i="1"/>
  <c r="J200" i="1"/>
  <c r="M200" i="1" s="1"/>
  <c r="G200" i="1"/>
  <c r="J201" i="1"/>
  <c r="M201" i="1" s="1"/>
  <c r="G201" i="1"/>
  <c r="J202" i="1"/>
  <c r="M202" i="1" s="1"/>
  <c r="G202" i="1"/>
  <c r="J203" i="1"/>
  <c r="M203" i="1" s="1"/>
  <c r="G203" i="1"/>
  <c r="J204" i="1"/>
  <c r="M204" i="1" s="1"/>
  <c r="G204" i="1"/>
  <c r="J205" i="1"/>
  <c r="M205" i="1" s="1"/>
  <c r="G205" i="1"/>
  <c r="J206" i="1"/>
  <c r="M206" i="1" s="1"/>
  <c r="G206" i="1"/>
  <c r="J207" i="1"/>
  <c r="M207" i="1" s="1"/>
  <c r="G207" i="1"/>
  <c r="J208" i="1"/>
  <c r="M208" i="1" s="1"/>
  <c r="G208" i="1"/>
  <c r="J209" i="1"/>
  <c r="M209" i="1" s="1"/>
  <c r="G209" i="1"/>
  <c r="J210" i="1"/>
  <c r="M210" i="1" s="1"/>
  <c r="G210" i="1"/>
  <c r="J211" i="1"/>
  <c r="M211" i="1" s="1"/>
  <c r="G211" i="1"/>
  <c r="J5" i="1"/>
  <c r="M5" i="1" s="1"/>
  <c r="G5" i="1"/>
  <c r="J6" i="1"/>
  <c r="M6" i="1" s="1"/>
  <c r="G6" i="1"/>
  <c r="J7" i="1"/>
  <c r="M7" i="1" s="1"/>
  <c r="G7" i="1"/>
  <c r="J8" i="1"/>
  <c r="M8" i="1" s="1"/>
  <c r="G8" i="1"/>
  <c r="J9" i="1"/>
  <c r="M9" i="1" s="1"/>
  <c r="G9" i="1"/>
  <c r="J10" i="1"/>
  <c r="M10" i="1" s="1"/>
  <c r="G10" i="1"/>
  <c r="J11" i="1"/>
  <c r="M11" i="1" s="1"/>
  <c r="G11" i="1"/>
  <c r="J12" i="1"/>
  <c r="M12" i="1" s="1"/>
  <c r="G12" i="1"/>
  <c r="J13" i="1"/>
  <c r="M13" i="1" s="1"/>
  <c r="G13" i="1"/>
  <c r="J14" i="1"/>
  <c r="M14" i="1" s="1"/>
  <c r="G14" i="1"/>
  <c r="J15" i="1"/>
  <c r="M15" i="1" s="1"/>
  <c r="G15" i="1"/>
  <c r="J16" i="1"/>
  <c r="M16" i="1" s="1"/>
  <c r="G16" i="1"/>
  <c r="J17" i="1"/>
  <c r="M17" i="1" s="1"/>
  <c r="G17" i="1"/>
  <c r="J18" i="1"/>
  <c r="M18" i="1" s="1"/>
  <c r="G18" i="1"/>
  <c r="J19" i="1"/>
  <c r="M19" i="1" s="1"/>
  <c r="G19" i="1"/>
  <c r="J20" i="1"/>
  <c r="M20" i="1" s="1"/>
  <c r="G20" i="1"/>
  <c r="J21" i="1"/>
  <c r="M21" i="1" s="1"/>
  <c r="G21" i="1"/>
  <c r="J22" i="1"/>
  <c r="M22" i="1" s="1"/>
  <c r="G22" i="1"/>
  <c r="J23" i="1"/>
  <c r="M23" i="1" s="1"/>
  <c r="G23" i="1"/>
  <c r="J24" i="1"/>
  <c r="M24" i="1" s="1"/>
  <c r="G24" i="1"/>
  <c r="J25" i="1"/>
  <c r="M25" i="1" s="1"/>
  <c r="G25" i="1"/>
  <c r="J26" i="1"/>
  <c r="M26" i="1" s="1"/>
  <c r="G26" i="1"/>
  <c r="J27" i="1"/>
  <c r="M27" i="1" s="1"/>
  <c r="G27" i="1"/>
  <c r="J28" i="1"/>
  <c r="M28" i="1" s="1"/>
  <c r="G28" i="1"/>
  <c r="J29" i="1"/>
  <c r="M29" i="1" s="1"/>
  <c r="G29" i="1"/>
  <c r="J30" i="1"/>
  <c r="M30" i="1" s="1"/>
  <c r="G30" i="1"/>
  <c r="J31" i="1"/>
  <c r="M31" i="1" s="1"/>
  <c r="G31" i="1"/>
  <c r="J32" i="1"/>
  <c r="M32" i="1" s="1"/>
  <c r="G32" i="1"/>
  <c r="J33" i="1"/>
  <c r="M33" i="1" s="1"/>
  <c r="G33" i="1"/>
  <c r="J34" i="1"/>
  <c r="M34" i="1" s="1"/>
  <c r="G34" i="1"/>
  <c r="J35" i="1"/>
  <c r="M35" i="1" s="1"/>
  <c r="G35" i="1"/>
  <c r="J36" i="1"/>
  <c r="M36" i="1" s="1"/>
  <c r="G36" i="1"/>
  <c r="J37" i="1"/>
  <c r="M37" i="1" s="1"/>
  <c r="G37" i="1"/>
  <c r="J38" i="1"/>
  <c r="M38" i="1" s="1"/>
  <c r="G38" i="1"/>
  <c r="J39" i="1"/>
  <c r="M39" i="1" s="1"/>
  <c r="G39" i="1"/>
  <c r="J40" i="1"/>
  <c r="M40" i="1" s="1"/>
  <c r="G40" i="1"/>
  <c r="J41" i="1"/>
  <c r="M41" i="1" s="1"/>
  <c r="G41" i="1"/>
  <c r="J42" i="1"/>
  <c r="M42" i="1" s="1"/>
  <c r="G42" i="1"/>
  <c r="J43" i="1"/>
  <c r="M43" i="1" s="1"/>
  <c r="G43" i="1"/>
  <c r="J44" i="1"/>
  <c r="M44" i="1" s="1"/>
  <c r="G44" i="1"/>
  <c r="J45" i="1"/>
  <c r="M45" i="1" s="1"/>
  <c r="G45" i="1"/>
  <c r="J46" i="1"/>
  <c r="M46" i="1" s="1"/>
  <c r="G46" i="1"/>
  <c r="J47" i="1"/>
  <c r="M47" i="1" s="1"/>
  <c r="G47" i="1"/>
  <c r="J48" i="1"/>
  <c r="M48" i="1" s="1"/>
  <c r="G48" i="1"/>
  <c r="J49" i="1"/>
  <c r="M49" i="1" s="1"/>
  <c r="G49" i="1"/>
  <c r="J50" i="1"/>
  <c r="M50" i="1" s="1"/>
  <c r="G50" i="1"/>
  <c r="J51" i="1"/>
  <c r="M51" i="1" s="1"/>
  <c r="G51" i="1"/>
  <c r="J52" i="1"/>
  <c r="M52" i="1" s="1"/>
  <c r="G52" i="1"/>
  <c r="J53" i="1"/>
  <c r="M53" i="1" s="1"/>
  <c r="G53" i="1"/>
  <c r="J54" i="1"/>
  <c r="M54" i="1" s="1"/>
  <c r="G54" i="1"/>
  <c r="J55" i="1"/>
  <c r="M55" i="1" s="1"/>
  <c r="G55" i="1"/>
  <c r="J56" i="1"/>
  <c r="M56" i="1" s="1"/>
  <c r="G56" i="1"/>
  <c r="J57" i="1"/>
  <c r="M57" i="1" s="1"/>
  <c r="G57" i="1"/>
  <c r="J58" i="1"/>
  <c r="M58" i="1" s="1"/>
  <c r="G58" i="1"/>
  <c r="J59" i="1"/>
  <c r="M59" i="1" s="1"/>
  <c r="G59" i="1"/>
  <c r="J60" i="1"/>
  <c r="M60" i="1" s="1"/>
  <c r="G60" i="1"/>
  <c r="J61" i="1"/>
  <c r="M61" i="1" s="1"/>
  <c r="G61" i="1"/>
  <c r="J62" i="1"/>
  <c r="M62" i="1" s="1"/>
  <c r="G62" i="1"/>
  <c r="J63" i="1"/>
  <c r="M63" i="1" s="1"/>
  <c r="G63" i="1"/>
  <c r="J64" i="1"/>
  <c r="M64" i="1" s="1"/>
  <c r="G64" i="1"/>
  <c r="J65" i="1"/>
  <c r="M65" i="1" s="1"/>
  <c r="G65" i="1"/>
  <c r="J66" i="1"/>
  <c r="M66" i="1" s="1"/>
  <c r="G66" i="1"/>
  <c r="J67" i="1"/>
  <c r="M67" i="1" s="1"/>
  <c r="G67" i="1"/>
  <c r="J68" i="1"/>
  <c r="M68" i="1" s="1"/>
  <c r="G68" i="1"/>
  <c r="J69" i="1"/>
  <c r="M69" i="1" s="1"/>
  <c r="G69" i="1"/>
  <c r="J70" i="1"/>
  <c r="M70" i="1" s="1"/>
  <c r="G70" i="1"/>
  <c r="J71" i="1"/>
  <c r="M71" i="1" s="1"/>
  <c r="G71" i="1"/>
  <c r="J72" i="1"/>
  <c r="M72" i="1" s="1"/>
  <c r="G72" i="1"/>
  <c r="J73" i="1"/>
  <c r="M73" i="1" s="1"/>
  <c r="G73" i="1"/>
  <c r="J74" i="1"/>
  <c r="M74" i="1" s="1"/>
  <c r="G74" i="1"/>
  <c r="J75" i="1"/>
  <c r="M75" i="1" s="1"/>
  <c r="G75" i="1"/>
  <c r="J76" i="1"/>
  <c r="M76" i="1" s="1"/>
  <c r="G76" i="1"/>
  <c r="J77" i="1"/>
  <c r="M77" i="1" s="1"/>
  <c r="G77" i="1"/>
  <c r="J78" i="1"/>
  <c r="M78" i="1" s="1"/>
  <c r="G78" i="1"/>
  <c r="J79" i="1"/>
  <c r="M79" i="1" s="1"/>
  <c r="G79" i="1"/>
  <c r="J80" i="1"/>
  <c r="M80" i="1" s="1"/>
  <c r="G80" i="1"/>
  <c r="J81" i="1"/>
  <c r="M81" i="1" s="1"/>
  <c r="G81" i="1"/>
  <c r="J82" i="1"/>
  <c r="M82" i="1" s="1"/>
  <c r="G82" i="1"/>
  <c r="J83" i="1"/>
  <c r="M83" i="1" s="1"/>
  <c r="G83" i="1"/>
  <c r="J84" i="1"/>
  <c r="M84" i="1" s="1"/>
  <c r="G84" i="1"/>
  <c r="J85" i="1"/>
  <c r="M85" i="1" s="1"/>
  <c r="G85" i="1"/>
  <c r="J86" i="1"/>
  <c r="M86" i="1" s="1"/>
  <c r="G86" i="1"/>
  <c r="J87" i="1"/>
  <c r="M87" i="1" s="1"/>
  <c r="G87" i="1"/>
  <c r="J88" i="1"/>
  <c r="M88" i="1" s="1"/>
  <c r="G88" i="1"/>
  <c r="J89" i="1"/>
  <c r="M89" i="1" s="1"/>
  <c r="G89" i="1"/>
  <c r="J90" i="1"/>
  <c r="M90" i="1" s="1"/>
  <c r="G90" i="1"/>
  <c r="J91" i="1"/>
  <c r="M91" i="1" s="1"/>
  <c r="G91" i="1"/>
  <c r="J92" i="1"/>
  <c r="M92" i="1" s="1"/>
  <c r="G92" i="1"/>
  <c r="J93" i="1"/>
  <c r="M93" i="1" s="1"/>
  <c r="G93" i="1"/>
  <c r="J94" i="1"/>
  <c r="M94" i="1" s="1"/>
  <c r="G94" i="1"/>
  <c r="J95" i="1"/>
  <c r="M95" i="1" s="1"/>
  <c r="G95" i="1"/>
  <c r="J96" i="1"/>
  <c r="M96" i="1" s="1"/>
  <c r="G96" i="1"/>
  <c r="J97" i="1"/>
  <c r="M97" i="1" s="1"/>
  <c r="G97" i="1"/>
  <c r="J98" i="1"/>
  <c r="M98" i="1" s="1"/>
  <c r="G98" i="1"/>
  <c r="J99" i="1"/>
  <c r="M99" i="1" s="1"/>
  <c r="G99" i="1"/>
  <c r="J100" i="1"/>
  <c r="M100" i="1" s="1"/>
  <c r="G100" i="1"/>
  <c r="J101" i="1"/>
  <c r="M101" i="1" s="1"/>
  <c r="G101" i="1"/>
  <c r="J102" i="1"/>
  <c r="M102" i="1" s="1"/>
  <c r="G102" i="1"/>
  <c r="J103" i="1"/>
  <c r="M103" i="1" s="1"/>
  <c r="G103" i="1"/>
  <c r="J104" i="1"/>
  <c r="M104" i="1" s="1"/>
  <c r="G104" i="1"/>
  <c r="J105" i="1"/>
  <c r="M105" i="1" s="1"/>
  <c r="G105" i="1"/>
  <c r="J106" i="1"/>
  <c r="M106" i="1" s="1"/>
  <c r="G106" i="1"/>
  <c r="J107" i="1"/>
  <c r="M107" i="1" s="1"/>
  <c r="G107" i="1"/>
  <c r="J108" i="1"/>
  <c r="M108" i="1" s="1"/>
  <c r="G108" i="1"/>
  <c r="J109" i="1"/>
  <c r="M109" i="1" s="1"/>
  <c r="G109" i="1"/>
  <c r="J110" i="1"/>
  <c r="M110" i="1" s="1"/>
  <c r="G110" i="1"/>
  <c r="J111" i="1"/>
  <c r="M111" i="1" s="1"/>
  <c r="G111" i="1"/>
  <c r="J112" i="1"/>
  <c r="M112" i="1" s="1"/>
  <c r="G112" i="1"/>
  <c r="J113" i="1"/>
  <c r="M113" i="1" s="1"/>
  <c r="G113" i="1"/>
  <c r="J114" i="1"/>
  <c r="M114" i="1" s="1"/>
  <c r="G114" i="1"/>
  <c r="J115" i="1"/>
  <c r="M115" i="1" s="1"/>
  <c r="G115" i="1"/>
  <c r="J116" i="1"/>
  <c r="M116" i="1" s="1"/>
  <c r="G116" i="1"/>
  <c r="J117" i="1"/>
  <c r="M117" i="1" s="1"/>
  <c r="G117" i="1"/>
  <c r="J118" i="1"/>
  <c r="M118" i="1" s="1"/>
  <c r="G118" i="1"/>
  <c r="J119" i="1"/>
  <c r="M119" i="1" s="1"/>
  <c r="G119" i="1"/>
  <c r="J120" i="1"/>
  <c r="M120" i="1" s="1"/>
  <c r="G120" i="1"/>
  <c r="J121" i="1"/>
  <c r="M121" i="1" s="1"/>
  <c r="G121" i="1"/>
  <c r="J122" i="1"/>
  <c r="M122" i="1" s="1"/>
  <c r="G122" i="1"/>
  <c r="J123" i="1"/>
  <c r="M123" i="1" s="1"/>
  <c r="G123" i="1"/>
  <c r="J124" i="1"/>
  <c r="M124" i="1" s="1"/>
  <c r="G124" i="1"/>
  <c r="J125" i="1"/>
  <c r="M125" i="1" s="1"/>
  <c r="G125" i="1"/>
  <c r="J126" i="1"/>
  <c r="M126" i="1" s="1"/>
  <c r="G126" i="1"/>
  <c r="J127" i="1"/>
  <c r="M127" i="1" s="1"/>
  <c r="G127" i="1"/>
  <c r="J128" i="1"/>
  <c r="M128" i="1" s="1"/>
  <c r="G128" i="1"/>
  <c r="J129" i="1"/>
  <c r="M129" i="1" s="1"/>
  <c r="G129" i="1"/>
  <c r="J130" i="1"/>
  <c r="M130" i="1" s="1"/>
  <c r="G130" i="1"/>
  <c r="J131" i="1"/>
  <c r="M131" i="1" s="1"/>
  <c r="G131" i="1"/>
  <c r="J132" i="1"/>
  <c r="M132" i="1" s="1"/>
  <c r="G132" i="1"/>
  <c r="J133" i="1"/>
  <c r="M133" i="1" s="1"/>
  <c r="G133" i="1"/>
  <c r="J134" i="1"/>
  <c r="M134" i="1" s="1"/>
  <c r="G134" i="1"/>
  <c r="J135" i="1"/>
  <c r="M135" i="1" s="1"/>
  <c r="G135" i="1"/>
  <c r="J136" i="1"/>
  <c r="M136" i="1" s="1"/>
  <c r="G136" i="1"/>
  <c r="J137" i="1"/>
  <c r="M137" i="1" s="1"/>
  <c r="G137" i="1"/>
  <c r="J138" i="1"/>
  <c r="M138" i="1" s="1"/>
  <c r="G138" i="1"/>
  <c r="J139" i="1"/>
  <c r="M139" i="1" s="1"/>
  <c r="G139" i="1"/>
  <c r="J140" i="1"/>
  <c r="M140" i="1" s="1"/>
  <c r="G140" i="1"/>
  <c r="J141" i="1"/>
  <c r="M141" i="1" s="1"/>
  <c r="G141" i="1"/>
  <c r="J142" i="1"/>
  <c r="M142" i="1" s="1"/>
  <c r="G142" i="1"/>
  <c r="J143" i="1"/>
  <c r="M143" i="1" s="1"/>
  <c r="G143" i="1"/>
  <c r="J144" i="1"/>
  <c r="M144" i="1" s="1"/>
  <c r="G14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J146" i="1"/>
  <c r="M146" i="1" s="1"/>
  <c r="G146" i="1"/>
  <c r="J147" i="1"/>
  <c r="M147" i="1" s="1"/>
  <c r="G147" i="1"/>
  <c r="J148" i="1"/>
  <c r="M148" i="1" s="1"/>
  <c r="G148" i="1"/>
  <c r="J149" i="1"/>
  <c r="M149" i="1" s="1"/>
  <c r="G149" i="1"/>
  <c r="J150" i="1"/>
  <c r="M150" i="1" s="1"/>
  <c r="G150" i="1"/>
  <c r="J151" i="1"/>
  <c r="M151" i="1" s="1"/>
  <c r="G151" i="1"/>
  <c r="J152" i="1"/>
  <c r="M152" i="1" s="1"/>
  <c r="G152" i="1"/>
  <c r="J153" i="1"/>
  <c r="M153" i="1" s="1"/>
  <c r="G153" i="1"/>
  <c r="J154" i="1"/>
  <c r="M154" i="1" s="1"/>
  <c r="G154" i="1"/>
  <c r="J155" i="1"/>
  <c r="M155" i="1" s="1"/>
  <c r="G155" i="1"/>
  <c r="J156" i="1"/>
  <c r="M156" i="1" s="1"/>
  <c r="G156" i="1"/>
  <c r="J157" i="1"/>
  <c r="M157" i="1" s="1"/>
  <c r="G157" i="1"/>
  <c r="J158" i="1"/>
  <c r="M158" i="1" s="1"/>
  <c r="G158" i="1"/>
  <c r="J159" i="1"/>
  <c r="M159" i="1" s="1"/>
  <c r="G159" i="1"/>
  <c r="J160" i="1"/>
  <c r="M160" i="1" s="1"/>
  <c r="G160" i="1"/>
  <c r="J161" i="1"/>
  <c r="M161" i="1" s="1"/>
  <c r="G161" i="1"/>
  <c r="J162" i="1"/>
  <c r="M162" i="1" s="1"/>
  <c r="G162" i="1"/>
  <c r="J163" i="1"/>
  <c r="M163" i="1" s="1"/>
  <c r="G163" i="1"/>
  <c r="J164" i="1"/>
  <c r="M164" i="1" s="1"/>
  <c r="G164" i="1"/>
  <c r="J165" i="1"/>
  <c r="M165" i="1" s="1"/>
  <c r="G165" i="1"/>
  <c r="J166" i="1"/>
  <c r="M166" i="1" s="1"/>
  <c r="G166" i="1"/>
  <c r="J167" i="1"/>
  <c r="M167" i="1" s="1"/>
  <c r="G167" i="1"/>
  <c r="J168" i="1"/>
  <c r="M168" i="1" s="1"/>
  <c r="G168" i="1"/>
  <c r="J169" i="1"/>
  <c r="M169" i="1" s="1"/>
  <c r="G169" i="1"/>
  <c r="J170" i="1"/>
  <c r="M170" i="1" s="1"/>
  <c r="G170" i="1"/>
  <c r="J171" i="1"/>
  <c r="M171" i="1" s="1"/>
  <c r="G171" i="1"/>
  <c r="J172" i="1"/>
  <c r="M172" i="1" s="1"/>
  <c r="G172" i="1"/>
  <c r="J173" i="1"/>
  <c r="M173" i="1" s="1"/>
  <c r="G173" i="1"/>
  <c r="J174" i="1"/>
  <c r="M174" i="1" s="1"/>
  <c r="G174" i="1"/>
  <c r="J175" i="1"/>
  <c r="M175" i="1" s="1"/>
  <c r="G175" i="1"/>
  <c r="J176" i="1"/>
  <c r="M176" i="1" s="1"/>
  <c r="G176" i="1"/>
  <c r="J177" i="1"/>
  <c r="M177" i="1" s="1"/>
  <c r="G177" i="1"/>
  <c r="J178" i="1"/>
  <c r="M178" i="1" s="1"/>
  <c r="G178" i="1"/>
  <c r="J179" i="1"/>
  <c r="M179" i="1" s="1"/>
  <c r="G179" i="1"/>
  <c r="J180" i="1"/>
  <c r="M180" i="1" s="1"/>
  <c r="G180" i="1"/>
  <c r="J181" i="1"/>
  <c r="M181" i="1" s="1"/>
  <c r="G181" i="1"/>
  <c r="J182" i="1"/>
  <c r="M182" i="1" s="1"/>
  <c r="G182" i="1"/>
  <c r="J183" i="1"/>
  <c r="M183" i="1" s="1"/>
  <c r="G183" i="1"/>
  <c r="J184" i="1"/>
  <c r="M184" i="1" s="1"/>
  <c r="G184" i="1"/>
  <c r="J185" i="1"/>
  <c r="M185" i="1" s="1"/>
  <c r="G185" i="1"/>
  <c r="J186" i="1"/>
  <c r="M186" i="1" s="1"/>
  <c r="G186" i="1"/>
  <c r="J187" i="1"/>
  <c r="M187" i="1" s="1"/>
  <c r="G187" i="1"/>
  <c r="N145" i="1" l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I1" i="3" l="1"/>
  <c r="K288" i="1"/>
  <c r="P288" i="1" s="1"/>
  <c r="K267" i="1"/>
  <c r="P267" i="1" s="1"/>
  <c r="K215" i="1"/>
  <c r="P215" i="1" s="1"/>
  <c r="K236" i="1"/>
  <c r="P236" i="1" s="1"/>
  <c r="K281" i="1"/>
  <c r="P281" i="1" s="1"/>
  <c r="K272" i="1"/>
  <c r="P272" i="1" s="1"/>
  <c r="K216" i="1"/>
  <c r="P216" i="1" s="1"/>
  <c r="K239" i="1"/>
  <c r="P239" i="1" s="1"/>
  <c r="K297" i="1"/>
  <c r="P297" i="1" s="1"/>
  <c r="K292" i="1"/>
  <c r="P292" i="1" s="1"/>
  <c r="K266" i="1"/>
  <c r="P266" i="1" s="1"/>
  <c r="K240" i="1"/>
  <c r="P240" i="1" s="1"/>
  <c r="K222" i="1"/>
  <c r="P222" i="1" s="1"/>
  <c r="K235" i="1"/>
  <c r="P235" i="1" s="1"/>
  <c r="K228" i="1"/>
  <c r="P228" i="1" s="1"/>
  <c r="K300" i="1"/>
  <c r="P300" i="1" s="1"/>
  <c r="K226" i="1"/>
  <c r="P226" i="1" s="1"/>
  <c r="K269" i="1"/>
  <c r="P269" i="1" s="1"/>
  <c r="K289" i="1"/>
  <c r="P289" i="1" s="1"/>
  <c r="K290" i="1"/>
  <c r="P290" i="1" s="1"/>
  <c r="K232" i="1"/>
  <c r="P232" i="1" s="1"/>
  <c r="K301" i="1"/>
  <c r="P301" i="1" s="1"/>
  <c r="K254" i="1"/>
  <c r="P254" i="1" s="1"/>
  <c r="K275" i="1"/>
  <c r="P275" i="1" s="1"/>
  <c r="K293" i="1"/>
  <c r="P293" i="1" s="1"/>
  <c r="K274" i="1"/>
  <c r="P274" i="1" s="1"/>
  <c r="K260" i="1"/>
  <c r="P260" i="1" s="1"/>
  <c r="K225" i="1"/>
  <c r="P225" i="1" s="1"/>
  <c r="K302" i="1"/>
  <c r="P302" i="1" s="1"/>
  <c r="K268" i="1"/>
  <c r="P268" i="1" s="1"/>
  <c r="K223" i="1"/>
  <c r="P223" i="1" s="1"/>
  <c r="K257" i="1"/>
  <c r="P257" i="1" s="1"/>
  <c r="K244" i="1"/>
  <c r="P244" i="1" s="1"/>
  <c r="K221" i="1"/>
  <c r="P221" i="1" s="1"/>
  <c r="K220" i="1"/>
  <c r="P220" i="1" s="1"/>
  <c r="K284" i="1"/>
  <c r="P284" i="1" s="1"/>
  <c r="K252" i="1"/>
  <c r="P252" i="1" s="1"/>
  <c r="K227" i="1"/>
  <c r="P227" i="1" s="1"/>
  <c r="K231" i="1"/>
  <c r="P231" i="1" s="1"/>
  <c r="K270" i="1"/>
  <c r="P270" i="1" s="1"/>
  <c r="K262" i="1"/>
  <c r="P262" i="1" s="1"/>
  <c r="K246" i="1"/>
  <c r="P246" i="1" s="1"/>
  <c r="K217" i="1"/>
  <c r="P217" i="1" s="1"/>
  <c r="K237" i="1"/>
  <c r="P237" i="1" s="1"/>
  <c r="K280" i="1"/>
  <c r="P280" i="1" s="1"/>
  <c r="K294" i="1"/>
  <c r="P294" i="1" s="1"/>
  <c r="K259" i="1"/>
  <c r="P259" i="1" s="1"/>
  <c r="K263" i="1"/>
  <c r="P263" i="1" s="1"/>
  <c r="K287" i="1"/>
  <c r="P287" i="1" s="1"/>
  <c r="K273" i="1"/>
  <c r="P273" i="1" s="1"/>
  <c r="K299" i="1"/>
  <c r="P299" i="1" s="1"/>
  <c r="K218" i="1"/>
  <c r="P218" i="1" s="1"/>
  <c r="K291" i="1"/>
  <c r="P291" i="1" s="1"/>
  <c r="K271" i="1"/>
  <c r="P271" i="1" s="1"/>
  <c r="K255" i="1"/>
  <c r="P255" i="1" s="1"/>
  <c r="K250" i="1"/>
  <c r="P250" i="1" s="1"/>
  <c r="K248" i="1"/>
  <c r="P248" i="1" s="1"/>
  <c r="K298" i="1"/>
  <c r="P298" i="1" s="1"/>
  <c r="K261" i="1"/>
  <c r="P261" i="1" s="1"/>
  <c r="K264" i="1"/>
  <c r="P264" i="1" s="1"/>
  <c r="K279" i="1"/>
  <c r="P279" i="1" s="1"/>
  <c r="K238" i="1"/>
  <c r="P238" i="1" s="1"/>
  <c r="K278" i="1"/>
  <c r="P278" i="1" s="1"/>
  <c r="K251" i="1"/>
  <c r="P251" i="1" s="1"/>
  <c r="K214" i="1"/>
  <c r="P214" i="1" s="1"/>
  <c r="K249" i="1"/>
  <c r="P249" i="1" s="1"/>
  <c r="K230" i="1"/>
  <c r="P230" i="1" s="1"/>
  <c r="K258" i="1"/>
  <c r="P258" i="1" s="1"/>
  <c r="K241" i="1"/>
  <c r="P241" i="1" s="1"/>
  <c r="K265" i="1"/>
  <c r="P265" i="1" s="1"/>
  <c r="K285" i="1"/>
  <c r="P285" i="1" s="1"/>
  <c r="K243" i="1"/>
  <c r="P243" i="1" s="1"/>
  <c r="K295" i="1"/>
  <c r="P295" i="1" s="1"/>
  <c r="K303" i="1"/>
  <c r="P303" i="1" s="1"/>
  <c r="K253" i="1"/>
  <c r="P253" i="1" s="1"/>
  <c r="K234" i="1"/>
  <c r="P234" i="1" s="1"/>
  <c r="K212" i="1"/>
  <c r="P212" i="1" s="1"/>
  <c r="K242" i="1"/>
  <c r="P242" i="1" s="1"/>
  <c r="K256" i="1"/>
  <c r="P256" i="1" s="1"/>
  <c r="K229" i="1"/>
  <c r="P229" i="1" s="1"/>
  <c r="K277" i="1"/>
  <c r="P277" i="1" s="1"/>
  <c r="K219" i="1"/>
  <c r="P219" i="1" s="1"/>
  <c r="K245" i="1"/>
  <c r="P245" i="1" s="1"/>
  <c r="K276" i="1"/>
  <c r="P276" i="1" s="1"/>
  <c r="K247" i="1"/>
  <c r="P247" i="1" s="1"/>
  <c r="K286" i="1"/>
  <c r="P286" i="1" s="1"/>
  <c r="K224" i="1"/>
  <c r="P224" i="1" s="1"/>
  <c r="K296" i="1"/>
  <c r="P296" i="1" s="1"/>
  <c r="K233" i="1"/>
  <c r="P233" i="1" s="1"/>
  <c r="K282" i="1"/>
  <c r="P282" i="1" s="1"/>
  <c r="K283" i="1"/>
  <c r="P283" i="1" s="1"/>
  <c r="K213" i="1"/>
  <c r="P213" i="1" s="1"/>
  <c r="K134" i="1"/>
  <c r="K201" i="1"/>
  <c r="P201" i="1" s="1"/>
  <c r="K71" i="1"/>
  <c r="K99" i="1"/>
  <c r="K108" i="1"/>
  <c r="K189" i="1"/>
  <c r="P189" i="1" s="1"/>
  <c r="K66" i="1"/>
  <c r="K47" i="1"/>
  <c r="K176" i="1"/>
  <c r="K25" i="1"/>
  <c r="K87" i="1"/>
  <c r="K26" i="1"/>
  <c r="K208" i="1"/>
  <c r="P208" i="1" s="1"/>
  <c r="K133" i="1"/>
  <c r="K19" i="1"/>
  <c r="K167" i="1"/>
  <c r="P167" i="1" s="1"/>
  <c r="K135" i="1"/>
  <c r="K206" i="1"/>
  <c r="P206" i="1" s="1"/>
  <c r="K92" i="1"/>
  <c r="K130" i="1"/>
  <c r="K183" i="1"/>
  <c r="P183" i="1" s="1"/>
  <c r="K175" i="1"/>
  <c r="P175" i="1" s="1"/>
  <c r="K95" i="1"/>
  <c r="K165" i="1"/>
  <c r="P165" i="1" s="1"/>
  <c r="K85" i="1"/>
  <c r="K146" i="1"/>
  <c r="P146" i="1" s="1"/>
  <c r="K145" i="1"/>
  <c r="P145" i="1" s="1"/>
  <c r="K64" i="1"/>
  <c r="K174" i="1"/>
  <c r="P174" i="1" s="1"/>
  <c r="K94" i="1"/>
  <c r="K81" i="1"/>
  <c r="K120" i="1"/>
  <c r="K89" i="1"/>
  <c r="K98" i="1"/>
  <c r="K178" i="1"/>
  <c r="P178" i="1" s="1"/>
  <c r="K56" i="1"/>
  <c r="K194" i="1"/>
  <c r="P194" i="1" s="1"/>
  <c r="K164" i="1"/>
  <c r="P164" i="1" s="1"/>
  <c r="K15" i="1"/>
  <c r="K17" i="1"/>
  <c r="K100" i="1"/>
  <c r="K49" i="1"/>
  <c r="K40" i="1"/>
  <c r="K172" i="1"/>
  <c r="P172" i="1" s="1"/>
  <c r="K161" i="1"/>
  <c r="P161" i="1" s="1"/>
  <c r="K28" i="1"/>
  <c r="K9" i="1"/>
  <c r="K8" i="1"/>
  <c r="K125" i="1"/>
  <c r="K114" i="1"/>
  <c r="K72" i="1"/>
  <c r="K22" i="1"/>
  <c r="K124" i="1"/>
  <c r="K91" i="1"/>
  <c r="K111" i="1"/>
  <c r="K53" i="1"/>
  <c r="K51" i="1"/>
  <c r="K123" i="1"/>
  <c r="K129" i="1"/>
  <c r="K86" i="1"/>
  <c r="K184" i="1"/>
  <c r="P184" i="1" s="1"/>
  <c r="K54" i="1"/>
  <c r="K41" i="1"/>
  <c r="K70" i="1"/>
  <c r="K79" i="1"/>
  <c r="K88" i="1"/>
  <c r="K121" i="1"/>
  <c r="K46" i="1"/>
  <c r="K163" i="1"/>
  <c r="P163" i="1" s="1"/>
  <c r="K127" i="1"/>
  <c r="K5" i="1"/>
  <c r="K173" i="1"/>
  <c r="P173" i="1" s="1"/>
  <c r="K68" i="1"/>
  <c r="K13" i="1"/>
  <c r="K16" i="1"/>
  <c r="K32" i="1"/>
  <c r="K148" i="1"/>
  <c r="P148" i="1" s="1"/>
  <c r="K43" i="1"/>
  <c r="K157" i="1"/>
  <c r="P157" i="1" s="1"/>
  <c r="K7" i="1"/>
  <c r="K42" i="1"/>
  <c r="K143" i="1"/>
  <c r="K153" i="1"/>
  <c r="P153" i="1" s="1"/>
  <c r="K83" i="1"/>
  <c r="K116" i="1"/>
  <c r="K210" i="1"/>
  <c r="P210" i="1" s="1"/>
  <c r="K156" i="1"/>
  <c r="P156" i="1" s="1"/>
  <c r="K104" i="1"/>
  <c r="K14" i="1"/>
  <c r="K31" i="1"/>
  <c r="K207" i="1"/>
  <c r="P207" i="1" s="1"/>
  <c r="K69" i="1"/>
  <c r="K78" i="1"/>
  <c r="K140" i="1"/>
  <c r="K36" i="1"/>
  <c r="K126" i="1"/>
  <c r="K97" i="1"/>
  <c r="K202" i="1"/>
  <c r="P202" i="1" s="1"/>
  <c r="K181" i="1"/>
  <c r="P181" i="1" s="1"/>
  <c r="K182" i="1"/>
  <c r="P182" i="1" s="1"/>
  <c r="K192" i="1"/>
  <c r="P192" i="1" s="1"/>
  <c r="K171" i="1"/>
  <c r="P171" i="1" s="1"/>
  <c r="K84" i="1"/>
  <c r="K58" i="1"/>
  <c r="K57" i="1"/>
  <c r="K177" i="1"/>
  <c r="P177" i="1" s="1"/>
  <c r="K18" i="1"/>
  <c r="K112" i="1"/>
  <c r="K101" i="1"/>
  <c r="K196" i="1"/>
  <c r="P196" i="1" s="1"/>
  <c r="K90" i="1"/>
  <c r="K142" i="1"/>
  <c r="K141" i="1"/>
  <c r="K197" i="1"/>
  <c r="P197" i="1" s="1"/>
  <c r="K155" i="1"/>
  <c r="P155" i="1" s="1"/>
  <c r="K75" i="1"/>
  <c r="K150" i="1"/>
  <c r="P150" i="1" s="1"/>
  <c r="K55" i="1"/>
  <c r="K199" i="1"/>
  <c r="P199" i="1" s="1"/>
  <c r="K160" i="1"/>
  <c r="P160" i="1" s="1"/>
  <c r="K11" i="1"/>
  <c r="K113" i="1"/>
  <c r="K59" i="1"/>
  <c r="K77" i="1"/>
  <c r="K169" i="1"/>
  <c r="P169" i="1" s="1"/>
  <c r="K107" i="1"/>
  <c r="K200" i="1"/>
  <c r="P200" i="1" s="1"/>
  <c r="K205" i="1"/>
  <c r="P205" i="1" s="1"/>
  <c r="K102" i="1"/>
  <c r="K50" i="1"/>
  <c r="K12" i="1"/>
  <c r="K110" i="1"/>
  <c r="K30" i="1"/>
  <c r="K138" i="1"/>
  <c r="K45" i="1"/>
  <c r="K191" i="1"/>
  <c r="P191" i="1" s="1"/>
  <c r="K198" i="1"/>
  <c r="P198" i="1" s="1"/>
  <c r="K179" i="1"/>
  <c r="P179" i="1" s="1"/>
  <c r="K39" i="1"/>
  <c r="K48" i="1"/>
  <c r="K10" i="1"/>
  <c r="K6" i="1"/>
  <c r="K162" i="1"/>
  <c r="P162" i="1" s="1"/>
  <c r="K37" i="1"/>
  <c r="K73" i="1"/>
  <c r="K151" i="1"/>
  <c r="P151" i="1" s="1"/>
  <c r="K93" i="1"/>
  <c r="K63" i="1"/>
  <c r="K67" i="1"/>
  <c r="K159" i="1"/>
  <c r="K115" i="1"/>
  <c r="K195" i="1"/>
  <c r="P195" i="1" s="1"/>
  <c r="K52" i="1"/>
  <c r="K21" i="1"/>
  <c r="K158" i="1"/>
  <c r="P158" i="1" s="1"/>
  <c r="K131" i="1"/>
  <c r="K23" i="1"/>
  <c r="K188" i="1"/>
  <c r="P188" i="1" s="1"/>
  <c r="K180" i="1"/>
  <c r="P180" i="1" s="1"/>
  <c r="K187" i="1"/>
  <c r="P187" i="1" s="1"/>
  <c r="K122" i="1"/>
  <c r="K29" i="1"/>
  <c r="K38" i="1"/>
  <c r="K166" i="1"/>
  <c r="P166" i="1" s="1"/>
  <c r="K203" i="1"/>
  <c r="P203" i="1" s="1"/>
  <c r="K152" i="1"/>
  <c r="P152" i="1" s="1"/>
  <c r="K27" i="1"/>
  <c r="K33" i="1"/>
  <c r="K144" i="1"/>
  <c r="K154" i="1"/>
  <c r="P154" i="1" s="1"/>
  <c r="K204" i="1"/>
  <c r="P204" i="1" s="1"/>
  <c r="K24" i="1"/>
  <c r="K190" i="1"/>
  <c r="P190" i="1" s="1"/>
  <c r="K147" i="1"/>
  <c r="P147" i="1" s="1"/>
  <c r="K185" i="1"/>
  <c r="P185" i="1" s="1"/>
  <c r="K105" i="1"/>
  <c r="K103" i="1"/>
  <c r="K136" i="1"/>
  <c r="K74" i="1"/>
  <c r="K106" i="1"/>
  <c r="K80" i="1"/>
  <c r="K82" i="1"/>
  <c r="K149" i="1"/>
  <c r="P149" i="1" s="1"/>
  <c r="K193" i="1"/>
  <c r="P193" i="1" s="1"/>
  <c r="K170" i="1"/>
  <c r="P170" i="1" s="1"/>
  <c r="K132" i="1"/>
  <c r="K211" i="1"/>
  <c r="P211" i="1" s="1"/>
  <c r="K209" i="1"/>
  <c r="P209" i="1" s="1"/>
  <c r="K44" i="1"/>
  <c r="K60" i="1"/>
  <c r="K139" i="1"/>
  <c r="K96" i="1"/>
  <c r="K186" i="1"/>
  <c r="P186" i="1" s="1"/>
  <c r="K119" i="1"/>
  <c r="K34" i="1"/>
  <c r="K168" i="1"/>
  <c r="P168" i="1" s="1"/>
  <c r="K109" i="1"/>
  <c r="K118" i="1"/>
  <c r="K62" i="1"/>
  <c r="K76" i="1"/>
  <c r="K117" i="1"/>
  <c r="K20" i="1"/>
  <c r="K35" i="1"/>
  <c r="K137" i="1"/>
  <c r="K65" i="1"/>
  <c r="K61" i="1"/>
  <c r="K128" i="1"/>
  <c r="P176" i="1"/>
  <c r="P159" i="1"/>
  <c r="L177" i="3" l="1"/>
  <c r="L119" i="3"/>
  <c r="L182" i="3"/>
  <c r="L102" i="3"/>
  <c r="L22" i="3"/>
  <c r="L73" i="3"/>
  <c r="L172" i="3"/>
  <c r="L55" i="3"/>
  <c r="L136" i="3"/>
  <c r="L56" i="3"/>
  <c r="L209" i="3"/>
  <c r="L196" i="3"/>
  <c r="L132" i="3"/>
  <c r="L199" i="3"/>
  <c r="L166" i="3"/>
  <c r="L181" i="3"/>
  <c r="L212" i="3"/>
  <c r="L103" i="3"/>
  <c r="L66" i="3"/>
  <c r="L20" i="3"/>
  <c r="L142" i="3"/>
  <c r="L91" i="3"/>
  <c r="L50" i="3"/>
  <c r="L126" i="3"/>
  <c r="L13" i="3"/>
  <c r="L222" i="3"/>
  <c r="L167" i="3"/>
  <c r="L221" i="3"/>
  <c r="L127" i="3"/>
  <c r="L192" i="3"/>
  <c r="L185" i="3"/>
  <c r="L178" i="3"/>
  <c r="L98" i="3"/>
  <c r="L18" i="3"/>
  <c r="L69" i="3"/>
  <c r="L168" i="3"/>
  <c r="L51" i="3"/>
  <c r="L52" i="3"/>
  <c r="L201" i="3"/>
  <c r="L44" i="3"/>
  <c r="L6" i="3"/>
  <c r="L82" i="3"/>
  <c r="L53" i="3"/>
  <c r="L116" i="3"/>
  <c r="L41" i="3"/>
  <c r="L37" i="3"/>
  <c r="L100" i="3"/>
  <c r="L193" i="3"/>
  <c r="L96" i="3"/>
  <c r="L58" i="3"/>
  <c r="L21" i="3"/>
  <c r="L210" i="3"/>
  <c r="L191" i="3"/>
  <c r="L75" i="3"/>
  <c r="L135" i="3"/>
  <c r="L148" i="3"/>
  <c r="L190" i="3"/>
  <c r="L188" i="3"/>
  <c r="L189" i="3"/>
  <c r="L174" i="3"/>
  <c r="L94" i="3"/>
  <c r="L14" i="3"/>
  <c r="L65" i="3"/>
  <c r="L160" i="3"/>
  <c r="L47" i="3"/>
  <c r="L128" i="3"/>
  <c r="L48" i="3"/>
  <c r="L197" i="3"/>
  <c r="L220" i="3"/>
  <c r="L86" i="3"/>
  <c r="L162" i="3"/>
  <c r="L115" i="3"/>
  <c r="L36" i="3"/>
  <c r="L23" i="3"/>
  <c r="L146" i="3"/>
  <c r="L33" i="3"/>
  <c r="L95" i="3"/>
  <c r="L16" i="3"/>
  <c r="L155" i="3"/>
  <c r="L83" i="3"/>
  <c r="L143" i="3"/>
  <c r="L180" i="3"/>
  <c r="L38" i="3"/>
  <c r="L85" i="3"/>
  <c r="L204" i="3"/>
  <c r="L81" i="3"/>
  <c r="L157" i="3"/>
  <c r="L169" i="3"/>
  <c r="L170" i="3"/>
  <c r="L90" i="3"/>
  <c r="L10" i="3"/>
  <c r="L61" i="3"/>
  <c r="L156" i="3"/>
  <c r="L43" i="3"/>
  <c r="L124" i="3"/>
  <c r="L152" i="3"/>
  <c r="L39" i="3"/>
  <c r="L120" i="3"/>
  <c r="L40" i="3"/>
  <c r="L216" i="3"/>
  <c r="L153" i="3"/>
  <c r="L35" i="3"/>
  <c r="L133" i="3"/>
  <c r="L99" i="3"/>
  <c r="L19" i="3"/>
  <c r="L211" i="3"/>
  <c r="L159" i="3"/>
  <c r="L11" i="3"/>
  <c r="L12" i="3"/>
  <c r="L141" i="3"/>
  <c r="L46" i="3"/>
  <c r="L42" i="3"/>
  <c r="L118" i="3"/>
  <c r="L198" i="3"/>
  <c r="L34" i="3"/>
  <c r="L30" i="3"/>
  <c r="L202" i="3"/>
  <c r="L195" i="3"/>
  <c r="L161" i="3"/>
  <c r="L57" i="3"/>
  <c r="L223" i="3"/>
  <c r="L24" i="3"/>
  <c r="L117" i="3"/>
  <c r="L113" i="3"/>
  <c r="L207" i="3"/>
  <c r="L109" i="3"/>
  <c r="L203" i="3"/>
  <c r="L3" i="3"/>
  <c r="L17" i="3"/>
  <c r="L206" i="3"/>
  <c r="L122" i="3"/>
  <c r="L164" i="3"/>
  <c r="L114" i="3"/>
  <c r="L64" i="3"/>
  <c r="L187" i="3"/>
  <c r="L110" i="3"/>
  <c r="L179" i="3"/>
  <c r="L145" i="3"/>
  <c r="L158" i="3"/>
  <c r="L78" i="3"/>
  <c r="L165" i="3"/>
  <c r="L49" i="3"/>
  <c r="L111" i="3"/>
  <c r="L31" i="3"/>
  <c r="L112" i="3"/>
  <c r="L32" i="3"/>
  <c r="L163" i="3"/>
  <c r="L15" i="3"/>
  <c r="L29" i="3"/>
  <c r="L101" i="3"/>
  <c r="L97" i="3"/>
  <c r="L93" i="3"/>
  <c r="L205" i="3"/>
  <c r="L71" i="3"/>
  <c r="L67" i="3"/>
  <c r="L144" i="3"/>
  <c r="L175" i="3"/>
  <c r="L137" i="3"/>
  <c r="L154" i="3"/>
  <c r="L74" i="3"/>
  <c r="L149" i="3"/>
  <c r="L45" i="3"/>
  <c r="L107" i="3"/>
  <c r="L27" i="3"/>
  <c r="L108" i="3"/>
  <c r="L28" i="3"/>
  <c r="L219" i="3"/>
  <c r="L171" i="3"/>
  <c r="L125" i="3"/>
  <c r="L150" i="3"/>
  <c r="L70" i="3"/>
  <c r="L104" i="3"/>
  <c r="L215" i="3"/>
  <c r="L121" i="3"/>
  <c r="L62" i="3"/>
  <c r="L138" i="3"/>
  <c r="L92" i="3"/>
  <c r="L130" i="3"/>
  <c r="L4" i="3"/>
  <c r="L79" i="3"/>
  <c r="L80" i="3"/>
  <c r="L218" i="3"/>
  <c r="L139" i="3"/>
  <c r="L9" i="3"/>
  <c r="L208" i="3"/>
  <c r="L131" i="3"/>
  <c r="L63" i="3"/>
  <c r="L129" i="3"/>
  <c r="L194" i="3"/>
  <c r="L151" i="3"/>
  <c r="L173" i="3"/>
  <c r="L134" i="3"/>
  <c r="L54" i="3"/>
  <c r="L105" i="3"/>
  <c r="L25" i="3"/>
  <c r="L87" i="3"/>
  <c r="L7" i="3"/>
  <c r="L88" i="3"/>
  <c r="L8" i="3"/>
  <c r="L214" i="3"/>
  <c r="L147" i="3"/>
  <c r="L84" i="3"/>
  <c r="L2" i="3"/>
  <c r="L183" i="3"/>
  <c r="L76" i="3"/>
  <c r="L89" i="3"/>
  <c r="L68" i="3"/>
  <c r="L184" i="3"/>
  <c r="L123" i="3"/>
  <c r="L186" i="3"/>
  <c r="L106" i="3"/>
  <c r="L26" i="3"/>
  <c r="L77" i="3"/>
  <c r="L176" i="3"/>
  <c r="L59" i="3"/>
  <c r="L140" i="3"/>
  <c r="L60" i="3"/>
  <c r="L213" i="3"/>
  <c r="L200" i="3"/>
  <c r="L72" i="3"/>
  <c r="L5" i="3"/>
  <c r="L217" i="3"/>
  <c r="J4" i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<sst xmlns="http://schemas.openxmlformats.org/spreadsheetml/2006/main" count="40" uniqueCount="36">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</sst>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L267" zoomScale="85" zoomScaleNormal="85" workbookViewId="0">
      <selection activeCell="X271" sqref="X271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-0.44789000000000001</v>
      </c>
      <c r="AC3" t="s">
        <v>30</v>
      </c>
    </row>
    <row r="4" spans="1:29" x14ac:dyDescent="0.3">
      <c r="A4">
        <v>4.0674149999999992E-2</v>
      </c>
      <c r="B4">
        <v>0.87407999999999997</v>
      </c>
      <c r="C4">
        <f>A4*B4</f>
        <v>3.5552461031999993E-2</v>
      </c>
      <c r="D4">
        <v>1.6299999999999999E-2</v>
      </c>
      <c r="E4">
        <v>2.8849251857154604E-3</v>
      </c>
      <c r="F4">
        <f>A4*200</f>
        <v>8.1348299999999991</v>
      </c>
      <c r="G4">
        <f>-B4</f>
        <v>-0.87407999999999997</v>
      </c>
      <c r="H4">
        <f t="shared" ref="H4" si="0">-C4*200</f>
        <v>-7.1104922063999982</v>
      </c>
      <c r="I4">
        <v>1</v>
      </c>
      <c r="J4">
        <f>LN(F4/1000)</f>
        <v>-4.8116004358865876</v>
      </c>
      <c r="K4">
        <f>((-G4)-$N$2)</f>
        <v>-0.30583057297601202</v>
      </c>
      <c r="L4">
        <v>1</v>
      </c>
      <c r="M4">
        <f>-1*($S$4+($S$5*J4))</f>
        <v>0.28981709960050772</v>
      </c>
      <c r="N4">
        <f>D4*A4</f>
        <v>6.629886449999998E-4</v>
      </c>
      <c r="O4">
        <f>E4*A4</f>
        <v>1.1734187974256847E-4</v>
      </c>
      <c r="P4">
        <f>-K4-M4-N4-O4</f>
        <v>1.5233142850761727E-2</v>
      </c>
      <c r="R4" s="2" t="s">
        <v>16</v>
      </c>
      <c r="S4">
        <v>-0.51500000000000001</v>
      </c>
      <c r="V4">
        <v>-6</v>
      </c>
      <c r="W4">
        <f>V4*$S$5+$S$4</f>
        <v>-0.23420000000000002</v>
      </c>
      <c r="Y4">
        <v>0</v>
      </c>
      <c r="Z4">
        <f>$AB$4*Y4+$AB$3</f>
        <v>-0.44789000000000001</v>
      </c>
      <c r="AB4">
        <v>12.781650000000001</v>
      </c>
      <c r="AC4" t="s">
        <v>31</v>
      </c>
    </row>
    <row r="5" spans="1:29" x14ac:dyDescent="0.3">
      <c r="A5">
        <v>9.1083250000000004E-2</v>
      </c>
      <c r="B5">
        <v>0.83594999999999997</v>
      </c>
      <c r="C5">
        <f t="shared" ref="C5:C68" si="1">A5*B5</f>
        <v>7.6141042837500006E-2</v>
      </c>
      <c r="D5">
        <v>1.6299999999999999E-2</v>
      </c>
      <c r="E5">
        <v>2.8849251857154604E-3</v>
      </c>
      <c r="F5">
        <f t="shared" ref="F5:F68" si="2">A5*200</f>
        <v>18.216650000000001</v>
      </c>
      <c r="G5">
        <f t="shared" ref="G5:G68" si="3">-B5</f>
        <v>-0.83594999999999997</v>
      </c>
      <c r="H5">
        <f t="shared" ref="H5:H68" si="4">-C5*200</f>
        <v>-15.228208567500001</v>
      </c>
      <c r="I5">
        <v>1</v>
      </c>
      <c r="J5">
        <f t="shared" ref="J5:J68" si="5">LN(F5/1000)</f>
        <v>-4.0054192679412006</v>
      </c>
      <c r="K5">
        <f t="shared" ref="K5:K68" si="6">((-G5)-$N$2)</f>
        <v>-0.34396057297601201</v>
      </c>
      <c r="L5">
        <v>1</v>
      </c>
      <c r="M5">
        <f t="shared" ref="M5:M68" si="7">-1*($S$4+($S$5*J5))</f>
        <v>0.32754637826035182</v>
      </c>
      <c r="N5">
        <f t="shared" ref="N5:N6" si="8">D5*A5</f>
        <v>1.484656975E-3</v>
      </c>
      <c r="O5">
        <f>E5*A5</f>
        <v>2.6276836192181774E-4</v>
      </c>
      <c r="P5">
        <f>-K5-M5-N5-O5</f>
        <v>1.4666769378738374E-2</v>
      </c>
      <c r="R5" s="2" t="s">
        <v>17</v>
      </c>
      <c r="S5">
        <v>-4.6800000000000001E-2</v>
      </c>
      <c r="V5">
        <v>-5.9</v>
      </c>
      <c r="W5">
        <f t="shared" ref="W5:W68" si="9">V5*$S$5+$S$4</f>
        <v>-0.23887999999999998</v>
      </c>
      <c r="Y5">
        <v>0.01</v>
      </c>
      <c r="Z5">
        <f t="shared" ref="Z5:Z31" si="10">$AB$4*Y5+$AB$3</f>
        <v>-0.32007350000000001</v>
      </c>
    </row>
    <row r="6" spans="1:29" x14ac:dyDescent="0.3">
      <c r="A6">
        <v>0.14251079999999999</v>
      </c>
      <c r="B6">
        <v>0.79771999999999998</v>
      </c>
      <c r="C6">
        <f t="shared" si="1"/>
        <v>0.11368371537599999</v>
      </c>
      <c r="D6">
        <v>1.6299999999999999E-2</v>
      </c>
      <c r="E6">
        <v>2.8849251857154604E-3</v>
      </c>
      <c r="F6">
        <f t="shared" si="2"/>
        <v>28.50216</v>
      </c>
      <c r="G6">
        <f t="shared" si="3"/>
        <v>-0.79771999999999998</v>
      </c>
      <c r="H6">
        <f t="shared" si="4"/>
        <v>-22.736743075199996</v>
      </c>
      <c r="I6">
        <v>1</v>
      </c>
      <c r="J6">
        <f t="shared" si="5"/>
        <v>-3.5577754051057253</v>
      </c>
      <c r="K6">
        <f t="shared" si="6"/>
        <v>-0.382190572976012</v>
      </c>
      <c r="L6">
        <v>1</v>
      </c>
      <c r="M6">
        <f t="shared" si="7"/>
        <v>0.34849611104105205</v>
      </c>
      <c r="N6">
        <f t="shared" si="8"/>
        <v>2.3229260399999997E-3</v>
      </c>
      <c r="O6">
        <f t="shared" ref="O6:O69" si="11">E6*A6</f>
        <v>4.1113299615645879E-4</v>
      </c>
      <c r="P6">
        <f t="shared" ref="P6:P69" si="12">-K6-M6-N6-O6</f>
        <v>3.0960402898803495E-2</v>
      </c>
      <c r="V6">
        <v>-5.8</v>
      </c>
      <c r="W6">
        <f t="shared" si="9"/>
        <v>-0.24356</v>
      </c>
      <c r="Y6">
        <v>0.02</v>
      </c>
      <c r="Z6">
        <f t="shared" si="10"/>
        <v>-0.19225700000000001</v>
      </c>
      <c r="AB6" t="s">
        <v>32</v>
      </c>
    </row>
    <row r="7" spans="1:29" x14ac:dyDescent="0.3">
      <c r="A7">
        <v>0.19597505000000001</v>
      </c>
      <c r="B7">
        <v>0.78037000000000001</v>
      </c>
      <c r="C7">
        <f t="shared" si="1"/>
        <v>0.1529330497685</v>
      </c>
      <c r="D7">
        <v>1.6299999999999999E-2</v>
      </c>
      <c r="E7">
        <v>2.8849251857154604E-3</v>
      </c>
      <c r="F7">
        <f t="shared" si="2"/>
        <v>39.195010000000003</v>
      </c>
      <c r="G7">
        <f t="shared" si="3"/>
        <v>-0.78037000000000001</v>
      </c>
      <c r="H7">
        <f t="shared" si="4"/>
        <v>-30.586609953700002</v>
      </c>
      <c r="I7">
        <v>1</v>
      </c>
      <c r="J7">
        <f t="shared" si="5"/>
        <v>-3.2392058362069007</v>
      </c>
      <c r="K7">
        <f t="shared" si="6"/>
        <v>-0.39954057297601198</v>
      </c>
      <c r="L7">
        <v>1</v>
      </c>
      <c r="M7">
        <f t="shared" si="7"/>
        <v>0.36340516686551705</v>
      </c>
      <c r="N7">
        <f t="shared" ref="N7:N70" si="13">D7*A7</f>
        <v>3.1943933149999998E-3</v>
      </c>
      <c r="O7">
        <f t="shared" si="11"/>
        <v>5.6537335751684662E-4</v>
      </c>
      <c r="P7">
        <f t="shared" si="12"/>
        <v>3.2375639437978082E-2</v>
      </c>
      <c r="V7">
        <v>-5.7</v>
      </c>
      <c r="W7">
        <f t="shared" si="9"/>
        <v>-0.24824000000000002</v>
      </c>
      <c r="Y7">
        <v>0.03</v>
      </c>
      <c r="Z7">
        <f t="shared" si="10"/>
        <v>-6.4440500000000012E-2</v>
      </c>
      <c r="AB7" t="s">
        <v>33</v>
      </c>
      <c r="AC7">
        <f>-AB3/AB4</f>
        <v>3.5041641728571819E-2</v>
      </c>
    </row>
    <row r="8" spans="1:29" x14ac:dyDescent="0.3">
      <c r="A8">
        <v>0.2463842</v>
      </c>
      <c r="B8">
        <v>0.76649</v>
      </c>
      <c r="C8">
        <f t="shared" si="1"/>
        <v>0.188851025458</v>
      </c>
      <c r="D8">
        <v>1.6299999999999999E-2</v>
      </c>
      <c r="E8">
        <v>2.8849251857154604E-3</v>
      </c>
      <c r="F8">
        <f t="shared" si="2"/>
        <v>49.27684</v>
      </c>
      <c r="G8">
        <f t="shared" si="3"/>
        <v>-0.76649</v>
      </c>
      <c r="H8">
        <f t="shared" si="4"/>
        <v>-37.770205091599998</v>
      </c>
      <c r="I8">
        <v>1</v>
      </c>
      <c r="J8">
        <f t="shared" si="5"/>
        <v>-3.0103010851894876</v>
      </c>
      <c r="K8">
        <f t="shared" si="6"/>
        <v>-0.41342057297601198</v>
      </c>
      <c r="L8">
        <v>1</v>
      </c>
      <c r="M8">
        <f t="shared" si="7"/>
        <v>0.37411790921313198</v>
      </c>
      <c r="N8">
        <f t="shared" si="13"/>
        <v>4.0160624599999998E-3</v>
      </c>
      <c r="O8">
        <f t="shared" si="11"/>
        <v>7.1079998394235513E-4</v>
      </c>
      <c r="P8">
        <f t="shared" si="12"/>
        <v>3.4575801318937643E-2</v>
      </c>
      <c r="V8">
        <v>-5.6</v>
      </c>
      <c r="W8">
        <f t="shared" si="9"/>
        <v>-0.25292000000000003</v>
      </c>
      <c r="Y8">
        <v>0.04</v>
      </c>
      <c r="Z8">
        <f t="shared" si="10"/>
        <v>6.3375999999999988E-2</v>
      </c>
    </row>
    <row r="9" spans="1:29" x14ac:dyDescent="0.3">
      <c r="A9">
        <v>0.29679334999999996</v>
      </c>
      <c r="B9">
        <v>0.75616000000000005</v>
      </c>
      <c r="C9">
        <f t="shared" si="1"/>
        <v>0.22442325953599998</v>
      </c>
      <c r="D9">
        <v>1.6299999999999999E-2</v>
      </c>
      <c r="E9">
        <v>2.8849251857154604E-3</v>
      </c>
      <c r="F9">
        <f t="shared" si="2"/>
        <v>59.358669999999989</v>
      </c>
      <c r="G9">
        <f t="shared" si="3"/>
        <v>-0.75616000000000005</v>
      </c>
      <c r="H9">
        <f t="shared" si="4"/>
        <v>-44.884651907199995</v>
      </c>
      <c r="I9">
        <v>1</v>
      </c>
      <c r="J9">
        <f t="shared" si="5"/>
        <v>-2.8241570860344001</v>
      </c>
      <c r="K9">
        <f t="shared" si="6"/>
        <v>-0.42375057297601193</v>
      </c>
      <c r="L9">
        <v>1</v>
      </c>
      <c r="M9">
        <f t="shared" si="7"/>
        <v>0.38282944837359012</v>
      </c>
      <c r="N9">
        <f t="shared" si="13"/>
        <v>4.8377316049999985E-3</v>
      </c>
      <c r="O9">
        <f t="shared" si="11"/>
        <v>8.5622661036786354E-4</v>
      </c>
      <c r="P9">
        <f t="shared" si="12"/>
        <v>3.5227166387053949E-2</v>
      </c>
      <c r="V9">
        <v>-5.5</v>
      </c>
      <c r="W9">
        <f t="shared" si="9"/>
        <v>-0.2576</v>
      </c>
      <c r="Y9">
        <v>0.05</v>
      </c>
      <c r="Z9">
        <f t="shared" si="10"/>
        <v>0.1911925000000001</v>
      </c>
      <c r="AB9" t="s">
        <v>35</v>
      </c>
      <c r="AC9">
        <v>3.4079999999999999E-2</v>
      </c>
    </row>
    <row r="10" spans="1:29" x14ac:dyDescent="0.3">
      <c r="A10">
        <v>0.34771165000000004</v>
      </c>
      <c r="B10">
        <v>0.74646000000000001</v>
      </c>
      <c r="C10">
        <f t="shared" si="1"/>
        <v>0.25955283825900005</v>
      </c>
      <c r="D10">
        <v>1.6299999999999999E-2</v>
      </c>
      <c r="E10">
        <v>2.8849251857154604E-3</v>
      </c>
      <c r="F10">
        <f t="shared" si="2"/>
        <v>69.542330000000007</v>
      </c>
      <c r="G10">
        <f t="shared" si="3"/>
        <v>-0.74646000000000001</v>
      </c>
      <c r="H10">
        <f t="shared" si="4"/>
        <v>-51.910567651800008</v>
      </c>
      <c r="I10">
        <v>1</v>
      </c>
      <c r="J10">
        <f t="shared" si="5"/>
        <v>-2.6658196470678441</v>
      </c>
      <c r="K10">
        <f t="shared" si="6"/>
        <v>-0.43345057297601197</v>
      </c>
      <c r="L10">
        <v>1</v>
      </c>
      <c r="M10">
        <f t="shared" si="7"/>
        <v>0.39023964051722493</v>
      </c>
      <c r="N10">
        <f t="shared" si="13"/>
        <v>5.6676998950000003E-3</v>
      </c>
      <c r="O10">
        <f t="shared" si="11"/>
        <v>1.0031220964516793E-3</v>
      </c>
      <c r="P10">
        <f t="shared" si="12"/>
        <v>3.6540110467335359E-2</v>
      </c>
      <c r="V10">
        <v>-5.4</v>
      </c>
      <c r="W10">
        <f t="shared" si="9"/>
        <v>-0.26228000000000001</v>
      </c>
      <c r="Y10">
        <v>0.06</v>
      </c>
      <c r="Z10">
        <f t="shared" si="10"/>
        <v>0.31900899999999999</v>
      </c>
    </row>
    <row r="11" spans="1:29" x14ac:dyDescent="0.3">
      <c r="A11">
        <v>0.40015754999999997</v>
      </c>
      <c r="B11">
        <v>0.73812999999999995</v>
      </c>
      <c r="C11">
        <f t="shared" si="1"/>
        <v>0.29536829238149998</v>
      </c>
      <c r="D11">
        <v>1.6299999999999999E-2</v>
      </c>
      <c r="E11">
        <v>2.8849251857154604E-3</v>
      </c>
      <c r="F11">
        <f t="shared" si="2"/>
        <v>80.031509999999997</v>
      </c>
      <c r="G11">
        <f t="shared" si="3"/>
        <v>-0.73812999999999995</v>
      </c>
      <c r="H11">
        <f t="shared" si="4"/>
        <v>-59.073658476299997</v>
      </c>
      <c r="I11">
        <v>1</v>
      </c>
      <c r="J11">
        <f t="shared" si="5"/>
        <v>-2.525334846856651</v>
      </c>
      <c r="K11">
        <f t="shared" si="6"/>
        <v>-0.44178057297601203</v>
      </c>
      <c r="L11">
        <v>1</v>
      </c>
      <c r="M11">
        <f t="shared" si="7"/>
        <v>0.39681432916710874</v>
      </c>
      <c r="N11">
        <f t="shared" si="13"/>
        <v>6.5225680649999987E-3</v>
      </c>
      <c r="O11">
        <f t="shared" si="11"/>
        <v>1.1544245942491935E-3</v>
      </c>
      <c r="P11">
        <f t="shared" si="12"/>
        <v>3.7289251149654104E-2</v>
      </c>
      <c r="V11">
        <v>-5.3</v>
      </c>
      <c r="W11">
        <f t="shared" si="9"/>
        <v>-0.26695999999999998</v>
      </c>
      <c r="Y11">
        <v>7.0000000000000007E-2</v>
      </c>
      <c r="Z11">
        <f t="shared" si="10"/>
        <v>0.4468255000000001</v>
      </c>
      <c r="AB11" t="s">
        <v>34</v>
      </c>
      <c r="AC11">
        <f>AC7-AC9</f>
        <v>9.6164172857182012E-4</v>
      </c>
    </row>
    <row r="12" spans="1:29" x14ac:dyDescent="0.3">
      <c r="A12">
        <v>0.45260339999999999</v>
      </c>
      <c r="B12">
        <v>0.73057000000000005</v>
      </c>
      <c r="C12">
        <f t="shared" si="1"/>
        <v>0.33065846593800002</v>
      </c>
      <c r="D12">
        <v>1.6299999999999999E-2</v>
      </c>
      <c r="E12">
        <v>2.8849251857154604E-3</v>
      </c>
      <c r="F12">
        <f t="shared" si="2"/>
        <v>90.520679999999999</v>
      </c>
      <c r="G12">
        <f t="shared" si="3"/>
        <v>-0.73057000000000005</v>
      </c>
      <c r="H12">
        <f t="shared" si="4"/>
        <v>-66.131693187600007</v>
      </c>
      <c r="I12">
        <v>1</v>
      </c>
      <c r="J12">
        <f t="shared" si="5"/>
        <v>-2.402176946093006</v>
      </c>
      <c r="K12">
        <f t="shared" si="6"/>
        <v>-0.44934057297601193</v>
      </c>
      <c r="L12">
        <v>1</v>
      </c>
      <c r="M12">
        <f t="shared" si="7"/>
        <v>0.40257811892284734</v>
      </c>
      <c r="N12">
        <f t="shared" si="13"/>
        <v>7.3774354199999991E-3</v>
      </c>
      <c r="O12">
        <f t="shared" si="11"/>
        <v>1.3057269478004487E-3</v>
      </c>
      <c r="P12">
        <f t="shared" si="12"/>
        <v>3.8079291685364142E-2</v>
      </c>
      <c r="V12">
        <v>-5.2</v>
      </c>
      <c r="W12">
        <f t="shared" si="9"/>
        <v>-0.27163999999999999</v>
      </c>
      <c r="Y12">
        <v>0.08</v>
      </c>
      <c r="Z12">
        <f t="shared" si="10"/>
        <v>0.57464199999999999</v>
      </c>
      <c r="AC12">
        <f>AC11*3</f>
        <v>2.8849251857154604E-3</v>
      </c>
    </row>
    <row r="13" spans="1:29" x14ac:dyDescent="0.3">
      <c r="A13">
        <v>0.50301260000000003</v>
      </c>
      <c r="B13">
        <v>0.72328000000000003</v>
      </c>
      <c r="C13">
        <f t="shared" si="1"/>
        <v>0.36381895332800002</v>
      </c>
      <c r="D13">
        <v>1.6299999999999999E-2</v>
      </c>
      <c r="E13">
        <v>2.8849251857154604E-3</v>
      </c>
      <c r="F13">
        <f t="shared" si="2"/>
        <v>100.60252000000001</v>
      </c>
      <c r="G13">
        <f t="shared" si="3"/>
        <v>-0.72328000000000003</v>
      </c>
      <c r="H13">
        <f t="shared" si="4"/>
        <v>-72.763790665599998</v>
      </c>
      <c r="I13">
        <v>1</v>
      </c>
      <c r="J13">
        <f t="shared" si="5"/>
        <v>-2.2965779719284471</v>
      </c>
      <c r="K13">
        <f t="shared" si="6"/>
        <v>-0.45663057297601195</v>
      </c>
      <c r="L13">
        <v>1</v>
      </c>
      <c r="M13">
        <f t="shared" si="7"/>
        <v>0.40752015091374871</v>
      </c>
      <c r="N13">
        <f t="shared" si="13"/>
        <v>8.1991053800000002E-3</v>
      </c>
      <c r="O13">
        <f t="shared" si="11"/>
        <v>1.4511537184722166E-3</v>
      </c>
      <c r="P13">
        <f t="shared" si="12"/>
        <v>3.9460162963791019E-2</v>
      </c>
      <c r="V13">
        <v>-5.0999999999999996</v>
      </c>
      <c r="W13">
        <f t="shared" si="9"/>
        <v>-0.27632000000000001</v>
      </c>
      <c r="Y13">
        <v>0.09</v>
      </c>
      <c r="Z13">
        <f t="shared" si="10"/>
        <v>0.70245849999999999</v>
      </c>
    </row>
    <row r="14" spans="1:29" x14ac:dyDescent="0.3">
      <c r="A14">
        <v>0.55342174999999993</v>
      </c>
      <c r="B14">
        <v>0.71716999999999997</v>
      </c>
      <c r="C14">
        <f t="shared" si="1"/>
        <v>0.39689747644749995</v>
      </c>
      <c r="D14">
        <v>1.6299999999999999E-2</v>
      </c>
      <c r="E14">
        <v>2.8849251857154604E-3</v>
      </c>
      <c r="F14">
        <f t="shared" si="2"/>
        <v>110.68434999999998</v>
      </c>
      <c r="G14">
        <f t="shared" si="3"/>
        <v>-0.71716999999999997</v>
      </c>
      <c r="H14">
        <f t="shared" si="4"/>
        <v>-79.379495289499985</v>
      </c>
      <c r="I14">
        <v>1</v>
      </c>
      <c r="J14">
        <f t="shared" si="5"/>
        <v>-2.2010728223420593</v>
      </c>
      <c r="K14">
        <f t="shared" si="6"/>
        <v>-0.46274057297601201</v>
      </c>
      <c r="L14">
        <v>1</v>
      </c>
      <c r="M14">
        <f t="shared" si="7"/>
        <v>0.41198979191439167</v>
      </c>
      <c r="N14">
        <f t="shared" si="13"/>
        <v>9.0207745249999988E-3</v>
      </c>
      <c r="O14">
        <f t="shared" si="11"/>
        <v>1.596580344897725E-3</v>
      </c>
      <c r="P14">
        <f t="shared" si="12"/>
        <v>4.0133426191722624E-2</v>
      </c>
      <c r="V14">
        <v>-5</v>
      </c>
      <c r="W14">
        <f t="shared" si="9"/>
        <v>-0.28100000000000003</v>
      </c>
      <c r="Y14">
        <v>0.1</v>
      </c>
      <c r="Z14">
        <f t="shared" si="10"/>
        <v>0.83027500000000021</v>
      </c>
    </row>
    <row r="15" spans="1:29" x14ac:dyDescent="0.3">
      <c r="A15">
        <v>0.60383085000000003</v>
      </c>
      <c r="B15">
        <v>0.71133000000000002</v>
      </c>
      <c r="C15">
        <f t="shared" si="1"/>
        <v>0.42952299853050002</v>
      </c>
      <c r="D15">
        <v>1.6299999999999999E-2</v>
      </c>
      <c r="E15">
        <v>2.8849251857154604E-3</v>
      </c>
      <c r="F15">
        <f t="shared" si="2"/>
        <v>120.76617</v>
      </c>
      <c r="G15">
        <f t="shared" si="3"/>
        <v>-0.71133000000000002</v>
      </c>
      <c r="H15">
        <f t="shared" si="4"/>
        <v>-85.904599706100001</v>
      </c>
      <c r="I15">
        <v>1</v>
      </c>
      <c r="J15">
        <f t="shared" si="5"/>
        <v>-2.1138990823715278</v>
      </c>
      <c r="K15">
        <f t="shared" si="6"/>
        <v>-0.46858057297601197</v>
      </c>
      <c r="L15">
        <v>1</v>
      </c>
      <c r="M15">
        <f t="shared" si="7"/>
        <v>0.41606952294501254</v>
      </c>
      <c r="N15">
        <f t="shared" si="13"/>
        <v>9.8424428549999995E-3</v>
      </c>
      <c r="O15">
        <f t="shared" si="11"/>
        <v>1.7420068270769743E-3</v>
      </c>
      <c r="P15">
        <f t="shared" si="12"/>
        <v>4.0926600348922454E-2</v>
      </c>
      <c r="V15">
        <v>-4.9000000000000004</v>
      </c>
      <c r="W15">
        <f t="shared" si="9"/>
        <v>-0.28567999999999999</v>
      </c>
      <c r="Y15">
        <v>0.11</v>
      </c>
      <c r="Z15">
        <f t="shared" si="10"/>
        <v>0.95809149999999998</v>
      </c>
    </row>
    <row r="16" spans="1:29" x14ac:dyDescent="0.3">
      <c r="A16">
        <v>0.65424000000000004</v>
      </c>
      <c r="B16">
        <v>0.70552000000000004</v>
      </c>
      <c r="C16">
        <f t="shared" si="1"/>
        <v>0.46157940480000004</v>
      </c>
      <c r="D16">
        <v>1.6299999999999999E-2</v>
      </c>
      <c r="E16">
        <v>2.8849251857154604E-3</v>
      </c>
      <c r="F16">
        <f t="shared" si="2"/>
        <v>130.84800000000001</v>
      </c>
      <c r="G16">
        <f t="shared" si="3"/>
        <v>-0.70552000000000004</v>
      </c>
      <c r="H16">
        <f t="shared" si="4"/>
        <v>-92.315880960000001</v>
      </c>
      <c r="I16">
        <v>1</v>
      </c>
      <c r="J16">
        <f t="shared" si="5"/>
        <v>-2.033718934799905</v>
      </c>
      <c r="K16">
        <f t="shared" si="6"/>
        <v>-0.47439057297601195</v>
      </c>
      <c r="L16">
        <v>1</v>
      </c>
      <c r="M16">
        <f t="shared" si="7"/>
        <v>0.41982195385136445</v>
      </c>
      <c r="N16">
        <f t="shared" si="13"/>
        <v>1.0664112E-2</v>
      </c>
      <c r="O16">
        <f t="shared" si="11"/>
        <v>1.887433453502483E-3</v>
      </c>
      <c r="P16">
        <f t="shared" si="12"/>
        <v>4.2017073671145017E-2</v>
      </c>
      <c r="V16">
        <v>-4.8</v>
      </c>
      <c r="W16">
        <f t="shared" si="9"/>
        <v>-0.29036000000000001</v>
      </c>
      <c r="Y16">
        <v>0.12</v>
      </c>
      <c r="Z16">
        <f t="shared" si="10"/>
        <v>1.0859079999999999</v>
      </c>
    </row>
    <row r="17" spans="1:26" x14ac:dyDescent="0.3">
      <c r="A17">
        <v>0.70974095000000004</v>
      </c>
      <c r="B17">
        <v>0.69984999999999997</v>
      </c>
      <c r="C17">
        <f t="shared" si="1"/>
        <v>0.49671220385749998</v>
      </c>
      <c r="D17">
        <v>1.6299999999999999E-2</v>
      </c>
      <c r="E17">
        <v>2.8849251857154604E-3</v>
      </c>
      <c r="F17">
        <f t="shared" si="2"/>
        <v>141.94819000000001</v>
      </c>
      <c r="G17">
        <f t="shared" si="3"/>
        <v>-0.69984999999999997</v>
      </c>
      <c r="H17">
        <f t="shared" si="4"/>
        <v>-99.342440771499994</v>
      </c>
      <c r="I17">
        <v>1</v>
      </c>
      <c r="J17">
        <f t="shared" si="5"/>
        <v>-1.952293147113102</v>
      </c>
      <c r="K17">
        <f t="shared" si="6"/>
        <v>-0.48006057297601201</v>
      </c>
      <c r="L17">
        <v>1</v>
      </c>
      <c r="M17">
        <f t="shared" si="7"/>
        <v>0.42363268071510685</v>
      </c>
      <c r="N17">
        <f t="shared" si="13"/>
        <v>1.1568777484999999E-2</v>
      </c>
      <c r="O17">
        <f t="shared" si="11"/>
        <v>2.0475495419886173E-3</v>
      </c>
      <c r="P17">
        <f t="shared" si="12"/>
        <v>4.2811565233916549E-2</v>
      </c>
      <c r="V17">
        <v>-4.7</v>
      </c>
      <c r="W17">
        <f t="shared" si="9"/>
        <v>-0.29503999999999997</v>
      </c>
      <c r="Y17">
        <v>0.13</v>
      </c>
      <c r="Z17">
        <f t="shared" si="10"/>
        <v>1.2137245000000001</v>
      </c>
    </row>
    <row r="18" spans="1:26" x14ac:dyDescent="0.3">
      <c r="A18">
        <v>0.76015015000000008</v>
      </c>
      <c r="B18">
        <v>0.69403000000000004</v>
      </c>
      <c r="C18">
        <f t="shared" si="1"/>
        <v>0.52756700860450012</v>
      </c>
      <c r="D18">
        <v>1.6299999999999999E-2</v>
      </c>
      <c r="E18">
        <v>2.8849251857154604E-3</v>
      </c>
      <c r="F18">
        <f t="shared" si="2"/>
        <v>152.03003000000001</v>
      </c>
      <c r="G18">
        <f t="shared" si="3"/>
        <v>-0.69403000000000004</v>
      </c>
      <c r="H18">
        <f t="shared" si="4"/>
        <v>-105.51340172090002</v>
      </c>
      <c r="I18">
        <v>1</v>
      </c>
      <c r="J18">
        <f t="shared" si="5"/>
        <v>-1.8836772118599374</v>
      </c>
      <c r="K18">
        <f t="shared" si="6"/>
        <v>-0.48588057297601195</v>
      </c>
      <c r="L18">
        <v>1</v>
      </c>
      <c r="M18">
        <f t="shared" si="7"/>
        <v>0.42684390648495496</v>
      </c>
      <c r="N18">
        <f t="shared" si="13"/>
        <v>1.2390447445000001E-2</v>
      </c>
      <c r="O18">
        <f t="shared" si="11"/>
        <v>2.1929763126603851E-3</v>
      </c>
      <c r="P18">
        <f t="shared" si="12"/>
        <v>4.4453242733396604E-2</v>
      </c>
      <c r="V18">
        <v>-4.5999999999999996</v>
      </c>
      <c r="W18">
        <f t="shared" si="9"/>
        <v>-0.29971999999999999</v>
      </c>
      <c r="Y18">
        <v>0.14000000000000001</v>
      </c>
      <c r="Z18">
        <f t="shared" si="10"/>
        <v>1.3415410000000003</v>
      </c>
    </row>
    <row r="19" spans="1:26" x14ac:dyDescent="0.3">
      <c r="A19">
        <v>0.81157764999999993</v>
      </c>
      <c r="B19">
        <v>0.68894999999999995</v>
      </c>
      <c r="C19">
        <f t="shared" si="1"/>
        <v>0.55913642196749991</v>
      </c>
      <c r="D19">
        <v>1.6299999999999999E-2</v>
      </c>
      <c r="E19">
        <v>2.8849251857154604E-3</v>
      </c>
      <c r="F19">
        <f t="shared" si="2"/>
        <v>162.31553</v>
      </c>
      <c r="G19">
        <f t="shared" si="3"/>
        <v>-0.68894999999999995</v>
      </c>
      <c r="H19">
        <f t="shared" si="4"/>
        <v>-111.82728439349998</v>
      </c>
      <c r="I19">
        <v>1</v>
      </c>
      <c r="J19">
        <f t="shared" si="5"/>
        <v>-1.8182131220399167</v>
      </c>
      <c r="K19">
        <f t="shared" si="6"/>
        <v>-0.49096057297601203</v>
      </c>
      <c r="L19">
        <v>1</v>
      </c>
      <c r="M19">
        <f t="shared" si="7"/>
        <v>0.42990762588853193</v>
      </c>
      <c r="N19">
        <f t="shared" si="13"/>
        <v>1.3228715694999997E-2</v>
      </c>
      <c r="O19">
        <f t="shared" si="11"/>
        <v>2.3413408026487668E-3</v>
      </c>
      <c r="P19">
        <f t="shared" si="12"/>
        <v>4.5482890589831342E-2</v>
      </c>
      <c r="V19">
        <v>-4.5000000000000098</v>
      </c>
      <c r="W19">
        <f t="shared" si="9"/>
        <v>-0.30439999999999956</v>
      </c>
      <c r="Y19">
        <v>0.15</v>
      </c>
      <c r="Z19">
        <f t="shared" si="10"/>
        <v>1.4693575000000001</v>
      </c>
    </row>
    <row r="20" spans="1:26" x14ac:dyDescent="0.3">
      <c r="A20">
        <v>0.86249589999999998</v>
      </c>
      <c r="B20">
        <v>0.68393000000000004</v>
      </c>
      <c r="C20">
        <f t="shared" si="1"/>
        <v>0.58988682088700006</v>
      </c>
      <c r="D20">
        <v>1.6299999999999999E-2</v>
      </c>
      <c r="E20">
        <v>2.8849251857154604E-3</v>
      </c>
      <c r="F20">
        <f t="shared" si="2"/>
        <v>172.49918</v>
      </c>
      <c r="G20">
        <f t="shared" si="3"/>
        <v>-0.68393000000000004</v>
      </c>
      <c r="H20">
        <f t="shared" si="4"/>
        <v>-117.97736417740001</v>
      </c>
      <c r="I20">
        <v>1</v>
      </c>
      <c r="J20">
        <f t="shared" si="5"/>
        <v>-1.7573627961452094</v>
      </c>
      <c r="K20">
        <f t="shared" si="6"/>
        <v>-0.49598057297601195</v>
      </c>
      <c r="L20">
        <v>1</v>
      </c>
      <c r="M20">
        <f t="shared" si="7"/>
        <v>0.43275542114040422</v>
      </c>
      <c r="N20">
        <f t="shared" si="13"/>
        <v>1.4058683169999999E-2</v>
      </c>
      <c r="O20">
        <f t="shared" si="11"/>
        <v>2.4882361444863231E-3</v>
      </c>
      <c r="P20">
        <f t="shared" si="12"/>
        <v>4.6678232521121403E-2</v>
      </c>
      <c r="V20">
        <v>-4.4000000000000101</v>
      </c>
      <c r="W20">
        <f t="shared" si="9"/>
        <v>-0.30907999999999952</v>
      </c>
      <c r="Y20">
        <v>0.16</v>
      </c>
      <c r="Z20">
        <f t="shared" si="10"/>
        <v>1.5971739999999999</v>
      </c>
    </row>
    <row r="21" spans="1:26" x14ac:dyDescent="0.3">
      <c r="A21">
        <v>0.91341424999999998</v>
      </c>
      <c r="B21">
        <v>0.67906</v>
      </c>
      <c r="C21">
        <f t="shared" si="1"/>
        <v>0.62026308060500002</v>
      </c>
      <c r="D21">
        <v>1.6299999999999999E-2</v>
      </c>
      <c r="E21">
        <v>2.8849251857154604E-3</v>
      </c>
      <c r="F21">
        <f t="shared" si="2"/>
        <v>182.68285</v>
      </c>
      <c r="G21">
        <f t="shared" si="3"/>
        <v>-0.67906</v>
      </c>
      <c r="H21">
        <f t="shared" si="4"/>
        <v>-124.052616121</v>
      </c>
      <c r="I21">
        <v>1</v>
      </c>
      <c r="J21">
        <f t="shared" si="5"/>
        <v>-1.7000036897360158</v>
      </c>
      <c r="K21">
        <f t="shared" si="6"/>
        <v>-0.50085057297601199</v>
      </c>
      <c r="L21">
        <v>1</v>
      </c>
      <c r="M21">
        <f t="shared" si="7"/>
        <v>0.43543982732035447</v>
      </c>
      <c r="N21">
        <f t="shared" si="13"/>
        <v>1.4888652274999999E-2</v>
      </c>
      <c r="O21">
        <f t="shared" si="11"/>
        <v>2.6351317748163979E-3</v>
      </c>
      <c r="P21">
        <f t="shared" si="12"/>
        <v>4.7886961605841126E-2</v>
      </c>
      <c r="V21">
        <v>-4.3000000000000096</v>
      </c>
      <c r="W21">
        <f t="shared" si="9"/>
        <v>-0.31375999999999959</v>
      </c>
      <c r="Y21">
        <v>0.17</v>
      </c>
      <c r="Z21">
        <f t="shared" si="10"/>
        <v>1.7249905000000001</v>
      </c>
    </row>
    <row r="22" spans="1:26" x14ac:dyDescent="0.3">
      <c r="A22">
        <v>0.96586025000000009</v>
      </c>
      <c r="B22">
        <v>0.67454999999999998</v>
      </c>
      <c r="C22">
        <f t="shared" si="1"/>
        <v>0.65152103163750008</v>
      </c>
      <c r="D22">
        <v>1.6299999999999999E-2</v>
      </c>
      <c r="E22">
        <v>2.8849251857154604E-3</v>
      </c>
      <c r="F22">
        <f t="shared" si="2"/>
        <v>193.17205000000001</v>
      </c>
      <c r="G22">
        <f t="shared" si="3"/>
        <v>-0.67454999999999998</v>
      </c>
      <c r="H22">
        <f t="shared" si="4"/>
        <v>-130.30420632750003</v>
      </c>
      <c r="I22">
        <v>1</v>
      </c>
      <c r="J22">
        <f t="shared" si="5"/>
        <v>-1.6441740364063104</v>
      </c>
      <c r="K22">
        <f t="shared" si="6"/>
        <v>-0.505360572976012</v>
      </c>
      <c r="L22">
        <v>1</v>
      </c>
      <c r="M22">
        <f t="shared" si="7"/>
        <v>0.43805265509618468</v>
      </c>
      <c r="N22">
        <f t="shared" si="13"/>
        <v>1.5743522074999999E-2</v>
      </c>
      <c r="O22">
        <f t="shared" si="11"/>
        <v>2.7864345611064312E-3</v>
      </c>
      <c r="P22">
        <f t="shared" si="12"/>
        <v>4.8777961243720885E-2</v>
      </c>
      <c r="V22">
        <v>-4.2000000000000099</v>
      </c>
      <c r="W22">
        <f t="shared" si="9"/>
        <v>-0.3184399999999995</v>
      </c>
      <c r="Y22">
        <v>0.18</v>
      </c>
      <c r="Z22">
        <f t="shared" si="10"/>
        <v>1.8528069999999999</v>
      </c>
    </row>
    <row r="23" spans="1:26" x14ac:dyDescent="0.3">
      <c r="A23">
        <v>1.0162693</v>
      </c>
      <c r="B23">
        <v>0.66976000000000002</v>
      </c>
      <c r="C23">
        <f t="shared" si="1"/>
        <v>0.680656526368</v>
      </c>
      <c r="D23">
        <v>1.6299999999999999E-2</v>
      </c>
      <c r="E23">
        <v>2.8849251857154604E-3</v>
      </c>
      <c r="F23">
        <f t="shared" si="2"/>
        <v>203.25386</v>
      </c>
      <c r="G23">
        <f t="shared" si="3"/>
        <v>-0.66976000000000002</v>
      </c>
      <c r="H23">
        <f t="shared" si="4"/>
        <v>-136.13130527359999</v>
      </c>
      <c r="I23">
        <v>1</v>
      </c>
      <c r="J23">
        <f t="shared" si="5"/>
        <v>-1.5932995393446372</v>
      </c>
      <c r="K23">
        <f t="shared" si="6"/>
        <v>-0.51015057297601196</v>
      </c>
      <c r="L23">
        <v>1</v>
      </c>
      <c r="M23">
        <f t="shared" si="7"/>
        <v>0.44043358155867096</v>
      </c>
      <c r="N23">
        <f t="shared" si="13"/>
        <v>1.6565189589999998E-2</v>
      </c>
      <c r="O23">
        <f t="shared" si="11"/>
        <v>2.9318608990394211E-3</v>
      </c>
      <c r="P23">
        <f t="shared" si="12"/>
        <v>5.0219940928301579E-2</v>
      </c>
      <c r="V23">
        <v>-4.1000000000000103</v>
      </c>
      <c r="W23">
        <f t="shared" si="9"/>
        <v>-0.32311999999999952</v>
      </c>
      <c r="Y23">
        <v>0.19</v>
      </c>
      <c r="Z23">
        <f t="shared" si="10"/>
        <v>1.9806235000000001</v>
      </c>
    </row>
    <row r="24" spans="1:26" x14ac:dyDescent="0.3">
      <c r="A24">
        <v>1.0671877000000001</v>
      </c>
      <c r="B24">
        <v>0.66524000000000005</v>
      </c>
      <c r="C24">
        <f t="shared" si="1"/>
        <v>0.7099359455480001</v>
      </c>
      <c r="D24">
        <v>1.6299999999999999E-2</v>
      </c>
      <c r="E24">
        <v>2.8849251857154604E-3</v>
      </c>
      <c r="F24">
        <f t="shared" si="2"/>
        <v>213.43754000000001</v>
      </c>
      <c r="G24">
        <f t="shared" si="3"/>
        <v>-0.66524000000000005</v>
      </c>
      <c r="H24">
        <f t="shared" si="4"/>
        <v>-141.98718910960002</v>
      </c>
      <c r="I24">
        <v>1</v>
      </c>
      <c r="J24">
        <f t="shared" si="5"/>
        <v>-1.5444110418085535</v>
      </c>
      <c r="K24">
        <f t="shared" si="6"/>
        <v>-0.51467057297601193</v>
      </c>
      <c r="L24">
        <v>1</v>
      </c>
      <c r="M24">
        <f t="shared" si="7"/>
        <v>0.44272156324335971</v>
      </c>
      <c r="N24">
        <f t="shared" si="13"/>
        <v>1.7395159510000001E-2</v>
      </c>
      <c r="O24">
        <f t="shared" si="11"/>
        <v>3.0787566736157554E-3</v>
      </c>
      <c r="P24">
        <f t="shared" si="12"/>
        <v>5.1475093549036469E-2</v>
      </c>
      <c r="V24">
        <v>-4.0000000000000098</v>
      </c>
      <c r="W24">
        <f t="shared" si="9"/>
        <v>-0.32779999999999954</v>
      </c>
      <c r="Y24">
        <v>0.2</v>
      </c>
      <c r="Z24">
        <f t="shared" si="10"/>
        <v>2.1084400000000003</v>
      </c>
    </row>
    <row r="25" spans="1:26" x14ac:dyDescent="0.3">
      <c r="A25">
        <v>1.1181060999999999</v>
      </c>
      <c r="B25">
        <v>0.66113</v>
      </c>
      <c r="C25">
        <f t="shared" si="1"/>
        <v>0.73921348589299996</v>
      </c>
      <c r="D25">
        <v>1.6299999999999999E-2</v>
      </c>
      <c r="E25">
        <v>2.8849251857154604E-3</v>
      </c>
      <c r="F25">
        <f t="shared" si="2"/>
        <v>223.62121999999997</v>
      </c>
      <c r="G25">
        <f t="shared" si="3"/>
        <v>-0.66113</v>
      </c>
      <c r="H25">
        <f t="shared" si="4"/>
        <v>-147.84269717859999</v>
      </c>
      <c r="I25">
        <v>1</v>
      </c>
      <c r="J25">
        <f t="shared" si="5"/>
        <v>-1.4978016405940482</v>
      </c>
      <c r="K25">
        <f t="shared" si="6"/>
        <v>-0.51878057297601199</v>
      </c>
      <c r="L25">
        <v>1</v>
      </c>
      <c r="M25">
        <f t="shared" si="7"/>
        <v>0.44490288322019855</v>
      </c>
      <c r="N25">
        <f t="shared" si="13"/>
        <v>1.8225129429999997E-2</v>
      </c>
      <c r="O25">
        <f t="shared" si="11"/>
        <v>3.2256524481920888E-3</v>
      </c>
      <c r="P25">
        <f t="shared" si="12"/>
        <v>5.2426907877621345E-2</v>
      </c>
      <c r="V25">
        <v>-3.9000000000000101</v>
      </c>
      <c r="W25">
        <f t="shared" si="9"/>
        <v>-0.33247999999999955</v>
      </c>
      <c r="Y25">
        <v>0.21</v>
      </c>
      <c r="Z25">
        <f t="shared" si="10"/>
        <v>2.2362565000000001</v>
      </c>
    </row>
    <row r="26" spans="1:26" x14ac:dyDescent="0.3">
      <c r="A26">
        <v>1.1685152999999999</v>
      </c>
      <c r="B26">
        <v>0.65686</v>
      </c>
      <c r="C26">
        <f t="shared" si="1"/>
        <v>0.76755095995799993</v>
      </c>
      <c r="D26">
        <v>1.6299999999999999E-2</v>
      </c>
      <c r="E26">
        <v>2.8849251857154604E-3</v>
      </c>
      <c r="F26">
        <f t="shared" si="2"/>
        <v>233.70305999999999</v>
      </c>
      <c r="G26">
        <f t="shared" si="3"/>
        <v>-0.65686</v>
      </c>
      <c r="H26">
        <f t="shared" si="4"/>
        <v>-153.51019199159998</v>
      </c>
      <c r="I26">
        <v>1</v>
      </c>
      <c r="J26">
        <f t="shared" si="5"/>
        <v>-1.4537039438131623</v>
      </c>
      <c r="K26">
        <f t="shared" si="6"/>
        <v>-0.52305057297601198</v>
      </c>
      <c r="L26">
        <v>1</v>
      </c>
      <c r="M26">
        <f t="shared" si="7"/>
        <v>0.446966655429544</v>
      </c>
      <c r="N26">
        <f t="shared" si="13"/>
        <v>1.9046799389999997E-2</v>
      </c>
      <c r="O26">
        <f t="shared" si="11"/>
        <v>3.3710792188638566E-3</v>
      </c>
      <c r="P26">
        <f t="shared" si="12"/>
        <v>5.3666038937604132E-2</v>
      </c>
      <c r="V26">
        <v>-3.80000000000001</v>
      </c>
      <c r="W26">
        <f t="shared" si="9"/>
        <v>-0.33715999999999957</v>
      </c>
      <c r="Y26">
        <v>0.22</v>
      </c>
      <c r="Z26">
        <f t="shared" si="10"/>
        <v>2.3640729999999999</v>
      </c>
    </row>
    <row r="27" spans="1:26" x14ac:dyDescent="0.3">
      <c r="A27">
        <v>1.2235070000000001</v>
      </c>
      <c r="B27">
        <v>0.65271000000000001</v>
      </c>
      <c r="C27">
        <f t="shared" si="1"/>
        <v>0.79859525397000009</v>
      </c>
      <c r="D27">
        <v>1.6299999999999999E-2</v>
      </c>
      <c r="E27">
        <v>2.8849251857154604E-3</v>
      </c>
      <c r="F27">
        <f t="shared" si="2"/>
        <v>244.70140000000004</v>
      </c>
      <c r="G27">
        <f t="shared" si="3"/>
        <v>-0.65271000000000001</v>
      </c>
      <c r="H27">
        <f t="shared" si="4"/>
        <v>-159.71905079400003</v>
      </c>
      <c r="I27">
        <v>1</v>
      </c>
      <c r="J27">
        <f t="shared" si="5"/>
        <v>-1.4077165872585002</v>
      </c>
      <c r="K27">
        <f t="shared" si="6"/>
        <v>-0.52720057297601197</v>
      </c>
      <c r="L27">
        <v>1</v>
      </c>
      <c r="M27">
        <f t="shared" si="7"/>
        <v>0.44911886371630222</v>
      </c>
      <c r="N27">
        <f t="shared" si="13"/>
        <v>1.9943164100000001E-2</v>
      </c>
      <c r="O27">
        <f t="shared" si="11"/>
        <v>3.529726159199166E-3</v>
      </c>
      <c r="P27">
        <f t="shared" si="12"/>
        <v>5.4608819000510588E-2</v>
      </c>
      <c r="V27">
        <v>-3.7000000000000099</v>
      </c>
      <c r="W27">
        <f t="shared" si="9"/>
        <v>-0.34183999999999953</v>
      </c>
      <c r="Y27">
        <v>0.23</v>
      </c>
      <c r="Z27">
        <f t="shared" si="10"/>
        <v>2.4918895000000001</v>
      </c>
    </row>
    <row r="28" spans="1:26" x14ac:dyDescent="0.3">
      <c r="A28">
        <v>1.2744253000000001</v>
      </c>
      <c r="B28">
        <v>0.64825999999999995</v>
      </c>
      <c r="C28">
        <f t="shared" si="1"/>
        <v>0.82615894497800002</v>
      </c>
      <c r="D28">
        <v>1.6299999999999999E-2</v>
      </c>
      <c r="E28">
        <v>2.8849251857154604E-3</v>
      </c>
      <c r="F28">
        <f t="shared" si="2"/>
        <v>254.88506000000001</v>
      </c>
      <c r="G28">
        <f t="shared" si="3"/>
        <v>-0.64825999999999995</v>
      </c>
      <c r="H28">
        <f t="shared" si="4"/>
        <v>-165.2317889956</v>
      </c>
      <c r="I28">
        <v>1</v>
      </c>
      <c r="J28">
        <f t="shared" si="5"/>
        <v>-1.3669425805378583</v>
      </c>
      <c r="K28">
        <f t="shared" si="6"/>
        <v>-0.53165057297601204</v>
      </c>
      <c r="L28">
        <v>1</v>
      </c>
      <c r="M28">
        <f t="shared" si="7"/>
        <v>0.45102708723082824</v>
      </c>
      <c r="N28">
        <f t="shared" si="13"/>
        <v>2.0773132390000001E-2</v>
      </c>
      <c r="O28">
        <f t="shared" si="11"/>
        <v>3.6766216452829817E-3</v>
      </c>
      <c r="P28">
        <f t="shared" si="12"/>
        <v>5.6173731709900809E-2</v>
      </c>
      <c r="V28">
        <v>-3.6000000000000099</v>
      </c>
      <c r="W28">
        <f t="shared" si="9"/>
        <v>-0.34651999999999955</v>
      </c>
      <c r="Y28">
        <v>0.24</v>
      </c>
      <c r="Z28">
        <f t="shared" si="10"/>
        <v>2.6197059999999999</v>
      </c>
    </row>
    <row r="29" spans="1:26" x14ac:dyDescent="0.3">
      <c r="A29">
        <v>1.3278894999999999</v>
      </c>
      <c r="B29">
        <v>0.64451999999999998</v>
      </c>
      <c r="C29">
        <f t="shared" si="1"/>
        <v>0.85585134053999989</v>
      </c>
      <c r="D29">
        <v>1.6299999999999999E-2</v>
      </c>
      <c r="E29">
        <v>2.8849251857154604E-3</v>
      </c>
      <c r="F29">
        <f t="shared" si="2"/>
        <v>265.5779</v>
      </c>
      <c r="G29">
        <f t="shared" si="3"/>
        <v>-0.64451999999999998</v>
      </c>
      <c r="H29">
        <f t="shared" si="4"/>
        <v>-171.17026810799999</v>
      </c>
      <c r="I29">
        <v>1</v>
      </c>
      <c r="J29">
        <f t="shared" si="5"/>
        <v>-1.3258470726731473</v>
      </c>
      <c r="K29">
        <f t="shared" si="6"/>
        <v>-0.535390572976012</v>
      </c>
      <c r="L29">
        <v>1</v>
      </c>
      <c r="M29">
        <f t="shared" si="7"/>
        <v>0.45295035699889674</v>
      </c>
      <c r="N29">
        <f t="shared" si="13"/>
        <v>2.1644598849999998E-2</v>
      </c>
      <c r="O29">
        <f t="shared" si="11"/>
        <v>3.8308618623971095E-3</v>
      </c>
      <c r="P29">
        <f t="shared" si="12"/>
        <v>5.6964755264718149E-2</v>
      </c>
      <c r="V29">
        <v>-3.5000000000000102</v>
      </c>
      <c r="W29">
        <f t="shared" si="9"/>
        <v>-0.35119999999999951</v>
      </c>
      <c r="Y29">
        <v>0.25</v>
      </c>
      <c r="Z29">
        <f t="shared" si="10"/>
        <v>2.7475225000000001</v>
      </c>
    </row>
    <row r="30" spans="1:26" x14ac:dyDescent="0.3">
      <c r="A30">
        <v>1.3782985999999999</v>
      </c>
      <c r="B30">
        <v>0.64041999999999999</v>
      </c>
      <c r="C30">
        <f t="shared" si="1"/>
        <v>0.88268998941199994</v>
      </c>
      <c r="D30">
        <v>1.6299999999999999E-2</v>
      </c>
      <c r="E30">
        <v>2.8849251857154604E-3</v>
      </c>
      <c r="F30">
        <f t="shared" si="2"/>
        <v>275.65971999999999</v>
      </c>
      <c r="G30">
        <f t="shared" si="3"/>
        <v>-0.64041999999999999</v>
      </c>
      <c r="H30">
        <f t="shared" si="4"/>
        <v>-176.53799788239999</v>
      </c>
      <c r="I30">
        <v>1</v>
      </c>
      <c r="J30">
        <f t="shared" si="5"/>
        <v>-1.2885880724603926</v>
      </c>
      <c r="K30">
        <f t="shared" si="6"/>
        <v>-0.539490572976012</v>
      </c>
      <c r="L30">
        <v>1</v>
      </c>
      <c r="M30">
        <f t="shared" si="7"/>
        <v>0.45469407820885366</v>
      </c>
      <c r="N30">
        <f t="shared" si="13"/>
        <v>2.2466267179999996E-2</v>
      </c>
      <c r="O30">
        <f t="shared" si="11"/>
        <v>3.9762883445763585E-3</v>
      </c>
      <c r="P30">
        <f t="shared" si="12"/>
        <v>5.8353939242581976E-2</v>
      </c>
      <c r="V30">
        <v>-3.4000000000000101</v>
      </c>
      <c r="W30">
        <f t="shared" si="9"/>
        <v>-0.35587999999999953</v>
      </c>
      <c r="Y30">
        <v>0.26</v>
      </c>
      <c r="Z30">
        <f t="shared" si="10"/>
        <v>2.8753390000000003</v>
      </c>
    </row>
    <row r="31" spans="1:26" x14ac:dyDescent="0.3">
      <c r="A31">
        <v>1.4307444</v>
      </c>
      <c r="B31">
        <v>0.63666</v>
      </c>
      <c r="C31">
        <f t="shared" si="1"/>
        <v>0.91089772970400007</v>
      </c>
      <c r="D31">
        <v>1.6299999999999999E-2</v>
      </c>
      <c r="E31">
        <v>2.8849251857154604E-3</v>
      </c>
      <c r="F31">
        <f t="shared" si="2"/>
        <v>286.14888000000002</v>
      </c>
      <c r="G31">
        <f t="shared" si="3"/>
        <v>-0.63666</v>
      </c>
      <c r="H31">
        <f t="shared" si="4"/>
        <v>-182.17954594080001</v>
      </c>
      <c r="I31">
        <v>1</v>
      </c>
      <c r="J31">
        <f t="shared" si="5"/>
        <v>-1.2512430441657882</v>
      </c>
      <c r="K31">
        <f t="shared" si="6"/>
        <v>-0.54325057297601198</v>
      </c>
      <c r="L31">
        <v>1</v>
      </c>
      <c r="M31">
        <f t="shared" si="7"/>
        <v>0.45644182553304113</v>
      </c>
      <c r="N31">
        <f t="shared" si="13"/>
        <v>2.3321133719999998E-2</v>
      </c>
      <c r="O31">
        <f t="shared" si="11"/>
        <v>4.1275905538813553E-3</v>
      </c>
      <c r="P31">
        <f t="shared" si="12"/>
        <v>5.936002316908949E-2</v>
      </c>
      <c r="V31">
        <v>-3.30000000000001</v>
      </c>
      <c r="W31">
        <f t="shared" si="9"/>
        <v>-0.36055999999999955</v>
      </c>
      <c r="Y31">
        <v>0.27</v>
      </c>
      <c r="Z31">
        <f t="shared" si="10"/>
        <v>3.0031555000000005</v>
      </c>
    </row>
    <row r="32" spans="1:26" x14ac:dyDescent="0.3">
      <c r="A32">
        <v>1.4821720999999999</v>
      </c>
      <c r="B32">
        <v>0.63278000000000001</v>
      </c>
      <c r="C32">
        <f t="shared" si="1"/>
        <v>0.93788886143799999</v>
      </c>
      <c r="D32">
        <v>1.6299999999999999E-2</v>
      </c>
      <c r="E32">
        <v>2.8849251857154604E-3</v>
      </c>
      <c r="F32">
        <f t="shared" si="2"/>
        <v>296.43441999999999</v>
      </c>
      <c r="G32">
        <f t="shared" si="3"/>
        <v>-0.63278000000000001</v>
      </c>
      <c r="H32">
        <f t="shared" si="4"/>
        <v>-187.5777722876</v>
      </c>
      <c r="I32">
        <v>1</v>
      </c>
      <c r="J32">
        <f t="shared" si="5"/>
        <v>-1.2159292654468061</v>
      </c>
      <c r="K32">
        <f t="shared" si="6"/>
        <v>-0.54713057297601198</v>
      </c>
      <c r="L32">
        <v>1</v>
      </c>
      <c r="M32">
        <f t="shared" si="7"/>
        <v>0.45809451037708948</v>
      </c>
      <c r="N32">
        <f t="shared" si="13"/>
        <v>2.4159405229999997E-2</v>
      </c>
      <c r="O32">
        <f t="shared" si="11"/>
        <v>4.2759556208547735E-3</v>
      </c>
      <c r="P32">
        <f t="shared" si="12"/>
        <v>6.0600701748067719E-2</v>
      </c>
      <c r="V32">
        <v>-3.2000000000000099</v>
      </c>
      <c r="W32">
        <f t="shared" si="9"/>
        <v>-0.36523999999999957</v>
      </c>
    </row>
    <row r="33" spans="1:23" x14ac:dyDescent="0.3">
      <c r="A33">
        <v>1.5325811999999999</v>
      </c>
      <c r="B33">
        <v>0.62921000000000005</v>
      </c>
      <c r="C33">
        <f t="shared" si="1"/>
        <v>0.96431541685199995</v>
      </c>
      <c r="D33">
        <v>1.6299999999999999E-2</v>
      </c>
      <c r="E33">
        <v>2.8849251857154604E-3</v>
      </c>
      <c r="F33">
        <f t="shared" si="2"/>
        <v>306.51623999999998</v>
      </c>
      <c r="G33">
        <f t="shared" si="3"/>
        <v>-0.62921000000000005</v>
      </c>
      <c r="H33">
        <f t="shared" si="4"/>
        <v>-192.86308337039998</v>
      </c>
      <c r="I33">
        <v>1</v>
      </c>
      <c r="J33">
        <f t="shared" si="5"/>
        <v>-1.1824845396914356</v>
      </c>
      <c r="K33">
        <f t="shared" si="6"/>
        <v>-0.55070057297601194</v>
      </c>
      <c r="L33">
        <v>1</v>
      </c>
      <c r="M33">
        <f t="shared" si="7"/>
        <v>0.45965972354244083</v>
      </c>
      <c r="N33">
        <f t="shared" si="13"/>
        <v>2.4981073559999997E-2</v>
      </c>
      <c r="O33">
        <f t="shared" si="11"/>
        <v>4.4213821030340229E-3</v>
      </c>
      <c r="P33">
        <f t="shared" si="12"/>
        <v>6.1638393770537085E-2</v>
      </c>
      <c r="V33">
        <v>-3.1000000000000099</v>
      </c>
      <c r="W33">
        <f t="shared" si="9"/>
        <v>-0.36991999999999958</v>
      </c>
    </row>
    <row r="34" spans="1:23" x14ac:dyDescent="0.3">
      <c r="A34">
        <v>1.5845178000000002</v>
      </c>
      <c r="B34">
        <v>0.62533000000000005</v>
      </c>
      <c r="C34">
        <f t="shared" si="1"/>
        <v>0.99084651587400019</v>
      </c>
      <c r="D34">
        <v>1.6299999999999999E-2</v>
      </c>
      <c r="E34">
        <v>2.8849251857154604E-3</v>
      </c>
      <c r="F34">
        <f t="shared" si="2"/>
        <v>316.90356000000003</v>
      </c>
      <c r="G34">
        <f t="shared" si="3"/>
        <v>-0.62533000000000005</v>
      </c>
      <c r="H34">
        <f t="shared" si="4"/>
        <v>-198.16930317480004</v>
      </c>
      <c r="I34">
        <v>1</v>
      </c>
      <c r="J34">
        <f t="shared" si="5"/>
        <v>-1.149157778520655</v>
      </c>
      <c r="K34">
        <f t="shared" si="6"/>
        <v>-0.55458057297601193</v>
      </c>
      <c r="L34">
        <v>1</v>
      </c>
      <c r="M34">
        <f t="shared" si="7"/>
        <v>0.46121941596523336</v>
      </c>
      <c r="N34">
        <f t="shared" si="13"/>
        <v>2.582764014E-2</v>
      </c>
      <c r="O34">
        <f t="shared" si="11"/>
        <v>4.5712153084344533E-3</v>
      </c>
      <c r="P34">
        <f t="shared" si="12"/>
        <v>6.2962301562344128E-2</v>
      </c>
      <c r="V34">
        <v>-3.0000000000000102</v>
      </c>
      <c r="W34">
        <f t="shared" si="9"/>
        <v>-0.37459999999999954</v>
      </c>
    </row>
    <row r="35" spans="1:23" x14ac:dyDescent="0.3">
      <c r="A35">
        <v>1.6379821999999999</v>
      </c>
      <c r="B35">
        <v>0.62197000000000002</v>
      </c>
      <c r="C35">
        <f t="shared" si="1"/>
        <v>1.0187757889339999</v>
      </c>
      <c r="D35">
        <v>1.6299999999999999E-2</v>
      </c>
      <c r="E35">
        <v>2.8849251857154604E-3</v>
      </c>
      <c r="F35">
        <f t="shared" si="2"/>
        <v>327.59643999999997</v>
      </c>
      <c r="G35">
        <f t="shared" si="3"/>
        <v>-0.62197000000000002</v>
      </c>
      <c r="H35">
        <f t="shared" si="4"/>
        <v>-203.75515778679997</v>
      </c>
      <c r="I35">
        <v>1</v>
      </c>
      <c r="J35">
        <f t="shared" si="5"/>
        <v>-1.115972793973135</v>
      </c>
      <c r="K35">
        <f t="shared" si="6"/>
        <v>-0.55794057297601196</v>
      </c>
      <c r="L35">
        <v>1</v>
      </c>
      <c r="M35">
        <f t="shared" si="7"/>
        <v>0.46277247324205728</v>
      </c>
      <c r="N35">
        <f t="shared" si="13"/>
        <v>2.6699109859999997E-2</v>
      </c>
      <c r="O35">
        <f t="shared" si="11"/>
        <v>4.7254561025336182E-3</v>
      </c>
      <c r="P35">
        <f t="shared" si="12"/>
        <v>6.3743533771421057E-2</v>
      </c>
      <c r="V35">
        <v>-2.9000000000000101</v>
      </c>
      <c r="W35">
        <f t="shared" si="9"/>
        <v>-0.37927999999999951</v>
      </c>
    </row>
    <row r="36" spans="1:23" x14ac:dyDescent="0.3">
      <c r="A36">
        <v>1.6883913999999998</v>
      </c>
      <c r="B36">
        <v>0.61797999999999997</v>
      </c>
      <c r="C36">
        <f t="shared" si="1"/>
        <v>1.0433921173719998</v>
      </c>
      <c r="D36">
        <v>1.6299999999999999E-2</v>
      </c>
      <c r="E36">
        <v>2.8849251857154604E-3</v>
      </c>
      <c r="F36">
        <f t="shared" si="2"/>
        <v>337.67827999999997</v>
      </c>
      <c r="G36">
        <f t="shared" si="3"/>
        <v>-0.61797999999999997</v>
      </c>
      <c r="H36">
        <f t="shared" si="4"/>
        <v>-208.67842347439995</v>
      </c>
      <c r="I36">
        <v>1</v>
      </c>
      <c r="J36">
        <f t="shared" si="5"/>
        <v>-1.0856616711005864</v>
      </c>
      <c r="K36">
        <f t="shared" si="6"/>
        <v>-0.56193057297601201</v>
      </c>
      <c r="L36">
        <v>1</v>
      </c>
      <c r="M36">
        <f t="shared" si="7"/>
        <v>0.46419103379249255</v>
      </c>
      <c r="N36">
        <f t="shared" si="13"/>
        <v>2.7520779819999994E-2</v>
      </c>
      <c r="O36">
        <f t="shared" si="11"/>
        <v>4.8708828732053856E-3</v>
      </c>
      <c r="P36">
        <f t="shared" si="12"/>
        <v>6.534787649031408E-2</v>
      </c>
      <c r="V36">
        <v>-2.80000000000001</v>
      </c>
      <c r="W36">
        <f t="shared" si="9"/>
        <v>-0.38395999999999952</v>
      </c>
    </row>
    <row r="37" spans="1:23" x14ac:dyDescent="0.3">
      <c r="A37">
        <v>1.7388004000000001</v>
      </c>
      <c r="B37">
        <v>0.61482999999999999</v>
      </c>
      <c r="C37">
        <f t="shared" si="1"/>
        <v>1.0690666499320001</v>
      </c>
      <c r="D37">
        <v>1.6299999999999999E-2</v>
      </c>
      <c r="E37">
        <v>2.8849251857154604E-3</v>
      </c>
      <c r="F37">
        <f t="shared" si="2"/>
        <v>347.76008000000002</v>
      </c>
      <c r="G37">
        <f t="shared" si="3"/>
        <v>-0.61482999999999999</v>
      </c>
      <c r="H37">
        <f t="shared" si="4"/>
        <v>-213.81332998640002</v>
      </c>
      <c r="I37">
        <v>1</v>
      </c>
      <c r="J37">
        <f t="shared" si="5"/>
        <v>-1.0562424622579185</v>
      </c>
      <c r="K37">
        <f t="shared" si="6"/>
        <v>-0.565080572976012</v>
      </c>
      <c r="L37">
        <v>1</v>
      </c>
      <c r="M37">
        <f t="shared" si="7"/>
        <v>0.46556785276632945</v>
      </c>
      <c r="N37">
        <f t="shared" si="13"/>
        <v>2.8342446519999998E-2</v>
      </c>
      <c r="O37">
        <f t="shared" si="11"/>
        <v>5.0163090668921169E-3</v>
      </c>
      <c r="P37">
        <f t="shared" si="12"/>
        <v>6.615396462279044E-2</v>
      </c>
      <c r="V37">
        <v>-2.7000000000000099</v>
      </c>
      <c r="W37">
        <f t="shared" si="9"/>
        <v>-0.38863999999999954</v>
      </c>
    </row>
    <row r="38" spans="1:23" x14ac:dyDescent="0.3">
      <c r="A38">
        <v>1.7902278999999999</v>
      </c>
      <c r="B38">
        <v>0.61112999999999995</v>
      </c>
      <c r="C38">
        <f t="shared" si="1"/>
        <v>1.0940619765269999</v>
      </c>
      <c r="D38">
        <v>1.6299999999999999E-2</v>
      </c>
      <c r="E38">
        <v>2.8849251857154604E-3</v>
      </c>
      <c r="F38">
        <f t="shared" si="2"/>
        <v>358.04557999999997</v>
      </c>
      <c r="G38">
        <f t="shared" si="3"/>
        <v>-0.61112999999999995</v>
      </c>
      <c r="H38">
        <f t="shared" si="4"/>
        <v>-218.81239530539997</v>
      </c>
      <c r="I38">
        <v>1</v>
      </c>
      <c r="J38">
        <f t="shared" si="5"/>
        <v>-1.0270949822499869</v>
      </c>
      <c r="K38">
        <f t="shared" si="6"/>
        <v>-0.56878057297601203</v>
      </c>
      <c r="L38">
        <v>1</v>
      </c>
      <c r="M38">
        <f t="shared" si="7"/>
        <v>0.4669319548307006</v>
      </c>
      <c r="N38">
        <f t="shared" si="13"/>
        <v>2.9180714769999994E-2</v>
      </c>
      <c r="O38">
        <f t="shared" si="11"/>
        <v>5.1646735568804981E-3</v>
      </c>
      <c r="P38">
        <f t="shared" si="12"/>
        <v>6.7503229818430946E-2</v>
      </c>
      <c r="V38">
        <v>-2.6000000000000099</v>
      </c>
      <c r="W38">
        <f t="shared" si="9"/>
        <v>-0.39331999999999956</v>
      </c>
    </row>
    <row r="39" spans="1:23" x14ac:dyDescent="0.3">
      <c r="A39">
        <v>1.8406370999999999</v>
      </c>
      <c r="B39">
        <v>0.60780999999999996</v>
      </c>
      <c r="C39">
        <f t="shared" si="1"/>
        <v>1.1187576357509998</v>
      </c>
      <c r="D39">
        <v>1.6299999999999999E-2</v>
      </c>
      <c r="E39">
        <v>2.8849251857154604E-3</v>
      </c>
      <c r="F39">
        <f t="shared" si="2"/>
        <v>368.12741999999997</v>
      </c>
      <c r="G39">
        <f t="shared" si="3"/>
        <v>-0.60780999999999996</v>
      </c>
      <c r="H39">
        <f t="shared" si="4"/>
        <v>-223.75152715019996</v>
      </c>
      <c r="I39">
        <v>1</v>
      </c>
      <c r="J39">
        <f t="shared" si="5"/>
        <v>-0.99932615074390385</v>
      </c>
      <c r="K39">
        <f t="shared" si="6"/>
        <v>-0.57210057297601202</v>
      </c>
      <c r="L39">
        <v>1</v>
      </c>
      <c r="M39">
        <f t="shared" si="7"/>
        <v>0.46823153614518531</v>
      </c>
      <c r="N39">
        <f t="shared" si="13"/>
        <v>3.0002384729999994E-2</v>
      </c>
      <c r="O39">
        <f t="shared" si="11"/>
        <v>5.3101003275522664E-3</v>
      </c>
      <c r="P39">
        <f t="shared" si="12"/>
        <v>6.8556551773274452E-2</v>
      </c>
      <c r="V39">
        <v>-2.5000000000000102</v>
      </c>
      <c r="W39">
        <f t="shared" si="9"/>
        <v>-0.39799999999999952</v>
      </c>
    </row>
    <row r="40" spans="1:23" x14ac:dyDescent="0.3">
      <c r="A40">
        <v>1.8910463</v>
      </c>
      <c r="B40">
        <v>0.60443000000000002</v>
      </c>
      <c r="C40">
        <f t="shared" si="1"/>
        <v>1.1430051151089999</v>
      </c>
      <c r="D40">
        <v>1.6299999999999999E-2</v>
      </c>
      <c r="E40">
        <v>2.8849251857154604E-3</v>
      </c>
      <c r="F40">
        <f t="shared" si="2"/>
        <v>378.20925999999997</v>
      </c>
      <c r="G40">
        <f t="shared" si="3"/>
        <v>-0.60443000000000002</v>
      </c>
      <c r="H40">
        <f t="shared" si="4"/>
        <v>-228.60102302179999</v>
      </c>
      <c r="I40">
        <v>1</v>
      </c>
      <c r="J40">
        <f t="shared" si="5"/>
        <v>-0.97230763865772951</v>
      </c>
      <c r="K40">
        <f t="shared" si="6"/>
        <v>-0.57548057297601196</v>
      </c>
      <c r="L40">
        <v>1</v>
      </c>
      <c r="M40">
        <f t="shared" si="7"/>
        <v>0.46949600251081824</v>
      </c>
      <c r="N40">
        <f t="shared" si="13"/>
        <v>3.0824054689999998E-2</v>
      </c>
      <c r="O40">
        <f t="shared" si="11"/>
        <v>5.4555270982240339E-3</v>
      </c>
      <c r="P40">
        <f t="shared" si="12"/>
        <v>6.9704988676969698E-2</v>
      </c>
      <c r="V40">
        <v>-2.4000000000000101</v>
      </c>
      <c r="W40">
        <f t="shared" si="9"/>
        <v>-0.40267999999999954</v>
      </c>
    </row>
    <row r="41" spans="1:23" x14ac:dyDescent="0.3">
      <c r="A41">
        <v>1.9424735000000002</v>
      </c>
      <c r="B41">
        <v>0.60094999999999998</v>
      </c>
      <c r="C41">
        <f t="shared" si="1"/>
        <v>1.167329449825</v>
      </c>
      <c r="D41">
        <v>1.6299999999999999E-2</v>
      </c>
      <c r="E41">
        <v>2.8849251857154604E-3</v>
      </c>
      <c r="F41">
        <f t="shared" si="2"/>
        <v>388.49470000000002</v>
      </c>
      <c r="G41">
        <f t="shared" si="3"/>
        <v>-0.60094999999999998</v>
      </c>
      <c r="H41">
        <f t="shared" si="4"/>
        <v>-233.465889965</v>
      </c>
      <c r="I41">
        <v>1</v>
      </c>
      <c r="J41">
        <f t="shared" si="5"/>
        <v>-0.94547575148113294</v>
      </c>
      <c r="K41">
        <f t="shared" si="6"/>
        <v>-0.578960572976012</v>
      </c>
      <c r="L41">
        <v>1</v>
      </c>
      <c r="M41">
        <f t="shared" si="7"/>
        <v>0.470751734830683</v>
      </c>
      <c r="N41">
        <f t="shared" si="13"/>
        <v>3.1662318049999999E-2</v>
      </c>
      <c r="O41">
        <f t="shared" si="11"/>
        <v>5.6038907227348609E-3</v>
      </c>
      <c r="P41">
        <f t="shared" si="12"/>
        <v>7.0942629372594143E-2</v>
      </c>
      <c r="V41">
        <v>-2.30000000000001</v>
      </c>
      <c r="W41">
        <f t="shared" si="9"/>
        <v>-0.40735999999999956</v>
      </c>
    </row>
    <row r="42" spans="1:23" x14ac:dyDescent="0.3">
      <c r="A42">
        <v>1.9928827999999998</v>
      </c>
      <c r="B42">
        <v>0.59765000000000001</v>
      </c>
      <c r="C42">
        <f t="shared" si="1"/>
        <v>1.1910464054199998</v>
      </c>
      <c r="D42">
        <v>1.6299999999999999E-2</v>
      </c>
      <c r="E42">
        <v>2.8849251857154604E-3</v>
      </c>
      <c r="F42">
        <f t="shared" si="2"/>
        <v>398.57655999999997</v>
      </c>
      <c r="G42">
        <f t="shared" si="3"/>
        <v>-0.59765000000000001</v>
      </c>
      <c r="H42">
        <f t="shared" si="4"/>
        <v>-238.20928108399997</v>
      </c>
      <c r="I42">
        <v>1</v>
      </c>
      <c r="J42">
        <f t="shared" si="5"/>
        <v>-0.91985567875294416</v>
      </c>
      <c r="K42">
        <f t="shared" si="6"/>
        <v>-0.58226057297601197</v>
      </c>
      <c r="L42">
        <v>1</v>
      </c>
      <c r="M42">
        <f t="shared" si="7"/>
        <v>0.47195075423436222</v>
      </c>
      <c r="N42">
        <f t="shared" si="13"/>
        <v>3.2483989639999995E-2</v>
      </c>
      <c r="O42">
        <f t="shared" si="11"/>
        <v>5.7493177818991464E-3</v>
      </c>
      <c r="P42">
        <f t="shared" si="12"/>
        <v>7.2076511319750611E-2</v>
      </c>
      <c r="V42">
        <v>-2.2000000000000099</v>
      </c>
      <c r="W42">
        <f t="shared" si="9"/>
        <v>-0.41203999999999952</v>
      </c>
    </row>
    <row r="43" spans="1:23" x14ac:dyDescent="0.3">
      <c r="A43">
        <v>2.0463469999999999</v>
      </c>
      <c r="B43">
        <v>0.59423000000000004</v>
      </c>
      <c r="C43">
        <f t="shared" si="1"/>
        <v>1.2160007778099999</v>
      </c>
      <c r="D43">
        <v>1.6299999999999999E-2</v>
      </c>
      <c r="E43">
        <v>2.8849251857154604E-3</v>
      </c>
      <c r="F43">
        <f t="shared" si="2"/>
        <v>409.26939999999996</v>
      </c>
      <c r="G43">
        <f t="shared" si="3"/>
        <v>-0.59423000000000004</v>
      </c>
      <c r="H43">
        <f t="shared" si="4"/>
        <v>-243.20015556199999</v>
      </c>
      <c r="I43">
        <v>1</v>
      </c>
      <c r="J43">
        <f t="shared" si="5"/>
        <v>-0.89338166006700093</v>
      </c>
      <c r="K43">
        <f t="shared" si="6"/>
        <v>-0.58568057297601195</v>
      </c>
      <c r="L43">
        <v>1</v>
      </c>
      <c r="M43">
        <f t="shared" si="7"/>
        <v>0.47318973830886435</v>
      </c>
      <c r="N43">
        <f t="shared" si="13"/>
        <v>3.3355456099999993E-2</v>
      </c>
      <c r="O43">
        <f t="shared" si="11"/>
        <v>5.9035579990132751E-3</v>
      </c>
      <c r="P43">
        <f t="shared" si="12"/>
        <v>7.3231820568134334E-2</v>
      </c>
      <c r="V43">
        <v>-2.1000000000000099</v>
      </c>
      <c r="W43">
        <f t="shared" si="9"/>
        <v>-0.41671999999999954</v>
      </c>
    </row>
    <row r="44" spans="1:23" x14ac:dyDescent="0.3">
      <c r="A44">
        <v>2.0987930000000001</v>
      </c>
      <c r="B44">
        <v>0.59065999999999996</v>
      </c>
      <c r="C44">
        <f t="shared" si="1"/>
        <v>1.2396730733800001</v>
      </c>
      <c r="D44">
        <v>1.6299999999999999E-2</v>
      </c>
      <c r="E44">
        <v>2.8849251857154604E-3</v>
      </c>
      <c r="F44">
        <f t="shared" si="2"/>
        <v>419.7586</v>
      </c>
      <c r="G44">
        <f t="shared" si="3"/>
        <v>-0.59065999999999996</v>
      </c>
      <c r="H44">
        <f t="shared" si="4"/>
        <v>-247.93461467600002</v>
      </c>
      <c r="I44">
        <v>1</v>
      </c>
      <c r="J44">
        <f t="shared" si="5"/>
        <v>-0.86807549484842694</v>
      </c>
      <c r="K44">
        <f t="shared" si="6"/>
        <v>-0.58925057297601202</v>
      </c>
      <c r="L44">
        <v>1</v>
      </c>
      <c r="M44">
        <f t="shared" si="7"/>
        <v>0.47437406684109362</v>
      </c>
      <c r="N44">
        <f t="shared" si="13"/>
        <v>3.4210325899999998E-2</v>
      </c>
      <c r="O44">
        <f t="shared" si="11"/>
        <v>6.0548607853033089E-3</v>
      </c>
      <c r="P44">
        <f t="shared" si="12"/>
        <v>7.4611319449615091E-2</v>
      </c>
      <c r="V44">
        <v>-2.0000000000000102</v>
      </c>
      <c r="W44">
        <f t="shared" si="9"/>
        <v>-0.42139999999999955</v>
      </c>
    </row>
    <row r="45" spans="1:23" x14ac:dyDescent="0.3">
      <c r="A45">
        <v>2.1497113999999997</v>
      </c>
      <c r="B45">
        <v>0.58755000000000002</v>
      </c>
      <c r="C45">
        <f t="shared" si="1"/>
        <v>1.2630629330699998</v>
      </c>
      <c r="D45">
        <v>1.6299999999999999E-2</v>
      </c>
      <c r="E45">
        <v>2.8849251857154604E-3</v>
      </c>
      <c r="F45">
        <f t="shared" si="2"/>
        <v>429.94227999999993</v>
      </c>
      <c r="G45">
        <f t="shared" si="3"/>
        <v>-0.58755000000000002</v>
      </c>
      <c r="H45">
        <f t="shared" si="4"/>
        <v>-252.61258661399998</v>
      </c>
      <c r="I45">
        <v>1</v>
      </c>
      <c r="J45">
        <f t="shared" si="5"/>
        <v>-0.84410431186266488</v>
      </c>
      <c r="K45">
        <f t="shared" si="6"/>
        <v>-0.59236057297601197</v>
      </c>
      <c r="L45">
        <v>1</v>
      </c>
      <c r="M45">
        <f t="shared" si="7"/>
        <v>0.47549591820482728</v>
      </c>
      <c r="N45">
        <f t="shared" si="13"/>
        <v>3.5040295819999991E-2</v>
      </c>
      <c r="O45">
        <f t="shared" si="11"/>
        <v>6.2017565598796419E-3</v>
      </c>
      <c r="P45">
        <f t="shared" si="12"/>
        <v>7.5622602391305055E-2</v>
      </c>
      <c r="V45">
        <v>-1.9000000000000099</v>
      </c>
      <c r="W45">
        <f t="shared" si="9"/>
        <v>-0.42607999999999957</v>
      </c>
    </row>
    <row r="46" spans="1:23" x14ac:dyDescent="0.3">
      <c r="A46">
        <v>2.2011389000000001</v>
      </c>
      <c r="B46">
        <v>0.58398000000000005</v>
      </c>
      <c r="C46">
        <f t="shared" si="1"/>
        <v>1.2854210948220002</v>
      </c>
      <c r="D46">
        <v>1.6299999999999999E-2</v>
      </c>
      <c r="E46">
        <v>2.8849251857154604E-3</v>
      </c>
      <c r="F46">
        <f t="shared" si="2"/>
        <v>440.22778000000005</v>
      </c>
      <c r="G46">
        <f t="shared" si="3"/>
        <v>-0.58398000000000005</v>
      </c>
      <c r="H46">
        <f t="shared" si="4"/>
        <v>-257.08421896440001</v>
      </c>
      <c r="I46">
        <v>1</v>
      </c>
      <c r="J46">
        <f t="shared" si="5"/>
        <v>-0.82046300420265328</v>
      </c>
      <c r="K46">
        <f t="shared" si="6"/>
        <v>-0.59593057297601193</v>
      </c>
      <c r="L46">
        <v>1</v>
      </c>
      <c r="M46">
        <f t="shared" si="7"/>
        <v>0.47660233140331582</v>
      </c>
      <c r="N46">
        <f t="shared" si="13"/>
        <v>3.5878564070000001E-2</v>
      </c>
      <c r="O46">
        <f t="shared" si="11"/>
        <v>6.3501210498680249E-3</v>
      </c>
      <c r="P46">
        <f t="shared" si="12"/>
        <v>7.709955645282808E-2</v>
      </c>
      <c r="V46">
        <v>-1.80000000000001</v>
      </c>
      <c r="W46">
        <f t="shared" si="9"/>
        <v>-0.43075999999999953</v>
      </c>
    </row>
    <row r="47" spans="1:23" x14ac:dyDescent="0.3">
      <c r="A47">
        <v>2.2551123</v>
      </c>
      <c r="B47">
        <v>0.58084999999999998</v>
      </c>
      <c r="C47">
        <f t="shared" si="1"/>
        <v>1.3098819794549998</v>
      </c>
      <c r="D47">
        <v>1.6299999999999999E-2</v>
      </c>
      <c r="E47">
        <v>2.8849251857154604E-3</v>
      </c>
      <c r="F47">
        <f t="shared" si="2"/>
        <v>451.02245999999997</v>
      </c>
      <c r="G47">
        <f t="shared" si="3"/>
        <v>-0.58084999999999998</v>
      </c>
      <c r="H47">
        <f t="shared" si="4"/>
        <v>-261.97639589099998</v>
      </c>
      <c r="I47">
        <v>1</v>
      </c>
      <c r="J47">
        <f t="shared" si="5"/>
        <v>-0.79623814027600071</v>
      </c>
      <c r="K47">
        <f t="shared" si="6"/>
        <v>-0.59906057297601201</v>
      </c>
      <c r="L47">
        <v>1</v>
      </c>
      <c r="M47">
        <f t="shared" si="7"/>
        <v>0.47773605503508321</v>
      </c>
      <c r="N47">
        <f t="shared" si="13"/>
        <v>3.6758330489999998E-2</v>
      </c>
      <c r="O47">
        <f t="shared" si="11"/>
        <v>6.5058302708867191E-3</v>
      </c>
      <c r="P47">
        <f t="shared" si="12"/>
        <v>7.8060357180042089E-2</v>
      </c>
      <c r="V47">
        <v>-1.7000000000000199</v>
      </c>
      <c r="W47">
        <f t="shared" si="9"/>
        <v>-0.43543999999999905</v>
      </c>
    </row>
    <row r="48" spans="1:23" x14ac:dyDescent="0.3">
      <c r="A48">
        <v>2.3055215000000002</v>
      </c>
      <c r="B48">
        <v>0.57743</v>
      </c>
      <c r="C48">
        <f t="shared" si="1"/>
        <v>1.3312772797450001</v>
      </c>
      <c r="D48">
        <v>1.6299999999999999E-2</v>
      </c>
      <c r="E48">
        <v>2.8849251857154604E-3</v>
      </c>
      <c r="F48">
        <f t="shared" si="2"/>
        <v>461.10430000000002</v>
      </c>
      <c r="G48">
        <f t="shared" si="3"/>
        <v>-0.57743</v>
      </c>
      <c r="H48">
        <f t="shared" si="4"/>
        <v>-266.25545594900001</v>
      </c>
      <c r="I48">
        <v>1</v>
      </c>
      <c r="J48">
        <f t="shared" si="5"/>
        <v>-0.77413101428704334</v>
      </c>
      <c r="K48">
        <f t="shared" si="6"/>
        <v>-0.60248057297601199</v>
      </c>
      <c r="L48">
        <v>1</v>
      </c>
      <c r="M48">
        <f t="shared" si="7"/>
        <v>0.47877066853136641</v>
      </c>
      <c r="N48">
        <f t="shared" si="13"/>
        <v>3.7580000449999998E-2</v>
      </c>
      <c r="O48">
        <f t="shared" si="11"/>
        <v>6.6512570415584874E-3</v>
      </c>
      <c r="P48">
        <f t="shared" si="12"/>
        <v>7.9478646953087095E-2</v>
      </c>
      <c r="V48">
        <v>-1.6000000000000201</v>
      </c>
      <c r="W48">
        <f t="shared" si="9"/>
        <v>-0.44011999999999907</v>
      </c>
    </row>
    <row r="49" spans="1:23" x14ac:dyDescent="0.3">
      <c r="A49">
        <v>2.3584765999999999</v>
      </c>
      <c r="B49">
        <v>0.57404999999999995</v>
      </c>
      <c r="C49">
        <f t="shared" si="1"/>
        <v>1.3538834922299998</v>
      </c>
      <c r="D49">
        <v>1.6299999999999999E-2</v>
      </c>
      <c r="E49">
        <v>2.8849251857154604E-3</v>
      </c>
      <c r="F49">
        <f t="shared" si="2"/>
        <v>471.69531999999998</v>
      </c>
      <c r="G49">
        <f t="shared" si="3"/>
        <v>-0.57404999999999995</v>
      </c>
      <c r="H49">
        <f t="shared" si="4"/>
        <v>-270.77669844599995</v>
      </c>
      <c r="I49">
        <v>1</v>
      </c>
      <c r="J49">
        <f t="shared" si="5"/>
        <v>-0.75142201030145384</v>
      </c>
      <c r="K49">
        <f t="shared" si="6"/>
        <v>-0.60586057297601204</v>
      </c>
      <c r="L49">
        <v>1</v>
      </c>
      <c r="M49">
        <f t="shared" si="7"/>
        <v>0.47983344991789195</v>
      </c>
      <c r="N49">
        <f t="shared" si="13"/>
        <v>3.8443168579999992E-2</v>
      </c>
      <c r="O49">
        <f t="shared" si="11"/>
        <v>6.8040285432605669E-3</v>
      </c>
      <c r="P49">
        <f t="shared" si="12"/>
        <v>8.0779925934859526E-2</v>
      </c>
      <c r="V49">
        <v>-1.50000000000002</v>
      </c>
      <c r="W49">
        <f t="shared" si="9"/>
        <v>-0.44479999999999908</v>
      </c>
    </row>
    <row r="50" spans="1:23" x14ac:dyDescent="0.3">
      <c r="A50">
        <v>2.4149958000000002</v>
      </c>
      <c r="B50">
        <v>0.57084000000000001</v>
      </c>
      <c r="C50">
        <f t="shared" si="1"/>
        <v>1.3785762024720001</v>
      </c>
      <c r="D50">
        <v>1.6299999999999999E-2</v>
      </c>
      <c r="E50">
        <v>2.8849251857154604E-3</v>
      </c>
      <c r="F50">
        <f t="shared" si="2"/>
        <v>482.99916000000007</v>
      </c>
      <c r="G50">
        <f t="shared" si="3"/>
        <v>-0.57084000000000001</v>
      </c>
      <c r="H50">
        <f t="shared" si="4"/>
        <v>-275.71524049440001</v>
      </c>
      <c r="I50">
        <v>1</v>
      </c>
      <c r="J50">
        <f t="shared" si="5"/>
        <v>-0.72774036446151125</v>
      </c>
      <c r="K50">
        <f t="shared" si="6"/>
        <v>-0.60907057297601197</v>
      </c>
      <c r="L50">
        <v>1</v>
      </c>
      <c r="M50">
        <f t="shared" si="7"/>
        <v>0.4809417509432013</v>
      </c>
      <c r="N50">
        <f t="shared" si="13"/>
        <v>3.9364431540000001E-2</v>
      </c>
      <c r="O50">
        <f t="shared" si="11"/>
        <v>6.9670822068170577E-3</v>
      </c>
      <c r="P50">
        <f t="shared" si="12"/>
        <v>8.1797308285993617E-2</v>
      </c>
      <c r="V50">
        <v>-1.4000000000000199</v>
      </c>
      <c r="W50">
        <f t="shared" si="9"/>
        <v>-0.4494799999999991</v>
      </c>
    </row>
    <row r="51" spans="1:23" x14ac:dyDescent="0.3">
      <c r="A51">
        <v>2.4664236000000002</v>
      </c>
      <c r="B51">
        <v>0.56711999999999996</v>
      </c>
      <c r="C51">
        <f t="shared" si="1"/>
        <v>1.398758152032</v>
      </c>
      <c r="D51">
        <v>1.6299999999999999E-2</v>
      </c>
      <c r="E51">
        <v>2.8849251857154604E-3</v>
      </c>
      <c r="F51">
        <f t="shared" si="2"/>
        <v>493.28472000000005</v>
      </c>
      <c r="G51">
        <f t="shared" si="3"/>
        <v>-0.56711999999999996</v>
      </c>
      <c r="H51">
        <f t="shared" si="4"/>
        <v>-279.75163040640001</v>
      </c>
      <c r="I51">
        <v>1</v>
      </c>
      <c r="J51">
        <f t="shared" si="5"/>
        <v>-0.70666874628806442</v>
      </c>
      <c r="K51">
        <f t="shared" si="6"/>
        <v>-0.61279057297601203</v>
      </c>
      <c r="L51">
        <v>1</v>
      </c>
      <c r="M51">
        <f t="shared" si="7"/>
        <v>0.4819279026737186</v>
      </c>
      <c r="N51">
        <f t="shared" si="13"/>
        <v>4.020270468E-2</v>
      </c>
      <c r="O51">
        <f t="shared" si="11"/>
        <v>7.1154475622829949E-3</v>
      </c>
      <c r="P51">
        <f t="shared" si="12"/>
        <v>8.3544518060010425E-2</v>
      </c>
      <c r="V51">
        <v>-1.30000000000002</v>
      </c>
      <c r="W51">
        <f t="shared" si="9"/>
        <v>-0.45415999999999906</v>
      </c>
    </row>
    <row r="52" spans="1:23" x14ac:dyDescent="0.3">
      <c r="A52">
        <v>2.5173416</v>
      </c>
      <c r="B52">
        <v>0.56428999999999996</v>
      </c>
      <c r="C52">
        <f t="shared" si="1"/>
        <v>1.4205106914639998</v>
      </c>
      <c r="D52">
        <v>1.6299999999999999E-2</v>
      </c>
      <c r="E52">
        <v>2.8849251857154604E-3</v>
      </c>
      <c r="F52">
        <f t="shared" si="2"/>
        <v>503.46832000000001</v>
      </c>
      <c r="G52">
        <f t="shared" si="3"/>
        <v>-0.56428999999999996</v>
      </c>
      <c r="H52">
        <f t="shared" si="4"/>
        <v>-284.10213829279996</v>
      </c>
      <c r="I52">
        <v>1</v>
      </c>
      <c r="J52">
        <f t="shared" si="5"/>
        <v>-0.68623448836609746</v>
      </c>
      <c r="K52">
        <f t="shared" si="6"/>
        <v>-0.61562057297601203</v>
      </c>
      <c r="L52">
        <v>1</v>
      </c>
      <c r="M52">
        <f t="shared" si="7"/>
        <v>0.48288422594446667</v>
      </c>
      <c r="N52">
        <f t="shared" si="13"/>
        <v>4.1032668079999994E-2</v>
      </c>
      <c r="O52">
        <f t="shared" si="11"/>
        <v>7.2623421828892538E-3</v>
      </c>
      <c r="P52">
        <f t="shared" si="12"/>
        <v>8.4441336768656103E-2</v>
      </c>
      <c r="V52">
        <v>-1.2000000000000199</v>
      </c>
      <c r="W52">
        <f t="shared" si="9"/>
        <v>-0.45883999999999908</v>
      </c>
    </row>
    <row r="53" spans="1:23" x14ac:dyDescent="0.3">
      <c r="A53">
        <v>2.5687693</v>
      </c>
      <c r="B53">
        <v>0.56067</v>
      </c>
      <c r="C53">
        <f t="shared" si="1"/>
        <v>1.4402318834309999</v>
      </c>
      <c r="D53">
        <v>1.6299999999999999E-2</v>
      </c>
      <c r="E53">
        <v>2.8849251857154604E-3</v>
      </c>
      <c r="F53">
        <f t="shared" si="2"/>
        <v>513.75386000000003</v>
      </c>
      <c r="G53">
        <f t="shared" si="3"/>
        <v>-0.56067</v>
      </c>
      <c r="H53">
        <f t="shared" si="4"/>
        <v>-288.04637668620001</v>
      </c>
      <c r="I53">
        <v>1</v>
      </c>
      <c r="J53">
        <f t="shared" si="5"/>
        <v>-0.66601099981792289</v>
      </c>
      <c r="K53">
        <f t="shared" si="6"/>
        <v>-0.61924057297601198</v>
      </c>
      <c r="L53">
        <v>1</v>
      </c>
      <c r="M53">
        <f t="shared" si="7"/>
        <v>0.48383068520852124</v>
      </c>
      <c r="N53">
        <f t="shared" si="13"/>
        <v>4.1870939589999996E-2</v>
      </c>
      <c r="O53">
        <f t="shared" si="11"/>
        <v>7.410707249862673E-3</v>
      </c>
      <c r="P53">
        <f t="shared" si="12"/>
        <v>8.612824092762808E-2</v>
      </c>
      <c r="V53">
        <v>-1.1000000000000201</v>
      </c>
      <c r="W53">
        <f t="shared" si="9"/>
        <v>-0.46351999999999904</v>
      </c>
    </row>
    <row r="54" spans="1:23" x14ac:dyDescent="0.3">
      <c r="A54">
        <v>2.6217241000000002</v>
      </c>
      <c r="B54">
        <v>0.55772999999999995</v>
      </c>
      <c r="C54">
        <f t="shared" si="1"/>
        <v>1.4622141822929999</v>
      </c>
      <c r="D54">
        <v>1.6299999999999999E-2</v>
      </c>
      <c r="E54">
        <v>2.8849251857154604E-3</v>
      </c>
      <c r="F54">
        <f t="shared" si="2"/>
        <v>524.34482000000003</v>
      </c>
      <c r="G54">
        <f t="shared" si="3"/>
        <v>-0.55772999999999995</v>
      </c>
      <c r="H54">
        <f t="shared" si="4"/>
        <v>-292.44283645859997</v>
      </c>
      <c r="I54">
        <v>1</v>
      </c>
      <c r="J54">
        <f t="shared" si="5"/>
        <v>-0.64560575764820227</v>
      </c>
      <c r="K54">
        <f t="shared" si="6"/>
        <v>-0.62218057297601204</v>
      </c>
      <c r="L54">
        <v>1</v>
      </c>
      <c r="M54">
        <f t="shared" si="7"/>
        <v>0.48478565054206413</v>
      </c>
      <c r="N54">
        <f t="shared" si="13"/>
        <v>4.2734102830000002E-2</v>
      </c>
      <c r="O54">
        <f t="shared" si="11"/>
        <v>7.5634778860871991E-3</v>
      </c>
      <c r="P54">
        <f t="shared" si="12"/>
        <v>8.7097341717860696E-2</v>
      </c>
      <c r="V54">
        <v>-1.00000000000002</v>
      </c>
      <c r="W54">
        <f t="shared" si="9"/>
        <v>-0.46819999999999906</v>
      </c>
    </row>
    <row r="55" spans="1:23" x14ac:dyDescent="0.3">
      <c r="A55">
        <v>2.6721333</v>
      </c>
      <c r="B55">
        <v>0.55403999999999998</v>
      </c>
      <c r="C55">
        <f t="shared" si="1"/>
        <v>1.4804687335319999</v>
      </c>
      <c r="D55">
        <v>1.6299999999999999E-2</v>
      </c>
      <c r="E55">
        <v>2.8849251857154604E-3</v>
      </c>
      <c r="F55">
        <f t="shared" si="2"/>
        <v>534.42665999999997</v>
      </c>
      <c r="G55">
        <f t="shared" si="3"/>
        <v>-0.55403999999999998</v>
      </c>
      <c r="H55">
        <f t="shared" si="4"/>
        <v>-296.0937467064</v>
      </c>
      <c r="I55">
        <v>1</v>
      </c>
      <c r="J55">
        <f t="shared" si="5"/>
        <v>-0.62656077027950141</v>
      </c>
      <c r="K55">
        <f t="shared" si="6"/>
        <v>-0.62587057297601201</v>
      </c>
      <c r="L55">
        <v>1</v>
      </c>
      <c r="M55">
        <f t="shared" si="7"/>
        <v>0.48567695595091936</v>
      </c>
      <c r="N55">
        <f t="shared" si="13"/>
        <v>4.3555772789999996E-2</v>
      </c>
      <c r="O55">
        <f t="shared" si="11"/>
        <v>7.7089046567589657E-3</v>
      </c>
      <c r="P55">
        <f t="shared" si="12"/>
        <v>8.8928939578333671E-2</v>
      </c>
      <c r="V55">
        <v>-0.90000000000002001</v>
      </c>
      <c r="W55">
        <f t="shared" si="9"/>
        <v>-0.47287999999999908</v>
      </c>
    </row>
    <row r="56" spans="1:23" x14ac:dyDescent="0.3">
      <c r="A56">
        <v>2.7230517999999999</v>
      </c>
      <c r="B56">
        <v>0.55113999999999996</v>
      </c>
      <c r="C56">
        <f t="shared" si="1"/>
        <v>1.5007827690519999</v>
      </c>
      <c r="D56">
        <v>1.6299999999999999E-2</v>
      </c>
      <c r="E56">
        <v>2.8849251857154604E-3</v>
      </c>
      <c r="F56">
        <f t="shared" si="2"/>
        <v>544.61036000000001</v>
      </c>
      <c r="G56">
        <f t="shared" si="3"/>
        <v>-0.55113999999999996</v>
      </c>
      <c r="H56">
        <f t="shared" si="4"/>
        <v>-300.1565538104</v>
      </c>
      <c r="I56">
        <v>1</v>
      </c>
      <c r="J56">
        <f t="shared" si="5"/>
        <v>-0.60768467578716867</v>
      </c>
      <c r="K56">
        <f t="shared" si="6"/>
        <v>-0.62877057297601202</v>
      </c>
      <c r="L56">
        <v>1</v>
      </c>
      <c r="M56">
        <f t="shared" si="7"/>
        <v>0.48656035717316054</v>
      </c>
      <c r="N56">
        <f t="shared" si="13"/>
        <v>4.4385744339999991E-2</v>
      </c>
      <c r="O56">
        <f t="shared" si="11"/>
        <v>7.8558007198278185E-3</v>
      </c>
      <c r="P56">
        <f t="shared" si="12"/>
        <v>8.9968670743023671E-2</v>
      </c>
      <c r="V56">
        <v>-0.80000000000002003</v>
      </c>
      <c r="W56">
        <f t="shared" si="9"/>
        <v>-0.4775599999999991</v>
      </c>
    </row>
    <row r="57" spans="1:23" x14ac:dyDescent="0.3">
      <c r="A57">
        <v>2.7734608999999999</v>
      </c>
      <c r="B57">
        <v>0.54766000000000004</v>
      </c>
      <c r="C57">
        <f t="shared" si="1"/>
        <v>1.5189135964940002</v>
      </c>
      <c r="D57">
        <v>1.6299999999999999E-2</v>
      </c>
      <c r="E57">
        <v>2.8849251857154604E-3</v>
      </c>
      <c r="F57">
        <f t="shared" si="2"/>
        <v>554.69218000000001</v>
      </c>
      <c r="G57">
        <f t="shared" si="3"/>
        <v>-0.54766000000000004</v>
      </c>
      <c r="H57">
        <f t="shared" si="4"/>
        <v>-303.78271929880003</v>
      </c>
      <c r="I57">
        <v>1</v>
      </c>
      <c r="J57">
        <f t="shared" si="5"/>
        <v>-0.58934194973079601</v>
      </c>
      <c r="K57">
        <f t="shared" si="6"/>
        <v>-0.63225057297601195</v>
      </c>
      <c r="L57">
        <v>1</v>
      </c>
      <c r="M57">
        <f t="shared" si="7"/>
        <v>0.48741879675259875</v>
      </c>
      <c r="N57">
        <f t="shared" si="13"/>
        <v>4.5207412669999995E-2</v>
      </c>
      <c r="O57">
        <f t="shared" si="11"/>
        <v>8.001227202007067E-3</v>
      </c>
      <c r="P57">
        <f t="shared" si="12"/>
        <v>9.1623136351406134E-2</v>
      </c>
      <c r="V57">
        <v>-0.70000000000002005</v>
      </c>
      <c r="W57">
        <f t="shared" si="9"/>
        <v>-0.48223999999999906</v>
      </c>
    </row>
    <row r="58" spans="1:23" x14ac:dyDescent="0.3">
      <c r="A58">
        <v>2.8248883999999999</v>
      </c>
      <c r="B58">
        <v>0.54469999999999996</v>
      </c>
      <c r="C58">
        <f t="shared" si="1"/>
        <v>1.5387167114799998</v>
      </c>
      <c r="D58">
        <v>1.6299999999999999E-2</v>
      </c>
      <c r="E58">
        <v>2.8849251857154604E-3</v>
      </c>
      <c r="F58">
        <f t="shared" si="2"/>
        <v>564.97767999999996</v>
      </c>
      <c r="G58">
        <f t="shared" si="3"/>
        <v>-0.54469999999999996</v>
      </c>
      <c r="H58">
        <f t="shared" si="4"/>
        <v>-307.74334229599998</v>
      </c>
      <c r="I58">
        <v>1</v>
      </c>
      <c r="J58">
        <f t="shared" si="5"/>
        <v>-0.57096905304079537</v>
      </c>
      <c r="K58">
        <f t="shared" si="6"/>
        <v>-0.63521057297601202</v>
      </c>
      <c r="L58">
        <v>1</v>
      </c>
      <c r="M58">
        <f t="shared" si="7"/>
        <v>0.4882786483176908</v>
      </c>
      <c r="N58">
        <f t="shared" si="13"/>
        <v>4.6045680919999991E-2</v>
      </c>
      <c r="O58">
        <f t="shared" si="11"/>
        <v>8.14959169199545E-3</v>
      </c>
      <c r="P58">
        <f t="shared" si="12"/>
        <v>9.2736652046325779E-2</v>
      </c>
      <c r="V58">
        <v>-0.60000000000001996</v>
      </c>
      <c r="W58">
        <f t="shared" si="9"/>
        <v>-0.48691999999999908</v>
      </c>
    </row>
    <row r="59" spans="1:23" x14ac:dyDescent="0.3">
      <c r="A59">
        <v>2.8773344999999999</v>
      </c>
      <c r="B59">
        <v>0.54134000000000004</v>
      </c>
      <c r="C59">
        <f t="shared" si="1"/>
        <v>1.5576162582300002</v>
      </c>
      <c r="D59">
        <v>1.6299999999999999E-2</v>
      </c>
      <c r="E59">
        <v>2.8849251857154604E-3</v>
      </c>
      <c r="F59">
        <f t="shared" si="2"/>
        <v>575.46690000000001</v>
      </c>
      <c r="G59">
        <f t="shared" si="3"/>
        <v>-0.54134000000000004</v>
      </c>
      <c r="H59">
        <f t="shared" si="4"/>
        <v>-311.52325164600001</v>
      </c>
      <c r="I59">
        <v>1</v>
      </c>
      <c r="J59">
        <f t="shared" si="5"/>
        <v>-0.5525735676784328</v>
      </c>
      <c r="K59">
        <f t="shared" si="6"/>
        <v>-0.63857057297601194</v>
      </c>
      <c r="L59">
        <v>1</v>
      </c>
      <c r="M59">
        <f t="shared" si="7"/>
        <v>0.48913955703264933</v>
      </c>
      <c r="N59">
        <f t="shared" si="13"/>
        <v>4.6900552349999992E-2</v>
      </c>
      <c r="O59">
        <f t="shared" si="11"/>
        <v>8.3008947667780018E-3</v>
      </c>
      <c r="P59">
        <f t="shared" si="12"/>
        <v>9.422956882658462E-2</v>
      </c>
      <c r="V59">
        <v>-0.50000000000001998</v>
      </c>
      <c r="W59">
        <f t="shared" si="9"/>
        <v>-0.49159999999999909</v>
      </c>
    </row>
    <row r="60" spans="1:23" x14ac:dyDescent="0.3">
      <c r="A60">
        <v>2.9277436999999997</v>
      </c>
      <c r="B60">
        <v>0.53798000000000001</v>
      </c>
      <c r="C60">
        <f t="shared" si="1"/>
        <v>1.5750675557259999</v>
      </c>
      <c r="D60">
        <v>1.6299999999999999E-2</v>
      </c>
      <c r="E60">
        <v>2.8849251857154604E-3</v>
      </c>
      <c r="F60">
        <f t="shared" si="2"/>
        <v>585.54873999999995</v>
      </c>
      <c r="G60">
        <f t="shared" si="3"/>
        <v>-0.53798000000000001</v>
      </c>
      <c r="H60">
        <f t="shared" si="4"/>
        <v>-315.01351114519997</v>
      </c>
      <c r="I60">
        <v>1</v>
      </c>
      <c r="J60">
        <f t="shared" si="5"/>
        <v>-0.53520585431937839</v>
      </c>
      <c r="K60">
        <f t="shared" si="6"/>
        <v>-0.64193057297601197</v>
      </c>
      <c r="L60">
        <v>1</v>
      </c>
      <c r="M60">
        <f t="shared" si="7"/>
        <v>0.48995236601785308</v>
      </c>
      <c r="N60">
        <f t="shared" si="13"/>
        <v>4.7722222309999993E-2</v>
      </c>
      <c r="O60">
        <f t="shared" si="11"/>
        <v>8.4463215374497684E-3</v>
      </c>
      <c r="P60">
        <f t="shared" si="12"/>
        <v>9.5809663110709126E-2</v>
      </c>
      <c r="V60">
        <v>-0.40000000000002001</v>
      </c>
      <c r="W60">
        <f t="shared" si="9"/>
        <v>-0.49627999999999906</v>
      </c>
    </row>
    <row r="61" spans="1:23" x14ac:dyDescent="0.3">
      <c r="A61">
        <v>2.9786619000000001</v>
      </c>
      <c r="B61">
        <v>0.53495000000000004</v>
      </c>
      <c r="C61">
        <f t="shared" si="1"/>
        <v>1.5934351834050002</v>
      </c>
      <c r="D61">
        <v>1.6299999999999999E-2</v>
      </c>
      <c r="E61">
        <v>2.8849251857154604E-3</v>
      </c>
      <c r="F61">
        <f t="shared" si="2"/>
        <v>595.73238000000003</v>
      </c>
      <c r="G61">
        <f t="shared" si="3"/>
        <v>-0.53495000000000004</v>
      </c>
      <c r="H61">
        <f t="shared" si="4"/>
        <v>-318.68703668100005</v>
      </c>
      <c r="I61">
        <v>1</v>
      </c>
      <c r="J61">
        <f t="shared" si="5"/>
        <v>-0.51796373960516739</v>
      </c>
      <c r="K61">
        <f t="shared" si="6"/>
        <v>-0.64496057297601195</v>
      </c>
      <c r="L61">
        <v>1</v>
      </c>
      <c r="M61">
        <f t="shared" si="7"/>
        <v>0.49075929698647819</v>
      </c>
      <c r="N61">
        <f t="shared" si="13"/>
        <v>4.855218897E-2</v>
      </c>
      <c r="O61">
        <f t="shared" si="11"/>
        <v>8.593216735041067E-3</v>
      </c>
      <c r="P61">
        <f t="shared" si="12"/>
        <v>9.7055870284492696E-2</v>
      </c>
      <c r="V61">
        <v>-0.30000000000001997</v>
      </c>
      <c r="W61">
        <f t="shared" si="9"/>
        <v>-0.50095999999999907</v>
      </c>
    </row>
    <row r="62" spans="1:23" x14ac:dyDescent="0.3">
      <c r="A62">
        <v>3.0300894</v>
      </c>
      <c r="B62">
        <v>0.53171999999999997</v>
      </c>
      <c r="C62">
        <f t="shared" si="1"/>
        <v>1.611159135768</v>
      </c>
      <c r="D62">
        <v>1.6299999999999999E-2</v>
      </c>
      <c r="E62">
        <v>2.8849251857154604E-3</v>
      </c>
      <c r="F62">
        <f t="shared" si="2"/>
        <v>606.01787999999999</v>
      </c>
      <c r="G62">
        <f t="shared" si="3"/>
        <v>-0.53171999999999997</v>
      </c>
      <c r="H62">
        <f t="shared" si="4"/>
        <v>-322.23182715359997</v>
      </c>
      <c r="I62">
        <v>1</v>
      </c>
      <c r="J62">
        <f t="shared" si="5"/>
        <v>-0.50084578839758997</v>
      </c>
      <c r="K62">
        <f t="shared" si="6"/>
        <v>-0.64819057297601201</v>
      </c>
      <c r="L62">
        <v>1</v>
      </c>
      <c r="M62">
        <f t="shared" si="7"/>
        <v>0.49156041710299281</v>
      </c>
      <c r="N62">
        <f t="shared" si="13"/>
        <v>4.9390457219999996E-2</v>
      </c>
      <c r="O62">
        <f t="shared" si="11"/>
        <v>8.7415812250294482E-3</v>
      </c>
      <c r="P62">
        <f t="shared" si="12"/>
        <v>9.8498117427989765E-2</v>
      </c>
      <c r="V62">
        <v>-0.20000000000002</v>
      </c>
      <c r="W62">
        <f t="shared" si="9"/>
        <v>-0.50563999999999909</v>
      </c>
    </row>
    <row r="63" spans="1:23" x14ac:dyDescent="0.3">
      <c r="A63">
        <v>3.0815168000000002</v>
      </c>
      <c r="B63">
        <v>0.52849000000000002</v>
      </c>
      <c r="C63">
        <f t="shared" si="1"/>
        <v>1.6285508136320002</v>
      </c>
      <c r="D63">
        <v>1.6299999999999999E-2</v>
      </c>
      <c r="E63">
        <v>2.8849251857154604E-3</v>
      </c>
      <c r="F63">
        <f t="shared" si="2"/>
        <v>616.30336</v>
      </c>
      <c r="G63">
        <f t="shared" si="3"/>
        <v>-0.52849000000000002</v>
      </c>
      <c r="H63">
        <f t="shared" si="4"/>
        <v>-325.71016272640003</v>
      </c>
      <c r="I63">
        <v>1</v>
      </c>
      <c r="J63">
        <f t="shared" si="5"/>
        <v>-0.48401596913848799</v>
      </c>
      <c r="K63">
        <f t="shared" si="6"/>
        <v>-0.65142057297601197</v>
      </c>
      <c r="L63">
        <v>1</v>
      </c>
      <c r="M63">
        <f t="shared" si="7"/>
        <v>0.4923480526443188</v>
      </c>
      <c r="N63">
        <f t="shared" si="13"/>
        <v>5.0228723839999996E-2</v>
      </c>
      <c r="O63">
        <f t="shared" si="11"/>
        <v>8.8899454265253114E-3</v>
      </c>
      <c r="P63">
        <f t="shared" si="12"/>
        <v>9.9953851065167867E-2</v>
      </c>
      <c r="V63">
        <v>-0.10000000000002</v>
      </c>
      <c r="W63">
        <f t="shared" si="9"/>
        <v>-0.51031999999999911</v>
      </c>
    </row>
    <row r="64" spans="1:23" x14ac:dyDescent="0.3">
      <c r="A64">
        <v>3.1344717000000002</v>
      </c>
      <c r="B64">
        <v>0.52507999999999999</v>
      </c>
      <c r="C64">
        <f t="shared" si="1"/>
        <v>1.6458484002360001</v>
      </c>
      <c r="D64">
        <v>1.6299999999999999E-2</v>
      </c>
      <c r="E64">
        <v>2.8849251857154604E-3</v>
      </c>
      <c r="F64">
        <f t="shared" si="2"/>
        <v>626.89434000000006</v>
      </c>
      <c r="G64">
        <f t="shared" si="3"/>
        <v>-0.52507999999999999</v>
      </c>
      <c r="H64">
        <f t="shared" si="4"/>
        <v>-329.16968004720002</v>
      </c>
      <c r="I64">
        <v>1</v>
      </c>
      <c r="J64">
        <f t="shared" si="5"/>
        <v>-0.46697726929616995</v>
      </c>
      <c r="K64">
        <f t="shared" si="6"/>
        <v>-0.65483057297601199</v>
      </c>
      <c r="L64">
        <v>1</v>
      </c>
      <c r="M64">
        <f t="shared" si="7"/>
        <v>0.49314546379693924</v>
      </c>
      <c r="N64">
        <f t="shared" si="13"/>
        <v>5.1091888709999998E-2</v>
      </c>
      <c r="O64">
        <f t="shared" si="11"/>
        <v>9.0427163512423556E-3</v>
      </c>
      <c r="P64">
        <f t="shared" si="12"/>
        <v>0.10155050411783038</v>
      </c>
      <c r="V64">
        <v>-2.0428103653102899E-14</v>
      </c>
      <c r="W64">
        <f t="shared" si="9"/>
        <v>-0.51499999999999901</v>
      </c>
    </row>
    <row r="65" spans="1:23" x14ac:dyDescent="0.3">
      <c r="A65">
        <v>3.1894634000000002</v>
      </c>
      <c r="B65">
        <v>0.52202000000000004</v>
      </c>
      <c r="C65">
        <f t="shared" si="1"/>
        <v>1.6649636840680002</v>
      </c>
      <c r="D65">
        <v>1.6299999999999999E-2</v>
      </c>
      <c r="E65">
        <v>2.8849251857154604E-3</v>
      </c>
      <c r="F65">
        <f t="shared" si="2"/>
        <v>637.89268000000004</v>
      </c>
      <c r="G65">
        <f t="shared" si="3"/>
        <v>-0.52202000000000004</v>
      </c>
      <c r="H65">
        <f t="shared" si="4"/>
        <v>-332.99273681360006</v>
      </c>
      <c r="I65">
        <v>1</v>
      </c>
      <c r="J65">
        <f t="shared" si="5"/>
        <v>-0.44958522295291281</v>
      </c>
      <c r="K65">
        <f t="shared" si="6"/>
        <v>-0.65789057297601194</v>
      </c>
      <c r="L65">
        <v>1</v>
      </c>
      <c r="M65">
        <f t="shared" si="7"/>
        <v>0.4939594115658037</v>
      </c>
      <c r="N65">
        <f t="shared" si="13"/>
        <v>5.1988253419999998E-2</v>
      </c>
      <c r="O65">
        <f t="shared" si="11"/>
        <v>9.2013632915776637E-3</v>
      </c>
      <c r="P65">
        <f t="shared" si="12"/>
        <v>0.10274154469863059</v>
      </c>
      <c r="V65">
        <v>9.9999999999980105E-2</v>
      </c>
      <c r="W65">
        <f t="shared" si="9"/>
        <v>-0.51967999999999903</v>
      </c>
    </row>
    <row r="66" spans="1:23" x14ac:dyDescent="0.3">
      <c r="A66">
        <v>3.2398726</v>
      </c>
      <c r="B66">
        <v>0.51849000000000001</v>
      </c>
      <c r="C66">
        <f t="shared" si="1"/>
        <v>1.679841544374</v>
      </c>
      <c r="D66">
        <v>1.6299999999999999E-2</v>
      </c>
      <c r="E66">
        <v>2.8849251857154604E-3</v>
      </c>
      <c r="F66">
        <f t="shared" si="2"/>
        <v>647.97451999999998</v>
      </c>
      <c r="G66">
        <f t="shared" si="3"/>
        <v>-0.51849000000000001</v>
      </c>
      <c r="H66">
        <f t="shared" si="4"/>
        <v>-335.96830887480002</v>
      </c>
      <c r="I66">
        <v>1</v>
      </c>
      <c r="J66">
        <f t="shared" si="5"/>
        <v>-0.433903904390607</v>
      </c>
      <c r="K66">
        <f t="shared" si="6"/>
        <v>-0.66142057297601198</v>
      </c>
      <c r="L66">
        <v>1</v>
      </c>
      <c r="M66">
        <f t="shared" si="7"/>
        <v>0.49469329727451961</v>
      </c>
      <c r="N66">
        <f t="shared" si="13"/>
        <v>5.2809923379999998E-2</v>
      </c>
      <c r="O66">
        <f t="shared" si="11"/>
        <v>9.346790062249432E-3</v>
      </c>
      <c r="P66">
        <f t="shared" si="12"/>
        <v>0.10457056225924294</v>
      </c>
      <c r="V66">
        <v>0.19999999999998</v>
      </c>
      <c r="W66">
        <f t="shared" si="9"/>
        <v>-0.52435999999999905</v>
      </c>
    </row>
    <row r="67" spans="1:23" x14ac:dyDescent="0.3">
      <c r="A67">
        <v>3.2913000000000001</v>
      </c>
      <c r="B67">
        <v>0.51543000000000005</v>
      </c>
      <c r="C67">
        <f t="shared" si="1"/>
        <v>1.6964347590000002</v>
      </c>
      <c r="D67">
        <v>1.6299999999999999E-2</v>
      </c>
      <c r="E67">
        <v>2.8849251857154604E-3</v>
      </c>
      <c r="F67">
        <f t="shared" si="2"/>
        <v>658.26</v>
      </c>
      <c r="G67">
        <f t="shared" si="3"/>
        <v>-0.51543000000000005</v>
      </c>
      <c r="H67">
        <f t="shared" si="4"/>
        <v>-339.28695180000005</v>
      </c>
      <c r="I67">
        <v>1</v>
      </c>
      <c r="J67">
        <f t="shared" si="5"/>
        <v>-0.41815528892468257</v>
      </c>
      <c r="K67">
        <f t="shared" si="6"/>
        <v>-0.66448057297601193</v>
      </c>
      <c r="L67">
        <v>1</v>
      </c>
      <c r="M67">
        <f t="shared" si="7"/>
        <v>0.49543033247832485</v>
      </c>
      <c r="N67">
        <f t="shared" si="13"/>
        <v>5.3648189999999998E-2</v>
      </c>
      <c r="O67">
        <f t="shared" si="11"/>
        <v>9.4951542637452951E-3</v>
      </c>
      <c r="P67">
        <f t="shared" si="12"/>
        <v>0.10590689623394178</v>
      </c>
      <c r="V67">
        <v>0.29999999999998</v>
      </c>
      <c r="W67">
        <f t="shared" si="9"/>
        <v>-0.52903999999999907</v>
      </c>
    </row>
    <row r="68" spans="1:23" x14ac:dyDescent="0.3">
      <c r="A68">
        <v>3.3417092000000004</v>
      </c>
      <c r="B68">
        <v>0.51210999999999995</v>
      </c>
      <c r="C68">
        <f t="shared" si="1"/>
        <v>1.711322698412</v>
      </c>
      <c r="D68">
        <v>1.6299999999999999E-2</v>
      </c>
      <c r="E68">
        <v>2.8849251857154604E-3</v>
      </c>
      <c r="F68">
        <f t="shared" si="2"/>
        <v>668.34184000000005</v>
      </c>
      <c r="G68">
        <f t="shared" si="3"/>
        <v>-0.51210999999999995</v>
      </c>
      <c r="H68">
        <f t="shared" si="4"/>
        <v>-342.26453968240003</v>
      </c>
      <c r="I68">
        <v>1</v>
      </c>
      <c r="J68">
        <f t="shared" si="5"/>
        <v>-0.40295549981102852</v>
      </c>
      <c r="K68">
        <f t="shared" si="6"/>
        <v>-0.66780057297601203</v>
      </c>
      <c r="L68">
        <v>1</v>
      </c>
      <c r="M68">
        <f t="shared" si="7"/>
        <v>0.49614168260884389</v>
      </c>
      <c r="N68">
        <f t="shared" si="13"/>
        <v>5.4469859959999999E-2</v>
      </c>
      <c r="O68">
        <f t="shared" si="11"/>
        <v>9.6405810344170634E-3</v>
      </c>
      <c r="P68">
        <f t="shared" si="12"/>
        <v>0.10754844937275107</v>
      </c>
      <c r="V68">
        <v>0.39999999999997998</v>
      </c>
      <c r="W68">
        <f t="shared" si="9"/>
        <v>-0.53371999999999908</v>
      </c>
    </row>
    <row r="69" spans="1:23" x14ac:dyDescent="0.3">
      <c r="A69">
        <v>3.4033202999999999</v>
      </c>
      <c r="B69">
        <v>0.50868000000000002</v>
      </c>
      <c r="C69">
        <f t="shared" ref="C69:C132" si="14">A69*B69</f>
        <v>1.7312009702040001</v>
      </c>
      <c r="D69">
        <v>1.6299999999999999E-2</v>
      </c>
      <c r="E69">
        <v>2.8849251857154604E-3</v>
      </c>
      <c r="F69">
        <f t="shared" ref="F69:F132" si="15">A69*200</f>
        <v>680.66405999999995</v>
      </c>
      <c r="G69">
        <f t="shared" ref="G69:G132" si="16">-B69</f>
        <v>-0.50868000000000002</v>
      </c>
      <c r="H69">
        <f t="shared" ref="H69:H132" si="17">-C69*200</f>
        <v>-346.24019404080002</v>
      </c>
      <c r="I69">
        <v>1</v>
      </c>
      <c r="J69">
        <f t="shared" ref="J69:J132" si="18">LN(F69/1000)</f>
        <v>-0.38468639851181313</v>
      </c>
      <c r="K69">
        <f t="shared" ref="K69:K132" si="19">((-G69)-$N$2)</f>
        <v>-0.67123057297601196</v>
      </c>
      <c r="L69">
        <v>1</v>
      </c>
      <c r="M69">
        <f t="shared" ref="M69:M132" si="20">-1*($S$4+($S$5*J69))</f>
        <v>0.49699667654964719</v>
      </c>
      <c r="N69">
        <f t="shared" si="13"/>
        <v>5.5474120889999992E-2</v>
      </c>
      <c r="O69">
        <f t="shared" si="11"/>
        <v>9.8183244485266965E-3</v>
      </c>
      <c r="P69">
        <f t="shared" si="12"/>
        <v>0.10894145108783809</v>
      </c>
      <c r="V69">
        <v>0.49999999999998002</v>
      </c>
      <c r="W69">
        <f t="shared" ref="W69:W132" si="21">V69*$S$5+$S$4</f>
        <v>-0.5383999999999991</v>
      </c>
    </row>
    <row r="70" spans="1:23" x14ac:dyDescent="0.3">
      <c r="A70">
        <v>3.4542389999999998</v>
      </c>
      <c r="B70">
        <v>0.50470000000000004</v>
      </c>
      <c r="C70">
        <f t="shared" si="14"/>
        <v>1.7433544233</v>
      </c>
      <c r="D70">
        <v>1.6299999999999999E-2</v>
      </c>
      <c r="E70">
        <v>2.8849251857154604E-3</v>
      </c>
      <c r="F70">
        <f t="shared" si="15"/>
        <v>690.84780000000001</v>
      </c>
      <c r="G70">
        <f t="shared" si="16"/>
        <v>-0.50470000000000004</v>
      </c>
      <c r="H70">
        <f t="shared" si="17"/>
        <v>-348.67088466000001</v>
      </c>
      <c r="I70">
        <v>1</v>
      </c>
      <c r="J70">
        <f t="shared" si="18"/>
        <v>-0.36983573996741237</v>
      </c>
      <c r="K70">
        <f t="shared" si="19"/>
        <v>-0.67521057297601195</v>
      </c>
      <c r="L70">
        <v>1</v>
      </c>
      <c r="M70">
        <f t="shared" si="20"/>
        <v>0.49769168736952513</v>
      </c>
      <c r="N70">
        <f t="shared" si="13"/>
        <v>5.6304095699999994E-2</v>
      </c>
      <c r="O70">
        <f t="shared" ref="O70:O133" si="22">E70*A70</f>
        <v>9.9652210885805854E-3</v>
      </c>
      <c r="P70">
        <f t="shared" ref="P70:P133" si="23">-K70-M70-N70-O70</f>
        <v>0.11124956881790624</v>
      </c>
      <c r="V70">
        <v>0.59999999999997999</v>
      </c>
      <c r="W70">
        <f t="shared" si="21"/>
        <v>-0.54307999999999912</v>
      </c>
    </row>
    <row r="71" spans="1:23" x14ac:dyDescent="0.3">
      <c r="A71">
        <v>3.5051569999999996</v>
      </c>
      <c r="B71">
        <v>0.50175000000000003</v>
      </c>
      <c r="C71">
        <f t="shared" si="14"/>
        <v>1.75871252475</v>
      </c>
      <c r="D71">
        <v>1.6299999999999999E-2</v>
      </c>
      <c r="E71">
        <v>2.8849251857154604E-3</v>
      </c>
      <c r="F71">
        <f t="shared" si="15"/>
        <v>701.03139999999996</v>
      </c>
      <c r="G71">
        <f t="shared" si="16"/>
        <v>-0.50175000000000003</v>
      </c>
      <c r="H71">
        <f t="shared" si="17"/>
        <v>-351.74250495000001</v>
      </c>
      <c r="I71">
        <v>1</v>
      </c>
      <c r="J71">
        <f t="shared" si="18"/>
        <v>-0.35520259979809121</v>
      </c>
      <c r="K71">
        <f t="shared" si="19"/>
        <v>-0.67816057297601195</v>
      </c>
      <c r="L71">
        <v>1</v>
      </c>
      <c r="M71">
        <f t="shared" si="20"/>
        <v>0.49837651832944935</v>
      </c>
      <c r="N71">
        <f t="shared" ref="N71:N134" si="24">D71*A71</f>
        <v>5.7134059099999988E-2</v>
      </c>
      <c r="O71">
        <f t="shared" si="22"/>
        <v>1.0112115709186844E-2</v>
      </c>
      <c r="P71">
        <f t="shared" si="23"/>
        <v>0.11253787983737577</v>
      </c>
      <c r="V71">
        <v>0.69999999999997997</v>
      </c>
      <c r="W71">
        <f t="shared" si="21"/>
        <v>-0.54775999999999903</v>
      </c>
    </row>
    <row r="72" spans="1:23" x14ac:dyDescent="0.3">
      <c r="A72">
        <v>3.5570938000000001</v>
      </c>
      <c r="B72">
        <v>0.49869000000000002</v>
      </c>
      <c r="C72">
        <f t="shared" si="14"/>
        <v>1.7738871071220002</v>
      </c>
      <c r="D72">
        <v>1.6299999999999999E-2</v>
      </c>
      <c r="E72">
        <v>2.8849251857154604E-3</v>
      </c>
      <c r="F72">
        <f t="shared" si="15"/>
        <v>711.41876000000002</v>
      </c>
      <c r="G72">
        <f t="shared" si="16"/>
        <v>-0.49869000000000002</v>
      </c>
      <c r="H72">
        <f t="shared" si="17"/>
        <v>-354.77742142440002</v>
      </c>
      <c r="I72">
        <v>1</v>
      </c>
      <c r="J72">
        <f t="shared" si="18"/>
        <v>-0.34049404927850929</v>
      </c>
      <c r="K72">
        <f t="shared" si="19"/>
        <v>-0.68122057297601191</v>
      </c>
      <c r="L72">
        <v>1</v>
      </c>
      <c r="M72">
        <f t="shared" si="20"/>
        <v>0.4990648784937658</v>
      </c>
      <c r="N72">
        <f t="shared" si="24"/>
        <v>5.7980628939999994E-2</v>
      </c>
      <c r="O72">
        <f t="shared" si="22"/>
        <v>1.0261949491572313E-2</v>
      </c>
      <c r="P72">
        <f t="shared" si="23"/>
        <v>0.11391311605067379</v>
      </c>
      <c r="V72">
        <v>0.79999999999997995</v>
      </c>
      <c r="W72">
        <f t="shared" si="21"/>
        <v>-0.55243999999999904</v>
      </c>
    </row>
    <row r="73" spans="1:23" x14ac:dyDescent="0.3">
      <c r="A73">
        <v>3.6085216999999998</v>
      </c>
      <c r="B73">
        <v>0.49498999999999999</v>
      </c>
      <c r="C73">
        <f t="shared" si="14"/>
        <v>1.7861821562829998</v>
      </c>
      <c r="D73">
        <v>1.6299999999999999E-2</v>
      </c>
      <c r="E73">
        <v>2.8849251857154604E-3</v>
      </c>
      <c r="F73">
        <f t="shared" si="15"/>
        <v>721.70434</v>
      </c>
      <c r="G73">
        <f t="shared" si="16"/>
        <v>-0.49498999999999999</v>
      </c>
      <c r="H73">
        <f t="shared" si="17"/>
        <v>-357.23643125659999</v>
      </c>
      <c r="I73">
        <v>1</v>
      </c>
      <c r="J73">
        <f t="shared" si="18"/>
        <v>-0.32613972534294144</v>
      </c>
      <c r="K73">
        <f t="shared" si="19"/>
        <v>-0.68492057297601194</v>
      </c>
      <c r="L73">
        <v>1</v>
      </c>
      <c r="M73">
        <f t="shared" si="20"/>
        <v>0.49973666085395035</v>
      </c>
      <c r="N73">
        <f t="shared" si="24"/>
        <v>5.8818903709999995E-2</v>
      </c>
      <c r="O73">
        <f t="shared" si="22"/>
        <v>1.0410315135530769E-2</v>
      </c>
      <c r="P73">
        <f t="shared" si="23"/>
        <v>0.11595469327653084</v>
      </c>
      <c r="V73">
        <v>0.89999999999998004</v>
      </c>
      <c r="W73">
        <f t="shared" si="21"/>
        <v>-0.55711999999999906</v>
      </c>
    </row>
    <row r="74" spans="1:23" x14ac:dyDescent="0.3">
      <c r="A74">
        <v>3.6594396999999996</v>
      </c>
      <c r="B74">
        <v>0.49174000000000001</v>
      </c>
      <c r="C74">
        <f t="shared" si="14"/>
        <v>1.799492878078</v>
      </c>
      <c r="D74">
        <v>1.6299999999999999E-2</v>
      </c>
      <c r="E74">
        <v>2.8849251857154604E-3</v>
      </c>
      <c r="F74">
        <f t="shared" si="15"/>
        <v>731.88793999999996</v>
      </c>
      <c r="G74">
        <f t="shared" si="16"/>
        <v>-0.49174000000000001</v>
      </c>
      <c r="H74">
        <f t="shared" si="17"/>
        <v>-359.89857561560001</v>
      </c>
      <c r="I74">
        <v>1</v>
      </c>
      <c r="J74">
        <f t="shared" si="18"/>
        <v>-0.31212786417159655</v>
      </c>
      <c r="K74">
        <f t="shared" si="19"/>
        <v>-0.68817057297601192</v>
      </c>
      <c r="L74">
        <v>1</v>
      </c>
      <c r="M74">
        <f t="shared" si="20"/>
        <v>0.50039241595676931</v>
      </c>
      <c r="N74">
        <f t="shared" si="24"/>
        <v>5.964886710999999E-2</v>
      </c>
      <c r="O74">
        <f t="shared" si="22"/>
        <v>1.0557209756137028E-2</v>
      </c>
      <c r="P74">
        <f t="shared" si="23"/>
        <v>0.11757208015310558</v>
      </c>
      <c r="V74">
        <v>0.99999999999998002</v>
      </c>
      <c r="W74">
        <f t="shared" si="21"/>
        <v>-0.56179999999999908</v>
      </c>
    </row>
    <row r="75" spans="1:23" x14ac:dyDescent="0.3">
      <c r="A75">
        <v>3.7134131000000004</v>
      </c>
      <c r="B75">
        <v>0.48843999999999999</v>
      </c>
      <c r="C75">
        <f t="shared" si="14"/>
        <v>1.8137794945640002</v>
      </c>
      <c r="D75">
        <v>1.6299999999999999E-2</v>
      </c>
      <c r="E75">
        <v>2.8849251857154604E-3</v>
      </c>
      <c r="F75">
        <f t="shared" si="15"/>
        <v>742.68262000000004</v>
      </c>
      <c r="G75">
        <f t="shared" si="16"/>
        <v>-0.48843999999999999</v>
      </c>
      <c r="H75">
        <f t="shared" si="17"/>
        <v>-362.75589891280003</v>
      </c>
      <c r="I75">
        <v>1</v>
      </c>
      <c r="J75">
        <f t="shared" si="18"/>
        <v>-0.29748648568477604</v>
      </c>
      <c r="K75">
        <f t="shared" si="19"/>
        <v>-0.691470572976012</v>
      </c>
      <c r="L75">
        <v>1</v>
      </c>
      <c r="M75">
        <f t="shared" si="20"/>
        <v>0.50107763246995252</v>
      </c>
      <c r="N75">
        <f t="shared" si="24"/>
        <v>6.0528633530000001E-2</v>
      </c>
      <c r="O75">
        <f t="shared" si="22"/>
        <v>1.0712918977155724E-2</v>
      </c>
      <c r="P75">
        <f t="shared" si="23"/>
        <v>0.11915138799890378</v>
      </c>
      <c r="V75">
        <v>1.0999999999999699</v>
      </c>
      <c r="W75">
        <f t="shared" si="21"/>
        <v>-0.56647999999999865</v>
      </c>
    </row>
    <row r="76" spans="1:23" x14ac:dyDescent="0.3">
      <c r="A76">
        <v>3.7653498999999999</v>
      </c>
      <c r="B76">
        <v>0.48482999999999998</v>
      </c>
      <c r="C76">
        <f t="shared" si="14"/>
        <v>1.825554592017</v>
      </c>
      <c r="D76">
        <v>1.6299999999999999E-2</v>
      </c>
      <c r="E76">
        <v>2.8849251857154604E-3</v>
      </c>
      <c r="F76">
        <f t="shared" si="15"/>
        <v>753.06997999999999</v>
      </c>
      <c r="G76">
        <f t="shared" si="16"/>
        <v>-0.48482999999999998</v>
      </c>
      <c r="H76">
        <f t="shared" si="17"/>
        <v>-365.11091840339998</v>
      </c>
      <c r="I76">
        <v>1</v>
      </c>
      <c r="J76">
        <f t="shared" si="18"/>
        <v>-0.28359712057346742</v>
      </c>
      <c r="K76">
        <f t="shared" si="19"/>
        <v>-0.695080572976012</v>
      </c>
      <c r="L76">
        <v>1</v>
      </c>
      <c r="M76">
        <f t="shared" si="20"/>
        <v>0.50172765475716175</v>
      </c>
      <c r="N76">
        <f t="shared" si="24"/>
        <v>6.1375203369999992E-2</v>
      </c>
      <c r="O76">
        <f t="shared" si="22"/>
        <v>1.086275275954119E-2</v>
      </c>
      <c r="P76">
        <f t="shared" si="23"/>
        <v>0.12111496208930908</v>
      </c>
      <c r="V76">
        <v>1.19999999999997</v>
      </c>
      <c r="W76">
        <f t="shared" si="21"/>
        <v>-0.57115999999999856</v>
      </c>
    </row>
    <row r="77" spans="1:23" x14ac:dyDescent="0.3">
      <c r="A77">
        <v>3.8157589999999999</v>
      </c>
      <c r="B77">
        <v>0.48159999999999997</v>
      </c>
      <c r="C77">
        <f t="shared" si="14"/>
        <v>1.8376695343999998</v>
      </c>
      <c r="D77">
        <v>1.6299999999999999E-2</v>
      </c>
      <c r="E77">
        <v>2.8849251857154604E-3</v>
      </c>
      <c r="F77">
        <f t="shared" si="15"/>
        <v>763.15179999999998</v>
      </c>
      <c r="G77">
        <f t="shared" si="16"/>
        <v>-0.48159999999999997</v>
      </c>
      <c r="H77">
        <f t="shared" si="17"/>
        <v>-367.53390687999996</v>
      </c>
      <c r="I77">
        <v>1</v>
      </c>
      <c r="J77">
        <f t="shared" si="18"/>
        <v>-0.2702983159786983</v>
      </c>
      <c r="K77">
        <f t="shared" si="19"/>
        <v>-0.69831057297601196</v>
      </c>
      <c r="L77">
        <v>1</v>
      </c>
      <c r="M77">
        <f t="shared" si="20"/>
        <v>0.50235003881219698</v>
      </c>
      <c r="N77">
        <f t="shared" si="24"/>
        <v>6.2196871699999989E-2</v>
      </c>
      <c r="O77">
        <f t="shared" si="22"/>
        <v>1.1008179241720439E-2</v>
      </c>
      <c r="P77">
        <f t="shared" si="23"/>
        <v>0.12275548322209455</v>
      </c>
      <c r="V77">
        <v>1.2999999999999701</v>
      </c>
      <c r="W77">
        <f t="shared" si="21"/>
        <v>-0.57583999999999858</v>
      </c>
    </row>
    <row r="78" spans="1:23" x14ac:dyDescent="0.3">
      <c r="A78">
        <v>3.866168</v>
      </c>
      <c r="B78">
        <v>0.47826000000000002</v>
      </c>
      <c r="C78">
        <f t="shared" si="14"/>
        <v>1.8490335076800002</v>
      </c>
      <c r="D78">
        <v>1.6299999999999999E-2</v>
      </c>
      <c r="E78">
        <v>2.8849251857154604E-3</v>
      </c>
      <c r="F78">
        <f t="shared" si="15"/>
        <v>773.23360000000002</v>
      </c>
      <c r="G78">
        <f t="shared" si="16"/>
        <v>-0.47826000000000002</v>
      </c>
      <c r="H78">
        <f t="shared" si="17"/>
        <v>-369.80670153600005</v>
      </c>
      <c r="I78">
        <v>1</v>
      </c>
      <c r="J78">
        <f t="shared" si="18"/>
        <v>-0.25717407682389976</v>
      </c>
      <c r="K78">
        <f t="shared" si="19"/>
        <v>-0.70165057297601197</v>
      </c>
      <c r="L78">
        <v>1</v>
      </c>
      <c r="M78">
        <f t="shared" si="20"/>
        <v>0.50296425320464155</v>
      </c>
      <c r="N78">
        <f t="shared" si="24"/>
        <v>6.301853839999999E-2</v>
      </c>
      <c r="O78">
        <f t="shared" si="22"/>
        <v>1.1153605435407171E-2</v>
      </c>
      <c r="P78">
        <f t="shared" si="23"/>
        <v>0.12451417593596326</v>
      </c>
      <c r="V78">
        <v>1.3999999999999699</v>
      </c>
      <c r="W78">
        <f t="shared" si="21"/>
        <v>-0.58051999999999859</v>
      </c>
    </row>
    <row r="79" spans="1:23" x14ac:dyDescent="0.3">
      <c r="A79">
        <v>3.9165771</v>
      </c>
      <c r="B79">
        <v>0.47503000000000001</v>
      </c>
      <c r="C79">
        <f t="shared" si="14"/>
        <v>1.8604916198130002</v>
      </c>
      <c r="D79">
        <v>1.6299999999999999E-2</v>
      </c>
      <c r="E79">
        <v>2.8849251857154604E-3</v>
      </c>
      <c r="F79">
        <f t="shared" si="15"/>
        <v>783.31542000000002</v>
      </c>
      <c r="G79">
        <f t="shared" si="16"/>
        <v>-0.47503000000000001</v>
      </c>
      <c r="H79">
        <f t="shared" si="17"/>
        <v>-372.09832396260003</v>
      </c>
      <c r="I79">
        <v>1</v>
      </c>
      <c r="J79">
        <f t="shared" si="18"/>
        <v>-0.24421982885862714</v>
      </c>
      <c r="K79">
        <f t="shared" si="19"/>
        <v>-0.70488057297601192</v>
      </c>
      <c r="L79">
        <v>1</v>
      </c>
      <c r="M79">
        <f t="shared" si="20"/>
        <v>0.50357051200941627</v>
      </c>
      <c r="N79">
        <f t="shared" si="24"/>
        <v>6.3840206730000001E-2</v>
      </c>
      <c r="O79">
        <f t="shared" si="22"/>
        <v>1.1299031917586419E-2</v>
      </c>
      <c r="P79">
        <f t="shared" si="23"/>
        <v>0.12617082231900922</v>
      </c>
      <c r="V79">
        <v>1.49999999999997</v>
      </c>
      <c r="W79">
        <f t="shared" si="21"/>
        <v>-0.58519999999999861</v>
      </c>
    </row>
    <row r="80" spans="1:23" x14ac:dyDescent="0.3">
      <c r="A80">
        <v>3.9674955999999999</v>
      </c>
      <c r="B80">
        <v>0.47189999999999999</v>
      </c>
      <c r="C80">
        <f t="shared" si="14"/>
        <v>1.8722611736399999</v>
      </c>
      <c r="D80">
        <v>1.6299999999999999E-2</v>
      </c>
      <c r="E80">
        <v>2.8849251857154604E-3</v>
      </c>
      <c r="F80">
        <f t="shared" si="15"/>
        <v>793.49911999999995</v>
      </c>
      <c r="G80">
        <f t="shared" si="16"/>
        <v>-0.47189999999999999</v>
      </c>
      <c r="H80">
        <f t="shared" si="17"/>
        <v>-374.45223472799995</v>
      </c>
      <c r="I80">
        <v>1</v>
      </c>
      <c r="J80">
        <f t="shared" si="18"/>
        <v>-0.23130284802700027</v>
      </c>
      <c r="K80">
        <f t="shared" si="19"/>
        <v>-0.708010572976012</v>
      </c>
      <c r="L80">
        <v>1</v>
      </c>
      <c r="M80">
        <f t="shared" si="20"/>
        <v>0.50417502671233638</v>
      </c>
      <c r="N80">
        <f t="shared" si="24"/>
        <v>6.467017827999999E-2</v>
      </c>
      <c r="O80">
        <f t="shared" si="22"/>
        <v>1.1445927980655272E-2</v>
      </c>
      <c r="P80">
        <f t="shared" si="23"/>
        <v>0.12771944000302035</v>
      </c>
      <c r="V80">
        <v>1.5999999999999699</v>
      </c>
      <c r="W80">
        <f t="shared" si="21"/>
        <v>-0.58987999999999863</v>
      </c>
    </row>
    <row r="81" spans="1:23" x14ac:dyDescent="0.3">
      <c r="A81">
        <v>4.0179048000000002</v>
      </c>
      <c r="B81">
        <v>0.46860000000000002</v>
      </c>
      <c r="C81">
        <f t="shared" si="14"/>
        <v>1.8827901892800001</v>
      </c>
      <c r="D81">
        <v>1.6299999999999999E-2</v>
      </c>
      <c r="E81">
        <v>2.8849251857154604E-3</v>
      </c>
      <c r="F81">
        <f t="shared" si="15"/>
        <v>803.58096</v>
      </c>
      <c r="G81">
        <f t="shared" si="16"/>
        <v>-0.46860000000000002</v>
      </c>
      <c r="H81">
        <f t="shared" si="17"/>
        <v>-376.558037856</v>
      </c>
      <c r="I81">
        <v>1</v>
      </c>
      <c r="J81">
        <f t="shared" si="18"/>
        <v>-0.21867733970184119</v>
      </c>
      <c r="K81">
        <f t="shared" si="19"/>
        <v>-0.71131057297601197</v>
      </c>
      <c r="L81">
        <v>1</v>
      </c>
      <c r="M81">
        <f t="shared" si="20"/>
        <v>0.5047659005019538</v>
      </c>
      <c r="N81">
        <f t="shared" si="24"/>
        <v>6.5491848239999997E-2</v>
      </c>
      <c r="O81">
        <f t="shared" si="22"/>
        <v>1.159135475132704E-2</v>
      </c>
      <c r="P81">
        <f t="shared" si="23"/>
        <v>0.12946146948273113</v>
      </c>
      <c r="V81">
        <v>1.69999999999997</v>
      </c>
      <c r="W81">
        <f t="shared" si="21"/>
        <v>-0.59455999999999865</v>
      </c>
    </row>
    <row r="82" spans="1:23" x14ac:dyDescent="0.3">
      <c r="A82">
        <v>4.0688230000000001</v>
      </c>
      <c r="B82">
        <v>0.46479999999999999</v>
      </c>
      <c r="C82">
        <f t="shared" si="14"/>
        <v>1.8911889304</v>
      </c>
      <c r="D82">
        <v>1.6299999999999999E-2</v>
      </c>
      <c r="E82">
        <v>2.8849251857154604E-3</v>
      </c>
      <c r="F82">
        <f t="shared" si="15"/>
        <v>813.76459999999997</v>
      </c>
      <c r="G82">
        <f t="shared" si="16"/>
        <v>-0.46479999999999999</v>
      </c>
      <c r="H82">
        <f t="shared" si="17"/>
        <v>-378.23778607999998</v>
      </c>
      <c r="I82">
        <v>1</v>
      </c>
      <c r="J82">
        <f t="shared" si="18"/>
        <v>-0.206084143992043</v>
      </c>
      <c r="K82">
        <f t="shared" si="19"/>
        <v>-0.71511057297601199</v>
      </c>
      <c r="L82">
        <v>1</v>
      </c>
      <c r="M82">
        <f t="shared" si="20"/>
        <v>0.50535526206117243</v>
      </c>
      <c r="N82">
        <f t="shared" si="24"/>
        <v>6.6321814899999998E-2</v>
      </c>
      <c r="O82">
        <f t="shared" si="22"/>
        <v>1.1738249948918337E-2</v>
      </c>
      <c r="P82">
        <f t="shared" si="23"/>
        <v>0.13169524606592123</v>
      </c>
      <c r="V82">
        <v>1.7999999999999701</v>
      </c>
      <c r="W82">
        <f t="shared" si="21"/>
        <v>-0.59923999999999866</v>
      </c>
    </row>
    <row r="83" spans="1:23" x14ac:dyDescent="0.3">
      <c r="A83">
        <v>4.1192324000000005</v>
      </c>
      <c r="B83">
        <v>0.46159</v>
      </c>
      <c r="C83">
        <f t="shared" si="14"/>
        <v>1.9013964835160002</v>
      </c>
      <c r="D83">
        <v>1.6299999999999999E-2</v>
      </c>
      <c r="E83">
        <v>2.8849251857154604E-3</v>
      </c>
      <c r="F83">
        <f t="shared" si="15"/>
        <v>823.84648000000004</v>
      </c>
      <c r="G83">
        <f t="shared" si="16"/>
        <v>-0.46159</v>
      </c>
      <c r="H83">
        <f t="shared" si="17"/>
        <v>-380.27929670320003</v>
      </c>
      <c r="I83">
        <v>1</v>
      </c>
      <c r="J83">
        <f t="shared" si="18"/>
        <v>-0.19377107711026764</v>
      </c>
      <c r="K83">
        <f t="shared" si="19"/>
        <v>-0.71832057297601204</v>
      </c>
      <c r="L83">
        <v>1</v>
      </c>
      <c r="M83">
        <f t="shared" si="20"/>
        <v>0.50593151359123945</v>
      </c>
      <c r="N83">
        <f t="shared" si="24"/>
        <v>6.7143488119999997E-2</v>
      </c>
      <c r="O83">
        <f t="shared" si="22"/>
        <v>1.1883677296575143E-2</v>
      </c>
      <c r="P83">
        <f t="shared" si="23"/>
        <v>0.13336189396819748</v>
      </c>
      <c r="V83">
        <v>1.8999999999999699</v>
      </c>
      <c r="W83">
        <f t="shared" si="21"/>
        <v>-0.60391999999999857</v>
      </c>
    </row>
    <row r="84" spans="1:23" x14ac:dyDescent="0.3">
      <c r="A84">
        <v>4.1696416000000003</v>
      </c>
      <c r="B84">
        <v>0.45827000000000001</v>
      </c>
      <c r="C84">
        <f t="shared" si="14"/>
        <v>1.9108216560320002</v>
      </c>
      <c r="D84">
        <v>1.6299999999999999E-2</v>
      </c>
      <c r="E84">
        <v>2.8849251857154604E-3</v>
      </c>
      <c r="F84">
        <f t="shared" si="15"/>
        <v>833.9283200000001</v>
      </c>
      <c r="G84">
        <f t="shared" si="16"/>
        <v>-0.45827000000000001</v>
      </c>
      <c r="H84">
        <f t="shared" si="17"/>
        <v>-382.16433120640005</v>
      </c>
      <c r="I84">
        <v>1</v>
      </c>
      <c r="J84">
        <f t="shared" si="18"/>
        <v>-0.18160782755927232</v>
      </c>
      <c r="K84">
        <f t="shared" si="19"/>
        <v>-0.72164057297601203</v>
      </c>
      <c r="L84">
        <v>1</v>
      </c>
      <c r="M84">
        <f t="shared" si="20"/>
        <v>0.50650075367022607</v>
      </c>
      <c r="N84">
        <f t="shared" si="24"/>
        <v>6.7965158080000004E-2</v>
      </c>
      <c r="O84">
        <f t="shared" si="22"/>
        <v>1.202910406724691E-2</v>
      </c>
      <c r="P84">
        <f t="shared" si="23"/>
        <v>0.13514555715853904</v>
      </c>
      <c r="V84">
        <v>1.99999999999997</v>
      </c>
      <c r="W84">
        <f t="shared" si="21"/>
        <v>-0.60859999999999859</v>
      </c>
    </row>
    <row r="85" spans="1:23" x14ac:dyDescent="0.3">
      <c r="A85">
        <v>4.2215780999999994</v>
      </c>
      <c r="B85">
        <v>0.45506000000000002</v>
      </c>
      <c r="C85">
        <f t="shared" si="14"/>
        <v>1.9210713301859998</v>
      </c>
      <c r="D85">
        <v>1.6299999999999999E-2</v>
      </c>
      <c r="E85">
        <v>2.8849251857154604E-3</v>
      </c>
      <c r="F85">
        <f t="shared" si="15"/>
        <v>844.31561999999985</v>
      </c>
      <c r="G85">
        <f t="shared" si="16"/>
        <v>-0.45506000000000002</v>
      </c>
      <c r="H85">
        <f t="shared" si="17"/>
        <v>-384.21426603719999</v>
      </c>
      <c r="I85">
        <v>1</v>
      </c>
      <c r="J85">
        <f t="shared" si="18"/>
        <v>-0.16922889694482987</v>
      </c>
      <c r="K85">
        <f t="shared" si="19"/>
        <v>-0.72485057297601196</v>
      </c>
      <c r="L85">
        <v>1</v>
      </c>
      <c r="M85">
        <f t="shared" si="20"/>
        <v>0.50708008762298196</v>
      </c>
      <c r="N85">
        <f t="shared" si="24"/>
        <v>6.881172302999998E-2</v>
      </c>
      <c r="O85">
        <f t="shared" si="22"/>
        <v>1.2178936984154818E-2</v>
      </c>
      <c r="P85">
        <f t="shared" si="23"/>
        <v>0.1367798253388752</v>
      </c>
      <c r="V85">
        <v>2.0999999999999699</v>
      </c>
      <c r="W85">
        <f t="shared" si="21"/>
        <v>-0.6132799999999986</v>
      </c>
    </row>
    <row r="86" spans="1:23" x14ac:dyDescent="0.3">
      <c r="A86">
        <v>4.2750425000000005</v>
      </c>
      <c r="B86">
        <v>0.45149</v>
      </c>
      <c r="C86">
        <f t="shared" si="14"/>
        <v>1.9301389383250003</v>
      </c>
      <c r="D86">
        <v>1.6299999999999999E-2</v>
      </c>
      <c r="E86">
        <v>2.8849251857154604E-3</v>
      </c>
      <c r="F86">
        <f t="shared" si="15"/>
        <v>855.00850000000014</v>
      </c>
      <c r="G86">
        <f t="shared" si="16"/>
        <v>-0.45149</v>
      </c>
      <c r="H86">
        <f t="shared" si="17"/>
        <v>-386.02778766500006</v>
      </c>
      <c r="I86">
        <v>1</v>
      </c>
      <c r="J86">
        <f t="shared" si="18"/>
        <v>-0.15664386857432538</v>
      </c>
      <c r="K86">
        <f t="shared" si="19"/>
        <v>-0.72842057297601204</v>
      </c>
      <c r="L86">
        <v>1</v>
      </c>
      <c r="M86">
        <f t="shared" si="20"/>
        <v>0.50766906695072156</v>
      </c>
      <c r="N86">
        <f t="shared" si="24"/>
        <v>6.9683192749999998E-2</v>
      </c>
      <c r="O86">
        <f t="shared" si="22"/>
        <v>1.2333177778253988E-2</v>
      </c>
      <c r="P86">
        <f t="shared" si="23"/>
        <v>0.13873513549703648</v>
      </c>
      <c r="V86">
        <v>2.19999999999997</v>
      </c>
      <c r="W86">
        <f t="shared" si="21"/>
        <v>-0.61795999999999862</v>
      </c>
    </row>
    <row r="87" spans="1:23" x14ac:dyDescent="0.3">
      <c r="A87">
        <v>4.3254516999999995</v>
      </c>
      <c r="B87">
        <v>0.44786999999999999</v>
      </c>
      <c r="C87">
        <f t="shared" si="14"/>
        <v>1.9372400528789997</v>
      </c>
      <c r="D87">
        <v>1.6299999999999999E-2</v>
      </c>
      <c r="E87">
        <v>2.8849251857154604E-3</v>
      </c>
      <c r="F87">
        <f t="shared" si="15"/>
        <v>865.09033999999986</v>
      </c>
      <c r="G87">
        <f t="shared" si="16"/>
        <v>-0.44786999999999999</v>
      </c>
      <c r="H87">
        <f t="shared" si="17"/>
        <v>-387.44801057579991</v>
      </c>
      <c r="I87">
        <v>1</v>
      </c>
      <c r="J87">
        <f t="shared" si="18"/>
        <v>-0.14492133819730418</v>
      </c>
      <c r="K87">
        <f t="shared" si="19"/>
        <v>-0.73204057297601199</v>
      </c>
      <c r="L87">
        <v>1</v>
      </c>
      <c r="M87">
        <f t="shared" si="20"/>
        <v>0.50821768137236623</v>
      </c>
      <c r="N87">
        <f t="shared" si="24"/>
        <v>7.0504862709999991E-2</v>
      </c>
      <c r="O87">
        <f t="shared" si="22"/>
        <v>1.2478604548925753E-2</v>
      </c>
      <c r="P87">
        <f t="shared" si="23"/>
        <v>0.14083942434472002</v>
      </c>
      <c r="V87">
        <v>2.2999999999999701</v>
      </c>
      <c r="W87">
        <f t="shared" si="21"/>
        <v>-0.62263999999999864</v>
      </c>
    </row>
    <row r="88" spans="1:23" x14ac:dyDescent="0.3">
      <c r="A88">
        <v>4.3763700999999999</v>
      </c>
      <c r="B88">
        <v>0.44468000000000002</v>
      </c>
      <c r="C88">
        <f t="shared" si="14"/>
        <v>1.9460842560680001</v>
      </c>
      <c r="D88">
        <v>1.6299999999999999E-2</v>
      </c>
      <c r="E88">
        <v>2.8849251857154604E-3</v>
      </c>
      <c r="F88">
        <f t="shared" si="15"/>
        <v>875.27401999999995</v>
      </c>
      <c r="G88">
        <f t="shared" si="16"/>
        <v>-0.44468000000000002</v>
      </c>
      <c r="H88">
        <f t="shared" si="17"/>
        <v>-389.21685121360002</v>
      </c>
      <c r="I88">
        <v>1</v>
      </c>
      <c r="J88">
        <f t="shared" si="18"/>
        <v>-0.13321827593638397</v>
      </c>
      <c r="K88">
        <f t="shared" si="19"/>
        <v>-0.73523057297601202</v>
      </c>
      <c r="L88">
        <v>1</v>
      </c>
      <c r="M88">
        <f t="shared" si="20"/>
        <v>0.50876538468617727</v>
      </c>
      <c r="N88">
        <f t="shared" si="24"/>
        <v>7.1334832629999997E-2</v>
      </c>
      <c r="O88">
        <f t="shared" si="22"/>
        <v>1.2625500323502088E-2</v>
      </c>
      <c r="P88">
        <f t="shared" si="23"/>
        <v>0.14250485533633264</v>
      </c>
      <c r="V88">
        <v>2.3999999999999702</v>
      </c>
      <c r="W88">
        <f t="shared" si="21"/>
        <v>-0.62731999999999866</v>
      </c>
    </row>
    <row r="89" spans="1:23" x14ac:dyDescent="0.3">
      <c r="A89">
        <v>4.4267792999999998</v>
      </c>
      <c r="B89">
        <v>0.44101000000000001</v>
      </c>
      <c r="C89">
        <f t="shared" si="14"/>
        <v>1.952253939093</v>
      </c>
      <c r="D89">
        <v>1.6299999999999999E-2</v>
      </c>
      <c r="E89">
        <v>2.8849251857154604E-3</v>
      </c>
      <c r="F89">
        <f t="shared" si="15"/>
        <v>885.35585999999989</v>
      </c>
      <c r="G89">
        <f t="shared" si="16"/>
        <v>-0.44101000000000001</v>
      </c>
      <c r="H89">
        <f t="shared" si="17"/>
        <v>-390.45078781860002</v>
      </c>
      <c r="I89">
        <v>1</v>
      </c>
      <c r="J89">
        <f t="shared" si="18"/>
        <v>-0.12176561310051409</v>
      </c>
      <c r="K89">
        <f t="shared" si="19"/>
        <v>-0.73890057297601197</v>
      </c>
      <c r="L89">
        <v>1</v>
      </c>
      <c r="M89">
        <f t="shared" si="20"/>
        <v>0.50930136930689596</v>
      </c>
      <c r="N89">
        <f t="shared" si="24"/>
        <v>7.2156502589999991E-2</v>
      </c>
      <c r="O89">
        <f t="shared" si="22"/>
        <v>1.2770927094173854E-2</v>
      </c>
      <c r="P89">
        <f t="shared" si="23"/>
        <v>0.14467177398494216</v>
      </c>
      <c r="V89">
        <v>2.4999999999999698</v>
      </c>
      <c r="W89">
        <f t="shared" si="21"/>
        <v>-0.63199999999999856</v>
      </c>
    </row>
    <row r="90" spans="1:23" x14ac:dyDescent="0.3">
      <c r="A90">
        <v>4.4771884999999996</v>
      </c>
      <c r="B90">
        <v>0.43767</v>
      </c>
      <c r="C90">
        <f t="shared" si="14"/>
        <v>1.9595310907949999</v>
      </c>
      <c r="D90">
        <v>1.6299999999999999E-2</v>
      </c>
      <c r="E90">
        <v>2.8849251857154604E-3</v>
      </c>
      <c r="F90">
        <f t="shared" si="15"/>
        <v>895.43769999999995</v>
      </c>
      <c r="G90">
        <f t="shared" si="16"/>
        <v>-0.43767</v>
      </c>
      <c r="H90">
        <f t="shared" si="17"/>
        <v>-391.90621815899999</v>
      </c>
      <c r="I90">
        <v>1</v>
      </c>
      <c r="J90">
        <f t="shared" si="18"/>
        <v>-0.11044262997406547</v>
      </c>
      <c r="K90">
        <f t="shared" si="19"/>
        <v>-0.74224057297601198</v>
      </c>
      <c r="L90">
        <v>1</v>
      </c>
      <c r="M90">
        <f t="shared" si="20"/>
        <v>0.50983128491721375</v>
      </c>
      <c r="N90">
        <f t="shared" si="24"/>
        <v>7.2978172549999984E-2</v>
      </c>
      <c r="O90">
        <f t="shared" si="22"/>
        <v>1.2916353864845622E-2</v>
      </c>
      <c r="P90">
        <f t="shared" si="23"/>
        <v>0.14651476164395261</v>
      </c>
      <c r="V90">
        <v>2.5999999999999699</v>
      </c>
      <c r="W90">
        <f t="shared" si="21"/>
        <v>-0.63667999999999858</v>
      </c>
    </row>
    <row r="91" spans="1:23" x14ac:dyDescent="0.3">
      <c r="A91">
        <v>4.5321802</v>
      </c>
      <c r="B91">
        <v>0.43435000000000001</v>
      </c>
      <c r="C91">
        <f t="shared" si="14"/>
        <v>1.9685524698700001</v>
      </c>
      <c r="D91">
        <v>1.6299999999999999E-2</v>
      </c>
      <c r="E91">
        <v>2.8849251857154604E-3</v>
      </c>
      <c r="F91">
        <f t="shared" si="15"/>
        <v>906.43604000000005</v>
      </c>
      <c r="G91">
        <f t="shared" si="16"/>
        <v>-0.43435000000000001</v>
      </c>
      <c r="H91">
        <f t="shared" si="17"/>
        <v>-393.71049397400003</v>
      </c>
      <c r="I91">
        <v>1</v>
      </c>
      <c r="J91">
        <f t="shared" si="18"/>
        <v>-9.8234808364199663E-2</v>
      </c>
      <c r="K91">
        <f t="shared" si="19"/>
        <v>-0.74556057297601197</v>
      </c>
      <c r="L91">
        <v>1</v>
      </c>
      <c r="M91">
        <f t="shared" si="20"/>
        <v>0.51040261096855544</v>
      </c>
      <c r="N91">
        <f t="shared" si="24"/>
        <v>7.3874537259999998E-2</v>
      </c>
      <c r="O91">
        <f t="shared" si="22"/>
        <v>1.3075000805180932E-2</v>
      </c>
      <c r="P91">
        <f t="shared" si="23"/>
        <v>0.14820842394227562</v>
      </c>
      <c r="V91">
        <v>2.69999999999997</v>
      </c>
      <c r="W91">
        <f t="shared" si="21"/>
        <v>-0.6413599999999986</v>
      </c>
    </row>
    <row r="92" spans="1:23" x14ac:dyDescent="0.3">
      <c r="A92">
        <v>4.5836074</v>
      </c>
      <c r="B92">
        <v>0.43081999999999998</v>
      </c>
      <c r="C92">
        <f t="shared" si="14"/>
        <v>1.9747097400679998</v>
      </c>
      <c r="D92">
        <v>1.6299999999999999E-2</v>
      </c>
      <c r="E92">
        <v>2.8849251857154604E-3</v>
      </c>
      <c r="F92">
        <f t="shared" si="15"/>
        <v>916.72148000000004</v>
      </c>
      <c r="G92">
        <f t="shared" si="16"/>
        <v>-0.43081999999999998</v>
      </c>
      <c r="H92">
        <f t="shared" si="17"/>
        <v>-394.94194801359998</v>
      </c>
      <c r="I92">
        <v>1</v>
      </c>
      <c r="J92">
        <f t="shared" si="18"/>
        <v>-8.6951582413724596E-2</v>
      </c>
      <c r="K92">
        <f t="shared" si="19"/>
        <v>-0.749090572976012</v>
      </c>
      <c r="L92">
        <v>1</v>
      </c>
      <c r="M92">
        <f t="shared" si="20"/>
        <v>0.51093066594303771</v>
      </c>
      <c r="N92">
        <f t="shared" si="24"/>
        <v>7.4712800619999992E-2</v>
      </c>
      <c r="O92">
        <f t="shared" si="22"/>
        <v>1.3223364429691759E-2</v>
      </c>
      <c r="P92">
        <f t="shared" si="23"/>
        <v>0.15022374198328253</v>
      </c>
      <c r="V92">
        <v>2.7999999999999701</v>
      </c>
      <c r="W92">
        <f t="shared" si="21"/>
        <v>-0.64603999999999862</v>
      </c>
    </row>
    <row r="93" spans="1:23" x14ac:dyDescent="0.3">
      <c r="A93">
        <v>4.6370718000000002</v>
      </c>
      <c r="B93">
        <v>0.42704999999999999</v>
      </c>
      <c r="C93">
        <f t="shared" si="14"/>
        <v>1.98026151219</v>
      </c>
      <c r="D93">
        <v>1.6299999999999999E-2</v>
      </c>
      <c r="E93">
        <v>2.8849251857154604E-3</v>
      </c>
      <c r="F93">
        <f t="shared" si="15"/>
        <v>927.41435999999999</v>
      </c>
      <c r="G93">
        <f t="shared" si="16"/>
        <v>-0.42704999999999999</v>
      </c>
      <c r="H93">
        <f t="shared" si="17"/>
        <v>-396.05230243800003</v>
      </c>
      <c r="I93">
        <v>1</v>
      </c>
      <c r="J93">
        <f t="shared" si="18"/>
        <v>-7.5354822995420387E-2</v>
      </c>
      <c r="K93">
        <f t="shared" si="19"/>
        <v>-0.75286057297601205</v>
      </c>
      <c r="L93">
        <v>1</v>
      </c>
      <c r="M93">
        <f t="shared" si="20"/>
        <v>0.51147339428381433</v>
      </c>
      <c r="N93">
        <f t="shared" si="24"/>
        <v>7.5584270339999995E-2</v>
      </c>
      <c r="O93">
        <f t="shared" si="22"/>
        <v>1.3377605223790924E-2</v>
      </c>
      <c r="P93">
        <f t="shared" si="23"/>
        <v>0.15242530312840682</v>
      </c>
      <c r="V93">
        <v>2.8999999999999702</v>
      </c>
      <c r="W93">
        <f t="shared" si="21"/>
        <v>-0.65071999999999863</v>
      </c>
    </row>
    <row r="94" spans="1:23" x14ac:dyDescent="0.3">
      <c r="A94">
        <v>4.6900268999999994</v>
      </c>
      <c r="B94">
        <v>0.42354000000000003</v>
      </c>
      <c r="C94">
        <f t="shared" si="14"/>
        <v>1.9864139932259999</v>
      </c>
      <c r="D94">
        <v>1.6299999999999999E-2</v>
      </c>
      <c r="E94">
        <v>2.8849251857154604E-3</v>
      </c>
      <c r="F94">
        <f t="shared" si="15"/>
        <v>938.00537999999983</v>
      </c>
      <c r="G94">
        <f t="shared" si="16"/>
        <v>-0.42354000000000003</v>
      </c>
      <c r="H94">
        <f t="shared" si="17"/>
        <v>-397.28279864519999</v>
      </c>
      <c r="I94">
        <v>1</v>
      </c>
      <c r="J94">
        <f t="shared" si="18"/>
        <v>-6.3999594384685249E-2</v>
      </c>
      <c r="K94">
        <f t="shared" si="19"/>
        <v>-0.75637057297601196</v>
      </c>
      <c r="L94">
        <v>1</v>
      </c>
      <c r="M94">
        <f t="shared" si="20"/>
        <v>0.51200481898279671</v>
      </c>
      <c r="N94">
        <f t="shared" si="24"/>
        <v>7.644743846999999E-2</v>
      </c>
      <c r="O94">
        <f t="shared" si="22"/>
        <v>1.3530376725493003E-2</v>
      </c>
      <c r="P94">
        <f t="shared" si="23"/>
        <v>0.15438793879772225</v>
      </c>
      <c r="V94">
        <v>2.9999999999999698</v>
      </c>
      <c r="W94">
        <f t="shared" si="21"/>
        <v>-0.65539999999999865</v>
      </c>
    </row>
    <row r="95" spans="1:23" x14ac:dyDescent="0.3">
      <c r="A95">
        <v>4.7434912000000002</v>
      </c>
      <c r="B95">
        <v>0.41991000000000001</v>
      </c>
      <c r="C95">
        <f t="shared" si="14"/>
        <v>1.9918393897920001</v>
      </c>
      <c r="D95">
        <v>1.6299999999999999E-2</v>
      </c>
      <c r="E95">
        <v>2.8849251857154604E-3</v>
      </c>
      <c r="F95">
        <f t="shared" si="15"/>
        <v>948.69824000000006</v>
      </c>
      <c r="G95">
        <f t="shared" si="16"/>
        <v>-0.41991000000000001</v>
      </c>
      <c r="H95">
        <f t="shared" si="17"/>
        <v>-398.36787795840002</v>
      </c>
      <c r="I95">
        <v>1</v>
      </c>
      <c r="J95">
        <f t="shared" si="18"/>
        <v>-5.266450775525966E-2</v>
      </c>
      <c r="K95">
        <f t="shared" si="19"/>
        <v>-0.76000057297601198</v>
      </c>
      <c r="L95">
        <v>1</v>
      </c>
      <c r="M95">
        <f t="shared" si="20"/>
        <v>0.51253530103705391</v>
      </c>
      <c r="N95">
        <f t="shared" si="24"/>
        <v>7.7318906559999998E-2</v>
      </c>
      <c r="O95">
        <f t="shared" si="22"/>
        <v>1.3684617231099653E-2</v>
      </c>
      <c r="P95">
        <f t="shared" si="23"/>
        <v>0.1564617481478584</v>
      </c>
      <c r="V95">
        <v>3.0999999999999699</v>
      </c>
      <c r="W95">
        <f t="shared" si="21"/>
        <v>-0.66007999999999867</v>
      </c>
    </row>
    <row r="96" spans="1:23" x14ac:dyDescent="0.3">
      <c r="A96">
        <v>4.7974644</v>
      </c>
      <c r="B96">
        <v>0.41604000000000002</v>
      </c>
      <c r="C96">
        <f t="shared" si="14"/>
        <v>1.9959370889760002</v>
      </c>
      <c r="D96">
        <v>1.6299999999999999E-2</v>
      </c>
      <c r="E96">
        <v>2.8849251857154604E-3</v>
      </c>
      <c r="F96">
        <f t="shared" si="15"/>
        <v>959.49288000000001</v>
      </c>
      <c r="G96">
        <f t="shared" si="16"/>
        <v>-0.41604000000000002</v>
      </c>
      <c r="H96">
        <f t="shared" si="17"/>
        <v>-399.18741779520002</v>
      </c>
      <c r="I96">
        <v>1</v>
      </c>
      <c r="J96">
        <f t="shared" si="18"/>
        <v>-4.1350384093441578E-2</v>
      </c>
      <c r="K96">
        <f t="shared" si="19"/>
        <v>-0.76387057297601202</v>
      </c>
      <c r="L96">
        <v>1</v>
      </c>
      <c r="M96">
        <f t="shared" si="20"/>
        <v>0.51306480202442695</v>
      </c>
      <c r="N96">
        <f t="shared" si="24"/>
        <v>7.8198669719999989E-2</v>
      </c>
      <c r="O96">
        <f t="shared" si="22"/>
        <v>1.384032587513331E-2</v>
      </c>
      <c r="P96">
        <f t="shared" si="23"/>
        <v>0.15876677535645176</v>
      </c>
      <c r="V96">
        <v>3.19999999999997</v>
      </c>
      <c r="W96">
        <f t="shared" si="21"/>
        <v>-0.66475999999999857</v>
      </c>
    </row>
    <row r="97" spans="1:23" x14ac:dyDescent="0.3">
      <c r="A97">
        <v>4.8478735000000004</v>
      </c>
      <c r="B97">
        <v>0.41237000000000001</v>
      </c>
      <c r="C97">
        <f t="shared" si="14"/>
        <v>1.9991175951950002</v>
      </c>
      <c r="D97">
        <v>1.6299999999999999E-2</v>
      </c>
      <c r="E97">
        <v>2.8849251857154604E-3</v>
      </c>
      <c r="F97">
        <f t="shared" si="15"/>
        <v>969.57470000000012</v>
      </c>
      <c r="G97">
        <f t="shared" si="16"/>
        <v>-0.41237000000000001</v>
      </c>
      <c r="H97">
        <f t="shared" si="17"/>
        <v>-399.82351903900002</v>
      </c>
      <c r="I97">
        <v>1</v>
      </c>
      <c r="J97">
        <f t="shared" si="18"/>
        <v>-3.0897757241844712E-2</v>
      </c>
      <c r="K97">
        <f t="shared" si="19"/>
        <v>-0.76754057297601197</v>
      </c>
      <c r="L97">
        <v>1</v>
      </c>
      <c r="M97">
        <f t="shared" si="20"/>
        <v>0.51355398496108173</v>
      </c>
      <c r="N97">
        <f t="shared" si="24"/>
        <v>7.902033805E-2</v>
      </c>
      <c r="O97">
        <f t="shared" si="22"/>
        <v>1.398575235731256E-2</v>
      </c>
      <c r="P97">
        <f t="shared" si="23"/>
        <v>0.16098049760761768</v>
      </c>
      <c r="V97">
        <v>3.2999999999999701</v>
      </c>
      <c r="W97">
        <f t="shared" si="21"/>
        <v>-0.66943999999999859</v>
      </c>
    </row>
    <row r="98" spans="1:23" x14ac:dyDescent="0.3">
      <c r="A98">
        <v>4.8987920000000003</v>
      </c>
      <c r="B98">
        <v>0.40893000000000002</v>
      </c>
      <c r="C98">
        <f t="shared" si="14"/>
        <v>2.0032630125600002</v>
      </c>
      <c r="D98">
        <v>1.6299999999999999E-2</v>
      </c>
      <c r="E98">
        <v>2.8849251857154604E-3</v>
      </c>
      <c r="F98">
        <f t="shared" si="15"/>
        <v>979.75840000000005</v>
      </c>
      <c r="G98">
        <f t="shared" si="16"/>
        <v>-0.40893000000000002</v>
      </c>
      <c r="H98">
        <f t="shared" si="17"/>
        <v>-400.65260251200004</v>
      </c>
      <c r="I98">
        <v>1</v>
      </c>
      <c r="J98">
        <f t="shared" si="18"/>
        <v>-2.0449268323431118E-2</v>
      </c>
      <c r="K98">
        <f t="shared" si="19"/>
        <v>-0.77098057297601197</v>
      </c>
      <c r="L98">
        <v>1</v>
      </c>
      <c r="M98">
        <f t="shared" si="20"/>
        <v>0.51404297424246348</v>
      </c>
      <c r="N98">
        <f t="shared" si="24"/>
        <v>7.9850309600000002E-2</v>
      </c>
      <c r="O98">
        <f t="shared" si="22"/>
        <v>1.4132648420381413E-2</v>
      </c>
      <c r="P98">
        <f t="shared" si="23"/>
        <v>0.16295464071316706</v>
      </c>
      <c r="V98">
        <v>3.3999999999999702</v>
      </c>
      <c r="W98">
        <f t="shared" si="21"/>
        <v>-0.67411999999999861</v>
      </c>
    </row>
    <row r="99" spans="1:23" x14ac:dyDescent="0.3">
      <c r="A99">
        <v>4.9512378000000004</v>
      </c>
      <c r="B99">
        <v>0.40550000000000003</v>
      </c>
      <c r="C99">
        <f t="shared" si="14"/>
        <v>2.0077269279000003</v>
      </c>
      <c r="D99">
        <v>1.6299999999999999E-2</v>
      </c>
      <c r="E99">
        <v>2.8849251857154604E-3</v>
      </c>
      <c r="F99">
        <f t="shared" si="15"/>
        <v>990.24756000000002</v>
      </c>
      <c r="G99">
        <f t="shared" si="16"/>
        <v>-0.40550000000000003</v>
      </c>
      <c r="H99">
        <f t="shared" si="17"/>
        <v>-401.54538558000007</v>
      </c>
      <c r="I99">
        <v>1</v>
      </c>
      <c r="J99">
        <f t="shared" si="18"/>
        <v>-9.8003065073830158E-3</v>
      </c>
      <c r="K99">
        <f t="shared" si="19"/>
        <v>-0.77441057297601201</v>
      </c>
      <c r="L99">
        <v>1</v>
      </c>
      <c r="M99">
        <f t="shared" si="20"/>
        <v>0.51454134565545451</v>
      </c>
      <c r="N99">
        <f t="shared" si="24"/>
        <v>8.0705176140000001E-2</v>
      </c>
      <c r="O99">
        <f t="shared" si="22"/>
        <v>1.4283950629686409E-2</v>
      </c>
      <c r="P99">
        <f t="shared" si="23"/>
        <v>0.1648801005508711</v>
      </c>
      <c r="V99">
        <v>3.4999999999999698</v>
      </c>
      <c r="W99">
        <f t="shared" si="21"/>
        <v>-0.67879999999999863</v>
      </c>
    </row>
    <row r="100" spans="1:23" x14ac:dyDescent="0.3">
      <c r="A100">
        <v>5.0016470000000002</v>
      </c>
      <c r="B100">
        <v>0.40164</v>
      </c>
      <c r="C100">
        <f t="shared" si="14"/>
        <v>2.0088615010800002</v>
      </c>
      <c r="D100">
        <v>1.6299999999999999E-2</v>
      </c>
      <c r="E100">
        <v>2.8849251857154604E-3</v>
      </c>
      <c r="F100">
        <f t="shared" si="15"/>
        <v>1000.3294000000001</v>
      </c>
      <c r="G100">
        <f t="shared" si="16"/>
        <v>-0.40164</v>
      </c>
      <c r="H100">
        <f t="shared" si="17"/>
        <v>-401.77230021600002</v>
      </c>
      <c r="I100">
        <v>1</v>
      </c>
      <c r="J100">
        <f t="shared" si="18"/>
        <v>3.2934575973087141E-4</v>
      </c>
      <c r="K100">
        <f t="shared" si="19"/>
        <v>-0.77827057297601199</v>
      </c>
      <c r="L100">
        <v>1</v>
      </c>
      <c r="M100">
        <f t="shared" si="20"/>
        <v>0.51501541338155543</v>
      </c>
      <c r="N100">
        <f t="shared" si="24"/>
        <v>8.1526846099999994E-2</v>
      </c>
      <c r="O100">
        <f t="shared" si="22"/>
        <v>1.4429377400358176E-2</v>
      </c>
      <c r="P100">
        <f t="shared" si="23"/>
        <v>0.16729893609409838</v>
      </c>
      <c r="V100">
        <v>3.5999999999999699</v>
      </c>
      <c r="W100">
        <f t="shared" si="21"/>
        <v>-0.68347999999999864</v>
      </c>
    </row>
    <row r="101" spans="1:23" x14ac:dyDescent="0.3">
      <c r="A101">
        <v>5.0535834999999993</v>
      </c>
      <c r="B101">
        <v>0.39798</v>
      </c>
      <c r="C101">
        <f t="shared" si="14"/>
        <v>2.0112251613299996</v>
      </c>
      <c r="D101">
        <v>1.6299999999999999E-2</v>
      </c>
      <c r="E101">
        <v>2.8849251857154604E-3</v>
      </c>
      <c r="F101">
        <f t="shared" si="15"/>
        <v>1010.7166999999998</v>
      </c>
      <c r="G101">
        <f t="shared" si="16"/>
        <v>-0.39798</v>
      </c>
      <c r="H101">
        <f t="shared" si="17"/>
        <v>-402.24503226599995</v>
      </c>
      <c r="I101">
        <v>1</v>
      </c>
      <c r="J101">
        <f t="shared" si="18"/>
        <v>1.0659683163714514E-2</v>
      </c>
      <c r="K101">
        <f t="shared" si="19"/>
        <v>-0.78193057297601198</v>
      </c>
      <c r="L101">
        <v>1</v>
      </c>
      <c r="M101">
        <f t="shared" si="20"/>
        <v>0.51549887317206189</v>
      </c>
      <c r="N101">
        <f t="shared" si="24"/>
        <v>8.2373411049999984E-2</v>
      </c>
      <c r="O101">
        <f t="shared" si="22"/>
        <v>1.4579210317266084E-2</v>
      </c>
      <c r="P101">
        <f t="shared" si="23"/>
        <v>0.16947907843668403</v>
      </c>
      <c r="V101">
        <v>3.69999999999997</v>
      </c>
      <c r="W101">
        <f t="shared" si="21"/>
        <v>-0.68815999999999855</v>
      </c>
    </row>
    <row r="102" spans="1:23" x14ac:dyDescent="0.3">
      <c r="A102">
        <v>5.1065386000000004</v>
      </c>
      <c r="B102">
        <v>0.39433000000000001</v>
      </c>
      <c r="C102">
        <f t="shared" si="14"/>
        <v>2.0136613661380003</v>
      </c>
      <c r="D102">
        <v>1.6299999999999999E-2</v>
      </c>
      <c r="E102">
        <v>2.8849251857154604E-3</v>
      </c>
      <c r="F102">
        <f t="shared" si="15"/>
        <v>1021.30772</v>
      </c>
      <c r="G102">
        <f t="shared" si="16"/>
        <v>-0.39433000000000001</v>
      </c>
      <c r="H102">
        <f t="shared" si="17"/>
        <v>-402.73227322760005</v>
      </c>
      <c r="I102">
        <v>1</v>
      </c>
      <c r="J102">
        <f t="shared" si="18"/>
        <v>2.1083884566786931E-2</v>
      </c>
      <c r="K102">
        <f t="shared" si="19"/>
        <v>-0.78558057297601191</v>
      </c>
      <c r="L102">
        <v>1</v>
      </c>
      <c r="M102">
        <f t="shared" si="20"/>
        <v>0.51598672579772564</v>
      </c>
      <c r="N102">
        <f t="shared" si="24"/>
        <v>8.3236579179999992E-2</v>
      </c>
      <c r="O102">
        <f t="shared" si="22"/>
        <v>1.4731981818968167E-2</v>
      </c>
      <c r="P102">
        <f t="shared" si="23"/>
        <v>0.1716252861793181</v>
      </c>
      <c r="V102">
        <v>3.7999999999999701</v>
      </c>
      <c r="W102">
        <f t="shared" si="21"/>
        <v>-0.69283999999999857</v>
      </c>
    </row>
    <row r="103" spans="1:23" x14ac:dyDescent="0.3">
      <c r="A103">
        <v>5.1600028999999994</v>
      </c>
      <c r="B103">
        <v>0.39062000000000002</v>
      </c>
      <c r="C103">
        <f t="shared" si="14"/>
        <v>2.0156003327979999</v>
      </c>
      <c r="D103">
        <v>1.6299999999999999E-2</v>
      </c>
      <c r="E103">
        <v>2.8849251857154604E-3</v>
      </c>
      <c r="F103">
        <f t="shared" si="15"/>
        <v>1032.0005799999999</v>
      </c>
      <c r="G103">
        <f t="shared" si="16"/>
        <v>-0.39062000000000002</v>
      </c>
      <c r="H103">
        <f t="shared" si="17"/>
        <v>-403.12006655959999</v>
      </c>
      <c r="I103">
        <v>1</v>
      </c>
      <c r="J103">
        <f t="shared" si="18"/>
        <v>3.1499229074716778E-2</v>
      </c>
      <c r="K103">
        <f t="shared" si="19"/>
        <v>-0.78929057297601202</v>
      </c>
      <c r="L103">
        <v>1</v>
      </c>
      <c r="M103">
        <f t="shared" si="20"/>
        <v>0.51647416392069678</v>
      </c>
      <c r="N103">
        <f t="shared" si="24"/>
        <v>8.4108047269999986E-2</v>
      </c>
      <c r="O103">
        <f t="shared" si="22"/>
        <v>1.4886222324574813E-2</v>
      </c>
      <c r="P103">
        <f t="shared" si="23"/>
        <v>0.17382213946074043</v>
      </c>
      <c r="V103">
        <v>3.8999999999999599</v>
      </c>
      <c r="W103">
        <f t="shared" si="21"/>
        <v>-0.69751999999999814</v>
      </c>
    </row>
    <row r="104" spans="1:23" x14ac:dyDescent="0.3">
      <c r="A104">
        <v>5.2149945999999998</v>
      </c>
      <c r="B104">
        <v>0.38664999999999999</v>
      </c>
      <c r="C104">
        <f t="shared" si="14"/>
        <v>2.01637766209</v>
      </c>
      <c r="D104">
        <v>1.6299999999999999E-2</v>
      </c>
      <c r="E104">
        <v>2.8849251857154604E-3</v>
      </c>
      <c r="F104">
        <f t="shared" si="15"/>
        <v>1042.99892</v>
      </c>
      <c r="G104">
        <f t="shared" si="16"/>
        <v>-0.38664999999999999</v>
      </c>
      <c r="H104">
        <f t="shared" si="17"/>
        <v>-403.27553241800001</v>
      </c>
      <c r="I104">
        <v>1</v>
      </c>
      <c r="J104">
        <f t="shared" si="18"/>
        <v>4.2100140543506817E-2</v>
      </c>
      <c r="K104">
        <f t="shared" si="19"/>
        <v>-0.79326057297601205</v>
      </c>
      <c r="L104">
        <v>1</v>
      </c>
      <c r="M104">
        <f t="shared" si="20"/>
        <v>0.51697028657743616</v>
      </c>
      <c r="N104">
        <f t="shared" si="24"/>
        <v>8.5004411979999986E-2</v>
      </c>
      <c r="O104">
        <f t="shared" si="22"/>
        <v>1.5044869264910122E-2</v>
      </c>
      <c r="P104">
        <f t="shared" si="23"/>
        <v>0.17624100515366581</v>
      </c>
      <c r="V104">
        <v>3.99999999999996</v>
      </c>
      <c r="W104">
        <f t="shared" si="21"/>
        <v>-0.70219999999999816</v>
      </c>
    </row>
    <row r="105" spans="1:23" x14ac:dyDescent="0.3">
      <c r="A105">
        <v>5.268459</v>
      </c>
      <c r="B105">
        <v>0.38307999999999998</v>
      </c>
      <c r="C105">
        <f t="shared" si="14"/>
        <v>2.0182412737199997</v>
      </c>
      <c r="D105">
        <v>1.6299999999999999E-2</v>
      </c>
      <c r="E105">
        <v>2.8849251857154604E-3</v>
      </c>
      <c r="F105">
        <f t="shared" si="15"/>
        <v>1053.6918000000001</v>
      </c>
      <c r="G105">
        <f t="shared" si="16"/>
        <v>-0.38307999999999998</v>
      </c>
      <c r="H105">
        <f t="shared" si="17"/>
        <v>-403.64825474399993</v>
      </c>
      <c r="I105">
        <v>1</v>
      </c>
      <c r="J105">
        <f t="shared" si="18"/>
        <v>5.2299997491896802E-2</v>
      </c>
      <c r="K105">
        <f t="shared" si="19"/>
        <v>-0.79683057297601201</v>
      </c>
      <c r="L105">
        <v>1</v>
      </c>
      <c r="M105">
        <f t="shared" si="20"/>
        <v>0.51744763988262077</v>
      </c>
      <c r="N105">
        <f t="shared" si="24"/>
        <v>8.587588169999999E-2</v>
      </c>
      <c r="O105">
        <f t="shared" si="22"/>
        <v>1.5199110059009289E-2</v>
      </c>
      <c r="P105">
        <f t="shared" si="23"/>
        <v>0.17830794133438196</v>
      </c>
      <c r="V105">
        <v>4.0999999999999996</v>
      </c>
      <c r="W105">
        <f t="shared" si="21"/>
        <v>-0.70687999999999995</v>
      </c>
    </row>
    <row r="106" spans="1:23" x14ac:dyDescent="0.3">
      <c r="A106">
        <v>5.3203959999999997</v>
      </c>
      <c r="B106">
        <v>0.379</v>
      </c>
      <c r="C106">
        <f t="shared" si="14"/>
        <v>2.016430084</v>
      </c>
      <c r="D106">
        <v>1.6299999999999999E-2</v>
      </c>
      <c r="E106">
        <v>2.8849251857154604E-3</v>
      </c>
      <c r="F106">
        <f t="shared" si="15"/>
        <v>1064.0791999999999</v>
      </c>
      <c r="G106">
        <f t="shared" si="16"/>
        <v>-0.379</v>
      </c>
      <c r="H106">
        <f t="shared" si="17"/>
        <v>-403.28601680000003</v>
      </c>
      <c r="I106">
        <v>1</v>
      </c>
      <c r="J106">
        <f t="shared" si="18"/>
        <v>6.2109824239449808E-2</v>
      </c>
      <c r="K106">
        <f t="shared" si="19"/>
        <v>-0.80091057297601198</v>
      </c>
      <c r="L106">
        <v>1</v>
      </c>
      <c r="M106">
        <f t="shared" si="20"/>
        <v>0.51790673977440627</v>
      </c>
      <c r="N106">
        <f t="shared" si="24"/>
        <v>8.6722454799999987E-2</v>
      </c>
      <c r="O106">
        <f t="shared" si="22"/>
        <v>1.5348944418379791E-2</v>
      </c>
      <c r="P106">
        <f t="shared" si="23"/>
        <v>0.18093243398322595</v>
      </c>
      <c r="V106">
        <v>4.2</v>
      </c>
      <c r="W106">
        <f t="shared" si="21"/>
        <v>-0.71155999999999997</v>
      </c>
    </row>
    <row r="107" spans="1:23" x14ac:dyDescent="0.3">
      <c r="A107">
        <v>5.3708046999999999</v>
      </c>
      <c r="B107">
        <v>0.37553999999999998</v>
      </c>
      <c r="C107">
        <f t="shared" si="14"/>
        <v>2.0169519970379999</v>
      </c>
      <c r="D107">
        <v>1.6299999999999999E-2</v>
      </c>
      <c r="E107">
        <v>2.8849251857154604E-3</v>
      </c>
      <c r="F107">
        <f t="shared" si="15"/>
        <v>1074.16094</v>
      </c>
      <c r="G107">
        <f t="shared" si="16"/>
        <v>-0.37553999999999998</v>
      </c>
      <c r="H107">
        <f t="shared" si="17"/>
        <v>-403.3903994076</v>
      </c>
      <c r="I107">
        <v>1</v>
      </c>
      <c r="J107">
        <f t="shared" si="18"/>
        <v>7.1539835884338362E-2</v>
      </c>
      <c r="K107">
        <f t="shared" si="19"/>
        <v>-0.804370572976012</v>
      </c>
      <c r="L107">
        <v>1</v>
      </c>
      <c r="M107">
        <f t="shared" si="20"/>
        <v>0.51834806431938707</v>
      </c>
      <c r="N107">
        <f t="shared" si="24"/>
        <v>8.7544116609999986E-2</v>
      </c>
      <c r="O107">
        <f t="shared" si="22"/>
        <v>1.5494369746588967E-2</v>
      </c>
      <c r="P107">
        <f t="shared" si="23"/>
        <v>0.18298402230003596</v>
      </c>
      <c r="V107">
        <v>4.3</v>
      </c>
      <c r="W107">
        <f t="shared" si="21"/>
        <v>-0.71623999999999999</v>
      </c>
    </row>
    <row r="108" spans="1:23" x14ac:dyDescent="0.3">
      <c r="A108">
        <v>5.4212144000000002</v>
      </c>
      <c r="B108">
        <v>0.37169999999999997</v>
      </c>
      <c r="C108">
        <f t="shared" si="14"/>
        <v>2.0150653924799999</v>
      </c>
      <c r="D108">
        <v>1.6299999999999999E-2</v>
      </c>
      <c r="E108">
        <v>2.8849251857154604E-3</v>
      </c>
      <c r="F108">
        <f t="shared" si="15"/>
        <v>1084.24288</v>
      </c>
      <c r="G108">
        <f t="shared" si="16"/>
        <v>-0.37169999999999997</v>
      </c>
      <c r="H108">
        <f t="shared" si="17"/>
        <v>-403.01307849599999</v>
      </c>
      <c r="I108">
        <v>1</v>
      </c>
      <c r="J108">
        <f t="shared" si="18"/>
        <v>8.0881936960566767E-2</v>
      </c>
      <c r="K108">
        <f t="shared" si="19"/>
        <v>-0.80821057297601206</v>
      </c>
      <c r="L108">
        <v>1</v>
      </c>
      <c r="M108">
        <f t="shared" si="20"/>
        <v>0.51878527464975455</v>
      </c>
      <c r="N108">
        <f t="shared" si="24"/>
        <v>8.8365794720000002E-2</v>
      </c>
      <c r="O108">
        <f t="shared" si="22"/>
        <v>1.5639797959723329E-2</v>
      </c>
      <c r="P108">
        <f t="shared" si="23"/>
        <v>0.18541970564653418</v>
      </c>
      <c r="V108">
        <v>4.4000000000000004</v>
      </c>
      <c r="W108">
        <f t="shared" si="21"/>
        <v>-0.72092000000000001</v>
      </c>
    </row>
    <row r="109" spans="1:23" x14ac:dyDescent="0.3">
      <c r="A109">
        <v>5.4751874999999997</v>
      </c>
      <c r="B109">
        <v>0.36782999999999999</v>
      </c>
      <c r="C109">
        <f t="shared" si="14"/>
        <v>2.0139382181249998</v>
      </c>
      <c r="D109">
        <v>1.6299999999999999E-2</v>
      </c>
      <c r="E109">
        <v>2.8849251857154604E-3</v>
      </c>
      <c r="F109">
        <f t="shared" si="15"/>
        <v>1095.0374999999999</v>
      </c>
      <c r="G109">
        <f t="shared" si="16"/>
        <v>-0.36782999999999999</v>
      </c>
      <c r="H109">
        <f t="shared" si="17"/>
        <v>-402.78764362499999</v>
      </c>
      <c r="I109">
        <v>1</v>
      </c>
      <c r="J109">
        <f t="shared" si="18"/>
        <v>9.0788609257405936E-2</v>
      </c>
      <c r="K109">
        <f t="shared" si="19"/>
        <v>-0.81208057297601199</v>
      </c>
      <c r="L109">
        <v>1</v>
      </c>
      <c r="M109">
        <f t="shared" si="20"/>
        <v>0.51924890691324666</v>
      </c>
      <c r="N109">
        <f t="shared" si="24"/>
        <v>8.9245556249999983E-2</v>
      </c>
      <c r="O109">
        <f t="shared" si="22"/>
        <v>1.5795506315264465E-2</v>
      </c>
      <c r="P109">
        <f t="shared" si="23"/>
        <v>0.1877906034975009</v>
      </c>
      <c r="V109">
        <v>4.5</v>
      </c>
      <c r="W109">
        <f t="shared" si="21"/>
        <v>-0.72560000000000002</v>
      </c>
    </row>
    <row r="110" spans="1:23" x14ac:dyDescent="0.3">
      <c r="A110">
        <v>5.5296703999999997</v>
      </c>
      <c r="B110">
        <v>0.36395</v>
      </c>
      <c r="C110">
        <f t="shared" si="14"/>
        <v>2.0125235420799998</v>
      </c>
      <c r="D110">
        <v>1.6299999999999999E-2</v>
      </c>
      <c r="E110">
        <v>2.8849251857154604E-3</v>
      </c>
      <c r="F110">
        <f t="shared" si="15"/>
        <v>1105.93408</v>
      </c>
      <c r="G110">
        <f t="shared" si="16"/>
        <v>-0.36395</v>
      </c>
      <c r="H110">
        <f t="shared" si="17"/>
        <v>-402.50470841599997</v>
      </c>
      <c r="I110">
        <v>1</v>
      </c>
      <c r="J110">
        <f t="shared" si="18"/>
        <v>0.10069029915388117</v>
      </c>
      <c r="K110">
        <f t="shared" si="19"/>
        <v>-0.81596057297601199</v>
      </c>
      <c r="L110">
        <v>1</v>
      </c>
      <c r="M110">
        <f t="shared" si="20"/>
        <v>0.51971230600040164</v>
      </c>
      <c r="N110">
        <f t="shared" si="24"/>
        <v>9.0133627519999981E-2</v>
      </c>
      <c r="O110">
        <f t="shared" si="22"/>
        <v>1.5952685405665284E-2</v>
      </c>
      <c r="P110">
        <f t="shared" si="23"/>
        <v>0.1901619540499451</v>
      </c>
      <c r="V110">
        <v>4.5999999999999996</v>
      </c>
      <c r="W110">
        <f t="shared" si="21"/>
        <v>-0.73028000000000004</v>
      </c>
    </row>
    <row r="111" spans="1:23" x14ac:dyDescent="0.3">
      <c r="A111">
        <v>5.5841522999999995</v>
      </c>
      <c r="B111">
        <v>0.35996</v>
      </c>
      <c r="C111">
        <f t="shared" si="14"/>
        <v>2.0100714619079998</v>
      </c>
      <c r="D111">
        <v>1.6299999999999999E-2</v>
      </c>
      <c r="E111">
        <v>2.8849251857154604E-3</v>
      </c>
      <c r="F111">
        <f t="shared" si="15"/>
        <v>1116.8304599999999</v>
      </c>
      <c r="G111">
        <f t="shared" si="16"/>
        <v>-0.35996</v>
      </c>
      <c r="H111">
        <f t="shared" si="17"/>
        <v>-402.01429238159994</v>
      </c>
      <c r="I111">
        <v>1</v>
      </c>
      <c r="J111">
        <f t="shared" si="18"/>
        <v>0.11049472700933324</v>
      </c>
      <c r="K111">
        <f t="shared" si="19"/>
        <v>-0.81995057297601193</v>
      </c>
      <c r="L111">
        <v>1</v>
      </c>
      <c r="M111">
        <f t="shared" si="20"/>
        <v>0.52017115322403684</v>
      </c>
      <c r="N111">
        <f t="shared" si="24"/>
        <v>9.1021682489999978E-2</v>
      </c>
      <c r="O111">
        <f t="shared" si="22"/>
        <v>1.6109861611140915E-2</v>
      </c>
      <c r="P111">
        <f t="shared" si="23"/>
        <v>0.19264787565083419</v>
      </c>
      <c r="V111">
        <v>4.7</v>
      </c>
      <c r="W111">
        <f t="shared" si="21"/>
        <v>-0.73496000000000006</v>
      </c>
    </row>
    <row r="112" spans="1:23" x14ac:dyDescent="0.3">
      <c r="A112">
        <v>5.6345615000000002</v>
      </c>
      <c r="B112">
        <v>0.35620000000000002</v>
      </c>
      <c r="C112">
        <f t="shared" si="14"/>
        <v>2.0070308063</v>
      </c>
      <c r="D112">
        <v>1.6299999999999999E-2</v>
      </c>
      <c r="E112">
        <v>2.8849251857154604E-3</v>
      </c>
      <c r="F112">
        <f t="shared" si="15"/>
        <v>1126.9123</v>
      </c>
      <c r="G112">
        <f t="shared" si="16"/>
        <v>-0.35620000000000002</v>
      </c>
      <c r="H112">
        <f t="shared" si="17"/>
        <v>-401.40616125999998</v>
      </c>
      <c r="I112">
        <v>1</v>
      </c>
      <c r="J112">
        <f t="shared" si="18"/>
        <v>0.11948141481588061</v>
      </c>
      <c r="K112">
        <f t="shared" si="19"/>
        <v>-0.82371057297601191</v>
      </c>
      <c r="L112">
        <v>1</v>
      </c>
      <c r="M112">
        <f t="shared" si="20"/>
        <v>0.52059173021338323</v>
      </c>
      <c r="N112">
        <f t="shared" si="24"/>
        <v>9.1843352449999999E-2</v>
      </c>
      <c r="O112">
        <f t="shared" si="22"/>
        <v>1.6255288381812682E-2</v>
      </c>
      <c r="P112">
        <f t="shared" si="23"/>
        <v>0.19502020193081601</v>
      </c>
      <c r="V112">
        <v>4.8</v>
      </c>
      <c r="W112">
        <f t="shared" si="21"/>
        <v>-0.73964000000000008</v>
      </c>
    </row>
    <row r="113" spans="1:23" x14ac:dyDescent="0.3">
      <c r="A113">
        <v>5.6854804999999997</v>
      </c>
      <c r="B113">
        <v>0.35221000000000002</v>
      </c>
      <c r="C113">
        <f t="shared" si="14"/>
        <v>2.0024830869049999</v>
      </c>
      <c r="D113">
        <v>1.6299999999999999E-2</v>
      </c>
      <c r="E113">
        <v>2.8849251857154604E-3</v>
      </c>
      <c r="F113">
        <f t="shared" si="15"/>
        <v>1137.0961</v>
      </c>
      <c r="G113">
        <f t="shared" si="16"/>
        <v>-0.35221000000000002</v>
      </c>
      <c r="H113">
        <f t="shared" si="17"/>
        <v>-400.49661738099996</v>
      </c>
      <c r="I113">
        <v>1</v>
      </c>
      <c r="J113">
        <f t="shared" si="18"/>
        <v>0.12847773186515418</v>
      </c>
      <c r="K113">
        <f t="shared" si="19"/>
        <v>-0.82770057297601196</v>
      </c>
      <c r="L113">
        <v>1</v>
      </c>
      <c r="M113">
        <f t="shared" si="20"/>
        <v>0.5210127578512892</v>
      </c>
      <c r="N113">
        <f t="shared" si="24"/>
        <v>9.2673332149999982E-2</v>
      </c>
      <c r="O113">
        <f t="shared" si="22"/>
        <v>1.6402185887344128E-2</v>
      </c>
      <c r="P113">
        <f t="shared" si="23"/>
        <v>0.19761229708737865</v>
      </c>
      <c r="V113">
        <v>4.9000000000000004</v>
      </c>
      <c r="W113">
        <f t="shared" si="21"/>
        <v>-0.74432000000000009</v>
      </c>
    </row>
    <row r="114" spans="1:23" x14ac:dyDescent="0.3">
      <c r="A114">
        <v>5.7374170000000007</v>
      </c>
      <c r="B114">
        <v>0.34816000000000003</v>
      </c>
      <c r="C114">
        <f t="shared" si="14"/>
        <v>1.9975391027200005</v>
      </c>
      <c r="D114">
        <v>1.6299999999999999E-2</v>
      </c>
      <c r="E114">
        <v>2.8849251857154604E-3</v>
      </c>
      <c r="F114">
        <f t="shared" si="15"/>
        <v>1147.4834000000001</v>
      </c>
      <c r="G114">
        <f t="shared" si="16"/>
        <v>-0.34816000000000003</v>
      </c>
      <c r="H114">
        <f t="shared" si="17"/>
        <v>-399.50782054400008</v>
      </c>
      <c r="I114">
        <v>1</v>
      </c>
      <c r="J114">
        <f t="shared" si="18"/>
        <v>0.13757119661698947</v>
      </c>
      <c r="K114">
        <f t="shared" si="19"/>
        <v>-0.83175057297601196</v>
      </c>
      <c r="L114">
        <v>1</v>
      </c>
      <c r="M114">
        <f t="shared" si="20"/>
        <v>0.52143833200167511</v>
      </c>
      <c r="N114">
        <f t="shared" si="24"/>
        <v>9.3519897099999999E-2</v>
      </c>
      <c r="O114">
        <f t="shared" si="22"/>
        <v>1.6552018804252042E-2</v>
      </c>
      <c r="P114">
        <f t="shared" si="23"/>
        <v>0.20024032507008482</v>
      </c>
      <c r="V114">
        <v>5</v>
      </c>
      <c r="W114">
        <f t="shared" si="21"/>
        <v>-0.749</v>
      </c>
    </row>
    <row r="115" spans="1:23" x14ac:dyDescent="0.3">
      <c r="A115">
        <v>5.7888441999999998</v>
      </c>
      <c r="B115">
        <v>0.34448000000000001</v>
      </c>
      <c r="C115">
        <f t="shared" si="14"/>
        <v>1.9941410500159999</v>
      </c>
      <c r="D115">
        <v>1.6299999999999999E-2</v>
      </c>
      <c r="E115">
        <v>2.8849251857154604E-3</v>
      </c>
      <c r="F115">
        <f t="shared" si="15"/>
        <v>1157.76884</v>
      </c>
      <c r="G115">
        <f t="shared" si="16"/>
        <v>-0.34448000000000001</v>
      </c>
      <c r="H115">
        <f t="shared" si="17"/>
        <v>-398.82821000320001</v>
      </c>
      <c r="I115">
        <v>1</v>
      </c>
      <c r="J115">
        <f t="shared" si="18"/>
        <v>0.14649473918953013</v>
      </c>
      <c r="K115">
        <f t="shared" si="19"/>
        <v>-0.83543057297601198</v>
      </c>
      <c r="L115">
        <v>1</v>
      </c>
      <c r="M115">
        <f t="shared" si="20"/>
        <v>0.52185595379407002</v>
      </c>
      <c r="N115">
        <f t="shared" si="24"/>
        <v>9.4358160459999993E-2</v>
      </c>
      <c r="O115">
        <f t="shared" si="22"/>
        <v>1.6700382428762865E-2</v>
      </c>
      <c r="P115">
        <f t="shared" si="23"/>
        <v>0.20251607629317908</v>
      </c>
      <c r="V115">
        <v>5.0999999999999996</v>
      </c>
      <c r="W115">
        <f t="shared" si="21"/>
        <v>-0.75368000000000002</v>
      </c>
    </row>
    <row r="116" spans="1:23" x14ac:dyDescent="0.3">
      <c r="A116">
        <v>5.8443452000000002</v>
      </c>
      <c r="B116">
        <v>0.34022000000000002</v>
      </c>
      <c r="C116">
        <f t="shared" si="14"/>
        <v>1.9883631239440003</v>
      </c>
      <c r="D116">
        <v>1.6299999999999999E-2</v>
      </c>
      <c r="E116">
        <v>2.8849251857154604E-3</v>
      </c>
      <c r="F116">
        <f t="shared" si="15"/>
        <v>1168.86904</v>
      </c>
      <c r="G116">
        <f t="shared" si="16"/>
        <v>-0.34022000000000002</v>
      </c>
      <c r="H116">
        <f t="shared" si="17"/>
        <v>-397.67262478880008</v>
      </c>
      <c r="I116">
        <v>1</v>
      </c>
      <c r="J116">
        <f t="shared" si="18"/>
        <v>0.15603664884057275</v>
      </c>
      <c r="K116">
        <f t="shared" si="19"/>
        <v>-0.83969057297601202</v>
      </c>
      <c r="L116">
        <v>1</v>
      </c>
      <c r="M116">
        <f t="shared" si="20"/>
        <v>0.52230251516573878</v>
      </c>
      <c r="N116">
        <f t="shared" si="24"/>
        <v>9.5262826759999988E-2</v>
      </c>
      <c r="O116">
        <f t="shared" si="22"/>
        <v>1.6860498661495259E-2</v>
      </c>
      <c r="P116">
        <f t="shared" si="23"/>
        <v>0.20526473238877802</v>
      </c>
      <c r="V116">
        <v>5.2</v>
      </c>
      <c r="W116">
        <f t="shared" si="21"/>
        <v>-0.75836000000000003</v>
      </c>
    </row>
    <row r="117" spans="1:23" x14ac:dyDescent="0.3">
      <c r="A117">
        <v>5.8962822000000008</v>
      </c>
      <c r="B117">
        <v>0.33611000000000002</v>
      </c>
      <c r="C117">
        <f t="shared" si="14"/>
        <v>1.9817994102420005</v>
      </c>
      <c r="D117">
        <v>1.6299999999999999E-2</v>
      </c>
      <c r="E117">
        <v>2.8849251857154604E-3</v>
      </c>
      <c r="F117">
        <f t="shared" si="15"/>
        <v>1179.2564400000001</v>
      </c>
      <c r="G117">
        <f t="shared" si="16"/>
        <v>-0.33611000000000002</v>
      </c>
      <c r="H117">
        <f t="shared" si="17"/>
        <v>-396.3598820484001</v>
      </c>
      <c r="I117">
        <v>1</v>
      </c>
      <c r="J117">
        <f t="shared" si="18"/>
        <v>0.16488410426547792</v>
      </c>
      <c r="K117">
        <f t="shared" si="19"/>
        <v>-0.84380057297601196</v>
      </c>
      <c r="L117">
        <v>1</v>
      </c>
      <c r="M117">
        <f t="shared" si="20"/>
        <v>0.52271657607962441</v>
      </c>
      <c r="N117">
        <f t="shared" si="24"/>
        <v>9.610939986E-2</v>
      </c>
      <c r="O117">
        <f t="shared" si="22"/>
        <v>1.7010333020865766E-2</v>
      </c>
      <c r="P117">
        <f t="shared" si="23"/>
        <v>0.20796426401552179</v>
      </c>
      <c r="V117">
        <v>5.3</v>
      </c>
      <c r="W117">
        <f t="shared" si="21"/>
        <v>-0.76304000000000005</v>
      </c>
    </row>
    <row r="118" spans="1:23" x14ac:dyDescent="0.3">
      <c r="A118">
        <v>5.9477094999999993</v>
      </c>
      <c r="B118">
        <v>0.33228000000000002</v>
      </c>
      <c r="C118">
        <f t="shared" si="14"/>
        <v>1.9763049126599999</v>
      </c>
      <c r="D118">
        <v>1.6299999999999999E-2</v>
      </c>
      <c r="E118">
        <v>2.8849251857154604E-3</v>
      </c>
      <c r="F118">
        <f t="shared" si="15"/>
        <v>1189.5418999999999</v>
      </c>
      <c r="G118">
        <f t="shared" si="16"/>
        <v>-0.33228000000000002</v>
      </c>
      <c r="H118">
        <f t="shared" si="17"/>
        <v>-395.26098253199996</v>
      </c>
      <c r="I118">
        <v>1</v>
      </c>
      <c r="J118">
        <f t="shared" si="18"/>
        <v>0.17356827502489888</v>
      </c>
      <c r="K118">
        <f t="shared" si="19"/>
        <v>-0.84763057297601196</v>
      </c>
      <c r="L118">
        <v>1</v>
      </c>
      <c r="M118">
        <f t="shared" si="20"/>
        <v>0.52312299527116524</v>
      </c>
      <c r="N118">
        <f t="shared" si="24"/>
        <v>9.6947664849999976E-2</v>
      </c>
      <c r="O118">
        <f t="shared" si="22"/>
        <v>1.7158696933869105E-2</v>
      </c>
      <c r="P118">
        <f t="shared" si="23"/>
        <v>0.21040121592097766</v>
      </c>
      <c r="V118">
        <v>5.4</v>
      </c>
      <c r="W118">
        <f t="shared" si="21"/>
        <v>-0.76771999999999996</v>
      </c>
    </row>
    <row r="119" spans="1:23" x14ac:dyDescent="0.3">
      <c r="A119">
        <v>5.9981187</v>
      </c>
      <c r="B119">
        <v>0.32834000000000002</v>
      </c>
      <c r="C119">
        <f t="shared" si="14"/>
        <v>1.9694222939580002</v>
      </c>
      <c r="D119">
        <v>1.6299999999999999E-2</v>
      </c>
      <c r="E119">
        <v>2.8849251857154604E-3</v>
      </c>
      <c r="F119">
        <f t="shared" si="15"/>
        <v>1199.62374</v>
      </c>
      <c r="G119">
        <f t="shared" si="16"/>
        <v>-0.32834000000000002</v>
      </c>
      <c r="H119">
        <f t="shared" si="17"/>
        <v>-393.88445879160003</v>
      </c>
      <c r="I119">
        <v>1</v>
      </c>
      <c r="J119">
        <f t="shared" si="18"/>
        <v>0.18200795762687558</v>
      </c>
      <c r="K119">
        <f t="shared" si="19"/>
        <v>-0.85157057297601191</v>
      </c>
      <c r="L119">
        <v>1</v>
      </c>
      <c r="M119">
        <f t="shared" si="20"/>
        <v>0.52351797241693776</v>
      </c>
      <c r="N119">
        <f t="shared" si="24"/>
        <v>9.7769334809999997E-2</v>
      </c>
      <c r="O119">
        <f t="shared" si="22"/>
        <v>1.7304123704540875E-2</v>
      </c>
      <c r="P119">
        <f t="shared" si="23"/>
        <v>0.21297914204453328</v>
      </c>
      <c r="V119">
        <v>5.5</v>
      </c>
      <c r="W119">
        <f t="shared" si="21"/>
        <v>-0.77239999999999998</v>
      </c>
    </row>
    <row r="120" spans="1:23" x14ac:dyDescent="0.3">
      <c r="A120">
        <v>6.0485278000000005</v>
      </c>
      <c r="B120">
        <v>0.32413999999999998</v>
      </c>
      <c r="C120">
        <f t="shared" si="14"/>
        <v>1.9605698010920001</v>
      </c>
      <c r="D120">
        <v>1.6299999999999999E-2</v>
      </c>
      <c r="E120">
        <v>2.8849251857154604E-3</v>
      </c>
      <c r="F120">
        <f t="shared" si="15"/>
        <v>1209.7055600000001</v>
      </c>
      <c r="G120">
        <f t="shared" si="16"/>
        <v>-0.32413999999999998</v>
      </c>
      <c r="H120">
        <f t="shared" si="17"/>
        <v>-392.1139602184</v>
      </c>
      <c r="I120">
        <v>1</v>
      </c>
      <c r="J120">
        <f t="shared" si="18"/>
        <v>0.19037699115397452</v>
      </c>
      <c r="K120">
        <f t="shared" si="19"/>
        <v>-0.855770572976012</v>
      </c>
      <c r="L120">
        <v>1</v>
      </c>
      <c r="M120">
        <f t="shared" si="20"/>
        <v>0.52390964318600597</v>
      </c>
      <c r="N120">
        <f t="shared" si="24"/>
        <v>9.8591003139999994E-2</v>
      </c>
      <c r="O120">
        <f t="shared" si="22"/>
        <v>1.7449550186720127E-2</v>
      </c>
      <c r="P120">
        <f t="shared" si="23"/>
        <v>0.21582037646328592</v>
      </c>
      <c r="V120">
        <v>5.6</v>
      </c>
      <c r="W120">
        <f t="shared" si="21"/>
        <v>-0.77707999999999999</v>
      </c>
    </row>
    <row r="121" spans="1:23" x14ac:dyDescent="0.3">
      <c r="A121">
        <v>6.1004648000000001</v>
      </c>
      <c r="B121">
        <v>0.32017000000000001</v>
      </c>
      <c r="C121">
        <f t="shared" si="14"/>
        <v>1.9531858150160002</v>
      </c>
      <c r="D121">
        <v>1.6299999999999999E-2</v>
      </c>
      <c r="E121">
        <v>2.8849251857154604E-3</v>
      </c>
      <c r="F121">
        <f t="shared" si="15"/>
        <v>1220.0929599999999</v>
      </c>
      <c r="G121">
        <f t="shared" si="16"/>
        <v>-0.32017000000000001</v>
      </c>
      <c r="H121">
        <f t="shared" si="17"/>
        <v>-390.63716300320004</v>
      </c>
      <c r="I121">
        <v>1</v>
      </c>
      <c r="J121">
        <f t="shared" si="18"/>
        <v>0.19892705256365387</v>
      </c>
      <c r="K121">
        <f t="shared" si="19"/>
        <v>-0.85974057297601192</v>
      </c>
      <c r="L121">
        <v>1</v>
      </c>
      <c r="M121">
        <f t="shared" si="20"/>
        <v>0.52430978605997902</v>
      </c>
      <c r="N121">
        <f t="shared" si="24"/>
        <v>9.9437576239999992E-2</v>
      </c>
      <c r="O121">
        <f t="shared" si="22"/>
        <v>1.759938454609063E-2</v>
      </c>
      <c r="P121">
        <f t="shared" si="23"/>
        <v>0.21839382612994226</v>
      </c>
      <c r="V121">
        <v>5.7</v>
      </c>
      <c r="W121">
        <f t="shared" si="21"/>
        <v>-0.78176000000000001</v>
      </c>
    </row>
    <row r="122" spans="1:23" x14ac:dyDescent="0.3">
      <c r="A122">
        <v>6.1508735000000003</v>
      </c>
      <c r="B122">
        <v>0.31618000000000002</v>
      </c>
      <c r="C122">
        <f t="shared" si="14"/>
        <v>1.9447831832300002</v>
      </c>
      <c r="D122">
        <v>1.6299999999999999E-2</v>
      </c>
      <c r="E122">
        <v>2.8849251857154604E-3</v>
      </c>
      <c r="F122">
        <f t="shared" si="15"/>
        <v>1230.1747</v>
      </c>
      <c r="G122">
        <f t="shared" si="16"/>
        <v>-0.31618000000000002</v>
      </c>
      <c r="H122">
        <f t="shared" si="17"/>
        <v>-388.95663664600005</v>
      </c>
      <c r="I122">
        <v>1</v>
      </c>
      <c r="J122">
        <f t="shared" si="18"/>
        <v>0.20715619181898795</v>
      </c>
      <c r="K122">
        <f t="shared" si="19"/>
        <v>-0.86373057297601197</v>
      </c>
      <c r="L122">
        <v>1</v>
      </c>
      <c r="M122">
        <f t="shared" si="20"/>
        <v>0.52469490977712863</v>
      </c>
      <c r="N122">
        <f t="shared" si="24"/>
        <v>0.10025923804999999</v>
      </c>
      <c r="O122">
        <f t="shared" si="22"/>
        <v>1.7744809874299803E-2</v>
      </c>
      <c r="P122">
        <f t="shared" si="23"/>
        <v>0.22103161527458356</v>
      </c>
      <c r="V122">
        <v>5.8</v>
      </c>
      <c r="W122">
        <f t="shared" si="21"/>
        <v>-0.78644000000000003</v>
      </c>
    </row>
    <row r="123" spans="1:23" x14ac:dyDescent="0.3">
      <c r="A123">
        <v>6.2023013000000002</v>
      </c>
      <c r="B123">
        <v>0.31203999999999998</v>
      </c>
      <c r="C123">
        <f t="shared" si="14"/>
        <v>1.935366097652</v>
      </c>
      <c r="D123">
        <v>1.6299999999999999E-2</v>
      </c>
      <c r="E123">
        <v>2.8849251857154604E-3</v>
      </c>
      <c r="F123">
        <f t="shared" si="15"/>
        <v>1240.4602600000001</v>
      </c>
      <c r="G123">
        <f t="shared" si="16"/>
        <v>-0.31203999999999998</v>
      </c>
      <c r="H123">
        <f t="shared" si="17"/>
        <v>-387.07321953039997</v>
      </c>
      <c r="I123">
        <v>1</v>
      </c>
      <c r="J123">
        <f t="shared" si="18"/>
        <v>0.21548248816700338</v>
      </c>
      <c r="K123">
        <f t="shared" si="19"/>
        <v>-0.867870572976012</v>
      </c>
      <c r="L123">
        <v>1</v>
      </c>
      <c r="M123">
        <f t="shared" si="20"/>
        <v>0.52508458044621575</v>
      </c>
      <c r="N123">
        <f t="shared" si="24"/>
        <v>0.10109751118999999</v>
      </c>
      <c r="O123">
        <f t="shared" si="22"/>
        <v>1.7893175229765742E-2</v>
      </c>
      <c r="P123">
        <f t="shared" si="23"/>
        <v>0.22379530611003051</v>
      </c>
      <c r="V123">
        <v>5.9</v>
      </c>
      <c r="W123">
        <f t="shared" si="21"/>
        <v>-0.79112000000000005</v>
      </c>
    </row>
    <row r="124" spans="1:23" x14ac:dyDescent="0.3">
      <c r="A124">
        <v>6.2527103999999998</v>
      </c>
      <c r="B124">
        <v>0.30808999999999997</v>
      </c>
      <c r="C124">
        <f t="shared" si="14"/>
        <v>1.9263975471359998</v>
      </c>
      <c r="D124">
        <v>1.6299999999999999E-2</v>
      </c>
      <c r="E124">
        <v>2.8849251857154604E-3</v>
      </c>
      <c r="F124">
        <f t="shared" si="15"/>
        <v>1250.5420799999999</v>
      </c>
      <c r="G124">
        <f t="shared" si="16"/>
        <v>-0.30808999999999997</v>
      </c>
      <c r="H124">
        <f t="shared" si="17"/>
        <v>-385.27950942719997</v>
      </c>
      <c r="I124">
        <v>1</v>
      </c>
      <c r="J124">
        <f t="shared" si="18"/>
        <v>0.22357712130915405</v>
      </c>
      <c r="K124">
        <f t="shared" si="19"/>
        <v>-0.87182057297601201</v>
      </c>
      <c r="L124">
        <v>1</v>
      </c>
      <c r="M124">
        <f t="shared" si="20"/>
        <v>0.52546340927726842</v>
      </c>
      <c r="N124">
        <f t="shared" si="24"/>
        <v>0.10191917951999999</v>
      </c>
      <c r="O124">
        <f t="shared" si="22"/>
        <v>1.803860171194499E-2</v>
      </c>
      <c r="P124">
        <f t="shared" si="23"/>
        <v>0.22639938246679861</v>
      </c>
      <c r="V124">
        <v>6</v>
      </c>
      <c r="W124">
        <f t="shared" si="21"/>
        <v>-0.79580000000000006</v>
      </c>
    </row>
    <row r="125" spans="1:23" x14ac:dyDescent="0.3">
      <c r="A125">
        <v>6.3036284</v>
      </c>
      <c r="B125">
        <v>0.30408000000000002</v>
      </c>
      <c r="C125">
        <f t="shared" si="14"/>
        <v>1.916807323872</v>
      </c>
      <c r="D125">
        <v>1.6299999999999999E-2</v>
      </c>
      <c r="E125">
        <v>2.8849251857154604E-3</v>
      </c>
      <c r="F125">
        <f t="shared" si="15"/>
        <v>1260.72568</v>
      </c>
      <c r="G125">
        <f t="shared" si="16"/>
        <v>-0.30408000000000002</v>
      </c>
      <c r="H125">
        <f t="shared" si="17"/>
        <v>-383.36146477440002</v>
      </c>
      <c r="I125">
        <v>1</v>
      </c>
      <c r="J125">
        <f t="shared" si="18"/>
        <v>0.23168749168354497</v>
      </c>
      <c r="K125">
        <f t="shared" si="19"/>
        <v>-0.87583057297601197</v>
      </c>
      <c r="L125">
        <v>1</v>
      </c>
      <c r="M125">
        <f t="shared" si="20"/>
        <v>0.52584297461078988</v>
      </c>
      <c r="N125">
        <f t="shared" si="24"/>
        <v>0.10274914291999999</v>
      </c>
      <c r="O125">
        <f t="shared" si="22"/>
        <v>1.8185496332551249E-2</v>
      </c>
      <c r="P125">
        <f t="shared" si="23"/>
        <v>0.22905295911267085</v>
      </c>
      <c r="V125">
        <v>6.1</v>
      </c>
      <c r="W125">
        <f t="shared" si="21"/>
        <v>-0.80048000000000008</v>
      </c>
    </row>
    <row r="126" spans="1:23" x14ac:dyDescent="0.3">
      <c r="A126">
        <v>6.3565835000000002</v>
      </c>
      <c r="B126">
        <v>0.29959000000000002</v>
      </c>
      <c r="C126">
        <f t="shared" si="14"/>
        <v>1.9043688507650003</v>
      </c>
      <c r="D126">
        <v>1.6299999999999999E-2</v>
      </c>
      <c r="E126">
        <v>2.8849251857154604E-3</v>
      </c>
      <c r="F126">
        <f t="shared" si="15"/>
        <v>1271.3167000000001</v>
      </c>
      <c r="G126">
        <f t="shared" si="16"/>
        <v>-0.29959000000000002</v>
      </c>
      <c r="H126">
        <f t="shared" si="17"/>
        <v>-380.87377015300007</v>
      </c>
      <c r="I126">
        <v>1</v>
      </c>
      <c r="J126">
        <f t="shared" si="18"/>
        <v>0.24005313504749759</v>
      </c>
      <c r="K126">
        <f t="shared" si="19"/>
        <v>-0.88032057297601196</v>
      </c>
      <c r="L126">
        <v>1</v>
      </c>
      <c r="M126">
        <f t="shared" si="20"/>
        <v>0.52623448672022288</v>
      </c>
      <c r="N126">
        <f t="shared" si="24"/>
        <v>0.10361231104999999</v>
      </c>
      <c r="O126">
        <f t="shared" si="22"/>
        <v>1.8338267834253331E-2</v>
      </c>
      <c r="P126">
        <f t="shared" si="23"/>
        <v>0.23213550737153574</v>
      </c>
      <c r="V126">
        <v>6.2</v>
      </c>
      <c r="W126">
        <f t="shared" si="21"/>
        <v>-0.8051600000000001</v>
      </c>
    </row>
    <row r="127" spans="1:23" x14ac:dyDescent="0.3">
      <c r="A127">
        <v>6.4110663999999993</v>
      </c>
      <c r="B127">
        <v>0.29526000000000002</v>
      </c>
      <c r="C127">
        <f t="shared" si="14"/>
        <v>1.8929314652639999</v>
      </c>
      <c r="D127">
        <v>1.6299999999999999E-2</v>
      </c>
      <c r="E127">
        <v>2.8849251857154604E-3</v>
      </c>
      <c r="F127">
        <f t="shared" si="15"/>
        <v>1282.2132799999999</v>
      </c>
      <c r="G127">
        <f t="shared" si="16"/>
        <v>-0.29526000000000002</v>
      </c>
      <c r="H127">
        <f t="shared" si="17"/>
        <v>-378.58629305279999</v>
      </c>
      <c r="I127">
        <v>1</v>
      </c>
      <c r="J127">
        <f t="shared" si="18"/>
        <v>0.24858770971594937</v>
      </c>
      <c r="K127">
        <f t="shared" si="19"/>
        <v>-0.88465057297601191</v>
      </c>
      <c r="L127">
        <v>1</v>
      </c>
      <c r="M127">
        <f t="shared" si="20"/>
        <v>0.5266339048147064</v>
      </c>
      <c r="N127">
        <f t="shared" si="24"/>
        <v>0.10450038231999997</v>
      </c>
      <c r="O127">
        <f t="shared" si="22"/>
        <v>1.8495446924654147E-2</v>
      </c>
      <c r="P127">
        <f t="shared" si="23"/>
        <v>0.23502083891665138</v>
      </c>
      <c r="V127">
        <v>6.3</v>
      </c>
      <c r="W127">
        <f t="shared" si="21"/>
        <v>-0.80984</v>
      </c>
    </row>
    <row r="128" spans="1:23" x14ac:dyDescent="0.3">
      <c r="A128">
        <v>6.4619849</v>
      </c>
      <c r="B128">
        <v>0.29088000000000003</v>
      </c>
      <c r="C128">
        <f t="shared" si="14"/>
        <v>1.8796621677120002</v>
      </c>
      <c r="D128">
        <v>1.6299999999999999E-2</v>
      </c>
      <c r="E128">
        <v>2.8849251857154604E-3</v>
      </c>
      <c r="F128">
        <f t="shared" si="15"/>
        <v>1292.39698</v>
      </c>
      <c r="G128">
        <f t="shared" si="16"/>
        <v>-0.29088000000000003</v>
      </c>
      <c r="H128">
        <f t="shared" si="17"/>
        <v>-375.93243354240002</v>
      </c>
      <c r="I128">
        <v>1</v>
      </c>
      <c r="J128">
        <f t="shared" si="18"/>
        <v>0.25649861822762382</v>
      </c>
      <c r="K128">
        <f t="shared" si="19"/>
        <v>-0.88903057297601196</v>
      </c>
      <c r="L128">
        <v>1</v>
      </c>
      <c r="M128">
        <f t="shared" si="20"/>
        <v>0.52700413533305279</v>
      </c>
      <c r="N128">
        <f t="shared" si="24"/>
        <v>0.10533035386999999</v>
      </c>
      <c r="O128">
        <f t="shared" si="22"/>
        <v>1.8642342987723E-2</v>
      </c>
      <c r="P128">
        <f t="shared" si="23"/>
        <v>0.23805374078523617</v>
      </c>
      <c r="V128">
        <v>6.4</v>
      </c>
      <c r="W128">
        <f t="shared" si="21"/>
        <v>-0.81452000000000002</v>
      </c>
    </row>
    <row r="129" spans="1:23" x14ac:dyDescent="0.3">
      <c r="A129">
        <v>6.5139214000000001</v>
      </c>
      <c r="B129">
        <v>0.28665000000000002</v>
      </c>
      <c r="C129">
        <f t="shared" si="14"/>
        <v>1.8672155693100001</v>
      </c>
      <c r="D129">
        <v>1.6299999999999999E-2</v>
      </c>
      <c r="E129">
        <v>2.8849251857154604E-3</v>
      </c>
      <c r="F129">
        <f t="shared" si="15"/>
        <v>1302.7842800000001</v>
      </c>
      <c r="G129">
        <f t="shared" si="16"/>
        <v>-0.28665000000000002</v>
      </c>
      <c r="H129">
        <f t="shared" si="17"/>
        <v>-373.44311386200002</v>
      </c>
      <c r="I129">
        <v>1</v>
      </c>
      <c r="J129">
        <f t="shared" si="18"/>
        <v>0.26450372802844457</v>
      </c>
      <c r="K129">
        <f t="shared" si="19"/>
        <v>-0.89326057297601191</v>
      </c>
      <c r="L129">
        <v>1</v>
      </c>
      <c r="M129">
        <f t="shared" si="20"/>
        <v>0.5273787744717312</v>
      </c>
      <c r="N129">
        <f t="shared" si="24"/>
        <v>0.10617691881999999</v>
      </c>
      <c r="O129">
        <f t="shared" si="22"/>
        <v>1.8792175904630913E-2</v>
      </c>
      <c r="P129">
        <f t="shared" si="23"/>
        <v>0.24091270377964977</v>
      </c>
      <c r="V129">
        <v>6.5</v>
      </c>
      <c r="W129">
        <f t="shared" si="21"/>
        <v>-0.81920000000000004</v>
      </c>
    </row>
    <row r="130" spans="1:23" x14ac:dyDescent="0.3">
      <c r="A130">
        <v>6.5648393999999994</v>
      </c>
      <c r="B130">
        <v>0.28220000000000001</v>
      </c>
      <c r="C130">
        <f t="shared" si="14"/>
        <v>1.8525976786799998</v>
      </c>
      <c r="D130">
        <v>1.6299999999999999E-2</v>
      </c>
      <c r="E130">
        <v>2.8849251857154604E-3</v>
      </c>
      <c r="F130">
        <f t="shared" si="15"/>
        <v>1312.9678799999999</v>
      </c>
      <c r="G130">
        <f t="shared" si="16"/>
        <v>-0.28220000000000001</v>
      </c>
      <c r="H130">
        <f t="shared" si="17"/>
        <v>-370.51953573599997</v>
      </c>
      <c r="I130">
        <v>1</v>
      </c>
      <c r="J130">
        <f t="shared" si="18"/>
        <v>0.27229013195974278</v>
      </c>
      <c r="K130">
        <f t="shared" si="19"/>
        <v>-0.89771057297601198</v>
      </c>
      <c r="L130">
        <v>1</v>
      </c>
      <c r="M130">
        <f t="shared" si="20"/>
        <v>0.52774317817571592</v>
      </c>
      <c r="N130">
        <f t="shared" si="24"/>
        <v>0.10700688221999997</v>
      </c>
      <c r="O130">
        <f t="shared" si="22"/>
        <v>1.8939070525237169E-2</v>
      </c>
      <c r="P130">
        <f t="shared" si="23"/>
        <v>0.24402144205505891</v>
      </c>
      <c r="V130">
        <v>6.6</v>
      </c>
      <c r="W130">
        <f t="shared" si="21"/>
        <v>-0.82387999999999995</v>
      </c>
    </row>
    <row r="131" spans="1:23" x14ac:dyDescent="0.3">
      <c r="A131">
        <v>6.6167759000000004</v>
      </c>
      <c r="B131">
        <v>0.27789999999999998</v>
      </c>
      <c r="C131">
        <f t="shared" si="14"/>
        <v>1.8388020226099999</v>
      </c>
      <c r="D131">
        <v>1.6299999999999999E-2</v>
      </c>
      <c r="E131">
        <v>2.8849251857154604E-3</v>
      </c>
      <c r="F131">
        <f t="shared" si="15"/>
        <v>1323.35518</v>
      </c>
      <c r="G131">
        <f t="shared" si="16"/>
        <v>-0.27789999999999998</v>
      </c>
      <c r="H131">
        <f t="shared" si="17"/>
        <v>-367.76040452199999</v>
      </c>
      <c r="I131">
        <v>1</v>
      </c>
      <c r="J131">
        <f t="shared" si="18"/>
        <v>0.28017031471084131</v>
      </c>
      <c r="K131">
        <f t="shared" si="19"/>
        <v>-0.90201057297601195</v>
      </c>
      <c r="L131">
        <v>1</v>
      </c>
      <c r="M131">
        <f t="shared" si="20"/>
        <v>0.52811197072846738</v>
      </c>
      <c r="N131">
        <f t="shared" si="24"/>
        <v>0.10785344716999999</v>
      </c>
      <c r="O131">
        <f t="shared" si="22"/>
        <v>1.9088903442145082E-2</v>
      </c>
      <c r="P131">
        <f t="shared" si="23"/>
        <v>0.24695625163539947</v>
      </c>
      <c r="V131">
        <v>6.7</v>
      </c>
      <c r="W131">
        <f t="shared" si="21"/>
        <v>-0.82855999999999996</v>
      </c>
    </row>
    <row r="132" spans="1:23" x14ac:dyDescent="0.3">
      <c r="A132">
        <v>6.6682036000000009</v>
      </c>
      <c r="B132">
        <v>0.27346999999999999</v>
      </c>
      <c r="C132">
        <f t="shared" si="14"/>
        <v>1.8235536384920001</v>
      </c>
      <c r="D132">
        <v>1.6299999999999999E-2</v>
      </c>
      <c r="E132">
        <v>2.8849251857154604E-3</v>
      </c>
      <c r="F132">
        <f t="shared" si="15"/>
        <v>1333.6407200000001</v>
      </c>
      <c r="G132">
        <f t="shared" si="16"/>
        <v>-0.27346999999999999</v>
      </c>
      <c r="H132">
        <f t="shared" si="17"/>
        <v>-364.71072769840004</v>
      </c>
      <c r="I132">
        <v>1</v>
      </c>
      <c r="J132">
        <f t="shared" si="18"/>
        <v>0.28791258588151875</v>
      </c>
      <c r="K132">
        <f t="shared" si="19"/>
        <v>-0.90644057297601199</v>
      </c>
      <c r="L132">
        <v>1</v>
      </c>
      <c r="M132">
        <f t="shared" si="20"/>
        <v>0.52847430901925507</v>
      </c>
      <c r="N132">
        <f t="shared" si="24"/>
        <v>0.10869171868000001</v>
      </c>
      <c r="O132">
        <f t="shared" si="22"/>
        <v>1.9237268509118503E-2</v>
      </c>
      <c r="P132">
        <f t="shared" si="23"/>
        <v>0.25003727676763843</v>
      </c>
      <c r="V132">
        <v>6.8</v>
      </c>
      <c r="W132">
        <f t="shared" si="21"/>
        <v>-0.83323999999999998</v>
      </c>
    </row>
    <row r="133" spans="1:23" x14ac:dyDescent="0.3">
      <c r="A133">
        <v>6.7186132999999995</v>
      </c>
      <c r="B133">
        <v>0.26961000000000002</v>
      </c>
      <c r="C133">
        <f t="shared" ref="C133:C196" si="25">A133*B133</f>
        <v>1.8114053318129999</v>
      </c>
      <c r="D133">
        <v>1.6299999999999999E-2</v>
      </c>
      <c r="E133">
        <v>2.8849251857154604E-3</v>
      </c>
      <c r="F133">
        <f t="shared" ref="F133:F196" si="26">A133*200</f>
        <v>1343.7226599999999</v>
      </c>
      <c r="G133">
        <f t="shared" ref="G133:G144" si="27">-B133</f>
        <v>-0.26961000000000002</v>
      </c>
      <c r="H133">
        <f t="shared" ref="H133:H196" si="28">-C133*200</f>
        <v>-362.28106636259997</v>
      </c>
      <c r="I133">
        <v>1</v>
      </c>
      <c r="J133">
        <f t="shared" ref="J133:J196" si="29">LN(F133/1000)</f>
        <v>0.2954438666403405</v>
      </c>
      <c r="K133">
        <f t="shared" ref="K133:K187" si="30">((-G133)-$N$2)</f>
        <v>-0.91030057297601197</v>
      </c>
      <c r="L133">
        <v>1</v>
      </c>
      <c r="M133">
        <f t="shared" ref="M133:M196" si="31">-1*($S$4+($S$5*J133))</f>
        <v>0.5288267729587679</v>
      </c>
      <c r="N133">
        <f t="shared" si="24"/>
        <v>0.10951339678999998</v>
      </c>
      <c r="O133">
        <f t="shared" si="22"/>
        <v>1.938269672225286E-2</v>
      </c>
      <c r="P133">
        <f t="shared" si="23"/>
        <v>0.25257770650499123</v>
      </c>
      <c r="V133">
        <v>6.9</v>
      </c>
      <c r="W133">
        <f t="shared" ref="W133:W139" si="32">V133*$S$5+$S$4</f>
        <v>-0.83792</v>
      </c>
    </row>
    <row r="134" spans="1:23" x14ac:dyDescent="0.3">
      <c r="A134">
        <v>6.7690219999999997</v>
      </c>
      <c r="B134">
        <v>0.26473000000000002</v>
      </c>
      <c r="C134">
        <f t="shared" si="25"/>
        <v>1.79196319406</v>
      </c>
      <c r="D134">
        <v>1.6299999999999999E-2</v>
      </c>
      <c r="E134">
        <v>2.8849251857154604E-3</v>
      </c>
      <c r="F134">
        <f t="shared" si="26"/>
        <v>1353.8044</v>
      </c>
      <c r="G134">
        <f t="shared" si="27"/>
        <v>-0.26473000000000002</v>
      </c>
      <c r="H134">
        <f t="shared" si="28"/>
        <v>-358.39263881200003</v>
      </c>
      <c r="I134">
        <v>1</v>
      </c>
      <c r="J134">
        <f t="shared" si="29"/>
        <v>0.30291870319788783</v>
      </c>
      <c r="K134">
        <f t="shared" si="30"/>
        <v>-0.91518057297601196</v>
      </c>
      <c r="L134">
        <v>1</v>
      </c>
      <c r="M134">
        <f t="shared" si="31"/>
        <v>0.52917659530966121</v>
      </c>
      <c r="N134">
        <f t="shared" si="24"/>
        <v>0.11033505859999998</v>
      </c>
      <c r="O134">
        <f t="shared" ref="O134:O144" si="33">E134*A134</f>
        <v>1.9528122050462036E-2</v>
      </c>
      <c r="P134">
        <f t="shared" ref="P134:P144" si="34">-K134-M134-N134-O134</f>
        <v>0.25614079701588871</v>
      </c>
      <c r="V134">
        <v>7</v>
      </c>
      <c r="W134">
        <f t="shared" si="32"/>
        <v>-0.84260000000000002</v>
      </c>
    </row>
    <row r="135" spans="1:23" x14ac:dyDescent="0.3">
      <c r="A135">
        <v>6.8199399000000005</v>
      </c>
      <c r="B135">
        <v>0.26035000000000003</v>
      </c>
      <c r="C135">
        <f t="shared" si="25"/>
        <v>1.7755713529650003</v>
      </c>
      <c r="D135">
        <v>1.6299999999999999E-2</v>
      </c>
      <c r="E135">
        <v>2.8849251857154604E-3</v>
      </c>
      <c r="F135">
        <f t="shared" si="26"/>
        <v>1363.9879800000001</v>
      </c>
      <c r="G135">
        <f t="shared" si="27"/>
        <v>-0.26035000000000003</v>
      </c>
      <c r="H135">
        <f t="shared" si="28"/>
        <v>-355.11427059300007</v>
      </c>
      <c r="I135">
        <v>1</v>
      </c>
      <c r="J135">
        <f t="shared" si="29"/>
        <v>0.31041274706572619</v>
      </c>
      <c r="K135">
        <f t="shared" si="30"/>
        <v>-0.9195605729760119</v>
      </c>
      <c r="L135">
        <v>1</v>
      </c>
      <c r="M135">
        <f t="shared" si="31"/>
        <v>0.52952731656267604</v>
      </c>
      <c r="N135">
        <f t="shared" ref="N135:N144" si="35">D135*A135</f>
        <v>0.11116502036999999</v>
      </c>
      <c r="O135">
        <f t="shared" si="33"/>
        <v>1.967501638257578E-2</v>
      </c>
      <c r="P135">
        <f t="shared" si="34"/>
        <v>0.25919321966076009</v>
      </c>
      <c r="V135">
        <v>7.1</v>
      </c>
      <c r="W135">
        <f t="shared" si="32"/>
        <v>-0.84728000000000003</v>
      </c>
    </row>
    <row r="136" spans="1:23" x14ac:dyDescent="0.3">
      <c r="A136">
        <v>6.8703490999999994</v>
      </c>
      <c r="B136">
        <v>0.25556000000000001</v>
      </c>
      <c r="C136">
        <f t="shared" si="25"/>
        <v>1.7557864159959999</v>
      </c>
      <c r="D136">
        <v>1.6299999999999999E-2</v>
      </c>
      <c r="E136">
        <v>2.8849251857154604E-3</v>
      </c>
      <c r="F136">
        <f t="shared" si="26"/>
        <v>1374.0698199999999</v>
      </c>
      <c r="G136">
        <f t="shared" si="27"/>
        <v>-0.25556000000000001</v>
      </c>
      <c r="H136">
        <f t="shared" si="28"/>
        <v>-351.15728319919998</v>
      </c>
      <c r="I136">
        <v>1</v>
      </c>
      <c r="J136">
        <f t="shared" si="29"/>
        <v>0.31777700764739447</v>
      </c>
      <c r="K136">
        <f t="shared" si="30"/>
        <v>-0.92435057297601197</v>
      </c>
      <c r="L136">
        <v>1</v>
      </c>
      <c r="M136">
        <f t="shared" si="31"/>
        <v>0.52987196395789804</v>
      </c>
      <c r="N136">
        <f t="shared" si="35"/>
        <v>0.11198669032999999</v>
      </c>
      <c r="O136">
        <f t="shared" si="33"/>
        <v>1.9820443153247543E-2</v>
      </c>
      <c r="P136">
        <f t="shared" si="34"/>
        <v>0.26267147553486642</v>
      </c>
      <c r="V136">
        <v>7.2</v>
      </c>
      <c r="W136">
        <f t="shared" si="32"/>
        <v>-0.85196000000000005</v>
      </c>
    </row>
    <row r="137" spans="1:23" x14ac:dyDescent="0.3">
      <c r="A137">
        <v>6.9151577</v>
      </c>
      <c r="B137">
        <v>0.25146000000000002</v>
      </c>
      <c r="C137">
        <f t="shared" si="25"/>
        <v>1.7388855552420002</v>
      </c>
      <c r="D137">
        <v>1.6299999999999999E-2</v>
      </c>
      <c r="E137">
        <v>2.8849251857154604E-3</v>
      </c>
      <c r="F137">
        <f t="shared" si="26"/>
        <v>1383.0315399999999</v>
      </c>
      <c r="G137">
        <f t="shared" si="27"/>
        <v>-0.25146000000000002</v>
      </c>
      <c r="H137">
        <f t="shared" si="28"/>
        <v>-347.77711104840006</v>
      </c>
      <c r="I137">
        <v>1</v>
      </c>
      <c r="J137">
        <f t="shared" si="29"/>
        <v>0.32427785791787983</v>
      </c>
      <c r="K137">
        <f t="shared" si="30"/>
        <v>-0.92845057297601197</v>
      </c>
      <c r="L137">
        <v>1</v>
      </c>
      <c r="M137">
        <f t="shared" si="31"/>
        <v>0.53017620375055674</v>
      </c>
      <c r="N137">
        <f t="shared" si="35"/>
        <v>0.11271707050999999</v>
      </c>
      <c r="O137">
        <f t="shared" si="33"/>
        <v>1.9949712611924197E-2</v>
      </c>
      <c r="P137">
        <f t="shared" si="34"/>
        <v>0.26560758610353102</v>
      </c>
      <c r="V137">
        <v>7.3</v>
      </c>
      <c r="W137">
        <f t="shared" si="32"/>
        <v>-0.85664000000000007</v>
      </c>
    </row>
    <row r="138" spans="1:23" x14ac:dyDescent="0.3">
      <c r="C138">
        <f t="shared" si="25"/>
        <v>0</v>
      </c>
      <c r="D138">
        <v>1.6299999999999999E-2</v>
      </c>
      <c r="E138">
        <v>2.8849251857154604E-3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-1.179910572976012</v>
      </c>
      <c r="L138">
        <v>1</v>
      </c>
      <c r="M138" t="e">
        <f t="shared" si="31"/>
        <v>#NUM!</v>
      </c>
      <c r="N138">
        <f t="shared" si="35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2"/>
        <v>-0.86132000000000009</v>
      </c>
    </row>
    <row r="139" spans="1:23" x14ac:dyDescent="0.3">
      <c r="C139">
        <f t="shared" si="25"/>
        <v>0</v>
      </c>
      <c r="D139">
        <v>1.6299999999999999E-2</v>
      </c>
      <c r="E139">
        <v>2.8849251857154604E-3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-1.179910572976012</v>
      </c>
      <c r="L139">
        <v>1</v>
      </c>
      <c r="M139" t="e">
        <f t="shared" si="31"/>
        <v>#NUM!</v>
      </c>
      <c r="N139">
        <f t="shared" si="35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2"/>
        <v>-0.8660000000000001</v>
      </c>
    </row>
    <row r="140" spans="1:23" x14ac:dyDescent="0.3">
      <c r="C140">
        <f t="shared" si="25"/>
        <v>0</v>
      </c>
      <c r="D140">
        <v>1.6299999999999999E-2</v>
      </c>
      <c r="E140">
        <v>2.8849251857154604E-3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-1.179910572976012</v>
      </c>
      <c r="L140">
        <v>1</v>
      </c>
      <c r="M140" t="e">
        <f t="shared" si="31"/>
        <v>#NUM!</v>
      </c>
      <c r="N140">
        <f t="shared" si="35"/>
        <v>0</v>
      </c>
      <c r="O140">
        <f t="shared" si="33"/>
        <v>0</v>
      </c>
      <c r="P140" t="e">
        <f t="shared" si="34"/>
        <v>#NUM!</v>
      </c>
    </row>
    <row r="141" spans="1:23" x14ac:dyDescent="0.3">
      <c r="C141">
        <f t="shared" si="25"/>
        <v>0</v>
      </c>
      <c r="D141">
        <v>1.6299999999999999E-2</v>
      </c>
      <c r="E141">
        <v>2.8849251857154604E-3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-1.179910572976012</v>
      </c>
      <c r="L141">
        <v>1</v>
      </c>
      <c r="M141" t="e">
        <f t="shared" si="31"/>
        <v>#NUM!</v>
      </c>
      <c r="N141">
        <f t="shared" si="35"/>
        <v>0</v>
      </c>
      <c r="O141">
        <f t="shared" si="33"/>
        <v>0</v>
      </c>
      <c r="P141" t="e">
        <f t="shared" si="34"/>
        <v>#NUM!</v>
      </c>
    </row>
    <row r="142" spans="1:23" x14ac:dyDescent="0.3">
      <c r="C142">
        <f t="shared" si="25"/>
        <v>0</v>
      </c>
      <c r="D142">
        <v>1.6299999999999999E-2</v>
      </c>
      <c r="E142">
        <v>2.8849251857154604E-3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-1.179910572976012</v>
      </c>
      <c r="L142">
        <v>1</v>
      </c>
      <c r="M142" t="e">
        <f t="shared" si="31"/>
        <v>#NUM!</v>
      </c>
      <c r="N142">
        <f t="shared" si="35"/>
        <v>0</v>
      </c>
      <c r="O142">
        <f t="shared" si="33"/>
        <v>0</v>
      </c>
      <c r="P142" t="e">
        <f t="shared" si="34"/>
        <v>#NUM!</v>
      </c>
    </row>
    <row r="143" spans="1:23" x14ac:dyDescent="0.3">
      <c r="C143">
        <f t="shared" si="25"/>
        <v>0</v>
      </c>
      <c r="D143">
        <v>1.6299999999999999E-2</v>
      </c>
      <c r="E143">
        <v>2.8849251857154604E-3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-1.179910572976012</v>
      </c>
      <c r="L143">
        <v>1</v>
      </c>
      <c r="M143" t="e">
        <f t="shared" si="31"/>
        <v>#NUM!</v>
      </c>
      <c r="N143">
        <f t="shared" si="35"/>
        <v>0</v>
      </c>
      <c r="O143">
        <f t="shared" si="33"/>
        <v>0</v>
      </c>
      <c r="P143" t="e">
        <f t="shared" si="34"/>
        <v>#NUM!</v>
      </c>
    </row>
    <row r="144" spans="1:23" x14ac:dyDescent="0.3">
      <c r="C144">
        <f t="shared" si="25"/>
        <v>0</v>
      </c>
      <c r="D144">
        <v>1.6299999999999999E-2</v>
      </c>
      <c r="E144">
        <v>2.8849251857154604E-3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-1.179910572976012</v>
      </c>
      <c r="L144">
        <v>1</v>
      </c>
      <c r="M144" t="e">
        <f t="shared" si="31"/>
        <v>#NUM!</v>
      </c>
      <c r="N144">
        <f t="shared" si="35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1.6299999999999999E-2</v>
      </c>
      <c r="E145">
        <v>2.8849251857154604E-3</v>
      </c>
      <c r="F145">
        <f t="shared" si="26"/>
        <v>0</v>
      </c>
      <c r="G145">
        <f t="shared" ref="G145:G187" si="36">-B145</f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-1.179910572976012</v>
      </c>
      <c r="L145">
        <v>1</v>
      </c>
      <c r="M145" t="e">
        <f t="shared" si="31"/>
        <v>#NUM!</v>
      </c>
      <c r="N145">
        <f t="shared" ref="N145:N187" si="37">D145*A145</f>
        <v>0</v>
      </c>
      <c r="O145">
        <f t="shared" ref="O145:O187" si="38">E145*A145</f>
        <v>0</v>
      </c>
      <c r="P145" t="e">
        <f t="shared" ref="P145:P187" si="39">-K145-M145-N145-O145</f>
        <v>#NUM!</v>
      </c>
    </row>
    <row r="146" spans="3:16" x14ac:dyDescent="0.3">
      <c r="C146">
        <f t="shared" si="25"/>
        <v>0</v>
      </c>
      <c r="D146">
        <v>1.6299999999999999E-2</v>
      </c>
      <c r="E146">
        <v>2.8849251857154604E-3</v>
      </c>
      <c r="F146">
        <f t="shared" si="26"/>
        <v>0</v>
      </c>
      <c r="G146">
        <f t="shared" si="36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-1.179910572976012</v>
      </c>
      <c r="L146">
        <v>1</v>
      </c>
      <c r="M146" t="e">
        <f t="shared" si="31"/>
        <v>#NUM!</v>
      </c>
      <c r="N146">
        <f t="shared" si="37"/>
        <v>0</v>
      </c>
      <c r="O146">
        <f t="shared" si="38"/>
        <v>0</v>
      </c>
      <c r="P146" t="e">
        <f t="shared" si="39"/>
        <v>#NUM!</v>
      </c>
    </row>
    <row r="147" spans="3:16" x14ac:dyDescent="0.3">
      <c r="C147">
        <f t="shared" si="25"/>
        <v>0</v>
      </c>
      <c r="D147">
        <v>1.6299999999999999E-2</v>
      </c>
      <c r="E147">
        <v>2.8849251857154604E-3</v>
      </c>
      <c r="F147">
        <f t="shared" si="26"/>
        <v>0</v>
      </c>
      <c r="G147">
        <f t="shared" si="36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-1.179910572976012</v>
      </c>
      <c r="L147">
        <v>1</v>
      </c>
      <c r="M147" t="e">
        <f t="shared" si="31"/>
        <v>#NUM!</v>
      </c>
      <c r="N147">
        <f t="shared" si="37"/>
        <v>0</v>
      </c>
      <c r="O147">
        <f t="shared" si="38"/>
        <v>0</v>
      </c>
      <c r="P147" t="e">
        <f t="shared" si="39"/>
        <v>#NUM!</v>
      </c>
    </row>
    <row r="148" spans="3:16" x14ac:dyDescent="0.3">
      <c r="C148">
        <f t="shared" si="25"/>
        <v>0</v>
      </c>
      <c r="D148">
        <v>1.6299999999999999E-2</v>
      </c>
      <c r="E148">
        <v>2.8849251857154604E-3</v>
      </c>
      <c r="F148">
        <f t="shared" si="26"/>
        <v>0</v>
      </c>
      <c r="G148">
        <f t="shared" si="36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-1.179910572976012</v>
      </c>
      <c r="L148">
        <v>1</v>
      </c>
      <c r="M148" t="e">
        <f t="shared" si="31"/>
        <v>#NUM!</v>
      </c>
      <c r="N148">
        <f t="shared" si="37"/>
        <v>0</v>
      </c>
      <c r="O148">
        <f t="shared" si="38"/>
        <v>0</v>
      </c>
      <c r="P148" t="e">
        <f t="shared" si="39"/>
        <v>#NUM!</v>
      </c>
    </row>
    <row r="149" spans="3:16" x14ac:dyDescent="0.3">
      <c r="C149">
        <f t="shared" si="25"/>
        <v>0</v>
      </c>
      <c r="D149">
        <v>1.6299999999999999E-2</v>
      </c>
      <c r="E149">
        <v>2.8849251857154604E-3</v>
      </c>
      <c r="F149">
        <f t="shared" si="26"/>
        <v>0</v>
      </c>
      <c r="G149">
        <f t="shared" si="36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-1.179910572976012</v>
      </c>
      <c r="L149">
        <v>1</v>
      </c>
      <c r="M149" t="e">
        <f t="shared" si="31"/>
        <v>#NUM!</v>
      </c>
      <c r="N149">
        <f t="shared" si="37"/>
        <v>0</v>
      </c>
      <c r="O149">
        <f t="shared" si="38"/>
        <v>0</v>
      </c>
      <c r="P149" t="e">
        <f t="shared" si="39"/>
        <v>#NUM!</v>
      </c>
    </row>
    <row r="150" spans="3:16" x14ac:dyDescent="0.3">
      <c r="C150">
        <f t="shared" si="25"/>
        <v>0</v>
      </c>
      <c r="D150">
        <v>1.6299999999999999E-2</v>
      </c>
      <c r="E150">
        <v>2.8849251857154604E-3</v>
      </c>
      <c r="F150">
        <f t="shared" si="26"/>
        <v>0</v>
      </c>
      <c r="G150">
        <f t="shared" si="36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-1.179910572976012</v>
      </c>
      <c r="L150">
        <v>1</v>
      </c>
      <c r="M150" t="e">
        <f t="shared" si="31"/>
        <v>#NUM!</v>
      </c>
      <c r="N150">
        <f t="shared" si="37"/>
        <v>0</v>
      </c>
      <c r="O150">
        <f t="shared" si="38"/>
        <v>0</v>
      </c>
      <c r="P150" t="e">
        <f t="shared" si="39"/>
        <v>#NUM!</v>
      </c>
    </row>
    <row r="151" spans="3:16" x14ac:dyDescent="0.3">
      <c r="C151">
        <f t="shared" si="25"/>
        <v>0</v>
      </c>
      <c r="D151">
        <v>1.6299999999999999E-2</v>
      </c>
      <c r="E151">
        <v>2.8849251857154604E-3</v>
      </c>
      <c r="F151">
        <f t="shared" si="26"/>
        <v>0</v>
      </c>
      <c r="G151">
        <f t="shared" si="36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-1.179910572976012</v>
      </c>
      <c r="L151">
        <v>1</v>
      </c>
      <c r="M151" t="e">
        <f t="shared" si="31"/>
        <v>#NUM!</v>
      </c>
      <c r="N151">
        <f t="shared" si="37"/>
        <v>0</v>
      </c>
      <c r="O151">
        <f t="shared" si="38"/>
        <v>0</v>
      </c>
      <c r="P151" t="e">
        <f t="shared" si="39"/>
        <v>#NUM!</v>
      </c>
    </row>
    <row r="152" spans="3:16" x14ac:dyDescent="0.3">
      <c r="C152">
        <f t="shared" si="25"/>
        <v>0</v>
      </c>
      <c r="D152">
        <v>1.6299999999999999E-2</v>
      </c>
      <c r="E152">
        <v>2.8849251857154604E-3</v>
      </c>
      <c r="F152">
        <f t="shared" si="26"/>
        <v>0</v>
      </c>
      <c r="G152">
        <f t="shared" si="36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-1.179910572976012</v>
      </c>
      <c r="L152">
        <v>1</v>
      </c>
      <c r="M152" t="e">
        <f t="shared" si="31"/>
        <v>#NUM!</v>
      </c>
      <c r="N152">
        <f t="shared" si="37"/>
        <v>0</v>
      </c>
      <c r="O152">
        <f t="shared" si="38"/>
        <v>0</v>
      </c>
      <c r="P152" t="e">
        <f t="shared" si="39"/>
        <v>#NUM!</v>
      </c>
    </row>
    <row r="153" spans="3:16" x14ac:dyDescent="0.3">
      <c r="C153">
        <f t="shared" si="25"/>
        <v>0</v>
      </c>
      <c r="D153">
        <v>1.6299999999999999E-2</v>
      </c>
      <c r="E153">
        <v>2.8849251857154604E-3</v>
      </c>
      <c r="F153">
        <f t="shared" si="26"/>
        <v>0</v>
      </c>
      <c r="G153">
        <f t="shared" si="36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-1.179910572976012</v>
      </c>
      <c r="L153">
        <v>1</v>
      </c>
      <c r="M153" t="e">
        <f t="shared" si="31"/>
        <v>#NUM!</v>
      </c>
      <c r="N153">
        <f t="shared" si="37"/>
        <v>0</v>
      </c>
      <c r="O153">
        <f t="shared" si="38"/>
        <v>0</v>
      </c>
      <c r="P153" t="e">
        <f t="shared" si="39"/>
        <v>#NUM!</v>
      </c>
    </row>
    <row r="154" spans="3:16" x14ac:dyDescent="0.3">
      <c r="C154">
        <f t="shared" si="25"/>
        <v>0</v>
      </c>
      <c r="D154">
        <v>1.6299999999999999E-2</v>
      </c>
      <c r="E154">
        <v>2.8849251857154604E-3</v>
      </c>
      <c r="F154">
        <f t="shared" si="26"/>
        <v>0</v>
      </c>
      <c r="G154">
        <f t="shared" si="36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-1.179910572976012</v>
      </c>
      <c r="L154">
        <v>1</v>
      </c>
      <c r="M154" t="e">
        <f t="shared" si="31"/>
        <v>#NUM!</v>
      </c>
      <c r="N154">
        <f t="shared" si="37"/>
        <v>0</v>
      </c>
      <c r="O154">
        <f t="shared" si="38"/>
        <v>0</v>
      </c>
      <c r="P154" t="e">
        <f t="shared" si="39"/>
        <v>#NUM!</v>
      </c>
    </row>
    <row r="155" spans="3:16" x14ac:dyDescent="0.3">
      <c r="C155">
        <f t="shared" si="25"/>
        <v>0</v>
      </c>
      <c r="D155">
        <v>1.6299999999999999E-2</v>
      </c>
      <c r="E155">
        <v>2.8849251857154604E-3</v>
      </c>
      <c r="F155">
        <f t="shared" si="26"/>
        <v>0</v>
      </c>
      <c r="G155">
        <f t="shared" si="36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-1.179910572976012</v>
      </c>
      <c r="L155">
        <v>1</v>
      </c>
      <c r="M155" t="e">
        <f t="shared" si="31"/>
        <v>#NUM!</v>
      </c>
      <c r="N155">
        <f t="shared" si="37"/>
        <v>0</v>
      </c>
      <c r="O155">
        <f t="shared" si="38"/>
        <v>0</v>
      </c>
      <c r="P155" t="e">
        <f t="shared" si="39"/>
        <v>#NUM!</v>
      </c>
    </row>
    <row r="156" spans="3:16" x14ac:dyDescent="0.3">
      <c r="C156">
        <f t="shared" si="25"/>
        <v>0</v>
      </c>
      <c r="D156">
        <v>1.6299999999999999E-2</v>
      </c>
      <c r="E156">
        <v>2.8849251857154604E-3</v>
      </c>
      <c r="F156">
        <f t="shared" si="26"/>
        <v>0</v>
      </c>
      <c r="G156">
        <f t="shared" si="36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-1.179910572976012</v>
      </c>
      <c r="L156">
        <v>1</v>
      </c>
      <c r="M156" t="e">
        <f t="shared" si="31"/>
        <v>#NUM!</v>
      </c>
      <c r="N156">
        <f t="shared" si="37"/>
        <v>0</v>
      </c>
      <c r="O156">
        <f t="shared" si="38"/>
        <v>0</v>
      </c>
      <c r="P156" t="e">
        <f t="shared" si="39"/>
        <v>#NUM!</v>
      </c>
    </row>
    <row r="157" spans="3:16" x14ac:dyDescent="0.3">
      <c r="C157">
        <f t="shared" si="25"/>
        <v>0</v>
      </c>
      <c r="D157">
        <v>1.6299999999999999E-2</v>
      </c>
      <c r="E157">
        <v>2.8849251857154604E-3</v>
      </c>
      <c r="F157">
        <f t="shared" si="26"/>
        <v>0</v>
      </c>
      <c r="G157">
        <f t="shared" si="36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-1.179910572976012</v>
      </c>
      <c r="L157">
        <v>1</v>
      </c>
      <c r="M157" t="e">
        <f t="shared" si="31"/>
        <v>#NUM!</v>
      </c>
      <c r="N157">
        <f t="shared" si="37"/>
        <v>0</v>
      </c>
      <c r="O157">
        <f t="shared" si="38"/>
        <v>0</v>
      </c>
      <c r="P157" t="e">
        <f t="shared" si="39"/>
        <v>#NUM!</v>
      </c>
    </row>
    <row r="158" spans="3:16" x14ac:dyDescent="0.3">
      <c r="C158">
        <f t="shared" si="25"/>
        <v>0</v>
      </c>
      <c r="D158">
        <v>1.6299999999999999E-2</v>
      </c>
      <c r="E158">
        <v>2.8849251857154604E-3</v>
      </c>
      <c r="F158">
        <f t="shared" si="26"/>
        <v>0</v>
      </c>
      <c r="G158">
        <f t="shared" si="36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-1.179910572976012</v>
      </c>
      <c r="L158">
        <v>1</v>
      </c>
      <c r="M158" t="e">
        <f t="shared" si="31"/>
        <v>#NUM!</v>
      </c>
      <c r="N158">
        <f t="shared" si="37"/>
        <v>0</v>
      </c>
      <c r="O158">
        <f t="shared" si="38"/>
        <v>0</v>
      </c>
      <c r="P158" t="e">
        <f t="shared" si="39"/>
        <v>#NUM!</v>
      </c>
    </row>
    <row r="159" spans="3:16" x14ac:dyDescent="0.3">
      <c r="C159">
        <f t="shared" si="25"/>
        <v>0</v>
      </c>
      <c r="D159">
        <v>1.6299999999999999E-2</v>
      </c>
      <c r="E159">
        <v>2.8849251857154604E-3</v>
      </c>
      <c r="F159">
        <f t="shared" si="26"/>
        <v>0</v>
      </c>
      <c r="G159">
        <f t="shared" si="36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-1.179910572976012</v>
      </c>
      <c r="L159">
        <v>1</v>
      </c>
      <c r="M159" t="e">
        <f t="shared" si="31"/>
        <v>#NUM!</v>
      </c>
      <c r="N159">
        <f t="shared" si="37"/>
        <v>0</v>
      </c>
      <c r="O159">
        <f t="shared" si="38"/>
        <v>0</v>
      </c>
      <c r="P159" t="e">
        <f t="shared" si="39"/>
        <v>#NUM!</v>
      </c>
    </row>
    <row r="160" spans="3:16" x14ac:dyDescent="0.3">
      <c r="C160">
        <f t="shared" si="25"/>
        <v>0</v>
      </c>
      <c r="D160">
        <v>1.6299999999999999E-2</v>
      </c>
      <c r="E160">
        <v>2.8849251857154604E-3</v>
      </c>
      <c r="F160">
        <f t="shared" si="26"/>
        <v>0</v>
      </c>
      <c r="G160">
        <f t="shared" si="36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-1.179910572976012</v>
      </c>
      <c r="L160">
        <v>1</v>
      </c>
      <c r="M160" t="e">
        <f t="shared" si="31"/>
        <v>#NUM!</v>
      </c>
      <c r="N160">
        <f t="shared" si="37"/>
        <v>0</v>
      </c>
      <c r="O160">
        <f t="shared" si="38"/>
        <v>0</v>
      </c>
      <c r="P160" t="e">
        <f t="shared" si="39"/>
        <v>#NUM!</v>
      </c>
    </row>
    <row r="161" spans="3:16" x14ac:dyDescent="0.3">
      <c r="C161">
        <f t="shared" si="25"/>
        <v>0</v>
      </c>
      <c r="D161">
        <v>1.6299999999999999E-2</v>
      </c>
      <c r="E161">
        <v>2.8849251857154604E-3</v>
      </c>
      <c r="F161">
        <f t="shared" si="26"/>
        <v>0</v>
      </c>
      <c r="G161">
        <f t="shared" si="36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-1.179910572976012</v>
      </c>
      <c r="L161">
        <v>1</v>
      </c>
      <c r="M161" t="e">
        <f t="shared" si="31"/>
        <v>#NUM!</v>
      </c>
      <c r="N161">
        <f t="shared" si="37"/>
        <v>0</v>
      </c>
      <c r="O161">
        <f t="shared" si="38"/>
        <v>0</v>
      </c>
      <c r="P161" t="e">
        <f t="shared" si="39"/>
        <v>#NUM!</v>
      </c>
    </row>
    <row r="162" spans="3:16" x14ac:dyDescent="0.3">
      <c r="C162">
        <f t="shared" si="25"/>
        <v>0</v>
      </c>
      <c r="D162">
        <v>1.6299999999999999E-2</v>
      </c>
      <c r="E162">
        <v>2.8849251857154604E-3</v>
      </c>
      <c r="F162">
        <f t="shared" si="26"/>
        <v>0</v>
      </c>
      <c r="G162">
        <f t="shared" si="36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-1.179910572976012</v>
      </c>
      <c r="L162">
        <v>1</v>
      </c>
      <c r="M162" t="e">
        <f t="shared" si="31"/>
        <v>#NUM!</v>
      </c>
      <c r="N162">
        <f t="shared" si="37"/>
        <v>0</v>
      </c>
      <c r="O162">
        <f t="shared" si="38"/>
        <v>0</v>
      </c>
      <c r="P162" t="e">
        <f t="shared" si="39"/>
        <v>#NUM!</v>
      </c>
    </row>
    <row r="163" spans="3:16" x14ac:dyDescent="0.3">
      <c r="C163">
        <f t="shared" si="25"/>
        <v>0</v>
      </c>
      <c r="D163">
        <v>1.6299999999999999E-2</v>
      </c>
      <c r="E163">
        <v>2.8849251857154604E-3</v>
      </c>
      <c r="F163">
        <f t="shared" si="26"/>
        <v>0</v>
      </c>
      <c r="G163">
        <f t="shared" si="36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-1.179910572976012</v>
      </c>
      <c r="L163">
        <v>1</v>
      </c>
      <c r="M163" t="e">
        <f t="shared" si="31"/>
        <v>#NUM!</v>
      </c>
      <c r="N163">
        <f t="shared" si="37"/>
        <v>0</v>
      </c>
      <c r="O163">
        <f t="shared" si="38"/>
        <v>0</v>
      </c>
      <c r="P163" t="e">
        <f t="shared" si="39"/>
        <v>#NUM!</v>
      </c>
    </row>
    <row r="164" spans="3:16" x14ac:dyDescent="0.3">
      <c r="C164">
        <f t="shared" si="25"/>
        <v>0</v>
      </c>
      <c r="D164">
        <v>1.6299999999999999E-2</v>
      </c>
      <c r="E164">
        <v>2.8849251857154604E-3</v>
      </c>
      <c r="F164">
        <f t="shared" si="26"/>
        <v>0</v>
      </c>
      <c r="G164">
        <f t="shared" si="36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-1.179910572976012</v>
      </c>
      <c r="L164">
        <v>1</v>
      </c>
      <c r="M164" t="e">
        <f t="shared" si="31"/>
        <v>#NUM!</v>
      </c>
      <c r="N164">
        <f t="shared" si="37"/>
        <v>0</v>
      </c>
      <c r="O164">
        <f t="shared" si="38"/>
        <v>0</v>
      </c>
      <c r="P164" t="e">
        <f t="shared" si="39"/>
        <v>#NUM!</v>
      </c>
    </row>
    <row r="165" spans="3:16" x14ac:dyDescent="0.3">
      <c r="C165">
        <f t="shared" si="25"/>
        <v>0</v>
      </c>
      <c r="D165">
        <v>1.6299999999999999E-2</v>
      </c>
      <c r="E165">
        <v>2.8849251857154604E-3</v>
      </c>
      <c r="F165">
        <f t="shared" si="26"/>
        <v>0</v>
      </c>
      <c r="G165">
        <f t="shared" si="36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-1.179910572976012</v>
      </c>
      <c r="L165">
        <v>1</v>
      </c>
      <c r="M165" t="e">
        <f t="shared" si="31"/>
        <v>#NUM!</v>
      </c>
      <c r="N165">
        <f t="shared" si="37"/>
        <v>0</v>
      </c>
      <c r="O165">
        <f t="shared" si="38"/>
        <v>0</v>
      </c>
      <c r="P165" t="e">
        <f t="shared" si="39"/>
        <v>#NUM!</v>
      </c>
    </row>
    <row r="166" spans="3:16" x14ac:dyDescent="0.3">
      <c r="C166">
        <f t="shared" si="25"/>
        <v>0</v>
      </c>
      <c r="D166">
        <v>1.6299999999999999E-2</v>
      </c>
      <c r="E166">
        <v>2.8849251857154604E-3</v>
      </c>
      <c r="F166">
        <f t="shared" si="26"/>
        <v>0</v>
      </c>
      <c r="G166">
        <f t="shared" si="36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-1.179910572976012</v>
      </c>
      <c r="L166">
        <v>1</v>
      </c>
      <c r="M166" t="e">
        <f t="shared" si="31"/>
        <v>#NUM!</v>
      </c>
      <c r="N166">
        <f t="shared" si="37"/>
        <v>0</v>
      </c>
      <c r="O166">
        <f t="shared" si="38"/>
        <v>0</v>
      </c>
      <c r="P166" t="e">
        <f t="shared" si="39"/>
        <v>#NUM!</v>
      </c>
    </row>
    <row r="167" spans="3:16" x14ac:dyDescent="0.3">
      <c r="C167">
        <f t="shared" si="25"/>
        <v>0</v>
      </c>
      <c r="D167">
        <v>1.6299999999999999E-2</v>
      </c>
      <c r="E167">
        <v>2.8849251857154604E-3</v>
      </c>
      <c r="F167">
        <f t="shared" si="26"/>
        <v>0</v>
      </c>
      <c r="G167">
        <f t="shared" si="36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-1.179910572976012</v>
      </c>
      <c r="L167">
        <v>1</v>
      </c>
      <c r="M167" t="e">
        <f t="shared" si="31"/>
        <v>#NUM!</v>
      </c>
      <c r="N167">
        <f t="shared" si="37"/>
        <v>0</v>
      </c>
      <c r="O167">
        <f t="shared" si="38"/>
        <v>0</v>
      </c>
      <c r="P167" t="e">
        <f t="shared" si="39"/>
        <v>#NUM!</v>
      </c>
    </row>
    <row r="168" spans="3:16" x14ac:dyDescent="0.3">
      <c r="C168">
        <f t="shared" si="25"/>
        <v>0</v>
      </c>
      <c r="D168">
        <v>1.6299999999999999E-2</v>
      </c>
      <c r="E168">
        <v>2.8849251857154604E-3</v>
      </c>
      <c r="F168">
        <f t="shared" si="26"/>
        <v>0</v>
      </c>
      <c r="G168">
        <f t="shared" si="36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-1.179910572976012</v>
      </c>
      <c r="L168">
        <v>1</v>
      </c>
      <c r="M168" t="e">
        <f t="shared" si="31"/>
        <v>#NUM!</v>
      </c>
      <c r="N168">
        <f t="shared" si="37"/>
        <v>0</v>
      </c>
      <c r="O168">
        <f t="shared" si="38"/>
        <v>0</v>
      </c>
      <c r="P168" t="e">
        <f t="shared" si="39"/>
        <v>#NUM!</v>
      </c>
    </row>
    <row r="169" spans="3:16" x14ac:dyDescent="0.3">
      <c r="C169">
        <f t="shared" si="25"/>
        <v>0</v>
      </c>
      <c r="D169">
        <v>1.6299999999999999E-2</v>
      </c>
      <c r="E169">
        <v>2.8849251857154604E-3</v>
      </c>
      <c r="F169">
        <f t="shared" si="26"/>
        <v>0</v>
      </c>
      <c r="G169">
        <f t="shared" si="36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-1.179910572976012</v>
      </c>
      <c r="L169">
        <v>1</v>
      </c>
      <c r="M169" t="e">
        <f t="shared" si="31"/>
        <v>#NUM!</v>
      </c>
      <c r="N169">
        <f t="shared" si="37"/>
        <v>0</v>
      </c>
      <c r="O169">
        <f t="shared" si="38"/>
        <v>0</v>
      </c>
      <c r="P169" t="e">
        <f t="shared" si="39"/>
        <v>#NUM!</v>
      </c>
    </row>
    <row r="170" spans="3:16" x14ac:dyDescent="0.3">
      <c r="C170">
        <f t="shared" si="25"/>
        <v>0</v>
      </c>
      <c r="D170">
        <v>1.6299999999999999E-2</v>
      </c>
      <c r="E170">
        <v>2.8849251857154604E-3</v>
      </c>
      <c r="F170">
        <f t="shared" si="26"/>
        <v>0</v>
      </c>
      <c r="G170">
        <f t="shared" si="36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-1.179910572976012</v>
      </c>
      <c r="L170">
        <v>1</v>
      </c>
      <c r="M170" t="e">
        <f t="shared" si="31"/>
        <v>#NUM!</v>
      </c>
      <c r="N170">
        <f t="shared" si="37"/>
        <v>0</v>
      </c>
      <c r="O170">
        <f t="shared" si="38"/>
        <v>0</v>
      </c>
      <c r="P170" t="e">
        <f t="shared" si="39"/>
        <v>#NUM!</v>
      </c>
    </row>
    <row r="171" spans="3:16" x14ac:dyDescent="0.3">
      <c r="C171">
        <f t="shared" si="25"/>
        <v>0</v>
      </c>
      <c r="D171">
        <v>1.6299999999999999E-2</v>
      </c>
      <c r="E171">
        <v>2.8849251857154604E-3</v>
      </c>
      <c r="F171">
        <f t="shared" si="26"/>
        <v>0</v>
      </c>
      <c r="G171">
        <f t="shared" si="36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-1.179910572976012</v>
      </c>
      <c r="L171">
        <v>1</v>
      </c>
      <c r="M171" t="e">
        <f t="shared" si="31"/>
        <v>#NUM!</v>
      </c>
      <c r="N171">
        <f t="shared" si="37"/>
        <v>0</v>
      </c>
      <c r="O171">
        <f t="shared" si="38"/>
        <v>0</v>
      </c>
      <c r="P171" t="e">
        <f t="shared" si="39"/>
        <v>#NUM!</v>
      </c>
    </row>
    <row r="172" spans="3:16" x14ac:dyDescent="0.3">
      <c r="C172">
        <f t="shared" si="25"/>
        <v>0</v>
      </c>
      <c r="D172">
        <v>1.6299999999999999E-2</v>
      </c>
      <c r="E172">
        <v>2.8849251857154604E-3</v>
      </c>
      <c r="F172">
        <f t="shared" si="26"/>
        <v>0</v>
      </c>
      <c r="G172">
        <f t="shared" si="36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-1.179910572976012</v>
      </c>
      <c r="L172">
        <v>1</v>
      </c>
      <c r="M172" t="e">
        <f t="shared" si="31"/>
        <v>#NUM!</v>
      </c>
      <c r="N172">
        <f t="shared" si="37"/>
        <v>0</v>
      </c>
      <c r="O172">
        <f t="shared" si="38"/>
        <v>0</v>
      </c>
      <c r="P172" t="e">
        <f t="shared" si="39"/>
        <v>#NUM!</v>
      </c>
    </row>
    <row r="173" spans="3:16" x14ac:dyDescent="0.3">
      <c r="C173">
        <f t="shared" si="25"/>
        <v>0</v>
      </c>
      <c r="D173">
        <v>1.6299999999999999E-2</v>
      </c>
      <c r="E173">
        <v>2.8849251857154604E-3</v>
      </c>
      <c r="F173">
        <f t="shared" si="26"/>
        <v>0</v>
      </c>
      <c r="G173">
        <f t="shared" si="36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-1.179910572976012</v>
      </c>
      <c r="L173">
        <v>1</v>
      </c>
      <c r="M173" t="e">
        <f t="shared" si="31"/>
        <v>#NUM!</v>
      </c>
      <c r="N173">
        <f t="shared" si="37"/>
        <v>0</v>
      </c>
      <c r="O173">
        <f t="shared" si="38"/>
        <v>0</v>
      </c>
      <c r="P173" t="e">
        <f t="shared" si="39"/>
        <v>#NUM!</v>
      </c>
    </row>
    <row r="174" spans="3:16" x14ac:dyDescent="0.3">
      <c r="C174">
        <f t="shared" si="25"/>
        <v>0</v>
      </c>
      <c r="D174">
        <v>1.6299999999999999E-2</v>
      </c>
      <c r="E174">
        <v>2.8849251857154604E-3</v>
      </c>
      <c r="F174">
        <f t="shared" si="26"/>
        <v>0</v>
      </c>
      <c r="G174">
        <f t="shared" si="36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-1.179910572976012</v>
      </c>
      <c r="L174">
        <v>1</v>
      </c>
      <c r="M174" t="e">
        <f t="shared" si="31"/>
        <v>#NUM!</v>
      </c>
      <c r="N174">
        <f t="shared" si="37"/>
        <v>0</v>
      </c>
      <c r="O174">
        <f t="shared" si="38"/>
        <v>0</v>
      </c>
      <c r="P174" t="e">
        <f t="shared" si="39"/>
        <v>#NUM!</v>
      </c>
    </row>
    <row r="175" spans="3:16" x14ac:dyDescent="0.3">
      <c r="C175">
        <f t="shared" si="25"/>
        <v>0</v>
      </c>
      <c r="D175">
        <v>1.6299999999999999E-2</v>
      </c>
      <c r="E175">
        <v>2.8849251857154604E-3</v>
      </c>
      <c r="F175">
        <f t="shared" si="26"/>
        <v>0</v>
      </c>
      <c r="G175">
        <f t="shared" si="36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-1.179910572976012</v>
      </c>
      <c r="L175">
        <v>1</v>
      </c>
      <c r="M175" t="e">
        <f t="shared" si="31"/>
        <v>#NUM!</v>
      </c>
      <c r="N175">
        <f t="shared" si="37"/>
        <v>0</v>
      </c>
      <c r="O175">
        <f t="shared" si="38"/>
        <v>0</v>
      </c>
      <c r="P175" t="e">
        <f t="shared" si="39"/>
        <v>#NUM!</v>
      </c>
    </row>
    <row r="176" spans="3:16" x14ac:dyDescent="0.3">
      <c r="C176">
        <f t="shared" si="25"/>
        <v>0</v>
      </c>
      <c r="D176">
        <v>1.6299999999999999E-2</v>
      </c>
      <c r="E176">
        <v>2.8849251857154604E-3</v>
      </c>
      <c r="F176">
        <f t="shared" si="26"/>
        <v>0</v>
      </c>
      <c r="G176">
        <f t="shared" si="36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-1.179910572976012</v>
      </c>
      <c r="L176">
        <v>1</v>
      </c>
      <c r="M176" t="e">
        <f t="shared" si="31"/>
        <v>#NUM!</v>
      </c>
      <c r="N176">
        <f t="shared" si="37"/>
        <v>0</v>
      </c>
      <c r="O176">
        <f t="shared" si="38"/>
        <v>0</v>
      </c>
      <c r="P176" t="e">
        <f t="shared" si="39"/>
        <v>#NUM!</v>
      </c>
    </row>
    <row r="177" spans="3:16" x14ac:dyDescent="0.3">
      <c r="C177">
        <f t="shared" si="25"/>
        <v>0</v>
      </c>
      <c r="D177">
        <v>1.6299999999999999E-2</v>
      </c>
      <c r="E177">
        <v>2.8849251857154604E-3</v>
      </c>
      <c r="F177">
        <f t="shared" si="26"/>
        <v>0</v>
      </c>
      <c r="G177">
        <f t="shared" si="36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-1.179910572976012</v>
      </c>
      <c r="L177">
        <v>1</v>
      </c>
      <c r="M177" t="e">
        <f t="shared" si="31"/>
        <v>#NUM!</v>
      </c>
      <c r="N177">
        <f t="shared" si="37"/>
        <v>0</v>
      </c>
      <c r="O177">
        <f t="shared" si="38"/>
        <v>0</v>
      </c>
      <c r="P177" t="e">
        <f t="shared" si="39"/>
        <v>#NUM!</v>
      </c>
    </row>
    <row r="178" spans="3:16" x14ac:dyDescent="0.3">
      <c r="C178">
        <f t="shared" si="25"/>
        <v>0</v>
      </c>
      <c r="D178">
        <v>1.6299999999999999E-2</v>
      </c>
      <c r="E178">
        <v>2.8849251857154604E-3</v>
      </c>
      <c r="F178">
        <f t="shared" si="26"/>
        <v>0</v>
      </c>
      <c r="G178">
        <f t="shared" si="36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-1.179910572976012</v>
      </c>
      <c r="L178">
        <v>1</v>
      </c>
      <c r="M178" t="e">
        <f t="shared" si="31"/>
        <v>#NUM!</v>
      </c>
      <c r="N178">
        <f t="shared" si="37"/>
        <v>0</v>
      </c>
      <c r="O178">
        <f t="shared" si="38"/>
        <v>0</v>
      </c>
      <c r="P178" t="e">
        <f t="shared" si="39"/>
        <v>#NUM!</v>
      </c>
    </row>
    <row r="179" spans="3:16" x14ac:dyDescent="0.3">
      <c r="C179">
        <f t="shared" si="25"/>
        <v>0</v>
      </c>
      <c r="D179">
        <v>1.6299999999999999E-2</v>
      </c>
      <c r="E179">
        <v>2.8849251857154604E-3</v>
      </c>
      <c r="F179">
        <f t="shared" si="26"/>
        <v>0</v>
      </c>
      <c r="G179">
        <f t="shared" si="36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-1.179910572976012</v>
      </c>
      <c r="L179">
        <v>1</v>
      </c>
      <c r="M179" t="e">
        <f t="shared" si="31"/>
        <v>#NUM!</v>
      </c>
      <c r="N179">
        <f t="shared" si="37"/>
        <v>0</v>
      </c>
      <c r="O179">
        <f t="shared" si="38"/>
        <v>0</v>
      </c>
      <c r="P179" t="e">
        <f t="shared" si="39"/>
        <v>#NUM!</v>
      </c>
    </row>
    <row r="180" spans="3:16" x14ac:dyDescent="0.3">
      <c r="C180">
        <f t="shared" si="25"/>
        <v>0</v>
      </c>
      <c r="D180">
        <v>1.6299999999999999E-2</v>
      </c>
      <c r="E180">
        <v>2.8849251857154604E-3</v>
      </c>
      <c r="F180">
        <f t="shared" si="26"/>
        <v>0</v>
      </c>
      <c r="G180">
        <f t="shared" si="36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-1.179910572976012</v>
      </c>
      <c r="L180">
        <v>1</v>
      </c>
      <c r="M180" t="e">
        <f t="shared" si="31"/>
        <v>#NUM!</v>
      </c>
      <c r="N180">
        <f t="shared" si="37"/>
        <v>0</v>
      </c>
      <c r="O180">
        <f t="shared" si="38"/>
        <v>0</v>
      </c>
      <c r="P180" t="e">
        <f t="shared" si="39"/>
        <v>#NUM!</v>
      </c>
    </row>
    <row r="181" spans="3:16" x14ac:dyDescent="0.3">
      <c r="C181">
        <f t="shared" si="25"/>
        <v>0</v>
      </c>
      <c r="D181">
        <v>1.6299999999999999E-2</v>
      </c>
      <c r="E181">
        <v>2.8849251857154604E-3</v>
      </c>
      <c r="F181">
        <f t="shared" si="26"/>
        <v>0</v>
      </c>
      <c r="G181">
        <f t="shared" si="36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-1.179910572976012</v>
      </c>
      <c r="L181">
        <v>1</v>
      </c>
      <c r="M181" t="e">
        <f t="shared" si="31"/>
        <v>#NUM!</v>
      </c>
      <c r="N181">
        <f t="shared" si="37"/>
        <v>0</v>
      </c>
      <c r="O181">
        <f t="shared" si="38"/>
        <v>0</v>
      </c>
      <c r="P181" t="e">
        <f t="shared" si="39"/>
        <v>#NUM!</v>
      </c>
    </row>
    <row r="182" spans="3:16" x14ac:dyDescent="0.3">
      <c r="C182">
        <f t="shared" si="25"/>
        <v>0</v>
      </c>
      <c r="D182">
        <v>1.6299999999999999E-2</v>
      </c>
      <c r="E182">
        <v>2.8849251857154604E-3</v>
      </c>
      <c r="F182">
        <f t="shared" si="26"/>
        <v>0</v>
      </c>
      <c r="G182">
        <f t="shared" si="36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-1.179910572976012</v>
      </c>
      <c r="L182">
        <v>1</v>
      </c>
      <c r="M182" t="e">
        <f t="shared" si="31"/>
        <v>#NUM!</v>
      </c>
      <c r="N182">
        <f t="shared" si="37"/>
        <v>0</v>
      </c>
      <c r="O182">
        <f t="shared" si="38"/>
        <v>0</v>
      </c>
      <c r="P182" t="e">
        <f t="shared" si="39"/>
        <v>#NUM!</v>
      </c>
    </row>
    <row r="183" spans="3:16" x14ac:dyDescent="0.3">
      <c r="C183">
        <f t="shared" si="25"/>
        <v>0</v>
      </c>
      <c r="D183">
        <v>1.6299999999999999E-2</v>
      </c>
      <c r="E183">
        <v>2.8849251857154604E-3</v>
      </c>
      <c r="F183">
        <f t="shared" si="26"/>
        <v>0</v>
      </c>
      <c r="G183">
        <f t="shared" si="36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-1.179910572976012</v>
      </c>
      <c r="L183">
        <v>1</v>
      </c>
      <c r="M183" t="e">
        <f t="shared" si="31"/>
        <v>#NUM!</v>
      </c>
      <c r="N183">
        <f t="shared" si="37"/>
        <v>0</v>
      </c>
      <c r="O183">
        <f t="shared" si="38"/>
        <v>0</v>
      </c>
      <c r="P183" t="e">
        <f t="shared" si="39"/>
        <v>#NUM!</v>
      </c>
    </row>
    <row r="184" spans="3:16" x14ac:dyDescent="0.3">
      <c r="C184">
        <f t="shared" si="25"/>
        <v>0</v>
      </c>
      <c r="D184">
        <v>1.6299999999999999E-2</v>
      </c>
      <c r="E184">
        <v>2.8849251857154604E-3</v>
      </c>
      <c r="F184">
        <f t="shared" si="26"/>
        <v>0</v>
      </c>
      <c r="G184">
        <f t="shared" si="36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-1.179910572976012</v>
      </c>
      <c r="L184">
        <v>1</v>
      </c>
      <c r="M184" t="e">
        <f t="shared" si="31"/>
        <v>#NUM!</v>
      </c>
      <c r="N184">
        <f t="shared" si="37"/>
        <v>0</v>
      </c>
      <c r="O184">
        <f t="shared" si="38"/>
        <v>0</v>
      </c>
      <c r="P184" t="e">
        <f t="shared" si="39"/>
        <v>#NUM!</v>
      </c>
    </row>
    <row r="185" spans="3:16" x14ac:dyDescent="0.3">
      <c r="C185">
        <f t="shared" si="25"/>
        <v>0</v>
      </c>
      <c r="D185">
        <v>1.6299999999999999E-2</v>
      </c>
      <c r="E185">
        <v>2.8849251857154604E-3</v>
      </c>
      <c r="F185">
        <f t="shared" si="26"/>
        <v>0</v>
      </c>
      <c r="G185">
        <f t="shared" si="36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-1.179910572976012</v>
      </c>
      <c r="L185">
        <v>1</v>
      </c>
      <c r="M185" t="e">
        <f t="shared" si="31"/>
        <v>#NUM!</v>
      </c>
      <c r="N185">
        <f t="shared" si="37"/>
        <v>0</v>
      </c>
      <c r="O185">
        <f t="shared" si="38"/>
        <v>0</v>
      </c>
      <c r="P185" t="e">
        <f t="shared" si="39"/>
        <v>#NUM!</v>
      </c>
    </row>
    <row r="186" spans="3:16" x14ac:dyDescent="0.3">
      <c r="C186">
        <f t="shared" si="25"/>
        <v>0</v>
      </c>
      <c r="D186">
        <v>1.6299999999999999E-2</v>
      </c>
      <c r="E186">
        <v>2.8849251857154604E-3</v>
      </c>
      <c r="F186">
        <f t="shared" si="26"/>
        <v>0</v>
      </c>
      <c r="G186">
        <f t="shared" si="36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-1.179910572976012</v>
      </c>
      <c r="L186">
        <v>1</v>
      </c>
      <c r="M186" t="e">
        <f t="shared" si="31"/>
        <v>#NUM!</v>
      </c>
      <c r="N186">
        <f t="shared" si="37"/>
        <v>0</v>
      </c>
      <c r="O186">
        <f t="shared" si="38"/>
        <v>0</v>
      </c>
      <c r="P186" t="e">
        <f t="shared" si="39"/>
        <v>#NUM!</v>
      </c>
    </row>
    <row r="187" spans="3:16" x14ac:dyDescent="0.3">
      <c r="C187">
        <f t="shared" si="25"/>
        <v>0</v>
      </c>
      <c r="D187">
        <v>1.6299999999999999E-2</v>
      </c>
      <c r="E187">
        <v>2.8849251857154604E-3</v>
      </c>
      <c r="F187">
        <f t="shared" si="26"/>
        <v>0</v>
      </c>
      <c r="G187">
        <f t="shared" si="36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-1.179910572976012</v>
      </c>
      <c r="L187">
        <v>1</v>
      </c>
      <c r="M187" t="e">
        <f t="shared" si="31"/>
        <v>#NUM!</v>
      </c>
      <c r="N187">
        <f t="shared" si="37"/>
        <v>0</v>
      </c>
      <c r="O187">
        <f t="shared" si="38"/>
        <v>0</v>
      </c>
      <c r="P187" t="e">
        <f t="shared" si="39"/>
        <v>#NUM!</v>
      </c>
    </row>
    <row r="188" spans="3:16" x14ac:dyDescent="0.3">
      <c r="C188">
        <f t="shared" si="25"/>
        <v>0</v>
      </c>
      <c r="D188">
        <v>1.6299999999999999E-2</v>
      </c>
      <c r="E188">
        <v>2.8849251857154604E-3</v>
      </c>
      <c r="F188">
        <f t="shared" si="26"/>
        <v>0</v>
      </c>
      <c r="G188">
        <f t="shared" ref="G188:G211" si="40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1">((-G188)-$N$2)</f>
        <v>-1.179910572976012</v>
      </c>
      <c r="L188">
        <v>1</v>
      </c>
      <c r="M188" t="e">
        <f t="shared" si="31"/>
        <v>#NUM!</v>
      </c>
      <c r="N188">
        <f t="shared" ref="N188:N211" si="42">D188*A188</f>
        <v>0</v>
      </c>
      <c r="O188">
        <f t="shared" ref="O188:O211" si="43">E188*A188</f>
        <v>0</v>
      </c>
      <c r="P188" t="e">
        <f t="shared" ref="P188:P211" si="44">-K188-M188-N188-O188</f>
        <v>#NUM!</v>
      </c>
    </row>
    <row r="189" spans="3:16" x14ac:dyDescent="0.3">
      <c r="C189">
        <f t="shared" si="25"/>
        <v>0</v>
      </c>
      <c r="D189">
        <v>1.6299999999999999E-2</v>
      </c>
      <c r="E189">
        <v>2.8849251857154604E-3</v>
      </c>
      <c r="F189">
        <f t="shared" si="26"/>
        <v>0</v>
      </c>
      <c r="G189">
        <f t="shared" si="40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1"/>
        <v>-1.179910572976012</v>
      </c>
      <c r="L189">
        <v>1</v>
      </c>
      <c r="M189" t="e">
        <f t="shared" si="31"/>
        <v>#NUM!</v>
      </c>
      <c r="N189">
        <f t="shared" si="42"/>
        <v>0</v>
      </c>
      <c r="O189">
        <f t="shared" si="43"/>
        <v>0</v>
      </c>
      <c r="P189" t="e">
        <f t="shared" si="44"/>
        <v>#NUM!</v>
      </c>
    </row>
    <row r="190" spans="3:16" x14ac:dyDescent="0.3">
      <c r="C190">
        <f t="shared" si="25"/>
        <v>0</v>
      </c>
      <c r="D190">
        <v>1.6299999999999999E-2</v>
      </c>
      <c r="E190">
        <v>2.8849251857154604E-3</v>
      </c>
      <c r="F190">
        <f t="shared" si="26"/>
        <v>0</v>
      </c>
      <c r="G190">
        <f t="shared" si="40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1"/>
        <v>-1.179910572976012</v>
      </c>
      <c r="L190">
        <v>1</v>
      </c>
      <c r="M190" t="e">
        <f t="shared" si="31"/>
        <v>#NUM!</v>
      </c>
      <c r="N190">
        <f t="shared" si="42"/>
        <v>0</v>
      </c>
      <c r="O190">
        <f t="shared" si="43"/>
        <v>0</v>
      </c>
      <c r="P190" t="e">
        <f t="shared" si="44"/>
        <v>#NUM!</v>
      </c>
    </row>
    <row r="191" spans="3:16" x14ac:dyDescent="0.3">
      <c r="C191">
        <f t="shared" si="25"/>
        <v>0</v>
      </c>
      <c r="D191">
        <v>1.6299999999999999E-2</v>
      </c>
      <c r="E191">
        <v>2.8849251857154604E-3</v>
      </c>
      <c r="F191">
        <f t="shared" si="26"/>
        <v>0</v>
      </c>
      <c r="G191">
        <f t="shared" si="40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1"/>
        <v>-1.179910572976012</v>
      </c>
      <c r="L191">
        <v>1</v>
      </c>
      <c r="M191" t="e">
        <f t="shared" si="31"/>
        <v>#NUM!</v>
      </c>
      <c r="N191">
        <f t="shared" si="42"/>
        <v>0</v>
      </c>
      <c r="O191">
        <f t="shared" si="43"/>
        <v>0</v>
      </c>
      <c r="P191" t="e">
        <f t="shared" si="44"/>
        <v>#NUM!</v>
      </c>
    </row>
    <row r="192" spans="3:16" x14ac:dyDescent="0.3">
      <c r="C192">
        <f t="shared" si="25"/>
        <v>0</v>
      </c>
      <c r="D192">
        <v>1.6299999999999999E-2</v>
      </c>
      <c r="E192">
        <v>2.8849251857154604E-3</v>
      </c>
      <c r="F192">
        <f t="shared" si="26"/>
        <v>0</v>
      </c>
      <c r="G192">
        <f t="shared" si="40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1"/>
        <v>-1.179910572976012</v>
      </c>
      <c r="L192">
        <v>1</v>
      </c>
      <c r="M192" t="e">
        <f t="shared" si="31"/>
        <v>#NUM!</v>
      </c>
      <c r="N192">
        <f t="shared" si="42"/>
        <v>0</v>
      </c>
      <c r="O192">
        <f t="shared" si="43"/>
        <v>0</v>
      </c>
      <c r="P192" t="e">
        <f t="shared" si="44"/>
        <v>#NUM!</v>
      </c>
    </row>
    <row r="193" spans="3:16" x14ac:dyDescent="0.3">
      <c r="C193">
        <f t="shared" si="25"/>
        <v>0</v>
      </c>
      <c r="D193">
        <v>1.6299999999999999E-2</v>
      </c>
      <c r="E193">
        <v>2.8849251857154604E-3</v>
      </c>
      <c r="F193">
        <f t="shared" si="26"/>
        <v>0</v>
      </c>
      <c r="G193">
        <f t="shared" si="40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1"/>
        <v>-1.179910572976012</v>
      </c>
      <c r="L193">
        <v>1</v>
      </c>
      <c r="M193" t="e">
        <f t="shared" si="31"/>
        <v>#NUM!</v>
      </c>
      <c r="N193">
        <f t="shared" si="42"/>
        <v>0</v>
      </c>
      <c r="O193">
        <f t="shared" si="43"/>
        <v>0</v>
      </c>
      <c r="P193" t="e">
        <f t="shared" si="44"/>
        <v>#NUM!</v>
      </c>
    </row>
    <row r="194" spans="3:16" x14ac:dyDescent="0.3">
      <c r="C194">
        <f t="shared" si="25"/>
        <v>0</v>
      </c>
      <c r="D194">
        <v>1.6299999999999999E-2</v>
      </c>
      <c r="E194">
        <v>2.8849251857154604E-3</v>
      </c>
      <c r="F194">
        <f t="shared" si="26"/>
        <v>0</v>
      </c>
      <c r="G194">
        <f t="shared" si="40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1"/>
        <v>-1.179910572976012</v>
      </c>
      <c r="L194">
        <v>1</v>
      </c>
      <c r="M194" t="e">
        <f t="shared" si="31"/>
        <v>#NUM!</v>
      </c>
      <c r="N194">
        <f t="shared" si="42"/>
        <v>0</v>
      </c>
      <c r="O194">
        <f t="shared" si="43"/>
        <v>0</v>
      </c>
      <c r="P194" t="e">
        <f t="shared" si="44"/>
        <v>#NUM!</v>
      </c>
    </row>
    <row r="195" spans="3:16" x14ac:dyDescent="0.3">
      <c r="C195">
        <f t="shared" si="25"/>
        <v>0</v>
      </c>
      <c r="D195">
        <v>1.6299999999999999E-2</v>
      </c>
      <c r="E195">
        <v>2.8849251857154604E-3</v>
      </c>
      <c r="F195">
        <f t="shared" si="26"/>
        <v>0</v>
      </c>
      <c r="G195">
        <f t="shared" si="40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1"/>
        <v>-1.179910572976012</v>
      </c>
      <c r="L195">
        <v>1</v>
      </c>
      <c r="M195" t="e">
        <f t="shared" si="31"/>
        <v>#NUM!</v>
      </c>
      <c r="N195">
        <f t="shared" si="42"/>
        <v>0</v>
      </c>
      <c r="O195">
        <f t="shared" si="43"/>
        <v>0</v>
      </c>
      <c r="P195" t="e">
        <f t="shared" si="44"/>
        <v>#NUM!</v>
      </c>
    </row>
    <row r="196" spans="3:16" x14ac:dyDescent="0.3">
      <c r="C196">
        <f t="shared" si="25"/>
        <v>0</v>
      </c>
      <c r="D196">
        <v>1.6299999999999999E-2</v>
      </c>
      <c r="E196">
        <v>2.8849251857154604E-3</v>
      </c>
      <c r="F196">
        <f t="shared" si="26"/>
        <v>0</v>
      </c>
      <c r="G196">
        <f t="shared" si="40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1"/>
        <v>-1.179910572976012</v>
      </c>
      <c r="L196">
        <v>1</v>
      </c>
      <c r="M196" t="e">
        <f t="shared" si="31"/>
        <v>#NUM!</v>
      </c>
      <c r="N196">
        <f t="shared" si="42"/>
        <v>0</v>
      </c>
      <c r="O196">
        <f t="shared" si="43"/>
        <v>0</v>
      </c>
      <c r="P196" t="e">
        <f t="shared" si="44"/>
        <v>#NUM!</v>
      </c>
    </row>
    <row r="197" spans="3:16" x14ac:dyDescent="0.3">
      <c r="C197">
        <f t="shared" ref="C197:C211" si="45">A197*B197</f>
        <v>0</v>
      </c>
      <c r="D197">
        <v>1.6299999999999999E-2</v>
      </c>
      <c r="E197">
        <v>2.8849251857154604E-3</v>
      </c>
      <c r="F197">
        <f t="shared" ref="F197:F260" si="46">A197*200</f>
        <v>0</v>
      </c>
      <c r="G197">
        <f t="shared" si="40"/>
        <v>0</v>
      </c>
      <c r="H197">
        <f t="shared" ref="H197:H211" si="47">-C197*200</f>
        <v>0</v>
      </c>
      <c r="I197">
        <v>1</v>
      </c>
      <c r="J197" t="e">
        <f t="shared" ref="J197:J260" si="48">LN(F197/1000)</f>
        <v>#NUM!</v>
      </c>
      <c r="K197">
        <f t="shared" si="41"/>
        <v>-1.179910572976012</v>
      </c>
      <c r="L197">
        <v>1</v>
      </c>
      <c r="M197" t="e">
        <f t="shared" ref="M197:M260" si="49">-1*($S$4+($S$5*J197))</f>
        <v>#NUM!</v>
      </c>
      <c r="N197">
        <f t="shared" si="42"/>
        <v>0</v>
      </c>
      <c r="O197">
        <f t="shared" si="43"/>
        <v>0</v>
      </c>
      <c r="P197" t="e">
        <f t="shared" si="44"/>
        <v>#NUM!</v>
      </c>
    </row>
    <row r="198" spans="3:16" x14ac:dyDescent="0.3">
      <c r="C198">
        <f t="shared" si="45"/>
        <v>0</v>
      </c>
      <c r="D198">
        <v>1.6299999999999999E-2</v>
      </c>
      <c r="E198">
        <v>2.8849251857154604E-3</v>
      </c>
      <c r="F198">
        <f t="shared" si="46"/>
        <v>0</v>
      </c>
      <c r="G198">
        <f t="shared" si="40"/>
        <v>0</v>
      </c>
      <c r="H198">
        <f t="shared" si="47"/>
        <v>0</v>
      </c>
      <c r="I198">
        <v>1</v>
      </c>
      <c r="J198" t="e">
        <f t="shared" si="48"/>
        <v>#NUM!</v>
      </c>
      <c r="K198">
        <f t="shared" si="41"/>
        <v>-1.179910572976012</v>
      </c>
      <c r="L198">
        <v>1</v>
      </c>
      <c r="M198" t="e">
        <f t="shared" si="49"/>
        <v>#NUM!</v>
      </c>
      <c r="N198">
        <f t="shared" si="42"/>
        <v>0</v>
      </c>
      <c r="O198">
        <f t="shared" si="43"/>
        <v>0</v>
      </c>
      <c r="P198" t="e">
        <f t="shared" si="44"/>
        <v>#NUM!</v>
      </c>
    </row>
    <row r="199" spans="3:16" x14ac:dyDescent="0.3">
      <c r="C199">
        <f t="shared" si="45"/>
        <v>0</v>
      </c>
      <c r="D199">
        <v>1.6299999999999999E-2</v>
      </c>
      <c r="E199">
        <v>2.8849251857154604E-3</v>
      </c>
      <c r="F199">
        <f t="shared" si="46"/>
        <v>0</v>
      </c>
      <c r="G199">
        <f t="shared" si="40"/>
        <v>0</v>
      </c>
      <c r="H199">
        <f t="shared" si="47"/>
        <v>0</v>
      </c>
      <c r="I199">
        <v>1</v>
      </c>
      <c r="J199" t="e">
        <f t="shared" si="48"/>
        <v>#NUM!</v>
      </c>
      <c r="K199">
        <f t="shared" si="41"/>
        <v>-1.179910572976012</v>
      </c>
      <c r="L199">
        <v>1</v>
      </c>
      <c r="M199" t="e">
        <f t="shared" si="49"/>
        <v>#NUM!</v>
      </c>
      <c r="N199">
        <f t="shared" si="42"/>
        <v>0</v>
      </c>
      <c r="O199">
        <f t="shared" si="43"/>
        <v>0</v>
      </c>
      <c r="P199" t="e">
        <f t="shared" si="44"/>
        <v>#NUM!</v>
      </c>
    </row>
    <row r="200" spans="3:16" x14ac:dyDescent="0.3">
      <c r="C200">
        <f t="shared" si="45"/>
        <v>0</v>
      </c>
      <c r="D200">
        <v>1.6299999999999999E-2</v>
      </c>
      <c r="E200">
        <v>2.8849251857154604E-3</v>
      </c>
      <c r="F200">
        <f t="shared" si="46"/>
        <v>0</v>
      </c>
      <c r="G200">
        <f t="shared" si="40"/>
        <v>0</v>
      </c>
      <c r="H200">
        <f t="shared" si="47"/>
        <v>0</v>
      </c>
      <c r="I200">
        <v>1</v>
      </c>
      <c r="J200" t="e">
        <f t="shared" si="48"/>
        <v>#NUM!</v>
      </c>
      <c r="K200">
        <f t="shared" si="41"/>
        <v>-1.179910572976012</v>
      </c>
      <c r="L200">
        <v>1</v>
      </c>
      <c r="M200" t="e">
        <f t="shared" si="49"/>
        <v>#NUM!</v>
      </c>
      <c r="N200">
        <f t="shared" si="42"/>
        <v>0</v>
      </c>
      <c r="O200">
        <f t="shared" si="43"/>
        <v>0</v>
      </c>
      <c r="P200" t="e">
        <f t="shared" si="44"/>
        <v>#NUM!</v>
      </c>
    </row>
    <row r="201" spans="3:16" x14ac:dyDescent="0.3">
      <c r="C201">
        <f t="shared" si="45"/>
        <v>0</v>
      </c>
      <c r="D201">
        <v>1.6299999999999999E-2</v>
      </c>
      <c r="E201">
        <v>2.8849251857154604E-3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-1.179910572976012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3:16" x14ac:dyDescent="0.3">
      <c r="C202">
        <f t="shared" si="45"/>
        <v>0</v>
      </c>
      <c r="D202">
        <v>1.6299999999999999E-2</v>
      </c>
      <c r="E202">
        <v>2.8849251857154604E-3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-1.179910572976012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3:16" x14ac:dyDescent="0.3">
      <c r="C203">
        <f t="shared" si="45"/>
        <v>0</v>
      </c>
      <c r="D203">
        <v>1.6299999999999999E-2</v>
      </c>
      <c r="E203">
        <v>2.8849251857154604E-3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-1.179910572976012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3:16" x14ac:dyDescent="0.3">
      <c r="C204">
        <f t="shared" si="45"/>
        <v>0</v>
      </c>
      <c r="D204">
        <v>1.6299999999999999E-2</v>
      </c>
      <c r="E204">
        <v>2.8849251857154604E-3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-1.179910572976012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3:16" x14ac:dyDescent="0.3">
      <c r="C205">
        <f t="shared" si="45"/>
        <v>0</v>
      </c>
      <c r="D205">
        <v>1.6299999999999999E-2</v>
      </c>
      <c r="E205">
        <v>2.8849251857154604E-3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-1.179910572976012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3:16" x14ac:dyDescent="0.3">
      <c r="C206">
        <f t="shared" si="45"/>
        <v>0</v>
      </c>
      <c r="D206">
        <v>1.6299999999999999E-2</v>
      </c>
      <c r="E206">
        <v>2.8849251857154604E-3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-1.179910572976012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3:16" x14ac:dyDescent="0.3">
      <c r="C207">
        <f t="shared" si="45"/>
        <v>0</v>
      </c>
      <c r="D207">
        <v>1.6299999999999999E-2</v>
      </c>
      <c r="E207">
        <v>2.8849251857154604E-3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-1.179910572976012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3:16" x14ac:dyDescent="0.3">
      <c r="C208">
        <f t="shared" si="45"/>
        <v>0</v>
      </c>
      <c r="D208">
        <v>1.6299999999999999E-2</v>
      </c>
      <c r="E208">
        <v>2.8849251857154604E-3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-1.179910572976012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 x14ac:dyDescent="0.3">
      <c r="C209">
        <f t="shared" si="45"/>
        <v>0</v>
      </c>
      <c r="D209">
        <v>1.6299999999999999E-2</v>
      </c>
      <c r="E209">
        <v>2.8849251857154604E-3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-1.179910572976012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 x14ac:dyDescent="0.3">
      <c r="C210">
        <f t="shared" si="45"/>
        <v>0</v>
      </c>
      <c r="D210">
        <v>1.6299999999999999E-2</v>
      </c>
      <c r="E210">
        <v>2.8849251857154604E-3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-1.179910572976012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 x14ac:dyDescent="0.3">
      <c r="C211">
        <f t="shared" si="45"/>
        <v>0</v>
      </c>
      <c r="D211">
        <v>1.6299999999999999E-2</v>
      </c>
      <c r="E211">
        <v>2.8849251857154604E-3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-1.179910572976012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 x14ac:dyDescent="0.3">
      <c r="C212">
        <f t="shared" ref="C212:C275" si="50">A212*B212</f>
        <v>0</v>
      </c>
      <c r="D212">
        <v>1.6299999999999999E-2</v>
      </c>
      <c r="E212">
        <v>2.8849251857154604E-3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-1.179910572976012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 x14ac:dyDescent="0.3">
      <c r="C213">
        <f t="shared" si="50"/>
        <v>0</v>
      </c>
      <c r="D213">
        <v>1.6299999999999999E-2</v>
      </c>
      <c r="E213">
        <v>2.8849251857154604E-3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-1.179910572976012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 x14ac:dyDescent="0.3">
      <c r="C214">
        <f t="shared" si="50"/>
        <v>0</v>
      </c>
      <c r="D214">
        <v>1.6299999999999999E-2</v>
      </c>
      <c r="E214">
        <v>2.8849251857154604E-3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-1.179910572976012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 x14ac:dyDescent="0.3">
      <c r="C215">
        <f t="shared" si="50"/>
        <v>0</v>
      </c>
      <c r="D215">
        <v>1.6299999999999999E-2</v>
      </c>
      <c r="E215">
        <v>2.8849251857154604E-3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-1.179910572976012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 x14ac:dyDescent="0.3">
      <c r="C216">
        <f t="shared" si="50"/>
        <v>0</v>
      </c>
      <c r="D216">
        <v>1.6299999999999999E-2</v>
      </c>
      <c r="E216">
        <v>2.8849251857154604E-3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-1.179910572976012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 x14ac:dyDescent="0.3">
      <c r="C217">
        <f t="shared" si="50"/>
        <v>0</v>
      </c>
      <c r="D217">
        <v>1.6299999999999999E-2</v>
      </c>
      <c r="E217">
        <v>2.8849251857154604E-3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-1.179910572976012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 x14ac:dyDescent="0.3">
      <c r="C218">
        <f t="shared" si="50"/>
        <v>0</v>
      </c>
      <c r="D218">
        <v>1.6299999999999999E-2</v>
      </c>
      <c r="E218">
        <v>2.8849251857154604E-3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-1.179910572976012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 x14ac:dyDescent="0.3">
      <c r="C219">
        <f t="shared" si="50"/>
        <v>0</v>
      </c>
      <c r="D219">
        <v>1.6299999999999999E-2</v>
      </c>
      <c r="E219">
        <v>2.8849251857154604E-3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-1.179910572976012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 x14ac:dyDescent="0.3">
      <c r="C220">
        <f t="shared" si="50"/>
        <v>0</v>
      </c>
      <c r="D220">
        <v>1.6299999999999999E-2</v>
      </c>
      <c r="E220">
        <v>2.8849251857154604E-3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-1.179910572976012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 x14ac:dyDescent="0.3">
      <c r="C221">
        <f t="shared" si="50"/>
        <v>0</v>
      </c>
      <c r="D221">
        <v>1.6299999999999999E-2</v>
      </c>
      <c r="E221">
        <v>2.8849251857154604E-3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-1.179910572976012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 x14ac:dyDescent="0.3">
      <c r="C222">
        <f t="shared" si="50"/>
        <v>0</v>
      </c>
      <c r="D222">
        <v>1.6299999999999999E-2</v>
      </c>
      <c r="E222">
        <v>2.8849251857154604E-3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-1.179910572976012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 x14ac:dyDescent="0.3">
      <c r="C223">
        <f t="shared" si="50"/>
        <v>0</v>
      </c>
      <c r="D223">
        <v>1.6299999999999999E-2</v>
      </c>
      <c r="E223">
        <v>2.8849251857154604E-3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-1.179910572976012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 x14ac:dyDescent="0.3">
      <c r="C224">
        <f t="shared" si="50"/>
        <v>0</v>
      </c>
      <c r="D224">
        <v>1.6299999999999999E-2</v>
      </c>
      <c r="E224">
        <v>2.8849251857154604E-3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-1.179910572976012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1.6299999999999999E-2</v>
      </c>
      <c r="E225">
        <v>2.8849251857154604E-3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-1.179910572976012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1.6299999999999999E-2</v>
      </c>
      <c r="E226">
        <v>2.8849251857154604E-3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-1.179910572976012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1.6299999999999999E-2</v>
      </c>
      <c r="E227">
        <v>2.8849251857154604E-3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-1.179910572976012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1.6299999999999999E-2</v>
      </c>
      <c r="E228">
        <v>2.8849251857154604E-3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-1.179910572976012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1.6299999999999999E-2</v>
      </c>
      <c r="E229">
        <v>2.8849251857154604E-3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-1.179910572976012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1.6299999999999999E-2</v>
      </c>
      <c r="E230">
        <v>2.8849251857154604E-3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-1.179910572976012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1.6299999999999999E-2</v>
      </c>
      <c r="E231">
        <v>2.8849251857154604E-3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-1.179910572976012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1.6299999999999999E-2</v>
      </c>
      <c r="E232">
        <v>2.8849251857154604E-3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-1.179910572976012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1.6299999999999999E-2</v>
      </c>
      <c r="E233">
        <v>2.8849251857154604E-3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-1.179910572976012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1.6299999999999999E-2</v>
      </c>
      <c r="E234">
        <v>2.8849251857154604E-3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-1.179910572976012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1.6299999999999999E-2</v>
      </c>
      <c r="E235">
        <v>2.8849251857154604E-3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-1.179910572976012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1.6299999999999999E-2</v>
      </c>
      <c r="E236">
        <v>2.8849251857154604E-3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-1.179910572976012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1.6299999999999999E-2</v>
      </c>
      <c r="E237">
        <v>2.8849251857154604E-3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-1.179910572976012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1.6299999999999999E-2</v>
      </c>
      <c r="E238">
        <v>2.8849251857154604E-3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-1.179910572976012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1.6299999999999999E-2</v>
      </c>
      <c r="E239">
        <v>2.8849251857154604E-3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-1.179910572976012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1.6299999999999999E-2</v>
      </c>
      <c r="E240">
        <v>2.8849251857154604E-3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-1.179910572976012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1.6299999999999999E-2</v>
      </c>
      <c r="E241">
        <v>2.8849251857154604E-3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-1.179910572976012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1.6299999999999999E-2</v>
      </c>
      <c r="E242">
        <v>2.8849251857154604E-3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-1.179910572976012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1.6299999999999999E-2</v>
      </c>
      <c r="E243">
        <v>2.8849251857154604E-3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-1.179910572976012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1.6299999999999999E-2</v>
      </c>
      <c r="E244">
        <v>2.8849251857154604E-3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-1.179910572976012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1.6299999999999999E-2</v>
      </c>
      <c r="E245">
        <v>2.8849251857154604E-3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-1.179910572976012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1.6299999999999999E-2</v>
      </c>
      <c r="E246">
        <v>2.8849251857154604E-3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-1.179910572976012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1.6299999999999999E-2</v>
      </c>
      <c r="E247">
        <v>2.8849251857154604E-3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-1.179910572976012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1.6299999999999999E-2</v>
      </c>
      <c r="E248">
        <v>2.8849251857154604E-3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-1.179910572976012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1.6299999999999999E-2</v>
      </c>
      <c r="E249">
        <v>2.8849251857154604E-3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-1.179910572976012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1.6299999999999999E-2</v>
      </c>
      <c r="E250">
        <v>2.8849251857154604E-3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-1.179910572976012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1.6299999999999999E-2</v>
      </c>
      <c r="E251">
        <v>2.8849251857154604E-3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-1.179910572976012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1.6299999999999999E-2</v>
      </c>
      <c r="E252">
        <v>2.8849251857154604E-3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-1.179910572976012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1.6299999999999999E-2</v>
      </c>
      <c r="E253">
        <v>2.8849251857154604E-3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-1.179910572976012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1.6299999999999999E-2</v>
      </c>
      <c r="E254">
        <v>2.8849251857154604E-3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-1.179910572976012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1.6299999999999999E-2</v>
      </c>
      <c r="E255">
        <v>2.8849251857154604E-3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-1.179910572976012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1.6299999999999999E-2</v>
      </c>
      <c r="E256">
        <v>2.8849251857154604E-3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-1.179910572976012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1.6299999999999999E-2</v>
      </c>
      <c r="E257">
        <v>2.8849251857154604E-3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-1.179910572976012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1.6299999999999999E-2</v>
      </c>
      <c r="E258">
        <v>2.8849251857154604E-3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-1.179910572976012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1.6299999999999999E-2</v>
      </c>
      <c r="E259">
        <v>2.8849251857154604E-3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-1.179910572976012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1.6299999999999999E-2</v>
      </c>
      <c r="E260">
        <v>2.8849251857154604E-3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-1.179910572976012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1.6299999999999999E-2</v>
      </c>
      <c r="E261">
        <v>2.8849251857154604E-3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-1.179910572976012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1.6299999999999999E-2</v>
      </c>
      <c r="E262">
        <v>2.8849251857154604E-3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-1.179910572976012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1.6299999999999999E-2</v>
      </c>
      <c r="E263">
        <v>2.8849251857154604E-3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-1.179910572976012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1.6299999999999999E-2</v>
      </c>
      <c r="E264">
        <v>2.8849251857154604E-3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-1.179910572976012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1.6299999999999999E-2</v>
      </c>
      <c r="E265">
        <v>2.8849251857154604E-3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-1.179910572976012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1.6299999999999999E-2</v>
      </c>
      <c r="E266">
        <v>2.8849251857154604E-3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-1.179910572976012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1.6299999999999999E-2</v>
      </c>
      <c r="E267">
        <v>2.8849251857154604E-3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-1.179910572976012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1.6299999999999999E-2</v>
      </c>
      <c r="E268">
        <v>2.8849251857154604E-3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-1.179910572976012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1.6299999999999999E-2</v>
      </c>
      <c r="E269">
        <v>2.8849251857154604E-3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-1.179910572976012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1.6299999999999999E-2</v>
      </c>
      <c r="E270">
        <v>2.8849251857154604E-3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-1.179910572976012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1.6299999999999999E-2</v>
      </c>
      <c r="E271">
        <v>2.8849251857154604E-3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-1.179910572976012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1.6299999999999999E-2</v>
      </c>
      <c r="E272">
        <v>2.8849251857154604E-3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-1.179910572976012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1.6299999999999999E-2</v>
      </c>
      <c r="E273">
        <v>2.8849251857154604E-3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-1.179910572976012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1.6299999999999999E-2</v>
      </c>
      <c r="E274">
        <v>2.8849251857154604E-3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-1.179910572976012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1.6299999999999999E-2</v>
      </c>
      <c r="E275">
        <v>2.8849251857154604E-3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-1.179910572976012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1.6299999999999999E-2</v>
      </c>
      <c r="E276">
        <v>2.8849251857154604E-3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-1.179910572976012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1.6299999999999999E-2</v>
      </c>
      <c r="E277">
        <v>2.8849251857154604E-3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-1.179910572976012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1.6299999999999999E-2</v>
      </c>
      <c r="E278">
        <v>2.8849251857154604E-3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-1.179910572976012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1.6299999999999999E-2</v>
      </c>
      <c r="E279">
        <v>2.8849251857154604E-3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-1.179910572976012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1.6299999999999999E-2</v>
      </c>
      <c r="E280">
        <v>2.8849251857154604E-3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-1.179910572976012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1.6299999999999999E-2</v>
      </c>
      <c r="E281">
        <v>2.8849251857154604E-3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-1.179910572976012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1.6299999999999999E-2</v>
      </c>
      <c r="E282">
        <v>2.8849251857154604E-3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-1.179910572976012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1.6299999999999999E-2</v>
      </c>
      <c r="E283">
        <v>2.8849251857154604E-3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-1.179910572976012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1.6299999999999999E-2</v>
      </c>
      <c r="E284">
        <v>2.8849251857154604E-3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-1.179910572976012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1.6299999999999999E-2</v>
      </c>
      <c r="E285">
        <v>2.8849251857154604E-3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-1.179910572976012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1.6299999999999999E-2</v>
      </c>
      <c r="E286">
        <v>2.8849251857154604E-3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-1.179910572976012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1.6299999999999999E-2</v>
      </c>
      <c r="E287">
        <v>2.8849251857154604E-3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-1.179910572976012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1.6299999999999999E-2</v>
      </c>
      <c r="E288">
        <v>2.8849251857154604E-3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-1.179910572976012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1.6299999999999999E-2</v>
      </c>
      <c r="E289">
        <v>2.8849251857154604E-3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-1.179910572976012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1.6299999999999999E-2</v>
      </c>
      <c r="E290">
        <v>2.8849251857154604E-3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-1.179910572976012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1.6299999999999999E-2</v>
      </c>
      <c r="E291">
        <v>2.8849251857154604E-3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-1.179910572976012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1.6299999999999999E-2</v>
      </c>
      <c r="E292">
        <v>2.8849251857154604E-3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-1.179910572976012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1.6299999999999999E-2</v>
      </c>
      <c r="E293">
        <v>2.8849251857154604E-3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-1.179910572976012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1.6299999999999999E-2</v>
      </c>
      <c r="E294">
        <v>2.8849251857154604E-3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-1.179910572976012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1.6299999999999999E-2</v>
      </c>
      <c r="E295">
        <v>2.8849251857154604E-3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-1.179910572976012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1.6299999999999999E-2</v>
      </c>
      <c r="E296">
        <v>2.8849251857154604E-3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-1.179910572976012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1.6299999999999999E-2</v>
      </c>
      <c r="E297">
        <v>2.8849251857154604E-3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-1.179910572976012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1.6299999999999999E-2</v>
      </c>
      <c r="E298">
        <v>2.8849251857154604E-3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-1.179910572976012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1.6299999999999999E-2</v>
      </c>
      <c r="E299">
        <v>2.8849251857154604E-3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-1.179910572976012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1.6299999999999999E-2</v>
      </c>
      <c r="E300">
        <v>2.8849251857154604E-3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-1.179910572976012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1.6299999999999999E-2</v>
      </c>
      <c r="E301">
        <v>2.8849251857154604E-3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-1.179910572976012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1.6299999999999999E-2</v>
      </c>
      <c r="E302">
        <v>2.8849251857154604E-3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-1.179910572976012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1.6299999999999999E-2</v>
      </c>
      <c r="E303">
        <v>2.8849251857154604E-3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-1.179910572976012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D7D9-6648-4951-9F68-CF9D4B729191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1.179910572976012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-0.31775649707346809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-0.32755694601335028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-0.33547398075868595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-0.34631824823682411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-0.34771106025840737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-0.35791743224223349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-0.36302915267266722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-0.36737433428380284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-0.37126499784125777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-0.3771984742993304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-0.3791141905199179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-0.38635584264983625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-0.38799567548098068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-0.39301701211931195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-0.39557758404405807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-0.39895319816111419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-0.40173044283251858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-0.40379981562726597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-0.40807027207822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-0.41058256117497771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-0.41512207126596967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-0.4152430154300818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-0.41865723577358227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-0.42020708752562497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-0.42566361695962052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-0.42540201099779107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-0.43208486360237397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-0.4315008944110762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-0.43448400066043835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-0.43603636181272964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-0.44122560042934522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-0.43979555125150482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-0.44557747531220704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-0.4455289144128749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-0.4499314018839935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-0.44846920116354916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-0.4537519083866367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-0.45263708583631013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-0.45767645103978005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-0.4569680449130723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-0.46159475842495645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-0.46221935475378129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-0.46465039846375977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-0.46597961075620742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-0.46667160196374746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-0.46891890668024505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-0.47210834185268369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-0.47254712513451669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-0.47522493514909236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-0.47794249136805933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-0.47996368926020361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-0.47945188178997145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-0.48306794009448972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-0.48655057781781652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-0.48540458812912202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-0.48532693353417911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-0.49044909742166498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-0.49108584776713338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-0.49277137140338523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-0.492621743093271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-0.49249600155522322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-0.49752484004012143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-0.50048345700425301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-0.50046776850609875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-0.50248032168887946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-0.50210941456063485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-0.50396947921745872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-0.50203230655460451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-0.50640734815434019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-0.50804671216367581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-0.51205973602570998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-0.51244931741132249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-0.5091586144346486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-0.5117823378683517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-0.51321719919641706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-0.51757198319091302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-0.51759515330781436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-0.51921337115733723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-0.51886376724322536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-0.52063481099422659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-0.51857533221711605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-0.5235943097433039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-0.52522364658059562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-0.52147346837889041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-0.52926385020682598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-0.52576852522577733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-0.52817293787868713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-0.52922176709853497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-0.53010000377172628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-0.53182555027850353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-0.53024474498929475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-0.5346441220892707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-0.53134502799658867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-0.53723053214137639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-0.53406292997818083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-0.53856844003232218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-0.53727791731480146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-0.53942153359400136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-0.53836898454435556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-0.54227679826231701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-0.54155216273166629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-0.54387965298279017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-0.54493852546979882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-0.54740831652041166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-0.54643149112050626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-0.546410741722543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-0.54977761355036892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-0.54730853837292293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-0.54811383455516793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-0.5564104941175172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-0.54942332974268893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-0.54959864582647777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-0.55304122647738851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-0.55220645998475348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-0.55690438823047672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-0.55439231119843224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-0.55473059510194167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-0.55988963998736829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-0.5547697109193841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-0.56047096653087836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-0.55681200967123001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-0.55822325332190481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-0.56457201859416462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-0.56033793175615765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-0.55779725236802191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-0.56470703057890037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-0.5586435056559631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-0.56502985727076627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-0.56690695434432126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-0.56414683321261805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-0.57076494562730584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-0.5675414789996186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-0.56973985840966201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-0.56867395754146977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-0.57142759712176416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-0.56965264655001857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-0.57239621367158389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-0.56976920496859051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-0.57393423416985967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-0.56783052872603035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-0.57772383977915742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-0.57593243574010233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-0.57576620597385264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-0.57846903967811558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-0.5685219289391229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-0.58038117018218727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-0.57645106110354161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-0.58035765980522724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-0.58104078488910593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-0.58043960964754626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-0.57711655827089037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-0.58163554453660937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-0.58139504048745727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-0.58199554384605989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-0.58670284545489049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-0.58408073316915721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-0.58737214665104831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-0.58295318004234531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-0.59098450762112831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-0.5846556829143652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-0.59058966837452742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-0.5873978074785362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-0.59211052766366701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-0.58566725199927783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-0.59321316723911854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-0.58981610628192516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-0.59313547702628766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-0.59284738218309385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-0.59063454252154024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-0.59177062711684802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-0.5989440985726604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-0.59367577938291827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-0.59615275359769559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-0.59618324768002717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-0.59314928930791122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-0.59834350716449713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-0.5999984916643688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-0.59670876868118738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-0.59480336731310579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-0.59543019529198493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-0.59566458515364318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-0.60122443613844001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-0.60469597230874395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-0.60829459105043504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-0.59983176375870795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-0.60343127611352898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-0.60372321337868673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-0.6059701288511643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-0.60458992291571589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-0.61047180304222193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-0.60003083149968484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-0.61009481698282464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-0.61092232841967442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-0.61048678814177604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-0.61777550389211278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-0.6199774649825136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-0.6203014151481876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-0.62258708845319244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-0.62336735335211846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-0.62538156965928171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-0.62490031107508048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-0.6270768080721687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-0.62674174645309544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-0.62866392101820201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-0.62924335561027034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-0.63137175281759006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-0.63108843792082758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-0.63320692326315142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-0.63360501011626813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-0.63570217175536259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-0.6353287023076305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-0.63821354379572359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-0.63807195185377097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-0.64021893557002041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-0.64085577070533128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-0.64278835452501859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-0.64254917419667934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-0.64221116659568644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-0.64516712658013786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-0.64459055307971336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-0.64683452659525364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-0.6469348542211244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2026-04-20T00:48:35Z</dcterms:modified>
</cp:coreProperties>
</file>