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Air\"/>
    </mc:Choice>
  </mc:AlternateContent>
  <xr:revisionPtr revIDLastSave="0" documentId="13_ncr:1_{3D1DB091-168E-4971-840E-07D8626CA315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8" i="1" l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5" i="1"/>
  <c r="W6" i="1"/>
  <c r="W7" i="1"/>
  <c r="W4" i="1"/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4" i="1"/>
  <c r="C2" i="3"/>
  <c r="D2" i="3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D1" i="3"/>
  <c r="C1" i="3"/>
  <c r="O8" i="1" l="1"/>
  <c r="O12" i="1"/>
  <c r="O16" i="1"/>
  <c r="O20" i="1"/>
  <c r="O24" i="1"/>
  <c r="O28" i="1"/>
  <c r="O32" i="1"/>
  <c r="O36" i="1"/>
  <c r="O40" i="1"/>
  <c r="O44" i="1"/>
  <c r="O48" i="1"/>
  <c r="O52" i="1"/>
  <c r="O56" i="1"/>
  <c r="O60" i="1"/>
  <c r="O64" i="1"/>
  <c r="O68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N6" i="1"/>
  <c r="O6" i="1"/>
  <c r="N7" i="1"/>
  <c r="O7" i="1"/>
  <c r="N8" i="1"/>
  <c r="N9" i="1"/>
  <c r="O9" i="1"/>
  <c r="N10" i="1"/>
  <c r="O10" i="1"/>
  <c r="N11" i="1"/>
  <c r="O11" i="1"/>
  <c r="N12" i="1"/>
  <c r="N13" i="1"/>
  <c r="O13" i="1"/>
  <c r="N14" i="1"/>
  <c r="O14" i="1"/>
  <c r="N15" i="1"/>
  <c r="O15" i="1"/>
  <c r="N16" i="1"/>
  <c r="N17" i="1"/>
  <c r="O17" i="1"/>
  <c r="N18" i="1"/>
  <c r="O18" i="1"/>
  <c r="N19" i="1"/>
  <c r="O19" i="1"/>
  <c r="N20" i="1"/>
  <c r="N21" i="1"/>
  <c r="O21" i="1"/>
  <c r="N22" i="1"/>
  <c r="O22" i="1"/>
  <c r="N23" i="1"/>
  <c r="O23" i="1"/>
  <c r="N24" i="1"/>
  <c r="N25" i="1"/>
  <c r="O25" i="1"/>
  <c r="N26" i="1"/>
  <c r="O26" i="1"/>
  <c r="N27" i="1"/>
  <c r="O27" i="1"/>
  <c r="N28" i="1"/>
  <c r="N29" i="1"/>
  <c r="O29" i="1"/>
  <c r="N30" i="1"/>
  <c r="O30" i="1"/>
  <c r="N31" i="1"/>
  <c r="O31" i="1"/>
  <c r="N32" i="1"/>
  <c r="N33" i="1"/>
  <c r="O33" i="1"/>
  <c r="N34" i="1"/>
  <c r="O34" i="1"/>
  <c r="N35" i="1"/>
  <c r="O35" i="1"/>
  <c r="N36" i="1"/>
  <c r="N37" i="1"/>
  <c r="O37" i="1"/>
  <c r="N38" i="1"/>
  <c r="O38" i="1"/>
  <c r="N39" i="1"/>
  <c r="O39" i="1"/>
  <c r="N40" i="1"/>
  <c r="N41" i="1"/>
  <c r="O41" i="1"/>
  <c r="N42" i="1"/>
  <c r="O42" i="1"/>
  <c r="N43" i="1"/>
  <c r="O43" i="1"/>
  <c r="N44" i="1"/>
  <c r="N45" i="1"/>
  <c r="O45" i="1"/>
  <c r="N46" i="1"/>
  <c r="O46" i="1"/>
  <c r="N47" i="1"/>
  <c r="O47" i="1"/>
  <c r="N48" i="1"/>
  <c r="N49" i="1"/>
  <c r="O49" i="1"/>
  <c r="N50" i="1"/>
  <c r="O50" i="1"/>
  <c r="N51" i="1"/>
  <c r="O51" i="1"/>
  <c r="N52" i="1"/>
  <c r="N53" i="1"/>
  <c r="O53" i="1"/>
  <c r="N54" i="1"/>
  <c r="O54" i="1"/>
  <c r="N55" i="1"/>
  <c r="O55" i="1"/>
  <c r="N56" i="1"/>
  <c r="N57" i="1"/>
  <c r="O57" i="1"/>
  <c r="N58" i="1"/>
  <c r="O58" i="1"/>
  <c r="N59" i="1"/>
  <c r="O59" i="1"/>
  <c r="N60" i="1"/>
  <c r="N61" i="1"/>
  <c r="O61" i="1"/>
  <c r="N62" i="1"/>
  <c r="O62" i="1"/>
  <c r="N63" i="1"/>
  <c r="O63" i="1"/>
  <c r="N64" i="1"/>
  <c r="N65" i="1"/>
  <c r="O65" i="1"/>
  <c r="N66" i="1"/>
  <c r="O66" i="1"/>
  <c r="N67" i="1"/>
  <c r="O67" i="1"/>
  <c r="N68" i="1"/>
  <c r="N69" i="1"/>
  <c r="O69" i="1"/>
  <c r="N70" i="1"/>
  <c r="O70" i="1"/>
  <c r="N71" i="1"/>
  <c r="O71" i="1"/>
  <c r="N72" i="1"/>
  <c r="N73" i="1"/>
  <c r="O73" i="1"/>
  <c r="N74" i="1"/>
  <c r="O74" i="1"/>
  <c r="N75" i="1"/>
  <c r="O75" i="1"/>
  <c r="N76" i="1"/>
  <c r="N77" i="1"/>
  <c r="O77" i="1"/>
  <c r="N78" i="1"/>
  <c r="O78" i="1"/>
  <c r="N79" i="1"/>
  <c r="O79" i="1"/>
  <c r="N80" i="1"/>
  <c r="N81" i="1"/>
  <c r="O81" i="1"/>
  <c r="N82" i="1"/>
  <c r="O82" i="1"/>
  <c r="N83" i="1"/>
  <c r="O83" i="1"/>
  <c r="N84" i="1"/>
  <c r="N85" i="1"/>
  <c r="O85" i="1"/>
  <c r="N86" i="1"/>
  <c r="O86" i="1"/>
  <c r="N87" i="1"/>
  <c r="O87" i="1"/>
  <c r="N88" i="1"/>
  <c r="N89" i="1"/>
  <c r="O89" i="1"/>
  <c r="N90" i="1"/>
  <c r="O90" i="1"/>
  <c r="N91" i="1"/>
  <c r="O91" i="1"/>
  <c r="N92" i="1"/>
  <c r="N93" i="1"/>
  <c r="O93" i="1"/>
  <c r="N94" i="1"/>
  <c r="O94" i="1"/>
  <c r="N95" i="1"/>
  <c r="O95" i="1"/>
  <c r="N96" i="1"/>
  <c r="N97" i="1"/>
  <c r="O97" i="1"/>
  <c r="N98" i="1"/>
  <c r="O98" i="1"/>
  <c r="N99" i="1"/>
  <c r="O99" i="1"/>
  <c r="N100" i="1"/>
  <c r="N101" i="1"/>
  <c r="O101" i="1"/>
  <c r="N102" i="1"/>
  <c r="O102" i="1"/>
  <c r="N103" i="1"/>
  <c r="O103" i="1"/>
  <c r="N104" i="1"/>
  <c r="N105" i="1"/>
  <c r="O105" i="1"/>
  <c r="N106" i="1"/>
  <c r="O106" i="1"/>
  <c r="N107" i="1"/>
  <c r="O107" i="1"/>
  <c r="N108" i="1"/>
  <c r="N109" i="1"/>
  <c r="O109" i="1"/>
  <c r="N110" i="1"/>
  <c r="O110" i="1"/>
  <c r="N111" i="1"/>
  <c r="O111" i="1"/>
  <c r="N112" i="1"/>
  <c r="N113" i="1"/>
  <c r="O113" i="1"/>
  <c r="N114" i="1"/>
  <c r="O114" i="1"/>
  <c r="N115" i="1"/>
  <c r="O115" i="1"/>
  <c r="N116" i="1"/>
  <c r="N117" i="1"/>
  <c r="O117" i="1"/>
  <c r="N118" i="1"/>
  <c r="O118" i="1"/>
  <c r="N119" i="1"/>
  <c r="O119" i="1"/>
  <c r="N120" i="1"/>
  <c r="N121" i="1"/>
  <c r="O121" i="1"/>
  <c r="N122" i="1"/>
  <c r="O122" i="1"/>
  <c r="N123" i="1"/>
  <c r="O123" i="1"/>
  <c r="N124" i="1"/>
  <c r="N125" i="1"/>
  <c r="O125" i="1"/>
  <c r="N126" i="1"/>
  <c r="O126" i="1"/>
  <c r="N127" i="1"/>
  <c r="O127" i="1"/>
  <c r="N128" i="1"/>
  <c r="N129" i="1"/>
  <c r="O129" i="1"/>
  <c r="N130" i="1"/>
  <c r="O130" i="1"/>
  <c r="N131" i="1"/>
  <c r="O131" i="1"/>
  <c r="N132" i="1"/>
  <c r="N133" i="1"/>
  <c r="O133" i="1"/>
  <c r="N134" i="1"/>
  <c r="O134" i="1"/>
  <c r="N135" i="1"/>
  <c r="O135" i="1"/>
  <c r="N136" i="1"/>
  <c r="N137" i="1"/>
  <c r="O137" i="1"/>
  <c r="N138" i="1"/>
  <c r="O138" i="1"/>
  <c r="N139" i="1"/>
  <c r="O139" i="1"/>
  <c r="N140" i="1"/>
  <c r="N141" i="1"/>
  <c r="O141" i="1"/>
  <c r="N142" i="1"/>
  <c r="O142" i="1"/>
  <c r="N143" i="1"/>
  <c r="O143" i="1"/>
  <c r="N144" i="1"/>
  <c r="N5" i="1"/>
  <c r="O5" i="1"/>
  <c r="O4" i="1"/>
  <c r="N4" i="1"/>
  <c r="S2" i="1" l="1"/>
  <c r="N2" i="1" s="1"/>
  <c r="F4" i="1" l="1"/>
  <c r="J4" i="1" l="1"/>
  <c r="M4" i="1" s="1"/>
  <c r="G4" i="1"/>
  <c r="K4" i="1" s="1"/>
  <c r="P4" i="1" l="1"/>
  <c r="F144" i="1"/>
  <c r="H141" i="1"/>
  <c r="H140" i="1"/>
  <c r="H138" i="1"/>
  <c r="F136" i="1"/>
  <c r="H134" i="1"/>
  <c r="H132" i="1"/>
  <c r="F128" i="1"/>
  <c r="H126" i="1"/>
  <c r="H124" i="1"/>
  <c r="H112" i="1"/>
  <c r="H110" i="1"/>
  <c r="H106" i="1"/>
  <c r="H100" i="1"/>
  <c r="H99" i="1"/>
  <c r="H98" i="1"/>
  <c r="H96" i="1"/>
  <c r="H86" i="1"/>
  <c r="H84" i="1"/>
  <c r="H83" i="1"/>
  <c r="H80" i="1"/>
  <c r="H76" i="1"/>
  <c r="H74" i="1"/>
  <c r="H67" i="1"/>
  <c r="H64" i="1"/>
  <c r="H63" i="1"/>
  <c r="H62" i="1"/>
  <c r="H60" i="1"/>
  <c r="H59" i="1"/>
  <c r="H57" i="1"/>
  <c r="H55" i="1"/>
  <c r="H51" i="1"/>
  <c r="H48" i="1"/>
  <c r="H47" i="1"/>
  <c r="H46" i="1"/>
  <c r="H41" i="1"/>
  <c r="H39" i="1"/>
  <c r="H36" i="1"/>
  <c r="H35" i="1"/>
  <c r="H34" i="1"/>
  <c r="H31" i="1"/>
  <c r="H25" i="1"/>
  <c r="H24" i="1"/>
  <c r="H23" i="1"/>
  <c r="H20" i="1"/>
  <c r="H19" i="1"/>
  <c r="F18" i="1"/>
  <c r="H12" i="1"/>
  <c r="H10" i="1"/>
  <c r="H9" i="1"/>
  <c r="H8" i="1"/>
  <c r="H6" i="1"/>
  <c r="G142" i="1"/>
  <c r="K142" i="1" s="1"/>
  <c r="G138" i="1"/>
  <c r="K138" i="1" s="1"/>
  <c r="G134" i="1"/>
  <c r="K134" i="1" s="1"/>
  <c r="G130" i="1"/>
  <c r="K130" i="1" s="1"/>
  <c r="G126" i="1"/>
  <c r="K126" i="1" s="1"/>
  <c r="G118" i="1"/>
  <c r="K118" i="1" s="1"/>
  <c r="G114" i="1"/>
  <c r="K114" i="1" s="1"/>
  <c r="G110" i="1"/>
  <c r="K110" i="1" s="1"/>
  <c r="G106" i="1"/>
  <c r="K106" i="1" s="1"/>
  <c r="G102" i="1"/>
  <c r="K102" i="1" s="1"/>
  <c r="G98" i="1"/>
  <c r="K98" i="1" s="1"/>
  <c r="G90" i="1"/>
  <c r="K90" i="1" s="1"/>
  <c r="G82" i="1"/>
  <c r="K82" i="1" s="1"/>
  <c r="G78" i="1"/>
  <c r="K78" i="1" s="1"/>
  <c r="G74" i="1"/>
  <c r="K74" i="1" s="1"/>
  <c r="G70" i="1"/>
  <c r="K70" i="1" s="1"/>
  <c r="G62" i="1"/>
  <c r="K62" i="1" s="1"/>
  <c r="G54" i="1"/>
  <c r="K54" i="1" s="1"/>
  <c r="G50" i="1"/>
  <c r="K50" i="1" s="1"/>
  <c r="G46" i="1"/>
  <c r="K46" i="1" s="1"/>
  <c r="G42" i="1"/>
  <c r="K42" i="1" s="1"/>
  <c r="G38" i="1"/>
  <c r="K38" i="1" s="1"/>
  <c r="G34" i="1"/>
  <c r="K34" i="1" s="1"/>
  <c r="G26" i="1"/>
  <c r="K26" i="1" s="1"/>
  <c r="G18" i="1"/>
  <c r="K18" i="1" s="1"/>
  <c r="G14" i="1"/>
  <c r="K14" i="1" s="1"/>
  <c r="G10" i="1"/>
  <c r="K10" i="1" s="1"/>
  <c r="G6" i="1"/>
  <c r="K6" i="1" s="1"/>
  <c r="G139" i="1"/>
  <c r="K139" i="1" s="1"/>
  <c r="G135" i="1"/>
  <c r="K135" i="1" s="1"/>
  <c r="G131" i="1"/>
  <c r="K131" i="1" s="1"/>
  <c r="G127" i="1"/>
  <c r="K127" i="1" s="1"/>
  <c r="G123" i="1"/>
  <c r="K123" i="1" s="1"/>
  <c r="F122" i="1"/>
  <c r="G119" i="1"/>
  <c r="K119" i="1" s="1"/>
  <c r="H116" i="1"/>
  <c r="G111" i="1"/>
  <c r="K111" i="1" s="1"/>
  <c r="H108" i="1"/>
  <c r="G107" i="1"/>
  <c r="K107" i="1" s="1"/>
  <c r="F106" i="1"/>
  <c r="G103" i="1"/>
  <c r="K103" i="1" s="1"/>
  <c r="G95" i="1"/>
  <c r="K95" i="1" s="1"/>
  <c r="H92" i="1"/>
  <c r="G91" i="1"/>
  <c r="K91" i="1" s="1"/>
  <c r="F90" i="1"/>
  <c r="G87" i="1"/>
  <c r="K87" i="1" s="1"/>
  <c r="G79" i="1"/>
  <c r="K79" i="1" s="1"/>
  <c r="G75" i="1"/>
  <c r="K75" i="1" s="1"/>
  <c r="F74" i="1"/>
  <c r="G71" i="1"/>
  <c r="K71" i="1" s="1"/>
  <c r="H68" i="1"/>
  <c r="G63" i="1"/>
  <c r="K63" i="1" s="1"/>
  <c r="F62" i="1"/>
  <c r="G59" i="1"/>
  <c r="K59" i="1" s="1"/>
  <c r="F58" i="1"/>
  <c r="H56" i="1"/>
  <c r="G55" i="1"/>
  <c r="K55" i="1" s="1"/>
  <c r="H52" i="1"/>
  <c r="G47" i="1"/>
  <c r="K47" i="1" s="1"/>
  <c r="F46" i="1"/>
  <c r="H44" i="1"/>
  <c r="G43" i="1"/>
  <c r="K43" i="1" s="1"/>
  <c r="H40" i="1"/>
  <c r="G39" i="1"/>
  <c r="K39" i="1" s="1"/>
  <c r="H32" i="1"/>
  <c r="G31" i="1"/>
  <c r="K31" i="1" s="1"/>
  <c r="H28" i="1"/>
  <c r="G27" i="1"/>
  <c r="K27" i="1" s="1"/>
  <c r="G23" i="1"/>
  <c r="K23" i="1" s="1"/>
  <c r="H16" i="1"/>
  <c r="G15" i="1"/>
  <c r="K15" i="1" s="1"/>
  <c r="G11" i="1"/>
  <c r="K11" i="1" s="1"/>
  <c r="G7" i="1"/>
  <c r="K7" i="1" s="1"/>
  <c r="G141" i="1"/>
  <c r="K141" i="1" s="1"/>
  <c r="F140" i="1"/>
  <c r="G137" i="1"/>
  <c r="K137" i="1" s="1"/>
  <c r="G133" i="1"/>
  <c r="K133" i="1" s="1"/>
  <c r="F132" i="1"/>
  <c r="H130" i="1"/>
  <c r="G129" i="1"/>
  <c r="K129" i="1" s="1"/>
  <c r="G125" i="1"/>
  <c r="K125" i="1" s="1"/>
  <c r="G121" i="1"/>
  <c r="K121" i="1" s="1"/>
  <c r="G117" i="1"/>
  <c r="K117" i="1" s="1"/>
  <c r="G113" i="1"/>
  <c r="K113" i="1" s="1"/>
  <c r="G109" i="1"/>
  <c r="K109" i="1" s="1"/>
  <c r="G105" i="1"/>
  <c r="K105" i="1" s="1"/>
  <c r="G101" i="1"/>
  <c r="K101" i="1" s="1"/>
  <c r="G97" i="1"/>
  <c r="K97" i="1" s="1"/>
  <c r="G93" i="1"/>
  <c r="K93" i="1" s="1"/>
  <c r="G89" i="1"/>
  <c r="K89" i="1" s="1"/>
  <c r="G85" i="1"/>
  <c r="K85" i="1" s="1"/>
  <c r="G81" i="1"/>
  <c r="K81" i="1" s="1"/>
  <c r="G77" i="1"/>
  <c r="K77" i="1" s="1"/>
  <c r="G73" i="1"/>
  <c r="K73" i="1" s="1"/>
  <c r="G69" i="1"/>
  <c r="K69" i="1" s="1"/>
  <c r="G65" i="1"/>
  <c r="K65" i="1" s="1"/>
  <c r="G61" i="1"/>
  <c r="K61" i="1" s="1"/>
  <c r="G57" i="1"/>
  <c r="K57" i="1" s="1"/>
  <c r="G53" i="1"/>
  <c r="K53" i="1" s="1"/>
  <c r="G49" i="1"/>
  <c r="K49" i="1" s="1"/>
  <c r="G45" i="1"/>
  <c r="K45" i="1" s="1"/>
  <c r="G41" i="1"/>
  <c r="K41" i="1" s="1"/>
  <c r="G37" i="1"/>
  <c r="K37" i="1" s="1"/>
  <c r="G33" i="1"/>
  <c r="K33" i="1" s="1"/>
  <c r="G29" i="1"/>
  <c r="K29" i="1" s="1"/>
  <c r="G25" i="1"/>
  <c r="K25" i="1" s="1"/>
  <c r="G21" i="1"/>
  <c r="K21" i="1" s="1"/>
  <c r="G17" i="1"/>
  <c r="K17" i="1" s="1"/>
  <c r="G13" i="1"/>
  <c r="K13" i="1" s="1"/>
  <c r="G9" i="1"/>
  <c r="K9" i="1" s="1"/>
  <c r="G5" i="1"/>
  <c r="K5" i="1" s="1"/>
  <c r="F5" i="1"/>
  <c r="G128" i="1"/>
  <c r="K128" i="1" s="1"/>
  <c r="F129" i="1"/>
  <c r="H129" i="1"/>
  <c r="G132" i="1"/>
  <c r="K132" i="1" s="1"/>
  <c r="F135" i="1"/>
  <c r="H135" i="1"/>
  <c r="G136" i="1"/>
  <c r="K136" i="1" s="1"/>
  <c r="F137" i="1"/>
  <c r="H137" i="1"/>
  <c r="F138" i="1"/>
  <c r="F139" i="1"/>
  <c r="H139" i="1"/>
  <c r="G140" i="1"/>
  <c r="K140" i="1" s="1"/>
  <c r="F141" i="1"/>
  <c r="F143" i="1"/>
  <c r="G143" i="1"/>
  <c r="K143" i="1" s="1"/>
  <c r="H143" i="1"/>
  <c r="G144" i="1"/>
  <c r="K144" i="1" s="1"/>
  <c r="H5" i="1"/>
  <c r="H7" i="1"/>
  <c r="H11" i="1"/>
  <c r="H13" i="1"/>
  <c r="H15" i="1"/>
  <c r="H17" i="1"/>
  <c r="H21" i="1"/>
  <c r="H22" i="1"/>
  <c r="H27" i="1"/>
  <c r="H29" i="1"/>
  <c r="H33" i="1"/>
  <c r="H37" i="1"/>
  <c r="H43" i="1"/>
  <c r="H45" i="1"/>
  <c r="H49" i="1"/>
  <c r="H50" i="1"/>
  <c r="H53" i="1"/>
  <c r="H61" i="1"/>
  <c r="H65" i="1"/>
  <c r="H69" i="1"/>
  <c r="H70" i="1"/>
  <c r="H71" i="1"/>
  <c r="H73" i="1"/>
  <c r="H75" i="1"/>
  <c r="H77" i="1"/>
  <c r="H79" i="1"/>
  <c r="H81" i="1"/>
  <c r="H82" i="1"/>
  <c r="H85" i="1"/>
  <c r="H87" i="1"/>
  <c r="H89" i="1"/>
  <c r="H90" i="1"/>
  <c r="H91" i="1"/>
  <c r="H95" i="1"/>
  <c r="H97" i="1"/>
  <c r="H103" i="1"/>
  <c r="H105" i="1"/>
  <c r="H109" i="1"/>
  <c r="H111" i="1"/>
  <c r="H113" i="1"/>
  <c r="H114" i="1"/>
  <c r="H117" i="1"/>
  <c r="H119" i="1"/>
  <c r="H121" i="1"/>
  <c r="H122" i="1"/>
  <c r="H123" i="1"/>
  <c r="H125" i="1"/>
  <c r="H127" i="1"/>
  <c r="G8" i="1"/>
  <c r="K8" i="1" s="1"/>
  <c r="G12" i="1"/>
  <c r="K12" i="1" s="1"/>
  <c r="G16" i="1"/>
  <c r="K16" i="1" s="1"/>
  <c r="G19" i="1"/>
  <c r="K19" i="1" s="1"/>
  <c r="G20" i="1"/>
  <c r="K20" i="1" s="1"/>
  <c r="G22" i="1"/>
  <c r="K22" i="1" s="1"/>
  <c r="G24" i="1"/>
  <c r="K24" i="1" s="1"/>
  <c r="G28" i="1"/>
  <c r="K28" i="1" s="1"/>
  <c r="G30" i="1"/>
  <c r="K30" i="1" s="1"/>
  <c r="G32" i="1"/>
  <c r="K32" i="1" s="1"/>
  <c r="G35" i="1"/>
  <c r="K35" i="1" s="1"/>
  <c r="G36" i="1"/>
  <c r="K36" i="1" s="1"/>
  <c r="G40" i="1"/>
  <c r="K40" i="1" s="1"/>
  <c r="G44" i="1"/>
  <c r="K44" i="1" s="1"/>
  <c r="G48" i="1"/>
  <c r="K48" i="1" s="1"/>
  <c r="G51" i="1"/>
  <c r="K51" i="1" s="1"/>
  <c r="G52" i="1"/>
  <c r="K52" i="1" s="1"/>
  <c r="G56" i="1"/>
  <c r="K56" i="1" s="1"/>
  <c r="G58" i="1"/>
  <c r="K58" i="1" s="1"/>
  <c r="G60" i="1"/>
  <c r="K60" i="1" s="1"/>
  <c r="G64" i="1"/>
  <c r="K64" i="1" s="1"/>
  <c r="G66" i="1"/>
  <c r="K66" i="1" s="1"/>
  <c r="G67" i="1"/>
  <c r="K67" i="1" s="1"/>
  <c r="G68" i="1"/>
  <c r="K68" i="1" s="1"/>
  <c r="G72" i="1"/>
  <c r="K72" i="1" s="1"/>
  <c r="G76" i="1"/>
  <c r="K76" i="1" s="1"/>
  <c r="G80" i="1"/>
  <c r="K80" i="1" s="1"/>
  <c r="G83" i="1"/>
  <c r="K83" i="1" s="1"/>
  <c r="G84" i="1"/>
  <c r="K84" i="1" s="1"/>
  <c r="G86" i="1"/>
  <c r="K86" i="1" s="1"/>
  <c r="G88" i="1"/>
  <c r="K88" i="1" s="1"/>
  <c r="G92" i="1"/>
  <c r="K92" i="1" s="1"/>
  <c r="G94" i="1"/>
  <c r="K94" i="1" s="1"/>
  <c r="G96" i="1"/>
  <c r="K96" i="1" s="1"/>
  <c r="G99" i="1"/>
  <c r="K99" i="1" s="1"/>
  <c r="G100" i="1"/>
  <c r="K100" i="1" s="1"/>
  <c r="G104" i="1"/>
  <c r="K104" i="1" s="1"/>
  <c r="G108" i="1"/>
  <c r="K108" i="1" s="1"/>
  <c r="G112" i="1"/>
  <c r="K112" i="1" s="1"/>
  <c r="G115" i="1"/>
  <c r="K115" i="1" s="1"/>
  <c r="G116" i="1"/>
  <c r="K116" i="1" s="1"/>
  <c r="G120" i="1"/>
  <c r="K120" i="1" s="1"/>
  <c r="G122" i="1"/>
  <c r="K122" i="1" s="1"/>
  <c r="G124" i="1"/>
  <c r="K124" i="1" s="1"/>
  <c r="F7" i="1"/>
  <c r="F9" i="1"/>
  <c r="F11" i="1"/>
  <c r="F13" i="1"/>
  <c r="F15" i="1"/>
  <c r="F17" i="1"/>
  <c r="F19" i="1"/>
  <c r="F21" i="1"/>
  <c r="F23" i="1"/>
  <c r="F25" i="1"/>
  <c r="F27" i="1"/>
  <c r="F29" i="1"/>
  <c r="F31" i="1"/>
  <c r="F33" i="1"/>
  <c r="F34" i="1"/>
  <c r="F35" i="1"/>
  <c r="F37" i="1"/>
  <c r="F39" i="1"/>
  <c r="F41" i="1"/>
  <c r="F43" i="1"/>
  <c r="F45" i="1"/>
  <c r="F47" i="1"/>
  <c r="F49" i="1"/>
  <c r="F51" i="1"/>
  <c r="F53" i="1"/>
  <c r="F55" i="1"/>
  <c r="F57" i="1"/>
  <c r="F59" i="1"/>
  <c r="F61" i="1"/>
  <c r="F63" i="1"/>
  <c r="F65" i="1"/>
  <c r="F67" i="1"/>
  <c r="F69" i="1"/>
  <c r="F71" i="1"/>
  <c r="F73" i="1"/>
  <c r="F75" i="1"/>
  <c r="F77" i="1"/>
  <c r="F79" i="1"/>
  <c r="F81" i="1"/>
  <c r="F82" i="1"/>
  <c r="F83" i="1"/>
  <c r="F85" i="1"/>
  <c r="F87" i="1"/>
  <c r="F89" i="1"/>
  <c r="F91" i="1"/>
  <c r="F93" i="1"/>
  <c r="F95" i="1"/>
  <c r="F97" i="1"/>
  <c r="F98" i="1"/>
  <c r="F99" i="1"/>
  <c r="F101" i="1"/>
  <c r="F103" i="1"/>
  <c r="F105" i="1"/>
  <c r="F107" i="1"/>
  <c r="F109" i="1"/>
  <c r="F111" i="1"/>
  <c r="F113" i="1"/>
  <c r="F114" i="1"/>
  <c r="F115" i="1"/>
  <c r="F117" i="1"/>
  <c r="F119" i="1"/>
  <c r="F121" i="1"/>
  <c r="F123" i="1"/>
  <c r="F125" i="1"/>
  <c r="F127" i="1"/>
  <c r="J113" i="1" l="1"/>
  <c r="M113" i="1" s="1"/>
  <c r="P113" i="1" s="1"/>
  <c r="J91" i="1"/>
  <c r="M91" i="1" s="1"/>
  <c r="P91" i="1" s="1"/>
  <c r="J77" i="1"/>
  <c r="M77" i="1" s="1"/>
  <c r="P77" i="1" s="1"/>
  <c r="J53" i="1"/>
  <c r="M53" i="1" s="1"/>
  <c r="P53" i="1" s="1"/>
  <c r="J31" i="1"/>
  <c r="M31" i="1" s="1"/>
  <c r="P31" i="1" s="1"/>
  <c r="J143" i="1"/>
  <c r="M143" i="1" s="1"/>
  <c r="P143" i="1" s="1"/>
  <c r="J140" i="1"/>
  <c r="M140" i="1" s="1"/>
  <c r="P140" i="1" s="1"/>
  <c r="J125" i="1"/>
  <c r="M125" i="1" s="1"/>
  <c r="P125" i="1" s="1"/>
  <c r="J111" i="1"/>
  <c r="M111" i="1" s="1"/>
  <c r="P111" i="1" s="1"/>
  <c r="J97" i="1"/>
  <c r="M97" i="1" s="1"/>
  <c r="P97" i="1" s="1"/>
  <c r="J82" i="1"/>
  <c r="M82" i="1" s="1"/>
  <c r="P82" i="1" s="1"/>
  <c r="J75" i="1"/>
  <c r="M75" i="1" s="1"/>
  <c r="P75" i="1" s="1"/>
  <c r="J67" i="1"/>
  <c r="M67" i="1" s="1"/>
  <c r="P67" i="1" s="1"/>
  <c r="J59" i="1"/>
  <c r="M59" i="1" s="1"/>
  <c r="P59" i="1" s="1"/>
  <c r="J51" i="1"/>
  <c r="M51" i="1" s="1"/>
  <c r="P51" i="1" s="1"/>
  <c r="J43" i="1"/>
  <c r="M43" i="1" s="1"/>
  <c r="P43" i="1" s="1"/>
  <c r="J35" i="1"/>
  <c r="M35" i="1" s="1"/>
  <c r="P35" i="1" s="1"/>
  <c r="J29" i="1"/>
  <c r="M29" i="1" s="1"/>
  <c r="P29" i="1" s="1"/>
  <c r="J21" i="1"/>
  <c r="M21" i="1" s="1"/>
  <c r="P21" i="1" s="1"/>
  <c r="J13" i="1"/>
  <c r="M13" i="1" s="1"/>
  <c r="P13" i="1" s="1"/>
  <c r="J141" i="1"/>
  <c r="M141" i="1" s="1"/>
  <c r="P141" i="1" s="1"/>
  <c r="M138" i="1"/>
  <c r="J138" i="1"/>
  <c r="M129" i="1"/>
  <c r="P129" i="1" s="1"/>
  <c r="J129" i="1"/>
  <c r="M132" i="1"/>
  <c r="J132" i="1"/>
  <c r="M122" i="1"/>
  <c r="P122" i="1" s="1"/>
  <c r="J122" i="1"/>
  <c r="M119" i="1"/>
  <c r="J119" i="1"/>
  <c r="M105" i="1"/>
  <c r="P105" i="1" s="1"/>
  <c r="J105" i="1"/>
  <c r="M83" i="1"/>
  <c r="P83" i="1" s="1"/>
  <c r="J83" i="1"/>
  <c r="M61" i="1"/>
  <c r="P61" i="1" s="1"/>
  <c r="J61" i="1"/>
  <c r="M37" i="1"/>
  <c r="P37" i="1" s="1"/>
  <c r="J37" i="1"/>
  <c r="M15" i="1"/>
  <c r="P15" i="1" s="1"/>
  <c r="J15" i="1"/>
  <c r="M7" i="1"/>
  <c r="J7" i="1"/>
  <c r="M139" i="1"/>
  <c r="P139" i="1" s="1"/>
  <c r="J139" i="1"/>
  <c r="M18" i="1"/>
  <c r="P18" i="1" s="1"/>
  <c r="J18" i="1"/>
  <c r="M117" i="1"/>
  <c r="P117" i="1" s="1"/>
  <c r="J117" i="1"/>
  <c r="M103" i="1"/>
  <c r="P103" i="1" s="1"/>
  <c r="J103" i="1"/>
  <c r="M89" i="1"/>
  <c r="P89" i="1" s="1"/>
  <c r="J89" i="1"/>
  <c r="M123" i="1"/>
  <c r="P123" i="1" s="1"/>
  <c r="J123" i="1"/>
  <c r="M115" i="1"/>
  <c r="P115" i="1" s="1"/>
  <c r="J115" i="1"/>
  <c r="M109" i="1"/>
  <c r="P109" i="1" s="1"/>
  <c r="J109" i="1"/>
  <c r="M101" i="1"/>
  <c r="P101" i="1" s="1"/>
  <c r="J101" i="1"/>
  <c r="M95" i="1"/>
  <c r="P95" i="1" s="1"/>
  <c r="J95" i="1"/>
  <c r="M87" i="1"/>
  <c r="P87" i="1" s="1"/>
  <c r="J87" i="1"/>
  <c r="M81" i="1"/>
  <c r="P81" i="1" s="1"/>
  <c r="J81" i="1"/>
  <c r="M73" i="1"/>
  <c r="P73" i="1" s="1"/>
  <c r="J73" i="1"/>
  <c r="M65" i="1"/>
  <c r="J65" i="1"/>
  <c r="M57" i="1"/>
  <c r="P57" i="1" s="1"/>
  <c r="J57" i="1"/>
  <c r="M49" i="1"/>
  <c r="P49" i="1" s="1"/>
  <c r="J49" i="1"/>
  <c r="J41" i="1"/>
  <c r="M41" i="1" s="1"/>
  <c r="P41" i="1" s="1"/>
  <c r="M34" i="1"/>
  <c r="P34" i="1" s="1"/>
  <c r="J34" i="1"/>
  <c r="J27" i="1"/>
  <c r="M27" i="1" s="1"/>
  <c r="P27" i="1" s="1"/>
  <c r="M19" i="1"/>
  <c r="P19" i="1" s="1"/>
  <c r="J19" i="1"/>
  <c r="J11" i="1"/>
  <c r="M11" i="1" s="1"/>
  <c r="P11" i="1" s="1"/>
  <c r="M135" i="1"/>
  <c r="P135" i="1" s="1"/>
  <c r="J135" i="1"/>
  <c r="J62" i="1"/>
  <c r="M62" i="1" s="1"/>
  <c r="P62" i="1" s="1"/>
  <c r="M74" i="1"/>
  <c r="P74" i="1" s="1"/>
  <c r="J74" i="1"/>
  <c r="J90" i="1"/>
  <c r="M90" i="1" s="1"/>
  <c r="P90" i="1" s="1"/>
  <c r="M136" i="1"/>
  <c r="P136" i="1" s="1"/>
  <c r="J136" i="1"/>
  <c r="J144" i="1"/>
  <c r="M144" i="1" s="1"/>
  <c r="P144" i="1" s="1"/>
  <c r="M127" i="1"/>
  <c r="P127" i="1" s="1"/>
  <c r="J127" i="1"/>
  <c r="J98" i="1"/>
  <c r="M98" i="1" s="1"/>
  <c r="P98" i="1" s="1"/>
  <c r="M69" i="1"/>
  <c r="J69" i="1"/>
  <c r="J45" i="1"/>
  <c r="M45" i="1" s="1"/>
  <c r="P45" i="1" s="1"/>
  <c r="M23" i="1"/>
  <c r="P23" i="1" s="1"/>
  <c r="J23" i="1"/>
  <c r="J58" i="1"/>
  <c r="M58" i="1" s="1"/>
  <c r="P58" i="1" s="1"/>
  <c r="J121" i="1"/>
  <c r="M121" i="1" s="1"/>
  <c r="P121" i="1" s="1"/>
  <c r="J114" i="1"/>
  <c r="M114" i="1" s="1"/>
  <c r="P114" i="1" s="1"/>
  <c r="J107" i="1"/>
  <c r="M107" i="1" s="1"/>
  <c r="P107" i="1" s="1"/>
  <c r="J99" i="1"/>
  <c r="M99" i="1" s="1"/>
  <c r="P99" i="1" s="1"/>
  <c r="J93" i="1"/>
  <c r="M93" i="1" s="1"/>
  <c r="P93" i="1" s="1"/>
  <c r="J85" i="1"/>
  <c r="M85" i="1" s="1"/>
  <c r="P85" i="1" s="1"/>
  <c r="J79" i="1"/>
  <c r="M79" i="1" s="1"/>
  <c r="P79" i="1" s="1"/>
  <c r="J71" i="1"/>
  <c r="M71" i="1" s="1"/>
  <c r="P71" i="1" s="1"/>
  <c r="J63" i="1"/>
  <c r="M63" i="1" s="1"/>
  <c r="P63" i="1" s="1"/>
  <c r="J55" i="1"/>
  <c r="M55" i="1" s="1"/>
  <c r="P55" i="1" s="1"/>
  <c r="J47" i="1"/>
  <c r="M47" i="1" s="1"/>
  <c r="P47" i="1" s="1"/>
  <c r="J39" i="1"/>
  <c r="M39" i="1" s="1"/>
  <c r="P39" i="1" s="1"/>
  <c r="J33" i="1"/>
  <c r="M33" i="1" s="1"/>
  <c r="P33" i="1" s="1"/>
  <c r="J25" i="1"/>
  <c r="M25" i="1" s="1"/>
  <c r="P25" i="1" s="1"/>
  <c r="J17" i="1"/>
  <c r="M17" i="1" s="1"/>
  <c r="P17" i="1" s="1"/>
  <c r="J9" i="1"/>
  <c r="M9" i="1" s="1"/>
  <c r="P9" i="1" s="1"/>
  <c r="J137" i="1"/>
  <c r="M137" i="1" s="1"/>
  <c r="P137" i="1" s="1"/>
  <c r="P132" i="1"/>
  <c r="J5" i="1"/>
  <c r="M5" i="1" s="1"/>
  <c r="P5" i="1" s="1"/>
  <c r="P65" i="1"/>
  <c r="J46" i="1"/>
  <c r="M46" i="1" s="1"/>
  <c r="P46" i="1" s="1"/>
  <c r="J106" i="1"/>
  <c r="M106" i="1" s="1"/>
  <c r="P106" i="1" s="1"/>
  <c r="J128" i="1"/>
  <c r="M128" i="1" s="1"/>
  <c r="P128" i="1" s="1"/>
  <c r="P69" i="1"/>
  <c r="P119" i="1"/>
  <c r="P138" i="1"/>
  <c r="P7" i="1"/>
  <c r="F78" i="1"/>
  <c r="H78" i="1"/>
  <c r="H94" i="1"/>
  <c r="F94" i="1"/>
  <c r="F110" i="1"/>
  <c r="F126" i="1"/>
  <c r="F134" i="1"/>
  <c r="H72" i="1"/>
  <c r="H88" i="1"/>
  <c r="H101" i="1"/>
  <c r="H104" i="1"/>
  <c r="H107" i="1"/>
  <c r="H120" i="1"/>
  <c r="H133" i="1"/>
  <c r="F133" i="1"/>
  <c r="H136" i="1"/>
  <c r="H18" i="1"/>
  <c r="F26" i="1"/>
  <c r="H26" i="1"/>
  <c r="H42" i="1"/>
  <c r="F42" i="1"/>
  <c r="F142" i="1"/>
  <c r="H142" i="1"/>
  <c r="H102" i="1"/>
  <c r="H118" i="1"/>
  <c r="H58" i="1"/>
  <c r="H66" i="1"/>
  <c r="F66" i="1"/>
  <c r="F14" i="1"/>
  <c r="H14" i="1"/>
  <c r="H30" i="1"/>
  <c r="F30" i="1"/>
  <c r="H38" i="1"/>
  <c r="H54" i="1"/>
  <c r="F50" i="1"/>
  <c r="F10" i="1"/>
  <c r="H4" i="1"/>
  <c r="H93" i="1"/>
  <c r="H115" i="1"/>
  <c r="H128" i="1"/>
  <c r="H131" i="1"/>
  <c r="F131" i="1"/>
  <c r="H144" i="1"/>
  <c r="F102" i="1"/>
  <c r="F86" i="1"/>
  <c r="F70" i="1"/>
  <c r="F54" i="1"/>
  <c r="F38" i="1"/>
  <c r="F22" i="1"/>
  <c r="F6" i="1"/>
  <c r="F130" i="1"/>
  <c r="F118" i="1"/>
  <c r="F124" i="1"/>
  <c r="F120" i="1"/>
  <c r="F116" i="1"/>
  <c r="F112" i="1"/>
  <c r="F108" i="1"/>
  <c r="F104" i="1"/>
  <c r="F100" i="1"/>
  <c r="F96" i="1"/>
  <c r="F92" i="1"/>
  <c r="F88" i="1"/>
  <c r="F84" i="1"/>
  <c r="F80" i="1"/>
  <c r="F76" i="1"/>
  <c r="F72" i="1"/>
  <c r="F68" i="1"/>
  <c r="F64" i="1"/>
  <c r="F60" i="1"/>
  <c r="F56" i="1"/>
  <c r="F52" i="1"/>
  <c r="F48" i="1"/>
  <c r="F44" i="1"/>
  <c r="F40" i="1"/>
  <c r="F36" i="1"/>
  <c r="F32" i="1"/>
  <c r="F28" i="1"/>
  <c r="F24" i="1"/>
  <c r="F20" i="1"/>
  <c r="F16" i="1"/>
  <c r="F12" i="1"/>
  <c r="F8" i="1"/>
  <c r="J40" i="1" l="1"/>
  <c r="M40" i="1" s="1"/>
  <c r="P40" i="1" s="1"/>
  <c r="J120" i="1"/>
  <c r="M120" i="1" s="1"/>
  <c r="P120" i="1" s="1"/>
  <c r="J12" i="1"/>
  <c r="M12" i="1" s="1"/>
  <c r="P12" i="1" s="1"/>
  <c r="J28" i="1"/>
  <c r="M28" i="1" s="1"/>
  <c r="P28" i="1" s="1"/>
  <c r="J44" i="1"/>
  <c r="M44" i="1" s="1"/>
  <c r="P44" i="1" s="1"/>
  <c r="J60" i="1"/>
  <c r="M60" i="1" s="1"/>
  <c r="P60" i="1" s="1"/>
  <c r="J76" i="1"/>
  <c r="M76" i="1" s="1"/>
  <c r="P76" i="1" s="1"/>
  <c r="J92" i="1"/>
  <c r="M92" i="1" s="1"/>
  <c r="P92" i="1" s="1"/>
  <c r="J108" i="1"/>
  <c r="M108" i="1" s="1"/>
  <c r="P108" i="1" s="1"/>
  <c r="J124" i="1"/>
  <c r="M124" i="1" s="1"/>
  <c r="P124" i="1" s="1"/>
  <c r="J22" i="1"/>
  <c r="M22" i="1" s="1"/>
  <c r="P22" i="1" s="1"/>
  <c r="J86" i="1"/>
  <c r="M86" i="1" s="1"/>
  <c r="P86" i="1" s="1"/>
  <c r="J14" i="1"/>
  <c r="M14" i="1" s="1"/>
  <c r="P14" i="1" s="1"/>
  <c r="J42" i="1"/>
  <c r="M42" i="1" s="1"/>
  <c r="P42" i="1" s="1"/>
  <c r="J110" i="1"/>
  <c r="M110" i="1" s="1"/>
  <c r="P110" i="1" s="1"/>
  <c r="J78" i="1"/>
  <c r="M78" i="1" s="1"/>
  <c r="P78" i="1" s="1"/>
  <c r="J8" i="1"/>
  <c r="M8" i="1" s="1"/>
  <c r="P8" i="1" s="1"/>
  <c r="J72" i="1"/>
  <c r="M72" i="1" s="1"/>
  <c r="P72" i="1" s="1"/>
  <c r="J104" i="1"/>
  <c r="M104" i="1" s="1"/>
  <c r="P104" i="1" s="1"/>
  <c r="J70" i="1"/>
  <c r="M70" i="1" s="1"/>
  <c r="P70" i="1" s="1"/>
  <c r="J142" i="1"/>
  <c r="M142" i="1" s="1"/>
  <c r="P142" i="1" s="1"/>
  <c r="J126" i="1"/>
  <c r="M126" i="1" s="1"/>
  <c r="P126" i="1" s="1"/>
  <c r="J32" i="1"/>
  <c r="M32" i="1" s="1"/>
  <c r="P32" i="1" s="1"/>
  <c r="J64" i="1"/>
  <c r="M64" i="1" s="1"/>
  <c r="P64" i="1" s="1"/>
  <c r="J112" i="1"/>
  <c r="M112" i="1" s="1"/>
  <c r="P112" i="1" s="1"/>
  <c r="J38" i="1"/>
  <c r="M38" i="1" s="1"/>
  <c r="P38" i="1" s="1"/>
  <c r="J10" i="1"/>
  <c r="M10" i="1" s="1"/>
  <c r="P10" i="1" s="1"/>
  <c r="J66" i="1"/>
  <c r="M66" i="1" s="1"/>
  <c r="P66" i="1" s="1"/>
  <c r="J94" i="1"/>
  <c r="M94" i="1" s="1"/>
  <c r="P94" i="1" s="1"/>
  <c r="J24" i="1"/>
  <c r="M24" i="1" s="1"/>
  <c r="P24" i="1" s="1"/>
  <c r="J56" i="1"/>
  <c r="M56" i="1" s="1"/>
  <c r="P56" i="1" s="1"/>
  <c r="J88" i="1"/>
  <c r="M88" i="1" s="1"/>
  <c r="P88" i="1" s="1"/>
  <c r="J6" i="1"/>
  <c r="M6" i="1" s="1"/>
  <c r="P6" i="1" s="1"/>
  <c r="J131" i="1"/>
  <c r="M131" i="1" s="1"/>
  <c r="P131" i="1" s="1"/>
  <c r="J26" i="1"/>
  <c r="M26" i="1" s="1"/>
  <c r="P26" i="1" s="1"/>
  <c r="J16" i="1"/>
  <c r="M16" i="1" s="1"/>
  <c r="P16" i="1" s="1"/>
  <c r="J48" i="1"/>
  <c r="M48" i="1" s="1"/>
  <c r="P48" i="1" s="1"/>
  <c r="J80" i="1"/>
  <c r="M80" i="1" s="1"/>
  <c r="P80" i="1" s="1"/>
  <c r="J96" i="1"/>
  <c r="M96" i="1" s="1"/>
  <c r="P96" i="1" s="1"/>
  <c r="J118" i="1"/>
  <c r="M118" i="1" s="1"/>
  <c r="P118" i="1" s="1"/>
  <c r="J102" i="1"/>
  <c r="M102" i="1" s="1"/>
  <c r="P102" i="1" s="1"/>
  <c r="J30" i="1"/>
  <c r="M30" i="1" s="1"/>
  <c r="P30" i="1" s="1"/>
  <c r="J20" i="1"/>
  <c r="M20" i="1" s="1"/>
  <c r="P20" i="1" s="1"/>
  <c r="J36" i="1"/>
  <c r="M36" i="1" s="1"/>
  <c r="P36" i="1" s="1"/>
  <c r="J52" i="1"/>
  <c r="M52" i="1" s="1"/>
  <c r="P52" i="1" s="1"/>
  <c r="J68" i="1"/>
  <c r="M68" i="1" s="1"/>
  <c r="P68" i="1" s="1"/>
  <c r="J84" i="1"/>
  <c r="M84" i="1" s="1"/>
  <c r="P84" i="1" s="1"/>
  <c r="J100" i="1"/>
  <c r="M100" i="1" s="1"/>
  <c r="P100" i="1" s="1"/>
  <c r="J116" i="1"/>
  <c r="M116" i="1" s="1"/>
  <c r="P116" i="1" s="1"/>
  <c r="J130" i="1"/>
  <c r="M130" i="1" s="1"/>
  <c r="P130" i="1" s="1"/>
  <c r="J54" i="1"/>
  <c r="M54" i="1" s="1"/>
  <c r="P54" i="1" s="1"/>
  <c r="J50" i="1"/>
  <c r="M50" i="1" s="1"/>
  <c r="P50" i="1" s="1"/>
  <c r="J133" i="1"/>
  <c r="M133" i="1" s="1"/>
  <c r="P133" i="1" s="1"/>
  <c r="J134" i="1"/>
  <c r="M134" i="1" s="1"/>
  <c r="P134" i="1" s="1"/>
</calcChain>
</file>

<file path=xl/sharedStrings.xml><?xml version="1.0" encoding="utf-8"?>
<sst xmlns="http://schemas.openxmlformats.org/spreadsheetml/2006/main" count="25" uniqueCount="22">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</sst>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W303"/>
  <sheetViews>
    <sheetView tabSelected="1" topLeftCell="A108" zoomScale="85" zoomScaleNormal="85" workbookViewId="0">
      <selection activeCell="N120" sqref="N120"/>
    </sheetView>
  </sheetViews>
  <sheetFormatPr defaultRowHeight="16.5" x14ac:dyDescent="0.3"/>
  <cols>
    <col min="10" max="10" width="12.25" customWidth="1"/>
    <col min="11" max="11" width="13.625" bestFit="1" customWidth="1"/>
  </cols>
  <sheetData>
    <row r="1" spans="1:23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3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</row>
    <row r="3" spans="1:23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</row>
    <row r="4" spans="1:23" x14ac:dyDescent="0.3">
      <c r="A4">
        <v>6.205985E-2</v>
      </c>
      <c r="B4">
        <v>0.76992000000000005</v>
      </c>
      <c r="C4">
        <f>A4*B4</f>
        <v>4.7781119712000004E-2</v>
      </c>
      <c r="D4" s="1">
        <v>2.1000000000000001E-2</v>
      </c>
      <c r="E4" s="1">
        <v>1.41E-2</v>
      </c>
      <c r="F4">
        <f>A4*200</f>
        <v>12.41197</v>
      </c>
      <c r="G4">
        <f>-B4</f>
        <v>-0.76992000000000005</v>
      </c>
      <c r="H4">
        <f t="shared" ref="H4:H67" si="0">-C4*200</f>
        <v>-9.5562239424000008</v>
      </c>
      <c r="I4">
        <v>1</v>
      </c>
      <c r="J4">
        <f>LN(F4/1000)</f>
        <v>-4.3890939494147156</v>
      </c>
      <c r="K4">
        <f>((-G4)-$N$2)</f>
        <v>-0.40999057297601194</v>
      </c>
      <c r="M4">
        <f>-1*($S$4+($S$5*J4))</f>
        <v>0.35894280237554349</v>
      </c>
      <c r="N4">
        <f t="shared" ref="N4" si="1">D4*A4</f>
        <v>1.3032568500000001E-3</v>
      </c>
      <c r="O4">
        <f>E4*A4</f>
        <v>8.7504388499999998E-4</v>
      </c>
      <c r="P4">
        <f>-K4-M4-N4-O4</f>
        <v>4.8869469865468439E-2</v>
      </c>
      <c r="R4" s="2" t="s">
        <v>16</v>
      </c>
      <c r="S4">
        <v>-0.51300000000000001</v>
      </c>
      <c r="V4">
        <v>-6</v>
      </c>
      <c r="W4">
        <f>V4*$S$5+$S$4</f>
        <v>-0.3024</v>
      </c>
    </row>
    <row r="5" spans="1:23" x14ac:dyDescent="0.3">
      <c r="A5">
        <v>0.11654244999999999</v>
      </c>
      <c r="B5">
        <v>0.75832999999999995</v>
      </c>
      <c r="C5">
        <f t="shared" ref="C5:C68" si="2">A5*B5</f>
        <v>8.8377636108499982E-2</v>
      </c>
      <c r="D5" s="1">
        <v>2.1000000000000001E-2</v>
      </c>
      <c r="E5" s="1">
        <v>1.41E-2</v>
      </c>
      <c r="F5">
        <f t="shared" ref="F5:F67" si="3">A5*200</f>
        <v>23.308489999999999</v>
      </c>
      <c r="G5">
        <f t="shared" ref="G5:G67" si="4">-B5</f>
        <v>-0.75832999999999995</v>
      </c>
      <c r="H5">
        <f t="shared" si="0"/>
        <v>-17.675527221699998</v>
      </c>
      <c r="I5">
        <v>1</v>
      </c>
      <c r="J5">
        <f t="shared" ref="J5:J68" si="5">LN(F5/1000)</f>
        <v>-3.7589376070975047</v>
      </c>
      <c r="K5">
        <f t="shared" ref="K5:K68" si="6">((-G5)-$N$2)</f>
        <v>-0.42158057297601204</v>
      </c>
      <c r="M5">
        <f>-1*($S$4+($S$5*J5))</f>
        <v>0.38106128999087763</v>
      </c>
      <c r="N5">
        <f t="shared" ref="N5:N6" si="7">D5*A5</f>
        <v>2.4473914500000001E-3</v>
      </c>
      <c r="O5">
        <f>E5*A5</f>
        <v>1.6432485449999999E-3</v>
      </c>
      <c r="P5">
        <f>-K5-M5-N5-O5</f>
        <v>3.6428642990134402E-2</v>
      </c>
      <c r="R5" s="2" t="s">
        <v>17</v>
      </c>
      <c r="S5">
        <v>-3.5099999999999999E-2</v>
      </c>
      <c r="V5">
        <v>-5.9</v>
      </c>
      <c r="W5">
        <f t="shared" ref="W5:W68" si="8">V5*$S$5+$S$4</f>
        <v>-0.30591000000000002</v>
      </c>
    </row>
    <row r="6" spans="1:23" x14ac:dyDescent="0.3">
      <c r="A6">
        <v>0.16695160000000001</v>
      </c>
      <c r="B6">
        <v>0.74594000000000005</v>
      </c>
      <c r="C6">
        <f t="shared" si="2"/>
        <v>0.12453587650400001</v>
      </c>
      <c r="D6" s="1">
        <v>2.1000000000000001E-2</v>
      </c>
      <c r="E6" s="1">
        <v>1.41E-2</v>
      </c>
      <c r="F6">
        <f t="shared" si="3"/>
        <v>33.390320000000003</v>
      </c>
      <c r="G6">
        <f t="shared" si="4"/>
        <v>-0.74594000000000005</v>
      </c>
      <c r="H6">
        <f t="shared" si="0"/>
        <v>-24.907175300800002</v>
      </c>
      <c r="I6">
        <v>1</v>
      </c>
      <c r="J6">
        <f t="shared" si="5"/>
        <v>-3.3994892413648006</v>
      </c>
      <c r="K6">
        <f t="shared" si="6"/>
        <v>-0.43397057297601194</v>
      </c>
      <c r="M6">
        <f t="shared" ref="M6:M69" si="9">-1*($S$4+($S$5*J6))</f>
        <v>0.3936779276280955</v>
      </c>
      <c r="N6">
        <f t="shared" si="7"/>
        <v>3.5059836000000005E-3</v>
      </c>
      <c r="O6">
        <f t="shared" ref="O6:O69" si="10">E6*A6</f>
        <v>2.3540175599999998E-3</v>
      </c>
      <c r="P6">
        <f t="shared" ref="P6:P69" si="11">-K6-M6-N6-O6</f>
        <v>3.4432644187916438E-2</v>
      </c>
      <c r="V6">
        <v>-5.8</v>
      </c>
      <c r="W6">
        <f t="shared" si="8"/>
        <v>-0.30942000000000003</v>
      </c>
    </row>
    <row r="7" spans="1:23" x14ac:dyDescent="0.3">
      <c r="A7">
        <v>0.2214342</v>
      </c>
      <c r="B7">
        <v>0.73455999999999999</v>
      </c>
      <c r="C7">
        <f t="shared" si="2"/>
        <v>0.16265670595199999</v>
      </c>
      <c r="D7" s="1">
        <v>2.1000000000000001E-2</v>
      </c>
      <c r="E7" s="1">
        <v>1.41E-2</v>
      </c>
      <c r="F7">
        <f t="shared" si="3"/>
        <v>44.286839999999998</v>
      </c>
      <c r="G7">
        <f t="shared" si="4"/>
        <v>-0.73455999999999999</v>
      </c>
      <c r="H7">
        <f t="shared" si="0"/>
        <v>-32.531341190399999</v>
      </c>
      <c r="I7">
        <v>1</v>
      </c>
      <c r="J7">
        <f t="shared" si="5"/>
        <v>-3.1170677115264862</v>
      </c>
      <c r="K7">
        <f t="shared" si="6"/>
        <v>-0.44535057297601199</v>
      </c>
      <c r="M7">
        <f t="shared" si="9"/>
        <v>0.40359092332542035</v>
      </c>
      <c r="N7">
        <f t="shared" ref="N7:N70" si="12">D7*A7</f>
        <v>4.6501182E-3</v>
      </c>
      <c r="O7">
        <f t="shared" si="10"/>
        <v>3.12222222E-3</v>
      </c>
      <c r="P7">
        <f t="shared" si="11"/>
        <v>3.398730923059165E-2</v>
      </c>
      <c r="V7">
        <v>-5.7</v>
      </c>
      <c r="W7">
        <f t="shared" si="8"/>
        <v>-0.31293000000000004</v>
      </c>
    </row>
    <row r="8" spans="1:23" x14ac:dyDescent="0.3">
      <c r="A8">
        <v>0.27337089999999997</v>
      </c>
      <c r="B8">
        <v>0.72407999999999995</v>
      </c>
      <c r="C8">
        <f t="shared" si="2"/>
        <v>0.19794240127199997</v>
      </c>
      <c r="D8" s="1">
        <v>2.1000000000000001E-2</v>
      </c>
      <c r="E8" s="1">
        <v>1.41E-2</v>
      </c>
      <c r="F8">
        <f t="shared" si="3"/>
        <v>54.674179999999993</v>
      </c>
      <c r="G8">
        <f t="shared" si="4"/>
        <v>-0.72407999999999995</v>
      </c>
      <c r="H8">
        <f t="shared" si="0"/>
        <v>-39.588480254399997</v>
      </c>
      <c r="I8">
        <v>1</v>
      </c>
      <c r="J8">
        <f t="shared" si="5"/>
        <v>-2.9063637102455355</v>
      </c>
      <c r="K8">
        <f t="shared" si="6"/>
        <v>-0.45583057297601204</v>
      </c>
      <c r="M8">
        <f t="shared" si="9"/>
        <v>0.41098663377038169</v>
      </c>
      <c r="N8">
        <f t="shared" si="12"/>
        <v>5.7407889E-3</v>
      </c>
      <c r="O8">
        <f t="shared" si="10"/>
        <v>3.8545296899999996E-3</v>
      </c>
      <c r="P8">
        <f t="shared" si="11"/>
        <v>3.5248620615630347E-2</v>
      </c>
      <c r="V8">
        <v>-5.6</v>
      </c>
      <c r="W8">
        <f t="shared" si="8"/>
        <v>-0.31644000000000005</v>
      </c>
    </row>
    <row r="9" spans="1:23" x14ac:dyDescent="0.3">
      <c r="A9">
        <v>0.3242892</v>
      </c>
      <c r="B9">
        <v>0.71528000000000003</v>
      </c>
      <c r="C9">
        <f t="shared" si="2"/>
        <v>0.231957578976</v>
      </c>
      <c r="D9" s="1">
        <v>2.1000000000000001E-2</v>
      </c>
      <c r="E9" s="1">
        <v>1.41E-2</v>
      </c>
      <c r="F9">
        <f t="shared" si="3"/>
        <v>64.857839999999996</v>
      </c>
      <c r="G9">
        <f t="shared" si="4"/>
        <v>-0.71528000000000003</v>
      </c>
      <c r="H9">
        <f t="shared" si="0"/>
        <v>-46.3915157952</v>
      </c>
      <c r="I9">
        <v>1</v>
      </c>
      <c r="J9">
        <f t="shared" si="5"/>
        <v>-2.735557481155193</v>
      </c>
      <c r="K9">
        <f t="shared" si="6"/>
        <v>-0.46463057297601196</v>
      </c>
      <c r="M9">
        <f t="shared" si="9"/>
        <v>0.41698193241145276</v>
      </c>
      <c r="N9">
        <f t="shared" si="12"/>
        <v>6.8100732000000008E-3</v>
      </c>
      <c r="O9">
        <f t="shared" si="10"/>
        <v>4.5724777199999999E-3</v>
      </c>
      <c r="P9">
        <f t="shared" si="11"/>
        <v>3.6266089644559192E-2</v>
      </c>
      <c r="V9">
        <v>-5.5</v>
      </c>
      <c r="W9">
        <f t="shared" si="8"/>
        <v>-0.31995000000000001</v>
      </c>
    </row>
    <row r="10" spans="1:23" x14ac:dyDescent="0.3">
      <c r="A10">
        <v>0.37469839999999999</v>
      </c>
      <c r="B10">
        <v>0.70716999999999997</v>
      </c>
      <c r="C10">
        <f t="shared" si="2"/>
        <v>0.264975467528</v>
      </c>
      <c r="D10" s="1">
        <v>2.1000000000000001E-2</v>
      </c>
      <c r="E10" s="1">
        <v>1.41E-2</v>
      </c>
      <c r="F10">
        <f t="shared" si="3"/>
        <v>74.939679999999996</v>
      </c>
      <c r="G10">
        <f t="shared" si="4"/>
        <v>-0.70716999999999997</v>
      </c>
      <c r="H10">
        <f t="shared" si="0"/>
        <v>-52.995093505599996</v>
      </c>
      <c r="I10">
        <v>1</v>
      </c>
      <c r="J10">
        <f t="shared" si="5"/>
        <v>-2.5910717557084455</v>
      </c>
      <c r="K10">
        <f t="shared" si="6"/>
        <v>-0.47274057297601202</v>
      </c>
      <c r="M10">
        <f t="shared" si="9"/>
        <v>0.42205338137463355</v>
      </c>
      <c r="N10">
        <f t="shared" si="12"/>
        <v>7.8686664E-3</v>
      </c>
      <c r="O10">
        <f t="shared" si="10"/>
        <v>5.2832474399999996E-3</v>
      </c>
      <c r="P10">
        <f t="shared" si="11"/>
        <v>3.7535277761378466E-2</v>
      </c>
      <c r="V10">
        <v>-5.4</v>
      </c>
      <c r="W10">
        <f t="shared" si="8"/>
        <v>-0.32345999999999997</v>
      </c>
    </row>
    <row r="11" spans="1:23" x14ac:dyDescent="0.3">
      <c r="A11">
        <v>0.42561664999999999</v>
      </c>
      <c r="B11">
        <v>0.69857000000000002</v>
      </c>
      <c r="C11">
        <f t="shared" si="2"/>
        <v>0.29732302319050002</v>
      </c>
      <c r="D11" s="1">
        <v>2.1000000000000001E-2</v>
      </c>
      <c r="E11" s="1">
        <v>1.41E-2</v>
      </c>
      <c r="F11">
        <f t="shared" si="3"/>
        <v>85.123329999999996</v>
      </c>
      <c r="G11">
        <f t="shared" si="4"/>
        <v>-0.69857000000000002</v>
      </c>
      <c r="H11">
        <f t="shared" si="0"/>
        <v>-59.464604638100006</v>
      </c>
      <c r="I11">
        <v>1</v>
      </c>
      <c r="J11">
        <f t="shared" si="5"/>
        <v>-2.4636541329134172</v>
      </c>
      <c r="K11">
        <f t="shared" si="6"/>
        <v>-0.48134057297601196</v>
      </c>
      <c r="M11">
        <f t="shared" si="9"/>
        <v>0.42652573993473908</v>
      </c>
      <c r="N11">
        <f t="shared" si="12"/>
        <v>8.9379496500000006E-3</v>
      </c>
      <c r="O11">
        <f t="shared" si="10"/>
        <v>6.0011947649999996E-3</v>
      </c>
      <c r="P11">
        <f t="shared" si="11"/>
        <v>3.987568862627288E-2</v>
      </c>
      <c r="V11">
        <v>-5.3</v>
      </c>
      <c r="W11">
        <f t="shared" si="8"/>
        <v>-0.32696999999999998</v>
      </c>
    </row>
    <row r="12" spans="1:23" x14ac:dyDescent="0.3">
      <c r="A12">
        <v>0.47755339999999996</v>
      </c>
      <c r="B12">
        <v>0.69033</v>
      </c>
      <c r="C12">
        <f t="shared" si="2"/>
        <v>0.32966943862199999</v>
      </c>
      <c r="D12" s="1">
        <v>2.1000000000000001E-2</v>
      </c>
      <c r="E12" s="1">
        <v>1.41E-2</v>
      </c>
      <c r="F12">
        <f t="shared" si="3"/>
        <v>95.510679999999994</v>
      </c>
      <c r="G12">
        <f t="shared" si="4"/>
        <v>-0.69033</v>
      </c>
      <c r="H12">
        <f t="shared" si="0"/>
        <v>-65.933887724399995</v>
      </c>
      <c r="I12">
        <v>1</v>
      </c>
      <c r="J12">
        <f t="shared" si="5"/>
        <v>-2.3485172052875032</v>
      </c>
      <c r="K12">
        <f t="shared" si="6"/>
        <v>-0.48958057297601199</v>
      </c>
      <c r="M12">
        <f t="shared" si="9"/>
        <v>0.43056704609440866</v>
      </c>
      <c r="N12">
        <f t="shared" si="12"/>
        <v>1.00286214E-2</v>
      </c>
      <c r="O12">
        <f t="shared" si="10"/>
        <v>6.7335029399999994E-3</v>
      </c>
      <c r="P12">
        <f t="shared" si="11"/>
        <v>4.2251402541603332E-2</v>
      </c>
      <c r="V12">
        <v>-5.2</v>
      </c>
      <c r="W12">
        <f t="shared" si="8"/>
        <v>-0.33048</v>
      </c>
    </row>
    <row r="13" spans="1:23" x14ac:dyDescent="0.3">
      <c r="A13">
        <v>0.52898095000000001</v>
      </c>
      <c r="B13">
        <v>0.68269000000000002</v>
      </c>
      <c r="C13">
        <f t="shared" si="2"/>
        <v>0.3611300047555</v>
      </c>
      <c r="D13" s="1">
        <v>2.1000000000000001E-2</v>
      </c>
      <c r="E13" s="1">
        <v>1.41E-2</v>
      </c>
      <c r="F13">
        <f t="shared" si="3"/>
        <v>105.79619</v>
      </c>
      <c r="G13">
        <f t="shared" si="4"/>
        <v>-0.68269000000000002</v>
      </c>
      <c r="H13">
        <f t="shared" si="0"/>
        <v>-72.226000951100005</v>
      </c>
      <c r="I13">
        <v>1</v>
      </c>
      <c r="J13">
        <f t="shared" si="5"/>
        <v>-2.2462407715485169</v>
      </c>
      <c r="K13">
        <f t="shared" si="6"/>
        <v>-0.49722057297601197</v>
      </c>
      <c r="M13">
        <f t="shared" si="9"/>
        <v>0.43415694891864709</v>
      </c>
      <c r="N13">
        <f t="shared" si="12"/>
        <v>1.1108599950000001E-2</v>
      </c>
      <c r="O13">
        <f t="shared" si="10"/>
        <v>7.458631395E-3</v>
      </c>
      <c r="P13">
        <f t="shared" si="11"/>
        <v>4.4496392712364878E-2</v>
      </c>
      <c r="V13">
        <v>-5.0999999999999996</v>
      </c>
      <c r="W13">
        <f t="shared" si="8"/>
        <v>-0.33399000000000001</v>
      </c>
    </row>
    <row r="14" spans="1:23" x14ac:dyDescent="0.3">
      <c r="A14">
        <v>0.57989930000000001</v>
      </c>
      <c r="B14">
        <v>0.67542999999999997</v>
      </c>
      <c r="C14">
        <f t="shared" si="2"/>
        <v>0.391681384199</v>
      </c>
      <c r="D14" s="1">
        <v>2.1000000000000001E-2</v>
      </c>
      <c r="E14" s="1">
        <v>1.41E-2</v>
      </c>
      <c r="F14">
        <f t="shared" si="3"/>
        <v>115.97986</v>
      </c>
      <c r="G14">
        <f t="shared" si="4"/>
        <v>-0.67542999999999997</v>
      </c>
      <c r="H14">
        <f t="shared" si="0"/>
        <v>-78.336276839800007</v>
      </c>
      <c r="I14">
        <v>1</v>
      </c>
      <c r="J14">
        <f t="shared" si="5"/>
        <v>-2.1543387236392442</v>
      </c>
      <c r="K14">
        <f t="shared" si="6"/>
        <v>-0.50448057297601201</v>
      </c>
      <c r="M14">
        <f t="shared" si="9"/>
        <v>0.43738271080026253</v>
      </c>
      <c r="N14">
        <f t="shared" si="12"/>
        <v>1.2177885300000002E-2</v>
      </c>
      <c r="O14">
        <f t="shared" si="10"/>
        <v>8.1765801299999996E-3</v>
      </c>
      <c r="P14">
        <f t="shared" si="11"/>
        <v>4.6743396745749476E-2</v>
      </c>
      <c r="V14">
        <v>-5</v>
      </c>
      <c r="W14">
        <f t="shared" si="8"/>
        <v>-0.33750000000000002</v>
      </c>
    </row>
    <row r="15" spans="1:23" x14ac:dyDescent="0.3">
      <c r="A15">
        <v>0.63030839999999999</v>
      </c>
      <c r="B15">
        <v>0.66856000000000004</v>
      </c>
      <c r="C15">
        <f t="shared" si="2"/>
        <v>0.42139898390400005</v>
      </c>
      <c r="D15" s="1">
        <v>2.1000000000000001E-2</v>
      </c>
      <c r="E15" s="1">
        <v>1.41E-2</v>
      </c>
      <c r="F15">
        <f t="shared" si="3"/>
        <v>126.06168</v>
      </c>
      <c r="G15">
        <f t="shared" si="4"/>
        <v>-0.66856000000000004</v>
      </c>
      <c r="H15">
        <f t="shared" si="0"/>
        <v>-84.279796780800012</v>
      </c>
      <c r="I15">
        <v>1</v>
      </c>
      <c r="J15">
        <f t="shared" si="5"/>
        <v>-2.0709839679988273</v>
      </c>
      <c r="K15">
        <f t="shared" si="6"/>
        <v>-0.51135057297601194</v>
      </c>
      <c r="M15">
        <f t="shared" si="9"/>
        <v>0.4403084627232412</v>
      </c>
      <c r="N15">
        <f t="shared" si="12"/>
        <v>1.3236476400000001E-2</v>
      </c>
      <c r="O15">
        <f t="shared" si="10"/>
        <v>8.8873484399999998E-3</v>
      </c>
      <c r="P15">
        <f t="shared" si="11"/>
        <v>4.891828541277074E-2</v>
      </c>
      <c r="V15">
        <v>-4.9000000000000004</v>
      </c>
      <c r="W15">
        <f t="shared" si="8"/>
        <v>-0.34101000000000004</v>
      </c>
    </row>
    <row r="16" spans="1:23" x14ac:dyDescent="0.3">
      <c r="A16">
        <v>0.68122674999999999</v>
      </c>
      <c r="B16">
        <v>0.66213999999999995</v>
      </c>
      <c r="C16">
        <f t="shared" si="2"/>
        <v>0.45106748024499999</v>
      </c>
      <c r="D16" s="1">
        <v>2.1000000000000001E-2</v>
      </c>
      <c r="E16" s="1">
        <v>1.41E-2</v>
      </c>
      <c r="F16">
        <f t="shared" si="3"/>
        <v>136.24535</v>
      </c>
      <c r="G16">
        <f t="shared" si="4"/>
        <v>-0.66213999999999995</v>
      </c>
      <c r="H16">
        <f t="shared" si="0"/>
        <v>-90.213496049</v>
      </c>
      <c r="I16">
        <v>1</v>
      </c>
      <c r="J16">
        <f t="shared" si="5"/>
        <v>-1.9932979744615389</v>
      </c>
      <c r="K16">
        <f t="shared" si="6"/>
        <v>-0.51777057297601203</v>
      </c>
      <c r="M16">
        <f t="shared" si="9"/>
        <v>0.44303524109640002</v>
      </c>
      <c r="N16">
        <f t="shared" si="12"/>
        <v>1.4305761750000002E-2</v>
      </c>
      <c r="O16">
        <f t="shared" si="10"/>
        <v>9.6052971749999994E-3</v>
      </c>
      <c r="P16">
        <f t="shared" si="11"/>
        <v>5.0824272954612011E-2</v>
      </c>
      <c r="V16">
        <v>-4.8</v>
      </c>
      <c r="W16">
        <f t="shared" si="8"/>
        <v>-0.34452000000000005</v>
      </c>
    </row>
    <row r="17" spans="1:23" x14ac:dyDescent="0.3">
      <c r="A17">
        <v>0.73214500000000005</v>
      </c>
      <c r="B17">
        <v>0.65522999999999998</v>
      </c>
      <c r="C17">
        <f t="shared" si="2"/>
        <v>0.47972336835000001</v>
      </c>
      <c r="D17" s="1">
        <v>2.1000000000000001E-2</v>
      </c>
      <c r="E17" s="1">
        <v>1.41E-2</v>
      </c>
      <c r="F17">
        <f t="shared" si="3"/>
        <v>146.429</v>
      </c>
      <c r="G17">
        <f t="shared" si="4"/>
        <v>-0.65522999999999998</v>
      </c>
      <c r="H17">
        <f t="shared" si="0"/>
        <v>-95.94467367</v>
      </c>
      <c r="I17">
        <v>1</v>
      </c>
      <c r="J17">
        <f t="shared" si="5"/>
        <v>-1.9212146096399567</v>
      </c>
      <c r="K17">
        <f t="shared" si="6"/>
        <v>-0.52468057297601201</v>
      </c>
      <c r="M17">
        <f t="shared" si="9"/>
        <v>0.44556536720163753</v>
      </c>
      <c r="N17">
        <f t="shared" si="12"/>
        <v>1.5375045000000002E-2</v>
      </c>
      <c r="O17">
        <f t="shared" si="10"/>
        <v>1.03232445E-2</v>
      </c>
      <c r="P17">
        <f t="shared" si="11"/>
        <v>5.3416916274374469E-2</v>
      </c>
      <c r="V17">
        <v>-4.7</v>
      </c>
      <c r="W17">
        <f t="shared" si="8"/>
        <v>-0.34803000000000001</v>
      </c>
    </row>
    <row r="18" spans="1:23" x14ac:dyDescent="0.3">
      <c r="A18">
        <v>0.78713690000000003</v>
      </c>
      <c r="B18">
        <v>0.64853000000000005</v>
      </c>
      <c r="C18">
        <f t="shared" si="2"/>
        <v>0.51048189375700004</v>
      </c>
      <c r="D18" s="1">
        <v>2.1000000000000001E-2</v>
      </c>
      <c r="E18" s="1">
        <v>1.41E-2</v>
      </c>
      <c r="F18">
        <f t="shared" si="3"/>
        <v>157.42738</v>
      </c>
      <c r="G18">
        <f t="shared" si="4"/>
        <v>-0.64853000000000005</v>
      </c>
      <c r="H18">
        <f t="shared" si="0"/>
        <v>-102.09637875140001</v>
      </c>
      <c r="I18">
        <v>1</v>
      </c>
      <c r="J18">
        <f t="shared" si="5"/>
        <v>-1.8487910064113047</v>
      </c>
      <c r="K18">
        <f t="shared" si="6"/>
        <v>-0.53138057297601193</v>
      </c>
      <c r="M18">
        <f t="shared" si="9"/>
        <v>0.44810743567496325</v>
      </c>
      <c r="N18">
        <f t="shared" si="12"/>
        <v>1.6529874900000002E-2</v>
      </c>
      <c r="O18">
        <f t="shared" si="10"/>
        <v>1.109863029E-2</v>
      </c>
      <c r="P18">
        <f t="shared" si="11"/>
        <v>5.5644632111048677E-2</v>
      </c>
      <c r="V18">
        <v>-4.5999999999999996</v>
      </c>
      <c r="W18">
        <f t="shared" si="8"/>
        <v>-0.35154000000000002</v>
      </c>
    </row>
    <row r="19" spans="1:23" x14ac:dyDescent="0.3">
      <c r="A19">
        <v>0.84212864999999992</v>
      </c>
      <c r="B19">
        <v>0.64131000000000005</v>
      </c>
      <c r="C19">
        <f t="shared" si="2"/>
        <v>0.54006552453150003</v>
      </c>
      <c r="D19" s="1">
        <v>2.1000000000000001E-2</v>
      </c>
      <c r="E19" s="1">
        <v>1.41E-2</v>
      </c>
      <c r="F19">
        <f t="shared" si="3"/>
        <v>168.42572999999999</v>
      </c>
      <c r="G19">
        <f t="shared" si="4"/>
        <v>-0.64131000000000005</v>
      </c>
      <c r="H19">
        <f t="shared" si="0"/>
        <v>-108.0131049063</v>
      </c>
      <c r="I19">
        <v>1</v>
      </c>
      <c r="J19">
        <f t="shared" si="5"/>
        <v>-1.781260397871391</v>
      </c>
      <c r="K19">
        <f t="shared" si="6"/>
        <v>-0.53860057297601194</v>
      </c>
      <c r="M19">
        <f t="shared" si="9"/>
        <v>0.45047776003471418</v>
      </c>
      <c r="N19">
        <f t="shared" si="12"/>
        <v>1.7684701649999999E-2</v>
      </c>
      <c r="O19">
        <f t="shared" si="10"/>
        <v>1.1874013964999999E-2</v>
      </c>
      <c r="P19">
        <f t="shared" si="11"/>
        <v>5.8564097326297762E-2</v>
      </c>
      <c r="V19">
        <v>-4.5000000000000098</v>
      </c>
      <c r="W19">
        <f t="shared" si="8"/>
        <v>-0.35504999999999964</v>
      </c>
    </row>
    <row r="20" spans="1:23" x14ac:dyDescent="0.3">
      <c r="A20">
        <v>0.89406535000000009</v>
      </c>
      <c r="B20">
        <v>0.63534000000000002</v>
      </c>
      <c r="C20">
        <f t="shared" si="2"/>
        <v>0.56803547946900013</v>
      </c>
      <c r="D20" s="1">
        <v>2.1000000000000001E-2</v>
      </c>
      <c r="E20" s="1">
        <v>1.41E-2</v>
      </c>
      <c r="F20">
        <f t="shared" si="3"/>
        <v>178.81307000000001</v>
      </c>
      <c r="G20">
        <f t="shared" si="4"/>
        <v>-0.63534000000000002</v>
      </c>
      <c r="H20">
        <f t="shared" si="0"/>
        <v>-113.60709589380002</v>
      </c>
      <c r="I20">
        <v>1</v>
      </c>
      <c r="J20">
        <f t="shared" si="5"/>
        <v>-1.721414320480279</v>
      </c>
      <c r="K20">
        <f t="shared" si="6"/>
        <v>-0.54457057297601197</v>
      </c>
      <c r="M20">
        <f t="shared" si="9"/>
        <v>0.45257835735114221</v>
      </c>
      <c r="N20">
        <f t="shared" si="12"/>
        <v>1.8775372350000003E-2</v>
      </c>
      <c r="O20">
        <f t="shared" si="10"/>
        <v>1.2606321435000001E-2</v>
      </c>
      <c r="P20">
        <f t="shared" si="11"/>
        <v>6.0610521839869758E-2</v>
      </c>
      <c r="V20">
        <v>-4.4000000000000101</v>
      </c>
      <c r="W20">
        <f t="shared" si="8"/>
        <v>-0.35855999999999966</v>
      </c>
    </row>
    <row r="21" spans="1:23" x14ac:dyDescent="0.3">
      <c r="A21">
        <v>0.94956635</v>
      </c>
      <c r="B21">
        <v>0.62860000000000005</v>
      </c>
      <c r="C21">
        <f t="shared" si="2"/>
        <v>0.5968974076100001</v>
      </c>
      <c r="D21" s="1">
        <v>2.1000000000000001E-2</v>
      </c>
      <c r="E21" s="1">
        <v>1.41E-2</v>
      </c>
      <c r="F21">
        <f t="shared" si="3"/>
        <v>189.91327000000001</v>
      </c>
      <c r="G21">
        <f t="shared" si="4"/>
        <v>-0.62860000000000005</v>
      </c>
      <c r="H21">
        <f t="shared" si="0"/>
        <v>-119.37948152200002</v>
      </c>
      <c r="I21">
        <v>1</v>
      </c>
      <c r="J21">
        <f t="shared" si="5"/>
        <v>-1.6611877847216892</v>
      </c>
      <c r="K21">
        <f t="shared" si="6"/>
        <v>-0.55131057297601194</v>
      </c>
      <c r="M21">
        <f t="shared" si="9"/>
        <v>0.4546923087562687</v>
      </c>
      <c r="N21">
        <f t="shared" si="12"/>
        <v>1.9940893350000002E-2</v>
      </c>
      <c r="O21">
        <f t="shared" si="10"/>
        <v>1.3388885535000001E-2</v>
      </c>
      <c r="P21">
        <f t="shared" si="11"/>
        <v>6.3288485334743225E-2</v>
      </c>
      <c r="V21">
        <v>-4.3000000000000096</v>
      </c>
      <c r="W21">
        <f t="shared" si="8"/>
        <v>-0.36206999999999967</v>
      </c>
    </row>
    <row r="22" spans="1:23" x14ac:dyDescent="0.3">
      <c r="A22">
        <v>1.0050673000000001</v>
      </c>
      <c r="B22">
        <v>0.62255000000000005</v>
      </c>
      <c r="C22">
        <f t="shared" si="2"/>
        <v>0.62570464761500011</v>
      </c>
      <c r="D22" s="1">
        <v>2.1000000000000001E-2</v>
      </c>
      <c r="E22" s="1">
        <v>1.41E-2</v>
      </c>
      <c r="F22">
        <f t="shared" si="3"/>
        <v>201.01346000000001</v>
      </c>
      <c r="G22">
        <f t="shared" si="4"/>
        <v>-0.62255000000000005</v>
      </c>
      <c r="H22">
        <f t="shared" si="0"/>
        <v>-125.14092952300003</v>
      </c>
      <c r="I22">
        <v>1</v>
      </c>
      <c r="J22">
        <f t="shared" si="5"/>
        <v>-1.6043834079909991</v>
      </c>
      <c r="K22">
        <f t="shared" si="6"/>
        <v>-0.55736057297601194</v>
      </c>
      <c r="M22">
        <f t="shared" si="9"/>
        <v>0.45668614237951594</v>
      </c>
      <c r="N22">
        <f t="shared" si="12"/>
        <v>2.1106413300000005E-2</v>
      </c>
      <c r="O22">
        <f t="shared" si="10"/>
        <v>1.4171448930000002E-2</v>
      </c>
      <c r="P22">
        <f t="shared" si="11"/>
        <v>6.5396568366496002E-2</v>
      </c>
      <c r="V22">
        <v>-4.2000000000000099</v>
      </c>
      <c r="W22">
        <f t="shared" si="8"/>
        <v>-0.36557999999999968</v>
      </c>
    </row>
    <row r="23" spans="1:23" x14ac:dyDescent="0.3">
      <c r="A23">
        <v>1.0585316</v>
      </c>
      <c r="B23">
        <v>0.61592000000000002</v>
      </c>
      <c r="C23">
        <f t="shared" si="2"/>
        <v>0.65197078307200007</v>
      </c>
      <c r="D23" s="1">
        <v>2.1000000000000001E-2</v>
      </c>
      <c r="E23" s="1">
        <v>1.41E-2</v>
      </c>
      <c r="F23">
        <f t="shared" si="3"/>
        <v>211.70632000000001</v>
      </c>
      <c r="G23">
        <f t="shared" si="4"/>
        <v>-0.61592000000000002</v>
      </c>
      <c r="H23">
        <f t="shared" si="0"/>
        <v>-130.3941566144</v>
      </c>
      <c r="I23">
        <v>1</v>
      </c>
      <c r="J23">
        <f t="shared" si="5"/>
        <v>-1.5525552477205589</v>
      </c>
      <c r="K23">
        <f t="shared" si="6"/>
        <v>-0.56399057297601196</v>
      </c>
      <c r="M23">
        <f t="shared" si="9"/>
        <v>0.45850531080500839</v>
      </c>
      <c r="N23">
        <f t="shared" si="12"/>
        <v>2.2229163600000001E-2</v>
      </c>
      <c r="O23">
        <f t="shared" si="10"/>
        <v>1.4925295559999999E-2</v>
      </c>
      <c r="P23">
        <f t="shared" si="11"/>
        <v>6.8330803011003569E-2</v>
      </c>
      <c r="V23">
        <v>-4.1000000000000103</v>
      </c>
      <c r="W23">
        <f t="shared" si="8"/>
        <v>-0.36908999999999964</v>
      </c>
    </row>
    <row r="24" spans="1:23" x14ac:dyDescent="0.3">
      <c r="A24">
        <v>1.1109774000000001</v>
      </c>
      <c r="B24">
        <v>0.61006000000000005</v>
      </c>
      <c r="C24">
        <f t="shared" si="2"/>
        <v>0.67776287264400015</v>
      </c>
      <c r="D24" s="1">
        <v>2.1000000000000001E-2</v>
      </c>
      <c r="E24" s="1">
        <v>1.41E-2</v>
      </c>
      <c r="F24">
        <f t="shared" si="3"/>
        <v>222.19548000000003</v>
      </c>
      <c r="G24">
        <f t="shared" si="4"/>
        <v>-0.61006000000000005</v>
      </c>
      <c r="H24">
        <f t="shared" si="0"/>
        <v>-135.55257452880002</v>
      </c>
      <c r="I24">
        <v>1</v>
      </c>
      <c r="J24">
        <f t="shared" si="5"/>
        <v>-1.5041977440177128</v>
      </c>
      <c r="K24">
        <f t="shared" si="6"/>
        <v>-0.56985057297601194</v>
      </c>
      <c r="M24">
        <f t="shared" si="9"/>
        <v>0.46020265918497827</v>
      </c>
      <c r="N24">
        <f t="shared" si="12"/>
        <v>2.3330525400000003E-2</v>
      </c>
      <c r="O24">
        <f t="shared" si="10"/>
        <v>1.5664781340000003E-2</v>
      </c>
      <c r="P24">
        <f t="shared" si="11"/>
        <v>7.065260705103367E-2</v>
      </c>
      <c r="V24">
        <v>-4.0000000000000098</v>
      </c>
      <c r="W24">
        <f t="shared" si="8"/>
        <v>-0.37259999999999971</v>
      </c>
    </row>
    <row r="25" spans="1:23" x14ac:dyDescent="0.3">
      <c r="A25">
        <v>1.1613865999999999</v>
      </c>
      <c r="B25">
        <v>0.60441</v>
      </c>
      <c r="C25">
        <f t="shared" si="2"/>
        <v>0.70195367490599991</v>
      </c>
      <c r="D25" s="1">
        <v>2.1000000000000001E-2</v>
      </c>
      <c r="E25" s="1">
        <v>1.41E-2</v>
      </c>
      <c r="F25">
        <f t="shared" si="3"/>
        <v>232.27731999999997</v>
      </c>
      <c r="G25">
        <f t="shared" si="4"/>
        <v>-0.60441</v>
      </c>
      <c r="H25">
        <f t="shared" si="0"/>
        <v>-140.39073498119998</v>
      </c>
      <c r="I25">
        <v>1</v>
      </c>
      <c r="J25">
        <f t="shared" si="5"/>
        <v>-1.4598232763440568</v>
      </c>
      <c r="K25">
        <f t="shared" si="6"/>
        <v>-0.57550057297601198</v>
      </c>
      <c r="M25">
        <f t="shared" si="9"/>
        <v>0.46176020300032361</v>
      </c>
      <c r="N25">
        <f t="shared" si="12"/>
        <v>2.4389118599999999E-2</v>
      </c>
      <c r="O25">
        <f t="shared" si="10"/>
        <v>1.637555106E-2</v>
      </c>
      <c r="P25">
        <f t="shared" si="11"/>
        <v>7.2975700315688369E-2</v>
      </c>
      <c r="V25">
        <v>-3.9000000000000101</v>
      </c>
      <c r="W25">
        <f t="shared" si="8"/>
        <v>-0.37610999999999967</v>
      </c>
    </row>
    <row r="26" spans="1:23" x14ac:dyDescent="0.3">
      <c r="A26">
        <v>1.2123049000000001</v>
      </c>
      <c r="B26">
        <v>0.59874000000000005</v>
      </c>
      <c r="C26">
        <f t="shared" si="2"/>
        <v>0.72585543582600009</v>
      </c>
      <c r="D26" s="1">
        <v>2.1000000000000001E-2</v>
      </c>
      <c r="E26" s="1">
        <v>1.41E-2</v>
      </c>
      <c r="F26">
        <f t="shared" si="3"/>
        <v>242.46098000000003</v>
      </c>
      <c r="G26">
        <f t="shared" si="4"/>
        <v>-0.59874000000000005</v>
      </c>
      <c r="H26">
        <f t="shared" si="0"/>
        <v>-145.17108716520002</v>
      </c>
      <c r="I26">
        <v>1</v>
      </c>
      <c r="J26">
        <f t="shared" si="5"/>
        <v>-1.4169144887680489</v>
      </c>
      <c r="K26">
        <f t="shared" si="6"/>
        <v>-0.58117057297601193</v>
      </c>
      <c r="M26">
        <f t="shared" si="9"/>
        <v>0.46326630144424152</v>
      </c>
      <c r="N26">
        <f t="shared" si="12"/>
        <v>2.5458402900000003E-2</v>
      </c>
      <c r="O26">
        <f t="shared" si="10"/>
        <v>1.7093499090000002E-2</v>
      </c>
      <c r="P26">
        <f t="shared" si="11"/>
        <v>7.5352369541770395E-2</v>
      </c>
      <c r="V26">
        <v>-3.80000000000001</v>
      </c>
      <c r="W26">
        <f t="shared" si="8"/>
        <v>-0.37961999999999962</v>
      </c>
    </row>
    <row r="27" spans="1:23" x14ac:dyDescent="0.3">
      <c r="A27">
        <v>1.2627139999999999</v>
      </c>
      <c r="B27">
        <v>0.59331</v>
      </c>
      <c r="C27">
        <f t="shared" si="2"/>
        <v>0.7491808433399999</v>
      </c>
      <c r="D27" s="1">
        <v>2.1000000000000001E-2</v>
      </c>
      <c r="E27" s="1">
        <v>1.41E-2</v>
      </c>
      <c r="F27">
        <f t="shared" si="3"/>
        <v>252.54279999999997</v>
      </c>
      <c r="G27">
        <f t="shared" si="4"/>
        <v>-0.59331</v>
      </c>
      <c r="H27">
        <f t="shared" si="0"/>
        <v>-149.83616866799997</v>
      </c>
      <c r="I27">
        <v>1</v>
      </c>
      <c r="J27">
        <f t="shared" si="5"/>
        <v>-1.3761745396805687</v>
      </c>
      <c r="K27">
        <f t="shared" si="6"/>
        <v>-0.58660057297601198</v>
      </c>
      <c r="M27">
        <f t="shared" si="9"/>
        <v>0.46469627365721206</v>
      </c>
      <c r="N27">
        <f t="shared" si="12"/>
        <v>2.6516993999999999E-2</v>
      </c>
      <c r="O27">
        <f t="shared" si="10"/>
        <v>1.7804267399999997E-2</v>
      </c>
      <c r="P27">
        <f t="shared" si="11"/>
        <v>7.7583037918799919E-2</v>
      </c>
      <c r="V27">
        <v>-3.7000000000000099</v>
      </c>
      <c r="W27">
        <f t="shared" si="8"/>
        <v>-0.38312999999999964</v>
      </c>
    </row>
    <row r="28" spans="1:23" x14ac:dyDescent="0.3">
      <c r="A28">
        <v>1.3161782</v>
      </c>
      <c r="B28">
        <v>0.58714999999999995</v>
      </c>
      <c r="C28">
        <f t="shared" si="2"/>
        <v>0.77279403012999992</v>
      </c>
      <c r="D28" s="1">
        <v>2.1000000000000001E-2</v>
      </c>
      <c r="E28" s="1">
        <v>1.41E-2</v>
      </c>
      <c r="F28">
        <f t="shared" si="3"/>
        <v>263.23563999999999</v>
      </c>
      <c r="G28">
        <f t="shared" si="4"/>
        <v>-0.58714999999999995</v>
      </c>
      <c r="H28">
        <f t="shared" si="0"/>
        <v>-154.55880602599998</v>
      </c>
      <c r="I28">
        <v>1</v>
      </c>
      <c r="J28">
        <f t="shared" si="5"/>
        <v>-1.3347056783637803</v>
      </c>
      <c r="K28">
        <f t="shared" si="6"/>
        <v>-0.59276057297601203</v>
      </c>
      <c r="M28">
        <f t="shared" si="9"/>
        <v>0.46615183068943133</v>
      </c>
      <c r="N28">
        <f t="shared" si="12"/>
        <v>2.7639742200000001E-2</v>
      </c>
      <c r="O28">
        <f t="shared" si="10"/>
        <v>1.8558112619999997E-2</v>
      </c>
      <c r="P28">
        <f t="shared" si="11"/>
        <v>8.0410887466580705E-2</v>
      </c>
      <c r="V28">
        <v>-3.6000000000000099</v>
      </c>
      <c r="W28">
        <f t="shared" si="8"/>
        <v>-0.38663999999999965</v>
      </c>
    </row>
    <row r="29" spans="1:23" x14ac:dyDescent="0.3">
      <c r="A29">
        <v>1.3691333000000001</v>
      </c>
      <c r="B29">
        <v>0.58159000000000005</v>
      </c>
      <c r="C29">
        <f t="shared" si="2"/>
        <v>0.79627423594700009</v>
      </c>
      <c r="D29" s="1">
        <v>2.1000000000000001E-2</v>
      </c>
      <c r="E29" s="1">
        <v>1.41E-2</v>
      </c>
      <c r="F29">
        <f t="shared" si="3"/>
        <v>273.82666</v>
      </c>
      <c r="G29">
        <f t="shared" si="4"/>
        <v>-0.58159000000000005</v>
      </c>
      <c r="H29">
        <f t="shared" si="0"/>
        <v>-159.25484718940001</v>
      </c>
      <c r="I29">
        <v>1</v>
      </c>
      <c r="J29">
        <f t="shared" si="5"/>
        <v>-1.2952600005246564</v>
      </c>
      <c r="K29">
        <f t="shared" si="6"/>
        <v>-0.59832057297601193</v>
      </c>
      <c r="M29">
        <f t="shared" si="9"/>
        <v>0.4675363739815846</v>
      </c>
      <c r="N29">
        <f t="shared" si="12"/>
        <v>2.8751799300000005E-2</v>
      </c>
      <c r="O29">
        <f t="shared" si="10"/>
        <v>1.930477953E-2</v>
      </c>
      <c r="P29">
        <f t="shared" si="11"/>
        <v>8.2727620164427335E-2</v>
      </c>
      <c r="V29">
        <v>-3.5000000000000102</v>
      </c>
      <c r="W29">
        <f t="shared" si="8"/>
        <v>-0.39014999999999966</v>
      </c>
    </row>
    <row r="30" spans="1:23" x14ac:dyDescent="0.3">
      <c r="A30">
        <v>1.4215791999999998</v>
      </c>
      <c r="B30">
        <v>0.57625999999999999</v>
      </c>
      <c r="C30">
        <f t="shared" si="2"/>
        <v>0.81919922979199988</v>
      </c>
      <c r="D30" s="1">
        <v>2.1000000000000001E-2</v>
      </c>
      <c r="E30" s="1">
        <v>1.41E-2</v>
      </c>
      <c r="F30">
        <f t="shared" si="3"/>
        <v>284.31583999999998</v>
      </c>
      <c r="G30">
        <f t="shared" si="4"/>
        <v>-0.57625999999999999</v>
      </c>
      <c r="H30">
        <f t="shared" si="0"/>
        <v>-163.83984595839996</v>
      </c>
      <c r="I30">
        <v>1</v>
      </c>
      <c r="J30">
        <f t="shared" si="5"/>
        <v>-1.2576695460840739</v>
      </c>
      <c r="K30">
        <f t="shared" si="6"/>
        <v>-0.60365057297601199</v>
      </c>
      <c r="M30">
        <f t="shared" si="9"/>
        <v>0.468855798932449</v>
      </c>
      <c r="N30">
        <f t="shared" si="12"/>
        <v>2.9853163199999998E-2</v>
      </c>
      <c r="O30">
        <f t="shared" si="10"/>
        <v>2.0044266719999999E-2</v>
      </c>
      <c r="P30">
        <f t="shared" si="11"/>
        <v>8.4897344123562993E-2</v>
      </c>
      <c r="V30">
        <v>-3.4000000000000101</v>
      </c>
      <c r="W30">
        <f t="shared" si="8"/>
        <v>-0.39365999999999968</v>
      </c>
    </row>
    <row r="31" spans="1:23" x14ac:dyDescent="0.3">
      <c r="A31">
        <v>1.4719882999999998</v>
      </c>
      <c r="B31">
        <v>0.57045999999999997</v>
      </c>
      <c r="C31">
        <f t="shared" si="2"/>
        <v>0.83971044561799979</v>
      </c>
      <c r="D31" s="1">
        <v>2.1000000000000001E-2</v>
      </c>
      <c r="E31" s="1">
        <v>1.41E-2</v>
      </c>
      <c r="F31">
        <f t="shared" si="3"/>
        <v>294.39765999999997</v>
      </c>
      <c r="G31">
        <f t="shared" si="4"/>
        <v>-0.57045999999999997</v>
      </c>
      <c r="H31">
        <f t="shared" si="0"/>
        <v>-167.94208912359997</v>
      </c>
      <c r="I31">
        <v>1</v>
      </c>
      <c r="J31">
        <f t="shared" si="5"/>
        <v>-1.2228238405285696</v>
      </c>
      <c r="K31">
        <f t="shared" si="6"/>
        <v>-0.60945057297601202</v>
      </c>
      <c r="M31">
        <f t="shared" si="9"/>
        <v>0.47007888319744723</v>
      </c>
      <c r="N31">
        <f t="shared" si="12"/>
        <v>3.0911754299999997E-2</v>
      </c>
      <c r="O31">
        <f t="shared" si="10"/>
        <v>2.0755035029999997E-2</v>
      </c>
      <c r="P31">
        <f t="shared" si="11"/>
        <v>8.7704900448564799E-2</v>
      </c>
      <c r="V31">
        <v>-3.30000000000001</v>
      </c>
      <c r="W31">
        <f t="shared" si="8"/>
        <v>-0.39716999999999969</v>
      </c>
    </row>
    <row r="32" spans="1:23" x14ac:dyDescent="0.3">
      <c r="A32">
        <v>1.5259618000000001</v>
      </c>
      <c r="B32">
        <v>0.56552999999999998</v>
      </c>
      <c r="C32">
        <f t="shared" si="2"/>
        <v>0.8629771767540001</v>
      </c>
      <c r="D32" s="1">
        <v>2.1000000000000001E-2</v>
      </c>
      <c r="E32" s="1">
        <v>1.41E-2</v>
      </c>
      <c r="F32">
        <f t="shared" si="3"/>
        <v>305.19236000000001</v>
      </c>
      <c r="G32">
        <f t="shared" si="4"/>
        <v>-0.56552999999999998</v>
      </c>
      <c r="H32">
        <f t="shared" si="0"/>
        <v>-172.59543535080002</v>
      </c>
      <c r="I32">
        <v>1</v>
      </c>
      <c r="J32">
        <f t="shared" si="5"/>
        <v>-1.1868130126505598</v>
      </c>
      <c r="K32">
        <f t="shared" si="6"/>
        <v>-0.61438057297601201</v>
      </c>
      <c r="M32">
        <f t="shared" si="9"/>
        <v>0.47134286325596536</v>
      </c>
      <c r="N32">
        <f t="shared" si="12"/>
        <v>3.2045197800000008E-2</v>
      </c>
      <c r="O32">
        <f t="shared" si="10"/>
        <v>2.1516061380000003E-2</v>
      </c>
      <c r="P32">
        <f t="shared" si="11"/>
        <v>8.9476450540046631E-2</v>
      </c>
      <c r="V32">
        <v>-3.2000000000000099</v>
      </c>
      <c r="W32">
        <f t="shared" si="8"/>
        <v>-0.40067999999999965</v>
      </c>
    </row>
    <row r="33" spans="1:23" x14ac:dyDescent="0.3">
      <c r="A33">
        <v>1.5773892</v>
      </c>
      <c r="B33">
        <v>0.55979000000000001</v>
      </c>
      <c r="C33">
        <f t="shared" si="2"/>
        <v>0.88300670026799999</v>
      </c>
      <c r="D33" s="1">
        <v>2.1000000000000001E-2</v>
      </c>
      <c r="E33" s="1">
        <v>1.41E-2</v>
      </c>
      <c r="F33">
        <f t="shared" si="3"/>
        <v>315.47784000000001</v>
      </c>
      <c r="G33">
        <f t="shared" si="4"/>
        <v>-0.55979000000000001</v>
      </c>
      <c r="H33">
        <f t="shared" si="0"/>
        <v>-176.60134005359998</v>
      </c>
      <c r="I33">
        <v>1</v>
      </c>
      <c r="J33">
        <f t="shared" si="5"/>
        <v>-1.1536668371855612</v>
      </c>
      <c r="K33">
        <f t="shared" si="6"/>
        <v>-0.62012057297601197</v>
      </c>
      <c r="M33">
        <f t="shared" si="9"/>
        <v>0.47250629401478683</v>
      </c>
      <c r="N33">
        <f t="shared" si="12"/>
        <v>3.3125173200000003E-2</v>
      </c>
      <c r="O33">
        <f t="shared" si="10"/>
        <v>2.224118772E-2</v>
      </c>
      <c r="P33">
        <f t="shared" si="11"/>
        <v>9.2247918041225146E-2</v>
      </c>
      <c r="V33">
        <v>-3.1000000000000099</v>
      </c>
      <c r="W33">
        <f t="shared" si="8"/>
        <v>-0.40418999999999966</v>
      </c>
    </row>
    <row r="34" spans="1:23" x14ac:dyDescent="0.3">
      <c r="A34">
        <v>1.6288167999999998</v>
      </c>
      <c r="B34">
        <v>0.55437999999999998</v>
      </c>
      <c r="C34">
        <f t="shared" si="2"/>
        <v>0.90298345758399989</v>
      </c>
      <c r="D34" s="1">
        <v>2.1000000000000001E-2</v>
      </c>
      <c r="E34" s="1">
        <v>1.41E-2</v>
      </c>
      <c r="F34">
        <f t="shared" si="3"/>
        <v>325.76335999999998</v>
      </c>
      <c r="G34">
        <f t="shared" si="4"/>
        <v>-0.55437999999999998</v>
      </c>
      <c r="H34">
        <f t="shared" si="0"/>
        <v>-180.59669151679998</v>
      </c>
      <c r="I34">
        <v>1</v>
      </c>
      <c r="J34">
        <f t="shared" si="5"/>
        <v>-1.1215840507713795</v>
      </c>
      <c r="K34">
        <f t="shared" si="6"/>
        <v>-0.625530572976012</v>
      </c>
      <c r="M34">
        <f t="shared" si="9"/>
        <v>0.4736323998179246</v>
      </c>
      <c r="N34">
        <f t="shared" si="12"/>
        <v>3.4205152799999999E-2</v>
      </c>
      <c r="O34">
        <f t="shared" si="10"/>
        <v>2.2966316879999997E-2</v>
      </c>
      <c r="P34">
        <f t="shared" si="11"/>
        <v>9.4726703478087398E-2</v>
      </c>
      <c r="V34">
        <v>-3.0000000000000102</v>
      </c>
      <c r="W34">
        <f t="shared" si="8"/>
        <v>-0.40769999999999967</v>
      </c>
    </row>
    <row r="35" spans="1:23" x14ac:dyDescent="0.3">
      <c r="A35">
        <v>1.6807534999999998</v>
      </c>
      <c r="B35">
        <v>0.54915000000000003</v>
      </c>
      <c r="C35">
        <f t="shared" si="2"/>
        <v>0.92298578452499991</v>
      </c>
      <c r="D35" s="1">
        <v>2.1000000000000001E-2</v>
      </c>
      <c r="E35" s="1">
        <v>1.41E-2</v>
      </c>
      <c r="F35">
        <f t="shared" si="3"/>
        <v>336.15069999999997</v>
      </c>
      <c r="G35">
        <f t="shared" si="4"/>
        <v>-0.54915000000000003</v>
      </c>
      <c r="H35">
        <f t="shared" si="0"/>
        <v>-184.59715690499999</v>
      </c>
      <c r="I35">
        <v>1</v>
      </c>
      <c r="J35">
        <f t="shared" si="5"/>
        <v>-1.0901957076655708</v>
      </c>
      <c r="K35">
        <f t="shared" si="6"/>
        <v>-0.63076057297601196</v>
      </c>
      <c r="M35">
        <f t="shared" si="9"/>
        <v>0.4747341306609385</v>
      </c>
      <c r="N35">
        <f t="shared" si="12"/>
        <v>3.5295823499999997E-2</v>
      </c>
      <c r="O35">
        <f t="shared" si="10"/>
        <v>2.3698624349999996E-2</v>
      </c>
      <c r="P35">
        <f t="shared" si="11"/>
        <v>9.7031994465073462E-2</v>
      </c>
      <c r="V35">
        <v>-2.9000000000000101</v>
      </c>
      <c r="W35">
        <f t="shared" si="8"/>
        <v>-0.41120999999999963</v>
      </c>
    </row>
    <row r="36" spans="1:23" x14ac:dyDescent="0.3">
      <c r="A36">
        <v>1.7321808999999999</v>
      </c>
      <c r="B36">
        <v>0.54427000000000003</v>
      </c>
      <c r="C36">
        <f t="shared" si="2"/>
        <v>0.94277409844299997</v>
      </c>
      <c r="D36" s="1">
        <v>2.1000000000000001E-2</v>
      </c>
      <c r="E36" s="1">
        <v>1.41E-2</v>
      </c>
      <c r="F36">
        <f t="shared" si="3"/>
        <v>346.43617999999998</v>
      </c>
      <c r="G36">
        <f t="shared" si="4"/>
        <v>-0.54427000000000003</v>
      </c>
      <c r="H36">
        <f t="shared" si="0"/>
        <v>-188.55481968859999</v>
      </c>
      <c r="I36">
        <v>1</v>
      </c>
      <c r="J36">
        <f t="shared" si="5"/>
        <v>-1.0600566620204495</v>
      </c>
      <c r="K36">
        <f t="shared" si="6"/>
        <v>-0.63564057297601195</v>
      </c>
      <c r="M36">
        <f t="shared" si="9"/>
        <v>0.47579201116308223</v>
      </c>
      <c r="N36">
        <f t="shared" si="12"/>
        <v>3.6375798899999999E-2</v>
      </c>
      <c r="O36">
        <f t="shared" si="10"/>
        <v>2.4423750689999999E-2</v>
      </c>
      <c r="P36">
        <f t="shared" si="11"/>
        <v>9.9049012222929722E-2</v>
      </c>
      <c r="V36">
        <v>-2.80000000000001</v>
      </c>
      <c r="W36">
        <f t="shared" si="8"/>
        <v>-0.41471999999999964</v>
      </c>
    </row>
    <row r="37" spans="1:23" x14ac:dyDescent="0.3">
      <c r="A37">
        <v>1.7825901</v>
      </c>
      <c r="B37">
        <v>0.53920999999999997</v>
      </c>
      <c r="C37">
        <f t="shared" si="2"/>
        <v>0.96119040782099996</v>
      </c>
      <c r="D37" s="1">
        <v>2.1000000000000001E-2</v>
      </c>
      <c r="E37" s="1">
        <v>1.41E-2</v>
      </c>
      <c r="F37">
        <f t="shared" si="3"/>
        <v>356.51801999999998</v>
      </c>
      <c r="G37">
        <f t="shared" si="4"/>
        <v>-0.53920999999999997</v>
      </c>
      <c r="H37">
        <f t="shared" si="0"/>
        <v>-192.2380815642</v>
      </c>
      <c r="I37">
        <v>1</v>
      </c>
      <c r="J37">
        <f t="shared" si="5"/>
        <v>-1.03137049342067</v>
      </c>
      <c r="K37">
        <f t="shared" si="6"/>
        <v>-0.64070057297601202</v>
      </c>
      <c r="M37">
        <f t="shared" si="9"/>
        <v>0.47679889568093448</v>
      </c>
      <c r="N37">
        <f t="shared" si="12"/>
        <v>3.7434392099999998E-2</v>
      </c>
      <c r="O37">
        <f t="shared" si="10"/>
        <v>2.513452041E-2</v>
      </c>
      <c r="P37">
        <f t="shared" si="11"/>
        <v>0.10133276478507755</v>
      </c>
      <c r="V37">
        <v>-2.7000000000000099</v>
      </c>
      <c r="W37">
        <f t="shared" si="8"/>
        <v>-0.41822999999999966</v>
      </c>
    </row>
    <row r="38" spans="1:23" x14ac:dyDescent="0.3">
      <c r="A38">
        <v>1.8335085</v>
      </c>
      <c r="B38">
        <v>0.53388000000000002</v>
      </c>
      <c r="C38">
        <f t="shared" si="2"/>
        <v>0.97887351798</v>
      </c>
      <c r="D38" s="1">
        <v>2.1000000000000001E-2</v>
      </c>
      <c r="E38" s="1">
        <v>1.41E-2</v>
      </c>
      <c r="F38">
        <f t="shared" si="3"/>
        <v>366.70170000000002</v>
      </c>
      <c r="G38">
        <f t="shared" si="4"/>
        <v>-0.53388000000000002</v>
      </c>
      <c r="H38">
        <f t="shared" si="0"/>
        <v>-195.77470359599999</v>
      </c>
      <c r="I38">
        <v>1</v>
      </c>
      <c r="J38">
        <f t="shared" si="5"/>
        <v>-1.0032065679734155</v>
      </c>
      <c r="K38">
        <f t="shared" si="6"/>
        <v>-0.64603057297601196</v>
      </c>
      <c r="M38">
        <f t="shared" si="9"/>
        <v>0.47778744946413315</v>
      </c>
      <c r="N38">
        <f t="shared" si="12"/>
        <v>3.8503678499999999E-2</v>
      </c>
      <c r="O38">
        <f t="shared" si="10"/>
        <v>2.585246985E-2</v>
      </c>
      <c r="P38">
        <f t="shared" si="11"/>
        <v>0.10388697516187881</v>
      </c>
      <c r="V38">
        <v>-2.6000000000000099</v>
      </c>
      <c r="W38">
        <f t="shared" si="8"/>
        <v>-0.42173999999999967</v>
      </c>
    </row>
    <row r="39" spans="1:23" x14ac:dyDescent="0.3">
      <c r="A39">
        <v>1.8849359999999999</v>
      </c>
      <c r="B39">
        <v>0.52897000000000005</v>
      </c>
      <c r="C39">
        <f t="shared" si="2"/>
        <v>0.99707459592000003</v>
      </c>
      <c r="D39" s="1">
        <v>2.1000000000000001E-2</v>
      </c>
      <c r="E39" s="1">
        <v>1.41E-2</v>
      </c>
      <c r="F39">
        <f t="shared" si="3"/>
        <v>376.98719999999997</v>
      </c>
      <c r="G39">
        <f t="shared" si="4"/>
        <v>-0.52897000000000005</v>
      </c>
      <c r="H39">
        <f t="shared" si="0"/>
        <v>-199.41491918400001</v>
      </c>
      <c r="I39">
        <v>1</v>
      </c>
      <c r="J39">
        <f t="shared" si="5"/>
        <v>-0.97554404436515918</v>
      </c>
      <c r="K39">
        <f t="shared" si="6"/>
        <v>-0.65094057297601193</v>
      </c>
      <c r="M39">
        <f t="shared" si="9"/>
        <v>0.47875840404278291</v>
      </c>
      <c r="N39">
        <f t="shared" si="12"/>
        <v>3.9583656000000002E-2</v>
      </c>
      <c r="O39">
        <f t="shared" si="10"/>
        <v>2.6577597599999999E-2</v>
      </c>
      <c r="P39">
        <f t="shared" si="11"/>
        <v>0.10602091533322902</v>
      </c>
      <c r="V39">
        <v>-2.5000000000000102</v>
      </c>
      <c r="W39">
        <f t="shared" si="8"/>
        <v>-0.42524999999999968</v>
      </c>
    </row>
    <row r="40" spans="1:23" x14ac:dyDescent="0.3">
      <c r="A40">
        <v>1.9353451000000002</v>
      </c>
      <c r="B40">
        <v>0.52378000000000002</v>
      </c>
      <c r="C40">
        <f t="shared" si="2"/>
        <v>1.0136950564780001</v>
      </c>
      <c r="D40" s="1">
        <v>2.1000000000000001E-2</v>
      </c>
      <c r="E40" s="1">
        <v>1.41E-2</v>
      </c>
      <c r="F40">
        <f t="shared" si="3"/>
        <v>387.06902000000002</v>
      </c>
      <c r="G40">
        <f t="shared" si="4"/>
        <v>-0.52378000000000002</v>
      </c>
      <c r="H40">
        <f t="shared" si="0"/>
        <v>-202.73901129560002</v>
      </c>
      <c r="I40">
        <v>1</v>
      </c>
      <c r="J40">
        <f t="shared" si="5"/>
        <v>-0.94915225560092753</v>
      </c>
      <c r="K40">
        <f t="shared" si="6"/>
        <v>-0.65613057297601196</v>
      </c>
      <c r="M40">
        <f t="shared" si="9"/>
        <v>0.47968475582840747</v>
      </c>
      <c r="N40">
        <f t="shared" si="12"/>
        <v>4.0642247100000008E-2</v>
      </c>
      <c r="O40">
        <f t="shared" si="10"/>
        <v>2.7288365910000001E-2</v>
      </c>
      <c r="P40">
        <f t="shared" si="11"/>
        <v>0.10851520413760449</v>
      </c>
      <c r="V40">
        <v>-2.4000000000000101</v>
      </c>
      <c r="W40">
        <f t="shared" si="8"/>
        <v>-0.42875999999999964</v>
      </c>
    </row>
    <row r="41" spans="1:23" x14ac:dyDescent="0.3">
      <c r="A41">
        <v>1.9867725999999999</v>
      </c>
      <c r="B41">
        <v>0.51897000000000004</v>
      </c>
      <c r="C41">
        <f t="shared" si="2"/>
        <v>1.031075376222</v>
      </c>
      <c r="D41" s="1">
        <v>2.1000000000000001E-2</v>
      </c>
      <c r="E41" s="1">
        <v>1.41E-2</v>
      </c>
      <c r="F41">
        <f t="shared" si="3"/>
        <v>397.35451999999998</v>
      </c>
      <c r="G41">
        <f t="shared" si="4"/>
        <v>-0.51897000000000004</v>
      </c>
      <c r="H41">
        <f t="shared" si="0"/>
        <v>-206.2150752444</v>
      </c>
      <c r="I41">
        <v>1</v>
      </c>
      <c r="J41">
        <f t="shared" si="5"/>
        <v>-0.92292639929887588</v>
      </c>
      <c r="K41">
        <f t="shared" si="6"/>
        <v>-0.66094057297601194</v>
      </c>
      <c r="M41">
        <f t="shared" si="9"/>
        <v>0.48060528338460945</v>
      </c>
      <c r="N41">
        <f t="shared" si="12"/>
        <v>4.1722224600000003E-2</v>
      </c>
      <c r="O41">
        <f t="shared" si="10"/>
        <v>2.801349366E-2</v>
      </c>
      <c r="P41">
        <f t="shared" si="11"/>
        <v>0.1105995713314025</v>
      </c>
      <c r="V41">
        <v>-2.30000000000001</v>
      </c>
      <c r="W41">
        <f t="shared" si="8"/>
        <v>-0.43226999999999965</v>
      </c>
    </row>
    <row r="42" spans="1:23" x14ac:dyDescent="0.3">
      <c r="A42">
        <v>2.0376908999999999</v>
      </c>
      <c r="B42">
        <v>0.51363999999999999</v>
      </c>
      <c r="C42">
        <f t="shared" si="2"/>
        <v>1.0466395538759998</v>
      </c>
      <c r="D42" s="1">
        <v>2.1000000000000001E-2</v>
      </c>
      <c r="E42" s="1">
        <v>1.41E-2</v>
      </c>
      <c r="F42">
        <f t="shared" si="3"/>
        <v>407.53817999999995</v>
      </c>
      <c r="G42">
        <f t="shared" si="4"/>
        <v>-0.51363999999999999</v>
      </c>
      <c r="H42">
        <f t="shared" si="0"/>
        <v>-209.32791077519997</v>
      </c>
      <c r="I42">
        <v>1</v>
      </c>
      <c r="J42">
        <f t="shared" si="5"/>
        <v>-0.89762065743862451</v>
      </c>
      <c r="K42">
        <f t="shared" si="6"/>
        <v>-0.666270572976012</v>
      </c>
      <c r="M42">
        <f t="shared" si="9"/>
        <v>0.4814935149239043</v>
      </c>
      <c r="N42">
        <f t="shared" si="12"/>
        <v>4.2791508899999997E-2</v>
      </c>
      <c r="O42">
        <f t="shared" si="10"/>
        <v>2.8731441689999998E-2</v>
      </c>
      <c r="P42">
        <f t="shared" si="11"/>
        <v>0.11325410746210771</v>
      </c>
      <c r="V42">
        <v>-2.2000000000000099</v>
      </c>
      <c r="W42">
        <f t="shared" si="8"/>
        <v>-0.43577999999999967</v>
      </c>
    </row>
    <row r="43" spans="1:23" x14ac:dyDescent="0.3">
      <c r="A43">
        <v>2.0886094000000002</v>
      </c>
      <c r="B43">
        <v>0.50878999999999996</v>
      </c>
      <c r="C43">
        <f t="shared" si="2"/>
        <v>1.062663576626</v>
      </c>
      <c r="D43" s="1">
        <v>2.1000000000000001E-2</v>
      </c>
      <c r="E43" s="1">
        <v>1.41E-2</v>
      </c>
      <c r="F43">
        <f t="shared" si="3"/>
        <v>417.72188000000006</v>
      </c>
      <c r="G43">
        <f t="shared" si="4"/>
        <v>-0.50878999999999996</v>
      </c>
      <c r="H43">
        <f t="shared" si="0"/>
        <v>-212.5327153252</v>
      </c>
      <c r="I43">
        <v>1</v>
      </c>
      <c r="J43">
        <f t="shared" si="5"/>
        <v>-0.87293942675849034</v>
      </c>
      <c r="K43">
        <f t="shared" si="6"/>
        <v>-0.67112057297601202</v>
      </c>
      <c r="M43">
        <f t="shared" si="9"/>
        <v>0.48235982612077699</v>
      </c>
      <c r="N43">
        <f t="shared" si="12"/>
        <v>4.3860797400000005E-2</v>
      </c>
      <c r="O43">
        <f t="shared" si="10"/>
        <v>2.9449392540000001E-2</v>
      </c>
      <c r="P43">
        <f t="shared" si="11"/>
        <v>0.11545055691523501</v>
      </c>
      <c r="V43">
        <v>-2.1000000000000099</v>
      </c>
      <c r="W43">
        <f t="shared" si="8"/>
        <v>-0.43928999999999968</v>
      </c>
    </row>
    <row r="44" spans="1:23" x14ac:dyDescent="0.3">
      <c r="A44">
        <v>2.1395277999999998</v>
      </c>
      <c r="B44">
        <v>0.50375000000000003</v>
      </c>
      <c r="C44">
        <f t="shared" si="2"/>
        <v>1.0777871292499999</v>
      </c>
      <c r="D44" s="1">
        <v>2.1000000000000001E-2</v>
      </c>
      <c r="E44" s="1">
        <v>1.41E-2</v>
      </c>
      <c r="F44">
        <f t="shared" si="3"/>
        <v>427.90555999999992</v>
      </c>
      <c r="G44">
        <f t="shared" si="4"/>
        <v>-0.50375000000000003</v>
      </c>
      <c r="H44">
        <f t="shared" si="0"/>
        <v>-215.55742584999996</v>
      </c>
      <c r="I44">
        <v>1</v>
      </c>
      <c r="J44">
        <f t="shared" si="5"/>
        <v>-0.84885276195366888</v>
      </c>
      <c r="K44">
        <f t="shared" si="6"/>
        <v>-0.67616057297601195</v>
      </c>
      <c r="M44">
        <f t="shared" si="9"/>
        <v>0.48320526805542624</v>
      </c>
      <c r="N44">
        <f t="shared" si="12"/>
        <v>4.4930083799999999E-2</v>
      </c>
      <c r="O44">
        <f t="shared" si="10"/>
        <v>3.0167341979999995E-2</v>
      </c>
      <c r="P44">
        <f t="shared" si="11"/>
        <v>0.11785787914058572</v>
      </c>
      <c r="V44">
        <v>-2.0000000000000102</v>
      </c>
      <c r="W44">
        <f t="shared" si="8"/>
        <v>-0.44279999999999964</v>
      </c>
    </row>
    <row r="45" spans="1:23" x14ac:dyDescent="0.3">
      <c r="A45">
        <v>2.1914645999999998</v>
      </c>
      <c r="B45">
        <v>0.49881999999999999</v>
      </c>
      <c r="C45">
        <f t="shared" si="2"/>
        <v>1.0931463717719998</v>
      </c>
      <c r="D45" s="1">
        <v>2.1000000000000001E-2</v>
      </c>
      <c r="E45" s="1">
        <v>1.41E-2</v>
      </c>
      <c r="F45">
        <f t="shared" si="3"/>
        <v>438.29291999999998</v>
      </c>
      <c r="G45">
        <f t="shared" si="4"/>
        <v>-0.49881999999999999</v>
      </c>
      <c r="H45">
        <f t="shared" si="0"/>
        <v>-218.62927435439997</v>
      </c>
      <c r="I45">
        <v>1</v>
      </c>
      <c r="J45">
        <f t="shared" si="5"/>
        <v>-0.82486782500748401</v>
      </c>
      <c r="K45">
        <f t="shared" si="6"/>
        <v>-0.68109057297601194</v>
      </c>
      <c r="M45">
        <f t="shared" si="9"/>
        <v>0.48404713934223731</v>
      </c>
      <c r="N45">
        <f t="shared" si="12"/>
        <v>4.6020756599999997E-2</v>
      </c>
      <c r="O45">
        <f t="shared" si="10"/>
        <v>3.0899650859999996E-2</v>
      </c>
      <c r="P45">
        <f t="shared" si="11"/>
        <v>0.12012302617377466</v>
      </c>
      <c r="V45">
        <v>-1.9000000000000099</v>
      </c>
      <c r="W45">
        <f t="shared" si="8"/>
        <v>-0.44630999999999965</v>
      </c>
    </row>
    <row r="46" spans="1:23" x14ac:dyDescent="0.3">
      <c r="A46">
        <v>2.2454377000000001</v>
      </c>
      <c r="B46">
        <v>0.49414999999999998</v>
      </c>
      <c r="C46">
        <f t="shared" si="2"/>
        <v>1.1095830394549999</v>
      </c>
      <c r="D46" s="1">
        <v>2.1000000000000001E-2</v>
      </c>
      <c r="E46" s="1">
        <v>1.41E-2</v>
      </c>
      <c r="F46">
        <f t="shared" si="3"/>
        <v>449.08753999999999</v>
      </c>
      <c r="G46">
        <f t="shared" si="4"/>
        <v>-0.49414999999999998</v>
      </c>
      <c r="H46">
        <f t="shared" si="0"/>
        <v>-221.91660789099998</v>
      </c>
      <c r="I46">
        <v>1</v>
      </c>
      <c r="J46">
        <f t="shared" si="5"/>
        <v>-0.80053744365097124</v>
      </c>
      <c r="K46">
        <f t="shared" si="6"/>
        <v>-0.68576057297601201</v>
      </c>
      <c r="M46">
        <f t="shared" si="9"/>
        <v>0.48490113572785093</v>
      </c>
      <c r="N46">
        <f t="shared" si="12"/>
        <v>4.7154191700000007E-2</v>
      </c>
      <c r="O46">
        <f t="shared" si="10"/>
        <v>3.166067157E-2</v>
      </c>
      <c r="P46">
        <f t="shared" si="11"/>
        <v>0.12204457397816107</v>
      </c>
      <c r="V46">
        <v>-1.80000000000001</v>
      </c>
      <c r="W46">
        <f t="shared" si="8"/>
        <v>-0.44981999999999966</v>
      </c>
    </row>
    <row r="47" spans="1:23" x14ac:dyDescent="0.3">
      <c r="A47">
        <v>2.2968655</v>
      </c>
      <c r="B47">
        <v>0.48910999999999999</v>
      </c>
      <c r="C47">
        <f t="shared" si="2"/>
        <v>1.1234198847049999</v>
      </c>
      <c r="D47" s="1">
        <v>2.1000000000000001E-2</v>
      </c>
      <c r="E47" s="1">
        <v>1.41E-2</v>
      </c>
      <c r="F47">
        <f t="shared" si="3"/>
        <v>459.37310000000002</v>
      </c>
      <c r="G47">
        <f t="shared" si="4"/>
        <v>-0.48910999999999999</v>
      </c>
      <c r="H47">
        <f t="shared" si="0"/>
        <v>-224.68397694099997</v>
      </c>
      <c r="I47">
        <v>1</v>
      </c>
      <c r="J47">
        <f t="shared" si="5"/>
        <v>-0.77789254507801109</v>
      </c>
      <c r="K47">
        <f t="shared" si="6"/>
        <v>-0.69080057297601205</v>
      </c>
      <c r="M47">
        <f t="shared" si="9"/>
        <v>0.48569597166776179</v>
      </c>
      <c r="N47">
        <f t="shared" si="12"/>
        <v>4.8234175500000004E-2</v>
      </c>
      <c r="O47">
        <f t="shared" si="10"/>
        <v>3.2385803550000002E-2</v>
      </c>
      <c r="P47">
        <f t="shared" si="11"/>
        <v>0.12448462225825024</v>
      </c>
      <c r="V47">
        <v>-1.7000000000000199</v>
      </c>
      <c r="W47">
        <f t="shared" si="8"/>
        <v>-0.45332999999999929</v>
      </c>
    </row>
    <row r="48" spans="1:23" x14ac:dyDescent="0.3">
      <c r="A48">
        <v>2.348293</v>
      </c>
      <c r="B48">
        <v>0.48418</v>
      </c>
      <c r="C48">
        <f t="shared" si="2"/>
        <v>1.1369965047399999</v>
      </c>
      <c r="D48" s="1">
        <v>2.1000000000000001E-2</v>
      </c>
      <c r="E48" s="1">
        <v>1.41E-2</v>
      </c>
      <c r="F48">
        <f t="shared" si="3"/>
        <v>469.65859999999998</v>
      </c>
      <c r="G48">
        <f t="shared" si="4"/>
        <v>-0.48418</v>
      </c>
      <c r="H48">
        <f t="shared" si="0"/>
        <v>-227.39930094799999</v>
      </c>
      <c r="I48">
        <v>1</v>
      </c>
      <c r="J48">
        <f t="shared" si="5"/>
        <v>-0.75574923120069615</v>
      </c>
      <c r="K48">
        <f t="shared" si="6"/>
        <v>-0.69573057297601193</v>
      </c>
      <c r="M48">
        <f t="shared" si="9"/>
        <v>0.48647320198485555</v>
      </c>
      <c r="N48">
        <f t="shared" si="12"/>
        <v>4.9314152999999999E-2</v>
      </c>
      <c r="O48">
        <f t="shared" si="10"/>
        <v>3.31109313E-2</v>
      </c>
      <c r="P48">
        <f t="shared" si="11"/>
        <v>0.12683228669115637</v>
      </c>
      <c r="V48">
        <v>-1.6000000000000201</v>
      </c>
      <c r="W48">
        <f t="shared" si="8"/>
        <v>-0.4568399999999993</v>
      </c>
    </row>
    <row r="49" spans="1:23" x14ac:dyDescent="0.3">
      <c r="A49">
        <v>2.3987020999999999</v>
      </c>
      <c r="B49">
        <v>0.47965000000000002</v>
      </c>
      <c r="C49">
        <f t="shared" si="2"/>
        <v>1.150537462265</v>
      </c>
      <c r="D49" s="1">
        <v>2.1000000000000001E-2</v>
      </c>
      <c r="E49" s="1">
        <v>1.41E-2</v>
      </c>
      <c r="F49">
        <f t="shared" si="3"/>
        <v>479.74041999999997</v>
      </c>
      <c r="G49">
        <f t="shared" si="4"/>
        <v>-0.47965000000000002</v>
      </c>
      <c r="H49">
        <f t="shared" si="0"/>
        <v>-230.10749245299999</v>
      </c>
      <c r="I49">
        <v>1</v>
      </c>
      <c r="J49">
        <f t="shared" si="5"/>
        <v>-0.7345101130274212</v>
      </c>
      <c r="K49">
        <f t="shared" si="6"/>
        <v>-0.70026057297601196</v>
      </c>
      <c r="M49">
        <f t="shared" si="9"/>
        <v>0.48721869503273751</v>
      </c>
      <c r="N49">
        <f t="shared" si="12"/>
        <v>5.0372744100000005E-2</v>
      </c>
      <c r="O49">
        <f t="shared" si="10"/>
        <v>3.3821699609999999E-2</v>
      </c>
      <c r="P49">
        <f t="shared" si="11"/>
        <v>0.12884743423327444</v>
      </c>
      <c r="V49">
        <v>-1.50000000000002</v>
      </c>
      <c r="W49">
        <f t="shared" si="8"/>
        <v>-0.46034999999999932</v>
      </c>
    </row>
    <row r="50" spans="1:23" x14ac:dyDescent="0.3">
      <c r="A50">
        <v>2.4511479</v>
      </c>
      <c r="B50">
        <v>0.47448000000000001</v>
      </c>
      <c r="C50">
        <f t="shared" si="2"/>
        <v>1.163020655592</v>
      </c>
      <c r="D50" s="1">
        <v>2.1000000000000001E-2</v>
      </c>
      <c r="E50" s="1">
        <v>1.41E-2</v>
      </c>
      <c r="F50">
        <f t="shared" si="3"/>
        <v>490.22958</v>
      </c>
      <c r="G50">
        <f t="shared" si="4"/>
        <v>-0.47448000000000001</v>
      </c>
      <c r="H50">
        <f t="shared" si="0"/>
        <v>-232.60413111840001</v>
      </c>
      <c r="I50">
        <v>1</v>
      </c>
      <c r="J50">
        <f t="shared" si="5"/>
        <v>-0.71288146699141508</v>
      </c>
      <c r="K50">
        <f t="shared" si="6"/>
        <v>-0.70543057297601197</v>
      </c>
      <c r="M50">
        <f t="shared" si="9"/>
        <v>0.48797786050860137</v>
      </c>
      <c r="N50">
        <f t="shared" si="12"/>
        <v>5.1474105900000004E-2</v>
      </c>
      <c r="O50">
        <f t="shared" si="10"/>
        <v>3.4561185389999999E-2</v>
      </c>
      <c r="P50">
        <f t="shared" si="11"/>
        <v>0.13141742117741059</v>
      </c>
      <c r="V50">
        <v>-1.4000000000000199</v>
      </c>
      <c r="W50">
        <f t="shared" si="8"/>
        <v>-0.46385999999999933</v>
      </c>
    </row>
    <row r="51" spans="1:23" x14ac:dyDescent="0.3">
      <c r="A51">
        <v>2.5046121000000001</v>
      </c>
      <c r="B51">
        <v>0.46956999999999999</v>
      </c>
      <c r="C51">
        <f t="shared" si="2"/>
        <v>1.1760907037970001</v>
      </c>
      <c r="D51" s="1">
        <v>2.1000000000000001E-2</v>
      </c>
      <c r="E51" s="1">
        <v>1.41E-2</v>
      </c>
      <c r="F51">
        <f t="shared" si="3"/>
        <v>500.92242000000005</v>
      </c>
      <c r="G51">
        <f t="shared" si="4"/>
        <v>-0.46956999999999999</v>
      </c>
      <c r="H51">
        <f t="shared" si="0"/>
        <v>-235.21814075940003</v>
      </c>
      <c r="I51">
        <v>1</v>
      </c>
      <c r="J51">
        <f t="shared" si="5"/>
        <v>-0.69130404018721869</v>
      </c>
      <c r="K51">
        <f t="shared" si="6"/>
        <v>-0.71034057297601194</v>
      </c>
      <c r="M51">
        <f t="shared" si="9"/>
        <v>0.48873522818942866</v>
      </c>
      <c r="N51">
        <f t="shared" si="12"/>
        <v>5.2596854100000007E-2</v>
      </c>
      <c r="O51">
        <f t="shared" si="10"/>
        <v>3.5315030609999999E-2</v>
      </c>
      <c r="P51">
        <f t="shared" si="11"/>
        <v>0.13369346007658328</v>
      </c>
      <c r="V51">
        <v>-1.30000000000002</v>
      </c>
      <c r="W51">
        <f t="shared" si="8"/>
        <v>-0.46736999999999929</v>
      </c>
    </row>
    <row r="52" spans="1:23" x14ac:dyDescent="0.3">
      <c r="A52">
        <v>2.5560396000000001</v>
      </c>
      <c r="B52">
        <v>0.46400000000000002</v>
      </c>
      <c r="C52">
        <f t="shared" si="2"/>
        <v>1.1860023744000001</v>
      </c>
      <c r="D52" s="1">
        <v>2.1000000000000001E-2</v>
      </c>
      <c r="E52" s="1">
        <v>1.41E-2</v>
      </c>
      <c r="F52">
        <f t="shared" si="3"/>
        <v>511.20792</v>
      </c>
      <c r="G52">
        <f t="shared" si="4"/>
        <v>-0.46400000000000002</v>
      </c>
      <c r="H52">
        <f t="shared" si="0"/>
        <v>-237.20047488000003</v>
      </c>
      <c r="I52">
        <v>1</v>
      </c>
      <c r="J52">
        <f t="shared" si="5"/>
        <v>-0.67097888308108011</v>
      </c>
      <c r="K52">
        <f t="shared" si="6"/>
        <v>-0.71591057297601202</v>
      </c>
      <c r="M52">
        <f t="shared" si="9"/>
        <v>0.48944864120385412</v>
      </c>
      <c r="N52">
        <f t="shared" si="12"/>
        <v>5.3676831600000002E-2</v>
      </c>
      <c r="O52">
        <f t="shared" si="10"/>
        <v>3.6040158359999998E-2</v>
      </c>
      <c r="P52">
        <f t="shared" si="11"/>
        <v>0.13674494181215791</v>
      </c>
      <c r="V52">
        <v>-1.2000000000000199</v>
      </c>
      <c r="W52">
        <f t="shared" si="8"/>
        <v>-0.4708799999999993</v>
      </c>
    </row>
    <row r="53" spans="1:23" x14ac:dyDescent="0.3">
      <c r="A53">
        <v>2.6084856000000003</v>
      </c>
      <c r="B53">
        <v>0.45934000000000003</v>
      </c>
      <c r="C53">
        <f t="shared" si="2"/>
        <v>1.1981817755040003</v>
      </c>
      <c r="D53" s="1">
        <v>2.1000000000000001E-2</v>
      </c>
      <c r="E53" s="1">
        <v>1.41E-2</v>
      </c>
      <c r="F53">
        <f t="shared" si="3"/>
        <v>521.69712000000004</v>
      </c>
      <c r="G53">
        <f t="shared" si="4"/>
        <v>-0.45934000000000003</v>
      </c>
      <c r="H53">
        <f t="shared" si="0"/>
        <v>-239.63635510080005</v>
      </c>
      <c r="I53">
        <v>1</v>
      </c>
      <c r="J53">
        <f t="shared" si="5"/>
        <v>-0.65066808938305853</v>
      </c>
      <c r="K53">
        <f t="shared" si="6"/>
        <v>-0.7205705729760119</v>
      </c>
      <c r="M53">
        <f t="shared" si="9"/>
        <v>0.49016155006265466</v>
      </c>
      <c r="N53">
        <f t="shared" si="12"/>
        <v>5.4778197600000009E-2</v>
      </c>
      <c r="O53">
        <f t="shared" si="10"/>
        <v>3.6779646960000002E-2</v>
      </c>
      <c r="P53">
        <f t="shared" si="11"/>
        <v>0.13885117835335722</v>
      </c>
      <c r="V53">
        <v>-1.1000000000000201</v>
      </c>
      <c r="W53">
        <f t="shared" si="8"/>
        <v>-0.47438999999999931</v>
      </c>
    </row>
    <row r="54" spans="1:23" x14ac:dyDescent="0.3">
      <c r="A54">
        <v>2.6588948000000001</v>
      </c>
      <c r="B54">
        <v>0.45472000000000001</v>
      </c>
      <c r="C54">
        <f t="shared" si="2"/>
        <v>1.2090526434560001</v>
      </c>
      <c r="D54" s="1">
        <v>2.1000000000000001E-2</v>
      </c>
      <c r="E54" s="1">
        <v>1.41E-2</v>
      </c>
      <c r="F54">
        <f t="shared" si="3"/>
        <v>531.77895999999998</v>
      </c>
      <c r="G54">
        <f t="shared" si="4"/>
        <v>-0.45472000000000001</v>
      </c>
      <c r="H54">
        <f t="shared" si="0"/>
        <v>-241.81052869120001</v>
      </c>
      <c r="I54">
        <v>1</v>
      </c>
      <c r="J54">
        <f t="shared" si="5"/>
        <v>-0.63152736470165227</v>
      </c>
      <c r="K54">
        <f t="shared" si="6"/>
        <v>-0.72519057297601197</v>
      </c>
      <c r="M54">
        <f t="shared" si="9"/>
        <v>0.49083338949897204</v>
      </c>
      <c r="N54">
        <f t="shared" si="12"/>
        <v>5.5836790800000008E-2</v>
      </c>
      <c r="O54">
        <f t="shared" si="10"/>
        <v>3.7490416679999999E-2</v>
      </c>
      <c r="P54">
        <f t="shared" si="11"/>
        <v>0.14102997599703992</v>
      </c>
      <c r="V54">
        <v>-1.00000000000002</v>
      </c>
      <c r="W54">
        <f t="shared" si="8"/>
        <v>-0.47789999999999933</v>
      </c>
    </row>
    <row r="55" spans="1:23" x14ac:dyDescent="0.3">
      <c r="A55">
        <v>2.7118495999999999</v>
      </c>
      <c r="B55">
        <v>0.44968000000000002</v>
      </c>
      <c r="C55">
        <f t="shared" si="2"/>
        <v>1.2194645281280001</v>
      </c>
      <c r="D55" s="1">
        <v>2.1000000000000001E-2</v>
      </c>
      <c r="E55" s="1">
        <v>1.41E-2</v>
      </c>
      <c r="F55">
        <f t="shared" si="3"/>
        <v>542.36991999999998</v>
      </c>
      <c r="G55">
        <f t="shared" si="4"/>
        <v>-0.44968000000000002</v>
      </c>
      <c r="H55">
        <f t="shared" si="0"/>
        <v>-243.89290562560001</v>
      </c>
      <c r="I55">
        <v>1</v>
      </c>
      <c r="J55">
        <f t="shared" si="5"/>
        <v>-0.61180700112089881</v>
      </c>
      <c r="K55">
        <f t="shared" si="6"/>
        <v>-0.7302305729760119</v>
      </c>
      <c r="M55">
        <f t="shared" si="9"/>
        <v>0.49152557426065646</v>
      </c>
      <c r="N55">
        <f t="shared" si="12"/>
        <v>5.6948841600000001E-2</v>
      </c>
      <c r="O55">
        <f t="shared" si="10"/>
        <v>3.8237079359999995E-2</v>
      </c>
      <c r="P55">
        <f t="shared" si="11"/>
        <v>0.14351907775535544</v>
      </c>
      <c r="V55">
        <v>-0.90000000000002001</v>
      </c>
      <c r="W55">
        <f t="shared" si="8"/>
        <v>-0.48140999999999934</v>
      </c>
    </row>
    <row r="56" spans="1:23" x14ac:dyDescent="0.3">
      <c r="A56">
        <v>2.7622588000000001</v>
      </c>
      <c r="B56">
        <v>0.44540000000000002</v>
      </c>
      <c r="C56">
        <f t="shared" si="2"/>
        <v>1.2303100695200002</v>
      </c>
      <c r="D56" s="1">
        <v>2.1000000000000001E-2</v>
      </c>
      <c r="E56" s="1">
        <v>1.41E-2</v>
      </c>
      <c r="F56">
        <f t="shared" si="3"/>
        <v>552.45176000000004</v>
      </c>
      <c r="G56">
        <f t="shared" si="4"/>
        <v>-0.44540000000000002</v>
      </c>
      <c r="H56">
        <f t="shared" si="0"/>
        <v>-246.06201390400005</v>
      </c>
      <c r="I56">
        <v>1</v>
      </c>
      <c r="J56">
        <f t="shared" si="5"/>
        <v>-0.59338916161935717</v>
      </c>
      <c r="K56">
        <f t="shared" si="6"/>
        <v>-0.73451057297601197</v>
      </c>
      <c r="M56">
        <f t="shared" si="9"/>
        <v>0.49217204042716056</v>
      </c>
      <c r="N56">
        <f t="shared" si="12"/>
        <v>5.8007434800000007E-2</v>
      </c>
      <c r="O56">
        <f t="shared" si="10"/>
        <v>3.8947849079999999E-2</v>
      </c>
      <c r="P56">
        <f t="shared" si="11"/>
        <v>0.14538324866885138</v>
      </c>
      <c r="V56">
        <v>-0.80000000000002003</v>
      </c>
      <c r="W56">
        <f t="shared" si="8"/>
        <v>-0.4849199999999993</v>
      </c>
    </row>
    <row r="57" spans="1:23" x14ac:dyDescent="0.3">
      <c r="A57">
        <v>2.8136863000000001</v>
      </c>
      <c r="B57">
        <v>0.44044</v>
      </c>
      <c r="C57">
        <f t="shared" si="2"/>
        <v>1.2392599939719999</v>
      </c>
      <c r="D57" s="1">
        <v>2.1000000000000001E-2</v>
      </c>
      <c r="E57" s="1">
        <v>1.41E-2</v>
      </c>
      <c r="F57">
        <f t="shared" si="3"/>
        <v>562.73725999999999</v>
      </c>
      <c r="G57">
        <f t="shared" si="4"/>
        <v>-0.44044</v>
      </c>
      <c r="H57">
        <f t="shared" si="0"/>
        <v>-247.85199879439998</v>
      </c>
      <c r="I57">
        <v>1</v>
      </c>
      <c r="J57">
        <f t="shared" si="5"/>
        <v>-0.57494243827874547</v>
      </c>
      <c r="K57">
        <f t="shared" si="6"/>
        <v>-0.73947057297601204</v>
      </c>
      <c r="M57">
        <f t="shared" si="9"/>
        <v>0.49281952041641602</v>
      </c>
      <c r="N57">
        <f t="shared" si="12"/>
        <v>5.9087412300000003E-2</v>
      </c>
      <c r="O57">
        <f t="shared" si="10"/>
        <v>3.9672976829999998E-2</v>
      </c>
      <c r="P57">
        <f t="shared" si="11"/>
        <v>0.147890663429596</v>
      </c>
      <c r="V57">
        <v>-0.70000000000002005</v>
      </c>
      <c r="W57">
        <f t="shared" si="8"/>
        <v>-0.48842999999999931</v>
      </c>
    </row>
    <row r="58" spans="1:23" x14ac:dyDescent="0.3">
      <c r="A58">
        <v>2.8640955000000003</v>
      </c>
      <c r="B58">
        <v>0.43514999999999998</v>
      </c>
      <c r="C58">
        <f t="shared" si="2"/>
        <v>1.246311156825</v>
      </c>
      <c r="D58" s="1">
        <v>2.1000000000000001E-2</v>
      </c>
      <c r="E58" s="1">
        <v>1.41E-2</v>
      </c>
      <c r="F58">
        <f t="shared" si="3"/>
        <v>572.81910000000005</v>
      </c>
      <c r="G58">
        <f t="shared" si="4"/>
        <v>-0.43514999999999998</v>
      </c>
      <c r="H58">
        <f t="shared" si="0"/>
        <v>-249.26223136500002</v>
      </c>
      <c r="I58">
        <v>1</v>
      </c>
      <c r="J58">
        <f t="shared" si="5"/>
        <v>-0.55718531891956535</v>
      </c>
      <c r="K58">
        <f t="shared" si="6"/>
        <v>-0.74476057297601206</v>
      </c>
      <c r="M58">
        <f t="shared" si="9"/>
        <v>0.49344279530592328</v>
      </c>
      <c r="N58">
        <f t="shared" si="12"/>
        <v>6.0146005500000009E-2</v>
      </c>
      <c r="O58">
        <f t="shared" si="10"/>
        <v>4.0383746550000002E-2</v>
      </c>
      <c r="P58">
        <f t="shared" si="11"/>
        <v>0.15078802562008875</v>
      </c>
      <c r="V58">
        <v>-0.60000000000001996</v>
      </c>
      <c r="W58">
        <f t="shared" si="8"/>
        <v>-0.49193999999999932</v>
      </c>
    </row>
    <row r="59" spans="1:23" x14ac:dyDescent="0.3">
      <c r="A59">
        <v>2.9145046000000003</v>
      </c>
      <c r="B59">
        <v>0.43064000000000002</v>
      </c>
      <c r="C59">
        <f t="shared" si="2"/>
        <v>1.2551022609440001</v>
      </c>
      <c r="D59" s="1">
        <v>2.1000000000000001E-2</v>
      </c>
      <c r="E59" s="1">
        <v>1.41E-2</v>
      </c>
      <c r="F59">
        <f t="shared" si="3"/>
        <v>582.90092000000004</v>
      </c>
      <c r="G59">
        <f t="shared" si="4"/>
        <v>-0.43064000000000002</v>
      </c>
      <c r="H59">
        <f t="shared" si="0"/>
        <v>-251.02045218880002</v>
      </c>
      <c r="I59">
        <v>1</v>
      </c>
      <c r="J59">
        <f t="shared" si="5"/>
        <v>-0.53973805561655852</v>
      </c>
      <c r="K59">
        <f t="shared" si="6"/>
        <v>-0.74927057297601196</v>
      </c>
      <c r="M59">
        <f t="shared" si="9"/>
        <v>0.49405519424785882</v>
      </c>
      <c r="N59">
        <f t="shared" si="12"/>
        <v>6.1204596600000008E-2</v>
      </c>
      <c r="O59">
        <f t="shared" si="10"/>
        <v>4.109451486E-2</v>
      </c>
      <c r="P59">
        <f t="shared" si="11"/>
        <v>0.15291626726815316</v>
      </c>
      <c r="V59">
        <v>-0.50000000000001998</v>
      </c>
      <c r="W59">
        <f t="shared" si="8"/>
        <v>-0.49544999999999934</v>
      </c>
    </row>
    <row r="60" spans="1:23" x14ac:dyDescent="0.3">
      <c r="A60">
        <v>2.9654230999999998</v>
      </c>
      <c r="B60">
        <v>0.42570000000000002</v>
      </c>
      <c r="C60">
        <f t="shared" si="2"/>
        <v>1.26238061367</v>
      </c>
      <c r="D60" s="1">
        <v>2.1000000000000001E-2</v>
      </c>
      <c r="E60" s="1">
        <v>1.41E-2</v>
      </c>
      <c r="F60">
        <f t="shared" si="3"/>
        <v>593.08461999999997</v>
      </c>
      <c r="G60">
        <f t="shared" si="4"/>
        <v>-0.42570000000000002</v>
      </c>
      <c r="H60">
        <f t="shared" si="0"/>
        <v>-252.476122734</v>
      </c>
      <c r="I60">
        <v>1</v>
      </c>
      <c r="J60">
        <f t="shared" si="5"/>
        <v>-0.52241819201979822</v>
      </c>
      <c r="K60">
        <f t="shared" si="6"/>
        <v>-0.75421057297601202</v>
      </c>
      <c r="M60">
        <f t="shared" si="9"/>
        <v>0.4946631214601051</v>
      </c>
      <c r="N60">
        <f t="shared" si="12"/>
        <v>6.2273885099999995E-2</v>
      </c>
      <c r="O60">
        <f t="shared" si="10"/>
        <v>4.1812465709999996E-2</v>
      </c>
      <c r="P60">
        <f t="shared" si="11"/>
        <v>0.15546110070590693</v>
      </c>
      <c r="V60">
        <v>-0.40000000000002001</v>
      </c>
      <c r="W60">
        <f t="shared" si="8"/>
        <v>-0.49895999999999929</v>
      </c>
    </row>
    <row r="61" spans="1:23" x14ac:dyDescent="0.3">
      <c r="A61">
        <v>3.0168506000000002</v>
      </c>
      <c r="B61">
        <v>0.42142000000000002</v>
      </c>
      <c r="C61">
        <f t="shared" si="2"/>
        <v>1.2713611798520001</v>
      </c>
      <c r="D61" s="1">
        <v>2.1000000000000001E-2</v>
      </c>
      <c r="E61" s="1">
        <v>1.41E-2</v>
      </c>
      <c r="F61">
        <f t="shared" si="3"/>
        <v>603.37012000000004</v>
      </c>
      <c r="G61">
        <f t="shared" si="4"/>
        <v>-0.42142000000000002</v>
      </c>
      <c r="H61">
        <f t="shared" si="0"/>
        <v>-254.27223597040003</v>
      </c>
      <c r="I61">
        <v>1</v>
      </c>
      <c r="J61">
        <f t="shared" si="5"/>
        <v>-0.50522447287342442</v>
      </c>
      <c r="K61">
        <f t="shared" si="6"/>
        <v>-0.75849057297601197</v>
      </c>
      <c r="M61">
        <f t="shared" si="9"/>
        <v>0.4952666210021428</v>
      </c>
      <c r="N61">
        <f t="shared" si="12"/>
        <v>6.3353862600000005E-2</v>
      </c>
      <c r="O61">
        <f t="shared" si="10"/>
        <v>4.2537593460000002E-2</v>
      </c>
      <c r="P61">
        <f t="shared" si="11"/>
        <v>0.15733249591386916</v>
      </c>
      <c r="V61">
        <v>-0.30000000000001997</v>
      </c>
      <c r="W61">
        <f t="shared" si="8"/>
        <v>-0.50246999999999931</v>
      </c>
    </row>
    <row r="62" spans="1:23" x14ac:dyDescent="0.3">
      <c r="A62">
        <v>3.0682781000000001</v>
      </c>
      <c r="B62">
        <v>0.41637999999999997</v>
      </c>
      <c r="C62">
        <f t="shared" si="2"/>
        <v>1.2775696352779999</v>
      </c>
      <c r="D62" s="1">
        <v>2.1000000000000001E-2</v>
      </c>
      <c r="E62" s="1">
        <v>1.41E-2</v>
      </c>
      <c r="F62">
        <f t="shared" si="3"/>
        <v>613.65562</v>
      </c>
      <c r="G62">
        <f t="shared" si="4"/>
        <v>-0.41637999999999997</v>
      </c>
      <c r="H62">
        <f t="shared" si="0"/>
        <v>-255.51392705559999</v>
      </c>
      <c r="I62">
        <v>1</v>
      </c>
      <c r="J62">
        <f t="shared" si="5"/>
        <v>-0.48832138766555655</v>
      </c>
      <c r="K62">
        <f t="shared" si="6"/>
        <v>-0.76353057297601201</v>
      </c>
      <c r="M62">
        <f t="shared" si="9"/>
        <v>0.49585991929293899</v>
      </c>
      <c r="N62">
        <f t="shared" si="12"/>
        <v>6.4433840100000001E-2</v>
      </c>
      <c r="O62">
        <f t="shared" si="10"/>
        <v>4.3262721210000001E-2</v>
      </c>
      <c r="P62">
        <f t="shared" si="11"/>
        <v>0.15997409237307303</v>
      </c>
      <c r="V62">
        <v>-0.20000000000002</v>
      </c>
      <c r="W62">
        <f t="shared" si="8"/>
        <v>-0.50597999999999932</v>
      </c>
    </row>
    <row r="63" spans="1:23" x14ac:dyDescent="0.3">
      <c r="A63">
        <v>3.1202144000000001</v>
      </c>
      <c r="B63">
        <v>0.41136</v>
      </c>
      <c r="C63">
        <f t="shared" si="2"/>
        <v>1.283531395584</v>
      </c>
      <c r="D63" s="1">
        <v>2.1000000000000001E-2</v>
      </c>
      <c r="E63" s="1">
        <v>1.41E-2</v>
      </c>
      <c r="F63">
        <f t="shared" si="3"/>
        <v>624.04287999999997</v>
      </c>
      <c r="G63">
        <f t="shared" si="4"/>
        <v>-0.41136</v>
      </c>
      <c r="H63">
        <f t="shared" si="0"/>
        <v>-256.70627911679998</v>
      </c>
      <c r="I63">
        <v>1</v>
      </c>
      <c r="J63">
        <f t="shared" si="5"/>
        <v>-0.47153619502496158</v>
      </c>
      <c r="K63">
        <f t="shared" si="6"/>
        <v>-0.76855057297601204</v>
      </c>
      <c r="M63">
        <f t="shared" si="9"/>
        <v>0.49644907955462386</v>
      </c>
      <c r="N63">
        <f t="shared" si="12"/>
        <v>6.5524502400000004E-2</v>
      </c>
      <c r="O63">
        <f t="shared" si="10"/>
        <v>4.3995023039999998E-2</v>
      </c>
      <c r="P63">
        <f t="shared" si="11"/>
        <v>0.16258196798138816</v>
      </c>
      <c r="V63">
        <v>-0.10000000000002</v>
      </c>
      <c r="W63">
        <f t="shared" si="8"/>
        <v>-0.50948999999999933</v>
      </c>
    </row>
    <row r="64" spans="1:23" x14ac:dyDescent="0.3">
      <c r="A64">
        <v>3.1721514000000002</v>
      </c>
      <c r="B64">
        <v>0.40684999999999999</v>
      </c>
      <c r="C64">
        <f t="shared" si="2"/>
        <v>1.29058979709</v>
      </c>
      <c r="D64" s="1">
        <v>2.1000000000000001E-2</v>
      </c>
      <c r="E64" s="1">
        <v>1.41E-2</v>
      </c>
      <c r="F64">
        <f t="shared" si="3"/>
        <v>634.43028000000004</v>
      </c>
      <c r="G64">
        <f t="shared" si="4"/>
        <v>-0.40684999999999999</v>
      </c>
      <c r="H64">
        <f t="shared" si="0"/>
        <v>-258.117959418</v>
      </c>
      <c r="I64">
        <v>1</v>
      </c>
      <c r="J64">
        <f t="shared" si="5"/>
        <v>-0.45502787966183189</v>
      </c>
      <c r="K64">
        <f t="shared" si="6"/>
        <v>-0.77306057297601205</v>
      </c>
      <c r="M64">
        <f t="shared" si="9"/>
        <v>0.49702852142386972</v>
      </c>
      <c r="N64">
        <f t="shared" si="12"/>
        <v>6.6615179400000002E-2</v>
      </c>
      <c r="O64">
        <f t="shared" si="10"/>
        <v>4.4727334739999999E-2</v>
      </c>
      <c r="P64">
        <f t="shared" si="11"/>
        <v>0.16468953741214232</v>
      </c>
      <c r="V64">
        <v>-2.0428103653102899E-14</v>
      </c>
      <c r="W64">
        <f t="shared" si="8"/>
        <v>-0.51299999999999935</v>
      </c>
    </row>
    <row r="65" spans="1:23" x14ac:dyDescent="0.3">
      <c r="A65">
        <v>3.2240881000000003</v>
      </c>
      <c r="B65">
        <v>0.40201999999999999</v>
      </c>
      <c r="C65">
        <f t="shared" si="2"/>
        <v>1.296147897962</v>
      </c>
      <c r="D65" s="1">
        <v>2.1000000000000001E-2</v>
      </c>
      <c r="E65" s="1">
        <v>1.41E-2</v>
      </c>
      <c r="F65">
        <f t="shared" si="3"/>
        <v>644.81762000000003</v>
      </c>
      <c r="G65">
        <f t="shared" si="4"/>
        <v>-0.40201999999999999</v>
      </c>
      <c r="H65">
        <f t="shared" si="0"/>
        <v>-259.2295795924</v>
      </c>
      <c r="I65">
        <v>1</v>
      </c>
      <c r="J65">
        <f t="shared" si="5"/>
        <v>-0.43878776186034563</v>
      </c>
      <c r="K65">
        <f t="shared" si="6"/>
        <v>-0.77789057297601194</v>
      </c>
      <c r="M65">
        <f t="shared" si="9"/>
        <v>0.49759854955870186</v>
      </c>
      <c r="N65">
        <f t="shared" si="12"/>
        <v>6.7705850100000006E-2</v>
      </c>
      <c r="O65">
        <f t="shared" si="10"/>
        <v>4.5459642210000005E-2</v>
      </c>
      <c r="P65">
        <f t="shared" si="11"/>
        <v>0.16712653110731004</v>
      </c>
      <c r="V65">
        <v>9.9999999999980105E-2</v>
      </c>
      <c r="W65">
        <f t="shared" si="8"/>
        <v>-0.51650999999999936</v>
      </c>
    </row>
    <row r="66" spans="1:23" x14ac:dyDescent="0.3">
      <c r="A66">
        <v>3.2750062999999998</v>
      </c>
      <c r="B66">
        <v>0.39687</v>
      </c>
      <c r="C66">
        <f t="shared" si="2"/>
        <v>1.2997517502809999</v>
      </c>
      <c r="D66" s="1">
        <v>2.1000000000000001E-2</v>
      </c>
      <c r="E66" s="1">
        <v>1.41E-2</v>
      </c>
      <c r="F66">
        <f t="shared" si="3"/>
        <v>655.00126</v>
      </c>
      <c r="G66">
        <f t="shared" si="4"/>
        <v>-0.39687</v>
      </c>
      <c r="H66">
        <f t="shared" si="0"/>
        <v>-259.95035005619997</v>
      </c>
      <c r="I66">
        <v>1</v>
      </c>
      <c r="J66">
        <f t="shared" si="5"/>
        <v>-0.42311811968461321</v>
      </c>
      <c r="K66">
        <f t="shared" si="6"/>
        <v>-0.78304057297601193</v>
      </c>
      <c r="M66">
        <f t="shared" si="9"/>
        <v>0.4981485539990701</v>
      </c>
      <c r="N66">
        <f t="shared" si="12"/>
        <v>6.87751323E-2</v>
      </c>
      <c r="O66">
        <f t="shared" si="10"/>
        <v>4.6177588829999998E-2</v>
      </c>
      <c r="P66">
        <f t="shared" si="11"/>
        <v>0.16993929784694184</v>
      </c>
      <c r="V66">
        <v>0.19999999999998</v>
      </c>
      <c r="W66">
        <f t="shared" si="8"/>
        <v>-0.52001999999999926</v>
      </c>
    </row>
    <row r="67" spans="1:23" x14ac:dyDescent="0.3">
      <c r="A67">
        <v>3.3299979999999998</v>
      </c>
      <c r="B67">
        <v>0.39215</v>
      </c>
      <c r="C67">
        <f t="shared" si="2"/>
        <v>1.3058587156999999</v>
      </c>
      <c r="D67" s="1">
        <v>2.1000000000000001E-2</v>
      </c>
      <c r="E67" s="1">
        <v>1.41E-2</v>
      </c>
      <c r="F67">
        <f t="shared" si="3"/>
        <v>665.99959999999999</v>
      </c>
      <c r="G67">
        <f t="shared" si="4"/>
        <v>-0.39215</v>
      </c>
      <c r="H67">
        <f t="shared" si="0"/>
        <v>-261.17174313999999</v>
      </c>
      <c r="I67">
        <v>1</v>
      </c>
      <c r="J67">
        <f t="shared" si="5"/>
        <v>-0.40646620904252884</v>
      </c>
      <c r="K67">
        <f t="shared" si="6"/>
        <v>-0.78776057297601199</v>
      </c>
      <c r="M67">
        <f t="shared" si="9"/>
        <v>0.49873303606260727</v>
      </c>
      <c r="N67">
        <f t="shared" si="12"/>
        <v>6.9929958E-2</v>
      </c>
      <c r="O67">
        <f t="shared" si="10"/>
        <v>4.6952971799999993E-2</v>
      </c>
      <c r="P67">
        <f t="shared" si="11"/>
        <v>0.17214460711340471</v>
      </c>
      <c r="V67">
        <v>0.29999999999998</v>
      </c>
      <c r="W67">
        <f t="shared" si="8"/>
        <v>-0.52352999999999927</v>
      </c>
    </row>
    <row r="68" spans="1:23" x14ac:dyDescent="0.3">
      <c r="A68">
        <v>3.3814255000000002</v>
      </c>
      <c r="B68">
        <v>0.38671</v>
      </c>
      <c r="C68">
        <f t="shared" si="2"/>
        <v>1.3076310551050001</v>
      </c>
      <c r="D68" s="1">
        <v>2.1000000000000001E-2</v>
      </c>
      <c r="E68" s="1">
        <v>1.41E-2</v>
      </c>
      <c r="F68">
        <f t="shared" ref="F68:F131" si="13">A68*200</f>
        <v>676.28510000000006</v>
      </c>
      <c r="G68">
        <f t="shared" ref="G68:G131" si="14">-B68</f>
        <v>-0.38671</v>
      </c>
      <c r="H68">
        <f t="shared" ref="H68:H131" si="15">-C68*200</f>
        <v>-261.52621102099999</v>
      </c>
      <c r="I68">
        <v>1</v>
      </c>
      <c r="J68">
        <f t="shared" si="5"/>
        <v>-0.39114054628670497</v>
      </c>
      <c r="K68">
        <f t="shared" si="6"/>
        <v>-0.79320057297601199</v>
      </c>
      <c r="M68">
        <f t="shared" si="9"/>
        <v>0.49927096682533667</v>
      </c>
      <c r="N68">
        <f t="shared" si="12"/>
        <v>7.100993550000001E-2</v>
      </c>
      <c r="O68">
        <f t="shared" si="10"/>
        <v>4.7678099549999998E-2</v>
      </c>
      <c r="P68">
        <f t="shared" si="11"/>
        <v>0.17524157110067531</v>
      </c>
      <c r="V68">
        <v>0.39999999999997998</v>
      </c>
      <c r="W68">
        <f t="shared" si="8"/>
        <v>-0.52703999999999929</v>
      </c>
    </row>
    <row r="69" spans="1:23" x14ac:dyDescent="0.3">
      <c r="A69">
        <v>3.4353992</v>
      </c>
      <c r="B69">
        <v>0.38194</v>
      </c>
      <c r="C69">
        <f t="shared" ref="C69:C132" si="16">A69*B69</f>
        <v>1.3121163704479999</v>
      </c>
      <c r="D69" s="1">
        <v>2.1000000000000001E-2</v>
      </c>
      <c r="E69" s="1">
        <v>1.41E-2</v>
      </c>
      <c r="F69">
        <f t="shared" si="13"/>
        <v>687.07983999999999</v>
      </c>
      <c r="G69">
        <f t="shared" si="14"/>
        <v>-0.38194</v>
      </c>
      <c r="H69">
        <f t="shared" si="15"/>
        <v>-262.4232740896</v>
      </c>
      <c r="I69">
        <v>1</v>
      </c>
      <c r="J69">
        <f t="shared" ref="J69:J132" si="17">LN(F69/1000)</f>
        <v>-0.37530477808287438</v>
      </c>
      <c r="K69">
        <f t="shared" ref="K69:K132" si="18">((-G69)-$N$2)</f>
        <v>-0.79797057297601204</v>
      </c>
      <c r="M69">
        <f t="shared" si="9"/>
        <v>0.49982680228929111</v>
      </c>
      <c r="N69">
        <f t="shared" si="12"/>
        <v>7.2143383200000008E-2</v>
      </c>
      <c r="O69">
        <f t="shared" si="10"/>
        <v>4.8439128720000002E-2</v>
      </c>
      <c r="P69">
        <f t="shared" si="11"/>
        <v>0.17756125876672091</v>
      </c>
      <c r="V69">
        <v>0.49999999999998002</v>
      </c>
      <c r="W69">
        <f t="shared" ref="W69:W126" si="19">V69*$S$5+$S$4</f>
        <v>-0.5305499999999993</v>
      </c>
    </row>
    <row r="70" spans="1:23" x14ac:dyDescent="0.3">
      <c r="A70">
        <v>3.4878451999999998</v>
      </c>
      <c r="B70">
        <v>0.37684000000000001</v>
      </c>
      <c r="C70">
        <f t="shared" si="16"/>
        <v>1.3143595851679999</v>
      </c>
      <c r="D70" s="1">
        <v>2.1000000000000001E-2</v>
      </c>
      <c r="E70" s="1">
        <v>1.41E-2</v>
      </c>
      <c r="F70">
        <f t="shared" si="13"/>
        <v>697.56903999999997</v>
      </c>
      <c r="G70">
        <f t="shared" si="14"/>
        <v>-0.37684000000000001</v>
      </c>
      <c r="H70">
        <f t="shared" si="15"/>
        <v>-262.87191703359997</v>
      </c>
      <c r="I70">
        <v>1</v>
      </c>
      <c r="J70">
        <f t="shared" si="17"/>
        <v>-0.36015378810616611</v>
      </c>
      <c r="K70">
        <f t="shared" si="18"/>
        <v>-0.80307057297601192</v>
      </c>
      <c r="M70">
        <f t="shared" ref="M70:M133" si="20">-1*($S$4+($S$5*J70))</f>
        <v>0.50035860203747362</v>
      </c>
      <c r="N70">
        <f t="shared" si="12"/>
        <v>7.3244749200000001E-2</v>
      </c>
      <c r="O70">
        <f t="shared" ref="O70:O133" si="21">E70*A70</f>
        <v>4.9178617319999993E-2</v>
      </c>
      <c r="P70">
        <f t="shared" ref="P70:P133" si="22">-K70-M70-N70-O70</f>
        <v>0.18028860441853828</v>
      </c>
      <c r="V70">
        <v>0.59999999999997999</v>
      </c>
      <c r="W70">
        <f t="shared" si="19"/>
        <v>-0.53405999999999931</v>
      </c>
    </row>
    <row r="71" spans="1:23" x14ac:dyDescent="0.3">
      <c r="A71">
        <v>3.5382544</v>
      </c>
      <c r="B71">
        <v>0.37174000000000001</v>
      </c>
      <c r="C71">
        <f t="shared" si="16"/>
        <v>1.3153106906560001</v>
      </c>
      <c r="D71" s="1">
        <v>2.1000000000000001E-2</v>
      </c>
      <c r="E71" s="1">
        <v>1.41E-2</v>
      </c>
      <c r="F71">
        <f t="shared" si="13"/>
        <v>707.65088000000003</v>
      </c>
      <c r="G71">
        <f t="shared" si="14"/>
        <v>-0.37174000000000001</v>
      </c>
      <c r="H71">
        <f t="shared" si="15"/>
        <v>-263.06213813120002</v>
      </c>
      <c r="I71">
        <v>1</v>
      </c>
      <c r="J71">
        <f t="shared" si="17"/>
        <v>-0.34580441425045866</v>
      </c>
      <c r="K71">
        <f t="shared" si="18"/>
        <v>-0.80817057297601202</v>
      </c>
      <c r="M71">
        <f t="shared" si="20"/>
        <v>0.50086226505980891</v>
      </c>
      <c r="N71">
        <f t="shared" ref="N71:N134" si="23">D71*A71</f>
        <v>7.43033424E-2</v>
      </c>
      <c r="O71">
        <f t="shared" si="21"/>
        <v>4.9889387039999997E-2</v>
      </c>
      <c r="P71">
        <f t="shared" si="22"/>
        <v>0.18311557847620313</v>
      </c>
      <c r="V71">
        <v>0.69999999999997997</v>
      </c>
      <c r="W71">
        <f t="shared" si="19"/>
        <v>-0.53756999999999933</v>
      </c>
    </row>
    <row r="72" spans="1:23" x14ac:dyDescent="0.3">
      <c r="A72">
        <v>3.5891723999999998</v>
      </c>
      <c r="B72">
        <v>0.36708000000000002</v>
      </c>
      <c r="C72">
        <f t="shared" si="16"/>
        <v>1.3175134045920001</v>
      </c>
      <c r="D72" s="1">
        <v>2.1000000000000001E-2</v>
      </c>
      <c r="E72" s="1">
        <v>1.41E-2</v>
      </c>
      <c r="F72">
        <f t="shared" si="13"/>
        <v>717.83447999999999</v>
      </c>
      <c r="G72">
        <f t="shared" si="14"/>
        <v>-0.36708000000000002</v>
      </c>
      <c r="H72">
        <f t="shared" si="15"/>
        <v>-263.50268091840002</v>
      </c>
      <c r="I72">
        <v>1</v>
      </c>
      <c r="J72">
        <f t="shared" si="17"/>
        <v>-0.33151626575777532</v>
      </c>
      <c r="K72">
        <f t="shared" si="18"/>
        <v>-0.81283057297601191</v>
      </c>
      <c r="M72">
        <f t="shared" si="20"/>
        <v>0.5013637790719021</v>
      </c>
      <c r="N72">
        <f t="shared" si="23"/>
        <v>7.5372620400000007E-2</v>
      </c>
      <c r="O72">
        <f t="shared" si="21"/>
        <v>5.0607330839999999E-2</v>
      </c>
      <c r="P72">
        <f t="shared" si="22"/>
        <v>0.18548684266410981</v>
      </c>
      <c r="V72">
        <v>0.79999999999997995</v>
      </c>
      <c r="W72">
        <f t="shared" si="19"/>
        <v>-0.54107999999999934</v>
      </c>
    </row>
    <row r="73" spans="1:23" x14ac:dyDescent="0.3">
      <c r="A73">
        <v>3.6400905999999997</v>
      </c>
      <c r="B73">
        <v>0.36220999999999998</v>
      </c>
      <c r="C73">
        <f t="shared" si="16"/>
        <v>1.3184772162259999</v>
      </c>
      <c r="D73" s="1">
        <v>2.1000000000000001E-2</v>
      </c>
      <c r="E73" s="1">
        <v>1.41E-2</v>
      </c>
      <c r="F73">
        <f t="shared" si="13"/>
        <v>728.01811999999995</v>
      </c>
      <c r="G73">
        <f t="shared" si="14"/>
        <v>-0.36220999999999998</v>
      </c>
      <c r="H73">
        <f t="shared" si="15"/>
        <v>-263.69544324519995</v>
      </c>
      <c r="I73">
        <v>1</v>
      </c>
      <c r="J73">
        <f t="shared" si="17"/>
        <v>-0.31742934098531461</v>
      </c>
      <c r="K73">
        <f t="shared" si="18"/>
        <v>-0.81770057297601206</v>
      </c>
      <c r="M73">
        <f t="shared" si="20"/>
        <v>0.50185823013141551</v>
      </c>
      <c r="N73">
        <f t="shared" si="23"/>
        <v>7.64419026E-2</v>
      </c>
      <c r="O73">
        <f t="shared" si="21"/>
        <v>5.1325277459999992E-2</v>
      </c>
      <c r="P73">
        <f t="shared" si="22"/>
        <v>0.18807516278459657</v>
      </c>
      <c r="V73">
        <v>0.89999999999998004</v>
      </c>
      <c r="W73">
        <f t="shared" si="19"/>
        <v>-0.54458999999999935</v>
      </c>
    </row>
    <row r="74" spans="1:23" x14ac:dyDescent="0.3">
      <c r="A74">
        <v>3.6904998</v>
      </c>
      <c r="B74">
        <v>0.35736000000000001</v>
      </c>
      <c r="C74">
        <f t="shared" si="16"/>
        <v>1.3188370085280001</v>
      </c>
      <c r="D74" s="1">
        <v>2.1000000000000001E-2</v>
      </c>
      <c r="E74" s="1">
        <v>1.41E-2</v>
      </c>
      <c r="F74">
        <f t="shared" si="13"/>
        <v>738.09996000000001</v>
      </c>
      <c r="G74">
        <f t="shared" si="14"/>
        <v>-0.35736000000000001</v>
      </c>
      <c r="H74">
        <f t="shared" si="15"/>
        <v>-263.76740170560004</v>
      </c>
      <c r="I74">
        <v>1</v>
      </c>
      <c r="J74">
        <f t="shared" si="17"/>
        <v>-0.30367601639933062</v>
      </c>
      <c r="K74">
        <f t="shared" si="18"/>
        <v>-0.82255057297601197</v>
      </c>
      <c r="M74">
        <f t="shared" si="20"/>
        <v>0.50234097182438353</v>
      </c>
      <c r="N74">
        <f t="shared" si="23"/>
        <v>7.7500495799999999E-2</v>
      </c>
      <c r="O74">
        <f t="shared" si="21"/>
        <v>5.2036047179999996E-2</v>
      </c>
      <c r="P74">
        <f t="shared" si="22"/>
        <v>0.19067305817162844</v>
      </c>
      <c r="V74">
        <v>0.99999999999998002</v>
      </c>
      <c r="W74">
        <f t="shared" si="19"/>
        <v>-0.54809999999999937</v>
      </c>
    </row>
    <row r="75" spans="1:23" x14ac:dyDescent="0.3">
      <c r="A75">
        <v>3.7414182</v>
      </c>
      <c r="B75">
        <v>0.35248000000000002</v>
      </c>
      <c r="C75">
        <f t="shared" si="16"/>
        <v>1.318775087136</v>
      </c>
      <c r="D75" s="1">
        <v>2.1000000000000001E-2</v>
      </c>
      <c r="E75" s="1">
        <v>1.41E-2</v>
      </c>
      <c r="F75">
        <f t="shared" si="13"/>
        <v>748.28363999999999</v>
      </c>
      <c r="G75">
        <f t="shared" si="14"/>
        <v>-0.35248000000000002</v>
      </c>
      <c r="H75">
        <f t="shared" si="15"/>
        <v>-263.75501742720002</v>
      </c>
      <c r="I75">
        <v>1</v>
      </c>
      <c r="J75">
        <f t="shared" si="17"/>
        <v>-0.28997317502403619</v>
      </c>
      <c r="K75">
        <f t="shared" si="18"/>
        <v>-0.82743057297601197</v>
      </c>
      <c r="M75">
        <f t="shared" si="20"/>
        <v>0.50282194155665638</v>
      </c>
      <c r="N75">
        <f t="shared" si="23"/>
        <v>7.8569782200000007E-2</v>
      </c>
      <c r="O75">
        <f t="shared" si="21"/>
        <v>5.275399662E-2</v>
      </c>
      <c r="P75">
        <f t="shared" si="22"/>
        <v>0.1932848525993556</v>
      </c>
      <c r="V75">
        <v>1.0999999999999699</v>
      </c>
      <c r="W75">
        <f t="shared" si="19"/>
        <v>-0.55160999999999893</v>
      </c>
    </row>
    <row r="76" spans="1:23" x14ac:dyDescent="0.3">
      <c r="A76">
        <v>3.7923363999999999</v>
      </c>
      <c r="B76">
        <v>0.34786</v>
      </c>
      <c r="C76">
        <f t="shared" si="16"/>
        <v>1.3192021401039999</v>
      </c>
      <c r="D76" s="1">
        <v>2.1000000000000001E-2</v>
      </c>
      <c r="E76" s="1">
        <v>1.41E-2</v>
      </c>
      <c r="F76">
        <f t="shared" si="13"/>
        <v>758.46727999999996</v>
      </c>
      <c r="G76">
        <f t="shared" si="14"/>
        <v>-0.34786</v>
      </c>
      <c r="H76">
        <f t="shared" si="15"/>
        <v>-263.8404280208</v>
      </c>
      <c r="I76">
        <v>1</v>
      </c>
      <c r="J76">
        <f t="shared" si="17"/>
        <v>-0.27645561889592885</v>
      </c>
      <c r="K76">
        <f t="shared" si="18"/>
        <v>-0.83205057297601193</v>
      </c>
      <c r="M76">
        <f t="shared" si="20"/>
        <v>0.50329640777675289</v>
      </c>
      <c r="N76">
        <f t="shared" si="23"/>
        <v>7.9639064400000001E-2</v>
      </c>
      <c r="O76">
        <f t="shared" si="21"/>
        <v>5.347194324E-2</v>
      </c>
      <c r="P76">
        <f t="shared" si="22"/>
        <v>0.19564315755925904</v>
      </c>
      <c r="V76">
        <v>1.19999999999997</v>
      </c>
      <c r="W76">
        <f t="shared" si="19"/>
        <v>-0.55511999999999895</v>
      </c>
    </row>
    <row r="77" spans="1:23" x14ac:dyDescent="0.3">
      <c r="A77">
        <v>3.8442731999999999</v>
      </c>
      <c r="B77">
        <v>0.34239999999999998</v>
      </c>
      <c r="C77">
        <f t="shared" si="16"/>
        <v>1.3162791436799999</v>
      </c>
      <c r="D77" s="1">
        <v>2.1000000000000001E-2</v>
      </c>
      <c r="E77" s="1">
        <v>1.41E-2</v>
      </c>
      <c r="F77">
        <f t="shared" si="13"/>
        <v>768.85464000000002</v>
      </c>
      <c r="G77">
        <f t="shared" si="14"/>
        <v>-0.34239999999999998</v>
      </c>
      <c r="H77">
        <f t="shared" si="15"/>
        <v>-263.25582873599996</v>
      </c>
      <c r="I77">
        <v>1</v>
      </c>
      <c r="J77">
        <f t="shared" si="17"/>
        <v>-0.26285335205132687</v>
      </c>
      <c r="K77">
        <f t="shared" si="18"/>
        <v>-0.83751057297601195</v>
      </c>
      <c r="M77">
        <f t="shared" si="20"/>
        <v>0.50377384734299846</v>
      </c>
      <c r="N77">
        <f t="shared" si="23"/>
        <v>8.0729737199999999E-2</v>
      </c>
      <c r="O77">
        <f t="shared" si="21"/>
        <v>5.4204252119999997E-2</v>
      </c>
      <c r="P77">
        <f t="shared" si="22"/>
        <v>0.19880273631301351</v>
      </c>
      <c r="V77">
        <v>1.2999999999999701</v>
      </c>
      <c r="W77">
        <f t="shared" si="19"/>
        <v>-0.55862999999999896</v>
      </c>
    </row>
    <row r="78" spans="1:23" x14ac:dyDescent="0.3">
      <c r="A78">
        <v>3.8957009</v>
      </c>
      <c r="B78">
        <v>0.33760000000000001</v>
      </c>
      <c r="C78">
        <f t="shared" si="16"/>
        <v>1.3151886238400001</v>
      </c>
      <c r="D78" s="1">
        <v>2.1000000000000001E-2</v>
      </c>
      <c r="E78" s="1">
        <v>1.41E-2</v>
      </c>
      <c r="F78">
        <f t="shared" si="13"/>
        <v>779.14017999999999</v>
      </c>
      <c r="G78">
        <f t="shared" si="14"/>
        <v>-0.33760000000000001</v>
      </c>
      <c r="H78">
        <f t="shared" si="15"/>
        <v>-263.03772476800003</v>
      </c>
      <c r="I78">
        <v>1</v>
      </c>
      <c r="J78">
        <f t="shared" si="17"/>
        <v>-0.24956430064808735</v>
      </c>
      <c r="K78">
        <f t="shared" si="18"/>
        <v>-0.84231057297601197</v>
      </c>
      <c r="M78">
        <f t="shared" si="20"/>
        <v>0.50424029304725215</v>
      </c>
      <c r="N78">
        <f t="shared" si="23"/>
        <v>8.1809718900000009E-2</v>
      </c>
      <c r="O78">
        <f t="shared" si="21"/>
        <v>5.492938269E-2</v>
      </c>
      <c r="P78">
        <f t="shared" si="22"/>
        <v>0.20133117833875983</v>
      </c>
      <c r="V78">
        <v>1.3999999999999699</v>
      </c>
      <c r="W78">
        <f t="shared" si="19"/>
        <v>-0.56213999999999897</v>
      </c>
    </row>
    <row r="79" spans="1:23" x14ac:dyDescent="0.3">
      <c r="A79">
        <v>3.9501830999999998</v>
      </c>
      <c r="B79">
        <v>0.33223999999999998</v>
      </c>
      <c r="C79">
        <f t="shared" si="16"/>
        <v>1.3124088331439998</v>
      </c>
      <c r="D79" s="1">
        <v>2.1000000000000001E-2</v>
      </c>
      <c r="E79" s="1">
        <v>1.41E-2</v>
      </c>
      <c r="F79">
        <f t="shared" si="13"/>
        <v>790.03661999999997</v>
      </c>
      <c r="G79">
        <f t="shared" si="14"/>
        <v>-0.33223999999999998</v>
      </c>
      <c r="H79">
        <f t="shared" si="15"/>
        <v>-262.48176662879996</v>
      </c>
      <c r="I79">
        <v>1</v>
      </c>
      <c r="J79">
        <f t="shared" si="17"/>
        <v>-0.23567598016502359</v>
      </c>
      <c r="K79">
        <f t="shared" si="18"/>
        <v>-0.847670572976012</v>
      </c>
      <c r="M79">
        <f t="shared" si="20"/>
        <v>0.50472777309620764</v>
      </c>
      <c r="N79">
        <f t="shared" si="23"/>
        <v>8.2953845100000007E-2</v>
      </c>
      <c r="O79">
        <f t="shared" si="21"/>
        <v>5.5697581709999999E-2</v>
      </c>
      <c r="P79">
        <f t="shared" si="22"/>
        <v>0.20429137306980433</v>
      </c>
      <c r="V79">
        <v>1.49999999999997</v>
      </c>
      <c r="W79">
        <f t="shared" si="19"/>
        <v>-0.56564999999999899</v>
      </c>
    </row>
    <row r="80" spans="1:23" x14ac:dyDescent="0.3">
      <c r="A80">
        <v>4.0005923000000001</v>
      </c>
      <c r="B80">
        <v>0.32768999999999998</v>
      </c>
      <c r="C80">
        <f t="shared" si="16"/>
        <v>1.3109540907869999</v>
      </c>
      <c r="D80" s="1">
        <v>2.1000000000000001E-2</v>
      </c>
      <c r="E80" s="1">
        <v>1.41E-2</v>
      </c>
      <c r="F80">
        <f t="shared" si="13"/>
        <v>800.11846000000003</v>
      </c>
      <c r="G80">
        <f t="shared" si="14"/>
        <v>-0.32768999999999998</v>
      </c>
      <c r="H80">
        <f t="shared" si="15"/>
        <v>-262.19081815739997</v>
      </c>
      <c r="I80">
        <v>1</v>
      </c>
      <c r="J80">
        <f t="shared" si="17"/>
        <v>-0.22299548727623048</v>
      </c>
      <c r="K80">
        <f t="shared" si="18"/>
        <v>-0.85222057297601195</v>
      </c>
      <c r="M80">
        <f t="shared" si="20"/>
        <v>0.50517285839660431</v>
      </c>
      <c r="N80">
        <f t="shared" si="23"/>
        <v>8.4012438300000006E-2</v>
      </c>
      <c r="O80">
        <f t="shared" si="21"/>
        <v>5.6408351430000003E-2</v>
      </c>
      <c r="P80">
        <f t="shared" si="22"/>
        <v>0.20662692484940764</v>
      </c>
      <c r="V80">
        <v>1.5999999999999699</v>
      </c>
      <c r="W80">
        <f t="shared" si="19"/>
        <v>-0.569159999999999</v>
      </c>
    </row>
    <row r="81" spans="1:23" x14ac:dyDescent="0.3">
      <c r="A81">
        <v>4.0515112000000002</v>
      </c>
      <c r="B81">
        <v>0.32149</v>
      </c>
      <c r="C81">
        <f t="shared" si="16"/>
        <v>1.302520335688</v>
      </c>
      <c r="D81" s="1">
        <v>2.1000000000000001E-2</v>
      </c>
      <c r="E81" s="1">
        <v>1.41E-2</v>
      </c>
      <c r="F81">
        <f t="shared" si="13"/>
        <v>810.30223999999998</v>
      </c>
      <c r="G81">
        <f t="shared" si="14"/>
        <v>-0.32149</v>
      </c>
      <c r="H81">
        <f t="shared" si="15"/>
        <v>-260.50406713759998</v>
      </c>
      <c r="I81">
        <v>1</v>
      </c>
      <c r="J81">
        <f t="shared" si="17"/>
        <v>-0.21034796511103465</v>
      </c>
      <c r="K81">
        <f t="shared" si="18"/>
        <v>-0.85842057297601193</v>
      </c>
      <c r="M81">
        <f t="shared" si="20"/>
        <v>0.50561678642460273</v>
      </c>
      <c r="N81">
        <f t="shared" si="23"/>
        <v>8.5081735200000008E-2</v>
      </c>
      <c r="O81">
        <f t="shared" si="21"/>
        <v>5.7126307920000001E-2</v>
      </c>
      <c r="P81">
        <f t="shared" si="22"/>
        <v>0.21059574343140919</v>
      </c>
      <c r="V81">
        <v>1.69999999999997</v>
      </c>
      <c r="W81">
        <f t="shared" si="19"/>
        <v>-0.5726699999999989</v>
      </c>
    </row>
    <row r="82" spans="1:23" x14ac:dyDescent="0.3">
      <c r="A82">
        <v>4.1024292000000004</v>
      </c>
      <c r="B82">
        <v>0.31713999999999998</v>
      </c>
      <c r="C82">
        <f t="shared" si="16"/>
        <v>1.3010443964880001</v>
      </c>
      <c r="D82" s="1">
        <v>2.1000000000000001E-2</v>
      </c>
      <c r="E82" s="1">
        <v>1.41E-2</v>
      </c>
      <c r="F82">
        <f t="shared" si="13"/>
        <v>820.48584000000005</v>
      </c>
      <c r="G82">
        <f t="shared" si="14"/>
        <v>-0.31713999999999998</v>
      </c>
      <c r="H82">
        <f t="shared" si="15"/>
        <v>-260.20887929759999</v>
      </c>
      <c r="I82">
        <v>1</v>
      </c>
      <c r="J82">
        <f t="shared" si="17"/>
        <v>-0.19785862637056112</v>
      </c>
      <c r="K82">
        <f t="shared" si="18"/>
        <v>-0.86277057297601201</v>
      </c>
      <c r="M82">
        <f t="shared" si="20"/>
        <v>0.50605516221439328</v>
      </c>
      <c r="N82">
        <f t="shared" si="23"/>
        <v>8.6151013200000015E-2</v>
      </c>
      <c r="O82">
        <f t="shared" si="21"/>
        <v>5.7844251720000003E-2</v>
      </c>
      <c r="P82">
        <f t="shared" si="22"/>
        <v>0.21272014584161869</v>
      </c>
      <c r="V82">
        <v>1.7999999999999701</v>
      </c>
      <c r="W82">
        <f t="shared" si="19"/>
        <v>-0.57617999999999892</v>
      </c>
    </row>
    <row r="83" spans="1:23" x14ac:dyDescent="0.3">
      <c r="A83">
        <v>4.1538569000000001</v>
      </c>
      <c r="B83">
        <v>0.31170999999999999</v>
      </c>
      <c r="C83">
        <f t="shared" si="16"/>
        <v>1.2947987342989999</v>
      </c>
      <c r="D83" s="1">
        <v>2.1000000000000001E-2</v>
      </c>
      <c r="E83" s="1">
        <v>1.41E-2</v>
      </c>
      <c r="F83">
        <f t="shared" si="13"/>
        <v>830.77138000000002</v>
      </c>
      <c r="G83">
        <f t="shared" si="14"/>
        <v>-0.31170999999999999</v>
      </c>
      <c r="H83">
        <f t="shared" si="15"/>
        <v>-258.95974685979996</v>
      </c>
      <c r="I83">
        <v>1</v>
      </c>
      <c r="J83">
        <f t="shared" si="17"/>
        <v>-0.18540063629767201</v>
      </c>
      <c r="K83">
        <f t="shared" si="18"/>
        <v>-0.86820057297601205</v>
      </c>
      <c r="M83">
        <f t="shared" si="20"/>
        <v>0.50649243766595176</v>
      </c>
      <c r="N83">
        <f t="shared" si="23"/>
        <v>8.7230994900000011E-2</v>
      </c>
      <c r="O83">
        <f t="shared" si="21"/>
        <v>5.8569382289999999E-2</v>
      </c>
      <c r="P83">
        <f t="shared" si="22"/>
        <v>0.21590775812006027</v>
      </c>
      <c r="V83">
        <v>1.8999999999999699</v>
      </c>
      <c r="W83">
        <f t="shared" si="19"/>
        <v>-0.57968999999999893</v>
      </c>
    </row>
    <row r="84" spans="1:23" x14ac:dyDescent="0.3">
      <c r="A84">
        <v>4.2047749000000003</v>
      </c>
      <c r="B84">
        <v>0.30639</v>
      </c>
      <c r="C84">
        <f t="shared" si="16"/>
        <v>1.288300981611</v>
      </c>
      <c r="D84" s="1">
        <v>2.1000000000000001E-2</v>
      </c>
      <c r="E84" s="1">
        <v>1.41E-2</v>
      </c>
      <c r="F84">
        <f t="shared" si="13"/>
        <v>840.95498000000009</v>
      </c>
      <c r="G84">
        <f t="shared" si="14"/>
        <v>-0.30639</v>
      </c>
      <c r="H84">
        <f t="shared" si="15"/>
        <v>-257.66019632220002</v>
      </c>
      <c r="I84">
        <v>1</v>
      </c>
      <c r="J84">
        <f t="shared" si="17"/>
        <v>-0.17321715195215828</v>
      </c>
      <c r="K84">
        <f t="shared" si="18"/>
        <v>-0.87352057297601204</v>
      </c>
      <c r="M84">
        <f t="shared" si="20"/>
        <v>0.50692007796647931</v>
      </c>
      <c r="N84">
        <f t="shared" si="23"/>
        <v>8.8300272900000018E-2</v>
      </c>
      <c r="O84">
        <f t="shared" si="21"/>
        <v>5.9287326090000002E-2</v>
      </c>
      <c r="P84">
        <f t="shared" si="22"/>
        <v>0.21901289601953269</v>
      </c>
      <c r="V84">
        <v>1.99999999999997</v>
      </c>
      <c r="W84">
        <f t="shared" si="19"/>
        <v>-0.58319999999999894</v>
      </c>
    </row>
    <row r="85" spans="1:23" x14ac:dyDescent="0.3">
      <c r="A85">
        <v>4.2556938000000004</v>
      </c>
      <c r="B85">
        <v>0.30135000000000001</v>
      </c>
      <c r="C85">
        <f t="shared" si="16"/>
        <v>1.2824533266300002</v>
      </c>
      <c r="D85" s="1">
        <v>2.1000000000000001E-2</v>
      </c>
      <c r="E85" s="1">
        <v>1.41E-2</v>
      </c>
      <c r="F85">
        <f t="shared" si="13"/>
        <v>851.13876000000005</v>
      </c>
      <c r="G85">
        <f t="shared" si="14"/>
        <v>-0.30135000000000001</v>
      </c>
      <c r="H85">
        <f t="shared" si="15"/>
        <v>-256.49066532600006</v>
      </c>
      <c r="I85">
        <v>1</v>
      </c>
      <c r="J85">
        <f t="shared" si="17"/>
        <v>-0.16118010847167974</v>
      </c>
      <c r="K85">
        <f t="shared" si="18"/>
        <v>-0.87856057297601198</v>
      </c>
      <c r="M85">
        <f t="shared" si="20"/>
        <v>0.50734257819264406</v>
      </c>
      <c r="N85">
        <f t="shared" si="23"/>
        <v>8.936956980000002E-2</v>
      </c>
      <c r="O85">
        <f t="shared" si="21"/>
        <v>6.0005282580000006E-2</v>
      </c>
      <c r="P85">
        <f t="shared" si="22"/>
        <v>0.22184314240336792</v>
      </c>
      <c r="V85">
        <v>2.0999999999999699</v>
      </c>
      <c r="W85">
        <f t="shared" si="19"/>
        <v>-0.58670999999999895</v>
      </c>
    </row>
    <row r="86" spans="1:23" x14ac:dyDescent="0.3">
      <c r="A86">
        <v>4.3061030000000002</v>
      </c>
      <c r="B86">
        <v>0.29625000000000001</v>
      </c>
      <c r="C86">
        <f t="shared" si="16"/>
        <v>1.2756830137500001</v>
      </c>
      <c r="D86" s="1">
        <v>2.1000000000000001E-2</v>
      </c>
      <c r="E86" s="1">
        <v>1.41E-2</v>
      </c>
      <c r="F86">
        <f t="shared" si="13"/>
        <v>861.2206000000001</v>
      </c>
      <c r="G86">
        <f t="shared" si="14"/>
        <v>-0.29625000000000001</v>
      </c>
      <c r="H86">
        <f t="shared" si="15"/>
        <v>-255.13660275000004</v>
      </c>
      <c r="I86">
        <v>1</v>
      </c>
      <c r="J86">
        <f t="shared" si="17"/>
        <v>-0.14940459366653788</v>
      </c>
      <c r="K86">
        <f t="shared" si="18"/>
        <v>-0.88366057297601197</v>
      </c>
      <c r="M86">
        <f t="shared" si="20"/>
        <v>0.50775589876230454</v>
      </c>
      <c r="N86">
        <f t="shared" si="23"/>
        <v>9.0428163000000006E-2</v>
      </c>
      <c r="O86">
        <f t="shared" si="21"/>
        <v>6.0716052300000004E-2</v>
      </c>
      <c r="P86">
        <f t="shared" si="22"/>
        <v>0.22476045891370744</v>
      </c>
      <c r="V86">
        <v>2.19999999999997</v>
      </c>
      <c r="W86">
        <f t="shared" si="19"/>
        <v>-0.59021999999999897</v>
      </c>
    </row>
    <row r="87" spans="1:23" x14ac:dyDescent="0.3">
      <c r="A87">
        <v>4.3570209999999996</v>
      </c>
      <c r="B87">
        <v>0.29060000000000002</v>
      </c>
      <c r="C87">
        <f t="shared" si="16"/>
        <v>1.2661503026000001</v>
      </c>
      <c r="D87" s="1">
        <v>2.1000000000000001E-2</v>
      </c>
      <c r="E87" s="1">
        <v>1.41E-2</v>
      </c>
      <c r="F87">
        <f t="shared" si="13"/>
        <v>871.40419999999995</v>
      </c>
      <c r="G87">
        <f t="shared" si="14"/>
        <v>-0.29060000000000002</v>
      </c>
      <c r="H87">
        <f t="shared" si="15"/>
        <v>-253.23006052000002</v>
      </c>
      <c r="I87">
        <v>1</v>
      </c>
      <c r="J87">
        <f t="shared" si="17"/>
        <v>-0.13764934548025234</v>
      </c>
      <c r="K87">
        <f t="shared" si="18"/>
        <v>-0.88931057297601201</v>
      </c>
      <c r="M87">
        <f t="shared" si="20"/>
        <v>0.5081685079736431</v>
      </c>
      <c r="N87">
        <f t="shared" si="23"/>
        <v>9.1497440999999999E-2</v>
      </c>
      <c r="O87">
        <f t="shared" si="21"/>
        <v>6.1433996099999992E-2</v>
      </c>
      <c r="P87">
        <f t="shared" si="22"/>
        <v>0.2282106279023689</v>
      </c>
      <c r="V87">
        <v>2.2999999999999701</v>
      </c>
      <c r="W87">
        <f t="shared" si="19"/>
        <v>-0.59372999999999898</v>
      </c>
    </row>
    <row r="88" spans="1:23" x14ac:dyDescent="0.3">
      <c r="A88">
        <v>4.4089580000000002</v>
      </c>
      <c r="B88">
        <v>0.28560999999999998</v>
      </c>
      <c r="C88">
        <f t="shared" si="16"/>
        <v>1.25924249438</v>
      </c>
      <c r="D88" s="1">
        <v>2.1000000000000001E-2</v>
      </c>
      <c r="E88" s="1">
        <v>1.41E-2</v>
      </c>
      <c r="F88">
        <f t="shared" si="13"/>
        <v>881.79160000000002</v>
      </c>
      <c r="G88">
        <f t="shared" si="14"/>
        <v>-0.28560999999999998</v>
      </c>
      <c r="H88">
        <f t="shared" si="15"/>
        <v>-251.84849887600001</v>
      </c>
      <c r="I88">
        <v>1</v>
      </c>
      <c r="J88">
        <f t="shared" si="17"/>
        <v>-0.12579953207327974</v>
      </c>
      <c r="K88">
        <f t="shared" si="18"/>
        <v>-0.89430057297601206</v>
      </c>
      <c r="M88">
        <f t="shared" si="20"/>
        <v>0.5085844364242279</v>
      </c>
      <c r="N88">
        <f t="shared" si="23"/>
        <v>9.2588118000000011E-2</v>
      </c>
      <c r="O88">
        <f t="shared" si="21"/>
        <v>6.2166307800000001E-2</v>
      </c>
      <c r="P88">
        <f t="shared" si="22"/>
        <v>0.23096171075178418</v>
      </c>
      <c r="V88">
        <v>2.3999999999999702</v>
      </c>
      <c r="W88">
        <f t="shared" si="19"/>
        <v>-0.59723999999999899</v>
      </c>
    </row>
    <row r="89" spans="1:23" x14ac:dyDescent="0.3">
      <c r="A89">
        <v>4.4614032999999997</v>
      </c>
      <c r="B89">
        <v>0.27990999999999999</v>
      </c>
      <c r="C89">
        <f t="shared" si="16"/>
        <v>1.2487913977029999</v>
      </c>
      <c r="D89" s="1">
        <v>2.1000000000000001E-2</v>
      </c>
      <c r="E89" s="1">
        <v>1.41E-2</v>
      </c>
      <c r="F89">
        <f t="shared" si="13"/>
        <v>892.2806599999999</v>
      </c>
      <c r="G89">
        <f t="shared" si="14"/>
        <v>-0.27990999999999999</v>
      </c>
      <c r="H89">
        <f t="shared" si="15"/>
        <v>-249.75827954059997</v>
      </c>
      <c r="I89">
        <v>1</v>
      </c>
      <c r="J89">
        <f t="shared" si="17"/>
        <v>-0.11397455463570159</v>
      </c>
      <c r="K89">
        <f t="shared" si="18"/>
        <v>-0.90000057297601199</v>
      </c>
      <c r="M89">
        <f t="shared" si="20"/>
        <v>0.50899949313228687</v>
      </c>
      <c r="N89">
        <f t="shared" si="23"/>
        <v>9.3689469299999995E-2</v>
      </c>
      <c r="O89">
        <f t="shared" si="21"/>
        <v>6.2905786529999994E-2</v>
      </c>
      <c r="P89">
        <f t="shared" si="22"/>
        <v>0.23440582401372512</v>
      </c>
      <c r="V89">
        <v>2.4999999999999698</v>
      </c>
      <c r="W89">
        <f t="shared" si="19"/>
        <v>-0.60074999999999901</v>
      </c>
    </row>
    <row r="90" spans="1:23" x14ac:dyDescent="0.3">
      <c r="A90">
        <v>4.5123223000000001</v>
      </c>
      <c r="B90">
        <v>0.27464</v>
      </c>
      <c r="C90">
        <f t="shared" si="16"/>
        <v>1.2392641964719999</v>
      </c>
      <c r="D90" s="1">
        <v>2.1000000000000001E-2</v>
      </c>
      <c r="E90" s="1">
        <v>1.41E-2</v>
      </c>
      <c r="F90">
        <f t="shared" si="13"/>
        <v>902.46446000000003</v>
      </c>
      <c r="G90">
        <f t="shared" si="14"/>
        <v>-0.27464</v>
      </c>
      <c r="H90">
        <f t="shared" si="15"/>
        <v>-247.85283929439998</v>
      </c>
      <c r="I90">
        <v>1</v>
      </c>
      <c r="J90">
        <f t="shared" si="17"/>
        <v>-0.102625969051879</v>
      </c>
      <c r="K90">
        <f t="shared" si="18"/>
        <v>-0.90527057297601199</v>
      </c>
      <c r="M90">
        <f t="shared" si="20"/>
        <v>0.50939782848627901</v>
      </c>
      <c r="N90">
        <f t="shared" si="23"/>
        <v>9.4758768300000004E-2</v>
      </c>
      <c r="O90">
        <f t="shared" si="21"/>
        <v>6.3623744430000004E-2</v>
      </c>
      <c r="P90">
        <f t="shared" si="22"/>
        <v>0.23749023175973294</v>
      </c>
      <c r="V90">
        <v>2.5999999999999699</v>
      </c>
      <c r="W90">
        <f t="shared" si="19"/>
        <v>-0.60425999999999891</v>
      </c>
    </row>
    <row r="91" spans="1:23" x14ac:dyDescent="0.3">
      <c r="A91">
        <v>4.5632402000000001</v>
      </c>
      <c r="B91">
        <v>0.26933000000000001</v>
      </c>
      <c r="C91">
        <f t="shared" si="16"/>
        <v>1.2290174830660001</v>
      </c>
      <c r="D91" s="1">
        <v>2.1000000000000001E-2</v>
      </c>
      <c r="E91" s="1">
        <v>1.41E-2</v>
      </c>
      <c r="F91">
        <f t="shared" si="13"/>
        <v>912.64804000000004</v>
      </c>
      <c r="G91">
        <f t="shared" si="14"/>
        <v>-0.26933000000000001</v>
      </c>
      <c r="H91">
        <f t="shared" si="15"/>
        <v>-245.80349661320002</v>
      </c>
      <c r="I91">
        <v>1</v>
      </c>
      <c r="J91">
        <f t="shared" si="17"/>
        <v>-9.1404971067826565E-2</v>
      </c>
      <c r="K91">
        <f t="shared" si="18"/>
        <v>-0.91058057297601191</v>
      </c>
      <c r="M91">
        <f t="shared" si="20"/>
        <v>0.50979168551551934</v>
      </c>
      <c r="N91">
        <f t="shared" si="23"/>
        <v>9.5828044200000004E-2</v>
      </c>
      <c r="O91">
        <f t="shared" si="21"/>
        <v>6.4341686819999994E-2</v>
      </c>
      <c r="P91">
        <f t="shared" si="22"/>
        <v>0.24061915644049256</v>
      </c>
      <c r="V91">
        <v>2.69999999999997</v>
      </c>
      <c r="W91">
        <f t="shared" si="19"/>
        <v>-0.60776999999999892</v>
      </c>
    </row>
    <row r="92" spans="1:23" x14ac:dyDescent="0.3">
      <c r="A92">
        <v>4.6151767999999995</v>
      </c>
      <c r="B92">
        <v>0.26349</v>
      </c>
      <c r="C92">
        <f t="shared" si="16"/>
        <v>1.216052935032</v>
      </c>
      <c r="D92" s="1">
        <v>2.1000000000000001E-2</v>
      </c>
      <c r="E92" s="1">
        <v>1.41E-2</v>
      </c>
      <c r="F92">
        <f t="shared" si="13"/>
        <v>923.03535999999986</v>
      </c>
      <c r="G92">
        <f t="shared" si="14"/>
        <v>-0.26349</v>
      </c>
      <c r="H92">
        <f t="shared" si="15"/>
        <v>-243.2105870064</v>
      </c>
      <c r="I92">
        <v>1</v>
      </c>
      <c r="J92">
        <f t="shared" si="17"/>
        <v>-8.0087735353934028E-2</v>
      </c>
      <c r="K92">
        <f t="shared" si="18"/>
        <v>-0.91642057297601198</v>
      </c>
      <c r="M92">
        <f t="shared" si="20"/>
        <v>0.51018892048907694</v>
      </c>
      <c r="N92">
        <f t="shared" si="23"/>
        <v>9.6918712800000001E-2</v>
      </c>
      <c r="O92">
        <f t="shared" si="21"/>
        <v>6.5073992879999987E-2</v>
      </c>
      <c r="P92">
        <f t="shared" si="22"/>
        <v>0.24423894680693509</v>
      </c>
      <c r="V92">
        <v>2.7999999999999701</v>
      </c>
      <c r="W92">
        <f t="shared" si="19"/>
        <v>-0.61127999999999894</v>
      </c>
    </row>
    <row r="93" spans="1:23" x14ac:dyDescent="0.3">
      <c r="A93">
        <v>4.6666045</v>
      </c>
      <c r="B93">
        <v>0.25795000000000001</v>
      </c>
      <c r="C93">
        <f t="shared" si="16"/>
        <v>1.2037506307750001</v>
      </c>
      <c r="D93" s="1">
        <v>2.1000000000000001E-2</v>
      </c>
      <c r="E93" s="1">
        <v>1.41E-2</v>
      </c>
      <c r="F93">
        <f t="shared" si="13"/>
        <v>933.32090000000005</v>
      </c>
      <c r="G93">
        <f t="shared" si="14"/>
        <v>-0.25795000000000001</v>
      </c>
      <c r="H93">
        <f t="shared" si="15"/>
        <v>-240.75012615500003</v>
      </c>
      <c r="I93">
        <v>1</v>
      </c>
      <c r="J93">
        <f t="shared" si="17"/>
        <v>-6.9006193004253882E-2</v>
      </c>
      <c r="K93">
        <f t="shared" si="18"/>
        <v>-0.92196057297601197</v>
      </c>
      <c r="M93">
        <f t="shared" si="20"/>
        <v>0.51057788262555071</v>
      </c>
      <c r="N93">
        <f t="shared" si="23"/>
        <v>9.7998694500000011E-2</v>
      </c>
      <c r="O93">
        <f t="shared" si="21"/>
        <v>6.5799123449999997E-2</v>
      </c>
      <c r="P93">
        <f t="shared" si="22"/>
        <v>0.24758487240046129</v>
      </c>
      <c r="V93">
        <v>2.8999999999999702</v>
      </c>
      <c r="W93">
        <f t="shared" si="19"/>
        <v>-0.61478999999999895</v>
      </c>
    </row>
    <row r="94" spans="1:23" x14ac:dyDescent="0.3">
      <c r="A94">
        <v>4.7185414999999997</v>
      </c>
      <c r="B94">
        <v>0.25218000000000002</v>
      </c>
      <c r="C94">
        <f t="shared" si="16"/>
        <v>1.1899217954700001</v>
      </c>
      <c r="D94" s="1">
        <v>2.1000000000000001E-2</v>
      </c>
      <c r="E94" s="1">
        <v>1.41E-2</v>
      </c>
      <c r="F94">
        <f t="shared" si="13"/>
        <v>943.70829999999989</v>
      </c>
      <c r="G94">
        <f t="shared" si="14"/>
        <v>-0.25218000000000002</v>
      </c>
      <c r="H94">
        <f t="shared" si="15"/>
        <v>-237.98435909400001</v>
      </c>
      <c r="I94">
        <v>1</v>
      </c>
      <c r="J94">
        <f t="shared" si="17"/>
        <v>-5.7938164825571119E-2</v>
      </c>
      <c r="K94">
        <f t="shared" si="18"/>
        <v>-0.92773057297601191</v>
      </c>
      <c r="M94">
        <f t="shared" si="20"/>
        <v>0.51096637041462245</v>
      </c>
      <c r="N94">
        <f t="shared" si="23"/>
        <v>9.9089371499999995E-2</v>
      </c>
      <c r="O94">
        <f t="shared" si="21"/>
        <v>6.6531435149999998E-2</v>
      </c>
      <c r="P94">
        <f t="shared" si="22"/>
        <v>0.25114339591138951</v>
      </c>
      <c r="V94">
        <v>2.9999999999999698</v>
      </c>
      <c r="W94">
        <f t="shared" si="19"/>
        <v>-0.61829999999999896</v>
      </c>
    </row>
    <row r="95" spans="1:23" x14ac:dyDescent="0.3">
      <c r="A95">
        <v>4.7165043999999998</v>
      </c>
      <c r="B95">
        <v>0.25152999999999998</v>
      </c>
      <c r="C95">
        <f t="shared" si="16"/>
        <v>1.1863423517319998</v>
      </c>
      <c r="D95" s="1">
        <v>2.1000000000000001E-2</v>
      </c>
      <c r="E95" s="1">
        <v>1.41E-2</v>
      </c>
      <c r="F95">
        <f t="shared" si="13"/>
        <v>943.30088000000001</v>
      </c>
      <c r="G95">
        <f t="shared" si="14"/>
        <v>-0.25152999999999998</v>
      </c>
      <c r="H95">
        <f t="shared" si="15"/>
        <v>-237.26847034639997</v>
      </c>
      <c r="I95">
        <v>1</v>
      </c>
      <c r="J95">
        <f t="shared" si="17"/>
        <v>-5.8369980431609368E-2</v>
      </c>
      <c r="K95">
        <f t="shared" si="18"/>
        <v>-0.92838057297601195</v>
      </c>
      <c r="M95">
        <f t="shared" si="20"/>
        <v>0.51095121368685048</v>
      </c>
      <c r="N95">
        <f t="shared" si="23"/>
        <v>9.9046592400000008E-2</v>
      </c>
      <c r="O95">
        <f t="shared" si="21"/>
        <v>6.6502712039999995E-2</v>
      </c>
      <c r="P95">
        <f t="shared" si="22"/>
        <v>0.25188005484916143</v>
      </c>
      <c r="V95">
        <v>3.0999999999999699</v>
      </c>
      <c r="W95">
        <f t="shared" si="19"/>
        <v>-0.62180999999999897</v>
      </c>
    </row>
    <row r="96" spans="1:23" x14ac:dyDescent="0.3">
      <c r="A96" t="e">
        <v>#REF!</v>
      </c>
      <c r="B96" t="e">
        <v>#REF!</v>
      </c>
      <c r="C96" t="e">
        <f t="shared" si="16"/>
        <v>#REF!</v>
      </c>
      <c r="D96" s="1">
        <v>2.1000000000000001E-2</v>
      </c>
      <c r="E96" s="1">
        <v>1.41E-2</v>
      </c>
      <c r="F96" t="e">
        <f t="shared" si="13"/>
        <v>#REF!</v>
      </c>
      <c r="G96" t="e">
        <f t="shared" si="14"/>
        <v>#REF!</v>
      </c>
      <c r="H96" t="e">
        <f t="shared" si="15"/>
        <v>#REF!</v>
      </c>
      <c r="I96">
        <v>1</v>
      </c>
      <c r="J96" t="e">
        <f t="shared" si="17"/>
        <v>#REF!</v>
      </c>
      <c r="K96" t="e">
        <f t="shared" si="18"/>
        <v>#REF!</v>
      </c>
      <c r="M96" t="e">
        <f t="shared" si="20"/>
        <v>#REF!</v>
      </c>
      <c r="N96" t="e">
        <f t="shared" si="23"/>
        <v>#REF!</v>
      </c>
      <c r="O96" t="e">
        <f t="shared" si="21"/>
        <v>#REF!</v>
      </c>
      <c r="P96" t="e">
        <f t="shared" si="22"/>
        <v>#REF!</v>
      </c>
      <c r="V96">
        <v>3.19999999999997</v>
      </c>
      <c r="W96">
        <f t="shared" si="19"/>
        <v>-0.62531999999999899</v>
      </c>
    </row>
    <row r="97" spans="1:23" x14ac:dyDescent="0.3">
      <c r="A97" t="e">
        <v>#REF!</v>
      </c>
      <c r="B97" t="e">
        <v>#REF!</v>
      </c>
      <c r="C97" t="e">
        <f t="shared" si="16"/>
        <v>#REF!</v>
      </c>
      <c r="D97" s="1">
        <v>2.1000000000000001E-2</v>
      </c>
      <c r="E97" s="1">
        <v>1.41E-2</v>
      </c>
      <c r="F97" t="e">
        <f t="shared" si="13"/>
        <v>#REF!</v>
      </c>
      <c r="G97" t="e">
        <f t="shared" si="14"/>
        <v>#REF!</v>
      </c>
      <c r="H97" t="e">
        <f t="shared" si="15"/>
        <v>#REF!</v>
      </c>
      <c r="I97">
        <v>1</v>
      </c>
      <c r="J97" t="e">
        <f t="shared" si="17"/>
        <v>#REF!</v>
      </c>
      <c r="K97" t="e">
        <f t="shared" si="18"/>
        <v>#REF!</v>
      </c>
      <c r="M97" t="e">
        <f t="shared" si="20"/>
        <v>#REF!</v>
      </c>
      <c r="N97" t="e">
        <f t="shared" si="23"/>
        <v>#REF!</v>
      </c>
      <c r="O97" t="e">
        <f t="shared" si="21"/>
        <v>#REF!</v>
      </c>
      <c r="P97" t="e">
        <f t="shared" si="22"/>
        <v>#REF!</v>
      </c>
      <c r="V97">
        <v>3.2999999999999701</v>
      </c>
      <c r="W97">
        <f t="shared" si="19"/>
        <v>-0.628829999999999</v>
      </c>
    </row>
    <row r="98" spans="1:23" x14ac:dyDescent="0.3">
      <c r="A98" t="e">
        <v>#REF!</v>
      </c>
      <c r="B98" t="e">
        <v>#REF!</v>
      </c>
      <c r="C98" t="e">
        <f t="shared" si="16"/>
        <v>#REF!</v>
      </c>
      <c r="D98" s="1">
        <v>2.1000000000000001E-2</v>
      </c>
      <c r="E98" s="1">
        <v>1.41E-2</v>
      </c>
      <c r="F98" t="e">
        <f t="shared" si="13"/>
        <v>#REF!</v>
      </c>
      <c r="G98" t="e">
        <f t="shared" si="14"/>
        <v>#REF!</v>
      </c>
      <c r="H98" t="e">
        <f t="shared" si="15"/>
        <v>#REF!</v>
      </c>
      <c r="I98">
        <v>1</v>
      </c>
      <c r="J98" t="e">
        <f t="shared" si="17"/>
        <v>#REF!</v>
      </c>
      <c r="K98" t="e">
        <f t="shared" si="18"/>
        <v>#REF!</v>
      </c>
      <c r="M98" t="e">
        <f t="shared" si="20"/>
        <v>#REF!</v>
      </c>
      <c r="N98" t="e">
        <f t="shared" si="23"/>
        <v>#REF!</v>
      </c>
      <c r="O98" t="e">
        <f t="shared" si="21"/>
        <v>#REF!</v>
      </c>
      <c r="P98" t="e">
        <f t="shared" si="22"/>
        <v>#REF!</v>
      </c>
      <c r="V98">
        <v>3.3999999999999702</v>
      </c>
      <c r="W98">
        <f t="shared" si="19"/>
        <v>-0.63233999999999901</v>
      </c>
    </row>
    <row r="99" spans="1:23" x14ac:dyDescent="0.3">
      <c r="A99" t="e">
        <v>#REF!</v>
      </c>
      <c r="B99" t="e">
        <v>#REF!</v>
      </c>
      <c r="C99" t="e">
        <f t="shared" si="16"/>
        <v>#REF!</v>
      </c>
      <c r="D99" s="1">
        <v>2.1000000000000001E-2</v>
      </c>
      <c r="E99" s="1">
        <v>1.41E-2</v>
      </c>
      <c r="F99" t="e">
        <f t="shared" si="13"/>
        <v>#REF!</v>
      </c>
      <c r="G99" t="e">
        <f t="shared" si="14"/>
        <v>#REF!</v>
      </c>
      <c r="H99" t="e">
        <f t="shared" si="15"/>
        <v>#REF!</v>
      </c>
      <c r="I99">
        <v>1</v>
      </c>
      <c r="J99" t="e">
        <f t="shared" si="17"/>
        <v>#REF!</v>
      </c>
      <c r="K99" t="e">
        <f t="shared" si="18"/>
        <v>#REF!</v>
      </c>
      <c r="M99" t="e">
        <f t="shared" si="20"/>
        <v>#REF!</v>
      </c>
      <c r="N99" t="e">
        <f t="shared" si="23"/>
        <v>#REF!</v>
      </c>
      <c r="O99" t="e">
        <f t="shared" si="21"/>
        <v>#REF!</v>
      </c>
      <c r="P99" t="e">
        <f t="shared" si="22"/>
        <v>#REF!</v>
      </c>
      <c r="V99">
        <v>3.4999999999999698</v>
      </c>
      <c r="W99">
        <f t="shared" si="19"/>
        <v>-0.63584999999999892</v>
      </c>
    </row>
    <row r="100" spans="1:23" x14ac:dyDescent="0.3">
      <c r="A100" t="e">
        <v>#REF!</v>
      </c>
      <c r="B100" t="e">
        <v>#REF!</v>
      </c>
      <c r="C100" t="e">
        <f t="shared" si="16"/>
        <v>#REF!</v>
      </c>
      <c r="D100" s="1">
        <v>2.1000000000000001E-2</v>
      </c>
      <c r="E100" s="1">
        <v>1.41E-2</v>
      </c>
      <c r="F100" t="e">
        <f t="shared" si="13"/>
        <v>#REF!</v>
      </c>
      <c r="G100" t="e">
        <f t="shared" si="14"/>
        <v>#REF!</v>
      </c>
      <c r="H100" t="e">
        <f t="shared" si="15"/>
        <v>#REF!</v>
      </c>
      <c r="I100">
        <v>1</v>
      </c>
      <c r="J100" t="e">
        <f t="shared" si="17"/>
        <v>#REF!</v>
      </c>
      <c r="K100" t="e">
        <f t="shared" si="18"/>
        <v>#REF!</v>
      </c>
      <c r="M100" t="e">
        <f t="shared" si="20"/>
        <v>#REF!</v>
      </c>
      <c r="N100" t="e">
        <f t="shared" si="23"/>
        <v>#REF!</v>
      </c>
      <c r="O100" t="e">
        <f t="shared" si="21"/>
        <v>#REF!</v>
      </c>
      <c r="P100" t="e">
        <f t="shared" si="22"/>
        <v>#REF!</v>
      </c>
      <c r="V100">
        <v>3.5999999999999699</v>
      </c>
      <c r="W100">
        <f t="shared" si="19"/>
        <v>-0.63935999999999893</v>
      </c>
    </row>
    <row r="101" spans="1:23" x14ac:dyDescent="0.3">
      <c r="A101" t="e">
        <v>#REF!</v>
      </c>
      <c r="B101" t="e">
        <v>#REF!</v>
      </c>
      <c r="C101" t="e">
        <f t="shared" si="16"/>
        <v>#REF!</v>
      </c>
      <c r="D101" s="1">
        <v>2.1000000000000001E-2</v>
      </c>
      <c r="E101" s="1">
        <v>1.41E-2</v>
      </c>
      <c r="F101" t="e">
        <f t="shared" si="13"/>
        <v>#REF!</v>
      </c>
      <c r="G101" t="e">
        <f t="shared" si="14"/>
        <v>#REF!</v>
      </c>
      <c r="H101" t="e">
        <f t="shared" si="15"/>
        <v>#REF!</v>
      </c>
      <c r="I101">
        <v>1</v>
      </c>
      <c r="J101" t="e">
        <f t="shared" si="17"/>
        <v>#REF!</v>
      </c>
      <c r="K101" t="e">
        <f t="shared" si="18"/>
        <v>#REF!</v>
      </c>
      <c r="M101" t="e">
        <f t="shared" si="20"/>
        <v>#REF!</v>
      </c>
      <c r="N101" t="e">
        <f t="shared" si="23"/>
        <v>#REF!</v>
      </c>
      <c r="O101" t="e">
        <f t="shared" si="21"/>
        <v>#REF!</v>
      </c>
      <c r="P101" t="e">
        <f t="shared" si="22"/>
        <v>#REF!</v>
      </c>
      <c r="V101">
        <v>3.69999999999997</v>
      </c>
      <c r="W101">
        <f t="shared" si="19"/>
        <v>-0.64286999999999894</v>
      </c>
    </row>
    <row r="102" spans="1:23" x14ac:dyDescent="0.3">
      <c r="A102" t="e">
        <v>#REF!</v>
      </c>
      <c r="B102" t="e">
        <v>#REF!</v>
      </c>
      <c r="C102" t="e">
        <f t="shared" si="16"/>
        <v>#REF!</v>
      </c>
      <c r="D102" s="1">
        <v>2.1000000000000001E-2</v>
      </c>
      <c r="E102" s="1">
        <v>1.41E-2</v>
      </c>
      <c r="F102" t="e">
        <f t="shared" si="13"/>
        <v>#REF!</v>
      </c>
      <c r="G102" t="e">
        <f t="shared" si="14"/>
        <v>#REF!</v>
      </c>
      <c r="H102" t="e">
        <f t="shared" si="15"/>
        <v>#REF!</v>
      </c>
      <c r="I102">
        <v>1</v>
      </c>
      <c r="J102" t="e">
        <f t="shared" si="17"/>
        <v>#REF!</v>
      </c>
      <c r="K102" t="e">
        <f t="shared" si="18"/>
        <v>#REF!</v>
      </c>
      <c r="M102" t="e">
        <f t="shared" si="20"/>
        <v>#REF!</v>
      </c>
      <c r="N102" t="e">
        <f t="shared" si="23"/>
        <v>#REF!</v>
      </c>
      <c r="O102" t="e">
        <f t="shared" si="21"/>
        <v>#REF!</v>
      </c>
      <c r="P102" t="e">
        <f t="shared" si="22"/>
        <v>#REF!</v>
      </c>
      <c r="V102">
        <v>3.7999999999999701</v>
      </c>
      <c r="W102">
        <f t="shared" si="19"/>
        <v>-0.64637999999999896</v>
      </c>
    </row>
    <row r="103" spans="1:23" x14ac:dyDescent="0.3">
      <c r="A103" t="e">
        <v>#REF!</v>
      </c>
      <c r="B103" t="e">
        <v>#REF!</v>
      </c>
      <c r="C103" t="e">
        <f t="shared" si="16"/>
        <v>#REF!</v>
      </c>
      <c r="D103" s="1">
        <v>2.1000000000000001E-2</v>
      </c>
      <c r="E103" s="1">
        <v>1.41E-2</v>
      </c>
      <c r="F103" t="e">
        <f t="shared" si="13"/>
        <v>#REF!</v>
      </c>
      <c r="G103" t="e">
        <f t="shared" si="14"/>
        <v>#REF!</v>
      </c>
      <c r="H103" t="e">
        <f t="shared" si="15"/>
        <v>#REF!</v>
      </c>
      <c r="I103">
        <v>1</v>
      </c>
      <c r="J103" t="e">
        <f t="shared" si="17"/>
        <v>#REF!</v>
      </c>
      <c r="K103" t="e">
        <f t="shared" si="18"/>
        <v>#REF!</v>
      </c>
      <c r="M103" t="e">
        <f t="shared" si="20"/>
        <v>#REF!</v>
      </c>
      <c r="N103" t="e">
        <f t="shared" si="23"/>
        <v>#REF!</v>
      </c>
      <c r="O103" t="e">
        <f t="shared" si="21"/>
        <v>#REF!</v>
      </c>
      <c r="P103" t="e">
        <f t="shared" si="22"/>
        <v>#REF!</v>
      </c>
      <c r="V103">
        <v>3.8999999999999599</v>
      </c>
      <c r="W103">
        <f t="shared" si="19"/>
        <v>-0.64988999999999864</v>
      </c>
    </row>
    <row r="104" spans="1:23" x14ac:dyDescent="0.3">
      <c r="A104" t="e">
        <v>#REF!</v>
      </c>
      <c r="B104" t="e">
        <v>#REF!</v>
      </c>
      <c r="C104" t="e">
        <f t="shared" si="16"/>
        <v>#REF!</v>
      </c>
      <c r="D104" s="1">
        <v>2.1000000000000001E-2</v>
      </c>
      <c r="E104" s="1">
        <v>1.41E-2</v>
      </c>
      <c r="F104" t="e">
        <f t="shared" si="13"/>
        <v>#REF!</v>
      </c>
      <c r="G104" t="e">
        <f t="shared" si="14"/>
        <v>#REF!</v>
      </c>
      <c r="H104" t="e">
        <f t="shared" si="15"/>
        <v>#REF!</v>
      </c>
      <c r="I104">
        <v>1</v>
      </c>
      <c r="J104" t="e">
        <f t="shared" si="17"/>
        <v>#REF!</v>
      </c>
      <c r="K104" t="e">
        <f t="shared" si="18"/>
        <v>#REF!</v>
      </c>
      <c r="M104" t="e">
        <f t="shared" si="20"/>
        <v>#REF!</v>
      </c>
      <c r="N104" t="e">
        <f t="shared" si="23"/>
        <v>#REF!</v>
      </c>
      <c r="O104" t="e">
        <f t="shared" si="21"/>
        <v>#REF!</v>
      </c>
      <c r="P104" t="e">
        <f t="shared" si="22"/>
        <v>#REF!</v>
      </c>
      <c r="V104">
        <v>3.99999999999996</v>
      </c>
      <c r="W104">
        <f t="shared" si="19"/>
        <v>-0.65339999999999865</v>
      </c>
    </row>
    <row r="105" spans="1:23" x14ac:dyDescent="0.3">
      <c r="A105" t="e">
        <v>#REF!</v>
      </c>
      <c r="B105" t="e">
        <v>#REF!</v>
      </c>
      <c r="C105" t="e">
        <f t="shared" si="16"/>
        <v>#REF!</v>
      </c>
      <c r="D105" s="1">
        <v>2.1000000000000001E-2</v>
      </c>
      <c r="E105" s="1">
        <v>1.41E-2</v>
      </c>
      <c r="F105" t="e">
        <f t="shared" si="13"/>
        <v>#REF!</v>
      </c>
      <c r="G105" t="e">
        <f t="shared" si="14"/>
        <v>#REF!</v>
      </c>
      <c r="H105" t="e">
        <f t="shared" si="15"/>
        <v>#REF!</v>
      </c>
      <c r="I105">
        <v>1</v>
      </c>
      <c r="J105" t="e">
        <f t="shared" si="17"/>
        <v>#REF!</v>
      </c>
      <c r="K105" t="e">
        <f t="shared" si="18"/>
        <v>#REF!</v>
      </c>
      <c r="M105" t="e">
        <f t="shared" si="20"/>
        <v>#REF!</v>
      </c>
      <c r="N105" t="e">
        <f t="shared" si="23"/>
        <v>#REF!</v>
      </c>
      <c r="O105" t="e">
        <f t="shared" si="21"/>
        <v>#REF!</v>
      </c>
      <c r="P105" t="e">
        <f t="shared" si="22"/>
        <v>#REF!</v>
      </c>
      <c r="V105">
        <v>4.0999999999999996</v>
      </c>
      <c r="W105">
        <f t="shared" si="19"/>
        <v>-0.65690999999999999</v>
      </c>
    </row>
    <row r="106" spans="1:23" x14ac:dyDescent="0.3">
      <c r="A106" t="e">
        <v>#REF!</v>
      </c>
      <c r="B106" t="e">
        <v>#REF!</v>
      </c>
      <c r="C106" t="e">
        <f t="shared" si="16"/>
        <v>#REF!</v>
      </c>
      <c r="D106" s="1">
        <v>2.1000000000000001E-2</v>
      </c>
      <c r="E106" s="1">
        <v>1.41E-2</v>
      </c>
      <c r="F106" t="e">
        <f t="shared" si="13"/>
        <v>#REF!</v>
      </c>
      <c r="G106" t="e">
        <f t="shared" si="14"/>
        <v>#REF!</v>
      </c>
      <c r="H106" t="e">
        <f t="shared" si="15"/>
        <v>#REF!</v>
      </c>
      <c r="I106">
        <v>1</v>
      </c>
      <c r="J106" t="e">
        <f t="shared" si="17"/>
        <v>#REF!</v>
      </c>
      <c r="K106" t="e">
        <f t="shared" si="18"/>
        <v>#REF!</v>
      </c>
      <c r="M106" t="e">
        <f t="shared" si="20"/>
        <v>#REF!</v>
      </c>
      <c r="N106" t="e">
        <f t="shared" si="23"/>
        <v>#REF!</v>
      </c>
      <c r="O106" t="e">
        <f t="shared" si="21"/>
        <v>#REF!</v>
      </c>
      <c r="P106" t="e">
        <f t="shared" si="22"/>
        <v>#REF!</v>
      </c>
      <c r="V106">
        <v>4.2</v>
      </c>
      <c r="W106">
        <f t="shared" si="19"/>
        <v>-0.66042000000000001</v>
      </c>
    </row>
    <row r="107" spans="1:23" x14ac:dyDescent="0.3">
      <c r="A107" t="e">
        <v>#REF!</v>
      </c>
      <c r="B107" t="e">
        <v>#REF!</v>
      </c>
      <c r="C107" t="e">
        <f t="shared" si="16"/>
        <v>#REF!</v>
      </c>
      <c r="D107" s="1">
        <v>2.1000000000000001E-2</v>
      </c>
      <c r="E107" s="1">
        <v>1.41E-2</v>
      </c>
      <c r="F107" t="e">
        <f t="shared" si="13"/>
        <v>#REF!</v>
      </c>
      <c r="G107" t="e">
        <f t="shared" si="14"/>
        <v>#REF!</v>
      </c>
      <c r="H107" t="e">
        <f t="shared" si="15"/>
        <v>#REF!</v>
      </c>
      <c r="I107">
        <v>1</v>
      </c>
      <c r="J107" t="e">
        <f t="shared" si="17"/>
        <v>#REF!</v>
      </c>
      <c r="K107" t="e">
        <f t="shared" si="18"/>
        <v>#REF!</v>
      </c>
      <c r="M107" t="e">
        <f t="shared" si="20"/>
        <v>#REF!</v>
      </c>
      <c r="N107" t="e">
        <f t="shared" si="23"/>
        <v>#REF!</v>
      </c>
      <c r="O107" t="e">
        <f t="shared" si="21"/>
        <v>#REF!</v>
      </c>
      <c r="P107" t="e">
        <f t="shared" si="22"/>
        <v>#REF!</v>
      </c>
      <c r="V107">
        <v>4.3</v>
      </c>
      <c r="W107">
        <f t="shared" si="19"/>
        <v>-0.66393000000000002</v>
      </c>
    </row>
    <row r="108" spans="1:23" x14ac:dyDescent="0.3">
      <c r="A108" t="e">
        <v>#REF!</v>
      </c>
      <c r="B108" t="e">
        <v>#REF!</v>
      </c>
      <c r="C108" t="e">
        <f t="shared" si="16"/>
        <v>#REF!</v>
      </c>
      <c r="D108" s="1">
        <v>2.1000000000000001E-2</v>
      </c>
      <c r="E108" s="1">
        <v>1.41E-2</v>
      </c>
      <c r="F108" t="e">
        <f t="shared" si="13"/>
        <v>#REF!</v>
      </c>
      <c r="G108" t="e">
        <f t="shared" si="14"/>
        <v>#REF!</v>
      </c>
      <c r="H108" t="e">
        <f t="shared" si="15"/>
        <v>#REF!</v>
      </c>
      <c r="I108">
        <v>1</v>
      </c>
      <c r="J108" t="e">
        <f t="shared" si="17"/>
        <v>#REF!</v>
      </c>
      <c r="K108" t="e">
        <f t="shared" si="18"/>
        <v>#REF!</v>
      </c>
      <c r="M108" t="e">
        <f t="shared" si="20"/>
        <v>#REF!</v>
      </c>
      <c r="N108" t="e">
        <f t="shared" si="23"/>
        <v>#REF!</v>
      </c>
      <c r="O108" t="e">
        <f t="shared" si="21"/>
        <v>#REF!</v>
      </c>
      <c r="P108" t="e">
        <f t="shared" si="22"/>
        <v>#REF!</v>
      </c>
      <c r="V108">
        <v>4.4000000000000004</v>
      </c>
      <c r="W108">
        <f t="shared" si="19"/>
        <v>-0.66744000000000003</v>
      </c>
    </row>
    <row r="109" spans="1:23" x14ac:dyDescent="0.3">
      <c r="A109" t="e">
        <v>#REF!</v>
      </c>
      <c r="B109" t="e">
        <v>#REF!</v>
      </c>
      <c r="C109" t="e">
        <f t="shared" si="16"/>
        <v>#REF!</v>
      </c>
      <c r="D109" s="1">
        <v>2.1000000000000001E-2</v>
      </c>
      <c r="E109" s="1">
        <v>1.41E-2</v>
      </c>
      <c r="F109" t="e">
        <f t="shared" si="13"/>
        <v>#REF!</v>
      </c>
      <c r="G109" t="e">
        <f t="shared" si="14"/>
        <v>#REF!</v>
      </c>
      <c r="H109" t="e">
        <f t="shared" si="15"/>
        <v>#REF!</v>
      </c>
      <c r="I109">
        <v>1</v>
      </c>
      <c r="J109" t="e">
        <f t="shared" si="17"/>
        <v>#REF!</v>
      </c>
      <c r="K109" t="e">
        <f t="shared" si="18"/>
        <v>#REF!</v>
      </c>
      <c r="M109" t="e">
        <f t="shared" si="20"/>
        <v>#REF!</v>
      </c>
      <c r="N109" t="e">
        <f t="shared" si="23"/>
        <v>#REF!</v>
      </c>
      <c r="O109" t="e">
        <f t="shared" si="21"/>
        <v>#REF!</v>
      </c>
      <c r="P109" t="e">
        <f t="shared" si="22"/>
        <v>#REF!</v>
      </c>
      <c r="V109">
        <v>4.5</v>
      </c>
      <c r="W109">
        <f t="shared" si="19"/>
        <v>-0.67095000000000005</v>
      </c>
    </row>
    <row r="110" spans="1:23" x14ac:dyDescent="0.3">
      <c r="A110" t="e">
        <v>#REF!</v>
      </c>
      <c r="B110" t="e">
        <v>#REF!</v>
      </c>
      <c r="C110" t="e">
        <f t="shared" si="16"/>
        <v>#REF!</v>
      </c>
      <c r="D110" s="1">
        <v>2.1000000000000001E-2</v>
      </c>
      <c r="E110" s="1">
        <v>1.41E-2</v>
      </c>
      <c r="F110" t="e">
        <f t="shared" si="13"/>
        <v>#REF!</v>
      </c>
      <c r="G110" t="e">
        <f t="shared" si="14"/>
        <v>#REF!</v>
      </c>
      <c r="H110" t="e">
        <f t="shared" si="15"/>
        <v>#REF!</v>
      </c>
      <c r="I110">
        <v>1</v>
      </c>
      <c r="J110" t="e">
        <f t="shared" si="17"/>
        <v>#REF!</v>
      </c>
      <c r="K110" t="e">
        <f t="shared" si="18"/>
        <v>#REF!</v>
      </c>
      <c r="M110" t="e">
        <f t="shared" si="20"/>
        <v>#REF!</v>
      </c>
      <c r="N110" t="e">
        <f t="shared" si="23"/>
        <v>#REF!</v>
      </c>
      <c r="O110" t="e">
        <f t="shared" si="21"/>
        <v>#REF!</v>
      </c>
      <c r="P110" t="e">
        <f t="shared" si="22"/>
        <v>#REF!</v>
      </c>
      <c r="V110">
        <v>4.5999999999999996</v>
      </c>
      <c r="W110">
        <f t="shared" si="19"/>
        <v>-0.67446000000000006</v>
      </c>
    </row>
    <row r="111" spans="1:23" x14ac:dyDescent="0.3">
      <c r="A111" t="e">
        <v>#REF!</v>
      </c>
      <c r="B111" t="e">
        <v>#REF!</v>
      </c>
      <c r="C111" t="e">
        <f t="shared" si="16"/>
        <v>#REF!</v>
      </c>
      <c r="D111" s="1">
        <v>2.1000000000000001E-2</v>
      </c>
      <c r="E111" s="1">
        <v>1.41E-2</v>
      </c>
      <c r="F111" t="e">
        <f t="shared" si="13"/>
        <v>#REF!</v>
      </c>
      <c r="G111" t="e">
        <f t="shared" si="14"/>
        <v>#REF!</v>
      </c>
      <c r="H111" t="e">
        <f t="shared" si="15"/>
        <v>#REF!</v>
      </c>
      <c r="I111">
        <v>1</v>
      </c>
      <c r="J111" t="e">
        <f t="shared" si="17"/>
        <v>#REF!</v>
      </c>
      <c r="K111" t="e">
        <f t="shared" si="18"/>
        <v>#REF!</v>
      </c>
      <c r="M111" t="e">
        <f t="shared" si="20"/>
        <v>#REF!</v>
      </c>
      <c r="N111" t="e">
        <f t="shared" si="23"/>
        <v>#REF!</v>
      </c>
      <c r="O111" t="e">
        <f t="shared" si="21"/>
        <v>#REF!</v>
      </c>
      <c r="P111" t="e">
        <f t="shared" si="22"/>
        <v>#REF!</v>
      </c>
      <c r="V111">
        <v>4.7</v>
      </c>
      <c r="W111">
        <f t="shared" si="19"/>
        <v>-0.67796999999999996</v>
      </c>
    </row>
    <row r="112" spans="1:23" x14ac:dyDescent="0.3">
      <c r="A112" t="e">
        <v>#REF!</v>
      </c>
      <c r="B112" t="e">
        <v>#REF!</v>
      </c>
      <c r="C112" t="e">
        <f t="shared" si="16"/>
        <v>#REF!</v>
      </c>
      <c r="D112" s="1">
        <v>2.1000000000000001E-2</v>
      </c>
      <c r="E112" s="1">
        <v>1.41E-2</v>
      </c>
      <c r="F112" t="e">
        <f t="shared" si="13"/>
        <v>#REF!</v>
      </c>
      <c r="G112" t="e">
        <f t="shared" si="14"/>
        <v>#REF!</v>
      </c>
      <c r="H112" t="e">
        <f t="shared" si="15"/>
        <v>#REF!</v>
      </c>
      <c r="I112">
        <v>1</v>
      </c>
      <c r="J112" t="e">
        <f t="shared" si="17"/>
        <v>#REF!</v>
      </c>
      <c r="K112" t="e">
        <f t="shared" si="18"/>
        <v>#REF!</v>
      </c>
      <c r="M112" t="e">
        <f t="shared" si="20"/>
        <v>#REF!</v>
      </c>
      <c r="N112" t="e">
        <f t="shared" si="23"/>
        <v>#REF!</v>
      </c>
      <c r="O112" t="e">
        <f t="shared" si="21"/>
        <v>#REF!</v>
      </c>
      <c r="P112" t="e">
        <f t="shared" si="22"/>
        <v>#REF!</v>
      </c>
      <c r="V112">
        <v>4.8</v>
      </c>
      <c r="W112">
        <f t="shared" si="19"/>
        <v>-0.68147999999999997</v>
      </c>
    </row>
    <row r="113" spans="1:23" x14ac:dyDescent="0.3">
      <c r="A113" t="e">
        <v>#REF!</v>
      </c>
      <c r="B113" t="e">
        <v>#REF!</v>
      </c>
      <c r="C113" t="e">
        <f t="shared" si="16"/>
        <v>#REF!</v>
      </c>
      <c r="D113" s="1">
        <v>2.1000000000000001E-2</v>
      </c>
      <c r="E113" s="1">
        <v>1.41E-2</v>
      </c>
      <c r="F113" t="e">
        <f t="shared" si="13"/>
        <v>#REF!</v>
      </c>
      <c r="G113" t="e">
        <f t="shared" si="14"/>
        <v>#REF!</v>
      </c>
      <c r="H113" t="e">
        <f t="shared" si="15"/>
        <v>#REF!</v>
      </c>
      <c r="I113">
        <v>1</v>
      </c>
      <c r="J113" t="e">
        <f t="shared" si="17"/>
        <v>#REF!</v>
      </c>
      <c r="K113" t="e">
        <f t="shared" si="18"/>
        <v>#REF!</v>
      </c>
      <c r="M113" t="e">
        <f t="shared" si="20"/>
        <v>#REF!</v>
      </c>
      <c r="N113" t="e">
        <f t="shared" si="23"/>
        <v>#REF!</v>
      </c>
      <c r="O113" t="e">
        <f t="shared" si="21"/>
        <v>#REF!</v>
      </c>
      <c r="P113" t="e">
        <f t="shared" si="22"/>
        <v>#REF!</v>
      </c>
      <c r="V113">
        <v>4.9000000000000004</v>
      </c>
      <c r="W113">
        <f t="shared" si="19"/>
        <v>-0.68498999999999999</v>
      </c>
    </row>
    <row r="114" spans="1:23" x14ac:dyDescent="0.3">
      <c r="A114" t="e">
        <v>#REF!</v>
      </c>
      <c r="B114" t="e">
        <v>#REF!</v>
      </c>
      <c r="C114" t="e">
        <f t="shared" si="16"/>
        <v>#REF!</v>
      </c>
      <c r="D114" s="1">
        <v>2.1000000000000001E-2</v>
      </c>
      <c r="E114" s="1">
        <v>1.41E-2</v>
      </c>
      <c r="F114" t="e">
        <f t="shared" si="13"/>
        <v>#REF!</v>
      </c>
      <c r="G114" t="e">
        <f t="shared" si="14"/>
        <v>#REF!</v>
      </c>
      <c r="H114" t="e">
        <f t="shared" si="15"/>
        <v>#REF!</v>
      </c>
      <c r="I114">
        <v>1</v>
      </c>
      <c r="J114" t="e">
        <f t="shared" si="17"/>
        <v>#REF!</v>
      </c>
      <c r="K114" t="e">
        <f t="shared" si="18"/>
        <v>#REF!</v>
      </c>
      <c r="M114" t="e">
        <f t="shared" si="20"/>
        <v>#REF!</v>
      </c>
      <c r="N114" t="e">
        <f t="shared" si="23"/>
        <v>#REF!</v>
      </c>
      <c r="O114" t="e">
        <f t="shared" si="21"/>
        <v>#REF!</v>
      </c>
      <c r="P114" t="e">
        <f t="shared" si="22"/>
        <v>#REF!</v>
      </c>
      <c r="V114">
        <v>5</v>
      </c>
      <c r="W114">
        <f t="shared" si="19"/>
        <v>-0.6885</v>
      </c>
    </row>
    <row r="115" spans="1:23" x14ac:dyDescent="0.3">
      <c r="A115" t="e">
        <v>#REF!</v>
      </c>
      <c r="B115" t="e">
        <v>#REF!</v>
      </c>
      <c r="C115" t="e">
        <f t="shared" si="16"/>
        <v>#REF!</v>
      </c>
      <c r="D115" s="1">
        <v>2.1000000000000001E-2</v>
      </c>
      <c r="E115" s="1">
        <v>1.41E-2</v>
      </c>
      <c r="F115" t="e">
        <f t="shared" si="13"/>
        <v>#REF!</v>
      </c>
      <c r="G115" t="e">
        <f t="shared" si="14"/>
        <v>#REF!</v>
      </c>
      <c r="H115" t="e">
        <f t="shared" si="15"/>
        <v>#REF!</v>
      </c>
      <c r="I115">
        <v>1</v>
      </c>
      <c r="J115" t="e">
        <f t="shared" si="17"/>
        <v>#REF!</v>
      </c>
      <c r="K115" t="e">
        <f t="shared" si="18"/>
        <v>#REF!</v>
      </c>
      <c r="M115" t="e">
        <f t="shared" si="20"/>
        <v>#REF!</v>
      </c>
      <c r="N115" t="e">
        <f t="shared" si="23"/>
        <v>#REF!</v>
      </c>
      <c r="O115" t="e">
        <f t="shared" si="21"/>
        <v>#REF!</v>
      </c>
      <c r="P115" t="e">
        <f t="shared" si="22"/>
        <v>#REF!</v>
      </c>
      <c r="V115">
        <v>5.0999999999999996</v>
      </c>
      <c r="W115">
        <f t="shared" si="19"/>
        <v>-0.69201000000000001</v>
      </c>
    </row>
    <row r="116" spans="1:23" x14ac:dyDescent="0.3">
      <c r="A116" t="e">
        <v>#REF!</v>
      </c>
      <c r="B116" t="e">
        <v>#REF!</v>
      </c>
      <c r="C116" t="e">
        <f t="shared" si="16"/>
        <v>#REF!</v>
      </c>
      <c r="D116" s="1">
        <v>2.1000000000000001E-2</v>
      </c>
      <c r="E116" s="1">
        <v>1.41E-2</v>
      </c>
      <c r="F116" t="e">
        <f t="shared" si="13"/>
        <v>#REF!</v>
      </c>
      <c r="G116" t="e">
        <f t="shared" si="14"/>
        <v>#REF!</v>
      </c>
      <c r="H116" t="e">
        <f t="shared" si="15"/>
        <v>#REF!</v>
      </c>
      <c r="I116">
        <v>1</v>
      </c>
      <c r="J116" t="e">
        <f t="shared" si="17"/>
        <v>#REF!</v>
      </c>
      <c r="K116" t="e">
        <f t="shared" si="18"/>
        <v>#REF!</v>
      </c>
      <c r="M116" t="e">
        <f t="shared" si="20"/>
        <v>#REF!</v>
      </c>
      <c r="N116" t="e">
        <f t="shared" si="23"/>
        <v>#REF!</v>
      </c>
      <c r="O116" t="e">
        <f t="shared" si="21"/>
        <v>#REF!</v>
      </c>
      <c r="P116" t="e">
        <f t="shared" si="22"/>
        <v>#REF!</v>
      </c>
      <c r="V116">
        <v>5.2</v>
      </c>
      <c r="W116">
        <f t="shared" si="19"/>
        <v>-0.69552000000000003</v>
      </c>
    </row>
    <row r="117" spans="1:23" x14ac:dyDescent="0.3">
      <c r="A117" t="e">
        <v>#REF!</v>
      </c>
      <c r="B117" t="e">
        <v>#REF!</v>
      </c>
      <c r="C117" t="e">
        <f t="shared" si="16"/>
        <v>#REF!</v>
      </c>
      <c r="D117" s="1">
        <v>2.1000000000000001E-2</v>
      </c>
      <c r="E117" s="1">
        <v>1.41E-2</v>
      </c>
      <c r="F117" t="e">
        <f t="shared" si="13"/>
        <v>#REF!</v>
      </c>
      <c r="G117" t="e">
        <f t="shared" si="14"/>
        <v>#REF!</v>
      </c>
      <c r="H117" t="e">
        <f t="shared" si="15"/>
        <v>#REF!</v>
      </c>
      <c r="I117">
        <v>1</v>
      </c>
      <c r="J117" t="e">
        <f t="shared" si="17"/>
        <v>#REF!</v>
      </c>
      <c r="K117" t="e">
        <f t="shared" si="18"/>
        <v>#REF!</v>
      </c>
      <c r="M117" t="e">
        <f t="shared" si="20"/>
        <v>#REF!</v>
      </c>
      <c r="N117" t="e">
        <f t="shared" si="23"/>
        <v>#REF!</v>
      </c>
      <c r="O117" t="e">
        <f t="shared" si="21"/>
        <v>#REF!</v>
      </c>
      <c r="P117" t="e">
        <f t="shared" si="22"/>
        <v>#REF!</v>
      </c>
      <c r="V117">
        <v>5.3</v>
      </c>
      <c r="W117">
        <f t="shared" si="19"/>
        <v>-0.69903000000000004</v>
      </c>
    </row>
    <row r="118" spans="1:23" x14ac:dyDescent="0.3">
      <c r="A118" t="e">
        <v>#REF!</v>
      </c>
      <c r="B118" t="e">
        <v>#REF!</v>
      </c>
      <c r="C118" t="e">
        <f t="shared" si="16"/>
        <v>#REF!</v>
      </c>
      <c r="D118" s="1">
        <v>2.1000000000000001E-2</v>
      </c>
      <c r="E118" s="1">
        <v>1.41E-2</v>
      </c>
      <c r="F118" t="e">
        <f t="shared" si="13"/>
        <v>#REF!</v>
      </c>
      <c r="G118" t="e">
        <f t="shared" si="14"/>
        <v>#REF!</v>
      </c>
      <c r="H118" t="e">
        <f t="shared" si="15"/>
        <v>#REF!</v>
      </c>
      <c r="I118">
        <v>1</v>
      </c>
      <c r="J118" t="e">
        <f t="shared" si="17"/>
        <v>#REF!</v>
      </c>
      <c r="K118" t="e">
        <f t="shared" si="18"/>
        <v>#REF!</v>
      </c>
      <c r="M118" t="e">
        <f t="shared" si="20"/>
        <v>#REF!</v>
      </c>
      <c r="N118" t="e">
        <f t="shared" si="23"/>
        <v>#REF!</v>
      </c>
      <c r="O118" t="e">
        <f t="shared" si="21"/>
        <v>#REF!</v>
      </c>
      <c r="P118" t="e">
        <f t="shared" si="22"/>
        <v>#REF!</v>
      </c>
      <c r="V118">
        <v>5.4</v>
      </c>
      <c r="W118">
        <f t="shared" si="19"/>
        <v>-0.70254000000000005</v>
      </c>
    </row>
    <row r="119" spans="1:23" x14ac:dyDescent="0.3">
      <c r="A119" t="e">
        <v>#REF!</v>
      </c>
      <c r="B119" t="e">
        <v>#REF!</v>
      </c>
      <c r="C119" t="e">
        <f t="shared" si="16"/>
        <v>#REF!</v>
      </c>
      <c r="D119" s="1">
        <v>2.1000000000000001E-2</v>
      </c>
      <c r="E119" s="1">
        <v>1.41E-2</v>
      </c>
      <c r="F119" t="e">
        <f t="shared" si="13"/>
        <v>#REF!</v>
      </c>
      <c r="G119" t="e">
        <f t="shared" si="14"/>
        <v>#REF!</v>
      </c>
      <c r="H119" t="e">
        <f t="shared" si="15"/>
        <v>#REF!</v>
      </c>
      <c r="I119">
        <v>1</v>
      </c>
      <c r="J119" t="e">
        <f t="shared" si="17"/>
        <v>#REF!</v>
      </c>
      <c r="K119" t="e">
        <f t="shared" si="18"/>
        <v>#REF!</v>
      </c>
      <c r="M119" t="e">
        <f t="shared" si="20"/>
        <v>#REF!</v>
      </c>
      <c r="N119" t="e">
        <f t="shared" si="23"/>
        <v>#REF!</v>
      </c>
      <c r="O119" t="e">
        <f t="shared" si="21"/>
        <v>#REF!</v>
      </c>
      <c r="P119" t="e">
        <f t="shared" si="22"/>
        <v>#REF!</v>
      </c>
      <c r="V119">
        <v>5.5</v>
      </c>
      <c r="W119">
        <f t="shared" si="19"/>
        <v>-0.70605000000000007</v>
      </c>
    </row>
    <row r="120" spans="1:23" x14ac:dyDescent="0.3">
      <c r="A120" t="e">
        <v>#REF!</v>
      </c>
      <c r="B120" t="e">
        <v>#REF!</v>
      </c>
      <c r="C120" t="e">
        <f t="shared" si="16"/>
        <v>#REF!</v>
      </c>
      <c r="D120" s="1">
        <v>2.1000000000000001E-2</v>
      </c>
      <c r="E120" s="1">
        <v>1.41E-2</v>
      </c>
      <c r="F120" t="e">
        <f t="shared" si="13"/>
        <v>#REF!</v>
      </c>
      <c r="G120" t="e">
        <f t="shared" si="14"/>
        <v>#REF!</v>
      </c>
      <c r="H120" t="e">
        <f t="shared" si="15"/>
        <v>#REF!</v>
      </c>
      <c r="I120">
        <v>1</v>
      </c>
      <c r="J120" t="e">
        <f t="shared" si="17"/>
        <v>#REF!</v>
      </c>
      <c r="K120" t="e">
        <f t="shared" si="18"/>
        <v>#REF!</v>
      </c>
      <c r="M120" t="e">
        <f t="shared" si="20"/>
        <v>#REF!</v>
      </c>
      <c r="N120" t="e">
        <f t="shared" si="23"/>
        <v>#REF!</v>
      </c>
      <c r="O120" t="e">
        <f t="shared" si="21"/>
        <v>#REF!</v>
      </c>
      <c r="P120" t="e">
        <f t="shared" si="22"/>
        <v>#REF!</v>
      </c>
      <c r="V120">
        <v>5.6</v>
      </c>
      <c r="W120">
        <f t="shared" si="19"/>
        <v>-0.70955999999999997</v>
      </c>
    </row>
    <row r="121" spans="1:23" x14ac:dyDescent="0.3">
      <c r="A121" t="e">
        <v>#REF!</v>
      </c>
      <c r="B121" t="e">
        <v>#REF!</v>
      </c>
      <c r="C121" t="e">
        <f t="shared" si="16"/>
        <v>#REF!</v>
      </c>
      <c r="D121" s="1">
        <v>2.1000000000000001E-2</v>
      </c>
      <c r="E121" s="1">
        <v>1.41E-2</v>
      </c>
      <c r="F121" t="e">
        <f t="shared" si="13"/>
        <v>#REF!</v>
      </c>
      <c r="G121" t="e">
        <f t="shared" si="14"/>
        <v>#REF!</v>
      </c>
      <c r="H121" t="e">
        <f t="shared" si="15"/>
        <v>#REF!</v>
      </c>
      <c r="I121">
        <v>1</v>
      </c>
      <c r="J121" t="e">
        <f t="shared" si="17"/>
        <v>#REF!</v>
      </c>
      <c r="K121" t="e">
        <f t="shared" si="18"/>
        <v>#REF!</v>
      </c>
      <c r="M121" t="e">
        <f t="shared" si="20"/>
        <v>#REF!</v>
      </c>
      <c r="N121" t="e">
        <f t="shared" si="23"/>
        <v>#REF!</v>
      </c>
      <c r="O121" t="e">
        <f t="shared" si="21"/>
        <v>#REF!</v>
      </c>
      <c r="P121" t="e">
        <f t="shared" si="22"/>
        <v>#REF!</v>
      </c>
      <c r="V121">
        <v>5.7</v>
      </c>
      <c r="W121">
        <f t="shared" si="19"/>
        <v>-0.71306999999999998</v>
      </c>
    </row>
    <row r="122" spans="1:23" x14ac:dyDescent="0.3">
      <c r="A122" t="e">
        <v>#REF!</v>
      </c>
      <c r="B122" t="e">
        <v>#REF!</v>
      </c>
      <c r="C122" t="e">
        <f t="shared" si="16"/>
        <v>#REF!</v>
      </c>
      <c r="D122" s="1">
        <v>2.1000000000000001E-2</v>
      </c>
      <c r="E122" s="1">
        <v>1.41E-2</v>
      </c>
      <c r="F122" t="e">
        <f t="shared" si="13"/>
        <v>#REF!</v>
      </c>
      <c r="G122" t="e">
        <f t="shared" si="14"/>
        <v>#REF!</v>
      </c>
      <c r="H122" t="e">
        <f t="shared" si="15"/>
        <v>#REF!</v>
      </c>
      <c r="I122">
        <v>1</v>
      </c>
      <c r="J122" t="e">
        <f t="shared" si="17"/>
        <v>#REF!</v>
      </c>
      <c r="K122" t="e">
        <f t="shared" si="18"/>
        <v>#REF!</v>
      </c>
      <c r="M122" t="e">
        <f t="shared" si="20"/>
        <v>#REF!</v>
      </c>
      <c r="N122" t="e">
        <f t="shared" si="23"/>
        <v>#REF!</v>
      </c>
      <c r="O122" t="e">
        <f t="shared" si="21"/>
        <v>#REF!</v>
      </c>
      <c r="P122" t="e">
        <f t="shared" si="22"/>
        <v>#REF!</v>
      </c>
      <c r="V122">
        <v>5.8</v>
      </c>
      <c r="W122">
        <f t="shared" si="19"/>
        <v>-0.71657999999999999</v>
      </c>
    </row>
    <row r="123" spans="1:23" x14ac:dyDescent="0.3">
      <c r="A123" t="e">
        <v>#REF!</v>
      </c>
      <c r="B123" t="e">
        <v>#REF!</v>
      </c>
      <c r="C123" t="e">
        <f t="shared" si="16"/>
        <v>#REF!</v>
      </c>
      <c r="D123" s="1">
        <v>2.1000000000000001E-2</v>
      </c>
      <c r="E123" s="1">
        <v>1.41E-2</v>
      </c>
      <c r="F123" t="e">
        <f t="shared" si="13"/>
        <v>#REF!</v>
      </c>
      <c r="G123" t="e">
        <f t="shared" si="14"/>
        <v>#REF!</v>
      </c>
      <c r="H123" t="e">
        <f t="shared" si="15"/>
        <v>#REF!</v>
      </c>
      <c r="I123">
        <v>1</v>
      </c>
      <c r="J123" t="e">
        <f t="shared" si="17"/>
        <v>#REF!</v>
      </c>
      <c r="K123" t="e">
        <f t="shared" si="18"/>
        <v>#REF!</v>
      </c>
      <c r="M123" t="e">
        <f t="shared" si="20"/>
        <v>#REF!</v>
      </c>
      <c r="N123" t="e">
        <f t="shared" si="23"/>
        <v>#REF!</v>
      </c>
      <c r="O123" t="e">
        <f t="shared" si="21"/>
        <v>#REF!</v>
      </c>
      <c r="P123" t="e">
        <f t="shared" si="22"/>
        <v>#REF!</v>
      </c>
      <c r="V123">
        <v>5.9</v>
      </c>
      <c r="W123">
        <f t="shared" si="19"/>
        <v>-0.72009000000000001</v>
      </c>
    </row>
    <row r="124" spans="1:23" x14ac:dyDescent="0.3">
      <c r="A124" t="e">
        <v>#REF!</v>
      </c>
      <c r="B124" t="e">
        <v>#REF!</v>
      </c>
      <c r="C124" t="e">
        <f t="shared" si="16"/>
        <v>#REF!</v>
      </c>
      <c r="D124" s="1">
        <v>2.1000000000000001E-2</v>
      </c>
      <c r="E124" s="1">
        <v>1.41E-2</v>
      </c>
      <c r="F124" t="e">
        <f t="shared" si="13"/>
        <v>#REF!</v>
      </c>
      <c r="G124" t="e">
        <f t="shared" si="14"/>
        <v>#REF!</v>
      </c>
      <c r="H124" t="e">
        <f t="shared" si="15"/>
        <v>#REF!</v>
      </c>
      <c r="I124">
        <v>1</v>
      </c>
      <c r="J124" t="e">
        <f t="shared" si="17"/>
        <v>#REF!</v>
      </c>
      <c r="K124" t="e">
        <f t="shared" si="18"/>
        <v>#REF!</v>
      </c>
      <c r="M124" t="e">
        <f t="shared" si="20"/>
        <v>#REF!</v>
      </c>
      <c r="N124" t="e">
        <f t="shared" si="23"/>
        <v>#REF!</v>
      </c>
      <c r="O124" t="e">
        <f t="shared" si="21"/>
        <v>#REF!</v>
      </c>
      <c r="P124" t="e">
        <f t="shared" si="22"/>
        <v>#REF!</v>
      </c>
      <c r="V124">
        <v>6</v>
      </c>
      <c r="W124">
        <f t="shared" si="19"/>
        <v>-0.72360000000000002</v>
      </c>
    </row>
    <row r="125" spans="1:23" x14ac:dyDescent="0.3">
      <c r="A125" t="e">
        <v>#REF!</v>
      </c>
      <c r="B125" t="e">
        <v>#REF!</v>
      </c>
      <c r="C125" t="e">
        <f t="shared" si="16"/>
        <v>#REF!</v>
      </c>
      <c r="D125" s="1">
        <v>2.1000000000000001E-2</v>
      </c>
      <c r="E125" s="1">
        <v>1.41E-2</v>
      </c>
      <c r="F125" t="e">
        <f t="shared" si="13"/>
        <v>#REF!</v>
      </c>
      <c r="G125" t="e">
        <f t="shared" si="14"/>
        <v>#REF!</v>
      </c>
      <c r="H125" t="e">
        <f t="shared" si="15"/>
        <v>#REF!</v>
      </c>
      <c r="I125">
        <v>1</v>
      </c>
      <c r="J125" t="e">
        <f t="shared" si="17"/>
        <v>#REF!</v>
      </c>
      <c r="K125" t="e">
        <f t="shared" si="18"/>
        <v>#REF!</v>
      </c>
      <c r="M125" t="e">
        <f t="shared" si="20"/>
        <v>#REF!</v>
      </c>
      <c r="N125" t="e">
        <f t="shared" si="23"/>
        <v>#REF!</v>
      </c>
      <c r="O125" t="e">
        <f t="shared" si="21"/>
        <v>#REF!</v>
      </c>
      <c r="P125" t="e">
        <f t="shared" si="22"/>
        <v>#REF!</v>
      </c>
      <c r="V125">
        <v>6.1</v>
      </c>
      <c r="W125">
        <f t="shared" si="19"/>
        <v>-0.72711000000000003</v>
      </c>
    </row>
    <row r="126" spans="1:23" x14ac:dyDescent="0.3">
      <c r="A126" t="e">
        <v>#REF!</v>
      </c>
      <c r="B126" t="e">
        <v>#REF!</v>
      </c>
      <c r="C126" t="e">
        <f t="shared" si="16"/>
        <v>#REF!</v>
      </c>
      <c r="D126" s="1">
        <v>2.1000000000000001E-2</v>
      </c>
      <c r="E126" s="1">
        <v>1.41E-2</v>
      </c>
      <c r="F126" t="e">
        <f t="shared" si="13"/>
        <v>#REF!</v>
      </c>
      <c r="G126" t="e">
        <f t="shared" si="14"/>
        <v>#REF!</v>
      </c>
      <c r="H126" t="e">
        <f t="shared" si="15"/>
        <v>#REF!</v>
      </c>
      <c r="I126">
        <v>1</v>
      </c>
      <c r="J126" t="e">
        <f t="shared" si="17"/>
        <v>#REF!</v>
      </c>
      <c r="K126" t="e">
        <f t="shared" si="18"/>
        <v>#REF!</v>
      </c>
      <c r="M126" t="e">
        <f t="shared" si="20"/>
        <v>#REF!</v>
      </c>
      <c r="N126" t="e">
        <f t="shared" si="23"/>
        <v>#REF!</v>
      </c>
      <c r="O126" t="e">
        <f t="shared" si="21"/>
        <v>#REF!</v>
      </c>
      <c r="P126" t="e">
        <f t="shared" si="22"/>
        <v>#REF!</v>
      </c>
      <c r="V126">
        <v>6.2</v>
      </c>
      <c r="W126">
        <f t="shared" si="19"/>
        <v>-0.73062000000000005</v>
      </c>
    </row>
    <row r="127" spans="1:23" x14ac:dyDescent="0.3">
      <c r="A127" t="e">
        <v>#REF!</v>
      </c>
      <c r="B127" t="e">
        <v>#REF!</v>
      </c>
      <c r="C127" t="e">
        <f t="shared" si="16"/>
        <v>#REF!</v>
      </c>
      <c r="D127" s="1">
        <v>2.1000000000000001E-2</v>
      </c>
      <c r="E127" s="1">
        <v>1.41E-2</v>
      </c>
      <c r="F127" t="e">
        <f t="shared" si="13"/>
        <v>#REF!</v>
      </c>
      <c r="G127" t="e">
        <f t="shared" si="14"/>
        <v>#REF!</v>
      </c>
      <c r="H127" t="e">
        <f t="shared" si="15"/>
        <v>#REF!</v>
      </c>
      <c r="I127">
        <v>1</v>
      </c>
      <c r="J127" t="e">
        <f t="shared" si="17"/>
        <v>#REF!</v>
      </c>
      <c r="K127" t="e">
        <f t="shared" si="18"/>
        <v>#REF!</v>
      </c>
      <c r="M127" t="e">
        <f t="shared" si="20"/>
        <v>#REF!</v>
      </c>
      <c r="N127" t="e">
        <f t="shared" si="23"/>
        <v>#REF!</v>
      </c>
      <c r="O127" t="e">
        <f t="shared" si="21"/>
        <v>#REF!</v>
      </c>
      <c r="P127" t="e">
        <f t="shared" si="22"/>
        <v>#REF!</v>
      </c>
    </row>
    <row r="128" spans="1:23" x14ac:dyDescent="0.3">
      <c r="A128" t="e">
        <v>#REF!</v>
      </c>
      <c r="B128" t="e">
        <v>#REF!</v>
      </c>
      <c r="C128" t="e">
        <f t="shared" si="16"/>
        <v>#REF!</v>
      </c>
      <c r="D128" s="1">
        <v>2.1000000000000001E-2</v>
      </c>
      <c r="E128" s="1">
        <v>1.41E-2</v>
      </c>
      <c r="F128" t="e">
        <f t="shared" si="13"/>
        <v>#REF!</v>
      </c>
      <c r="G128" t="e">
        <f t="shared" si="14"/>
        <v>#REF!</v>
      </c>
      <c r="H128" t="e">
        <f t="shared" si="15"/>
        <v>#REF!</v>
      </c>
      <c r="I128">
        <v>1</v>
      </c>
      <c r="J128" t="e">
        <f t="shared" si="17"/>
        <v>#REF!</v>
      </c>
      <c r="K128" t="e">
        <f t="shared" si="18"/>
        <v>#REF!</v>
      </c>
      <c r="M128" t="e">
        <f t="shared" si="20"/>
        <v>#REF!</v>
      </c>
      <c r="N128" t="e">
        <f t="shared" si="23"/>
        <v>#REF!</v>
      </c>
      <c r="O128" t="e">
        <f t="shared" si="21"/>
        <v>#REF!</v>
      </c>
      <c r="P128" t="e">
        <f t="shared" si="22"/>
        <v>#REF!</v>
      </c>
    </row>
    <row r="129" spans="1:16" x14ac:dyDescent="0.3">
      <c r="A129" t="e">
        <v>#REF!</v>
      </c>
      <c r="B129" t="e">
        <v>#REF!</v>
      </c>
      <c r="C129" t="e">
        <f t="shared" si="16"/>
        <v>#REF!</v>
      </c>
      <c r="D129" s="1">
        <v>2.1000000000000001E-2</v>
      </c>
      <c r="E129" s="1">
        <v>1.41E-2</v>
      </c>
      <c r="F129" t="e">
        <f t="shared" si="13"/>
        <v>#REF!</v>
      </c>
      <c r="G129" t="e">
        <f t="shared" si="14"/>
        <v>#REF!</v>
      </c>
      <c r="H129" t="e">
        <f t="shared" si="15"/>
        <v>#REF!</v>
      </c>
      <c r="I129">
        <v>1</v>
      </c>
      <c r="J129" t="e">
        <f t="shared" si="17"/>
        <v>#REF!</v>
      </c>
      <c r="K129" t="e">
        <f t="shared" si="18"/>
        <v>#REF!</v>
      </c>
      <c r="M129" t="e">
        <f t="shared" si="20"/>
        <v>#REF!</v>
      </c>
      <c r="N129" t="e">
        <f t="shared" si="23"/>
        <v>#REF!</v>
      </c>
      <c r="O129" t="e">
        <f t="shared" si="21"/>
        <v>#REF!</v>
      </c>
      <c r="P129" t="e">
        <f t="shared" si="22"/>
        <v>#REF!</v>
      </c>
    </row>
    <row r="130" spans="1:16" x14ac:dyDescent="0.3">
      <c r="A130" t="e">
        <v>#REF!</v>
      </c>
      <c r="B130" t="e">
        <v>#REF!</v>
      </c>
      <c r="C130" t="e">
        <f t="shared" si="16"/>
        <v>#REF!</v>
      </c>
      <c r="D130" s="1">
        <v>2.1000000000000001E-2</v>
      </c>
      <c r="E130" s="1">
        <v>1.41E-2</v>
      </c>
      <c r="F130" t="e">
        <f t="shared" si="13"/>
        <v>#REF!</v>
      </c>
      <c r="G130" t="e">
        <f t="shared" si="14"/>
        <v>#REF!</v>
      </c>
      <c r="H130" t="e">
        <f t="shared" si="15"/>
        <v>#REF!</v>
      </c>
      <c r="I130">
        <v>1</v>
      </c>
      <c r="J130" t="e">
        <f t="shared" si="17"/>
        <v>#REF!</v>
      </c>
      <c r="K130" t="e">
        <f t="shared" si="18"/>
        <v>#REF!</v>
      </c>
      <c r="M130" t="e">
        <f t="shared" si="20"/>
        <v>#REF!</v>
      </c>
      <c r="N130" t="e">
        <f t="shared" si="23"/>
        <v>#REF!</v>
      </c>
      <c r="O130" t="e">
        <f t="shared" si="21"/>
        <v>#REF!</v>
      </c>
      <c r="P130" t="e">
        <f t="shared" si="22"/>
        <v>#REF!</v>
      </c>
    </row>
    <row r="131" spans="1:16" x14ac:dyDescent="0.3">
      <c r="A131" t="e">
        <v>#REF!</v>
      </c>
      <c r="B131" t="e">
        <v>#REF!</v>
      </c>
      <c r="C131" t="e">
        <f t="shared" si="16"/>
        <v>#REF!</v>
      </c>
      <c r="D131" s="1">
        <v>2.1000000000000001E-2</v>
      </c>
      <c r="E131" s="1">
        <v>1.41E-2</v>
      </c>
      <c r="F131" t="e">
        <f t="shared" si="13"/>
        <v>#REF!</v>
      </c>
      <c r="G131" t="e">
        <f t="shared" si="14"/>
        <v>#REF!</v>
      </c>
      <c r="H131" t="e">
        <f t="shared" si="15"/>
        <v>#REF!</v>
      </c>
      <c r="I131">
        <v>1</v>
      </c>
      <c r="J131" t="e">
        <f t="shared" si="17"/>
        <v>#REF!</v>
      </c>
      <c r="K131" t="e">
        <f t="shared" si="18"/>
        <v>#REF!</v>
      </c>
      <c r="M131" t="e">
        <f t="shared" si="20"/>
        <v>#REF!</v>
      </c>
      <c r="N131" t="e">
        <f t="shared" si="23"/>
        <v>#REF!</v>
      </c>
      <c r="O131" t="e">
        <f t="shared" si="21"/>
        <v>#REF!</v>
      </c>
      <c r="P131" t="e">
        <f t="shared" si="22"/>
        <v>#REF!</v>
      </c>
    </row>
    <row r="132" spans="1:16" x14ac:dyDescent="0.3">
      <c r="A132" t="e">
        <v>#REF!</v>
      </c>
      <c r="B132" t="e">
        <v>#REF!</v>
      </c>
      <c r="C132" t="e">
        <f t="shared" si="16"/>
        <v>#REF!</v>
      </c>
      <c r="D132" s="1">
        <v>2.1000000000000001E-2</v>
      </c>
      <c r="E132" s="1">
        <v>1.41E-2</v>
      </c>
      <c r="F132" t="e">
        <f t="shared" ref="F132:F144" si="24">A132*200</f>
        <v>#REF!</v>
      </c>
      <c r="G132" t="e">
        <f t="shared" ref="G132:G144" si="25">-B132</f>
        <v>#REF!</v>
      </c>
      <c r="H132" t="e">
        <f t="shared" ref="H132:H144" si="26">-C132*200</f>
        <v>#REF!</v>
      </c>
      <c r="I132">
        <v>1</v>
      </c>
      <c r="J132" t="e">
        <f t="shared" si="17"/>
        <v>#REF!</v>
      </c>
      <c r="K132" t="e">
        <f t="shared" si="18"/>
        <v>#REF!</v>
      </c>
      <c r="M132" t="e">
        <f t="shared" si="20"/>
        <v>#REF!</v>
      </c>
      <c r="N132" t="e">
        <f t="shared" si="23"/>
        <v>#REF!</v>
      </c>
      <c r="O132" t="e">
        <f t="shared" si="21"/>
        <v>#REF!</v>
      </c>
      <c r="P132" t="e">
        <f t="shared" si="22"/>
        <v>#REF!</v>
      </c>
    </row>
    <row r="133" spans="1:16" x14ac:dyDescent="0.3">
      <c r="A133" t="e">
        <v>#REF!</v>
      </c>
      <c r="B133" t="e">
        <v>#REF!</v>
      </c>
      <c r="C133" t="e">
        <f t="shared" ref="C133:C144" si="27">A133*B133</f>
        <v>#REF!</v>
      </c>
      <c r="D133" s="1">
        <v>2.1000000000000001E-2</v>
      </c>
      <c r="E133" s="1">
        <v>1.41E-2</v>
      </c>
      <c r="F133" t="e">
        <f t="shared" si="24"/>
        <v>#REF!</v>
      </c>
      <c r="G133" t="e">
        <f t="shared" si="25"/>
        <v>#REF!</v>
      </c>
      <c r="H133" t="e">
        <f t="shared" si="26"/>
        <v>#REF!</v>
      </c>
      <c r="I133">
        <v>1</v>
      </c>
      <c r="J133" t="e">
        <f t="shared" ref="J133:J144" si="28">LN(F133/1000)</f>
        <v>#REF!</v>
      </c>
      <c r="K133" t="e">
        <f t="shared" ref="K133:K144" si="29">((-G133)-$N$2)</f>
        <v>#REF!</v>
      </c>
      <c r="M133" t="e">
        <f t="shared" si="20"/>
        <v>#REF!</v>
      </c>
      <c r="N133" t="e">
        <f t="shared" si="23"/>
        <v>#REF!</v>
      </c>
      <c r="O133" t="e">
        <f t="shared" si="21"/>
        <v>#REF!</v>
      </c>
      <c r="P133" t="e">
        <f t="shared" si="22"/>
        <v>#REF!</v>
      </c>
    </row>
    <row r="134" spans="1:16" x14ac:dyDescent="0.3">
      <c r="A134" t="e">
        <v>#REF!</v>
      </c>
      <c r="B134" t="e">
        <v>#REF!</v>
      </c>
      <c r="C134" t="e">
        <f t="shared" si="27"/>
        <v>#REF!</v>
      </c>
      <c r="D134" s="1">
        <v>2.1000000000000001E-2</v>
      </c>
      <c r="E134" s="1">
        <v>1.41E-2</v>
      </c>
      <c r="F134" t="e">
        <f t="shared" si="24"/>
        <v>#REF!</v>
      </c>
      <c r="G134" t="e">
        <f t="shared" si="25"/>
        <v>#REF!</v>
      </c>
      <c r="H134" t="e">
        <f t="shared" si="26"/>
        <v>#REF!</v>
      </c>
      <c r="I134">
        <v>1</v>
      </c>
      <c r="J134" t="e">
        <f t="shared" si="28"/>
        <v>#REF!</v>
      </c>
      <c r="K134" t="e">
        <f t="shared" si="29"/>
        <v>#REF!</v>
      </c>
      <c r="M134" t="e">
        <f t="shared" ref="M134:M144" si="30">-1*($S$4+($S$5*J134))</f>
        <v>#REF!</v>
      </c>
      <c r="N134" t="e">
        <f t="shared" si="23"/>
        <v>#REF!</v>
      </c>
      <c r="O134" t="e">
        <f t="shared" ref="O134:O144" si="31">E134*A134</f>
        <v>#REF!</v>
      </c>
      <c r="P134" t="e">
        <f t="shared" ref="P134:P144" si="32">-K134-M134-N134-O134</f>
        <v>#REF!</v>
      </c>
    </row>
    <row r="135" spans="1:16" x14ac:dyDescent="0.3">
      <c r="A135" t="e">
        <v>#REF!</v>
      </c>
      <c r="B135" t="e">
        <v>#REF!</v>
      </c>
      <c r="C135" t="e">
        <f t="shared" si="27"/>
        <v>#REF!</v>
      </c>
      <c r="D135" s="1">
        <v>2.1000000000000001E-2</v>
      </c>
      <c r="E135" s="1">
        <v>1.41E-2</v>
      </c>
      <c r="F135" t="e">
        <f t="shared" si="24"/>
        <v>#REF!</v>
      </c>
      <c r="G135" t="e">
        <f t="shared" si="25"/>
        <v>#REF!</v>
      </c>
      <c r="H135" t="e">
        <f t="shared" si="26"/>
        <v>#REF!</v>
      </c>
      <c r="I135">
        <v>1</v>
      </c>
      <c r="J135" t="e">
        <f t="shared" si="28"/>
        <v>#REF!</v>
      </c>
      <c r="K135" t="e">
        <f t="shared" si="29"/>
        <v>#REF!</v>
      </c>
      <c r="M135" t="e">
        <f t="shared" si="30"/>
        <v>#REF!</v>
      </c>
      <c r="N135" t="e">
        <f t="shared" ref="N135:N144" si="33">D135*A135</f>
        <v>#REF!</v>
      </c>
      <c r="O135" t="e">
        <f t="shared" si="31"/>
        <v>#REF!</v>
      </c>
      <c r="P135" t="e">
        <f t="shared" si="32"/>
        <v>#REF!</v>
      </c>
    </row>
    <row r="136" spans="1:16" x14ac:dyDescent="0.3">
      <c r="A136" t="e">
        <v>#REF!</v>
      </c>
      <c r="B136" t="e">
        <v>#REF!</v>
      </c>
      <c r="C136" t="e">
        <f t="shared" si="27"/>
        <v>#REF!</v>
      </c>
      <c r="D136" s="1">
        <v>2.1000000000000001E-2</v>
      </c>
      <c r="E136" s="1">
        <v>1.41E-2</v>
      </c>
      <c r="F136" t="e">
        <f t="shared" si="24"/>
        <v>#REF!</v>
      </c>
      <c r="G136" t="e">
        <f t="shared" si="25"/>
        <v>#REF!</v>
      </c>
      <c r="H136" t="e">
        <f t="shared" si="26"/>
        <v>#REF!</v>
      </c>
      <c r="I136">
        <v>1</v>
      </c>
      <c r="J136" t="e">
        <f t="shared" si="28"/>
        <v>#REF!</v>
      </c>
      <c r="K136" t="e">
        <f t="shared" si="29"/>
        <v>#REF!</v>
      </c>
      <c r="M136" t="e">
        <f t="shared" si="30"/>
        <v>#REF!</v>
      </c>
      <c r="N136" t="e">
        <f t="shared" si="33"/>
        <v>#REF!</v>
      </c>
      <c r="O136" t="e">
        <f t="shared" si="31"/>
        <v>#REF!</v>
      </c>
      <c r="P136" t="e">
        <f t="shared" si="32"/>
        <v>#REF!</v>
      </c>
    </row>
    <row r="137" spans="1:16" x14ac:dyDescent="0.3">
      <c r="A137" t="e">
        <v>#REF!</v>
      </c>
      <c r="B137" t="e">
        <v>#REF!</v>
      </c>
      <c r="C137" t="e">
        <f t="shared" si="27"/>
        <v>#REF!</v>
      </c>
      <c r="D137" s="1">
        <v>2.1000000000000001E-2</v>
      </c>
      <c r="E137" s="1">
        <v>1.41E-2</v>
      </c>
      <c r="F137" t="e">
        <f t="shared" si="24"/>
        <v>#REF!</v>
      </c>
      <c r="G137" t="e">
        <f t="shared" si="25"/>
        <v>#REF!</v>
      </c>
      <c r="H137" t="e">
        <f t="shared" si="26"/>
        <v>#REF!</v>
      </c>
      <c r="I137">
        <v>1</v>
      </c>
      <c r="J137" t="e">
        <f t="shared" si="28"/>
        <v>#REF!</v>
      </c>
      <c r="K137" t="e">
        <f t="shared" si="29"/>
        <v>#REF!</v>
      </c>
      <c r="M137" t="e">
        <f t="shared" si="30"/>
        <v>#REF!</v>
      </c>
      <c r="N137" t="e">
        <f t="shared" si="33"/>
        <v>#REF!</v>
      </c>
      <c r="O137" t="e">
        <f t="shared" si="31"/>
        <v>#REF!</v>
      </c>
      <c r="P137" t="e">
        <f t="shared" si="32"/>
        <v>#REF!</v>
      </c>
    </row>
    <row r="138" spans="1:16" x14ac:dyDescent="0.3">
      <c r="A138" t="e">
        <v>#REF!</v>
      </c>
      <c r="B138" t="e">
        <v>#REF!</v>
      </c>
      <c r="C138" t="e">
        <f t="shared" si="27"/>
        <v>#REF!</v>
      </c>
      <c r="D138" s="1">
        <v>2.1000000000000001E-2</v>
      </c>
      <c r="E138" s="1">
        <v>1.41E-2</v>
      </c>
      <c r="F138" t="e">
        <f t="shared" si="24"/>
        <v>#REF!</v>
      </c>
      <c r="G138" t="e">
        <f t="shared" si="25"/>
        <v>#REF!</v>
      </c>
      <c r="H138" t="e">
        <f t="shared" si="26"/>
        <v>#REF!</v>
      </c>
      <c r="I138">
        <v>1</v>
      </c>
      <c r="J138" t="e">
        <f t="shared" si="28"/>
        <v>#REF!</v>
      </c>
      <c r="K138" t="e">
        <f t="shared" si="29"/>
        <v>#REF!</v>
      </c>
      <c r="M138" t="e">
        <f t="shared" si="30"/>
        <v>#REF!</v>
      </c>
      <c r="N138" t="e">
        <f t="shared" si="33"/>
        <v>#REF!</v>
      </c>
      <c r="O138" t="e">
        <f t="shared" si="31"/>
        <v>#REF!</v>
      </c>
      <c r="P138" t="e">
        <f t="shared" si="32"/>
        <v>#REF!</v>
      </c>
    </row>
    <row r="139" spans="1:16" x14ac:dyDescent="0.3">
      <c r="A139" t="e">
        <v>#REF!</v>
      </c>
      <c r="B139" t="e">
        <v>#REF!</v>
      </c>
      <c r="C139" t="e">
        <f t="shared" si="27"/>
        <v>#REF!</v>
      </c>
      <c r="D139" s="1">
        <v>2.1000000000000001E-2</v>
      </c>
      <c r="E139" s="1">
        <v>1.41E-2</v>
      </c>
      <c r="F139" t="e">
        <f t="shared" si="24"/>
        <v>#REF!</v>
      </c>
      <c r="G139" t="e">
        <f t="shared" si="25"/>
        <v>#REF!</v>
      </c>
      <c r="H139" t="e">
        <f t="shared" si="26"/>
        <v>#REF!</v>
      </c>
      <c r="I139">
        <v>1</v>
      </c>
      <c r="J139" t="e">
        <f t="shared" si="28"/>
        <v>#REF!</v>
      </c>
      <c r="K139" t="e">
        <f t="shared" si="29"/>
        <v>#REF!</v>
      </c>
      <c r="M139" t="e">
        <f t="shared" si="30"/>
        <v>#REF!</v>
      </c>
      <c r="N139" t="e">
        <f t="shared" si="33"/>
        <v>#REF!</v>
      </c>
      <c r="O139" t="e">
        <f t="shared" si="31"/>
        <v>#REF!</v>
      </c>
      <c r="P139" t="e">
        <f t="shared" si="32"/>
        <v>#REF!</v>
      </c>
    </row>
    <row r="140" spans="1:16" x14ac:dyDescent="0.3">
      <c r="A140" t="e">
        <v>#REF!</v>
      </c>
      <c r="B140" t="e">
        <v>#REF!</v>
      </c>
      <c r="C140" t="e">
        <f t="shared" si="27"/>
        <v>#REF!</v>
      </c>
      <c r="D140" s="1">
        <v>2.1000000000000001E-2</v>
      </c>
      <c r="E140" s="1">
        <v>1.41E-2</v>
      </c>
      <c r="F140" t="e">
        <f t="shared" si="24"/>
        <v>#REF!</v>
      </c>
      <c r="G140" t="e">
        <f t="shared" si="25"/>
        <v>#REF!</v>
      </c>
      <c r="H140" t="e">
        <f t="shared" si="26"/>
        <v>#REF!</v>
      </c>
      <c r="I140">
        <v>1</v>
      </c>
      <c r="J140" t="e">
        <f t="shared" si="28"/>
        <v>#REF!</v>
      </c>
      <c r="K140" t="e">
        <f t="shared" si="29"/>
        <v>#REF!</v>
      </c>
      <c r="M140" t="e">
        <f t="shared" si="30"/>
        <v>#REF!</v>
      </c>
      <c r="N140" t="e">
        <f t="shared" si="33"/>
        <v>#REF!</v>
      </c>
      <c r="O140" t="e">
        <f t="shared" si="31"/>
        <v>#REF!</v>
      </c>
      <c r="P140" t="e">
        <f t="shared" si="32"/>
        <v>#REF!</v>
      </c>
    </row>
    <row r="141" spans="1:16" x14ac:dyDescent="0.3">
      <c r="A141" t="e">
        <v>#REF!</v>
      </c>
      <c r="B141" t="e">
        <v>#REF!</v>
      </c>
      <c r="C141" t="e">
        <f t="shared" si="27"/>
        <v>#REF!</v>
      </c>
      <c r="D141" s="1">
        <v>2.1000000000000001E-2</v>
      </c>
      <c r="E141" s="1">
        <v>1.41E-2</v>
      </c>
      <c r="F141" t="e">
        <f t="shared" si="24"/>
        <v>#REF!</v>
      </c>
      <c r="G141" t="e">
        <f t="shared" si="25"/>
        <v>#REF!</v>
      </c>
      <c r="H141" t="e">
        <f t="shared" si="26"/>
        <v>#REF!</v>
      </c>
      <c r="I141">
        <v>1</v>
      </c>
      <c r="J141" t="e">
        <f t="shared" si="28"/>
        <v>#REF!</v>
      </c>
      <c r="K141" t="e">
        <f t="shared" si="29"/>
        <v>#REF!</v>
      </c>
      <c r="M141" t="e">
        <f t="shared" si="30"/>
        <v>#REF!</v>
      </c>
      <c r="N141" t="e">
        <f t="shared" si="33"/>
        <v>#REF!</v>
      </c>
      <c r="O141" t="e">
        <f t="shared" si="31"/>
        <v>#REF!</v>
      </c>
      <c r="P141" t="e">
        <f t="shared" si="32"/>
        <v>#REF!</v>
      </c>
    </row>
    <row r="142" spans="1:16" x14ac:dyDescent="0.3">
      <c r="A142" t="e">
        <v>#REF!</v>
      </c>
      <c r="B142" t="e">
        <v>#REF!</v>
      </c>
      <c r="C142" t="e">
        <f t="shared" si="27"/>
        <v>#REF!</v>
      </c>
      <c r="D142" s="1">
        <v>2.1000000000000001E-2</v>
      </c>
      <c r="E142" s="1">
        <v>1.41E-2</v>
      </c>
      <c r="F142" t="e">
        <f t="shared" si="24"/>
        <v>#REF!</v>
      </c>
      <c r="G142" t="e">
        <f t="shared" si="25"/>
        <v>#REF!</v>
      </c>
      <c r="H142" t="e">
        <f t="shared" si="26"/>
        <v>#REF!</v>
      </c>
      <c r="I142">
        <v>1</v>
      </c>
      <c r="J142" t="e">
        <f t="shared" si="28"/>
        <v>#REF!</v>
      </c>
      <c r="K142" t="e">
        <f t="shared" si="29"/>
        <v>#REF!</v>
      </c>
      <c r="M142" t="e">
        <f t="shared" si="30"/>
        <v>#REF!</v>
      </c>
      <c r="N142" t="e">
        <f t="shared" si="33"/>
        <v>#REF!</v>
      </c>
      <c r="O142" t="e">
        <f t="shared" si="31"/>
        <v>#REF!</v>
      </c>
      <c r="P142" t="e">
        <f t="shared" si="32"/>
        <v>#REF!</v>
      </c>
    </row>
    <row r="143" spans="1:16" x14ac:dyDescent="0.3">
      <c r="A143" t="e">
        <v>#REF!</v>
      </c>
      <c r="B143" t="e">
        <v>#REF!</v>
      </c>
      <c r="C143" t="e">
        <f t="shared" si="27"/>
        <v>#REF!</v>
      </c>
      <c r="D143" s="1">
        <v>2.1000000000000001E-2</v>
      </c>
      <c r="E143" s="1">
        <v>1.41E-2</v>
      </c>
      <c r="F143" t="e">
        <f t="shared" si="24"/>
        <v>#REF!</v>
      </c>
      <c r="G143" t="e">
        <f t="shared" si="25"/>
        <v>#REF!</v>
      </c>
      <c r="H143" t="e">
        <f t="shared" si="26"/>
        <v>#REF!</v>
      </c>
      <c r="I143">
        <v>1</v>
      </c>
      <c r="J143" t="e">
        <f t="shared" si="28"/>
        <v>#REF!</v>
      </c>
      <c r="K143" t="e">
        <f t="shared" si="29"/>
        <v>#REF!</v>
      </c>
      <c r="M143" t="e">
        <f t="shared" si="30"/>
        <v>#REF!</v>
      </c>
      <c r="N143" t="e">
        <f t="shared" si="33"/>
        <v>#REF!</v>
      </c>
      <c r="O143" t="e">
        <f t="shared" si="31"/>
        <v>#REF!</v>
      </c>
      <c r="P143" t="e">
        <f t="shared" si="32"/>
        <v>#REF!</v>
      </c>
    </row>
    <row r="144" spans="1:16" x14ac:dyDescent="0.3">
      <c r="A144" t="e">
        <v>#REF!</v>
      </c>
      <c r="B144" t="e">
        <v>#REF!</v>
      </c>
      <c r="C144" t="e">
        <f t="shared" si="27"/>
        <v>#REF!</v>
      </c>
      <c r="D144" s="1">
        <v>2.1000000000000001E-2</v>
      </c>
      <c r="E144" s="1">
        <v>1.41E-2</v>
      </c>
      <c r="F144" t="e">
        <f t="shared" si="24"/>
        <v>#REF!</v>
      </c>
      <c r="G144" t="e">
        <f t="shared" si="25"/>
        <v>#REF!</v>
      </c>
      <c r="H144" t="e">
        <f t="shared" si="26"/>
        <v>#REF!</v>
      </c>
      <c r="I144">
        <v>1</v>
      </c>
      <c r="J144" t="e">
        <f t="shared" si="28"/>
        <v>#REF!</v>
      </c>
      <c r="K144" t="e">
        <f t="shared" si="29"/>
        <v>#REF!</v>
      </c>
      <c r="M144" t="e">
        <f t="shared" si="30"/>
        <v>#REF!</v>
      </c>
      <c r="N144" t="e">
        <f t="shared" si="33"/>
        <v>#REF!</v>
      </c>
      <c r="O144" t="e">
        <f t="shared" si="31"/>
        <v>#REF!</v>
      </c>
      <c r="P144" t="e">
        <f t="shared" si="32"/>
        <v>#REF!</v>
      </c>
    </row>
    <row r="145" spans="1:4" x14ac:dyDescent="0.3">
      <c r="A145" t="e">
        <v>#REF!</v>
      </c>
      <c r="B145" t="e">
        <v>#REF!</v>
      </c>
      <c r="D145" s="1"/>
    </row>
    <row r="146" spans="1:4" x14ac:dyDescent="0.3">
      <c r="A146" t="e">
        <v>#REF!</v>
      </c>
      <c r="B146" t="e">
        <v>#REF!</v>
      </c>
      <c r="D146" s="1"/>
    </row>
    <row r="147" spans="1:4" x14ac:dyDescent="0.3">
      <c r="A147" t="e">
        <v>#REF!</v>
      </c>
      <c r="B147" t="e">
        <v>#REF!</v>
      </c>
      <c r="D147" s="1"/>
    </row>
    <row r="148" spans="1:4" x14ac:dyDescent="0.3">
      <c r="A148" t="e">
        <v>#REF!</v>
      </c>
      <c r="B148" t="e">
        <v>#REF!</v>
      </c>
      <c r="D148" s="1"/>
    </row>
    <row r="149" spans="1:4" x14ac:dyDescent="0.3">
      <c r="A149" t="e">
        <v>#REF!</v>
      </c>
      <c r="B149" t="e">
        <v>#REF!</v>
      </c>
      <c r="D149" s="1"/>
    </row>
    <row r="150" spans="1:4" x14ac:dyDescent="0.3">
      <c r="A150" t="e">
        <v>#REF!</v>
      </c>
      <c r="B150" t="e">
        <v>#REF!</v>
      </c>
      <c r="D150" s="1"/>
    </row>
    <row r="151" spans="1:4" x14ac:dyDescent="0.3">
      <c r="A151" t="e">
        <v>#REF!</v>
      </c>
      <c r="B151" t="e">
        <v>#REF!</v>
      </c>
      <c r="D151" s="1"/>
    </row>
    <row r="152" spans="1:4" x14ac:dyDescent="0.3">
      <c r="A152" t="e">
        <v>#REF!</v>
      </c>
      <c r="B152" t="e">
        <v>#REF!</v>
      </c>
      <c r="D152" s="1"/>
    </row>
    <row r="153" spans="1:4" x14ac:dyDescent="0.3">
      <c r="A153" t="e">
        <v>#REF!</v>
      </c>
      <c r="B153" t="e">
        <v>#REF!</v>
      </c>
      <c r="D153" s="1"/>
    </row>
    <row r="154" spans="1:4" x14ac:dyDescent="0.3">
      <c r="A154" t="e">
        <v>#REF!</v>
      </c>
      <c r="B154" t="e">
        <v>#REF!</v>
      </c>
      <c r="D154" s="1"/>
    </row>
    <row r="155" spans="1:4" x14ac:dyDescent="0.3">
      <c r="A155" t="e">
        <v>#REF!</v>
      </c>
      <c r="B155" t="e">
        <v>#REF!</v>
      </c>
      <c r="D155" s="1"/>
    </row>
    <row r="156" spans="1:4" x14ac:dyDescent="0.3">
      <c r="A156" t="e">
        <v>#REF!</v>
      </c>
      <c r="B156" t="e">
        <v>#REF!</v>
      </c>
      <c r="D156" s="1"/>
    </row>
    <row r="157" spans="1:4" x14ac:dyDescent="0.3">
      <c r="A157" t="e">
        <v>#REF!</v>
      </c>
      <c r="B157" t="e">
        <v>#REF!</v>
      </c>
      <c r="D157" s="1"/>
    </row>
    <row r="158" spans="1:4" x14ac:dyDescent="0.3">
      <c r="A158" t="e">
        <v>#REF!</v>
      </c>
      <c r="B158" t="e">
        <v>#REF!</v>
      </c>
      <c r="D158" s="1"/>
    </row>
    <row r="159" spans="1:4" x14ac:dyDescent="0.3">
      <c r="A159" t="e">
        <v>#REF!</v>
      </c>
      <c r="B159" t="e">
        <v>#REF!</v>
      </c>
      <c r="D159" s="1"/>
    </row>
    <row r="160" spans="1:4" x14ac:dyDescent="0.3">
      <c r="A160" t="e">
        <v>#REF!</v>
      </c>
      <c r="B160" t="e">
        <v>#REF!</v>
      </c>
      <c r="D160" s="1"/>
    </row>
    <row r="161" spans="1:4" x14ac:dyDescent="0.3">
      <c r="A161" t="e">
        <v>#REF!</v>
      </c>
      <c r="B161" t="e">
        <v>#REF!</v>
      </c>
      <c r="D161" s="1"/>
    </row>
    <row r="162" spans="1:4" x14ac:dyDescent="0.3">
      <c r="A162" t="e">
        <v>#REF!</v>
      </c>
      <c r="B162" t="e">
        <v>#REF!</v>
      </c>
      <c r="D162" s="1"/>
    </row>
    <row r="163" spans="1:4" x14ac:dyDescent="0.3">
      <c r="A163" t="e">
        <v>#REF!</v>
      </c>
      <c r="B163" t="e">
        <v>#REF!</v>
      </c>
      <c r="D163" s="1"/>
    </row>
    <row r="164" spans="1:4" x14ac:dyDescent="0.3">
      <c r="A164" t="e">
        <v>#REF!</v>
      </c>
      <c r="B164" t="e">
        <v>#REF!</v>
      </c>
      <c r="D164" s="1"/>
    </row>
    <row r="165" spans="1:4" x14ac:dyDescent="0.3">
      <c r="A165" t="e">
        <v>#REF!</v>
      </c>
      <c r="B165" t="e">
        <v>#REF!</v>
      </c>
      <c r="D165" s="1"/>
    </row>
    <row r="166" spans="1:4" x14ac:dyDescent="0.3">
      <c r="A166" t="e">
        <v>#REF!</v>
      </c>
      <c r="B166" t="e">
        <v>#REF!</v>
      </c>
      <c r="D166" s="1"/>
    </row>
    <row r="167" spans="1:4" x14ac:dyDescent="0.3">
      <c r="A167" t="e">
        <v>#REF!</v>
      </c>
      <c r="B167" t="e">
        <v>#REF!</v>
      </c>
      <c r="D167" s="1"/>
    </row>
    <row r="168" spans="1:4" x14ac:dyDescent="0.3">
      <c r="A168" t="e">
        <v>#REF!</v>
      </c>
      <c r="B168" t="e">
        <v>#REF!</v>
      </c>
      <c r="D168" s="1"/>
    </row>
    <row r="169" spans="1:4" x14ac:dyDescent="0.3">
      <c r="A169" t="e">
        <v>#REF!</v>
      </c>
      <c r="B169" t="e">
        <v>#REF!</v>
      </c>
      <c r="D169" s="1"/>
    </row>
    <row r="170" spans="1:4" x14ac:dyDescent="0.3">
      <c r="A170" t="e">
        <v>#REF!</v>
      </c>
      <c r="B170" t="e">
        <v>#REF!</v>
      </c>
      <c r="D170" s="1"/>
    </row>
    <row r="171" spans="1:4" x14ac:dyDescent="0.3">
      <c r="A171" t="e">
        <v>#REF!</v>
      </c>
      <c r="B171" t="e">
        <v>#REF!</v>
      </c>
      <c r="D171" s="1"/>
    </row>
    <row r="172" spans="1:4" x14ac:dyDescent="0.3">
      <c r="A172" t="e">
        <v>#REF!</v>
      </c>
      <c r="B172" t="e">
        <v>#REF!</v>
      </c>
      <c r="D172" s="1"/>
    </row>
    <row r="173" spans="1:4" x14ac:dyDescent="0.3">
      <c r="A173" t="e">
        <v>#REF!</v>
      </c>
      <c r="B173" t="e">
        <v>#REF!</v>
      </c>
      <c r="D173" s="1"/>
    </row>
    <row r="174" spans="1:4" x14ac:dyDescent="0.3">
      <c r="A174" t="e">
        <v>#REF!</v>
      </c>
      <c r="B174" t="e">
        <v>#REF!</v>
      </c>
      <c r="D174" s="1"/>
    </row>
    <row r="175" spans="1:4" x14ac:dyDescent="0.3">
      <c r="A175" t="e">
        <v>#REF!</v>
      </c>
      <c r="B175" t="e">
        <v>#REF!</v>
      </c>
      <c r="D175" s="1"/>
    </row>
    <row r="176" spans="1:4" x14ac:dyDescent="0.3">
      <c r="A176" t="e">
        <v>#REF!</v>
      </c>
      <c r="B176" t="e">
        <v>#REF!</v>
      </c>
      <c r="D176" s="1"/>
    </row>
    <row r="177" spans="1:4" x14ac:dyDescent="0.3">
      <c r="A177" t="e">
        <v>#REF!</v>
      </c>
      <c r="B177" t="e">
        <v>#REF!</v>
      </c>
      <c r="D177" s="1"/>
    </row>
    <row r="178" spans="1:4" x14ac:dyDescent="0.3">
      <c r="A178" t="e">
        <v>#REF!</v>
      </c>
      <c r="B178" t="e">
        <v>#REF!</v>
      </c>
      <c r="D178" s="1"/>
    </row>
    <row r="179" spans="1:4" x14ac:dyDescent="0.3">
      <c r="A179" t="e">
        <v>#REF!</v>
      </c>
      <c r="B179" t="e">
        <v>#REF!</v>
      </c>
      <c r="D179" s="1"/>
    </row>
    <row r="180" spans="1:4" x14ac:dyDescent="0.3">
      <c r="A180" t="e">
        <v>#REF!</v>
      </c>
      <c r="B180" t="e">
        <v>#REF!</v>
      </c>
      <c r="D180" s="1"/>
    </row>
    <row r="181" spans="1:4" x14ac:dyDescent="0.3">
      <c r="A181" t="e">
        <v>#REF!</v>
      </c>
      <c r="B181" t="e">
        <v>#REF!</v>
      </c>
      <c r="D181" s="1"/>
    </row>
    <row r="182" spans="1:4" x14ac:dyDescent="0.3">
      <c r="A182" t="e">
        <v>#REF!</v>
      </c>
      <c r="B182" t="e">
        <v>#REF!</v>
      </c>
      <c r="D182" s="1"/>
    </row>
    <row r="183" spans="1:4" x14ac:dyDescent="0.3">
      <c r="A183" t="e">
        <v>#REF!</v>
      </c>
      <c r="B183" t="e">
        <v>#REF!</v>
      </c>
      <c r="D183" s="1"/>
    </row>
    <row r="184" spans="1:4" x14ac:dyDescent="0.3">
      <c r="A184" t="e">
        <v>#REF!</v>
      </c>
      <c r="B184" t="e">
        <v>#REF!</v>
      </c>
      <c r="D184" s="1"/>
    </row>
    <row r="185" spans="1:4" x14ac:dyDescent="0.3">
      <c r="A185" t="e">
        <v>#REF!</v>
      </c>
      <c r="B185" t="e">
        <v>#REF!</v>
      </c>
      <c r="D185" s="1"/>
    </row>
    <row r="186" spans="1:4" x14ac:dyDescent="0.3">
      <c r="A186" t="e">
        <v>#REF!</v>
      </c>
      <c r="B186" t="e">
        <v>#REF!</v>
      </c>
      <c r="D186" s="1"/>
    </row>
    <row r="187" spans="1:4" x14ac:dyDescent="0.3">
      <c r="A187" t="e">
        <v>#REF!</v>
      </c>
      <c r="B187" t="e">
        <v>#REF!</v>
      </c>
      <c r="D187" s="1"/>
    </row>
    <row r="188" spans="1:4" x14ac:dyDescent="0.3">
      <c r="A188" t="e">
        <v>#REF!</v>
      </c>
      <c r="B188" t="e">
        <v>#REF!</v>
      </c>
      <c r="D188" s="1"/>
    </row>
    <row r="189" spans="1:4" x14ac:dyDescent="0.3">
      <c r="A189" t="e">
        <v>#REF!</v>
      </c>
      <c r="B189" t="e">
        <v>#REF!</v>
      </c>
      <c r="D189" s="1"/>
    </row>
    <row r="190" spans="1:4" x14ac:dyDescent="0.3">
      <c r="A190" t="e">
        <v>#REF!</v>
      </c>
      <c r="B190" t="e">
        <v>#REF!</v>
      </c>
      <c r="D190" s="1"/>
    </row>
    <row r="191" spans="1:4" x14ac:dyDescent="0.3">
      <c r="A191" t="e">
        <v>#REF!</v>
      </c>
      <c r="B191" t="e">
        <v>#REF!</v>
      </c>
      <c r="D191" s="1"/>
    </row>
    <row r="192" spans="1:4" x14ac:dyDescent="0.3">
      <c r="A192" t="e">
        <v>#REF!</v>
      </c>
      <c r="B192" t="e">
        <v>#REF!</v>
      </c>
      <c r="D192" s="1"/>
    </row>
    <row r="193" spans="1:4" x14ac:dyDescent="0.3">
      <c r="A193" t="e">
        <v>#REF!</v>
      </c>
      <c r="B193" t="e">
        <v>#REF!</v>
      </c>
      <c r="D193" s="1"/>
    </row>
    <row r="194" spans="1:4" x14ac:dyDescent="0.3">
      <c r="A194" t="e">
        <v>#REF!</v>
      </c>
      <c r="B194" t="e">
        <v>#REF!</v>
      </c>
      <c r="D194" s="1"/>
    </row>
    <row r="195" spans="1:4" x14ac:dyDescent="0.3">
      <c r="A195" t="e">
        <v>#REF!</v>
      </c>
      <c r="B195" t="e">
        <v>#REF!</v>
      </c>
      <c r="D195" s="1"/>
    </row>
    <row r="196" spans="1:4" x14ac:dyDescent="0.3">
      <c r="A196" t="e">
        <v>#REF!</v>
      </c>
      <c r="B196" t="e">
        <v>#REF!</v>
      </c>
      <c r="D196" s="1"/>
    </row>
    <row r="197" spans="1:4" x14ac:dyDescent="0.3">
      <c r="A197" t="e">
        <v>#REF!</v>
      </c>
      <c r="B197" t="e">
        <v>#REF!</v>
      </c>
      <c r="D197" s="1"/>
    </row>
    <row r="198" spans="1:4" x14ac:dyDescent="0.3">
      <c r="A198" t="e">
        <v>#REF!</v>
      </c>
      <c r="B198" t="e">
        <v>#REF!</v>
      </c>
      <c r="D198" s="1"/>
    </row>
    <row r="199" spans="1:4" x14ac:dyDescent="0.3">
      <c r="A199" t="e">
        <v>#REF!</v>
      </c>
      <c r="B199" t="e">
        <v>#REF!</v>
      </c>
      <c r="D199" s="1"/>
    </row>
    <row r="200" spans="1:4" x14ac:dyDescent="0.3">
      <c r="A200" t="e">
        <v>#REF!</v>
      </c>
      <c r="B200" t="e">
        <v>#REF!</v>
      </c>
      <c r="D200" s="1"/>
    </row>
    <row r="201" spans="1:4" x14ac:dyDescent="0.3">
      <c r="A201" t="e">
        <v>#REF!</v>
      </c>
      <c r="B201" t="e">
        <v>#REF!</v>
      </c>
      <c r="D201" s="1"/>
    </row>
    <row r="202" spans="1:4" x14ac:dyDescent="0.3">
      <c r="A202" t="e">
        <v>#REF!</v>
      </c>
      <c r="B202" t="e">
        <v>#REF!</v>
      </c>
      <c r="D202" s="1"/>
    </row>
    <row r="203" spans="1:4" x14ac:dyDescent="0.3">
      <c r="A203" t="e">
        <v>#REF!</v>
      </c>
      <c r="B203" t="e">
        <v>#REF!</v>
      </c>
      <c r="D203" s="1"/>
    </row>
    <row r="204" spans="1:4" x14ac:dyDescent="0.3">
      <c r="A204" t="e">
        <v>#REF!</v>
      </c>
      <c r="B204" t="e">
        <v>#REF!</v>
      </c>
      <c r="D204" s="1"/>
    </row>
    <row r="205" spans="1:4" x14ac:dyDescent="0.3">
      <c r="A205" t="e">
        <v>#REF!</v>
      </c>
      <c r="B205" t="e">
        <v>#REF!</v>
      </c>
      <c r="D205" s="1"/>
    </row>
    <row r="206" spans="1:4" x14ac:dyDescent="0.3">
      <c r="A206" t="e">
        <v>#REF!</v>
      </c>
      <c r="B206" t="e">
        <v>#REF!</v>
      </c>
      <c r="D206" s="1"/>
    </row>
    <row r="207" spans="1:4" x14ac:dyDescent="0.3">
      <c r="A207" t="e">
        <v>#REF!</v>
      </c>
      <c r="B207" t="e">
        <v>#REF!</v>
      </c>
      <c r="D207" s="1"/>
    </row>
    <row r="208" spans="1:4" x14ac:dyDescent="0.3">
      <c r="A208" t="e">
        <v>#REF!</v>
      </c>
      <c r="B208" t="e">
        <v>#REF!</v>
      </c>
      <c r="D208" s="1"/>
    </row>
    <row r="209" spans="1:4" x14ac:dyDescent="0.3">
      <c r="A209" t="e">
        <v>#REF!</v>
      </c>
      <c r="B209" t="e">
        <v>#REF!</v>
      </c>
      <c r="D209" s="1"/>
    </row>
    <row r="210" spans="1:4" x14ac:dyDescent="0.3">
      <c r="A210" t="e">
        <v>#REF!</v>
      </c>
      <c r="B210" t="e">
        <v>#REF!</v>
      </c>
      <c r="D210" s="1"/>
    </row>
    <row r="211" spans="1:4" x14ac:dyDescent="0.3">
      <c r="A211" t="e">
        <v>#REF!</v>
      </c>
      <c r="B211" t="e">
        <v>#REF!</v>
      </c>
      <c r="D211" s="1"/>
    </row>
    <row r="212" spans="1:4" x14ac:dyDescent="0.3">
      <c r="A212" t="e">
        <v>#REF!</v>
      </c>
      <c r="B212" t="e">
        <v>#REF!</v>
      </c>
      <c r="D212" s="1"/>
    </row>
    <row r="213" spans="1:4" x14ac:dyDescent="0.3">
      <c r="A213" t="e">
        <v>#REF!</v>
      </c>
      <c r="B213" t="e">
        <v>#REF!</v>
      </c>
      <c r="D213" s="1"/>
    </row>
    <row r="214" spans="1:4" x14ac:dyDescent="0.3">
      <c r="A214" t="e">
        <v>#REF!</v>
      </c>
      <c r="B214" t="e">
        <v>#REF!</v>
      </c>
      <c r="D214" s="1"/>
    </row>
    <row r="215" spans="1:4" x14ac:dyDescent="0.3">
      <c r="A215" t="e">
        <v>#REF!</v>
      </c>
      <c r="B215" t="e">
        <v>#REF!</v>
      </c>
      <c r="D215" s="1"/>
    </row>
    <row r="216" spans="1:4" x14ac:dyDescent="0.3">
      <c r="A216" t="e">
        <v>#REF!</v>
      </c>
      <c r="B216" t="e">
        <v>#REF!</v>
      </c>
      <c r="D216" s="1"/>
    </row>
    <row r="217" spans="1:4" x14ac:dyDescent="0.3">
      <c r="A217" t="e">
        <v>#REF!</v>
      </c>
      <c r="B217" t="e">
        <v>#REF!</v>
      </c>
      <c r="D217" s="1"/>
    </row>
    <row r="218" spans="1:4" x14ac:dyDescent="0.3">
      <c r="A218" t="e">
        <v>#REF!</v>
      </c>
      <c r="B218" t="e">
        <v>#REF!</v>
      </c>
      <c r="D218" s="1"/>
    </row>
    <row r="219" spans="1:4" x14ac:dyDescent="0.3">
      <c r="A219" t="e">
        <v>#REF!</v>
      </c>
      <c r="B219" t="e">
        <v>#REF!</v>
      </c>
      <c r="D219" s="1"/>
    </row>
    <row r="220" spans="1:4" x14ac:dyDescent="0.3">
      <c r="A220" t="e">
        <v>#REF!</v>
      </c>
      <c r="B220" t="e">
        <v>#REF!</v>
      </c>
      <c r="D220" s="1"/>
    </row>
    <row r="221" spans="1:4" x14ac:dyDescent="0.3">
      <c r="A221" t="e">
        <v>#REF!</v>
      </c>
      <c r="B221" t="e">
        <v>#REF!</v>
      </c>
      <c r="D221" s="1"/>
    </row>
    <row r="222" spans="1:4" x14ac:dyDescent="0.3">
      <c r="A222" t="e">
        <v>#REF!</v>
      </c>
      <c r="B222" t="e">
        <v>#REF!</v>
      </c>
      <c r="D222" s="1"/>
    </row>
    <row r="223" spans="1:4" x14ac:dyDescent="0.3">
      <c r="A223" t="e">
        <v>#REF!</v>
      </c>
      <c r="B223" t="e">
        <v>#REF!</v>
      </c>
      <c r="D223" s="1"/>
    </row>
    <row r="224" spans="1:4" x14ac:dyDescent="0.3">
      <c r="A224" t="e">
        <v>#REF!</v>
      </c>
      <c r="B224" t="e">
        <v>#REF!</v>
      </c>
      <c r="D224" s="1"/>
    </row>
    <row r="225" spans="1:4" x14ac:dyDescent="0.3">
      <c r="A225" t="e">
        <v>#REF!</v>
      </c>
      <c r="B225" t="e">
        <v>#REF!</v>
      </c>
      <c r="D225" s="1"/>
    </row>
    <row r="226" spans="1:4" x14ac:dyDescent="0.3">
      <c r="A226" t="e">
        <v>#REF!</v>
      </c>
      <c r="B226" t="e">
        <v>#REF!</v>
      </c>
      <c r="D226" s="1"/>
    </row>
    <row r="227" spans="1:4" x14ac:dyDescent="0.3">
      <c r="A227" t="e">
        <v>#REF!</v>
      </c>
      <c r="B227" t="e">
        <v>#REF!</v>
      </c>
      <c r="D227" s="1"/>
    </row>
    <row r="228" spans="1:4" x14ac:dyDescent="0.3">
      <c r="A228" t="e">
        <v>#REF!</v>
      </c>
      <c r="B228" t="e">
        <v>#REF!</v>
      </c>
      <c r="D228" s="1"/>
    </row>
    <row r="229" spans="1:4" x14ac:dyDescent="0.3">
      <c r="A229" t="e">
        <v>#REF!</v>
      </c>
      <c r="B229" t="e">
        <v>#REF!</v>
      </c>
      <c r="D229" s="1"/>
    </row>
    <row r="230" spans="1:4" x14ac:dyDescent="0.3">
      <c r="A230" t="e">
        <v>#REF!</v>
      </c>
      <c r="B230" t="e">
        <v>#REF!</v>
      </c>
      <c r="D230" s="1"/>
    </row>
    <row r="231" spans="1:4" x14ac:dyDescent="0.3">
      <c r="A231" t="e">
        <v>#REF!</v>
      </c>
      <c r="B231" t="e">
        <v>#REF!</v>
      </c>
      <c r="D231" s="1"/>
    </row>
    <row r="232" spans="1:4" x14ac:dyDescent="0.3">
      <c r="A232" t="e">
        <v>#REF!</v>
      </c>
      <c r="B232" t="e">
        <v>#REF!</v>
      </c>
      <c r="D232" s="1"/>
    </row>
    <row r="233" spans="1:4" x14ac:dyDescent="0.3">
      <c r="A233" t="e">
        <v>#REF!</v>
      </c>
      <c r="B233" t="e">
        <v>#REF!</v>
      </c>
      <c r="D233" s="1"/>
    </row>
    <row r="234" spans="1:4" x14ac:dyDescent="0.3">
      <c r="A234" t="e">
        <v>#REF!</v>
      </c>
      <c r="B234" t="e">
        <v>#REF!</v>
      </c>
      <c r="D234" s="1"/>
    </row>
    <row r="235" spans="1:4" x14ac:dyDescent="0.3">
      <c r="A235" t="e">
        <v>#REF!</v>
      </c>
      <c r="B235" t="e">
        <v>#REF!</v>
      </c>
      <c r="D235" s="1"/>
    </row>
    <row r="236" spans="1:4" x14ac:dyDescent="0.3">
      <c r="A236" t="e">
        <v>#REF!</v>
      </c>
      <c r="B236" t="e">
        <v>#REF!</v>
      </c>
      <c r="D236" s="1"/>
    </row>
    <row r="237" spans="1:4" x14ac:dyDescent="0.3">
      <c r="A237" t="e">
        <v>#REF!</v>
      </c>
      <c r="B237" t="e">
        <v>#REF!</v>
      </c>
      <c r="D237" s="1"/>
    </row>
    <row r="238" spans="1:4" x14ac:dyDescent="0.3">
      <c r="A238" t="e">
        <v>#REF!</v>
      </c>
      <c r="B238" t="e">
        <v>#REF!</v>
      </c>
      <c r="D238" s="1"/>
    </row>
    <row r="239" spans="1:4" x14ac:dyDescent="0.3">
      <c r="A239" t="e">
        <v>#REF!</v>
      </c>
      <c r="B239" t="e">
        <v>#REF!</v>
      </c>
      <c r="D239" s="1"/>
    </row>
    <row r="240" spans="1:4" x14ac:dyDescent="0.3">
      <c r="A240" t="e">
        <v>#REF!</v>
      </c>
      <c r="B240" t="e">
        <v>#REF!</v>
      </c>
      <c r="C240" s="1"/>
      <c r="D240" s="1"/>
    </row>
    <row r="241" spans="1:4" x14ac:dyDescent="0.3">
      <c r="A241" t="e">
        <v>#REF!</v>
      </c>
      <c r="B241" t="e">
        <v>#REF!</v>
      </c>
      <c r="C241" s="1"/>
      <c r="D241" s="1"/>
    </row>
    <row r="242" spans="1:4" x14ac:dyDescent="0.3">
      <c r="A242" t="e">
        <v>#REF!</v>
      </c>
      <c r="B242" t="e">
        <v>#REF!</v>
      </c>
      <c r="C242" s="1"/>
      <c r="D242" s="1"/>
    </row>
    <row r="243" spans="1:4" x14ac:dyDescent="0.3">
      <c r="A243" t="e">
        <v>#REF!</v>
      </c>
      <c r="B243" t="e">
        <v>#REF!</v>
      </c>
      <c r="C243" s="1"/>
      <c r="D243" s="1"/>
    </row>
    <row r="244" spans="1:4" x14ac:dyDescent="0.3">
      <c r="A244" t="e">
        <v>#REF!</v>
      </c>
      <c r="B244" t="e">
        <v>#REF!</v>
      </c>
      <c r="C244" s="1"/>
      <c r="D244" s="1"/>
    </row>
    <row r="245" spans="1:4" x14ac:dyDescent="0.3">
      <c r="A245" t="e">
        <v>#REF!</v>
      </c>
      <c r="B245" t="e">
        <v>#REF!</v>
      </c>
      <c r="C245" s="1"/>
      <c r="D245" s="1"/>
    </row>
    <row r="246" spans="1:4" x14ac:dyDescent="0.3">
      <c r="A246" t="e">
        <v>#REF!</v>
      </c>
      <c r="B246" t="e">
        <v>#REF!</v>
      </c>
      <c r="C246" s="1"/>
      <c r="D246" s="1"/>
    </row>
    <row r="247" spans="1:4" x14ac:dyDescent="0.3">
      <c r="A247" t="e">
        <v>#REF!</v>
      </c>
      <c r="B247" t="e">
        <v>#REF!</v>
      </c>
      <c r="C247" s="1"/>
      <c r="D247" s="1"/>
    </row>
    <row r="248" spans="1:4" x14ac:dyDescent="0.3">
      <c r="A248" t="e">
        <v>#REF!</v>
      </c>
      <c r="B248" t="e">
        <v>#REF!</v>
      </c>
      <c r="C248" s="1"/>
      <c r="D248" s="1"/>
    </row>
    <row r="249" spans="1:4" x14ac:dyDescent="0.3">
      <c r="A249" t="e">
        <v>#REF!</v>
      </c>
      <c r="B249" t="e">
        <v>#REF!</v>
      </c>
      <c r="C249" s="1"/>
      <c r="D249" s="1"/>
    </row>
    <row r="250" spans="1:4" x14ac:dyDescent="0.3">
      <c r="A250" t="e">
        <v>#REF!</v>
      </c>
      <c r="B250" t="e">
        <v>#REF!</v>
      </c>
      <c r="C250" s="1"/>
      <c r="D250" s="1"/>
    </row>
    <row r="251" spans="1:4" x14ac:dyDescent="0.3">
      <c r="A251" t="e">
        <v>#REF!</v>
      </c>
      <c r="B251" t="e">
        <v>#REF!</v>
      </c>
      <c r="C251" s="1"/>
      <c r="D251" s="1"/>
    </row>
    <row r="252" spans="1:4" x14ac:dyDescent="0.3">
      <c r="A252" t="e">
        <v>#REF!</v>
      </c>
      <c r="B252" t="e">
        <v>#REF!</v>
      </c>
      <c r="C252" s="1"/>
      <c r="D252" s="1"/>
    </row>
    <row r="253" spans="1:4" x14ac:dyDescent="0.3">
      <c r="A253" t="e">
        <v>#REF!</v>
      </c>
      <c r="B253" t="e">
        <v>#REF!</v>
      </c>
      <c r="C253" s="1"/>
      <c r="D253" s="1"/>
    </row>
    <row r="254" spans="1:4" x14ac:dyDescent="0.3">
      <c r="A254" t="e">
        <v>#REF!</v>
      </c>
      <c r="B254" t="e">
        <v>#REF!</v>
      </c>
      <c r="C254" s="1"/>
      <c r="D254" s="1"/>
    </row>
    <row r="255" spans="1:4" x14ac:dyDescent="0.3">
      <c r="A255" t="e">
        <v>#REF!</v>
      </c>
      <c r="B255" t="e">
        <v>#REF!</v>
      </c>
      <c r="C255" s="1"/>
      <c r="D255" s="1"/>
    </row>
    <row r="256" spans="1:4" x14ac:dyDescent="0.3">
      <c r="A256" t="e">
        <v>#REF!</v>
      </c>
      <c r="B256" t="e">
        <v>#REF!</v>
      </c>
      <c r="C256" s="1"/>
      <c r="D256" s="1"/>
    </row>
    <row r="257" spans="1:4" x14ac:dyDescent="0.3">
      <c r="A257" t="e">
        <v>#REF!</v>
      </c>
      <c r="B257" t="e">
        <v>#REF!</v>
      </c>
      <c r="C257" s="1"/>
      <c r="D257" s="1"/>
    </row>
    <row r="258" spans="1:4" x14ac:dyDescent="0.3">
      <c r="A258" t="e">
        <v>#REF!</v>
      </c>
      <c r="B258" t="e">
        <v>#REF!</v>
      </c>
      <c r="C258" s="1"/>
      <c r="D258" s="1"/>
    </row>
    <row r="259" spans="1:4" x14ac:dyDescent="0.3">
      <c r="A259" t="e">
        <v>#REF!</v>
      </c>
      <c r="B259" t="e">
        <v>#REF!</v>
      </c>
      <c r="C259" s="1"/>
      <c r="D259" s="1"/>
    </row>
    <row r="260" spans="1:4" x14ac:dyDescent="0.3">
      <c r="A260" t="e">
        <v>#REF!</v>
      </c>
      <c r="B260" t="e">
        <v>#REF!</v>
      </c>
      <c r="C260" s="1"/>
      <c r="D260" s="1"/>
    </row>
    <row r="261" spans="1:4" x14ac:dyDescent="0.3">
      <c r="A261" t="e">
        <v>#REF!</v>
      </c>
      <c r="B261" t="e">
        <v>#REF!</v>
      </c>
      <c r="C261" s="1"/>
      <c r="D261" s="1"/>
    </row>
    <row r="262" spans="1:4" x14ac:dyDescent="0.3">
      <c r="A262" t="e">
        <v>#REF!</v>
      </c>
      <c r="B262" t="e">
        <v>#REF!</v>
      </c>
      <c r="C262" s="1"/>
      <c r="D262" s="1"/>
    </row>
    <row r="263" spans="1:4" x14ac:dyDescent="0.3">
      <c r="A263" t="e">
        <v>#REF!</v>
      </c>
      <c r="B263" t="e">
        <v>#REF!</v>
      </c>
      <c r="C263" s="1"/>
      <c r="D263" s="1"/>
    </row>
    <row r="264" spans="1:4" x14ac:dyDescent="0.3">
      <c r="A264" t="e">
        <v>#REF!</v>
      </c>
      <c r="B264" t="e">
        <v>#REF!</v>
      </c>
      <c r="C264" s="1"/>
      <c r="D264" s="1"/>
    </row>
    <row r="265" spans="1:4" x14ac:dyDescent="0.3">
      <c r="A265" t="e">
        <v>#REF!</v>
      </c>
      <c r="B265" t="e">
        <v>#REF!</v>
      </c>
      <c r="C265" s="1"/>
      <c r="D265" s="1"/>
    </row>
    <row r="266" spans="1:4" x14ac:dyDescent="0.3">
      <c r="A266" t="e">
        <v>#REF!</v>
      </c>
      <c r="B266" t="e">
        <v>#REF!</v>
      </c>
      <c r="C266" s="1"/>
      <c r="D266" s="1"/>
    </row>
    <row r="267" spans="1:4" x14ac:dyDescent="0.3">
      <c r="A267" t="e">
        <v>#REF!</v>
      </c>
      <c r="B267" t="e">
        <v>#REF!</v>
      </c>
      <c r="C267" s="1"/>
      <c r="D267" s="1"/>
    </row>
    <row r="268" spans="1:4" x14ac:dyDescent="0.3">
      <c r="A268" t="e">
        <v>#REF!</v>
      </c>
      <c r="B268" t="e">
        <v>#REF!</v>
      </c>
      <c r="C268" s="1"/>
      <c r="D268" s="1"/>
    </row>
    <row r="269" spans="1:4" x14ac:dyDescent="0.3">
      <c r="A269" t="e">
        <v>#REF!</v>
      </c>
      <c r="B269" t="e">
        <v>#REF!</v>
      </c>
      <c r="C269" s="1"/>
      <c r="D269" s="1"/>
    </row>
    <row r="270" spans="1:4" x14ac:dyDescent="0.3">
      <c r="A270" t="e">
        <v>#REF!</v>
      </c>
      <c r="B270" t="e">
        <v>#REF!</v>
      </c>
      <c r="C270" s="1"/>
      <c r="D270" s="1"/>
    </row>
    <row r="271" spans="1:4" x14ac:dyDescent="0.3">
      <c r="A271" t="e">
        <v>#REF!</v>
      </c>
      <c r="B271" t="e">
        <v>#REF!</v>
      </c>
      <c r="C271" s="1"/>
      <c r="D271" s="1"/>
    </row>
    <row r="272" spans="1:4" x14ac:dyDescent="0.3">
      <c r="A272" t="e">
        <v>#REF!</v>
      </c>
      <c r="B272" t="e">
        <v>#REF!</v>
      </c>
      <c r="C272" s="1"/>
      <c r="D272" s="1"/>
    </row>
    <row r="273" spans="1:4" x14ac:dyDescent="0.3">
      <c r="A273" t="e">
        <v>#REF!</v>
      </c>
      <c r="B273" t="e">
        <v>#REF!</v>
      </c>
      <c r="C273" s="1"/>
      <c r="D273" s="1"/>
    </row>
    <row r="274" spans="1:4" x14ac:dyDescent="0.3">
      <c r="A274" t="e">
        <v>#REF!</v>
      </c>
      <c r="B274" t="e">
        <v>#REF!</v>
      </c>
      <c r="C274" s="1"/>
      <c r="D274" s="1"/>
    </row>
    <row r="275" spans="1:4" x14ac:dyDescent="0.3">
      <c r="A275" t="e">
        <v>#REF!</v>
      </c>
      <c r="B275" t="e">
        <v>#REF!</v>
      </c>
      <c r="C275" s="1"/>
      <c r="D275" s="1"/>
    </row>
    <row r="276" spans="1:4" x14ac:dyDescent="0.3">
      <c r="A276" t="e">
        <v>#REF!</v>
      </c>
      <c r="B276" t="e">
        <v>#REF!</v>
      </c>
      <c r="C276" s="1"/>
      <c r="D276" s="1"/>
    </row>
    <row r="277" spans="1:4" x14ac:dyDescent="0.3">
      <c r="A277" t="e">
        <v>#REF!</v>
      </c>
      <c r="B277" t="e">
        <v>#REF!</v>
      </c>
      <c r="C277" s="1"/>
      <c r="D277" s="1"/>
    </row>
    <row r="278" spans="1:4" x14ac:dyDescent="0.3">
      <c r="A278" t="e">
        <v>#REF!</v>
      </c>
      <c r="B278" t="e">
        <v>#REF!</v>
      </c>
      <c r="C278" s="1"/>
      <c r="D278" s="1"/>
    </row>
    <row r="279" spans="1:4" x14ac:dyDescent="0.3">
      <c r="A279" t="e">
        <v>#REF!</v>
      </c>
      <c r="B279" t="e">
        <v>#REF!</v>
      </c>
      <c r="C279" s="1"/>
      <c r="D279" s="1"/>
    </row>
    <row r="280" spans="1:4" x14ac:dyDescent="0.3">
      <c r="A280" t="e">
        <v>#REF!</v>
      </c>
      <c r="B280" t="e">
        <v>#REF!</v>
      </c>
      <c r="C280" s="1"/>
      <c r="D280" s="1"/>
    </row>
    <row r="281" spans="1:4" x14ac:dyDescent="0.3">
      <c r="A281" t="e">
        <v>#REF!</v>
      </c>
      <c r="B281" t="e">
        <v>#REF!</v>
      </c>
      <c r="C281" s="1"/>
      <c r="D281" s="1"/>
    </row>
    <row r="282" spans="1:4" x14ac:dyDescent="0.3">
      <c r="A282" t="e">
        <v>#REF!</v>
      </c>
      <c r="B282" t="e">
        <v>#REF!</v>
      </c>
      <c r="C282" s="1"/>
      <c r="D282" s="1"/>
    </row>
    <row r="283" spans="1:4" x14ac:dyDescent="0.3">
      <c r="A283" t="e">
        <v>#REF!</v>
      </c>
      <c r="B283" t="e">
        <v>#REF!</v>
      </c>
      <c r="C283" s="1"/>
      <c r="D283" s="1"/>
    </row>
    <row r="284" spans="1:4" x14ac:dyDescent="0.3">
      <c r="A284" t="e">
        <v>#REF!</v>
      </c>
      <c r="B284" t="e">
        <v>#REF!</v>
      </c>
      <c r="C284" s="1"/>
      <c r="D284" s="1"/>
    </row>
    <row r="285" spans="1:4" x14ac:dyDescent="0.3">
      <c r="A285" t="e">
        <v>#REF!</v>
      </c>
      <c r="B285" t="e">
        <v>#REF!</v>
      </c>
    </row>
    <row r="286" spans="1:4" x14ac:dyDescent="0.3">
      <c r="A286" t="e">
        <v>#REF!</v>
      </c>
      <c r="B286" t="e">
        <v>#REF!</v>
      </c>
    </row>
    <row r="287" spans="1:4" x14ac:dyDescent="0.3">
      <c r="A287" t="e">
        <v>#REF!</v>
      </c>
      <c r="B287" t="e">
        <v>#REF!</v>
      </c>
    </row>
    <row r="288" spans="1:4" x14ac:dyDescent="0.3">
      <c r="A288" t="e">
        <v>#REF!</v>
      </c>
      <c r="B288" t="e">
        <v>#REF!</v>
      </c>
    </row>
    <row r="289" spans="1:2" x14ac:dyDescent="0.3">
      <c r="A289" t="e">
        <v>#REF!</v>
      </c>
      <c r="B289" t="e">
        <v>#REF!</v>
      </c>
    </row>
    <row r="290" spans="1:2" x14ac:dyDescent="0.3">
      <c r="A290" t="e">
        <v>#REF!</v>
      </c>
      <c r="B290" t="e">
        <v>#REF!</v>
      </c>
    </row>
    <row r="291" spans="1:2" x14ac:dyDescent="0.3">
      <c r="A291" t="e">
        <v>#REF!</v>
      </c>
      <c r="B291" t="e">
        <v>#REF!</v>
      </c>
    </row>
    <row r="292" spans="1:2" x14ac:dyDescent="0.3">
      <c r="A292" t="e">
        <v>#REF!</v>
      </c>
      <c r="B292" t="e">
        <v>#REF!</v>
      </c>
    </row>
    <row r="293" spans="1:2" x14ac:dyDescent="0.3">
      <c r="A293" t="e">
        <v>#REF!</v>
      </c>
      <c r="B293" t="e">
        <v>#REF!</v>
      </c>
    </row>
    <row r="294" spans="1:2" x14ac:dyDescent="0.3">
      <c r="A294" t="e">
        <v>#REF!</v>
      </c>
      <c r="B294" t="e">
        <v>#REF!</v>
      </c>
    </row>
    <row r="295" spans="1:2" x14ac:dyDescent="0.3">
      <c r="A295" t="e">
        <v>#REF!</v>
      </c>
      <c r="B295" t="e">
        <v>#REF!</v>
      </c>
    </row>
    <row r="296" spans="1:2" x14ac:dyDescent="0.3">
      <c r="A296" t="e">
        <v>#REF!</v>
      </c>
      <c r="B296" t="e">
        <v>#REF!</v>
      </c>
    </row>
    <row r="297" spans="1:2" x14ac:dyDescent="0.3">
      <c r="A297" t="e">
        <v>#REF!</v>
      </c>
      <c r="B297" t="e">
        <v>#REF!</v>
      </c>
    </row>
    <row r="298" spans="1:2" x14ac:dyDescent="0.3">
      <c r="A298" t="e">
        <v>#REF!</v>
      </c>
      <c r="B298" t="e">
        <v>#REF!</v>
      </c>
    </row>
    <row r="299" spans="1:2" x14ac:dyDescent="0.3">
      <c r="A299" t="e">
        <v>#REF!</v>
      </c>
      <c r="B299" t="e">
        <v>#REF!</v>
      </c>
    </row>
    <row r="300" spans="1:2" x14ac:dyDescent="0.3">
      <c r="A300" t="e">
        <v>#REF!</v>
      </c>
      <c r="B300" t="e">
        <v>#REF!</v>
      </c>
    </row>
    <row r="301" spans="1:2" x14ac:dyDescent="0.3">
      <c r="A301" t="e">
        <v>#REF!</v>
      </c>
      <c r="B301" t="e">
        <v>#REF!</v>
      </c>
    </row>
    <row r="302" spans="1:2" x14ac:dyDescent="0.3">
      <c r="A302" t="e">
        <v>#REF!</v>
      </c>
      <c r="B302" t="e">
        <v>#REF!</v>
      </c>
    </row>
    <row r="303" spans="1:2" x14ac:dyDescent="0.3">
      <c r="A303" t="e">
        <v>#REF!</v>
      </c>
      <c r="B303" t="e">
        <v>#REF!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D141"/>
  <sheetViews>
    <sheetView workbookViewId="0">
      <selection activeCell="C1" sqref="C1:D141"/>
    </sheetView>
  </sheetViews>
  <sheetFormatPr defaultRowHeight="16.5" x14ac:dyDescent="0.3"/>
  <sheetData>
    <row r="1" spans="1:4" x14ac:dyDescent="0.3">
      <c r="A1">
        <v>12.310129999999999</v>
      </c>
      <c r="B1">
        <v>0.82828999999999997</v>
      </c>
      <c r="C1">
        <f>A1/200</f>
        <v>6.1550649999999998E-2</v>
      </c>
      <c r="D1">
        <f>B1</f>
        <v>0.82828999999999997</v>
      </c>
    </row>
    <row r="2" spans="1:4" x14ac:dyDescent="0.3">
      <c r="A2">
        <v>23.002980000000001</v>
      </c>
      <c r="B2">
        <v>0.81913999999999998</v>
      </c>
      <c r="C2">
        <f t="shared" ref="C2:C65" si="0">A2/200</f>
        <v>0.1150149</v>
      </c>
      <c r="D2">
        <f t="shared" ref="D2:D65" si="1">B2</f>
        <v>0.81913999999999998</v>
      </c>
    </row>
    <row r="3" spans="1:4" x14ac:dyDescent="0.3">
      <c r="A3">
        <v>33.28848</v>
      </c>
      <c r="B3">
        <v>0.80840999999999996</v>
      </c>
      <c r="C3">
        <f t="shared" si="0"/>
        <v>0.16644239999999999</v>
      </c>
      <c r="D3">
        <f t="shared" si="1"/>
        <v>0.80840999999999996</v>
      </c>
    </row>
    <row r="4" spans="1:4" x14ac:dyDescent="0.3">
      <c r="A4">
        <v>43.472149999999999</v>
      </c>
      <c r="B4">
        <v>0.79937999999999998</v>
      </c>
      <c r="C4">
        <f t="shared" si="0"/>
        <v>0.21736074999999999</v>
      </c>
      <c r="D4">
        <f t="shared" si="1"/>
        <v>0.79937999999999998</v>
      </c>
    </row>
    <row r="5" spans="1:4" x14ac:dyDescent="0.3">
      <c r="A5">
        <v>53.553980000000003</v>
      </c>
      <c r="B5">
        <v>0.79137999999999997</v>
      </c>
      <c r="C5">
        <f t="shared" si="0"/>
        <v>0.26776990000000001</v>
      </c>
      <c r="D5">
        <f t="shared" si="1"/>
        <v>0.79137999999999997</v>
      </c>
    </row>
    <row r="6" spans="1:4" x14ac:dyDescent="0.3">
      <c r="A6">
        <v>64.348659999999995</v>
      </c>
      <c r="B6">
        <v>0.78381999999999996</v>
      </c>
      <c r="C6">
        <f t="shared" si="0"/>
        <v>0.32174329999999995</v>
      </c>
      <c r="D6">
        <f t="shared" si="1"/>
        <v>0.78381999999999996</v>
      </c>
    </row>
    <row r="7" spans="1:4" x14ac:dyDescent="0.3">
      <c r="A7">
        <v>74.532330000000002</v>
      </c>
      <c r="B7">
        <v>0.77583999999999997</v>
      </c>
      <c r="C7">
        <f t="shared" si="0"/>
        <v>0.37266165000000001</v>
      </c>
      <c r="D7">
        <f t="shared" si="1"/>
        <v>0.77583999999999997</v>
      </c>
    </row>
    <row r="8" spans="1:4" x14ac:dyDescent="0.3">
      <c r="A8">
        <v>84.919669999999996</v>
      </c>
      <c r="B8">
        <v>0.76919999999999999</v>
      </c>
      <c r="C8">
        <f t="shared" si="0"/>
        <v>0.42459834999999996</v>
      </c>
      <c r="D8">
        <f t="shared" si="1"/>
        <v>0.76919999999999999</v>
      </c>
    </row>
    <row r="9" spans="1:4" x14ac:dyDescent="0.3">
      <c r="A9">
        <v>95.10333</v>
      </c>
      <c r="B9">
        <v>0.76319999999999999</v>
      </c>
      <c r="C9">
        <f t="shared" si="0"/>
        <v>0.47551664999999999</v>
      </c>
      <c r="D9">
        <f t="shared" si="1"/>
        <v>0.76319999999999999</v>
      </c>
    </row>
    <row r="10" spans="1:4" x14ac:dyDescent="0.3">
      <c r="A10">
        <v>105.18517</v>
      </c>
      <c r="B10">
        <v>0.75721000000000005</v>
      </c>
      <c r="C10">
        <f t="shared" si="0"/>
        <v>0.52592585000000003</v>
      </c>
      <c r="D10">
        <f t="shared" si="1"/>
        <v>0.75721000000000005</v>
      </c>
    </row>
    <row r="11" spans="1:4" x14ac:dyDescent="0.3">
      <c r="A11">
        <v>115.267</v>
      </c>
      <c r="B11">
        <v>0.75134999999999996</v>
      </c>
      <c r="C11">
        <f t="shared" si="0"/>
        <v>0.57633499999999993</v>
      </c>
      <c r="D11">
        <f t="shared" si="1"/>
        <v>0.75134999999999996</v>
      </c>
    </row>
    <row r="12" spans="1:4" x14ac:dyDescent="0.3">
      <c r="A12">
        <v>125.858</v>
      </c>
      <c r="B12">
        <v>0.74577000000000004</v>
      </c>
      <c r="C12">
        <f t="shared" si="0"/>
        <v>0.62929000000000002</v>
      </c>
      <c r="D12">
        <f t="shared" si="1"/>
        <v>0.74577000000000004</v>
      </c>
    </row>
    <row r="13" spans="1:4" x14ac:dyDescent="0.3">
      <c r="A13">
        <v>135.93983</v>
      </c>
      <c r="B13">
        <v>0.74031000000000002</v>
      </c>
      <c r="C13">
        <f t="shared" si="0"/>
        <v>0.67969915000000003</v>
      </c>
      <c r="D13">
        <f t="shared" si="1"/>
        <v>0.74031000000000002</v>
      </c>
    </row>
    <row r="14" spans="1:4" x14ac:dyDescent="0.3">
      <c r="A14">
        <v>146.32717</v>
      </c>
      <c r="B14">
        <v>0.73470000000000002</v>
      </c>
      <c r="C14">
        <f t="shared" si="0"/>
        <v>0.73163584999999998</v>
      </c>
      <c r="D14">
        <f t="shared" si="1"/>
        <v>0.73470000000000002</v>
      </c>
    </row>
    <row r="15" spans="1:4" x14ac:dyDescent="0.3">
      <c r="A15">
        <v>156.51084</v>
      </c>
      <c r="B15">
        <v>0.72989999999999999</v>
      </c>
      <c r="C15">
        <f t="shared" si="0"/>
        <v>0.78255419999999998</v>
      </c>
      <c r="D15">
        <f t="shared" si="1"/>
        <v>0.72989999999999999</v>
      </c>
    </row>
    <row r="16" spans="1:4" x14ac:dyDescent="0.3">
      <c r="A16">
        <v>167.00001</v>
      </c>
      <c r="B16">
        <v>0.72438999999999998</v>
      </c>
      <c r="C16">
        <f t="shared" si="0"/>
        <v>0.83500004999999999</v>
      </c>
      <c r="D16">
        <f t="shared" si="1"/>
        <v>0.72438999999999998</v>
      </c>
    </row>
    <row r="17" spans="1:4" x14ac:dyDescent="0.3">
      <c r="A17">
        <v>177.38735</v>
      </c>
      <c r="B17">
        <v>0.71955999999999998</v>
      </c>
      <c r="C17">
        <f t="shared" si="0"/>
        <v>0.88693674999999994</v>
      </c>
      <c r="D17">
        <f t="shared" si="1"/>
        <v>0.71955999999999998</v>
      </c>
    </row>
    <row r="18" spans="1:4" x14ac:dyDescent="0.3">
      <c r="A18">
        <v>188.18203</v>
      </c>
      <c r="B18">
        <v>0.71445999999999998</v>
      </c>
      <c r="C18">
        <f t="shared" si="0"/>
        <v>0.94091015</v>
      </c>
      <c r="D18">
        <f t="shared" si="1"/>
        <v>0.71445999999999998</v>
      </c>
    </row>
    <row r="19" spans="1:4" x14ac:dyDescent="0.3">
      <c r="A19">
        <v>198.36571000000001</v>
      </c>
      <c r="B19">
        <v>0.70957000000000003</v>
      </c>
      <c r="C19">
        <f t="shared" si="0"/>
        <v>0.99182855000000003</v>
      </c>
      <c r="D19">
        <f t="shared" si="1"/>
        <v>0.70957000000000003</v>
      </c>
    </row>
    <row r="20" spans="1:4" x14ac:dyDescent="0.3">
      <c r="A20">
        <v>208.44754</v>
      </c>
      <c r="B20">
        <v>0.70511999999999997</v>
      </c>
      <c r="C20">
        <f t="shared" si="0"/>
        <v>1.0422377</v>
      </c>
      <c r="D20">
        <f t="shared" si="1"/>
        <v>0.70511999999999997</v>
      </c>
    </row>
    <row r="21" spans="1:4" x14ac:dyDescent="0.3">
      <c r="A21">
        <v>219.03854000000001</v>
      </c>
      <c r="B21">
        <v>0.70026999999999995</v>
      </c>
      <c r="C21">
        <f t="shared" si="0"/>
        <v>1.0951927000000001</v>
      </c>
      <c r="D21">
        <f t="shared" si="1"/>
        <v>0.70026999999999995</v>
      </c>
    </row>
    <row r="22" spans="1:4" x14ac:dyDescent="0.3">
      <c r="A22">
        <v>229.42590000000001</v>
      </c>
      <c r="B22">
        <v>0.69594</v>
      </c>
      <c r="C22">
        <f t="shared" si="0"/>
        <v>1.1471295000000001</v>
      </c>
      <c r="D22">
        <f t="shared" si="1"/>
        <v>0.69594</v>
      </c>
    </row>
    <row r="23" spans="1:4" x14ac:dyDescent="0.3">
      <c r="A23">
        <v>239.91506000000001</v>
      </c>
      <c r="B23">
        <v>0.69120000000000004</v>
      </c>
      <c r="C23">
        <f t="shared" si="0"/>
        <v>1.1995753</v>
      </c>
      <c r="D23">
        <f t="shared" si="1"/>
        <v>0.69120000000000004</v>
      </c>
    </row>
    <row r="24" spans="1:4" x14ac:dyDescent="0.3">
      <c r="A24">
        <v>250.20058</v>
      </c>
      <c r="B24">
        <v>0.68669999999999998</v>
      </c>
      <c r="C24">
        <f t="shared" si="0"/>
        <v>1.2510029</v>
      </c>
      <c r="D24">
        <f t="shared" si="1"/>
        <v>0.68669999999999998</v>
      </c>
    </row>
    <row r="25" spans="1:4" x14ac:dyDescent="0.3">
      <c r="A25">
        <v>260.48606000000001</v>
      </c>
      <c r="B25">
        <v>0.68233999999999995</v>
      </c>
      <c r="C25">
        <f t="shared" si="0"/>
        <v>1.3024303000000002</v>
      </c>
      <c r="D25">
        <f t="shared" si="1"/>
        <v>0.68233999999999995</v>
      </c>
    </row>
    <row r="26" spans="1:4" x14ac:dyDescent="0.3">
      <c r="A26">
        <v>271.07708000000002</v>
      </c>
      <c r="B26">
        <v>0.67818000000000001</v>
      </c>
      <c r="C26">
        <f t="shared" si="0"/>
        <v>1.3553854000000001</v>
      </c>
      <c r="D26">
        <f t="shared" si="1"/>
        <v>0.67818000000000001</v>
      </c>
    </row>
    <row r="27" spans="1:4" x14ac:dyDescent="0.3">
      <c r="A27">
        <v>281.87175999999999</v>
      </c>
      <c r="B27">
        <v>0.67349000000000003</v>
      </c>
      <c r="C27">
        <f t="shared" si="0"/>
        <v>1.4093587999999999</v>
      </c>
      <c r="D27">
        <f t="shared" si="1"/>
        <v>0.67349000000000003</v>
      </c>
    </row>
    <row r="28" spans="1:4" x14ac:dyDescent="0.3">
      <c r="A28">
        <v>291.95355999999998</v>
      </c>
      <c r="B28">
        <v>0.66915000000000002</v>
      </c>
      <c r="C28">
        <f t="shared" si="0"/>
        <v>1.4597677999999998</v>
      </c>
      <c r="D28">
        <f t="shared" si="1"/>
        <v>0.66915000000000002</v>
      </c>
    </row>
    <row r="29" spans="1:4" x14ac:dyDescent="0.3">
      <c r="A29">
        <v>302.34093999999999</v>
      </c>
      <c r="B29">
        <v>0.66498999999999997</v>
      </c>
      <c r="C29">
        <f t="shared" si="0"/>
        <v>1.5117046999999999</v>
      </c>
      <c r="D29">
        <f t="shared" si="1"/>
        <v>0.66498999999999997</v>
      </c>
    </row>
    <row r="30" spans="1:4" x14ac:dyDescent="0.3">
      <c r="A30">
        <v>312.62644</v>
      </c>
      <c r="B30">
        <v>0.66098000000000001</v>
      </c>
      <c r="C30">
        <f t="shared" si="0"/>
        <v>1.5631322000000001</v>
      </c>
      <c r="D30">
        <f t="shared" si="1"/>
        <v>0.66098000000000001</v>
      </c>
    </row>
    <row r="31" spans="1:4" x14ac:dyDescent="0.3">
      <c r="A31">
        <v>322.70826</v>
      </c>
      <c r="B31">
        <v>0.65668000000000004</v>
      </c>
      <c r="C31">
        <f t="shared" si="0"/>
        <v>1.6135413000000001</v>
      </c>
      <c r="D31">
        <f t="shared" si="1"/>
        <v>0.65668000000000004</v>
      </c>
    </row>
    <row r="32" spans="1:4" x14ac:dyDescent="0.3">
      <c r="A32">
        <v>332.99376000000001</v>
      </c>
      <c r="B32">
        <v>0.65256000000000003</v>
      </c>
      <c r="C32">
        <f t="shared" si="0"/>
        <v>1.6649688</v>
      </c>
      <c r="D32">
        <f t="shared" si="1"/>
        <v>0.65256000000000003</v>
      </c>
    </row>
    <row r="33" spans="1:4" x14ac:dyDescent="0.3">
      <c r="A33">
        <v>343.17743999999999</v>
      </c>
      <c r="B33">
        <v>0.64870000000000005</v>
      </c>
      <c r="C33">
        <f t="shared" si="0"/>
        <v>1.7158872000000001</v>
      </c>
      <c r="D33">
        <f t="shared" si="1"/>
        <v>0.64870000000000005</v>
      </c>
    </row>
    <row r="34" spans="1:4" x14ac:dyDescent="0.3">
      <c r="A34">
        <v>354.07396</v>
      </c>
      <c r="B34">
        <v>0.64456000000000002</v>
      </c>
      <c r="C34">
        <f t="shared" si="0"/>
        <v>1.7703698000000001</v>
      </c>
      <c r="D34">
        <f t="shared" si="1"/>
        <v>0.64456000000000002</v>
      </c>
    </row>
    <row r="35" spans="1:4" x14ac:dyDescent="0.3">
      <c r="A35">
        <v>364.25761999999997</v>
      </c>
      <c r="B35">
        <v>0.64037999999999995</v>
      </c>
      <c r="C35">
        <f t="shared" si="0"/>
        <v>1.8212880999999999</v>
      </c>
      <c r="D35">
        <f t="shared" si="1"/>
        <v>0.64037999999999995</v>
      </c>
    </row>
    <row r="36" spans="1:4" x14ac:dyDescent="0.3">
      <c r="A36">
        <v>374.74678</v>
      </c>
      <c r="B36">
        <v>0.63661999999999996</v>
      </c>
      <c r="C36">
        <f t="shared" si="0"/>
        <v>1.8737339</v>
      </c>
      <c r="D36">
        <f t="shared" si="1"/>
        <v>0.63661999999999996</v>
      </c>
    </row>
    <row r="37" spans="1:4" x14ac:dyDescent="0.3">
      <c r="A37">
        <v>385.03230000000002</v>
      </c>
      <c r="B37">
        <v>0.63229999999999997</v>
      </c>
      <c r="C37">
        <f t="shared" si="0"/>
        <v>1.9251615000000002</v>
      </c>
      <c r="D37">
        <f t="shared" si="1"/>
        <v>0.63229999999999997</v>
      </c>
    </row>
    <row r="38" spans="1:4" x14ac:dyDescent="0.3">
      <c r="A38">
        <v>395.21593999999999</v>
      </c>
      <c r="B38">
        <v>0.62895999999999996</v>
      </c>
      <c r="C38">
        <f t="shared" si="0"/>
        <v>1.9760796999999999</v>
      </c>
      <c r="D38">
        <f t="shared" si="1"/>
        <v>0.62895999999999996</v>
      </c>
    </row>
    <row r="39" spans="1:4" x14ac:dyDescent="0.3">
      <c r="A39">
        <v>405.90881999999999</v>
      </c>
      <c r="B39">
        <v>0.62439999999999996</v>
      </c>
      <c r="C39">
        <f t="shared" si="0"/>
        <v>2.0295440999999999</v>
      </c>
      <c r="D39">
        <f t="shared" si="1"/>
        <v>0.62439999999999996</v>
      </c>
    </row>
    <row r="40" spans="1:4" x14ac:dyDescent="0.3">
      <c r="A40">
        <v>416.60165999999998</v>
      </c>
      <c r="B40">
        <v>0.62085000000000001</v>
      </c>
      <c r="C40">
        <f t="shared" si="0"/>
        <v>2.0830082999999999</v>
      </c>
      <c r="D40">
        <f t="shared" si="1"/>
        <v>0.62085000000000001</v>
      </c>
    </row>
    <row r="41" spans="1:4" x14ac:dyDescent="0.3">
      <c r="A41">
        <v>427.29453999999998</v>
      </c>
      <c r="B41">
        <v>0.61648999999999998</v>
      </c>
      <c r="C41">
        <f t="shared" si="0"/>
        <v>2.1364727000000001</v>
      </c>
      <c r="D41">
        <f t="shared" si="1"/>
        <v>0.61648999999999998</v>
      </c>
    </row>
    <row r="42" spans="1:4" x14ac:dyDescent="0.3">
      <c r="A42">
        <v>437.88553999999999</v>
      </c>
      <c r="B42">
        <v>0.61262000000000005</v>
      </c>
      <c r="C42">
        <f t="shared" si="0"/>
        <v>2.1894277</v>
      </c>
      <c r="D42">
        <f t="shared" si="1"/>
        <v>0.61262000000000005</v>
      </c>
    </row>
    <row r="43" spans="1:4" x14ac:dyDescent="0.3">
      <c r="A43">
        <v>448.17104</v>
      </c>
      <c r="B43">
        <v>0.60904999999999998</v>
      </c>
      <c r="C43">
        <f t="shared" si="0"/>
        <v>2.2408551999999999</v>
      </c>
      <c r="D43">
        <f t="shared" si="1"/>
        <v>0.60904999999999998</v>
      </c>
    </row>
    <row r="44" spans="1:4" x14ac:dyDescent="0.3">
      <c r="A44">
        <v>458.35467999999997</v>
      </c>
      <c r="B44">
        <v>0.60524999999999995</v>
      </c>
      <c r="C44">
        <f t="shared" si="0"/>
        <v>2.2917733999999998</v>
      </c>
      <c r="D44">
        <f t="shared" si="1"/>
        <v>0.60524999999999995</v>
      </c>
    </row>
    <row r="45" spans="1:4" x14ac:dyDescent="0.3">
      <c r="A45">
        <v>468.94569999999999</v>
      </c>
      <c r="B45">
        <v>0.60138999999999998</v>
      </c>
      <c r="C45">
        <f t="shared" si="0"/>
        <v>2.3447285</v>
      </c>
      <c r="D45">
        <f t="shared" si="1"/>
        <v>0.60138999999999998</v>
      </c>
    </row>
    <row r="46" spans="1:4" x14ac:dyDescent="0.3">
      <c r="A46">
        <v>479.12939999999998</v>
      </c>
      <c r="B46">
        <v>0.59753000000000001</v>
      </c>
      <c r="C46">
        <f t="shared" si="0"/>
        <v>2.3956469999999999</v>
      </c>
      <c r="D46">
        <f t="shared" si="1"/>
        <v>0.59753000000000001</v>
      </c>
    </row>
    <row r="47" spans="1:4" x14ac:dyDescent="0.3">
      <c r="A47">
        <v>489.41489999999999</v>
      </c>
      <c r="B47">
        <v>0.59414</v>
      </c>
      <c r="C47">
        <f t="shared" si="0"/>
        <v>2.4470744999999998</v>
      </c>
      <c r="D47">
        <f t="shared" si="1"/>
        <v>0.59414</v>
      </c>
    </row>
    <row r="48" spans="1:4" x14ac:dyDescent="0.3">
      <c r="A48">
        <v>499.49671999999998</v>
      </c>
      <c r="B48">
        <v>0.59031999999999996</v>
      </c>
      <c r="C48">
        <f t="shared" si="0"/>
        <v>2.4974835999999998</v>
      </c>
      <c r="D48">
        <f t="shared" si="1"/>
        <v>0.59031999999999996</v>
      </c>
    </row>
    <row r="49" spans="1:4" x14ac:dyDescent="0.3">
      <c r="A49">
        <v>510.39321999999999</v>
      </c>
      <c r="B49">
        <v>0.58667000000000002</v>
      </c>
      <c r="C49">
        <f t="shared" si="0"/>
        <v>2.5519661</v>
      </c>
      <c r="D49">
        <f t="shared" si="1"/>
        <v>0.58667000000000002</v>
      </c>
    </row>
    <row r="50" spans="1:4" x14ac:dyDescent="0.3">
      <c r="A50">
        <v>520.47504000000004</v>
      </c>
      <c r="B50">
        <v>0.58287</v>
      </c>
      <c r="C50">
        <f t="shared" si="0"/>
        <v>2.6023752</v>
      </c>
      <c r="D50">
        <f t="shared" si="1"/>
        <v>0.58287</v>
      </c>
    </row>
    <row r="51" spans="1:4" x14ac:dyDescent="0.3">
      <c r="A51">
        <v>530.65869999999995</v>
      </c>
      <c r="B51">
        <v>0.57933999999999997</v>
      </c>
      <c r="C51">
        <f t="shared" si="0"/>
        <v>2.6532934999999997</v>
      </c>
      <c r="D51">
        <f t="shared" si="1"/>
        <v>0.57933999999999997</v>
      </c>
    </row>
    <row r="52" spans="1:4" x14ac:dyDescent="0.3">
      <c r="A52">
        <v>540.94424000000004</v>
      </c>
      <c r="B52">
        <v>0.57628000000000001</v>
      </c>
      <c r="C52">
        <f t="shared" si="0"/>
        <v>2.7047212000000003</v>
      </c>
      <c r="D52">
        <f t="shared" si="1"/>
        <v>0.57628000000000001</v>
      </c>
    </row>
    <row r="53" spans="1:4" x14ac:dyDescent="0.3">
      <c r="A53">
        <v>551.84072000000003</v>
      </c>
      <c r="B53">
        <v>0.57237000000000005</v>
      </c>
      <c r="C53">
        <f t="shared" si="0"/>
        <v>2.7592036000000002</v>
      </c>
      <c r="D53">
        <f t="shared" si="1"/>
        <v>0.57237000000000005</v>
      </c>
    </row>
    <row r="54" spans="1:4" x14ac:dyDescent="0.3">
      <c r="A54">
        <v>562.22811999999999</v>
      </c>
      <c r="B54">
        <v>0.56857000000000002</v>
      </c>
      <c r="C54">
        <f t="shared" si="0"/>
        <v>2.8111405999999999</v>
      </c>
      <c r="D54">
        <f t="shared" si="1"/>
        <v>0.56857000000000002</v>
      </c>
    </row>
    <row r="55" spans="1:4" x14ac:dyDescent="0.3">
      <c r="A55">
        <v>572.30992000000003</v>
      </c>
      <c r="B55">
        <v>0.56474999999999997</v>
      </c>
      <c r="C55">
        <f t="shared" si="0"/>
        <v>2.8615496</v>
      </c>
      <c r="D55">
        <f t="shared" si="1"/>
        <v>0.56474999999999997</v>
      </c>
    </row>
    <row r="56" spans="1:4" x14ac:dyDescent="0.3">
      <c r="A56">
        <v>583.30830000000003</v>
      </c>
      <c r="B56">
        <v>0.56118000000000001</v>
      </c>
      <c r="C56">
        <f t="shared" si="0"/>
        <v>2.9165415000000001</v>
      </c>
      <c r="D56">
        <f t="shared" si="1"/>
        <v>0.56118000000000001</v>
      </c>
    </row>
    <row r="57" spans="1:4" x14ac:dyDescent="0.3">
      <c r="A57">
        <v>593.59375999999997</v>
      </c>
      <c r="B57">
        <v>0.55744000000000005</v>
      </c>
      <c r="C57">
        <f t="shared" si="0"/>
        <v>2.9679688</v>
      </c>
      <c r="D57">
        <f t="shared" si="1"/>
        <v>0.55744000000000005</v>
      </c>
    </row>
    <row r="58" spans="1:4" x14ac:dyDescent="0.3">
      <c r="A58">
        <v>603.77743999999996</v>
      </c>
      <c r="B58">
        <v>0.5544</v>
      </c>
      <c r="C58">
        <f t="shared" si="0"/>
        <v>3.0188872</v>
      </c>
      <c r="D58">
        <f t="shared" si="1"/>
        <v>0.5544</v>
      </c>
    </row>
    <row r="59" spans="1:4" x14ac:dyDescent="0.3">
      <c r="A59">
        <v>613.96114</v>
      </c>
      <c r="B59">
        <v>0.55091000000000001</v>
      </c>
      <c r="C59">
        <f t="shared" si="0"/>
        <v>3.0698056999999999</v>
      </c>
      <c r="D59">
        <f t="shared" si="1"/>
        <v>0.55091000000000001</v>
      </c>
    </row>
    <row r="60" spans="1:4" x14ac:dyDescent="0.3">
      <c r="A60">
        <v>624.14477999999997</v>
      </c>
      <c r="B60">
        <v>0.54725999999999997</v>
      </c>
      <c r="C60">
        <f t="shared" si="0"/>
        <v>3.1207238999999998</v>
      </c>
      <c r="D60">
        <f t="shared" si="1"/>
        <v>0.54725999999999997</v>
      </c>
    </row>
    <row r="61" spans="1:4" x14ac:dyDescent="0.3">
      <c r="A61">
        <v>635.34677999999997</v>
      </c>
      <c r="B61">
        <v>0.54359999999999997</v>
      </c>
      <c r="C61">
        <f t="shared" si="0"/>
        <v>3.1767338999999999</v>
      </c>
      <c r="D61">
        <f t="shared" si="1"/>
        <v>0.54359999999999997</v>
      </c>
    </row>
    <row r="62" spans="1:4" x14ac:dyDescent="0.3">
      <c r="A62">
        <v>645.63228000000004</v>
      </c>
      <c r="B62">
        <v>0.54003000000000001</v>
      </c>
      <c r="C62">
        <f t="shared" si="0"/>
        <v>3.2281614000000003</v>
      </c>
      <c r="D62">
        <f t="shared" si="1"/>
        <v>0.54003000000000001</v>
      </c>
    </row>
    <row r="63" spans="1:4" x14ac:dyDescent="0.3">
      <c r="A63">
        <v>655.71411999999998</v>
      </c>
      <c r="B63">
        <v>0.53666999999999998</v>
      </c>
      <c r="C63">
        <f t="shared" si="0"/>
        <v>3.2785706000000001</v>
      </c>
      <c r="D63">
        <f t="shared" si="1"/>
        <v>0.53666999999999998</v>
      </c>
    </row>
    <row r="64" spans="1:4" x14ac:dyDescent="0.3">
      <c r="A64">
        <v>665.89779999999996</v>
      </c>
      <c r="B64">
        <v>0.53327000000000002</v>
      </c>
      <c r="C64">
        <f t="shared" si="0"/>
        <v>3.3294889999999997</v>
      </c>
      <c r="D64">
        <f t="shared" si="1"/>
        <v>0.53327000000000002</v>
      </c>
    </row>
    <row r="65" spans="1:4" x14ac:dyDescent="0.3">
      <c r="A65">
        <v>676.59061999999994</v>
      </c>
      <c r="B65">
        <v>0.52961999999999998</v>
      </c>
      <c r="C65">
        <f t="shared" si="0"/>
        <v>3.3829530999999999</v>
      </c>
      <c r="D65">
        <f t="shared" si="1"/>
        <v>0.52961999999999998</v>
      </c>
    </row>
    <row r="66" spans="1:4" x14ac:dyDescent="0.3">
      <c r="A66">
        <v>687.99627999999996</v>
      </c>
      <c r="B66">
        <v>0.52583999999999997</v>
      </c>
      <c r="C66">
        <f t="shared" ref="C66:C129" si="2">A66/200</f>
        <v>3.4399813999999997</v>
      </c>
      <c r="D66">
        <f t="shared" ref="D66:D129" si="3">B66</f>
        <v>0.52583999999999997</v>
      </c>
    </row>
    <row r="67" spans="1:4" x14ac:dyDescent="0.3">
      <c r="A67">
        <v>698.38364000000001</v>
      </c>
      <c r="B67">
        <v>0.52248000000000006</v>
      </c>
      <c r="C67">
        <f t="shared" si="2"/>
        <v>3.4919182000000002</v>
      </c>
      <c r="D67">
        <f t="shared" si="3"/>
        <v>0.52248000000000006</v>
      </c>
    </row>
    <row r="68" spans="1:4" x14ac:dyDescent="0.3">
      <c r="A68">
        <v>708.77099999999996</v>
      </c>
      <c r="B68">
        <v>0.51883000000000001</v>
      </c>
      <c r="C68">
        <f t="shared" si="2"/>
        <v>3.5438549999999998</v>
      </c>
      <c r="D68">
        <f t="shared" si="3"/>
        <v>0.51883000000000001</v>
      </c>
    </row>
    <row r="69" spans="1:4" x14ac:dyDescent="0.3">
      <c r="A69">
        <v>718.95468000000005</v>
      </c>
      <c r="B69">
        <v>0.51571999999999996</v>
      </c>
      <c r="C69">
        <f t="shared" si="2"/>
        <v>3.5947734000000002</v>
      </c>
      <c r="D69">
        <f t="shared" si="3"/>
        <v>0.51571999999999996</v>
      </c>
    </row>
    <row r="70" spans="1:4" x14ac:dyDescent="0.3">
      <c r="A70">
        <v>729.03652</v>
      </c>
      <c r="B70">
        <v>0.51214999999999999</v>
      </c>
      <c r="C70">
        <f t="shared" si="2"/>
        <v>3.6451826000000001</v>
      </c>
      <c r="D70">
        <f t="shared" si="3"/>
        <v>0.51214999999999999</v>
      </c>
    </row>
    <row r="71" spans="1:4" x14ac:dyDescent="0.3">
      <c r="A71">
        <v>739.32198000000005</v>
      </c>
      <c r="B71">
        <v>0.50876999999999994</v>
      </c>
      <c r="C71">
        <f t="shared" si="2"/>
        <v>3.6966099000000003</v>
      </c>
      <c r="D71">
        <f t="shared" si="3"/>
        <v>0.50876999999999994</v>
      </c>
    </row>
    <row r="72" spans="1:4" x14ac:dyDescent="0.3">
      <c r="A72">
        <v>749.60752000000002</v>
      </c>
      <c r="B72">
        <v>0.50526000000000004</v>
      </c>
      <c r="C72">
        <f t="shared" si="2"/>
        <v>3.7480376</v>
      </c>
      <c r="D72">
        <f t="shared" si="3"/>
        <v>0.50526000000000004</v>
      </c>
    </row>
    <row r="73" spans="1:4" x14ac:dyDescent="0.3">
      <c r="A73">
        <v>759.99487999999997</v>
      </c>
      <c r="B73">
        <v>0.50202999999999998</v>
      </c>
      <c r="C73">
        <f t="shared" si="2"/>
        <v>3.7999744</v>
      </c>
      <c r="D73">
        <f t="shared" si="3"/>
        <v>0.50202999999999998</v>
      </c>
    </row>
    <row r="74" spans="1:4" x14ac:dyDescent="0.3">
      <c r="A74">
        <v>770.38217999999995</v>
      </c>
      <c r="B74">
        <v>0.49861</v>
      </c>
      <c r="C74">
        <f t="shared" si="2"/>
        <v>3.8519108999999996</v>
      </c>
      <c r="D74">
        <f t="shared" si="3"/>
        <v>0.49861</v>
      </c>
    </row>
    <row r="75" spans="1:4" x14ac:dyDescent="0.3">
      <c r="A75">
        <v>780.87134000000003</v>
      </c>
      <c r="B75">
        <v>0.49508000000000002</v>
      </c>
      <c r="C75">
        <f t="shared" si="2"/>
        <v>3.9043567000000001</v>
      </c>
      <c r="D75">
        <f t="shared" si="3"/>
        <v>0.49508000000000002</v>
      </c>
    </row>
    <row r="76" spans="1:4" x14ac:dyDescent="0.3">
      <c r="A76">
        <v>791.05502000000001</v>
      </c>
      <c r="B76">
        <v>0.49160999999999999</v>
      </c>
      <c r="C76">
        <f t="shared" si="2"/>
        <v>3.9552751000000002</v>
      </c>
      <c r="D76">
        <f t="shared" si="3"/>
        <v>0.49160999999999999</v>
      </c>
    </row>
    <row r="77" spans="1:4" x14ac:dyDescent="0.3">
      <c r="A77">
        <v>801.23868000000004</v>
      </c>
      <c r="B77">
        <v>0.4884</v>
      </c>
      <c r="C77">
        <f t="shared" si="2"/>
        <v>4.0061933999999999</v>
      </c>
      <c r="D77">
        <f t="shared" si="3"/>
        <v>0.4884</v>
      </c>
    </row>
    <row r="78" spans="1:4" x14ac:dyDescent="0.3">
      <c r="A78">
        <v>811.52422000000001</v>
      </c>
      <c r="B78">
        <v>0.48515000000000003</v>
      </c>
      <c r="C78">
        <f t="shared" si="2"/>
        <v>4.0576211000000004</v>
      </c>
      <c r="D78">
        <f t="shared" si="3"/>
        <v>0.48515000000000003</v>
      </c>
    </row>
    <row r="79" spans="1:4" x14ac:dyDescent="0.3">
      <c r="A79">
        <v>821.91161999999997</v>
      </c>
      <c r="B79">
        <v>0.48175000000000001</v>
      </c>
      <c r="C79">
        <f t="shared" si="2"/>
        <v>4.1095581000000001</v>
      </c>
      <c r="D79">
        <f t="shared" si="3"/>
        <v>0.48175000000000001</v>
      </c>
    </row>
    <row r="80" spans="1:4" x14ac:dyDescent="0.3">
      <c r="A80">
        <v>832.19708000000003</v>
      </c>
      <c r="B80">
        <v>0.47838999999999998</v>
      </c>
      <c r="C80">
        <f t="shared" si="2"/>
        <v>4.1609854000000004</v>
      </c>
      <c r="D80">
        <f t="shared" si="3"/>
        <v>0.47838999999999998</v>
      </c>
    </row>
    <row r="81" spans="1:4" x14ac:dyDescent="0.3">
      <c r="A81">
        <v>842.38076000000001</v>
      </c>
      <c r="B81">
        <v>0.47502</v>
      </c>
      <c r="C81">
        <f t="shared" si="2"/>
        <v>4.2119038</v>
      </c>
      <c r="D81">
        <f t="shared" si="3"/>
        <v>0.47502</v>
      </c>
    </row>
    <row r="82" spans="1:4" x14ac:dyDescent="0.3">
      <c r="A82">
        <v>852.46259999999995</v>
      </c>
      <c r="B82">
        <v>0.47192000000000001</v>
      </c>
      <c r="C82">
        <f t="shared" si="2"/>
        <v>4.2623129999999998</v>
      </c>
      <c r="D82">
        <f t="shared" si="3"/>
        <v>0.47192000000000001</v>
      </c>
    </row>
    <row r="83" spans="1:4" x14ac:dyDescent="0.3">
      <c r="A83">
        <v>862.54444000000001</v>
      </c>
      <c r="B83">
        <v>0.46855999999999998</v>
      </c>
      <c r="C83">
        <f t="shared" si="2"/>
        <v>4.3127221999999996</v>
      </c>
      <c r="D83">
        <f t="shared" si="3"/>
        <v>0.46855999999999998</v>
      </c>
    </row>
    <row r="84" spans="1:4" x14ac:dyDescent="0.3">
      <c r="A84">
        <v>872.72802000000001</v>
      </c>
      <c r="B84">
        <v>0.46505000000000002</v>
      </c>
      <c r="C84">
        <f t="shared" si="2"/>
        <v>4.3636401000000005</v>
      </c>
      <c r="D84">
        <f t="shared" si="3"/>
        <v>0.46505000000000002</v>
      </c>
    </row>
    <row r="85" spans="1:4" x14ac:dyDescent="0.3">
      <c r="A85">
        <v>882.91182000000003</v>
      </c>
      <c r="B85">
        <v>0.46212999999999999</v>
      </c>
      <c r="C85">
        <f t="shared" si="2"/>
        <v>4.4145591</v>
      </c>
      <c r="D85">
        <f t="shared" si="3"/>
        <v>0.46212999999999999</v>
      </c>
    </row>
    <row r="86" spans="1:4" x14ac:dyDescent="0.3">
      <c r="A86">
        <v>893.29912000000002</v>
      </c>
      <c r="B86">
        <v>0.45851999999999998</v>
      </c>
      <c r="C86">
        <f t="shared" si="2"/>
        <v>4.4664956</v>
      </c>
      <c r="D86">
        <f t="shared" si="3"/>
        <v>0.45851999999999998</v>
      </c>
    </row>
    <row r="87" spans="1:4" x14ac:dyDescent="0.3">
      <c r="A87">
        <v>903.48281999999995</v>
      </c>
      <c r="B87">
        <v>0.45524999999999999</v>
      </c>
      <c r="C87">
        <f t="shared" si="2"/>
        <v>4.5174140999999999</v>
      </c>
      <c r="D87">
        <f t="shared" si="3"/>
        <v>0.45524999999999999</v>
      </c>
    </row>
    <row r="88" spans="1:4" x14ac:dyDescent="0.3">
      <c r="A88">
        <v>913.76826000000005</v>
      </c>
      <c r="B88">
        <v>0.45193</v>
      </c>
      <c r="C88">
        <f t="shared" si="2"/>
        <v>4.5688412999999999</v>
      </c>
      <c r="D88">
        <f t="shared" si="3"/>
        <v>0.45193</v>
      </c>
    </row>
    <row r="89" spans="1:4" x14ac:dyDescent="0.3">
      <c r="A89">
        <v>924.25742000000002</v>
      </c>
      <c r="B89">
        <v>0.44827</v>
      </c>
      <c r="C89">
        <f t="shared" si="2"/>
        <v>4.6212871</v>
      </c>
      <c r="D89">
        <f t="shared" si="3"/>
        <v>0.44827</v>
      </c>
    </row>
    <row r="90" spans="1:4" x14ac:dyDescent="0.3">
      <c r="A90">
        <v>934.95029999999997</v>
      </c>
      <c r="B90">
        <v>0.44506000000000001</v>
      </c>
      <c r="C90">
        <f t="shared" si="2"/>
        <v>4.6747515000000002</v>
      </c>
      <c r="D90">
        <f t="shared" si="3"/>
        <v>0.44506000000000001</v>
      </c>
    </row>
    <row r="91" spans="1:4" x14ac:dyDescent="0.3">
      <c r="A91">
        <v>945.33759999999995</v>
      </c>
      <c r="B91">
        <v>0.44145000000000001</v>
      </c>
      <c r="C91">
        <f t="shared" si="2"/>
        <v>4.7266879999999993</v>
      </c>
      <c r="D91">
        <f t="shared" si="3"/>
        <v>0.44145000000000001</v>
      </c>
    </row>
    <row r="92" spans="1:4" x14ac:dyDescent="0.3">
      <c r="A92">
        <v>955.62314000000003</v>
      </c>
      <c r="B92">
        <v>0.43807000000000001</v>
      </c>
      <c r="C92">
        <f t="shared" si="2"/>
        <v>4.7781156999999999</v>
      </c>
      <c r="D92">
        <f t="shared" si="3"/>
        <v>0.43807000000000001</v>
      </c>
    </row>
    <row r="93" spans="1:4" x14ac:dyDescent="0.3">
      <c r="A93">
        <v>965.70497999999998</v>
      </c>
      <c r="B93">
        <v>0.43430999999999997</v>
      </c>
      <c r="C93">
        <f t="shared" si="2"/>
        <v>4.8285248999999997</v>
      </c>
      <c r="D93">
        <f t="shared" si="3"/>
        <v>0.43430999999999997</v>
      </c>
    </row>
    <row r="94" spans="1:4" x14ac:dyDescent="0.3">
      <c r="A94">
        <v>975.88858000000005</v>
      </c>
      <c r="B94">
        <v>0.43132999999999999</v>
      </c>
      <c r="C94">
        <f t="shared" si="2"/>
        <v>4.8794428999999999</v>
      </c>
      <c r="D94">
        <f t="shared" si="3"/>
        <v>0.43132999999999999</v>
      </c>
    </row>
    <row r="95" spans="1:4" x14ac:dyDescent="0.3">
      <c r="A95">
        <v>985.97050000000002</v>
      </c>
      <c r="B95">
        <v>0.42781999999999998</v>
      </c>
      <c r="C95">
        <f t="shared" si="2"/>
        <v>4.9298525</v>
      </c>
      <c r="D95">
        <f t="shared" si="3"/>
        <v>0.42781999999999998</v>
      </c>
    </row>
    <row r="96" spans="1:4" x14ac:dyDescent="0.3">
      <c r="A96">
        <v>996.15409999999997</v>
      </c>
      <c r="B96">
        <v>0.42474000000000001</v>
      </c>
      <c r="C96">
        <f t="shared" si="2"/>
        <v>4.9807705000000002</v>
      </c>
      <c r="D96">
        <f t="shared" si="3"/>
        <v>0.42474000000000001</v>
      </c>
    </row>
    <row r="97" spans="1:4" x14ac:dyDescent="0.3">
      <c r="A97">
        <v>1006.64336</v>
      </c>
      <c r="B97">
        <v>0.42081000000000002</v>
      </c>
      <c r="C97">
        <f t="shared" si="2"/>
        <v>5.0332167999999999</v>
      </c>
      <c r="D97">
        <f t="shared" si="3"/>
        <v>0.42081000000000002</v>
      </c>
    </row>
    <row r="98" spans="1:4" x14ac:dyDescent="0.3">
      <c r="A98">
        <v>1017.03066</v>
      </c>
      <c r="B98">
        <v>0.41733999999999999</v>
      </c>
      <c r="C98">
        <f t="shared" si="2"/>
        <v>5.0851533</v>
      </c>
      <c r="D98">
        <f t="shared" si="3"/>
        <v>0.41733999999999999</v>
      </c>
    </row>
    <row r="99" spans="1:4" x14ac:dyDescent="0.3">
      <c r="A99">
        <v>1027.1124</v>
      </c>
      <c r="B99">
        <v>0.41409000000000001</v>
      </c>
      <c r="C99">
        <f t="shared" si="2"/>
        <v>5.1355620000000002</v>
      </c>
      <c r="D99">
        <f t="shared" si="3"/>
        <v>0.41409000000000001</v>
      </c>
    </row>
    <row r="100" spans="1:4" x14ac:dyDescent="0.3">
      <c r="A100">
        <v>1037.80538</v>
      </c>
      <c r="B100">
        <v>0.41077000000000002</v>
      </c>
      <c r="C100">
        <f t="shared" si="2"/>
        <v>5.1890269</v>
      </c>
      <c r="D100">
        <f t="shared" si="3"/>
        <v>0.41077000000000002</v>
      </c>
    </row>
    <row r="101" spans="1:4" x14ac:dyDescent="0.3">
      <c r="A101">
        <v>1047.8870999999999</v>
      </c>
      <c r="B101">
        <v>0.40722000000000003</v>
      </c>
      <c r="C101">
        <f t="shared" si="2"/>
        <v>5.2394354999999999</v>
      </c>
      <c r="D101">
        <f t="shared" si="3"/>
        <v>0.40722000000000003</v>
      </c>
    </row>
    <row r="102" spans="1:4" x14ac:dyDescent="0.3">
      <c r="A102">
        <v>1058.68174</v>
      </c>
      <c r="B102">
        <v>0.40338000000000002</v>
      </c>
      <c r="C102">
        <f t="shared" si="2"/>
        <v>5.2934086999999996</v>
      </c>
      <c r="D102">
        <f t="shared" si="3"/>
        <v>0.40338000000000002</v>
      </c>
    </row>
    <row r="103" spans="1:4" x14ac:dyDescent="0.3">
      <c r="A103">
        <v>1068.76368</v>
      </c>
      <c r="B103">
        <v>0.40028999999999998</v>
      </c>
      <c r="C103">
        <f t="shared" si="2"/>
        <v>5.3438184</v>
      </c>
      <c r="D103">
        <f t="shared" si="3"/>
        <v>0.40028999999999998</v>
      </c>
    </row>
    <row r="104" spans="1:4" x14ac:dyDescent="0.3">
      <c r="A104">
        <v>1079.0491199999999</v>
      </c>
      <c r="B104">
        <v>0.39654</v>
      </c>
      <c r="C104">
        <f t="shared" si="2"/>
        <v>5.3952455999999991</v>
      </c>
      <c r="D104">
        <f t="shared" si="3"/>
        <v>0.39654</v>
      </c>
    </row>
    <row r="105" spans="1:4" x14ac:dyDescent="0.3">
      <c r="A105">
        <v>1089.53828</v>
      </c>
      <c r="B105">
        <v>0.39323999999999998</v>
      </c>
      <c r="C105">
        <f t="shared" si="2"/>
        <v>5.4476914000000001</v>
      </c>
      <c r="D105">
        <f t="shared" si="3"/>
        <v>0.39323999999999998</v>
      </c>
    </row>
    <row r="106" spans="1:4" x14ac:dyDescent="0.3">
      <c r="A106">
        <v>1099.72198</v>
      </c>
      <c r="B106">
        <v>0.38929000000000002</v>
      </c>
      <c r="C106">
        <f t="shared" si="2"/>
        <v>5.4986098999999999</v>
      </c>
      <c r="D106">
        <f t="shared" si="3"/>
        <v>0.38929000000000002</v>
      </c>
    </row>
    <row r="107" spans="1:4" x14ac:dyDescent="0.3">
      <c r="A107">
        <v>1109.8037200000001</v>
      </c>
      <c r="B107">
        <v>0.38590999999999998</v>
      </c>
      <c r="C107">
        <f t="shared" si="2"/>
        <v>5.5490186000000001</v>
      </c>
      <c r="D107">
        <f t="shared" si="3"/>
        <v>0.38590999999999998</v>
      </c>
    </row>
    <row r="108" spans="1:4" x14ac:dyDescent="0.3">
      <c r="A108">
        <v>1120.29296</v>
      </c>
      <c r="B108">
        <v>0.38242999999999999</v>
      </c>
      <c r="C108">
        <f t="shared" si="2"/>
        <v>5.6014647999999996</v>
      </c>
      <c r="D108">
        <f t="shared" si="3"/>
        <v>0.38242999999999999</v>
      </c>
    </row>
    <row r="109" spans="1:4" x14ac:dyDescent="0.3">
      <c r="A109">
        <v>1130.5784200000001</v>
      </c>
      <c r="B109">
        <v>0.37884000000000001</v>
      </c>
      <c r="C109">
        <f t="shared" si="2"/>
        <v>5.6528920999999999</v>
      </c>
      <c r="D109">
        <f t="shared" si="3"/>
        <v>0.37884000000000001</v>
      </c>
    </row>
    <row r="110" spans="1:4" x14ac:dyDescent="0.3">
      <c r="A110">
        <v>1140.8639599999999</v>
      </c>
      <c r="B110">
        <v>0.37509999999999999</v>
      </c>
      <c r="C110">
        <f t="shared" si="2"/>
        <v>5.7043197999999995</v>
      </c>
      <c r="D110">
        <f t="shared" si="3"/>
        <v>0.37509999999999999</v>
      </c>
    </row>
    <row r="111" spans="1:4" x14ac:dyDescent="0.3">
      <c r="A111">
        <v>1151.35312</v>
      </c>
      <c r="B111">
        <v>0.37175999999999998</v>
      </c>
      <c r="C111">
        <f t="shared" si="2"/>
        <v>5.7567655999999996</v>
      </c>
      <c r="D111">
        <f t="shared" si="3"/>
        <v>0.37175999999999998</v>
      </c>
    </row>
    <row r="112" spans="1:4" x14ac:dyDescent="0.3">
      <c r="A112">
        <v>1161.43496</v>
      </c>
      <c r="B112">
        <v>0.36782999999999999</v>
      </c>
      <c r="C112">
        <f t="shared" si="2"/>
        <v>5.8071748000000003</v>
      </c>
      <c r="D112">
        <f t="shared" si="3"/>
        <v>0.36782999999999999</v>
      </c>
    </row>
    <row r="113" spans="1:4" x14ac:dyDescent="0.3">
      <c r="A113">
        <v>1171.6186600000001</v>
      </c>
      <c r="B113">
        <v>0.36404999999999998</v>
      </c>
      <c r="C113">
        <f t="shared" si="2"/>
        <v>5.8580933000000002</v>
      </c>
      <c r="D113">
        <f t="shared" si="3"/>
        <v>0.36404999999999998</v>
      </c>
    </row>
    <row r="114" spans="1:4" x14ac:dyDescent="0.3">
      <c r="A114">
        <v>1181.70048</v>
      </c>
      <c r="B114">
        <v>0.36076000000000003</v>
      </c>
      <c r="C114">
        <f t="shared" si="2"/>
        <v>5.9085023999999997</v>
      </c>
      <c r="D114">
        <f t="shared" si="3"/>
        <v>0.36076000000000003</v>
      </c>
    </row>
    <row r="115" spans="1:4" x14ac:dyDescent="0.3">
      <c r="A115">
        <v>1191.98604</v>
      </c>
      <c r="B115">
        <v>0.35664000000000001</v>
      </c>
      <c r="C115">
        <f t="shared" si="2"/>
        <v>5.9599301999999996</v>
      </c>
      <c r="D115">
        <f t="shared" si="3"/>
        <v>0.35664000000000001</v>
      </c>
    </row>
    <row r="116" spans="1:4" x14ac:dyDescent="0.3">
      <c r="A116">
        <v>1202.1697200000001</v>
      </c>
      <c r="B116">
        <v>0.35306999999999999</v>
      </c>
      <c r="C116">
        <f t="shared" si="2"/>
        <v>6.0108486000000001</v>
      </c>
      <c r="D116">
        <f t="shared" si="3"/>
        <v>0.35306999999999999</v>
      </c>
    </row>
    <row r="117" spans="1:4" x14ac:dyDescent="0.3">
      <c r="A117">
        <v>1212.76064</v>
      </c>
      <c r="B117">
        <v>0.34925</v>
      </c>
      <c r="C117">
        <f t="shared" si="2"/>
        <v>6.0638031999999997</v>
      </c>
      <c r="D117">
        <f t="shared" si="3"/>
        <v>0.34925</v>
      </c>
    </row>
    <row r="118" spans="1:4" x14ac:dyDescent="0.3">
      <c r="A118">
        <v>1223.4534200000001</v>
      </c>
      <c r="B118">
        <v>0.34517999999999999</v>
      </c>
      <c r="C118">
        <f t="shared" si="2"/>
        <v>6.1172671000000003</v>
      </c>
      <c r="D118">
        <f t="shared" si="3"/>
        <v>0.34517999999999999</v>
      </c>
    </row>
    <row r="119" spans="1:4" x14ac:dyDescent="0.3">
      <c r="A119">
        <v>1233.7390600000001</v>
      </c>
      <c r="B119">
        <v>0.34145999999999999</v>
      </c>
      <c r="C119">
        <f t="shared" si="2"/>
        <v>6.1686953000000004</v>
      </c>
      <c r="D119">
        <f t="shared" si="3"/>
        <v>0.34145999999999999</v>
      </c>
    </row>
    <row r="120" spans="1:4" x14ac:dyDescent="0.3">
      <c r="A120">
        <v>1243.8208</v>
      </c>
      <c r="B120">
        <v>0.33778000000000002</v>
      </c>
      <c r="C120">
        <f t="shared" si="2"/>
        <v>6.2191039999999997</v>
      </c>
      <c r="D120">
        <f t="shared" si="3"/>
        <v>0.33778000000000002</v>
      </c>
    </row>
    <row r="121" spans="1:4" x14ac:dyDescent="0.3">
      <c r="A121">
        <v>1254.51368</v>
      </c>
      <c r="B121">
        <v>0.33367000000000002</v>
      </c>
      <c r="C121">
        <f t="shared" si="2"/>
        <v>6.2725683999999999</v>
      </c>
      <c r="D121">
        <f t="shared" si="3"/>
        <v>0.33367000000000002</v>
      </c>
    </row>
    <row r="122" spans="1:4" x14ac:dyDescent="0.3">
      <c r="A122">
        <v>1264.5956000000001</v>
      </c>
      <c r="B122">
        <v>0.32951000000000003</v>
      </c>
      <c r="C122">
        <f t="shared" si="2"/>
        <v>6.3229780000000009</v>
      </c>
      <c r="D122">
        <f t="shared" si="3"/>
        <v>0.32951000000000003</v>
      </c>
    </row>
    <row r="123" spans="1:4" x14ac:dyDescent="0.3">
      <c r="A123">
        <v>1275.39004</v>
      </c>
      <c r="B123">
        <v>0.32582</v>
      </c>
      <c r="C123">
        <f t="shared" si="2"/>
        <v>6.3769501999999996</v>
      </c>
      <c r="D123">
        <f t="shared" si="3"/>
        <v>0.32582</v>
      </c>
    </row>
    <row r="124" spans="1:4" x14ac:dyDescent="0.3">
      <c r="A124">
        <v>1285.47198</v>
      </c>
      <c r="B124">
        <v>0.32157000000000002</v>
      </c>
      <c r="C124">
        <f t="shared" si="2"/>
        <v>6.4273598999999999</v>
      </c>
      <c r="D124">
        <f t="shared" si="3"/>
        <v>0.32157000000000002</v>
      </c>
    </row>
    <row r="125" spans="1:4" x14ac:dyDescent="0.3">
      <c r="A125">
        <v>1295.5537200000001</v>
      </c>
      <c r="B125">
        <v>0.31741999999999998</v>
      </c>
      <c r="C125">
        <f t="shared" si="2"/>
        <v>6.477768600000001</v>
      </c>
      <c r="D125">
        <f t="shared" si="3"/>
        <v>0.31741999999999998</v>
      </c>
    </row>
    <row r="126" spans="1:4" x14ac:dyDescent="0.3">
      <c r="A126">
        <v>1306.654</v>
      </c>
      <c r="B126">
        <v>0.31372</v>
      </c>
      <c r="C126">
        <f t="shared" si="2"/>
        <v>6.5332699999999999</v>
      </c>
      <c r="D126">
        <f t="shared" si="3"/>
        <v>0.31372</v>
      </c>
    </row>
    <row r="127" spans="1:4" x14ac:dyDescent="0.3">
      <c r="A127">
        <v>1316.8377</v>
      </c>
      <c r="B127">
        <v>0.30930999999999997</v>
      </c>
      <c r="C127">
        <f t="shared" si="2"/>
        <v>6.5841884999999998</v>
      </c>
      <c r="D127">
        <f t="shared" si="3"/>
        <v>0.30930999999999997</v>
      </c>
    </row>
    <row r="128" spans="1:4" x14ac:dyDescent="0.3">
      <c r="A128">
        <v>1327.3268599999999</v>
      </c>
      <c r="B128">
        <v>0.30518000000000001</v>
      </c>
      <c r="C128">
        <f t="shared" si="2"/>
        <v>6.6366342999999999</v>
      </c>
      <c r="D128">
        <f t="shared" si="3"/>
        <v>0.30518000000000001</v>
      </c>
    </row>
    <row r="129" spans="1:4" x14ac:dyDescent="0.3">
      <c r="A129">
        <v>1337.6124</v>
      </c>
      <c r="B129">
        <v>0.30116999999999999</v>
      </c>
      <c r="C129">
        <f t="shared" si="2"/>
        <v>6.6880619999999995</v>
      </c>
      <c r="D129">
        <f t="shared" si="3"/>
        <v>0.30116999999999999</v>
      </c>
    </row>
    <row r="130" spans="1:4" x14ac:dyDescent="0.3">
      <c r="A130">
        <v>1347.796</v>
      </c>
      <c r="B130">
        <v>0.29697000000000001</v>
      </c>
      <c r="C130">
        <f t="shared" ref="C130:C141" si="4">A130/200</f>
        <v>6.7389800000000006</v>
      </c>
      <c r="D130">
        <f t="shared" ref="D130:D141" si="5">B130</f>
        <v>0.29697000000000001</v>
      </c>
    </row>
    <row r="131" spans="1:4" x14ac:dyDescent="0.3">
      <c r="A131">
        <v>1358.0816400000001</v>
      </c>
      <c r="B131">
        <v>0.29241</v>
      </c>
      <c r="C131">
        <f t="shared" si="4"/>
        <v>6.7904082000000008</v>
      </c>
      <c r="D131">
        <f t="shared" si="5"/>
        <v>0.29241</v>
      </c>
    </row>
    <row r="132" spans="1:4" x14ac:dyDescent="0.3">
      <c r="A132">
        <v>1368.2652399999999</v>
      </c>
      <c r="B132">
        <v>0.28828999999999999</v>
      </c>
      <c r="C132">
        <f t="shared" si="4"/>
        <v>6.8413262000000001</v>
      </c>
      <c r="D132">
        <f t="shared" si="5"/>
        <v>0.28828999999999999</v>
      </c>
    </row>
    <row r="133" spans="1:4" x14ac:dyDescent="0.3">
      <c r="A133">
        <v>1378.44892</v>
      </c>
      <c r="B133">
        <v>0.28394999999999998</v>
      </c>
      <c r="C133">
        <f t="shared" si="4"/>
        <v>6.8922446000000006</v>
      </c>
      <c r="D133">
        <f t="shared" si="5"/>
        <v>0.28394999999999998</v>
      </c>
    </row>
    <row r="134" spans="1:4" x14ac:dyDescent="0.3">
      <c r="A134" s="1">
        <v>1388.5306599999999</v>
      </c>
      <c r="B134">
        <v>0.27972999999999998</v>
      </c>
      <c r="C134">
        <f t="shared" si="4"/>
        <v>6.9426532999999999</v>
      </c>
      <c r="D134">
        <f t="shared" si="5"/>
        <v>0.27972999999999998</v>
      </c>
    </row>
    <row r="135" spans="1:4" x14ac:dyDescent="0.3">
      <c r="A135" s="1">
        <v>1398.81612</v>
      </c>
      <c r="B135">
        <v>0.27550999999999998</v>
      </c>
      <c r="C135">
        <f t="shared" si="4"/>
        <v>6.9940806000000002</v>
      </c>
      <c r="D135">
        <f t="shared" si="5"/>
        <v>0.27550999999999998</v>
      </c>
    </row>
    <row r="136" spans="1:4" x14ac:dyDescent="0.3">
      <c r="A136" s="1">
        <v>1408.8979400000001</v>
      </c>
      <c r="B136">
        <v>0.27089000000000002</v>
      </c>
      <c r="C136">
        <f t="shared" si="4"/>
        <v>7.0444897000000006</v>
      </c>
      <c r="D136">
        <f t="shared" si="5"/>
        <v>0.27089000000000002</v>
      </c>
    </row>
    <row r="137" spans="1:4" x14ac:dyDescent="0.3">
      <c r="A137" s="1">
        <v>1419.0817400000001</v>
      </c>
      <c r="B137">
        <v>0.26651999999999998</v>
      </c>
      <c r="C137">
        <f t="shared" si="4"/>
        <v>7.0954087000000001</v>
      </c>
      <c r="D137">
        <f t="shared" si="5"/>
        <v>0.26651999999999998</v>
      </c>
    </row>
    <row r="138" spans="1:4" x14ac:dyDescent="0.3">
      <c r="A138" s="1">
        <v>1429.36708</v>
      </c>
      <c r="B138">
        <v>0.26218999999999998</v>
      </c>
      <c r="C138">
        <f t="shared" si="4"/>
        <v>7.1468353999999996</v>
      </c>
      <c r="D138">
        <f t="shared" si="5"/>
        <v>0.26218999999999998</v>
      </c>
    </row>
    <row r="139" spans="1:4" x14ac:dyDescent="0.3">
      <c r="A139" s="1">
        <v>1440.05996</v>
      </c>
      <c r="B139">
        <v>0.25738</v>
      </c>
      <c r="C139">
        <f t="shared" si="4"/>
        <v>7.2002997999999998</v>
      </c>
      <c r="D139">
        <f t="shared" si="5"/>
        <v>0.25738</v>
      </c>
    </row>
    <row r="140" spans="1:4" x14ac:dyDescent="0.3">
      <c r="A140" s="1">
        <v>1450.1418000000001</v>
      </c>
      <c r="B140">
        <v>0.25292999999999999</v>
      </c>
      <c r="C140">
        <f t="shared" si="4"/>
        <v>7.2507090000000005</v>
      </c>
      <c r="D140">
        <f t="shared" si="5"/>
        <v>0.25292999999999999</v>
      </c>
    </row>
    <row r="141" spans="1:4" x14ac:dyDescent="0.3">
      <c r="A141" s="1">
        <v>1452.9933599999999</v>
      </c>
      <c r="B141">
        <v>0.25130000000000002</v>
      </c>
      <c r="C141">
        <f t="shared" si="4"/>
        <v>7.2649667999999998</v>
      </c>
      <c r="D141">
        <f t="shared" si="5"/>
        <v>0.25130000000000002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2026-04-17T08:05:37Z</dcterms:modified>
</cp:coreProperties>
</file>