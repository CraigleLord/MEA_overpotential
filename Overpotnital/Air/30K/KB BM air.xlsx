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\"/>
    </mc:Choice>
  </mc:AlternateContent>
  <xr:revisionPtr revIDLastSave="0" documentId="13_ncr:1_{601B6750-C84F-4568-AF06-FFB2FAB0ECDD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R53" i="1" s="1"/>
  <c r="I1" i="3" l="1"/>
  <c r="K288" i="1"/>
  <c r="P288" i="1" s="1"/>
  <c r="K257" i="1"/>
  <c r="P257" i="1" s="1"/>
  <c r="K263" i="1"/>
  <c r="P263" i="1" s="1"/>
  <c r="K240" i="1"/>
  <c r="P240" i="1" s="1"/>
  <c r="K217" i="1"/>
  <c r="P217" i="1" s="1"/>
  <c r="K274" i="1"/>
  <c r="P274" i="1" s="1"/>
  <c r="K277" i="1"/>
  <c r="P277" i="1" s="1"/>
  <c r="K247" i="1"/>
  <c r="P247" i="1" s="1"/>
  <c r="K255" i="1"/>
  <c r="P255" i="1" s="1"/>
  <c r="K279" i="1"/>
  <c r="P279" i="1" s="1"/>
  <c r="K278" i="1"/>
  <c r="P278" i="1" s="1"/>
  <c r="K243" i="1"/>
  <c r="P243" i="1" s="1"/>
  <c r="K273" i="1"/>
  <c r="P273" i="1" s="1"/>
  <c r="K237" i="1"/>
  <c r="P237" i="1" s="1"/>
  <c r="K213" i="1"/>
  <c r="P213" i="1" s="1"/>
  <c r="K269" i="1"/>
  <c r="P269" i="1" s="1"/>
  <c r="K297" i="1"/>
  <c r="P297" i="1" s="1"/>
  <c r="K227" i="1"/>
  <c r="P227" i="1" s="1"/>
  <c r="K241" i="1"/>
  <c r="P241" i="1" s="1"/>
  <c r="K215" i="1"/>
  <c r="P215" i="1" s="1"/>
  <c r="K226" i="1"/>
  <c r="P226" i="1" s="1"/>
  <c r="K233" i="1"/>
  <c r="P233" i="1" s="1"/>
  <c r="K282" i="1"/>
  <c r="P282" i="1" s="1"/>
  <c r="K234" i="1"/>
  <c r="P234" i="1" s="1"/>
  <c r="K251" i="1"/>
  <c r="P251" i="1" s="1"/>
  <c r="K294" i="1"/>
  <c r="P294" i="1" s="1"/>
  <c r="K261" i="1"/>
  <c r="P261" i="1" s="1"/>
  <c r="K236" i="1"/>
  <c r="P236" i="1" s="1"/>
  <c r="K262" i="1"/>
  <c r="P262" i="1" s="1"/>
  <c r="K249" i="1"/>
  <c r="P249" i="1" s="1"/>
  <c r="K229" i="1"/>
  <c r="P229" i="1" s="1"/>
  <c r="K253" i="1"/>
  <c r="P253" i="1" s="1"/>
  <c r="K235" i="1"/>
  <c r="P235" i="1" s="1"/>
  <c r="K292" i="1"/>
  <c r="P292" i="1" s="1"/>
  <c r="K245" i="1"/>
  <c r="P245" i="1" s="1"/>
  <c r="K221" i="1"/>
  <c r="P221" i="1" s="1"/>
  <c r="K301" i="1"/>
  <c r="P301" i="1" s="1"/>
  <c r="K258" i="1"/>
  <c r="P258" i="1" s="1"/>
  <c r="K252" i="1"/>
  <c r="P252" i="1" s="1"/>
  <c r="K260" i="1"/>
  <c r="P260" i="1" s="1"/>
  <c r="K299" i="1"/>
  <c r="P299" i="1" s="1"/>
  <c r="K214" i="1"/>
  <c r="P214" i="1" s="1"/>
  <c r="K219" i="1"/>
  <c r="P219" i="1" s="1"/>
  <c r="K239" i="1"/>
  <c r="P239" i="1" s="1"/>
  <c r="K266" i="1"/>
  <c r="P266" i="1" s="1"/>
  <c r="K272" i="1"/>
  <c r="P272" i="1" s="1"/>
  <c r="K290" i="1"/>
  <c r="P290" i="1" s="1"/>
  <c r="K287" i="1"/>
  <c r="P287" i="1" s="1"/>
  <c r="K223" i="1"/>
  <c r="P223" i="1" s="1"/>
  <c r="K264" i="1"/>
  <c r="P264" i="1" s="1"/>
  <c r="K267" i="1"/>
  <c r="P267" i="1" s="1"/>
  <c r="K285" i="1"/>
  <c r="P285" i="1" s="1"/>
  <c r="K291" i="1"/>
  <c r="P291" i="1" s="1"/>
  <c r="K246" i="1"/>
  <c r="P246" i="1" s="1"/>
  <c r="K281" i="1"/>
  <c r="P281" i="1" s="1"/>
  <c r="K224" i="1"/>
  <c r="P224" i="1" s="1"/>
  <c r="K275" i="1"/>
  <c r="P275" i="1" s="1"/>
  <c r="K232" i="1"/>
  <c r="P232" i="1" s="1"/>
  <c r="K228" i="1"/>
  <c r="P228" i="1" s="1"/>
  <c r="K268" i="1"/>
  <c r="P268" i="1" s="1"/>
  <c r="K254" i="1"/>
  <c r="P254" i="1" s="1"/>
  <c r="K271" i="1"/>
  <c r="P271" i="1" s="1"/>
  <c r="K302" i="1"/>
  <c r="P302" i="1" s="1"/>
  <c r="K256" i="1"/>
  <c r="P256" i="1" s="1"/>
  <c r="K248" i="1"/>
  <c r="P248" i="1" s="1"/>
  <c r="K238" i="1"/>
  <c r="P238" i="1" s="1"/>
  <c r="K230" i="1"/>
  <c r="P230" i="1" s="1"/>
  <c r="K244" i="1"/>
  <c r="P244" i="1" s="1"/>
  <c r="K225" i="1"/>
  <c r="P225" i="1" s="1"/>
  <c r="K216" i="1"/>
  <c r="P216" i="1" s="1"/>
  <c r="K284" i="1"/>
  <c r="P284" i="1" s="1"/>
  <c r="K250" i="1"/>
  <c r="P250" i="1" s="1"/>
  <c r="K283" i="1"/>
  <c r="P283" i="1" s="1"/>
  <c r="K270" i="1"/>
  <c r="P270" i="1" s="1"/>
  <c r="K286" i="1"/>
  <c r="P286" i="1" s="1"/>
  <c r="K303" i="1"/>
  <c r="P303" i="1" s="1"/>
  <c r="K289" i="1"/>
  <c r="P289" i="1" s="1"/>
  <c r="K212" i="1"/>
  <c r="P212" i="1" s="1"/>
  <c r="K231" i="1"/>
  <c r="P231" i="1" s="1"/>
  <c r="K222" i="1"/>
  <c r="P222" i="1" s="1"/>
  <c r="K220" i="1"/>
  <c r="P220" i="1" s="1"/>
  <c r="K298" i="1"/>
  <c r="P298" i="1" s="1"/>
  <c r="K276" i="1"/>
  <c r="P276" i="1" s="1"/>
  <c r="K218" i="1"/>
  <c r="P218" i="1" s="1"/>
  <c r="K242" i="1"/>
  <c r="P242" i="1" s="1"/>
  <c r="K293" i="1"/>
  <c r="P293" i="1" s="1"/>
  <c r="K300" i="1"/>
  <c r="P300" i="1" s="1"/>
  <c r="K296" i="1"/>
  <c r="P296" i="1" s="1"/>
  <c r="K295" i="1"/>
  <c r="P295" i="1" s="1"/>
  <c r="K280" i="1"/>
  <c r="P280" i="1" s="1"/>
  <c r="K259" i="1"/>
  <c r="P259" i="1" s="1"/>
  <c r="K265" i="1"/>
  <c r="P265" i="1" s="1"/>
  <c r="K160" i="1"/>
  <c r="P160" i="1" s="1"/>
  <c r="K191" i="1"/>
  <c r="P191" i="1" s="1"/>
  <c r="K196" i="1"/>
  <c r="P196" i="1" s="1"/>
  <c r="K18" i="1"/>
  <c r="K50" i="1"/>
  <c r="K167" i="1"/>
  <c r="P167" i="1" s="1"/>
  <c r="K46" i="1"/>
  <c r="K67" i="1"/>
  <c r="K145" i="1"/>
  <c r="K169" i="1"/>
  <c r="K135" i="1"/>
  <c r="K185" i="1"/>
  <c r="P185" i="1" s="1"/>
  <c r="K117" i="1"/>
  <c r="K65" i="1"/>
  <c r="K73" i="1"/>
  <c r="K118" i="1"/>
  <c r="K27" i="1"/>
  <c r="K98" i="1"/>
  <c r="K113" i="1"/>
  <c r="K60" i="1"/>
  <c r="K202" i="1"/>
  <c r="P202" i="1" s="1"/>
  <c r="K186" i="1"/>
  <c r="P186" i="1" s="1"/>
  <c r="K156" i="1"/>
  <c r="P156" i="1" s="1"/>
  <c r="K59" i="1"/>
  <c r="K63" i="1"/>
  <c r="K150" i="1"/>
  <c r="P150" i="1" s="1"/>
  <c r="K175" i="1"/>
  <c r="P175" i="1" s="1"/>
  <c r="K8" i="1"/>
  <c r="K207" i="1"/>
  <c r="P207" i="1" s="1"/>
  <c r="K20" i="1"/>
  <c r="K36" i="1"/>
  <c r="K7" i="1"/>
  <c r="K164" i="1"/>
  <c r="P164" i="1" s="1"/>
  <c r="K122" i="1"/>
  <c r="K115" i="1"/>
  <c r="K165" i="1"/>
  <c r="P165" i="1" s="1"/>
  <c r="K151" i="1"/>
  <c r="P151" i="1" s="1"/>
  <c r="K138" i="1"/>
  <c r="K62" i="1"/>
  <c r="K163" i="1"/>
  <c r="P163" i="1" s="1"/>
  <c r="K45" i="1"/>
  <c r="K61" i="1"/>
  <c r="K198" i="1"/>
  <c r="P198" i="1" s="1"/>
  <c r="K120" i="1"/>
  <c r="K111" i="1"/>
  <c r="K149" i="1"/>
  <c r="P149" i="1" s="1"/>
  <c r="K102" i="1"/>
  <c r="K48" i="1"/>
  <c r="K143" i="1"/>
  <c r="K112" i="1"/>
  <c r="K83" i="1"/>
  <c r="K93" i="1"/>
  <c r="K205" i="1"/>
  <c r="P205" i="1" s="1"/>
  <c r="K146" i="1"/>
  <c r="P146" i="1" s="1"/>
  <c r="K176" i="1"/>
  <c r="P176" i="1" s="1"/>
  <c r="K26" i="1"/>
  <c r="K126" i="1"/>
  <c r="K87" i="1"/>
  <c r="K42" i="1"/>
  <c r="K85" i="1"/>
  <c r="K142" i="1"/>
  <c r="K209" i="1"/>
  <c r="P209" i="1" s="1"/>
  <c r="K72" i="1"/>
  <c r="K84" i="1"/>
  <c r="K153" i="1"/>
  <c r="P153" i="1" s="1"/>
  <c r="K177" i="1"/>
  <c r="P177" i="1" s="1"/>
  <c r="K21" i="1"/>
  <c r="K44" i="1"/>
  <c r="K30" i="1"/>
  <c r="K11" i="1"/>
  <c r="K99" i="1"/>
  <c r="K116" i="1"/>
  <c r="K81" i="1"/>
  <c r="K43" i="1"/>
  <c r="K82" i="1"/>
  <c r="K195" i="1"/>
  <c r="P195" i="1" s="1"/>
  <c r="K69" i="1"/>
  <c r="K139" i="1"/>
  <c r="K16" i="1"/>
  <c r="K172" i="1"/>
  <c r="P172" i="1" s="1"/>
  <c r="K17" i="1"/>
  <c r="K189" i="1"/>
  <c r="P189" i="1" s="1"/>
  <c r="K181" i="1"/>
  <c r="P181" i="1" s="1"/>
  <c r="K41" i="1"/>
  <c r="K183" i="1"/>
  <c r="P183" i="1" s="1"/>
  <c r="K200" i="1"/>
  <c r="P200" i="1" s="1"/>
  <c r="K94" i="1"/>
  <c r="K57" i="1"/>
  <c r="K32" i="1"/>
  <c r="K74" i="1"/>
  <c r="K25" i="1"/>
  <c r="K54" i="1"/>
  <c r="K147" i="1"/>
  <c r="P147" i="1" s="1"/>
  <c r="K197" i="1"/>
  <c r="P197" i="1" s="1"/>
  <c r="K86" i="1"/>
  <c r="K49" i="1"/>
  <c r="K110" i="1"/>
  <c r="K144" i="1"/>
  <c r="K190" i="1"/>
  <c r="P190" i="1" s="1"/>
  <c r="K141" i="1"/>
  <c r="K123" i="1"/>
  <c r="K39" i="1"/>
  <c r="K19" i="1"/>
  <c r="K6" i="1"/>
  <c r="K162" i="1"/>
  <c r="P162" i="1" s="1"/>
  <c r="K125" i="1"/>
  <c r="K148" i="1"/>
  <c r="P148" i="1" s="1"/>
  <c r="K171" i="1"/>
  <c r="P171" i="1" s="1"/>
  <c r="K152" i="1"/>
  <c r="P152" i="1" s="1"/>
  <c r="K105" i="1"/>
  <c r="K101" i="1"/>
  <c r="K161" i="1"/>
  <c r="P161" i="1" s="1"/>
  <c r="K95" i="1"/>
  <c r="K109" i="1"/>
  <c r="K140" i="1"/>
  <c r="K173" i="1"/>
  <c r="P173" i="1" s="1"/>
  <c r="K10" i="1"/>
  <c r="K210" i="1"/>
  <c r="P210" i="1" s="1"/>
  <c r="K108" i="1"/>
  <c r="K180" i="1"/>
  <c r="P180" i="1" s="1"/>
  <c r="K88" i="1"/>
  <c r="K80" i="1"/>
  <c r="K34" i="1"/>
  <c r="K192" i="1"/>
  <c r="P192" i="1" s="1"/>
  <c r="K14" i="1"/>
  <c r="K79" i="1"/>
  <c r="K134" i="1"/>
  <c r="K179" i="1"/>
  <c r="P179" i="1" s="1"/>
  <c r="K203" i="1"/>
  <c r="P203" i="1" s="1"/>
  <c r="K77" i="1"/>
  <c r="K199" i="1"/>
  <c r="P199" i="1" s="1"/>
  <c r="K159" i="1"/>
  <c r="P159" i="1" s="1"/>
  <c r="K9" i="1"/>
  <c r="K12" i="1"/>
  <c r="K106" i="1"/>
  <c r="K71" i="1"/>
  <c r="K40" i="1"/>
  <c r="K188" i="1"/>
  <c r="P188" i="1" s="1"/>
  <c r="K184" i="1"/>
  <c r="P184" i="1" s="1"/>
  <c r="K124" i="1"/>
  <c r="K132" i="1"/>
  <c r="K90" i="1"/>
  <c r="K51" i="1"/>
  <c r="K97" i="1"/>
  <c r="K174" i="1"/>
  <c r="P174" i="1" s="1"/>
  <c r="K193" i="1"/>
  <c r="P193" i="1" s="1"/>
  <c r="K133" i="1"/>
  <c r="K208" i="1"/>
  <c r="P208" i="1" s="1"/>
  <c r="K128" i="1"/>
  <c r="K166" i="1"/>
  <c r="P166" i="1" s="1"/>
  <c r="K35" i="1"/>
  <c r="K194" i="1"/>
  <c r="P194" i="1" s="1"/>
  <c r="K15" i="1"/>
  <c r="K154" i="1"/>
  <c r="P154" i="1" s="1"/>
  <c r="K96" i="1"/>
  <c r="K89" i="1"/>
  <c r="K76" i="1"/>
  <c r="K158" i="1"/>
  <c r="P158" i="1" s="1"/>
  <c r="K114" i="1"/>
  <c r="K52" i="1"/>
  <c r="K119" i="1"/>
  <c r="K130" i="1"/>
  <c r="K37" i="1"/>
  <c r="K137" i="1"/>
  <c r="K103" i="1"/>
  <c r="K53" i="1"/>
  <c r="K75" i="1"/>
  <c r="K157" i="1"/>
  <c r="P157" i="1" s="1"/>
  <c r="K178" i="1"/>
  <c r="P178" i="1" s="1"/>
  <c r="K168" i="1"/>
  <c r="P168" i="1" s="1"/>
  <c r="K92" i="1"/>
  <c r="K155" i="1"/>
  <c r="K5" i="1"/>
  <c r="K68" i="1"/>
  <c r="K47" i="1"/>
  <c r="K22" i="1"/>
  <c r="K66" i="1"/>
  <c r="K104" i="1"/>
  <c r="K33" i="1"/>
  <c r="K55" i="1"/>
  <c r="K121" i="1"/>
  <c r="K91" i="1"/>
  <c r="K129" i="1"/>
  <c r="K64" i="1"/>
  <c r="K136" i="1"/>
  <c r="K78" i="1"/>
  <c r="K100" i="1"/>
  <c r="K24" i="1"/>
  <c r="K170" i="1"/>
  <c r="P170" i="1" s="1"/>
  <c r="K211" i="1"/>
  <c r="P211" i="1" s="1"/>
  <c r="K201" i="1"/>
  <c r="P201" i="1" s="1"/>
  <c r="K29" i="1"/>
  <c r="K28" i="1"/>
  <c r="K70" i="1"/>
  <c r="K31" i="1"/>
  <c r="K56" i="1"/>
  <c r="K127" i="1"/>
  <c r="K206" i="1"/>
  <c r="P206" i="1" s="1"/>
  <c r="K23" i="1"/>
  <c r="K182" i="1"/>
  <c r="P182" i="1" s="1"/>
  <c r="K131" i="1"/>
  <c r="K187" i="1"/>
  <c r="P187" i="1" s="1"/>
  <c r="K13" i="1"/>
  <c r="K107" i="1"/>
  <c r="K58" i="1"/>
  <c r="K204" i="1"/>
  <c r="P204" i="1" s="1"/>
  <c r="K38" i="1"/>
  <c r="P145" i="1"/>
  <c r="P169" i="1"/>
  <c r="P155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16" i="3"/>
  <c r="L162" i="3"/>
  <c r="L112" i="3"/>
  <c r="L28" i="3"/>
  <c r="L70" i="3"/>
  <c r="L24" i="3"/>
  <c r="L163" i="3"/>
  <c r="L211" i="3"/>
  <c r="L95" i="3"/>
  <c r="L96" i="3"/>
  <c r="L155" i="3"/>
  <c r="L87" i="3"/>
  <c r="L8" i="3"/>
  <c r="L147" i="3"/>
  <c r="L2" i="3"/>
  <c r="L183" i="3"/>
  <c r="L164" i="3"/>
  <c r="L208" i="3"/>
  <c r="L131" i="3"/>
  <c r="L144" i="3"/>
  <c r="L192" i="3"/>
  <c r="L185" i="3"/>
  <c r="L178" i="3"/>
  <c r="L98" i="3"/>
  <c r="L18" i="3"/>
  <c r="L69" i="3"/>
  <c r="L168" i="3"/>
  <c r="L51" i="3"/>
  <c r="L132" i="3"/>
  <c r="L52" i="3"/>
  <c r="L201" i="3"/>
  <c r="L199" i="3"/>
  <c r="L40" i="3"/>
  <c r="L181" i="3"/>
  <c r="L36" i="3"/>
  <c r="L111" i="3"/>
  <c r="L219" i="3"/>
  <c r="L171" i="3"/>
  <c r="L19" i="3"/>
  <c r="L100" i="3"/>
  <c r="L159" i="3"/>
  <c r="L92" i="3"/>
  <c r="L203" i="3"/>
  <c r="L173" i="3"/>
  <c r="L83" i="3"/>
  <c r="L4" i="3"/>
  <c r="L46" i="3"/>
  <c r="L122" i="3"/>
  <c r="L9" i="3"/>
  <c r="L114" i="3"/>
  <c r="L184" i="3"/>
  <c r="L217" i="3"/>
  <c r="L188" i="3"/>
  <c r="L189" i="3"/>
  <c r="L174" i="3"/>
  <c r="L94" i="3"/>
  <c r="L14" i="3"/>
  <c r="L65" i="3"/>
  <c r="L160" i="3"/>
  <c r="L47" i="3"/>
  <c r="L128" i="3"/>
  <c r="L48" i="3"/>
  <c r="L197" i="3"/>
  <c r="L44" i="3"/>
  <c r="L120" i="3"/>
  <c r="L82" i="3"/>
  <c r="L32" i="3"/>
  <c r="L107" i="3"/>
  <c r="L125" i="3"/>
  <c r="L117" i="3"/>
  <c r="L20" i="3"/>
  <c r="L193" i="3"/>
  <c r="L11" i="3"/>
  <c r="L12" i="3"/>
  <c r="L151" i="3"/>
  <c r="L3" i="3"/>
  <c r="L143" i="3"/>
  <c r="L205" i="3"/>
  <c r="L167" i="3"/>
  <c r="L67" i="3"/>
  <c r="L30" i="3"/>
  <c r="L157" i="3"/>
  <c r="L169" i="3"/>
  <c r="L170" i="3"/>
  <c r="L90" i="3"/>
  <c r="L10" i="3"/>
  <c r="L61" i="3"/>
  <c r="L156" i="3"/>
  <c r="L43" i="3"/>
  <c r="L124" i="3"/>
  <c r="L220" i="3"/>
  <c r="L153" i="3"/>
  <c r="L27" i="3"/>
  <c r="L133" i="3"/>
  <c r="L23" i="3"/>
  <c r="L215" i="3"/>
  <c r="L66" i="3"/>
  <c r="L142" i="3"/>
  <c r="L207" i="3"/>
  <c r="L29" i="3"/>
  <c r="L134" i="3"/>
  <c r="L214" i="3"/>
  <c r="L101" i="3"/>
  <c r="L97" i="3"/>
  <c r="L218" i="3"/>
  <c r="L93" i="3"/>
  <c r="L222" i="3"/>
  <c r="L118" i="3"/>
  <c r="L68" i="3"/>
  <c r="L204" i="3"/>
  <c r="L190" i="3"/>
  <c r="L195" i="3"/>
  <c r="L161" i="3"/>
  <c r="L166" i="3"/>
  <c r="L86" i="3"/>
  <c r="L6" i="3"/>
  <c r="L57" i="3"/>
  <c r="L152" i="3"/>
  <c r="L39" i="3"/>
  <c r="L115" i="3"/>
  <c r="L35" i="3"/>
  <c r="L116" i="3"/>
  <c r="L212" i="3"/>
  <c r="L31" i="3"/>
  <c r="L108" i="3"/>
  <c r="L150" i="3"/>
  <c r="L121" i="3"/>
  <c r="L33" i="3"/>
  <c r="L16" i="3"/>
  <c r="L138" i="3"/>
  <c r="L54" i="3"/>
  <c r="L88" i="3"/>
  <c r="L130" i="3"/>
  <c r="L17" i="3"/>
  <c r="L206" i="3"/>
  <c r="L13" i="3"/>
  <c r="L76" i="3"/>
  <c r="L89" i="3"/>
  <c r="L72" i="3"/>
  <c r="L34" i="3"/>
  <c r="L110" i="3"/>
  <c r="L187" i="3"/>
  <c r="L53" i="3"/>
  <c r="L104" i="3"/>
  <c r="L146" i="3"/>
  <c r="L15" i="3"/>
  <c r="L91" i="3"/>
  <c r="L105" i="3"/>
  <c r="L21" i="3"/>
  <c r="L126" i="3"/>
  <c r="L75" i="3"/>
  <c r="L38" i="3"/>
  <c r="L5" i="3"/>
  <c r="L221" i="3"/>
  <c r="L81" i="3"/>
  <c r="L179" i="3"/>
  <c r="L145" i="3"/>
  <c r="L158" i="3"/>
  <c r="L78" i="3"/>
  <c r="L165" i="3"/>
  <c r="L49" i="3"/>
  <c r="L223" i="3"/>
  <c r="L103" i="3"/>
  <c r="L37" i="3"/>
  <c r="L113" i="3"/>
  <c r="L58" i="3"/>
  <c r="L7" i="3"/>
  <c r="L50" i="3"/>
  <c r="L210" i="3"/>
  <c r="L79" i="3"/>
  <c r="L139" i="3"/>
  <c r="L198" i="3"/>
  <c r="L194" i="3"/>
  <c r="L64" i="3"/>
  <c r="L175" i="3"/>
  <c r="L137" i="3"/>
  <c r="L154" i="3"/>
  <c r="L74" i="3"/>
  <c r="L149" i="3"/>
  <c r="L45" i="3"/>
  <c r="L41" i="3"/>
  <c r="L99" i="3"/>
  <c r="L62" i="3"/>
  <c r="L109" i="3"/>
  <c r="L25" i="3"/>
  <c r="L141" i="3"/>
  <c r="L80" i="3"/>
  <c r="L42" i="3"/>
  <c r="L71" i="3"/>
  <c r="L85" i="3"/>
  <c r="L63" i="3"/>
  <c r="L202" i="3"/>
  <c r="L129" i="3"/>
  <c r="L84" i="3"/>
  <c r="L191" i="3"/>
  <c r="L180" i="3"/>
  <c r="L135" i="3"/>
  <c r="L148" i="3"/>
  <c r="L127" i="3"/>
  <c r="L123" i="3"/>
  <c r="L186" i="3"/>
  <c r="L106" i="3"/>
  <c r="L26" i="3"/>
  <c r="L77" i="3"/>
  <c r="L176" i="3"/>
  <c r="L59" i="3"/>
  <c r="L140" i="3"/>
  <c r="L60" i="3"/>
  <c r="L213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<sst xmlns="http://schemas.openxmlformats.org/spreadsheetml/2006/main" count="40" uniqueCount="36">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</sst>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D267" zoomScale="85" zoomScaleNormal="85" workbookViewId="0">
      <selection activeCell="R273" sqref="R273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-0.38053999999999999</v>
      </c>
      <c r="AC3" t="s">
        <v>30</v>
      </c>
    </row>
    <row r="4" spans="1:29" x14ac:dyDescent="0.3">
      <c r="A4">
        <v>2.4380250000000003E-2</v>
      </c>
      <c r="B4">
        <v>0.79908999999999997</v>
      </c>
      <c r="C4">
        <f>A4*B4</f>
        <v>1.94820139725E-2</v>
      </c>
      <c r="D4">
        <v>1.9E-2</v>
      </c>
      <c r="E4">
        <v>9.9000000000000008E-3</v>
      </c>
      <c r="F4">
        <f>A4*200</f>
        <v>4.8760500000000002</v>
      </c>
      <c r="G4">
        <f>-B4</f>
        <v>-0.79908999999999997</v>
      </c>
      <c r="H4">
        <f t="shared" ref="H4" si="0">-C4*200</f>
        <v>-3.8964027945000002</v>
      </c>
      <c r="I4">
        <v>1</v>
      </c>
      <c r="J4">
        <f>LN(F4/1000)</f>
        <v>-5.3234198131088784</v>
      </c>
      <c r="K4">
        <f>((-G4)-$N$2)</f>
        <v>-0.38082057297601202</v>
      </c>
      <c r="L4">
        <v>1</v>
      </c>
      <c r="M4">
        <f>-1*($S$4+($S$5*J4))</f>
        <v>0.21760521689601736</v>
      </c>
      <c r="N4">
        <f>D4*A4</f>
        <v>4.6322475000000002E-4</v>
      </c>
      <c r="O4">
        <f>E4*A4</f>
        <v>2.4136447500000004E-4</v>
      </c>
      <c r="P4">
        <f>-K4-M4-N4-O4</f>
        <v>0.16251076685499466</v>
      </c>
      <c r="R4" s="2" t="s">
        <v>16</v>
      </c>
      <c r="S4">
        <v>-0.47099999999999997</v>
      </c>
      <c r="V4">
        <v>-6</v>
      </c>
      <c r="W4">
        <f>V4*$S$5+$S$4</f>
        <v>-0.18539999999999995</v>
      </c>
      <c r="Y4">
        <v>0</v>
      </c>
      <c r="Z4">
        <f>$AB$4*Y4+$AB$3</f>
        <v>-0.38053999999999999</v>
      </c>
      <c r="AB4">
        <v>11.144740000000001</v>
      </c>
      <c r="AC4" t="s">
        <v>31</v>
      </c>
    </row>
    <row r="5" spans="1:29" x14ac:dyDescent="0.3">
      <c r="A5">
        <v>7.6826149999999996E-2</v>
      </c>
      <c r="B5">
        <v>0.79774</v>
      </c>
      <c r="C5">
        <f t="shared" ref="C5:C68" si="1">A5*B5</f>
        <v>6.1287292900999997E-2</v>
      </c>
      <c r="D5">
        <v>1.9E-2</v>
      </c>
      <c r="E5">
        <v>9.9000000000000008E-3</v>
      </c>
      <c r="F5">
        <f t="shared" ref="F5:F68" si="2">A5*200</f>
        <v>15.365229999999999</v>
      </c>
      <c r="G5">
        <f t="shared" ref="G5:G68" si="3">-B5</f>
        <v>-0.79774</v>
      </c>
      <c r="H5">
        <f t="shared" ref="H5:H68" si="4">-C5*200</f>
        <v>-12.2574585802</v>
      </c>
      <c r="I5">
        <v>1</v>
      </c>
      <c r="J5">
        <f t="shared" ref="J5:J68" si="5">LN(F5/1000)</f>
        <v>-4.1756481144261404</v>
      </c>
      <c r="K5">
        <f t="shared" ref="K5:K68" si="6">((-G5)-$N$2)</f>
        <v>-0.38217057297601198</v>
      </c>
      <c r="L5">
        <v>1</v>
      </c>
      <c r="M5">
        <f t="shared" ref="M5:M68" si="7">-1*($S$4+($S$5*J5))</f>
        <v>0.27223914975331565</v>
      </c>
      <c r="N5">
        <f t="shared" ref="N5:N6" si="8">D5*A5</f>
        <v>1.45969685E-3</v>
      </c>
      <c r="O5">
        <f>E5*A5</f>
        <v>7.6057888499999997E-4</v>
      </c>
      <c r="P5">
        <f>-K5-M5-N5-O5</f>
        <v>0.10771114748769633</v>
      </c>
      <c r="R5" s="2" t="s">
        <v>17</v>
      </c>
      <c r="S5">
        <v>-4.7600000000000003E-2</v>
      </c>
      <c r="V5">
        <v>-5.9</v>
      </c>
      <c r="W5">
        <f t="shared" ref="W5:W68" si="9">V5*$S$5+$S$4</f>
        <v>-0.19015999999999994</v>
      </c>
      <c r="Y5">
        <v>0.01</v>
      </c>
      <c r="Z5">
        <f t="shared" ref="Z5:Z31" si="10">$AB$4*Y5+$AB$3</f>
        <v>-0.26909260000000002</v>
      </c>
    </row>
    <row r="6" spans="1:29" x14ac:dyDescent="0.3">
      <c r="A6">
        <v>0.12978120000000001</v>
      </c>
      <c r="B6">
        <v>0.78734999999999999</v>
      </c>
      <c r="C6">
        <f t="shared" si="1"/>
        <v>0.10218322782000001</v>
      </c>
      <c r="D6">
        <v>1.9E-2</v>
      </c>
      <c r="E6">
        <v>9.9000000000000008E-3</v>
      </c>
      <c r="F6">
        <f t="shared" si="2"/>
        <v>25.956240000000001</v>
      </c>
      <c r="G6">
        <f t="shared" si="3"/>
        <v>-0.78734999999999999</v>
      </c>
      <c r="H6">
        <f t="shared" si="4"/>
        <v>-20.436645564000003</v>
      </c>
      <c r="I6">
        <v>1</v>
      </c>
      <c r="J6">
        <f t="shared" si="5"/>
        <v>-3.6513432358489495</v>
      </c>
      <c r="K6">
        <f t="shared" si="6"/>
        <v>-0.39256057297601199</v>
      </c>
      <c r="L6">
        <v>1</v>
      </c>
      <c r="M6">
        <f t="shared" si="7"/>
        <v>0.29719606197358994</v>
      </c>
      <c r="N6">
        <f t="shared" si="8"/>
        <v>2.4658428E-3</v>
      </c>
      <c r="O6">
        <f t="shared" ref="O6:O69" si="11">E6*A6</f>
        <v>1.2848338800000002E-3</v>
      </c>
      <c r="P6">
        <f t="shared" ref="P6:P69" si="12">-K6-M6-N6-O6</f>
        <v>9.1613834322422039E-2</v>
      </c>
      <c r="V6">
        <v>-5.8</v>
      </c>
      <c r="W6">
        <f t="shared" si="9"/>
        <v>-0.19491999999999998</v>
      </c>
      <c r="Y6">
        <v>0.02</v>
      </c>
      <c r="Z6">
        <f t="shared" si="10"/>
        <v>-0.15764519999999999</v>
      </c>
      <c r="AB6" t="s">
        <v>32</v>
      </c>
    </row>
    <row r="7" spans="1:29" x14ac:dyDescent="0.3">
      <c r="A7">
        <v>0.18019035</v>
      </c>
      <c r="B7">
        <v>0.77905999999999997</v>
      </c>
      <c r="C7">
        <f t="shared" si="1"/>
        <v>0.14037909407099999</v>
      </c>
      <c r="D7">
        <v>1.9E-2</v>
      </c>
      <c r="E7">
        <v>9.9000000000000008E-3</v>
      </c>
      <c r="F7">
        <f t="shared" si="2"/>
        <v>36.038069999999998</v>
      </c>
      <c r="G7">
        <f t="shared" si="3"/>
        <v>-0.77905999999999997</v>
      </c>
      <c r="H7">
        <f t="shared" si="4"/>
        <v>-28.075818814199998</v>
      </c>
      <c r="I7">
        <v>1</v>
      </c>
      <c r="J7">
        <f t="shared" si="5"/>
        <v>-3.3231793992852614</v>
      </c>
      <c r="K7">
        <f t="shared" si="6"/>
        <v>-0.40085057297601201</v>
      </c>
      <c r="L7">
        <v>1</v>
      </c>
      <c r="M7">
        <f t="shared" si="7"/>
        <v>0.31281666059402152</v>
      </c>
      <c r="N7">
        <f t="shared" ref="N7:N70" si="13">D7*A7</f>
        <v>3.42361665E-3</v>
      </c>
      <c r="O7">
        <f t="shared" si="11"/>
        <v>1.7838844650000002E-3</v>
      </c>
      <c r="P7">
        <f t="shared" si="12"/>
        <v>8.2826411266990488E-2</v>
      </c>
      <c r="V7">
        <v>-5.7</v>
      </c>
      <c r="W7">
        <f t="shared" si="9"/>
        <v>-0.19967999999999997</v>
      </c>
      <c r="Y7">
        <v>0.03</v>
      </c>
      <c r="Z7">
        <f t="shared" si="10"/>
        <v>-4.6197800000000011E-2</v>
      </c>
      <c r="AB7" t="s">
        <v>33</v>
      </c>
      <c r="AC7">
        <f>-AB3/AB4</f>
        <v>3.4145255968286381E-2</v>
      </c>
    </row>
    <row r="8" spans="1:29" x14ac:dyDescent="0.3">
      <c r="A8">
        <v>0.23059950000000001</v>
      </c>
      <c r="B8">
        <v>0.76963000000000004</v>
      </c>
      <c r="C8">
        <f t="shared" si="1"/>
        <v>0.17747629318500002</v>
      </c>
      <c r="D8">
        <v>1.9E-2</v>
      </c>
      <c r="E8">
        <v>9.9000000000000008E-3</v>
      </c>
      <c r="F8">
        <f t="shared" si="2"/>
        <v>46.119900000000001</v>
      </c>
      <c r="G8">
        <f t="shared" si="3"/>
        <v>-0.76963000000000004</v>
      </c>
      <c r="H8">
        <f t="shared" si="4"/>
        <v>-35.495258637000006</v>
      </c>
      <c r="I8">
        <v>1</v>
      </c>
      <c r="J8">
        <f t="shared" si="5"/>
        <v>-3.0765107518403512</v>
      </c>
      <c r="K8">
        <f t="shared" si="6"/>
        <v>-0.41028057297601195</v>
      </c>
      <c r="L8">
        <v>1</v>
      </c>
      <c r="M8">
        <f t="shared" si="7"/>
        <v>0.32455808821239929</v>
      </c>
      <c r="N8">
        <f t="shared" si="13"/>
        <v>4.3813905000000004E-3</v>
      </c>
      <c r="O8">
        <f t="shared" si="11"/>
        <v>2.2829350500000005E-3</v>
      </c>
      <c r="P8">
        <f t="shared" si="12"/>
        <v>7.9058159213612658E-2</v>
      </c>
      <c r="V8">
        <v>-5.6</v>
      </c>
      <c r="W8">
        <f t="shared" si="9"/>
        <v>-0.20443999999999996</v>
      </c>
      <c r="Y8">
        <v>0.04</v>
      </c>
      <c r="Z8">
        <f t="shared" si="10"/>
        <v>6.5249600000000019E-2</v>
      </c>
    </row>
    <row r="9" spans="1:29" x14ac:dyDescent="0.3">
      <c r="A9">
        <v>0.28100864999999997</v>
      </c>
      <c r="B9">
        <v>0.76197999999999999</v>
      </c>
      <c r="C9">
        <f t="shared" si="1"/>
        <v>0.21412297112699996</v>
      </c>
      <c r="D9">
        <v>1.9E-2</v>
      </c>
      <c r="E9">
        <v>9.9000000000000008E-3</v>
      </c>
      <c r="F9">
        <f t="shared" si="2"/>
        <v>56.201729999999998</v>
      </c>
      <c r="G9">
        <f t="shared" si="3"/>
        <v>-0.76197999999999999</v>
      </c>
      <c r="H9">
        <f t="shared" si="4"/>
        <v>-42.824594225399991</v>
      </c>
      <c r="I9">
        <v>1</v>
      </c>
      <c r="J9">
        <f t="shared" si="5"/>
        <v>-2.8788077396381264</v>
      </c>
      <c r="K9">
        <f t="shared" si="6"/>
        <v>-0.41793057297601199</v>
      </c>
      <c r="L9">
        <v>1</v>
      </c>
      <c r="M9">
        <f t="shared" si="7"/>
        <v>0.33396875159322514</v>
      </c>
      <c r="N9">
        <f t="shared" si="13"/>
        <v>5.339164349999999E-3</v>
      </c>
      <c r="O9">
        <f t="shared" si="11"/>
        <v>2.7819856349999999E-3</v>
      </c>
      <c r="P9">
        <f t="shared" si="12"/>
        <v>7.5840671397786857E-2</v>
      </c>
      <c r="V9">
        <v>-5.5</v>
      </c>
      <c r="W9">
        <f t="shared" si="9"/>
        <v>-0.20919999999999994</v>
      </c>
      <c r="Y9">
        <v>0.05</v>
      </c>
      <c r="Z9">
        <f t="shared" si="10"/>
        <v>0.1766970000000001</v>
      </c>
      <c r="AB9" t="s">
        <v>35</v>
      </c>
      <c r="AC9">
        <v>3.083E-2</v>
      </c>
    </row>
    <row r="10" spans="1:29" x14ac:dyDescent="0.3">
      <c r="A10">
        <v>0.33243614999999999</v>
      </c>
      <c r="B10">
        <v>0.75546000000000002</v>
      </c>
      <c r="C10">
        <f t="shared" si="1"/>
        <v>0.25114221387899999</v>
      </c>
      <c r="D10">
        <v>1.9E-2</v>
      </c>
      <c r="E10">
        <v>9.9000000000000008E-3</v>
      </c>
      <c r="F10">
        <f t="shared" si="2"/>
        <v>66.487229999999997</v>
      </c>
      <c r="G10">
        <f t="shared" si="3"/>
        <v>-0.75546000000000002</v>
      </c>
      <c r="H10">
        <f t="shared" si="4"/>
        <v>-50.228442775799998</v>
      </c>
      <c r="I10">
        <v>1</v>
      </c>
      <c r="J10">
        <f t="shared" si="5"/>
        <v>-2.7107453798356524</v>
      </c>
      <c r="K10">
        <f t="shared" si="6"/>
        <v>-0.42445057297601196</v>
      </c>
      <c r="L10">
        <v>1</v>
      </c>
      <c r="M10">
        <f t="shared" si="7"/>
        <v>0.34196851991982291</v>
      </c>
      <c r="N10">
        <f t="shared" si="13"/>
        <v>6.3162868499999992E-3</v>
      </c>
      <c r="O10">
        <f t="shared" si="11"/>
        <v>3.291117885E-3</v>
      </c>
      <c r="P10">
        <f t="shared" si="12"/>
        <v>7.2874648321189048E-2</v>
      </c>
      <c r="V10">
        <v>-5.4</v>
      </c>
      <c r="W10">
        <f t="shared" si="9"/>
        <v>-0.21395999999999993</v>
      </c>
      <c r="Y10">
        <v>0.06</v>
      </c>
      <c r="Z10">
        <f t="shared" si="10"/>
        <v>0.28814439999999997</v>
      </c>
    </row>
    <row r="11" spans="1:29" x14ac:dyDescent="0.3">
      <c r="A11">
        <v>0.38539124999999996</v>
      </c>
      <c r="B11">
        <v>0.74797999999999998</v>
      </c>
      <c r="C11">
        <f t="shared" si="1"/>
        <v>0.28826494717499995</v>
      </c>
      <c r="D11">
        <v>1.9E-2</v>
      </c>
      <c r="E11">
        <v>9.9000000000000008E-3</v>
      </c>
      <c r="F11">
        <f t="shared" si="2"/>
        <v>77.078249999999997</v>
      </c>
      <c r="G11">
        <f t="shared" si="3"/>
        <v>-0.74797999999999998</v>
      </c>
      <c r="H11">
        <f t="shared" si="4"/>
        <v>-57.652989434999988</v>
      </c>
      <c r="I11">
        <v>1</v>
      </c>
      <c r="J11">
        <f t="shared" si="5"/>
        <v>-2.5629341393781875</v>
      </c>
      <c r="K11">
        <f t="shared" si="6"/>
        <v>-0.43193057297601201</v>
      </c>
      <c r="L11">
        <v>1</v>
      </c>
      <c r="M11">
        <f t="shared" si="7"/>
        <v>0.34900433496559824</v>
      </c>
      <c r="N11">
        <f t="shared" si="13"/>
        <v>7.3224337499999993E-3</v>
      </c>
      <c r="O11">
        <f t="shared" si="11"/>
        <v>3.8153733749999997E-3</v>
      </c>
      <c r="P11">
        <f t="shared" si="12"/>
        <v>7.178843088541377E-2</v>
      </c>
      <c r="V11">
        <v>-5.3</v>
      </c>
      <c r="W11">
        <f t="shared" si="9"/>
        <v>-0.21871999999999997</v>
      </c>
      <c r="Y11">
        <v>7.0000000000000007E-2</v>
      </c>
      <c r="Z11">
        <f t="shared" si="10"/>
        <v>0.39959180000000016</v>
      </c>
      <c r="AB11" t="s">
        <v>34</v>
      </c>
      <c r="AC11">
        <f>AC7-AC9</f>
        <v>3.3152559682863812E-3</v>
      </c>
    </row>
    <row r="12" spans="1:29" x14ac:dyDescent="0.3">
      <c r="A12">
        <v>0.43783704999999995</v>
      </c>
      <c r="B12">
        <v>0.74168000000000001</v>
      </c>
      <c r="C12">
        <f t="shared" si="1"/>
        <v>0.32473498324399996</v>
      </c>
      <c r="D12">
        <v>1.9E-2</v>
      </c>
      <c r="E12">
        <v>9.9000000000000008E-3</v>
      </c>
      <c r="F12">
        <f t="shared" si="2"/>
        <v>87.567409999999995</v>
      </c>
      <c r="G12">
        <f t="shared" si="3"/>
        <v>-0.74168000000000001</v>
      </c>
      <c r="H12">
        <f t="shared" si="4"/>
        <v>-64.946996648799995</v>
      </c>
      <c r="I12">
        <v>1</v>
      </c>
      <c r="J12">
        <f t="shared" si="5"/>
        <v>-2.4353463822243215</v>
      </c>
      <c r="K12">
        <f t="shared" si="6"/>
        <v>-0.43823057297601198</v>
      </c>
      <c r="L12">
        <v>1</v>
      </c>
      <c r="M12">
        <f t="shared" si="7"/>
        <v>0.35507751220612227</v>
      </c>
      <c r="N12">
        <f t="shared" si="13"/>
        <v>8.3189039499999996E-3</v>
      </c>
      <c r="O12">
        <f t="shared" si="11"/>
        <v>4.3345867949999995E-3</v>
      </c>
      <c r="P12">
        <f t="shared" si="12"/>
        <v>7.0499570024889713E-2</v>
      </c>
      <c r="V12">
        <v>-5.2</v>
      </c>
      <c r="W12">
        <f t="shared" si="9"/>
        <v>-0.22347999999999996</v>
      </c>
      <c r="Y12">
        <v>0.08</v>
      </c>
      <c r="Z12">
        <f t="shared" si="10"/>
        <v>0.51103920000000003</v>
      </c>
      <c r="AC12">
        <f>AC11*3</f>
        <v>9.9457679048591437E-3</v>
      </c>
    </row>
    <row r="13" spans="1:29" x14ac:dyDescent="0.3">
      <c r="A13">
        <v>0.48875545000000004</v>
      </c>
      <c r="B13">
        <v>0.73521000000000003</v>
      </c>
      <c r="C13">
        <f t="shared" si="1"/>
        <v>0.35933789439450003</v>
      </c>
      <c r="D13">
        <v>1.9E-2</v>
      </c>
      <c r="E13">
        <v>9.9000000000000008E-3</v>
      </c>
      <c r="F13">
        <f t="shared" si="2"/>
        <v>97.751090000000005</v>
      </c>
      <c r="G13">
        <f t="shared" si="3"/>
        <v>-0.73521000000000003</v>
      </c>
      <c r="H13">
        <f t="shared" si="4"/>
        <v>-71.867578878900005</v>
      </c>
      <c r="I13">
        <v>1</v>
      </c>
      <c r="J13">
        <f t="shared" si="5"/>
        <v>-2.3253309292836919</v>
      </c>
      <c r="K13">
        <f t="shared" si="6"/>
        <v>-0.44470057297601195</v>
      </c>
      <c r="L13">
        <v>1</v>
      </c>
      <c r="M13">
        <f t="shared" si="7"/>
        <v>0.36031424776609622</v>
      </c>
      <c r="N13">
        <f t="shared" si="13"/>
        <v>9.2863535500000011E-3</v>
      </c>
      <c r="O13">
        <f t="shared" si="11"/>
        <v>4.8386789550000009E-3</v>
      </c>
      <c r="P13">
        <f t="shared" si="12"/>
        <v>7.026129270491574E-2</v>
      </c>
      <c r="V13">
        <v>-5.0999999999999996</v>
      </c>
      <c r="W13">
        <f t="shared" si="9"/>
        <v>-0.22823999999999997</v>
      </c>
      <c r="Y13">
        <v>0.09</v>
      </c>
      <c r="Z13">
        <f t="shared" si="10"/>
        <v>0.62248660000000011</v>
      </c>
    </row>
    <row r="14" spans="1:29" x14ac:dyDescent="0.3">
      <c r="A14">
        <v>0.54018300000000008</v>
      </c>
      <c r="B14">
        <v>0.72875000000000001</v>
      </c>
      <c r="C14">
        <f t="shared" si="1"/>
        <v>0.39365836125000009</v>
      </c>
      <c r="D14">
        <v>1.9E-2</v>
      </c>
      <c r="E14">
        <v>9.9000000000000008E-3</v>
      </c>
      <c r="F14">
        <f t="shared" si="2"/>
        <v>108.03660000000002</v>
      </c>
      <c r="G14">
        <f t="shared" si="3"/>
        <v>-0.72875000000000001</v>
      </c>
      <c r="H14">
        <f t="shared" si="4"/>
        <v>-78.731672250000017</v>
      </c>
      <c r="I14">
        <v>1</v>
      </c>
      <c r="J14">
        <f t="shared" si="5"/>
        <v>-2.2252852203788978</v>
      </c>
      <c r="K14">
        <f t="shared" si="6"/>
        <v>-0.45116057297601198</v>
      </c>
      <c r="L14">
        <v>1</v>
      </c>
      <c r="M14">
        <f t="shared" si="7"/>
        <v>0.36507642350996444</v>
      </c>
      <c r="N14">
        <f t="shared" si="13"/>
        <v>1.0263477000000002E-2</v>
      </c>
      <c r="O14">
        <f t="shared" si="11"/>
        <v>5.3478117000000016E-3</v>
      </c>
      <c r="P14">
        <f t="shared" si="12"/>
        <v>7.0472860766047529E-2</v>
      </c>
      <c r="V14">
        <v>-5</v>
      </c>
      <c r="W14">
        <f t="shared" si="9"/>
        <v>-0.23299999999999996</v>
      </c>
      <c r="Y14">
        <v>0.1</v>
      </c>
      <c r="Z14">
        <f t="shared" si="10"/>
        <v>0.7339340000000002</v>
      </c>
    </row>
    <row r="15" spans="1:29" x14ac:dyDescent="0.3">
      <c r="A15">
        <v>0.59059209999999995</v>
      </c>
      <c r="B15">
        <v>0.72287000000000001</v>
      </c>
      <c r="C15">
        <f t="shared" si="1"/>
        <v>0.42692131132699995</v>
      </c>
      <c r="D15">
        <v>1.9E-2</v>
      </c>
      <c r="E15">
        <v>9.9000000000000008E-3</v>
      </c>
      <c r="F15">
        <f t="shared" si="2"/>
        <v>118.11841999999999</v>
      </c>
      <c r="G15">
        <f t="shared" si="3"/>
        <v>-0.72287000000000001</v>
      </c>
      <c r="H15">
        <f t="shared" si="4"/>
        <v>-85.384262265399997</v>
      </c>
      <c r="I15">
        <v>1</v>
      </c>
      <c r="J15">
        <f t="shared" si="5"/>
        <v>-2.136067598423443</v>
      </c>
      <c r="K15">
        <f t="shared" si="6"/>
        <v>-0.45704057297601197</v>
      </c>
      <c r="L15">
        <v>1</v>
      </c>
      <c r="M15">
        <f t="shared" si="7"/>
        <v>0.36932318231504407</v>
      </c>
      <c r="N15">
        <f t="shared" si="13"/>
        <v>1.1221249899999999E-2</v>
      </c>
      <c r="O15">
        <f t="shared" si="11"/>
        <v>5.8468617900000004E-3</v>
      </c>
      <c r="P15">
        <f t="shared" si="12"/>
        <v>7.0649278970967899E-2</v>
      </c>
      <c r="V15">
        <v>-4.9000000000000004</v>
      </c>
      <c r="W15">
        <f t="shared" si="9"/>
        <v>-0.23775999999999994</v>
      </c>
      <c r="Y15">
        <v>0.11</v>
      </c>
      <c r="Z15">
        <f t="shared" si="10"/>
        <v>0.84538140000000006</v>
      </c>
    </row>
    <row r="16" spans="1:29" x14ac:dyDescent="0.3">
      <c r="A16">
        <v>0.64354709999999993</v>
      </c>
      <c r="B16">
        <v>0.71750999999999998</v>
      </c>
      <c r="C16">
        <f t="shared" si="1"/>
        <v>0.46175147972099995</v>
      </c>
      <c r="D16">
        <v>1.9E-2</v>
      </c>
      <c r="E16">
        <v>9.9000000000000008E-3</v>
      </c>
      <c r="F16">
        <f t="shared" si="2"/>
        <v>128.70941999999999</v>
      </c>
      <c r="G16">
        <f t="shared" si="3"/>
        <v>-0.71750999999999998</v>
      </c>
      <c r="H16">
        <f t="shared" si="4"/>
        <v>-92.350295944199985</v>
      </c>
      <c r="I16">
        <v>1</v>
      </c>
      <c r="J16">
        <f t="shared" si="5"/>
        <v>-2.0501979735853744</v>
      </c>
      <c r="K16">
        <f t="shared" si="6"/>
        <v>-0.462400572976012</v>
      </c>
      <c r="L16">
        <v>1</v>
      </c>
      <c r="M16">
        <f t="shared" si="7"/>
        <v>0.37341057645733616</v>
      </c>
      <c r="N16">
        <f t="shared" si="13"/>
        <v>1.2227394899999999E-2</v>
      </c>
      <c r="O16">
        <f t="shared" si="11"/>
        <v>6.3711162900000002E-3</v>
      </c>
      <c r="P16">
        <f t="shared" si="12"/>
        <v>7.039148532867584E-2</v>
      </c>
      <c r="V16">
        <v>-4.8</v>
      </c>
      <c r="W16">
        <f t="shared" si="9"/>
        <v>-0.24251999999999996</v>
      </c>
      <c r="Y16">
        <v>0.12</v>
      </c>
      <c r="Z16">
        <f t="shared" si="10"/>
        <v>0.95682879999999992</v>
      </c>
    </row>
    <row r="17" spans="1:26" x14ac:dyDescent="0.3">
      <c r="A17">
        <v>0.69497465000000003</v>
      </c>
      <c r="B17">
        <v>0.71172000000000002</v>
      </c>
      <c r="C17">
        <f t="shared" si="1"/>
        <v>0.49462735789800005</v>
      </c>
      <c r="D17">
        <v>1.9E-2</v>
      </c>
      <c r="E17">
        <v>9.9000000000000008E-3</v>
      </c>
      <c r="F17">
        <f t="shared" si="2"/>
        <v>138.99493000000001</v>
      </c>
      <c r="G17">
        <f t="shared" si="3"/>
        <v>-0.71172000000000002</v>
      </c>
      <c r="H17">
        <f t="shared" si="4"/>
        <v>-98.925471579600014</v>
      </c>
      <c r="I17">
        <v>1</v>
      </c>
      <c r="J17">
        <f t="shared" si="5"/>
        <v>-1.9733178213368114</v>
      </c>
      <c r="K17">
        <f t="shared" si="6"/>
        <v>-0.46819057297601196</v>
      </c>
      <c r="L17">
        <v>1</v>
      </c>
      <c r="M17">
        <f t="shared" si="7"/>
        <v>0.37707007170436774</v>
      </c>
      <c r="N17">
        <f t="shared" si="13"/>
        <v>1.320451835E-2</v>
      </c>
      <c r="O17">
        <f t="shared" si="11"/>
        <v>6.8802490350000009E-3</v>
      </c>
      <c r="P17">
        <f t="shared" si="12"/>
        <v>7.103573388664422E-2</v>
      </c>
      <c r="V17">
        <v>-4.7</v>
      </c>
      <c r="W17">
        <f t="shared" si="9"/>
        <v>-0.24727999999999994</v>
      </c>
      <c r="Y17">
        <v>0.13</v>
      </c>
      <c r="Z17">
        <f t="shared" si="10"/>
        <v>1.0682762000000001</v>
      </c>
    </row>
    <row r="18" spans="1:26" x14ac:dyDescent="0.3">
      <c r="A18">
        <v>0.74589299999999992</v>
      </c>
      <c r="B18">
        <v>0.70623999999999998</v>
      </c>
      <c r="C18">
        <f t="shared" si="1"/>
        <v>0.52677947231999989</v>
      </c>
      <c r="D18">
        <v>1.9E-2</v>
      </c>
      <c r="E18">
        <v>9.9000000000000008E-3</v>
      </c>
      <c r="F18">
        <f t="shared" si="2"/>
        <v>149.17859999999999</v>
      </c>
      <c r="G18">
        <f t="shared" si="3"/>
        <v>-0.70623999999999998</v>
      </c>
      <c r="H18">
        <f t="shared" si="4"/>
        <v>-105.35589446399997</v>
      </c>
      <c r="I18">
        <v>1</v>
      </c>
      <c r="J18">
        <f t="shared" si="5"/>
        <v>-1.902611033135166</v>
      </c>
      <c r="K18">
        <f t="shared" si="6"/>
        <v>-0.47367057297601201</v>
      </c>
      <c r="L18">
        <v>1</v>
      </c>
      <c r="M18">
        <f t="shared" si="7"/>
        <v>0.38043571482276606</v>
      </c>
      <c r="N18">
        <f t="shared" si="13"/>
        <v>1.4171966999999999E-2</v>
      </c>
      <c r="O18">
        <f t="shared" si="11"/>
        <v>7.3843406999999995E-3</v>
      </c>
      <c r="P18">
        <f t="shared" si="12"/>
        <v>7.1678550453245948E-2</v>
      </c>
      <c r="V18">
        <v>-4.5999999999999996</v>
      </c>
      <c r="W18">
        <f t="shared" si="9"/>
        <v>-0.25203999999999999</v>
      </c>
      <c r="Y18">
        <v>0.14000000000000001</v>
      </c>
      <c r="Z18">
        <f t="shared" si="10"/>
        <v>1.1797236000000004</v>
      </c>
    </row>
    <row r="19" spans="1:26" x14ac:dyDescent="0.3">
      <c r="A19">
        <v>0.7983387999999999</v>
      </c>
      <c r="B19">
        <v>0.70132000000000005</v>
      </c>
      <c r="C19">
        <f t="shared" si="1"/>
        <v>0.55989096721599996</v>
      </c>
      <c r="D19">
        <v>1.9E-2</v>
      </c>
      <c r="E19">
        <v>9.9000000000000008E-3</v>
      </c>
      <c r="F19">
        <f t="shared" si="2"/>
        <v>159.66775999999999</v>
      </c>
      <c r="G19">
        <f t="shared" si="3"/>
        <v>-0.70132000000000005</v>
      </c>
      <c r="H19">
        <f t="shared" si="4"/>
        <v>-111.97819344319998</v>
      </c>
      <c r="I19">
        <v>1</v>
      </c>
      <c r="J19">
        <f t="shared" si="5"/>
        <v>-1.8346601226636112</v>
      </c>
      <c r="K19">
        <f t="shared" si="6"/>
        <v>-0.47859057297601193</v>
      </c>
      <c r="L19">
        <v>1</v>
      </c>
      <c r="M19">
        <f t="shared" si="7"/>
        <v>0.38367017816121207</v>
      </c>
      <c r="N19">
        <f t="shared" si="13"/>
        <v>1.5168437199999997E-2</v>
      </c>
      <c r="O19">
        <f t="shared" si="11"/>
        <v>7.9035541199999997E-3</v>
      </c>
      <c r="P19">
        <f t="shared" si="12"/>
        <v>7.1848403494799859E-2</v>
      </c>
      <c r="V19">
        <v>-4.5000000000000098</v>
      </c>
      <c r="W19">
        <f t="shared" si="9"/>
        <v>-0.25679999999999947</v>
      </c>
      <c r="Y19">
        <v>0.15</v>
      </c>
      <c r="Z19">
        <f t="shared" si="10"/>
        <v>1.2911709999999998</v>
      </c>
    </row>
    <row r="20" spans="1:26" x14ac:dyDescent="0.3">
      <c r="A20">
        <v>0.84976640000000003</v>
      </c>
      <c r="B20">
        <v>0.69586000000000003</v>
      </c>
      <c r="C20">
        <f t="shared" si="1"/>
        <v>0.59131844710400006</v>
      </c>
      <c r="D20">
        <v>1.9E-2</v>
      </c>
      <c r="E20">
        <v>9.9000000000000008E-3</v>
      </c>
      <c r="F20">
        <f t="shared" si="2"/>
        <v>169.95328000000001</v>
      </c>
      <c r="G20">
        <f t="shared" si="3"/>
        <v>-0.69586000000000003</v>
      </c>
      <c r="H20">
        <f t="shared" si="4"/>
        <v>-118.26368942080001</v>
      </c>
      <c r="I20">
        <v>1</v>
      </c>
      <c r="J20">
        <f t="shared" si="5"/>
        <v>-1.7722317032321935</v>
      </c>
      <c r="K20">
        <f t="shared" si="6"/>
        <v>-0.48405057297601195</v>
      </c>
      <c r="L20">
        <v>1</v>
      </c>
      <c r="M20">
        <f t="shared" si="7"/>
        <v>0.38664177092614754</v>
      </c>
      <c r="N20">
        <f t="shared" si="13"/>
        <v>1.61455616E-2</v>
      </c>
      <c r="O20">
        <f t="shared" si="11"/>
        <v>8.4126873600000006E-3</v>
      </c>
      <c r="P20">
        <f t="shared" si="12"/>
        <v>7.2850553089864406E-2</v>
      </c>
      <c r="V20">
        <v>-4.4000000000000101</v>
      </c>
      <c r="W20">
        <f t="shared" si="9"/>
        <v>-0.26155999999999946</v>
      </c>
      <c r="Y20">
        <v>0.16</v>
      </c>
      <c r="Z20">
        <f t="shared" si="10"/>
        <v>1.4026184000000002</v>
      </c>
    </row>
    <row r="21" spans="1:26" x14ac:dyDescent="0.3">
      <c r="A21">
        <v>0.90272135000000009</v>
      </c>
      <c r="B21">
        <v>0.69032000000000004</v>
      </c>
      <c r="C21">
        <f t="shared" si="1"/>
        <v>0.62316660233200005</v>
      </c>
      <c r="D21">
        <v>1.9E-2</v>
      </c>
      <c r="E21">
        <v>9.9000000000000008E-3</v>
      </c>
      <c r="F21">
        <f t="shared" si="2"/>
        <v>180.54427000000001</v>
      </c>
      <c r="G21">
        <f t="shared" si="3"/>
        <v>-0.69032000000000004</v>
      </c>
      <c r="H21">
        <f t="shared" si="4"/>
        <v>-124.63332046640001</v>
      </c>
      <c r="I21">
        <v>1</v>
      </c>
      <c r="J21">
        <f t="shared" si="5"/>
        <v>-1.7117792681233981</v>
      </c>
      <c r="K21">
        <f t="shared" si="6"/>
        <v>-0.48959057297601194</v>
      </c>
      <c r="L21">
        <v>1</v>
      </c>
      <c r="M21">
        <f t="shared" si="7"/>
        <v>0.38951930683732622</v>
      </c>
      <c r="N21">
        <f t="shared" si="13"/>
        <v>1.7151705650000001E-2</v>
      </c>
      <c r="O21">
        <f t="shared" si="11"/>
        <v>8.936941365000001E-3</v>
      </c>
      <c r="P21">
        <f t="shared" si="12"/>
        <v>7.3982619123685714E-2</v>
      </c>
      <c r="V21">
        <v>-4.3000000000000096</v>
      </c>
      <c r="W21">
        <f t="shared" si="9"/>
        <v>-0.2663199999999995</v>
      </c>
      <c r="Y21">
        <v>0.17</v>
      </c>
      <c r="Z21">
        <f t="shared" si="10"/>
        <v>1.5140658</v>
      </c>
    </row>
    <row r="22" spans="1:26" x14ac:dyDescent="0.3">
      <c r="A22">
        <v>0.95363975000000001</v>
      </c>
      <c r="B22">
        <v>0.68537000000000003</v>
      </c>
      <c r="C22">
        <f t="shared" si="1"/>
        <v>0.65359607545750009</v>
      </c>
      <c r="D22">
        <v>1.9E-2</v>
      </c>
      <c r="E22">
        <v>9.9000000000000008E-3</v>
      </c>
      <c r="F22">
        <f t="shared" si="2"/>
        <v>190.72794999999999</v>
      </c>
      <c r="G22">
        <f t="shared" si="3"/>
        <v>-0.68537000000000003</v>
      </c>
      <c r="H22">
        <f t="shared" si="4"/>
        <v>-130.71921509150002</v>
      </c>
      <c r="I22">
        <v>1</v>
      </c>
      <c r="J22">
        <f t="shared" si="5"/>
        <v>-1.6569072118296166</v>
      </c>
      <c r="K22">
        <f t="shared" si="6"/>
        <v>-0.49454057297601195</v>
      </c>
      <c r="L22">
        <v>1</v>
      </c>
      <c r="M22">
        <f t="shared" si="7"/>
        <v>0.3921312167169102</v>
      </c>
      <c r="N22">
        <f t="shared" si="13"/>
        <v>1.8119155250000001E-2</v>
      </c>
      <c r="O22">
        <f t="shared" si="11"/>
        <v>9.4410335250000015E-3</v>
      </c>
      <c r="P22">
        <f t="shared" si="12"/>
        <v>7.4849167484101739E-2</v>
      </c>
      <c r="V22">
        <v>-4.2000000000000099</v>
      </c>
      <c r="W22">
        <f t="shared" si="9"/>
        <v>-0.27107999999999949</v>
      </c>
      <c r="Y22">
        <v>0.18</v>
      </c>
      <c r="Z22">
        <f t="shared" si="10"/>
        <v>1.6255132000000003</v>
      </c>
    </row>
    <row r="23" spans="1:26" x14ac:dyDescent="0.3">
      <c r="A23">
        <v>1.0040488999999999</v>
      </c>
      <c r="B23">
        <v>0.68035000000000001</v>
      </c>
      <c r="C23">
        <f t="shared" si="1"/>
        <v>0.6831046691149999</v>
      </c>
      <c r="D23">
        <v>1.9E-2</v>
      </c>
      <c r="E23">
        <v>9.9000000000000008E-3</v>
      </c>
      <c r="F23">
        <f t="shared" si="2"/>
        <v>200.80977999999999</v>
      </c>
      <c r="G23">
        <f t="shared" si="3"/>
        <v>-0.68035000000000001</v>
      </c>
      <c r="H23">
        <f t="shared" si="4"/>
        <v>-136.62093382299997</v>
      </c>
      <c r="I23">
        <v>1</v>
      </c>
      <c r="J23">
        <f t="shared" si="5"/>
        <v>-1.6053971871713388</v>
      </c>
      <c r="K23">
        <f t="shared" si="6"/>
        <v>-0.49956057297601197</v>
      </c>
      <c r="L23">
        <v>1</v>
      </c>
      <c r="M23">
        <f t="shared" si="7"/>
        <v>0.39458309389064422</v>
      </c>
      <c r="N23">
        <f t="shared" si="13"/>
        <v>1.9076929099999997E-2</v>
      </c>
      <c r="O23">
        <f t="shared" si="11"/>
        <v>9.9400841100000005E-3</v>
      </c>
      <c r="P23">
        <f t="shared" si="12"/>
        <v>7.5960465875367755E-2</v>
      </c>
      <c r="V23">
        <v>-4.1000000000000103</v>
      </c>
      <c r="W23">
        <f t="shared" si="9"/>
        <v>-0.27583999999999947</v>
      </c>
      <c r="Y23">
        <v>0.19</v>
      </c>
      <c r="Z23">
        <f t="shared" si="10"/>
        <v>1.7369606000000002</v>
      </c>
    </row>
    <row r="24" spans="1:26" x14ac:dyDescent="0.3">
      <c r="A24">
        <v>1.0575132</v>
      </c>
      <c r="B24">
        <v>0.67498999999999998</v>
      </c>
      <c r="C24">
        <f t="shared" si="1"/>
        <v>0.71381083486800001</v>
      </c>
      <c r="D24">
        <v>1.9E-2</v>
      </c>
      <c r="E24">
        <v>9.9000000000000008E-3</v>
      </c>
      <c r="F24">
        <f t="shared" si="2"/>
        <v>211.50264000000001</v>
      </c>
      <c r="G24">
        <f t="shared" si="3"/>
        <v>-0.67498999999999998</v>
      </c>
      <c r="H24">
        <f t="shared" si="4"/>
        <v>-142.76216697359999</v>
      </c>
      <c r="I24">
        <v>1</v>
      </c>
      <c r="J24">
        <f t="shared" si="5"/>
        <v>-1.5535177983042037</v>
      </c>
      <c r="K24">
        <f t="shared" si="6"/>
        <v>-0.50492057297601201</v>
      </c>
      <c r="L24">
        <v>1</v>
      </c>
      <c r="M24">
        <f t="shared" si="7"/>
        <v>0.39705255280071988</v>
      </c>
      <c r="N24">
        <f t="shared" si="13"/>
        <v>2.00927508E-2</v>
      </c>
      <c r="O24">
        <f t="shared" si="11"/>
        <v>1.0469380680000001E-2</v>
      </c>
      <c r="P24">
        <f t="shared" si="12"/>
        <v>7.7305888695292119E-2</v>
      </c>
      <c r="V24">
        <v>-4.0000000000000098</v>
      </c>
      <c r="W24">
        <f t="shared" si="9"/>
        <v>-0.28059999999999952</v>
      </c>
      <c r="Y24">
        <v>0.2</v>
      </c>
      <c r="Z24">
        <f t="shared" si="10"/>
        <v>1.8484080000000005</v>
      </c>
    </row>
    <row r="25" spans="1:26" x14ac:dyDescent="0.3">
      <c r="A25">
        <v>1.1109774000000001</v>
      </c>
      <c r="B25">
        <v>0.66954999999999998</v>
      </c>
      <c r="C25">
        <f t="shared" si="1"/>
        <v>0.74385491817000005</v>
      </c>
      <c r="D25">
        <v>1.9E-2</v>
      </c>
      <c r="E25">
        <v>9.9000000000000008E-3</v>
      </c>
      <c r="F25">
        <f t="shared" si="2"/>
        <v>222.19548000000003</v>
      </c>
      <c r="G25">
        <f t="shared" si="3"/>
        <v>-0.66954999999999998</v>
      </c>
      <c r="H25">
        <f t="shared" si="4"/>
        <v>-148.770983634</v>
      </c>
      <c r="I25">
        <v>1</v>
      </c>
      <c r="J25">
        <f t="shared" si="5"/>
        <v>-1.5041977440177128</v>
      </c>
      <c r="K25">
        <f t="shared" si="6"/>
        <v>-0.51036057297601201</v>
      </c>
      <c r="L25">
        <v>1</v>
      </c>
      <c r="M25">
        <f t="shared" si="7"/>
        <v>0.39940018738475686</v>
      </c>
      <c r="N25">
        <f t="shared" si="13"/>
        <v>2.1108570600000001E-2</v>
      </c>
      <c r="O25">
        <f t="shared" si="11"/>
        <v>1.0998676260000001E-2</v>
      </c>
      <c r="P25">
        <f t="shared" si="12"/>
        <v>7.8853138731255143E-2</v>
      </c>
      <c r="V25">
        <v>-3.9000000000000101</v>
      </c>
      <c r="W25">
        <f t="shared" si="9"/>
        <v>-0.2853599999999995</v>
      </c>
      <c r="Y25">
        <v>0.21</v>
      </c>
      <c r="Z25">
        <f t="shared" si="10"/>
        <v>1.9598554000000004</v>
      </c>
    </row>
    <row r="26" spans="1:26" x14ac:dyDescent="0.3">
      <c r="A26">
        <v>1.1613865999999999</v>
      </c>
      <c r="B26">
        <v>0.66466000000000003</v>
      </c>
      <c r="C26">
        <f t="shared" si="1"/>
        <v>0.77192721755600002</v>
      </c>
      <c r="D26">
        <v>1.9E-2</v>
      </c>
      <c r="E26">
        <v>9.9000000000000008E-3</v>
      </c>
      <c r="F26">
        <f t="shared" si="2"/>
        <v>232.27731999999997</v>
      </c>
      <c r="G26">
        <f t="shared" si="3"/>
        <v>-0.66466000000000003</v>
      </c>
      <c r="H26">
        <f t="shared" si="4"/>
        <v>-154.38544351120001</v>
      </c>
      <c r="I26">
        <v>1</v>
      </c>
      <c r="J26">
        <f t="shared" si="5"/>
        <v>-1.4598232763440568</v>
      </c>
      <c r="K26">
        <f t="shared" si="6"/>
        <v>-0.51525057297601196</v>
      </c>
      <c r="L26">
        <v>1</v>
      </c>
      <c r="M26">
        <f t="shared" si="7"/>
        <v>0.40151241204602284</v>
      </c>
      <c r="N26">
        <f t="shared" si="13"/>
        <v>2.2066345399999999E-2</v>
      </c>
      <c r="O26">
        <f t="shared" si="11"/>
        <v>1.149772734E-2</v>
      </c>
      <c r="P26">
        <f t="shared" si="12"/>
        <v>8.0174088189989126E-2</v>
      </c>
      <c r="V26">
        <v>-3.80000000000001</v>
      </c>
      <c r="W26">
        <f t="shared" si="9"/>
        <v>-0.29011999999999949</v>
      </c>
      <c r="Y26">
        <v>0.22</v>
      </c>
      <c r="Z26">
        <f t="shared" si="10"/>
        <v>2.0713028000000002</v>
      </c>
    </row>
    <row r="27" spans="1:26" x14ac:dyDescent="0.3">
      <c r="A27">
        <v>1.2123049000000001</v>
      </c>
      <c r="B27">
        <v>0.65966000000000002</v>
      </c>
      <c r="C27">
        <f t="shared" si="1"/>
        <v>0.79970905033400008</v>
      </c>
      <c r="D27">
        <v>1.9E-2</v>
      </c>
      <c r="E27">
        <v>9.9000000000000008E-3</v>
      </c>
      <c r="F27">
        <f t="shared" si="2"/>
        <v>242.46098000000003</v>
      </c>
      <c r="G27">
        <f t="shared" si="3"/>
        <v>-0.65966000000000002</v>
      </c>
      <c r="H27">
        <f t="shared" si="4"/>
        <v>-159.94181006680003</v>
      </c>
      <c r="I27">
        <v>1</v>
      </c>
      <c r="J27">
        <f t="shared" si="5"/>
        <v>-1.4169144887680489</v>
      </c>
      <c r="K27">
        <f t="shared" si="6"/>
        <v>-0.52025057297601196</v>
      </c>
      <c r="L27">
        <v>1</v>
      </c>
      <c r="M27">
        <f t="shared" si="7"/>
        <v>0.40355487033464083</v>
      </c>
      <c r="N27">
        <f t="shared" si="13"/>
        <v>2.3033793100000002E-2</v>
      </c>
      <c r="O27">
        <f t="shared" si="11"/>
        <v>1.2001818510000001E-2</v>
      </c>
      <c r="P27">
        <f t="shared" si="12"/>
        <v>8.1660091031371132E-2</v>
      </c>
      <c r="V27">
        <v>-3.7000000000000099</v>
      </c>
      <c r="W27">
        <f t="shared" si="9"/>
        <v>-0.29487999999999948</v>
      </c>
      <c r="Y27">
        <v>0.23</v>
      </c>
      <c r="Z27">
        <f t="shared" si="10"/>
        <v>2.1827502000000005</v>
      </c>
    </row>
    <row r="28" spans="1:26" x14ac:dyDescent="0.3">
      <c r="A28">
        <v>1.2637323999999999</v>
      </c>
      <c r="B28">
        <v>0.65464999999999995</v>
      </c>
      <c r="C28">
        <f t="shared" si="1"/>
        <v>0.82730241565999985</v>
      </c>
      <c r="D28">
        <v>1.9E-2</v>
      </c>
      <c r="E28">
        <v>9.9000000000000008E-3</v>
      </c>
      <c r="F28">
        <f t="shared" si="2"/>
        <v>252.74647999999996</v>
      </c>
      <c r="G28">
        <f t="shared" si="3"/>
        <v>-0.65464999999999995</v>
      </c>
      <c r="H28">
        <f t="shared" si="4"/>
        <v>-165.46048313199998</v>
      </c>
      <c r="I28">
        <v>1</v>
      </c>
      <c r="J28">
        <f t="shared" si="5"/>
        <v>-1.3753683479836787</v>
      </c>
      <c r="K28">
        <f t="shared" si="6"/>
        <v>-0.52526057297601203</v>
      </c>
      <c r="L28">
        <v>1</v>
      </c>
      <c r="M28">
        <f t="shared" si="7"/>
        <v>0.40553246663597686</v>
      </c>
      <c r="N28">
        <f t="shared" si="13"/>
        <v>2.4010915599999998E-2</v>
      </c>
      <c r="O28">
        <f t="shared" si="11"/>
        <v>1.251095076E-2</v>
      </c>
      <c r="P28">
        <f t="shared" si="12"/>
        <v>8.3206239980035165E-2</v>
      </c>
      <c r="V28">
        <v>-3.6000000000000099</v>
      </c>
      <c r="W28">
        <f t="shared" si="9"/>
        <v>-0.29963999999999946</v>
      </c>
      <c r="Y28">
        <v>0.24</v>
      </c>
      <c r="Z28">
        <f t="shared" si="10"/>
        <v>2.2941975999999999</v>
      </c>
    </row>
    <row r="29" spans="1:26" x14ac:dyDescent="0.3">
      <c r="A29">
        <v>1.3151599999999999</v>
      </c>
      <c r="B29">
        <v>0.65010999999999997</v>
      </c>
      <c r="C29">
        <f t="shared" si="1"/>
        <v>0.85499866759999987</v>
      </c>
      <c r="D29">
        <v>1.9E-2</v>
      </c>
      <c r="E29">
        <v>9.9000000000000008E-3</v>
      </c>
      <c r="F29">
        <f t="shared" si="2"/>
        <v>263.03199999999998</v>
      </c>
      <c r="G29">
        <f t="shared" si="3"/>
        <v>-0.65010999999999997</v>
      </c>
      <c r="H29">
        <f t="shared" si="4"/>
        <v>-170.99973351999998</v>
      </c>
      <c r="I29">
        <v>1</v>
      </c>
      <c r="J29">
        <f t="shared" si="5"/>
        <v>-1.3354795812021298</v>
      </c>
      <c r="K29">
        <f t="shared" si="6"/>
        <v>-0.52980057297601202</v>
      </c>
      <c r="L29">
        <v>1</v>
      </c>
      <c r="M29">
        <f t="shared" si="7"/>
        <v>0.40743117193477857</v>
      </c>
      <c r="N29">
        <f t="shared" si="13"/>
        <v>2.4988039999999996E-2</v>
      </c>
      <c r="O29">
        <f t="shared" si="11"/>
        <v>1.3020083999999999E-2</v>
      </c>
      <c r="P29">
        <f t="shared" si="12"/>
        <v>8.4361277041233459E-2</v>
      </c>
      <c r="V29">
        <v>-3.5000000000000102</v>
      </c>
      <c r="W29">
        <f t="shared" si="9"/>
        <v>-0.30439999999999945</v>
      </c>
      <c r="Y29">
        <v>0.25</v>
      </c>
      <c r="Z29">
        <f t="shared" si="10"/>
        <v>2.4056450000000003</v>
      </c>
    </row>
    <row r="30" spans="1:26" x14ac:dyDescent="0.3">
      <c r="A30">
        <v>1.3655690999999999</v>
      </c>
      <c r="B30">
        <v>0.64481999999999995</v>
      </c>
      <c r="C30">
        <f t="shared" si="1"/>
        <v>0.8805462670619999</v>
      </c>
      <c r="D30">
        <v>1.9E-2</v>
      </c>
      <c r="E30">
        <v>9.9000000000000008E-3</v>
      </c>
      <c r="F30">
        <f t="shared" si="2"/>
        <v>273.11381999999998</v>
      </c>
      <c r="G30">
        <f t="shared" si="3"/>
        <v>-0.64481999999999995</v>
      </c>
      <c r="H30">
        <f t="shared" si="4"/>
        <v>-176.10925341239999</v>
      </c>
      <c r="I30">
        <v>1</v>
      </c>
      <c r="J30">
        <f t="shared" si="5"/>
        <v>-1.2978666476085308</v>
      </c>
      <c r="K30">
        <f t="shared" si="6"/>
        <v>-0.53509057297601204</v>
      </c>
      <c r="L30">
        <v>1</v>
      </c>
      <c r="M30">
        <f t="shared" si="7"/>
        <v>0.40922154757383389</v>
      </c>
      <c r="N30">
        <f t="shared" si="13"/>
        <v>2.5945812899999997E-2</v>
      </c>
      <c r="O30">
        <f t="shared" si="11"/>
        <v>1.3519134089999999E-2</v>
      </c>
      <c r="P30">
        <f t="shared" si="12"/>
        <v>8.6404078412178148E-2</v>
      </c>
      <c r="V30">
        <v>-3.4000000000000101</v>
      </c>
      <c r="W30">
        <f t="shared" si="9"/>
        <v>-0.30915999999999949</v>
      </c>
      <c r="Y30">
        <v>0.26</v>
      </c>
      <c r="Z30">
        <f t="shared" si="10"/>
        <v>2.5170924000000006</v>
      </c>
    </row>
    <row r="31" spans="1:26" x14ac:dyDescent="0.3">
      <c r="A31">
        <v>1.4164874000000001</v>
      </c>
      <c r="B31">
        <v>0.64014000000000004</v>
      </c>
      <c r="C31">
        <f t="shared" si="1"/>
        <v>0.90675024423600015</v>
      </c>
      <c r="D31">
        <v>1.9E-2</v>
      </c>
      <c r="E31">
        <v>9.9000000000000008E-3</v>
      </c>
      <c r="F31">
        <f t="shared" si="2"/>
        <v>283.29748000000001</v>
      </c>
      <c r="G31">
        <f t="shared" si="3"/>
        <v>-0.64014000000000004</v>
      </c>
      <c r="H31">
        <f t="shared" si="4"/>
        <v>-181.35004884720004</v>
      </c>
      <c r="I31">
        <v>1</v>
      </c>
      <c r="J31">
        <f t="shared" si="5"/>
        <v>-1.2612577673493655</v>
      </c>
      <c r="K31">
        <f t="shared" si="6"/>
        <v>-0.53977057297601194</v>
      </c>
      <c r="L31">
        <v>1</v>
      </c>
      <c r="M31">
        <f t="shared" si="7"/>
        <v>0.41096413027417017</v>
      </c>
      <c r="N31">
        <f t="shared" si="13"/>
        <v>2.6913260599999999E-2</v>
      </c>
      <c r="O31">
        <f t="shared" si="11"/>
        <v>1.4023225260000001E-2</v>
      </c>
      <c r="P31">
        <f t="shared" si="12"/>
        <v>8.7869956841841762E-2</v>
      </c>
      <c r="V31">
        <v>-3.30000000000001</v>
      </c>
      <c r="W31">
        <f t="shared" si="9"/>
        <v>-0.31391999999999948</v>
      </c>
      <c r="Y31">
        <v>0.27</v>
      </c>
      <c r="Z31">
        <f t="shared" si="10"/>
        <v>2.6285398000000004</v>
      </c>
    </row>
    <row r="32" spans="1:26" x14ac:dyDescent="0.3">
      <c r="A32">
        <v>1.4674057999999999</v>
      </c>
      <c r="B32">
        <v>0.63524000000000003</v>
      </c>
      <c r="C32">
        <f t="shared" si="1"/>
        <v>0.93215486039199991</v>
      </c>
      <c r="D32">
        <v>1.9E-2</v>
      </c>
      <c r="E32">
        <v>9.9000000000000008E-3</v>
      </c>
      <c r="F32">
        <f t="shared" si="2"/>
        <v>293.48115999999999</v>
      </c>
      <c r="G32">
        <f t="shared" si="3"/>
        <v>-0.63524000000000003</v>
      </c>
      <c r="H32">
        <f t="shared" si="4"/>
        <v>-186.43097207839998</v>
      </c>
      <c r="I32">
        <v>1</v>
      </c>
      <c r="J32">
        <f t="shared" si="5"/>
        <v>-1.2259418325749851</v>
      </c>
      <c r="K32">
        <f t="shared" si="6"/>
        <v>-0.54467057297601196</v>
      </c>
      <c r="L32">
        <v>1</v>
      </c>
      <c r="M32">
        <f t="shared" si="7"/>
        <v>0.41264516876943069</v>
      </c>
      <c r="N32">
        <f t="shared" si="13"/>
        <v>2.7880710199999995E-2</v>
      </c>
      <c r="O32">
        <f t="shared" si="11"/>
        <v>1.452731742E-2</v>
      </c>
      <c r="P32">
        <f t="shared" si="12"/>
        <v>8.9617376586581268E-2</v>
      </c>
      <c r="V32">
        <v>-3.2000000000000099</v>
      </c>
      <c r="W32">
        <f t="shared" si="9"/>
        <v>-0.31867999999999952</v>
      </c>
    </row>
    <row r="33" spans="1:23" x14ac:dyDescent="0.3">
      <c r="A33">
        <v>1.5193424</v>
      </c>
      <c r="B33">
        <v>0.63036999999999999</v>
      </c>
      <c r="C33">
        <f t="shared" si="1"/>
        <v>0.95774786868799999</v>
      </c>
      <c r="D33">
        <v>1.9E-2</v>
      </c>
      <c r="E33">
        <v>9.9000000000000008E-3</v>
      </c>
      <c r="F33">
        <f t="shared" si="2"/>
        <v>303.86847999999998</v>
      </c>
      <c r="G33">
        <f t="shared" si="3"/>
        <v>-0.63036999999999999</v>
      </c>
      <c r="H33">
        <f t="shared" si="4"/>
        <v>-191.54957373759999</v>
      </c>
      <c r="I33">
        <v>1</v>
      </c>
      <c r="J33">
        <f t="shared" si="5"/>
        <v>-1.1911603027669049</v>
      </c>
      <c r="K33">
        <f t="shared" si="6"/>
        <v>-0.549540572976012</v>
      </c>
      <c r="L33">
        <v>1</v>
      </c>
      <c r="M33">
        <f t="shared" si="7"/>
        <v>0.41430076958829531</v>
      </c>
      <c r="N33">
        <f t="shared" si="13"/>
        <v>2.8867505599999999E-2</v>
      </c>
      <c r="O33">
        <f t="shared" si="11"/>
        <v>1.504148976E-2</v>
      </c>
      <c r="P33">
        <f t="shared" si="12"/>
        <v>9.1330808027716689E-2</v>
      </c>
      <c r="V33">
        <v>-3.1000000000000099</v>
      </c>
      <c r="W33">
        <f t="shared" si="9"/>
        <v>-0.32343999999999951</v>
      </c>
    </row>
    <row r="34" spans="1:23" x14ac:dyDescent="0.3">
      <c r="A34">
        <v>1.5712789</v>
      </c>
      <c r="B34">
        <v>0.62521000000000004</v>
      </c>
      <c r="C34">
        <f t="shared" si="1"/>
        <v>0.98237928106900008</v>
      </c>
      <c r="D34">
        <v>1.9E-2</v>
      </c>
      <c r="E34">
        <v>9.9000000000000008E-3</v>
      </c>
      <c r="F34">
        <f t="shared" si="2"/>
        <v>314.25578000000002</v>
      </c>
      <c r="G34">
        <f t="shared" si="3"/>
        <v>-0.62521000000000004</v>
      </c>
      <c r="H34">
        <f t="shared" si="4"/>
        <v>-196.47585621380003</v>
      </c>
      <c r="I34">
        <v>1</v>
      </c>
      <c r="J34">
        <f t="shared" si="5"/>
        <v>-1.1575480386817247</v>
      </c>
      <c r="K34">
        <f t="shared" si="6"/>
        <v>-0.55470057297601194</v>
      </c>
      <c r="L34">
        <v>1</v>
      </c>
      <c r="M34">
        <f t="shared" si="7"/>
        <v>0.4159007133587499</v>
      </c>
      <c r="N34">
        <f t="shared" si="13"/>
        <v>2.9854299099999999E-2</v>
      </c>
      <c r="O34">
        <f t="shared" si="11"/>
        <v>1.5555661110000002E-2</v>
      </c>
      <c r="P34">
        <f t="shared" si="12"/>
        <v>9.3389899407262042E-2</v>
      </c>
      <c r="V34">
        <v>-3.0000000000000102</v>
      </c>
      <c r="W34">
        <f t="shared" si="9"/>
        <v>-0.32819999999999949</v>
      </c>
    </row>
    <row r="35" spans="1:23" x14ac:dyDescent="0.3">
      <c r="A35">
        <v>1.6283076000000001</v>
      </c>
      <c r="B35">
        <v>0.62038000000000004</v>
      </c>
      <c r="C35">
        <f t="shared" si="1"/>
        <v>1.0101694688880001</v>
      </c>
      <c r="D35">
        <v>1.9E-2</v>
      </c>
      <c r="E35">
        <v>9.9000000000000008E-3</v>
      </c>
      <c r="F35">
        <f t="shared" si="2"/>
        <v>325.66152</v>
      </c>
      <c r="G35">
        <f t="shared" si="3"/>
        <v>-0.62038000000000004</v>
      </c>
      <c r="H35">
        <f t="shared" si="4"/>
        <v>-202.03389377760001</v>
      </c>
      <c r="I35">
        <v>1</v>
      </c>
      <c r="J35">
        <f t="shared" si="5"/>
        <v>-1.1218967192123812</v>
      </c>
      <c r="K35">
        <f t="shared" si="6"/>
        <v>-0.55953057297601194</v>
      </c>
      <c r="L35">
        <v>1</v>
      </c>
      <c r="M35">
        <f t="shared" si="7"/>
        <v>0.41759771616549063</v>
      </c>
      <c r="N35">
        <f t="shared" si="13"/>
        <v>3.0937844400000001E-2</v>
      </c>
      <c r="O35">
        <f t="shared" si="11"/>
        <v>1.6120245240000001E-2</v>
      </c>
      <c r="P35">
        <f t="shared" si="12"/>
        <v>9.4874767170521318E-2</v>
      </c>
      <c r="V35">
        <v>-2.9000000000000101</v>
      </c>
      <c r="W35">
        <f t="shared" si="9"/>
        <v>-0.33295999999999948</v>
      </c>
    </row>
    <row r="36" spans="1:23" x14ac:dyDescent="0.3">
      <c r="A36">
        <v>1.6797351</v>
      </c>
      <c r="B36">
        <v>0.61529999999999996</v>
      </c>
      <c r="C36">
        <f t="shared" si="1"/>
        <v>1.03354100703</v>
      </c>
      <c r="D36">
        <v>1.9E-2</v>
      </c>
      <c r="E36">
        <v>9.9000000000000008E-3</v>
      </c>
      <c r="F36">
        <f t="shared" si="2"/>
        <v>335.94702000000001</v>
      </c>
      <c r="G36">
        <f t="shared" si="3"/>
        <v>-0.61529999999999996</v>
      </c>
      <c r="H36">
        <f t="shared" si="4"/>
        <v>-206.708201406</v>
      </c>
      <c r="I36">
        <v>1</v>
      </c>
      <c r="J36">
        <f t="shared" si="5"/>
        <v>-1.0908018100229342</v>
      </c>
      <c r="K36">
        <f t="shared" si="6"/>
        <v>-0.56461057297601203</v>
      </c>
      <c r="L36">
        <v>1</v>
      </c>
      <c r="M36">
        <f t="shared" si="7"/>
        <v>0.41907783384290831</v>
      </c>
      <c r="N36">
        <f t="shared" si="13"/>
        <v>3.1914966900000001E-2</v>
      </c>
      <c r="O36">
        <f t="shared" si="11"/>
        <v>1.6629377490000003E-2</v>
      </c>
      <c r="P36">
        <f t="shared" si="12"/>
        <v>9.6988394743103709E-2</v>
      </c>
      <c r="V36">
        <v>-2.80000000000001</v>
      </c>
      <c r="W36">
        <f t="shared" si="9"/>
        <v>-0.33771999999999947</v>
      </c>
    </row>
    <row r="37" spans="1:23" x14ac:dyDescent="0.3">
      <c r="A37">
        <v>1.7301443000000001</v>
      </c>
      <c r="B37">
        <v>0.61033999999999999</v>
      </c>
      <c r="C37">
        <f t="shared" si="1"/>
        <v>1.0559762720620001</v>
      </c>
      <c r="D37">
        <v>1.9E-2</v>
      </c>
      <c r="E37">
        <v>9.9000000000000008E-3</v>
      </c>
      <c r="F37">
        <f t="shared" si="2"/>
        <v>346.02886000000001</v>
      </c>
      <c r="G37">
        <f t="shared" si="3"/>
        <v>-0.61033999999999999</v>
      </c>
      <c r="H37">
        <f t="shared" si="4"/>
        <v>-211.1952544124</v>
      </c>
      <c r="I37">
        <v>1</v>
      </c>
      <c r="J37">
        <f t="shared" si="5"/>
        <v>-1.0612330969982429</v>
      </c>
      <c r="K37">
        <f t="shared" si="6"/>
        <v>-0.56957057297601199</v>
      </c>
      <c r="L37">
        <v>1</v>
      </c>
      <c r="M37">
        <f t="shared" si="7"/>
        <v>0.42048530458288363</v>
      </c>
      <c r="N37">
        <f t="shared" si="13"/>
        <v>3.2872741699999999E-2</v>
      </c>
      <c r="O37">
        <f t="shared" si="11"/>
        <v>1.7128428570000003E-2</v>
      </c>
      <c r="P37">
        <f t="shared" si="12"/>
        <v>9.908409812312835E-2</v>
      </c>
      <c r="V37">
        <v>-2.7000000000000099</v>
      </c>
      <c r="W37">
        <f t="shared" si="9"/>
        <v>-0.34247999999999945</v>
      </c>
    </row>
    <row r="38" spans="1:23" x14ac:dyDescent="0.3">
      <c r="A38">
        <v>1.7820809</v>
      </c>
      <c r="B38">
        <v>0.60572000000000004</v>
      </c>
      <c r="C38">
        <f t="shared" si="1"/>
        <v>1.079442042748</v>
      </c>
      <c r="D38">
        <v>1.9E-2</v>
      </c>
      <c r="E38">
        <v>9.9000000000000008E-3</v>
      </c>
      <c r="F38">
        <f t="shared" si="2"/>
        <v>356.41618</v>
      </c>
      <c r="G38">
        <f t="shared" si="3"/>
        <v>-0.60572000000000004</v>
      </c>
      <c r="H38">
        <f t="shared" si="4"/>
        <v>-215.8884085496</v>
      </c>
      <c r="I38">
        <v>1</v>
      </c>
      <c r="J38">
        <f t="shared" si="5"/>
        <v>-1.0316561859872286</v>
      </c>
      <c r="K38">
        <f t="shared" si="6"/>
        <v>-0.57419057297601195</v>
      </c>
      <c r="L38">
        <v>1</v>
      </c>
      <c r="M38">
        <f t="shared" si="7"/>
        <v>0.4218931655470079</v>
      </c>
      <c r="N38">
        <f t="shared" si="13"/>
        <v>3.3859537099999996E-2</v>
      </c>
      <c r="O38">
        <f t="shared" si="11"/>
        <v>1.764260091E-2</v>
      </c>
      <c r="P38">
        <f t="shared" si="12"/>
        <v>0.10079526941900405</v>
      </c>
      <c r="V38">
        <v>-2.6000000000000099</v>
      </c>
      <c r="W38">
        <f t="shared" si="9"/>
        <v>-0.34723999999999949</v>
      </c>
    </row>
    <row r="39" spans="1:23" x14ac:dyDescent="0.3">
      <c r="A39">
        <v>1.8335085</v>
      </c>
      <c r="B39">
        <v>0.60033999999999998</v>
      </c>
      <c r="C39">
        <f t="shared" si="1"/>
        <v>1.1007284928899999</v>
      </c>
      <c r="D39">
        <v>1.9E-2</v>
      </c>
      <c r="E39">
        <v>9.9000000000000008E-3</v>
      </c>
      <c r="F39">
        <f t="shared" si="2"/>
        <v>366.70170000000002</v>
      </c>
      <c r="G39">
        <f t="shared" si="3"/>
        <v>-0.60033999999999998</v>
      </c>
      <c r="H39">
        <f t="shared" si="4"/>
        <v>-220.14569857799998</v>
      </c>
      <c r="I39">
        <v>1</v>
      </c>
      <c r="J39">
        <f t="shared" si="5"/>
        <v>-1.0032065679734155</v>
      </c>
      <c r="K39">
        <f t="shared" si="6"/>
        <v>-0.579570572976012</v>
      </c>
      <c r="L39">
        <v>1</v>
      </c>
      <c r="M39">
        <f t="shared" si="7"/>
        <v>0.42324736736446539</v>
      </c>
      <c r="N39">
        <f t="shared" si="13"/>
        <v>3.4836661499999998E-2</v>
      </c>
      <c r="O39">
        <f t="shared" si="11"/>
        <v>1.8151734150000001E-2</v>
      </c>
      <c r="P39">
        <f t="shared" si="12"/>
        <v>0.10333480996154661</v>
      </c>
      <c r="V39">
        <v>-2.5000000000000102</v>
      </c>
      <c r="W39">
        <f t="shared" si="9"/>
        <v>-0.35199999999999948</v>
      </c>
    </row>
    <row r="40" spans="1:23" x14ac:dyDescent="0.3">
      <c r="A40">
        <v>1.8844265999999998</v>
      </c>
      <c r="B40">
        <v>0.59596000000000005</v>
      </c>
      <c r="C40">
        <f t="shared" si="1"/>
        <v>1.1230428765360001</v>
      </c>
      <c r="D40">
        <v>1.9E-2</v>
      </c>
      <c r="E40">
        <v>9.9000000000000008E-3</v>
      </c>
      <c r="F40">
        <f t="shared" si="2"/>
        <v>376.88531999999998</v>
      </c>
      <c r="G40">
        <f t="shared" si="3"/>
        <v>-0.59596000000000005</v>
      </c>
      <c r="H40">
        <f t="shared" si="4"/>
        <v>-224.60857530720003</v>
      </c>
      <c r="I40">
        <v>1</v>
      </c>
      <c r="J40">
        <f t="shared" si="5"/>
        <v>-0.97581432879101992</v>
      </c>
      <c r="K40">
        <f t="shared" si="6"/>
        <v>-0.58395057297601194</v>
      </c>
      <c r="L40">
        <v>1</v>
      </c>
      <c r="M40">
        <f t="shared" si="7"/>
        <v>0.42455123794954741</v>
      </c>
      <c r="N40">
        <f t="shared" si="13"/>
        <v>3.5804105399999994E-2</v>
      </c>
      <c r="O40">
        <f t="shared" si="11"/>
        <v>1.8655823339999999E-2</v>
      </c>
      <c r="P40">
        <f t="shared" si="12"/>
        <v>0.10493940628646453</v>
      </c>
      <c r="V40">
        <v>-2.4000000000000101</v>
      </c>
      <c r="W40">
        <f t="shared" si="9"/>
        <v>-0.35675999999999947</v>
      </c>
    </row>
    <row r="41" spans="1:23" x14ac:dyDescent="0.3">
      <c r="A41">
        <v>1.9353451000000002</v>
      </c>
      <c r="B41">
        <v>0.59113000000000004</v>
      </c>
      <c r="C41">
        <f t="shared" si="1"/>
        <v>1.1440405489630001</v>
      </c>
      <c r="D41">
        <v>1.9E-2</v>
      </c>
      <c r="E41">
        <v>9.9000000000000008E-3</v>
      </c>
      <c r="F41">
        <f t="shared" si="2"/>
        <v>387.06902000000002</v>
      </c>
      <c r="G41">
        <f t="shared" si="3"/>
        <v>-0.59113000000000004</v>
      </c>
      <c r="H41">
        <f t="shared" si="4"/>
        <v>-228.80810979260002</v>
      </c>
      <c r="I41">
        <v>1</v>
      </c>
      <c r="J41">
        <f t="shared" si="5"/>
        <v>-0.94915225560092753</v>
      </c>
      <c r="K41">
        <f t="shared" si="6"/>
        <v>-0.58878057297601194</v>
      </c>
      <c r="L41">
        <v>1</v>
      </c>
      <c r="M41">
        <f t="shared" si="7"/>
        <v>0.42582035263339579</v>
      </c>
      <c r="N41">
        <f t="shared" si="13"/>
        <v>3.6771556900000002E-2</v>
      </c>
      <c r="O41">
        <f t="shared" si="11"/>
        <v>1.9159916490000001E-2</v>
      </c>
      <c r="P41">
        <f t="shared" si="12"/>
        <v>0.10702874695261615</v>
      </c>
      <c r="V41">
        <v>-2.30000000000001</v>
      </c>
      <c r="W41">
        <f t="shared" si="9"/>
        <v>-0.36151999999999951</v>
      </c>
    </row>
    <row r="42" spans="1:23" x14ac:dyDescent="0.3">
      <c r="A42">
        <v>1.9857543000000002</v>
      </c>
      <c r="B42">
        <v>0.58611000000000002</v>
      </c>
      <c r="C42">
        <f t="shared" si="1"/>
        <v>1.1638704527730002</v>
      </c>
      <c r="D42">
        <v>1.9E-2</v>
      </c>
      <c r="E42">
        <v>9.9000000000000008E-3</v>
      </c>
      <c r="F42">
        <f t="shared" si="2"/>
        <v>397.15086000000002</v>
      </c>
      <c r="G42">
        <f t="shared" si="3"/>
        <v>-0.58611000000000002</v>
      </c>
      <c r="H42">
        <f t="shared" si="4"/>
        <v>-232.77409055460004</v>
      </c>
      <c r="I42">
        <v>1</v>
      </c>
      <c r="J42">
        <f t="shared" si="5"/>
        <v>-0.92343907047666107</v>
      </c>
      <c r="K42">
        <f t="shared" si="6"/>
        <v>-0.59380057297601196</v>
      </c>
      <c r="L42">
        <v>1</v>
      </c>
      <c r="M42">
        <f t="shared" si="7"/>
        <v>0.42704430024531093</v>
      </c>
      <c r="N42">
        <f t="shared" si="13"/>
        <v>3.77293317E-2</v>
      </c>
      <c r="O42">
        <f t="shared" si="11"/>
        <v>1.9658967570000005E-2</v>
      </c>
      <c r="P42">
        <f t="shared" si="12"/>
        <v>0.10936797346070103</v>
      </c>
      <c r="V42">
        <v>-2.2000000000000099</v>
      </c>
      <c r="W42">
        <f t="shared" si="9"/>
        <v>-0.36627999999999949</v>
      </c>
    </row>
    <row r="43" spans="1:23" x14ac:dyDescent="0.3">
      <c r="A43">
        <v>2.0366726000000002</v>
      </c>
      <c r="B43">
        <v>0.58128000000000002</v>
      </c>
      <c r="C43">
        <f t="shared" si="1"/>
        <v>1.1838770489280002</v>
      </c>
      <c r="D43">
        <v>1.9E-2</v>
      </c>
      <c r="E43">
        <v>9.9000000000000008E-3</v>
      </c>
      <c r="F43">
        <f t="shared" si="2"/>
        <v>407.33452000000005</v>
      </c>
      <c r="G43">
        <f t="shared" si="3"/>
        <v>-0.58128000000000002</v>
      </c>
      <c r="H43">
        <f t="shared" si="4"/>
        <v>-236.77540978560003</v>
      </c>
      <c r="I43">
        <v>1</v>
      </c>
      <c r="J43">
        <f t="shared" si="5"/>
        <v>-0.89812051466599374</v>
      </c>
      <c r="K43">
        <f t="shared" si="6"/>
        <v>-0.59863057297601197</v>
      </c>
      <c r="L43">
        <v>1</v>
      </c>
      <c r="M43">
        <f t="shared" si="7"/>
        <v>0.42824946350189869</v>
      </c>
      <c r="N43">
        <f t="shared" si="13"/>
        <v>3.8696779399999999E-2</v>
      </c>
      <c r="O43">
        <f t="shared" si="11"/>
        <v>2.0163058740000003E-2</v>
      </c>
      <c r="P43">
        <f t="shared" si="12"/>
        <v>0.11152127133411328</v>
      </c>
      <c r="V43">
        <v>-2.1000000000000099</v>
      </c>
      <c r="W43">
        <f t="shared" si="9"/>
        <v>-0.37103999999999948</v>
      </c>
    </row>
    <row r="44" spans="1:23" x14ac:dyDescent="0.3">
      <c r="A44">
        <v>2.0911553000000001</v>
      </c>
      <c r="B44">
        <v>0.57572000000000001</v>
      </c>
      <c r="C44">
        <f t="shared" si="1"/>
        <v>1.2039199293160001</v>
      </c>
      <c r="D44">
        <v>1.9E-2</v>
      </c>
      <c r="E44">
        <v>9.9000000000000008E-3</v>
      </c>
      <c r="F44">
        <f t="shared" si="2"/>
        <v>418.23106000000001</v>
      </c>
      <c r="G44">
        <f t="shared" si="3"/>
        <v>-0.57572000000000001</v>
      </c>
      <c r="H44">
        <f t="shared" si="4"/>
        <v>-240.78398586320003</v>
      </c>
      <c r="I44">
        <v>1</v>
      </c>
      <c r="J44">
        <f t="shared" si="5"/>
        <v>-0.87172122406165131</v>
      </c>
      <c r="K44">
        <f t="shared" si="6"/>
        <v>-0.60419057297601197</v>
      </c>
      <c r="L44">
        <v>1</v>
      </c>
      <c r="M44">
        <f t="shared" si="7"/>
        <v>0.42950606973466537</v>
      </c>
      <c r="N44">
        <f t="shared" si="13"/>
        <v>3.9731950699999997E-2</v>
      </c>
      <c r="O44">
        <f t="shared" si="11"/>
        <v>2.0702437470000001E-2</v>
      </c>
      <c r="P44">
        <f t="shared" si="12"/>
        <v>0.11425011507134661</v>
      </c>
      <c r="V44">
        <v>-2.0000000000000102</v>
      </c>
      <c r="W44">
        <f t="shared" si="9"/>
        <v>-0.37579999999999947</v>
      </c>
    </row>
    <row r="45" spans="1:23" x14ac:dyDescent="0.3">
      <c r="A45">
        <v>2.1425830000000001</v>
      </c>
      <c r="B45">
        <v>0.57110000000000005</v>
      </c>
      <c r="C45">
        <f t="shared" si="1"/>
        <v>1.2236291513000002</v>
      </c>
      <c r="D45">
        <v>1.9E-2</v>
      </c>
      <c r="E45">
        <v>9.9000000000000008E-3</v>
      </c>
      <c r="F45">
        <f t="shared" si="2"/>
        <v>428.51660000000004</v>
      </c>
      <c r="G45">
        <f t="shared" si="3"/>
        <v>-0.57110000000000005</v>
      </c>
      <c r="H45">
        <f t="shared" si="4"/>
        <v>-244.72583026000004</v>
      </c>
      <c r="I45">
        <v>1</v>
      </c>
      <c r="J45">
        <f t="shared" si="5"/>
        <v>-0.84742580190470385</v>
      </c>
      <c r="K45">
        <f t="shared" si="6"/>
        <v>-0.60881057297601193</v>
      </c>
      <c r="L45">
        <v>1</v>
      </c>
      <c r="M45">
        <f t="shared" si="7"/>
        <v>0.43066253182933606</v>
      </c>
      <c r="N45">
        <f t="shared" si="13"/>
        <v>4.0709077000000003E-2</v>
      </c>
      <c r="O45">
        <f t="shared" si="11"/>
        <v>2.1211571700000004E-2</v>
      </c>
      <c r="P45">
        <f t="shared" si="12"/>
        <v>0.11622739244667586</v>
      </c>
      <c r="V45">
        <v>-1.9000000000000099</v>
      </c>
      <c r="W45">
        <f t="shared" si="9"/>
        <v>-0.38055999999999951</v>
      </c>
    </row>
    <row r="46" spans="1:23" x14ac:dyDescent="0.3">
      <c r="A46">
        <v>2.1929921999999999</v>
      </c>
      <c r="B46">
        <v>0.56601000000000001</v>
      </c>
      <c r="C46">
        <f t="shared" si="1"/>
        <v>1.2412555151219999</v>
      </c>
      <c r="D46">
        <v>1.9E-2</v>
      </c>
      <c r="E46">
        <v>9.9000000000000008E-3</v>
      </c>
      <c r="F46">
        <f t="shared" si="2"/>
        <v>438.59843999999998</v>
      </c>
      <c r="G46">
        <f t="shared" si="3"/>
        <v>-0.56601000000000001</v>
      </c>
      <c r="H46">
        <f t="shared" si="4"/>
        <v>-248.25110302439998</v>
      </c>
      <c r="I46">
        <v>1</v>
      </c>
      <c r="J46">
        <f t="shared" si="5"/>
        <v>-0.82417099977622044</v>
      </c>
      <c r="K46">
        <f t="shared" si="6"/>
        <v>-0.61390057297601197</v>
      </c>
      <c r="L46">
        <v>1</v>
      </c>
      <c r="M46">
        <f t="shared" si="7"/>
        <v>0.4317694604106519</v>
      </c>
      <c r="N46">
        <f t="shared" si="13"/>
        <v>4.1666851799999995E-2</v>
      </c>
      <c r="O46">
        <f t="shared" si="11"/>
        <v>2.1710622780000001E-2</v>
      </c>
      <c r="P46">
        <f t="shared" si="12"/>
        <v>0.11875363798536009</v>
      </c>
      <c r="V46">
        <v>-1.80000000000001</v>
      </c>
      <c r="W46">
        <f t="shared" si="9"/>
        <v>-0.3853199999999995</v>
      </c>
    </row>
    <row r="47" spans="1:23" x14ac:dyDescent="0.3">
      <c r="A47">
        <v>2.2444196999999999</v>
      </c>
      <c r="B47">
        <v>0.56110000000000004</v>
      </c>
      <c r="C47">
        <f t="shared" si="1"/>
        <v>1.2593438936700001</v>
      </c>
      <c r="D47">
        <v>1.9E-2</v>
      </c>
      <c r="E47">
        <v>9.9000000000000008E-3</v>
      </c>
      <c r="F47">
        <f t="shared" si="2"/>
        <v>448.88394</v>
      </c>
      <c r="G47">
        <f t="shared" si="3"/>
        <v>-0.56110000000000004</v>
      </c>
      <c r="H47">
        <f t="shared" si="4"/>
        <v>-251.86877873400002</v>
      </c>
      <c r="I47">
        <v>1</v>
      </c>
      <c r="J47">
        <f t="shared" si="5"/>
        <v>-0.800990910176409</v>
      </c>
      <c r="K47">
        <f t="shared" si="6"/>
        <v>-0.61881057297601194</v>
      </c>
      <c r="L47">
        <v>1</v>
      </c>
      <c r="M47">
        <f t="shared" si="7"/>
        <v>0.43287283267560289</v>
      </c>
      <c r="N47">
        <f t="shared" si="13"/>
        <v>4.2643974299999998E-2</v>
      </c>
      <c r="O47">
        <f t="shared" si="11"/>
        <v>2.221975503E-2</v>
      </c>
      <c r="P47">
        <f t="shared" si="12"/>
        <v>0.12107401097040905</v>
      </c>
      <c r="V47">
        <v>-1.7000000000000199</v>
      </c>
      <c r="W47">
        <f t="shared" si="9"/>
        <v>-0.39007999999999904</v>
      </c>
    </row>
    <row r="48" spans="1:23" x14ac:dyDescent="0.3">
      <c r="A48">
        <v>2.2948285999999998</v>
      </c>
      <c r="B48">
        <v>0.55567999999999995</v>
      </c>
      <c r="C48">
        <f t="shared" si="1"/>
        <v>1.2751903564479998</v>
      </c>
      <c r="D48">
        <v>1.9E-2</v>
      </c>
      <c r="E48">
        <v>9.9000000000000008E-3</v>
      </c>
      <c r="F48">
        <f t="shared" si="2"/>
        <v>458.96571999999998</v>
      </c>
      <c r="G48">
        <f t="shared" si="3"/>
        <v>-0.55567999999999995</v>
      </c>
      <c r="H48">
        <f t="shared" si="4"/>
        <v>-255.03807128959997</v>
      </c>
      <c r="I48">
        <v>1</v>
      </c>
      <c r="J48">
        <f t="shared" si="5"/>
        <v>-0.77877975580644854</v>
      </c>
      <c r="K48">
        <f t="shared" si="6"/>
        <v>-0.62423057297601203</v>
      </c>
      <c r="L48">
        <v>1</v>
      </c>
      <c r="M48">
        <f t="shared" si="7"/>
        <v>0.43393008362361302</v>
      </c>
      <c r="N48">
        <f t="shared" si="13"/>
        <v>4.3601743399999997E-2</v>
      </c>
      <c r="O48">
        <f t="shared" si="11"/>
        <v>2.271880314E-2</v>
      </c>
      <c r="P48">
        <f t="shared" si="12"/>
        <v>0.12397994281239902</v>
      </c>
      <c r="V48">
        <v>-1.6000000000000201</v>
      </c>
      <c r="W48">
        <f t="shared" si="9"/>
        <v>-0.39483999999999903</v>
      </c>
    </row>
    <row r="49" spans="1:23" x14ac:dyDescent="0.3">
      <c r="A49">
        <v>2.348293</v>
      </c>
      <c r="B49">
        <v>0.55083000000000004</v>
      </c>
      <c r="C49">
        <f t="shared" si="1"/>
        <v>1.2935102331900001</v>
      </c>
      <c r="D49">
        <v>1.9E-2</v>
      </c>
      <c r="E49">
        <v>9.9000000000000008E-3</v>
      </c>
      <c r="F49">
        <f t="shared" si="2"/>
        <v>469.65859999999998</v>
      </c>
      <c r="G49">
        <f t="shared" si="3"/>
        <v>-0.55083000000000004</v>
      </c>
      <c r="H49">
        <f t="shared" si="4"/>
        <v>-258.70204663800001</v>
      </c>
      <c r="I49">
        <v>1</v>
      </c>
      <c r="J49">
        <f t="shared" si="5"/>
        <v>-0.75574923120069615</v>
      </c>
      <c r="K49">
        <f t="shared" si="6"/>
        <v>-0.62908057297601194</v>
      </c>
      <c r="L49">
        <v>1</v>
      </c>
      <c r="M49">
        <f t="shared" si="7"/>
        <v>0.43502633659484685</v>
      </c>
      <c r="N49">
        <f t="shared" si="13"/>
        <v>4.4617566999999997E-2</v>
      </c>
      <c r="O49">
        <f t="shared" si="11"/>
        <v>2.3248100700000003E-2</v>
      </c>
      <c r="P49">
        <f t="shared" si="12"/>
        <v>0.1261885686811651</v>
      </c>
      <c r="V49">
        <v>-1.50000000000002</v>
      </c>
      <c r="W49">
        <f t="shared" si="9"/>
        <v>-0.39959999999999901</v>
      </c>
    </row>
    <row r="50" spans="1:23" x14ac:dyDescent="0.3">
      <c r="A50">
        <v>2.3997204999999999</v>
      </c>
      <c r="B50">
        <v>0.54529000000000005</v>
      </c>
      <c r="C50">
        <f t="shared" si="1"/>
        <v>1.3085435914450001</v>
      </c>
      <c r="D50">
        <v>1.9E-2</v>
      </c>
      <c r="E50">
        <v>9.9000000000000008E-3</v>
      </c>
      <c r="F50">
        <f t="shared" si="2"/>
        <v>479.94409999999999</v>
      </c>
      <c r="G50">
        <f t="shared" si="3"/>
        <v>-0.54529000000000005</v>
      </c>
      <c r="H50">
        <f t="shared" si="4"/>
        <v>-261.70871828900005</v>
      </c>
      <c r="I50">
        <v>1</v>
      </c>
      <c r="J50">
        <f t="shared" si="5"/>
        <v>-0.73408564019533207</v>
      </c>
      <c r="K50">
        <f t="shared" si="6"/>
        <v>-0.63462057297601193</v>
      </c>
      <c r="L50">
        <v>1</v>
      </c>
      <c r="M50">
        <f t="shared" si="7"/>
        <v>0.43605752352670218</v>
      </c>
      <c r="N50">
        <f t="shared" si="13"/>
        <v>4.55946895E-2</v>
      </c>
      <c r="O50">
        <f t="shared" si="11"/>
        <v>2.3757232950000002E-2</v>
      </c>
      <c r="P50">
        <f t="shared" si="12"/>
        <v>0.12921112699930973</v>
      </c>
      <c r="V50">
        <v>-1.4000000000000199</v>
      </c>
      <c r="W50">
        <f t="shared" si="9"/>
        <v>-0.40435999999999905</v>
      </c>
    </row>
    <row r="51" spans="1:23" x14ac:dyDescent="0.3">
      <c r="A51">
        <v>2.4506387000000003</v>
      </c>
      <c r="B51">
        <v>0.54029000000000005</v>
      </c>
      <c r="C51">
        <f t="shared" si="1"/>
        <v>1.3240555832230003</v>
      </c>
      <c r="D51">
        <v>1.9E-2</v>
      </c>
      <c r="E51">
        <v>9.9000000000000008E-3</v>
      </c>
      <c r="F51">
        <f t="shared" si="2"/>
        <v>490.12774000000007</v>
      </c>
      <c r="G51">
        <f t="shared" si="3"/>
        <v>-0.54029000000000005</v>
      </c>
      <c r="H51">
        <f t="shared" si="4"/>
        <v>-264.81111664460008</v>
      </c>
      <c r="I51">
        <v>1</v>
      </c>
      <c r="J51">
        <f t="shared" si="5"/>
        <v>-0.7130892279746579</v>
      </c>
      <c r="K51">
        <f t="shared" si="6"/>
        <v>-0.63962057297601194</v>
      </c>
      <c r="L51">
        <v>1</v>
      </c>
      <c r="M51">
        <f t="shared" si="7"/>
        <v>0.43705695274840628</v>
      </c>
      <c r="N51">
        <f t="shared" si="13"/>
        <v>4.6562135300000002E-2</v>
      </c>
      <c r="O51">
        <f t="shared" si="11"/>
        <v>2.4261323130000005E-2</v>
      </c>
      <c r="P51">
        <f t="shared" si="12"/>
        <v>0.13174016179760564</v>
      </c>
      <c r="V51">
        <v>-1.30000000000002</v>
      </c>
      <c r="W51">
        <f t="shared" si="9"/>
        <v>-0.40911999999999904</v>
      </c>
    </row>
    <row r="52" spans="1:23" x14ac:dyDescent="0.3">
      <c r="A52">
        <v>2.5051213000000003</v>
      </c>
      <c r="B52">
        <v>0.53485000000000005</v>
      </c>
      <c r="C52">
        <f t="shared" si="1"/>
        <v>1.3398641273050003</v>
      </c>
      <c r="D52">
        <v>1.9E-2</v>
      </c>
      <c r="E52">
        <v>9.9000000000000008E-3</v>
      </c>
      <c r="F52">
        <f t="shared" si="2"/>
        <v>501.02426000000008</v>
      </c>
      <c r="G52">
        <f t="shared" si="3"/>
        <v>-0.53485000000000005</v>
      </c>
      <c r="H52">
        <f t="shared" si="4"/>
        <v>-267.97282546100007</v>
      </c>
      <c r="I52">
        <v>1</v>
      </c>
      <c r="J52">
        <f t="shared" si="5"/>
        <v>-0.69110075591594244</v>
      </c>
      <c r="K52">
        <f t="shared" si="6"/>
        <v>-0.64506057297601194</v>
      </c>
      <c r="L52">
        <v>1</v>
      </c>
      <c r="M52">
        <f t="shared" si="7"/>
        <v>0.43810360401840109</v>
      </c>
      <c r="N52">
        <f t="shared" si="13"/>
        <v>4.7597304700000002E-2</v>
      </c>
      <c r="O52">
        <f t="shared" si="11"/>
        <v>2.4800700870000005E-2</v>
      </c>
      <c r="P52">
        <f t="shared" si="12"/>
        <v>0.13455896338761084</v>
      </c>
      <c r="V52">
        <v>-1.2000000000000199</v>
      </c>
      <c r="W52">
        <f t="shared" si="9"/>
        <v>-0.41387999999999903</v>
      </c>
    </row>
    <row r="53" spans="1:23" x14ac:dyDescent="0.3">
      <c r="A53">
        <v>2.5596037999999997</v>
      </c>
      <c r="B53">
        <v>0.52886999999999995</v>
      </c>
      <c r="C53">
        <f t="shared" si="1"/>
        <v>1.3536976617059997</v>
      </c>
      <c r="D53">
        <v>1.9E-2</v>
      </c>
      <c r="E53">
        <v>9.9000000000000008E-3</v>
      </c>
      <c r="F53">
        <f t="shared" si="2"/>
        <v>511.92075999999992</v>
      </c>
      <c r="G53">
        <f t="shared" si="3"/>
        <v>-0.52886999999999995</v>
      </c>
      <c r="H53">
        <f t="shared" si="4"/>
        <v>-270.73953234119995</v>
      </c>
      <c r="I53">
        <v>1</v>
      </c>
      <c r="J53">
        <f t="shared" si="5"/>
        <v>-0.66958543154506467</v>
      </c>
      <c r="K53">
        <f t="shared" si="6"/>
        <v>-0.65104057297601203</v>
      </c>
      <c r="L53">
        <v>1</v>
      </c>
      <c r="M53" s="5">
        <f t="shared" si="7"/>
        <v>0.43912773345845491</v>
      </c>
      <c r="N53">
        <f t="shared" si="13"/>
        <v>4.8632472199999992E-2</v>
      </c>
      <c r="O53">
        <f t="shared" si="11"/>
        <v>2.5340077619999998E-2</v>
      </c>
      <c r="P53">
        <f t="shared" si="12"/>
        <v>0.13794028969755712</v>
      </c>
      <c r="R53">
        <f>N2-M53</f>
        <v>0.74078283951755708</v>
      </c>
      <c r="V53">
        <v>-1.1000000000000201</v>
      </c>
      <c r="W53">
        <f t="shared" si="9"/>
        <v>-0.41863999999999901</v>
      </c>
    </row>
    <row r="54" spans="1:23" x14ac:dyDescent="0.3">
      <c r="A54">
        <v>2.6161232999999999</v>
      </c>
      <c r="B54">
        <v>0.52375000000000005</v>
      </c>
      <c r="C54">
        <f t="shared" si="1"/>
        <v>1.370194578375</v>
      </c>
      <c r="D54">
        <v>1.9E-2</v>
      </c>
      <c r="E54">
        <v>9.9000000000000008E-3</v>
      </c>
      <c r="F54">
        <f t="shared" si="2"/>
        <v>523.22465999999997</v>
      </c>
      <c r="G54">
        <f t="shared" si="3"/>
        <v>-0.52375000000000005</v>
      </c>
      <c r="H54">
        <f t="shared" si="4"/>
        <v>-274.038915675</v>
      </c>
      <c r="I54">
        <v>1</v>
      </c>
      <c r="J54">
        <f t="shared" si="5"/>
        <v>-0.64774434692235139</v>
      </c>
      <c r="K54">
        <f t="shared" si="6"/>
        <v>-0.65616057297601194</v>
      </c>
      <c r="L54">
        <v>1</v>
      </c>
      <c r="M54">
        <f t="shared" si="7"/>
        <v>0.44016736908649606</v>
      </c>
      <c r="N54">
        <f t="shared" si="13"/>
        <v>4.9706342699999996E-2</v>
      </c>
      <c r="O54">
        <f t="shared" si="11"/>
        <v>2.5899620670000002E-2</v>
      </c>
      <c r="P54">
        <f t="shared" si="12"/>
        <v>0.14038724051951587</v>
      </c>
      <c r="V54">
        <v>-1.00000000000002</v>
      </c>
      <c r="W54">
        <f t="shared" si="9"/>
        <v>-0.423399999999999</v>
      </c>
    </row>
    <row r="55" spans="1:23" x14ac:dyDescent="0.3">
      <c r="A55">
        <v>2.6690780999999997</v>
      </c>
      <c r="B55">
        <v>0.51793</v>
      </c>
      <c r="C55">
        <f t="shared" si="1"/>
        <v>1.3823956203329999</v>
      </c>
      <c r="D55">
        <v>1.9E-2</v>
      </c>
      <c r="E55">
        <v>9.9000000000000008E-3</v>
      </c>
      <c r="F55">
        <f t="shared" si="2"/>
        <v>533.81561999999997</v>
      </c>
      <c r="G55">
        <f t="shared" si="3"/>
        <v>-0.51793</v>
      </c>
      <c r="H55">
        <f t="shared" si="4"/>
        <v>-276.47912406659998</v>
      </c>
      <c r="I55">
        <v>1</v>
      </c>
      <c r="J55">
        <f t="shared" si="5"/>
        <v>-0.62770478054399315</v>
      </c>
      <c r="K55">
        <f t="shared" si="6"/>
        <v>-0.66198057297601198</v>
      </c>
      <c r="L55">
        <v>1</v>
      </c>
      <c r="M55">
        <f t="shared" si="7"/>
        <v>0.44112125244610589</v>
      </c>
      <c r="N55">
        <f t="shared" si="13"/>
        <v>5.0712483899999994E-2</v>
      </c>
      <c r="O55">
        <f t="shared" si="11"/>
        <v>2.6423873189999999E-2</v>
      </c>
      <c r="P55">
        <f t="shared" si="12"/>
        <v>0.14372296343990609</v>
      </c>
      <c r="V55">
        <v>-0.90000000000002001</v>
      </c>
      <c r="W55">
        <f t="shared" si="9"/>
        <v>-0.42815999999999904</v>
      </c>
    </row>
    <row r="56" spans="1:23" x14ac:dyDescent="0.3">
      <c r="A56">
        <v>2.7194872999999999</v>
      </c>
      <c r="B56">
        <v>0.51195000000000002</v>
      </c>
      <c r="C56">
        <f t="shared" si="1"/>
        <v>1.3922415232350001</v>
      </c>
      <c r="D56">
        <v>1.9E-2</v>
      </c>
      <c r="E56">
        <v>9.9000000000000008E-3</v>
      </c>
      <c r="F56">
        <f t="shared" si="2"/>
        <v>543.89746000000002</v>
      </c>
      <c r="G56">
        <f t="shared" si="3"/>
        <v>-0.51195000000000002</v>
      </c>
      <c r="H56">
        <f t="shared" si="4"/>
        <v>-278.44830464699999</v>
      </c>
      <c r="I56">
        <v>1</v>
      </c>
      <c r="J56">
        <f t="shared" si="5"/>
        <v>-0.60899454254022478</v>
      </c>
      <c r="K56">
        <f t="shared" si="6"/>
        <v>-0.66796057297601197</v>
      </c>
      <c r="L56">
        <v>1</v>
      </c>
      <c r="M56">
        <f t="shared" si="7"/>
        <v>0.44201185977508528</v>
      </c>
      <c r="N56">
        <f t="shared" si="13"/>
        <v>5.1670258699999999E-2</v>
      </c>
      <c r="O56">
        <f t="shared" si="11"/>
        <v>2.6922924270000002E-2</v>
      </c>
      <c r="P56">
        <f t="shared" si="12"/>
        <v>0.14735553023092668</v>
      </c>
      <c r="V56">
        <v>-0.80000000000002003</v>
      </c>
      <c r="W56">
        <f t="shared" si="9"/>
        <v>-0.43291999999999903</v>
      </c>
    </row>
    <row r="57" spans="1:23" x14ac:dyDescent="0.3">
      <c r="A57">
        <v>2.7734608999999999</v>
      </c>
      <c r="B57">
        <v>0.50627999999999995</v>
      </c>
      <c r="C57">
        <f t="shared" si="1"/>
        <v>1.4041477844519998</v>
      </c>
      <c r="D57">
        <v>1.9E-2</v>
      </c>
      <c r="E57">
        <v>9.9000000000000008E-3</v>
      </c>
      <c r="F57">
        <f t="shared" si="2"/>
        <v>554.69218000000001</v>
      </c>
      <c r="G57">
        <f t="shared" si="3"/>
        <v>-0.50627999999999995</v>
      </c>
      <c r="H57">
        <f t="shared" si="4"/>
        <v>-280.82955689039994</v>
      </c>
      <c r="I57">
        <v>1</v>
      </c>
      <c r="J57">
        <f t="shared" si="5"/>
        <v>-0.58934194973079601</v>
      </c>
      <c r="K57">
        <f t="shared" si="6"/>
        <v>-0.67363057297601203</v>
      </c>
      <c r="L57">
        <v>1</v>
      </c>
      <c r="M57">
        <f t="shared" si="7"/>
        <v>0.4429473231928141</v>
      </c>
      <c r="N57">
        <f t="shared" si="13"/>
        <v>5.2695757099999997E-2</v>
      </c>
      <c r="O57">
        <f t="shared" si="11"/>
        <v>2.7457262910000002E-2</v>
      </c>
      <c r="P57">
        <f t="shared" si="12"/>
        <v>0.15053022977319794</v>
      </c>
      <c r="V57">
        <v>-0.70000000000002005</v>
      </c>
      <c r="W57">
        <f t="shared" si="9"/>
        <v>-0.43767999999999901</v>
      </c>
    </row>
    <row r="58" spans="1:23" x14ac:dyDescent="0.3">
      <c r="A58">
        <v>2.8248883999999999</v>
      </c>
      <c r="B58">
        <v>0.50058999999999998</v>
      </c>
      <c r="C58">
        <f t="shared" si="1"/>
        <v>1.4141108841559999</v>
      </c>
      <c r="D58">
        <v>1.9E-2</v>
      </c>
      <c r="E58">
        <v>9.9000000000000008E-3</v>
      </c>
      <c r="F58">
        <f t="shared" si="2"/>
        <v>564.97767999999996</v>
      </c>
      <c r="G58">
        <f t="shared" si="3"/>
        <v>-0.50058999999999998</v>
      </c>
      <c r="H58">
        <f t="shared" si="4"/>
        <v>-282.82217683120001</v>
      </c>
      <c r="I58">
        <v>1</v>
      </c>
      <c r="J58">
        <f t="shared" si="5"/>
        <v>-0.57096905304079537</v>
      </c>
      <c r="K58">
        <f t="shared" si="6"/>
        <v>-0.679320572976012</v>
      </c>
      <c r="L58">
        <v>1</v>
      </c>
      <c r="M58">
        <f t="shared" si="7"/>
        <v>0.44382187307525811</v>
      </c>
      <c r="N58">
        <f t="shared" si="13"/>
        <v>5.3672879599999994E-2</v>
      </c>
      <c r="O58">
        <f t="shared" si="11"/>
        <v>2.7966395160000001E-2</v>
      </c>
      <c r="P58">
        <f t="shared" si="12"/>
        <v>0.1538594251407539</v>
      </c>
      <c r="V58">
        <v>-0.60000000000001996</v>
      </c>
      <c r="W58">
        <f t="shared" si="9"/>
        <v>-0.442439999999999</v>
      </c>
    </row>
    <row r="59" spans="1:23" x14ac:dyDescent="0.3">
      <c r="A59">
        <v>2.8758069000000002</v>
      </c>
      <c r="B59">
        <v>0.49486999999999998</v>
      </c>
      <c r="C59">
        <f t="shared" si="1"/>
        <v>1.4231505606029999</v>
      </c>
      <c r="D59">
        <v>1.9E-2</v>
      </c>
      <c r="E59">
        <v>9.9000000000000008E-3</v>
      </c>
      <c r="F59">
        <f t="shared" si="2"/>
        <v>575.16138000000001</v>
      </c>
      <c r="G59">
        <f t="shared" si="3"/>
        <v>-0.49486999999999998</v>
      </c>
      <c r="H59">
        <f t="shared" si="4"/>
        <v>-284.63011212059996</v>
      </c>
      <c r="I59">
        <v>1</v>
      </c>
      <c r="J59">
        <f t="shared" si="5"/>
        <v>-0.55310461669311539</v>
      </c>
      <c r="K59">
        <f t="shared" si="6"/>
        <v>-0.68504057297601206</v>
      </c>
      <c r="L59">
        <v>1</v>
      </c>
      <c r="M59">
        <f t="shared" si="7"/>
        <v>0.4446722202454077</v>
      </c>
      <c r="N59">
        <f t="shared" si="13"/>
        <v>5.4640331100000002E-2</v>
      </c>
      <c r="O59">
        <f t="shared" si="11"/>
        <v>2.8470488310000003E-2</v>
      </c>
      <c r="P59">
        <f t="shared" si="12"/>
        <v>0.15725753332060435</v>
      </c>
      <c r="V59">
        <v>-0.50000000000001998</v>
      </c>
      <c r="W59">
        <f t="shared" si="9"/>
        <v>-0.44719999999999904</v>
      </c>
    </row>
    <row r="60" spans="1:23" x14ac:dyDescent="0.3">
      <c r="A60">
        <v>2.9262160999999995</v>
      </c>
      <c r="B60">
        <v>0.48963000000000001</v>
      </c>
      <c r="C60">
        <f t="shared" si="1"/>
        <v>1.4327631890429997</v>
      </c>
      <c r="D60">
        <v>1.9E-2</v>
      </c>
      <c r="E60">
        <v>9.9000000000000008E-3</v>
      </c>
      <c r="F60">
        <f t="shared" si="2"/>
        <v>585.24321999999995</v>
      </c>
      <c r="G60">
        <f t="shared" si="3"/>
        <v>-0.48963000000000001</v>
      </c>
      <c r="H60">
        <f t="shared" si="4"/>
        <v>-286.55263780859997</v>
      </c>
      <c r="I60">
        <v>1</v>
      </c>
      <c r="J60">
        <f t="shared" si="5"/>
        <v>-0.53572775747104484</v>
      </c>
      <c r="K60">
        <f t="shared" si="6"/>
        <v>-0.69028057297601197</v>
      </c>
      <c r="L60">
        <v>1</v>
      </c>
      <c r="M60">
        <f t="shared" si="7"/>
        <v>0.44549935874437824</v>
      </c>
      <c r="N60">
        <f t="shared" si="13"/>
        <v>5.5598105899999993E-2</v>
      </c>
      <c r="O60">
        <f t="shared" si="11"/>
        <v>2.8969539389999997E-2</v>
      </c>
      <c r="P60">
        <f t="shared" si="12"/>
        <v>0.16021356894163374</v>
      </c>
      <c r="V60">
        <v>-0.40000000000002001</v>
      </c>
      <c r="W60">
        <f t="shared" si="9"/>
        <v>-0.45195999999999903</v>
      </c>
    </row>
    <row r="61" spans="1:23" x14ac:dyDescent="0.3">
      <c r="A61">
        <v>2.9786619000000001</v>
      </c>
      <c r="B61">
        <v>0.48388999999999999</v>
      </c>
      <c r="C61">
        <f t="shared" si="1"/>
        <v>1.4413447067909999</v>
      </c>
      <c r="D61">
        <v>1.9E-2</v>
      </c>
      <c r="E61">
        <v>9.9000000000000008E-3</v>
      </c>
      <c r="F61">
        <f t="shared" si="2"/>
        <v>595.73238000000003</v>
      </c>
      <c r="G61">
        <f t="shared" si="3"/>
        <v>-0.48388999999999999</v>
      </c>
      <c r="H61">
        <f t="shared" si="4"/>
        <v>-288.26894135819998</v>
      </c>
      <c r="I61">
        <v>1</v>
      </c>
      <c r="J61">
        <f t="shared" si="5"/>
        <v>-0.51796373960516739</v>
      </c>
      <c r="K61">
        <f t="shared" si="6"/>
        <v>-0.69602057297601205</v>
      </c>
      <c r="L61">
        <v>1</v>
      </c>
      <c r="M61">
        <f t="shared" si="7"/>
        <v>0.44634492599479403</v>
      </c>
      <c r="N61">
        <f t="shared" si="13"/>
        <v>5.6594576100000002E-2</v>
      </c>
      <c r="O61">
        <f t="shared" si="11"/>
        <v>2.9488752810000005E-2</v>
      </c>
      <c r="P61">
        <f t="shared" si="12"/>
        <v>0.16359231807121799</v>
      </c>
      <c r="V61">
        <v>-0.30000000000001997</v>
      </c>
      <c r="W61">
        <f t="shared" si="9"/>
        <v>-0.45671999999999902</v>
      </c>
    </row>
    <row r="62" spans="1:23" x14ac:dyDescent="0.3">
      <c r="A62">
        <v>3.0300894</v>
      </c>
      <c r="B62">
        <v>0.47799000000000003</v>
      </c>
      <c r="C62">
        <f t="shared" si="1"/>
        <v>1.4483524323060002</v>
      </c>
      <c r="D62">
        <v>1.9E-2</v>
      </c>
      <c r="E62">
        <v>9.9000000000000008E-3</v>
      </c>
      <c r="F62">
        <f t="shared" si="2"/>
        <v>606.01787999999999</v>
      </c>
      <c r="G62">
        <f t="shared" si="3"/>
        <v>-0.47799000000000003</v>
      </c>
      <c r="H62">
        <f t="shared" si="4"/>
        <v>-289.67048646120003</v>
      </c>
      <c r="I62">
        <v>1</v>
      </c>
      <c r="J62">
        <f t="shared" si="5"/>
        <v>-0.50084578839758997</v>
      </c>
      <c r="K62">
        <f t="shared" si="6"/>
        <v>-0.70192057297601196</v>
      </c>
      <c r="L62">
        <v>1</v>
      </c>
      <c r="M62">
        <f t="shared" si="7"/>
        <v>0.44715974047227469</v>
      </c>
      <c r="N62">
        <f t="shared" si="13"/>
        <v>5.7571698599999999E-2</v>
      </c>
      <c r="O62">
        <f t="shared" si="11"/>
        <v>2.9997885060000003E-2</v>
      </c>
      <c r="P62">
        <f t="shared" si="12"/>
        <v>0.16719124884373726</v>
      </c>
      <c r="V62">
        <v>-0.20000000000002</v>
      </c>
      <c r="W62">
        <f t="shared" si="9"/>
        <v>-0.461479999999999</v>
      </c>
    </row>
    <row r="63" spans="1:23" x14ac:dyDescent="0.3">
      <c r="A63">
        <v>3.0825351999999997</v>
      </c>
      <c r="B63">
        <v>0.47200999999999999</v>
      </c>
      <c r="C63">
        <f t="shared" si="1"/>
        <v>1.4549874397519997</v>
      </c>
      <c r="D63">
        <v>1.9E-2</v>
      </c>
      <c r="E63">
        <v>9.9000000000000008E-3</v>
      </c>
      <c r="F63">
        <f t="shared" si="2"/>
        <v>616.50703999999996</v>
      </c>
      <c r="G63">
        <f t="shared" si="3"/>
        <v>-0.47200999999999999</v>
      </c>
      <c r="H63">
        <f t="shared" si="4"/>
        <v>-290.99748795039994</v>
      </c>
      <c r="I63">
        <v>1</v>
      </c>
      <c r="J63">
        <f t="shared" si="5"/>
        <v>-0.48368553714042362</v>
      </c>
      <c r="K63">
        <f t="shared" si="6"/>
        <v>-0.70790057297601194</v>
      </c>
      <c r="L63">
        <v>1</v>
      </c>
      <c r="M63">
        <f t="shared" si="7"/>
        <v>0.44797656843211581</v>
      </c>
      <c r="N63">
        <f t="shared" si="13"/>
        <v>5.8568168799999994E-2</v>
      </c>
      <c r="O63">
        <f t="shared" si="11"/>
        <v>3.0517098480000001E-2</v>
      </c>
      <c r="P63">
        <f t="shared" si="12"/>
        <v>0.17083873726389615</v>
      </c>
      <c r="V63">
        <v>-0.10000000000002</v>
      </c>
      <c r="W63">
        <f t="shared" si="9"/>
        <v>-0.46623999999999904</v>
      </c>
    </row>
    <row r="64" spans="1:23" x14ac:dyDescent="0.3">
      <c r="A64">
        <v>3.1339625999999998</v>
      </c>
      <c r="B64">
        <v>0.46595999999999999</v>
      </c>
      <c r="C64">
        <f t="shared" si="1"/>
        <v>1.4603012130959998</v>
      </c>
      <c r="D64">
        <v>1.9E-2</v>
      </c>
      <c r="E64">
        <v>9.9000000000000008E-3</v>
      </c>
      <c r="F64">
        <f t="shared" si="2"/>
        <v>626.79251999999997</v>
      </c>
      <c r="G64">
        <f t="shared" si="3"/>
        <v>-0.46595999999999999</v>
      </c>
      <c r="H64">
        <f t="shared" si="4"/>
        <v>-292.06024261919998</v>
      </c>
      <c r="I64">
        <v>1</v>
      </c>
      <c r="J64">
        <f t="shared" si="5"/>
        <v>-0.46713970220262002</v>
      </c>
      <c r="K64">
        <f t="shared" si="6"/>
        <v>-0.71395057297601205</v>
      </c>
      <c r="L64">
        <v>1</v>
      </c>
      <c r="M64">
        <f t="shared" si="7"/>
        <v>0.44876415017515525</v>
      </c>
      <c r="N64">
        <f t="shared" si="13"/>
        <v>5.9545289399999993E-2</v>
      </c>
      <c r="O64">
        <f t="shared" si="11"/>
        <v>3.1026229740000001E-2</v>
      </c>
      <c r="P64">
        <f t="shared" si="12"/>
        <v>0.17461490366085683</v>
      </c>
      <c r="V64">
        <v>-2.0428103653102899E-14</v>
      </c>
      <c r="W64">
        <f t="shared" si="9"/>
        <v>-0.47099999999999898</v>
      </c>
    </row>
    <row r="65" spans="1:23" x14ac:dyDescent="0.3">
      <c r="A65">
        <v>3.1848806000000001</v>
      </c>
      <c r="B65">
        <v>0.45972000000000002</v>
      </c>
      <c r="C65">
        <f t="shared" si="1"/>
        <v>1.4641533094320001</v>
      </c>
      <c r="D65">
        <v>1.9E-2</v>
      </c>
      <c r="E65">
        <v>9.9000000000000008E-3</v>
      </c>
      <c r="F65">
        <f t="shared" si="2"/>
        <v>636.97612000000004</v>
      </c>
      <c r="G65">
        <f t="shared" si="3"/>
        <v>-0.45972000000000002</v>
      </c>
      <c r="H65">
        <f t="shared" si="4"/>
        <v>-292.83066188640004</v>
      </c>
      <c r="I65">
        <v>1</v>
      </c>
      <c r="J65">
        <f t="shared" si="5"/>
        <v>-0.45102311233873443</v>
      </c>
      <c r="K65">
        <f t="shared" si="6"/>
        <v>-0.72019057297601197</v>
      </c>
      <c r="L65">
        <v>1</v>
      </c>
      <c r="M65">
        <f t="shared" si="7"/>
        <v>0.4495312998526762</v>
      </c>
      <c r="N65">
        <f t="shared" si="13"/>
        <v>6.0512731399999999E-2</v>
      </c>
      <c r="O65">
        <f t="shared" si="11"/>
        <v>3.1530317940000004E-2</v>
      </c>
      <c r="P65">
        <f t="shared" si="12"/>
        <v>0.17861622378333578</v>
      </c>
      <c r="V65">
        <v>9.9999999999980105E-2</v>
      </c>
      <c r="W65">
        <f t="shared" si="9"/>
        <v>-0.47575999999999902</v>
      </c>
    </row>
    <row r="66" spans="1:23" x14ac:dyDescent="0.3">
      <c r="A66">
        <v>3.2352897999999999</v>
      </c>
      <c r="B66">
        <v>0.45405000000000001</v>
      </c>
      <c r="C66">
        <f t="shared" si="1"/>
        <v>1.46898333369</v>
      </c>
      <c r="D66">
        <v>1.9E-2</v>
      </c>
      <c r="E66">
        <v>9.9000000000000008E-3</v>
      </c>
      <c r="F66">
        <f t="shared" si="2"/>
        <v>647.05795999999998</v>
      </c>
      <c r="G66">
        <f t="shared" si="3"/>
        <v>-0.45405000000000001</v>
      </c>
      <c r="H66">
        <f t="shared" si="4"/>
        <v>-293.796666738</v>
      </c>
      <c r="I66">
        <v>1</v>
      </c>
      <c r="J66">
        <f t="shared" si="5"/>
        <v>-0.43531940580419071</v>
      </c>
      <c r="K66">
        <f t="shared" si="6"/>
        <v>-0.72586057297601192</v>
      </c>
      <c r="L66">
        <v>1</v>
      </c>
      <c r="M66">
        <f t="shared" si="7"/>
        <v>0.45027879628372047</v>
      </c>
      <c r="N66">
        <f t="shared" si="13"/>
        <v>6.1470506199999997E-2</v>
      </c>
      <c r="O66">
        <f t="shared" si="11"/>
        <v>3.2029369020000004E-2</v>
      </c>
      <c r="P66">
        <f t="shared" si="12"/>
        <v>0.18208190147229145</v>
      </c>
      <c r="V66">
        <v>0.19999999999998</v>
      </c>
      <c r="W66">
        <f t="shared" si="9"/>
        <v>-0.480519999999999</v>
      </c>
    </row>
    <row r="67" spans="1:23" x14ac:dyDescent="0.3">
      <c r="A67">
        <v>3.2882450999999997</v>
      </c>
      <c r="B67">
        <v>0.44796999999999998</v>
      </c>
      <c r="C67">
        <f t="shared" si="1"/>
        <v>1.4730351574469998</v>
      </c>
      <c r="D67">
        <v>1.9E-2</v>
      </c>
      <c r="E67">
        <v>9.9000000000000008E-3</v>
      </c>
      <c r="F67">
        <f t="shared" si="2"/>
        <v>657.64901999999995</v>
      </c>
      <c r="G67">
        <f t="shared" si="3"/>
        <v>-0.44796999999999998</v>
      </c>
      <c r="H67">
        <f t="shared" si="4"/>
        <v>-294.60703148939996</v>
      </c>
      <c r="I67">
        <v>1</v>
      </c>
      <c r="J67">
        <f t="shared" si="5"/>
        <v>-0.41908389422279724</v>
      </c>
      <c r="K67">
        <f t="shared" si="6"/>
        <v>-0.731940572976012</v>
      </c>
      <c r="L67">
        <v>1</v>
      </c>
      <c r="M67">
        <f t="shared" si="7"/>
        <v>0.45105160663499483</v>
      </c>
      <c r="N67">
        <f t="shared" si="13"/>
        <v>6.247665689999999E-2</v>
      </c>
      <c r="O67">
        <f t="shared" si="11"/>
        <v>3.2553626490000001E-2</v>
      </c>
      <c r="P67">
        <f t="shared" si="12"/>
        <v>0.18585868295101721</v>
      </c>
      <c r="V67">
        <v>0.29999999999998</v>
      </c>
      <c r="W67">
        <f t="shared" si="9"/>
        <v>-0.48527999999999905</v>
      </c>
    </row>
    <row r="68" spans="1:23" x14ac:dyDescent="0.3">
      <c r="A68">
        <v>3.3391630999999999</v>
      </c>
      <c r="B68">
        <v>0.44153999999999999</v>
      </c>
      <c r="C68">
        <f t="shared" si="1"/>
        <v>1.474374075174</v>
      </c>
      <c r="D68">
        <v>1.9E-2</v>
      </c>
      <c r="E68">
        <v>9.9000000000000008E-3</v>
      </c>
      <c r="F68">
        <f t="shared" si="2"/>
        <v>667.83262000000002</v>
      </c>
      <c r="G68">
        <f t="shared" si="3"/>
        <v>-0.44153999999999999</v>
      </c>
      <c r="H68">
        <f t="shared" si="4"/>
        <v>-294.87481503480001</v>
      </c>
      <c r="I68">
        <v>1</v>
      </c>
      <c r="J68">
        <f t="shared" si="5"/>
        <v>-0.40371770570538912</v>
      </c>
      <c r="K68">
        <f t="shared" si="6"/>
        <v>-0.73837057297601194</v>
      </c>
      <c r="L68">
        <v>1</v>
      </c>
      <c r="M68">
        <f t="shared" si="7"/>
        <v>0.45178303720842344</v>
      </c>
      <c r="N68">
        <f t="shared" si="13"/>
        <v>6.3444098899999996E-2</v>
      </c>
      <c r="O68">
        <f t="shared" si="11"/>
        <v>3.3057714690000004E-2</v>
      </c>
      <c r="P68">
        <f t="shared" si="12"/>
        <v>0.19008572217758851</v>
      </c>
      <c r="V68">
        <v>0.39999999999997998</v>
      </c>
      <c r="W68">
        <f t="shared" si="9"/>
        <v>-0.49003999999999903</v>
      </c>
    </row>
    <row r="69" spans="1:23" x14ac:dyDescent="0.3">
      <c r="A69">
        <v>3.394155</v>
      </c>
      <c r="B69">
        <v>0.43556</v>
      </c>
      <c r="C69">
        <f t="shared" ref="C69:C132" si="14">A69*B69</f>
        <v>1.4783581518</v>
      </c>
      <c r="D69">
        <v>1.9E-2</v>
      </c>
      <c r="E69">
        <v>9.9000000000000008E-3</v>
      </c>
      <c r="F69">
        <f t="shared" ref="F69:F132" si="15">A69*200</f>
        <v>678.83100000000002</v>
      </c>
      <c r="G69">
        <f t="shared" ref="G69:G132" si="16">-B69</f>
        <v>-0.43556</v>
      </c>
      <c r="H69">
        <f t="shared" ref="H69:H132" si="17">-C69*200</f>
        <v>-295.67163035999999</v>
      </c>
      <c r="I69">
        <v>1</v>
      </c>
      <c r="J69">
        <f t="shared" ref="J69:J132" si="18">LN(F69/1000)</f>
        <v>-0.38738307783751263</v>
      </c>
      <c r="K69">
        <f t="shared" ref="K69:K132" si="19">((-G69)-$N$2)</f>
        <v>-0.74435057297601204</v>
      </c>
      <c r="L69">
        <v>1</v>
      </c>
      <c r="M69">
        <f t="shared" ref="M69:M132" si="20">-1*($S$4+($S$5*J69))</f>
        <v>0.4525605654949344</v>
      </c>
      <c r="N69">
        <f t="shared" si="13"/>
        <v>6.4488945000000006E-2</v>
      </c>
      <c r="O69">
        <f t="shared" si="11"/>
        <v>3.3602134500000005E-2</v>
      </c>
      <c r="P69">
        <f t="shared" si="12"/>
        <v>0.19369892798107763</v>
      </c>
      <c r="V69">
        <v>0.49999999999998002</v>
      </c>
      <c r="W69">
        <f t="shared" ref="W69:W132" si="21">V69*$S$5+$S$4</f>
        <v>-0.49479999999999902</v>
      </c>
    </row>
    <row r="70" spans="1:23" x14ac:dyDescent="0.3">
      <c r="A70">
        <v>3.4460917999999996</v>
      </c>
      <c r="B70">
        <v>0.42884</v>
      </c>
      <c r="C70">
        <f t="shared" si="14"/>
        <v>1.4778220075119999</v>
      </c>
      <c r="D70">
        <v>1.9E-2</v>
      </c>
      <c r="E70">
        <v>9.9000000000000008E-3</v>
      </c>
      <c r="F70">
        <f t="shared" si="15"/>
        <v>689.21835999999996</v>
      </c>
      <c r="G70">
        <f t="shared" si="16"/>
        <v>-0.42884</v>
      </c>
      <c r="H70">
        <f t="shared" si="17"/>
        <v>-295.56440150239996</v>
      </c>
      <c r="I70">
        <v>1</v>
      </c>
      <c r="J70">
        <f t="shared" si="18"/>
        <v>-0.37219713510106578</v>
      </c>
      <c r="K70">
        <f t="shared" si="19"/>
        <v>-0.75107057297601199</v>
      </c>
      <c r="L70">
        <v>1</v>
      </c>
      <c r="M70">
        <f t="shared" si="20"/>
        <v>0.45328341636918923</v>
      </c>
      <c r="N70">
        <f t="shared" si="13"/>
        <v>6.5475744199999991E-2</v>
      </c>
      <c r="O70">
        <f t="shared" ref="O70:O133" si="22">E70*A70</f>
        <v>3.4116308819999996E-2</v>
      </c>
      <c r="P70">
        <f t="shared" ref="P70:P133" si="23">-K70-M70-N70-O70</f>
        <v>0.19819510358682277</v>
      </c>
      <c r="V70">
        <v>0.59999999999997999</v>
      </c>
      <c r="W70">
        <f t="shared" si="21"/>
        <v>-0.499559999999999</v>
      </c>
    </row>
    <row r="71" spans="1:23" x14ac:dyDescent="0.3">
      <c r="A71">
        <v>3.4970102999999999</v>
      </c>
      <c r="B71">
        <v>0.42282999999999998</v>
      </c>
      <c r="C71">
        <f t="shared" si="14"/>
        <v>1.4786408651489999</v>
      </c>
      <c r="D71">
        <v>1.9E-2</v>
      </c>
      <c r="E71">
        <v>9.9000000000000008E-3</v>
      </c>
      <c r="F71">
        <f t="shared" si="15"/>
        <v>699.40206000000001</v>
      </c>
      <c r="G71">
        <f t="shared" si="16"/>
        <v>-0.42282999999999998</v>
      </c>
      <c r="H71">
        <f t="shared" si="17"/>
        <v>-295.72817302980002</v>
      </c>
      <c r="I71">
        <v>1</v>
      </c>
      <c r="J71">
        <f t="shared" si="18"/>
        <v>-0.35752950897544333</v>
      </c>
      <c r="K71">
        <f t="shared" si="19"/>
        <v>-0.75708057297601195</v>
      </c>
      <c r="L71">
        <v>1</v>
      </c>
      <c r="M71">
        <f t="shared" si="20"/>
        <v>0.45398159537276889</v>
      </c>
      <c r="N71">
        <f t="shared" ref="N71:N134" si="24">D71*A71</f>
        <v>6.6443195699999999E-2</v>
      </c>
      <c r="O71">
        <f t="shared" si="22"/>
        <v>3.4620401969999999E-2</v>
      </c>
      <c r="P71">
        <f t="shared" si="23"/>
        <v>0.20203537993324305</v>
      </c>
      <c r="V71">
        <v>0.69999999999997997</v>
      </c>
      <c r="W71">
        <f t="shared" si="21"/>
        <v>-0.50431999999999899</v>
      </c>
    </row>
    <row r="72" spans="1:23" x14ac:dyDescent="0.3">
      <c r="A72">
        <v>3.5494561</v>
      </c>
      <c r="B72">
        <v>0.41665999999999997</v>
      </c>
      <c r="C72">
        <f t="shared" si="14"/>
        <v>1.478916378626</v>
      </c>
      <c r="D72">
        <v>1.9E-2</v>
      </c>
      <c r="E72">
        <v>9.9000000000000008E-3</v>
      </c>
      <c r="F72">
        <f t="shared" si="15"/>
        <v>709.89121999999998</v>
      </c>
      <c r="G72">
        <f t="shared" si="16"/>
        <v>-0.41665999999999997</v>
      </c>
      <c r="H72">
        <f t="shared" si="17"/>
        <v>-295.78327572519999</v>
      </c>
      <c r="I72">
        <v>1</v>
      </c>
      <c r="J72">
        <f t="shared" si="18"/>
        <v>-0.34264353195242686</v>
      </c>
      <c r="K72">
        <f t="shared" si="19"/>
        <v>-0.76325057297601195</v>
      </c>
      <c r="L72">
        <v>1</v>
      </c>
      <c r="M72">
        <f t="shared" si="20"/>
        <v>0.45469016787906447</v>
      </c>
      <c r="N72">
        <f t="shared" si="24"/>
        <v>6.7439665900000001E-2</v>
      </c>
      <c r="O72">
        <f t="shared" si="22"/>
        <v>3.5139615390000004E-2</v>
      </c>
      <c r="P72">
        <f t="shared" si="23"/>
        <v>0.2059811238069475</v>
      </c>
      <c r="V72">
        <v>0.79999999999997995</v>
      </c>
      <c r="W72">
        <f t="shared" si="21"/>
        <v>-0.50907999999999898</v>
      </c>
    </row>
    <row r="73" spans="1:23" x14ac:dyDescent="0.3">
      <c r="A73">
        <v>3.6039389999999996</v>
      </c>
      <c r="B73">
        <v>0.41004000000000002</v>
      </c>
      <c r="C73">
        <f t="shared" si="14"/>
        <v>1.4777591475599998</v>
      </c>
      <c r="D73">
        <v>1.9E-2</v>
      </c>
      <c r="E73">
        <v>9.9000000000000008E-3</v>
      </c>
      <c r="F73">
        <f t="shared" si="15"/>
        <v>720.78779999999995</v>
      </c>
      <c r="G73">
        <f t="shared" si="16"/>
        <v>-0.41004000000000002</v>
      </c>
      <c r="H73">
        <f t="shared" si="17"/>
        <v>-295.55182951199998</v>
      </c>
      <c r="I73">
        <v>1</v>
      </c>
      <c r="J73">
        <f t="shared" si="18"/>
        <v>-0.32741049846942893</v>
      </c>
      <c r="K73">
        <f t="shared" si="19"/>
        <v>-0.76987057297601202</v>
      </c>
      <c r="L73">
        <v>1</v>
      </c>
      <c r="M73">
        <f t="shared" si="20"/>
        <v>0.45541526027285517</v>
      </c>
      <c r="N73">
        <f t="shared" si="24"/>
        <v>6.8474840999999995E-2</v>
      </c>
      <c r="O73">
        <f t="shared" si="22"/>
        <v>3.5678996099999999E-2</v>
      </c>
      <c r="P73">
        <f t="shared" si="23"/>
        <v>0.21030147560315685</v>
      </c>
      <c r="V73">
        <v>0.89999999999998004</v>
      </c>
      <c r="W73">
        <f t="shared" si="21"/>
        <v>-0.51383999999999908</v>
      </c>
    </row>
    <row r="74" spans="1:23" x14ac:dyDescent="0.3">
      <c r="A74">
        <v>3.6579120999999999</v>
      </c>
      <c r="B74">
        <v>0.40322000000000002</v>
      </c>
      <c r="C74">
        <f t="shared" si="14"/>
        <v>1.4749433169620001</v>
      </c>
      <c r="D74">
        <v>1.9E-2</v>
      </c>
      <c r="E74">
        <v>9.9000000000000008E-3</v>
      </c>
      <c r="F74">
        <f t="shared" si="15"/>
        <v>731.58241999999996</v>
      </c>
      <c r="G74">
        <f t="shared" si="16"/>
        <v>-0.40322000000000002</v>
      </c>
      <c r="H74">
        <f t="shared" si="17"/>
        <v>-294.98866339240004</v>
      </c>
      <c r="I74">
        <v>1</v>
      </c>
      <c r="J74">
        <f t="shared" si="18"/>
        <v>-0.31254539227847034</v>
      </c>
      <c r="K74">
        <f t="shared" si="19"/>
        <v>-0.77669057297601196</v>
      </c>
      <c r="L74">
        <v>1</v>
      </c>
      <c r="M74">
        <f t="shared" si="20"/>
        <v>0.45612283932754477</v>
      </c>
      <c r="N74">
        <f t="shared" si="24"/>
        <v>6.9500329899999991E-2</v>
      </c>
      <c r="O74">
        <f t="shared" si="22"/>
        <v>3.6213329789999998E-2</v>
      </c>
      <c r="P74">
        <f t="shared" si="23"/>
        <v>0.2148540739584672</v>
      </c>
      <c r="V74">
        <v>0.99999999999998002</v>
      </c>
      <c r="W74">
        <f t="shared" si="21"/>
        <v>-0.51859999999999906</v>
      </c>
    </row>
    <row r="75" spans="1:23" x14ac:dyDescent="0.3">
      <c r="A75">
        <v>3.7088303000000002</v>
      </c>
      <c r="B75">
        <v>0.39694000000000002</v>
      </c>
      <c r="C75">
        <f t="shared" si="14"/>
        <v>1.4721830992820002</v>
      </c>
      <c r="D75">
        <v>1.9E-2</v>
      </c>
      <c r="E75">
        <v>9.9000000000000008E-3</v>
      </c>
      <c r="F75">
        <f t="shared" si="15"/>
        <v>741.76606000000004</v>
      </c>
      <c r="G75">
        <f t="shared" si="16"/>
        <v>-0.39694000000000002</v>
      </c>
      <c r="H75">
        <f t="shared" si="17"/>
        <v>-294.43661985640006</v>
      </c>
      <c r="I75">
        <v>1</v>
      </c>
      <c r="J75">
        <f t="shared" si="18"/>
        <v>-0.2987213685457647</v>
      </c>
      <c r="K75">
        <f t="shared" si="19"/>
        <v>-0.78297057297601191</v>
      </c>
      <c r="L75">
        <v>1</v>
      </c>
      <c r="M75">
        <f t="shared" si="20"/>
        <v>0.45678086285722158</v>
      </c>
      <c r="N75">
        <f t="shared" si="24"/>
        <v>7.0467775699999999E-2</v>
      </c>
      <c r="O75">
        <f t="shared" si="22"/>
        <v>3.6717419970000005E-2</v>
      </c>
      <c r="P75">
        <f t="shared" si="23"/>
        <v>0.21900451444879032</v>
      </c>
      <c r="V75">
        <v>1.0999999999999699</v>
      </c>
      <c r="W75">
        <f t="shared" si="21"/>
        <v>-0.52335999999999849</v>
      </c>
    </row>
    <row r="76" spans="1:23" x14ac:dyDescent="0.3">
      <c r="A76">
        <v>3.7592395000000001</v>
      </c>
      <c r="B76">
        <v>0.39012000000000002</v>
      </c>
      <c r="C76">
        <f t="shared" si="14"/>
        <v>1.46655451374</v>
      </c>
      <c r="D76">
        <v>1.9E-2</v>
      </c>
      <c r="E76">
        <v>9.9000000000000008E-3</v>
      </c>
      <c r="F76">
        <f t="shared" si="15"/>
        <v>751.84789999999998</v>
      </c>
      <c r="G76">
        <f t="shared" si="16"/>
        <v>-0.39012000000000002</v>
      </c>
      <c r="H76">
        <f t="shared" si="17"/>
        <v>-293.31090274799999</v>
      </c>
      <c r="I76">
        <v>1</v>
      </c>
      <c r="J76">
        <f t="shared" si="18"/>
        <v>-0.28522123612803651</v>
      </c>
      <c r="K76">
        <f t="shared" si="19"/>
        <v>-0.78979057297601196</v>
      </c>
      <c r="L76">
        <v>1</v>
      </c>
      <c r="M76">
        <f t="shared" si="20"/>
        <v>0.45742346916030541</v>
      </c>
      <c r="N76">
        <f t="shared" si="24"/>
        <v>7.1425550500000004E-2</v>
      </c>
      <c r="O76">
        <f t="shared" si="22"/>
        <v>3.7216471050000005E-2</v>
      </c>
      <c r="P76">
        <f t="shared" si="23"/>
        <v>0.22372508226570656</v>
      </c>
      <c r="V76">
        <v>1.19999999999997</v>
      </c>
      <c r="W76">
        <f t="shared" si="21"/>
        <v>-0.52811999999999859</v>
      </c>
    </row>
    <row r="77" spans="1:23" x14ac:dyDescent="0.3">
      <c r="A77">
        <v>3.8106671999999997</v>
      </c>
      <c r="B77">
        <v>0.38390000000000002</v>
      </c>
      <c r="C77">
        <f t="shared" si="14"/>
        <v>1.4629151380800001</v>
      </c>
      <c r="D77">
        <v>1.9E-2</v>
      </c>
      <c r="E77">
        <v>9.9000000000000008E-3</v>
      </c>
      <c r="F77">
        <f t="shared" si="15"/>
        <v>762.13343999999995</v>
      </c>
      <c r="G77">
        <f t="shared" si="16"/>
        <v>-0.38390000000000002</v>
      </c>
      <c r="H77">
        <f t="shared" si="17"/>
        <v>-292.58302761600004</v>
      </c>
      <c r="I77">
        <v>1</v>
      </c>
      <c r="J77">
        <f t="shared" si="18"/>
        <v>-0.27163362051664108</v>
      </c>
      <c r="K77">
        <f t="shared" si="19"/>
        <v>-0.79601057297601197</v>
      </c>
      <c r="L77">
        <v>1</v>
      </c>
      <c r="M77">
        <f t="shared" si="20"/>
        <v>0.45807023966340787</v>
      </c>
      <c r="N77">
        <f t="shared" si="24"/>
        <v>7.2402676799999996E-2</v>
      </c>
      <c r="O77">
        <f t="shared" si="22"/>
        <v>3.7725605279999998E-2</v>
      </c>
      <c r="P77">
        <f t="shared" si="23"/>
        <v>0.22781205123260409</v>
      </c>
      <c r="V77">
        <v>1.2999999999999701</v>
      </c>
      <c r="W77">
        <f t="shared" si="21"/>
        <v>-0.53287999999999858</v>
      </c>
    </row>
    <row r="78" spans="1:23" x14ac:dyDescent="0.3">
      <c r="A78">
        <v>3.8615854000000001</v>
      </c>
      <c r="B78">
        <v>0.37746000000000002</v>
      </c>
      <c r="C78">
        <f t="shared" si="14"/>
        <v>1.457594025084</v>
      </c>
      <c r="D78">
        <v>1.9E-2</v>
      </c>
      <c r="E78">
        <v>9.9000000000000008E-3</v>
      </c>
      <c r="F78">
        <f t="shared" si="15"/>
        <v>772.31708000000003</v>
      </c>
      <c r="G78">
        <f t="shared" si="16"/>
        <v>-0.37746000000000002</v>
      </c>
      <c r="H78">
        <f t="shared" si="17"/>
        <v>-291.5188050168</v>
      </c>
      <c r="I78">
        <v>1</v>
      </c>
      <c r="J78">
        <f t="shared" si="18"/>
        <v>-0.25836008789334358</v>
      </c>
      <c r="K78">
        <f t="shared" si="19"/>
        <v>-0.80245057297601197</v>
      </c>
      <c r="L78">
        <v>1</v>
      </c>
      <c r="M78">
        <f t="shared" si="20"/>
        <v>0.45870205981627682</v>
      </c>
      <c r="N78">
        <f t="shared" si="24"/>
        <v>7.3370122600000004E-2</v>
      </c>
      <c r="O78">
        <f t="shared" si="22"/>
        <v>3.8229695460000004E-2</v>
      </c>
      <c r="P78">
        <f t="shared" si="23"/>
        <v>0.23214869509973513</v>
      </c>
      <c r="V78">
        <v>1.3999999999999699</v>
      </c>
      <c r="W78">
        <f t="shared" si="21"/>
        <v>-0.53763999999999856</v>
      </c>
    </row>
    <row r="79" spans="1:23" x14ac:dyDescent="0.3">
      <c r="A79">
        <v>3.9130129</v>
      </c>
      <c r="B79">
        <v>0.37103000000000003</v>
      </c>
      <c r="C79">
        <f t="shared" si="14"/>
        <v>1.4518451762870002</v>
      </c>
      <c r="D79">
        <v>1.9E-2</v>
      </c>
      <c r="E79">
        <v>9.9000000000000008E-3</v>
      </c>
      <c r="F79">
        <f t="shared" si="15"/>
        <v>782.60257999999999</v>
      </c>
      <c r="G79">
        <f t="shared" si="16"/>
        <v>-0.37103000000000003</v>
      </c>
      <c r="H79">
        <f t="shared" si="17"/>
        <v>-290.36903525740001</v>
      </c>
      <c r="I79">
        <v>1</v>
      </c>
      <c r="J79">
        <f t="shared" si="18"/>
        <v>-0.24513027250796246</v>
      </c>
      <c r="K79">
        <f t="shared" si="19"/>
        <v>-0.80888057297601201</v>
      </c>
      <c r="L79">
        <v>1</v>
      </c>
      <c r="M79">
        <f t="shared" si="20"/>
        <v>0.45933179902862098</v>
      </c>
      <c r="N79">
        <f t="shared" si="24"/>
        <v>7.4347245100000001E-2</v>
      </c>
      <c r="O79">
        <f t="shared" si="22"/>
        <v>3.8738827710000007E-2</v>
      </c>
      <c r="P79">
        <f t="shared" si="23"/>
        <v>0.23646270113739101</v>
      </c>
      <c r="V79">
        <v>1.49999999999997</v>
      </c>
      <c r="W79">
        <f t="shared" si="21"/>
        <v>-0.54239999999999855</v>
      </c>
    </row>
    <row r="80" spans="1:23" x14ac:dyDescent="0.3">
      <c r="A80">
        <v>3.9634221000000003</v>
      </c>
      <c r="B80">
        <v>0.36405999999999999</v>
      </c>
      <c r="C80">
        <f t="shared" si="14"/>
        <v>1.4429234497260002</v>
      </c>
      <c r="D80">
        <v>1.9E-2</v>
      </c>
      <c r="E80">
        <v>9.9000000000000008E-3</v>
      </c>
      <c r="F80">
        <f t="shared" si="15"/>
        <v>792.68442000000005</v>
      </c>
      <c r="G80">
        <f t="shared" si="16"/>
        <v>-0.36405999999999999</v>
      </c>
      <c r="H80">
        <f t="shared" si="17"/>
        <v>-288.58468994520001</v>
      </c>
      <c r="I80">
        <v>1</v>
      </c>
      <c r="J80">
        <f t="shared" si="18"/>
        <v>-0.23233009367808238</v>
      </c>
      <c r="K80">
        <f t="shared" si="19"/>
        <v>-0.81585057297601193</v>
      </c>
      <c r="L80">
        <v>1</v>
      </c>
      <c r="M80">
        <f t="shared" si="20"/>
        <v>0.45994108754092328</v>
      </c>
      <c r="N80">
        <f t="shared" si="24"/>
        <v>7.5305019900000006E-2</v>
      </c>
      <c r="O80">
        <f t="shared" si="22"/>
        <v>3.9237878790000007E-2</v>
      </c>
      <c r="P80">
        <f t="shared" si="23"/>
        <v>0.24136658674508865</v>
      </c>
      <c r="V80">
        <v>1.5999999999999699</v>
      </c>
      <c r="W80">
        <f t="shared" si="21"/>
        <v>-0.54715999999999854</v>
      </c>
    </row>
    <row r="81" spans="1:23" x14ac:dyDescent="0.3">
      <c r="A81">
        <v>4.0163773999999997</v>
      </c>
      <c r="B81">
        <v>0.35780000000000001</v>
      </c>
      <c r="C81">
        <f t="shared" si="14"/>
        <v>1.43705983372</v>
      </c>
      <c r="D81">
        <v>1.9E-2</v>
      </c>
      <c r="E81">
        <v>9.9000000000000008E-3</v>
      </c>
      <c r="F81">
        <f t="shared" si="15"/>
        <v>803.2754799999999</v>
      </c>
      <c r="G81">
        <f t="shared" si="16"/>
        <v>-0.35780000000000001</v>
      </c>
      <c r="H81">
        <f t="shared" si="17"/>
        <v>-287.41196674399998</v>
      </c>
      <c r="I81">
        <v>1</v>
      </c>
      <c r="J81">
        <f t="shared" si="18"/>
        <v>-0.21905756035637619</v>
      </c>
      <c r="K81">
        <f t="shared" si="19"/>
        <v>-0.82211057297601198</v>
      </c>
      <c r="L81">
        <v>1</v>
      </c>
      <c r="M81">
        <f t="shared" si="20"/>
        <v>0.46057286012703647</v>
      </c>
      <c r="N81">
        <f t="shared" si="24"/>
        <v>7.6311170599999992E-2</v>
      </c>
      <c r="O81">
        <f t="shared" si="22"/>
        <v>3.9762136259999997E-2</v>
      </c>
      <c r="P81">
        <f t="shared" si="23"/>
        <v>0.24546440598897554</v>
      </c>
      <c r="V81">
        <v>1.69999999999997</v>
      </c>
      <c r="W81">
        <f t="shared" si="21"/>
        <v>-0.55191999999999852</v>
      </c>
    </row>
    <row r="82" spans="1:23" x14ac:dyDescent="0.3">
      <c r="A82">
        <v>4.068314</v>
      </c>
      <c r="B82">
        <v>0.35050999999999999</v>
      </c>
      <c r="C82">
        <f t="shared" si="14"/>
        <v>1.4259847401399999</v>
      </c>
      <c r="D82">
        <v>1.9E-2</v>
      </c>
      <c r="E82">
        <v>9.9000000000000008E-3</v>
      </c>
      <c r="F82">
        <f t="shared" si="15"/>
        <v>813.66279999999995</v>
      </c>
      <c r="G82">
        <f t="shared" si="16"/>
        <v>-0.35050999999999999</v>
      </c>
      <c r="H82">
        <f t="shared" si="17"/>
        <v>-285.19694802799995</v>
      </c>
      <c r="I82">
        <v>1</v>
      </c>
      <c r="J82">
        <f t="shared" si="18"/>
        <v>-0.20620924941933619</v>
      </c>
      <c r="K82">
        <f t="shared" si="19"/>
        <v>-0.829400572976012</v>
      </c>
      <c r="L82">
        <v>1</v>
      </c>
      <c r="M82">
        <f t="shared" si="20"/>
        <v>0.46118443972763956</v>
      </c>
      <c r="N82">
        <f t="shared" si="24"/>
        <v>7.7297965999999996E-2</v>
      </c>
      <c r="O82">
        <f t="shared" si="22"/>
        <v>4.0276308600000005E-2</v>
      </c>
      <c r="P82">
        <f t="shared" si="23"/>
        <v>0.25064185864837241</v>
      </c>
      <c r="V82">
        <v>1.7999999999999701</v>
      </c>
      <c r="W82">
        <f t="shared" si="21"/>
        <v>-0.55667999999999851</v>
      </c>
    </row>
    <row r="83" spans="1:23" x14ac:dyDescent="0.3">
      <c r="A83">
        <v>4.1192324000000005</v>
      </c>
      <c r="B83">
        <v>0.34361000000000003</v>
      </c>
      <c r="C83">
        <f t="shared" si="14"/>
        <v>1.4154094449640002</v>
      </c>
      <c r="D83">
        <v>1.9E-2</v>
      </c>
      <c r="E83">
        <v>9.9000000000000008E-3</v>
      </c>
      <c r="F83">
        <f t="shared" si="15"/>
        <v>823.84648000000004</v>
      </c>
      <c r="G83">
        <f t="shared" si="16"/>
        <v>-0.34361000000000003</v>
      </c>
      <c r="H83">
        <f t="shared" si="17"/>
        <v>-283.08188899280003</v>
      </c>
      <c r="I83">
        <v>1</v>
      </c>
      <c r="J83">
        <f t="shared" si="18"/>
        <v>-0.19377107711026764</v>
      </c>
      <c r="K83">
        <f t="shared" si="19"/>
        <v>-0.83630057297601201</v>
      </c>
      <c r="L83">
        <v>1</v>
      </c>
      <c r="M83">
        <f t="shared" si="20"/>
        <v>0.46177649672955123</v>
      </c>
      <c r="N83">
        <f t="shared" si="24"/>
        <v>7.8265415600000013E-2</v>
      </c>
      <c r="O83">
        <f t="shared" si="22"/>
        <v>4.0780400760000009E-2</v>
      </c>
      <c r="P83">
        <f t="shared" si="23"/>
        <v>0.25547825988646078</v>
      </c>
      <c r="V83">
        <v>1.8999999999999699</v>
      </c>
      <c r="W83">
        <f t="shared" si="21"/>
        <v>-0.56143999999999861</v>
      </c>
    </row>
    <row r="84" spans="1:23" x14ac:dyDescent="0.3">
      <c r="A84">
        <v>4.1701508999999994</v>
      </c>
      <c r="B84">
        <v>0.33706000000000003</v>
      </c>
      <c r="C84">
        <f t="shared" si="14"/>
        <v>1.405591062354</v>
      </c>
      <c r="D84">
        <v>1.9E-2</v>
      </c>
      <c r="E84">
        <v>9.9000000000000008E-3</v>
      </c>
      <c r="F84">
        <f t="shared" si="15"/>
        <v>834.03017999999986</v>
      </c>
      <c r="G84">
        <f t="shared" si="16"/>
        <v>-0.33706000000000003</v>
      </c>
      <c r="H84">
        <f t="shared" si="17"/>
        <v>-281.11821247080002</v>
      </c>
      <c r="I84">
        <v>1</v>
      </c>
      <c r="J84">
        <f t="shared" si="18"/>
        <v>-0.18148569022776628</v>
      </c>
      <c r="K84">
        <f t="shared" si="19"/>
        <v>-0.84285057297601196</v>
      </c>
      <c r="L84">
        <v>1</v>
      </c>
      <c r="M84">
        <f t="shared" si="20"/>
        <v>0.46236128114515829</v>
      </c>
      <c r="N84">
        <f t="shared" si="24"/>
        <v>7.9232867099999993E-2</v>
      </c>
      <c r="O84">
        <f t="shared" si="22"/>
        <v>4.1284493909999997E-2</v>
      </c>
      <c r="P84">
        <f t="shared" si="23"/>
        <v>0.25997193082085368</v>
      </c>
      <c r="V84">
        <v>1.99999999999997</v>
      </c>
      <c r="W84">
        <f t="shared" si="21"/>
        <v>-0.56619999999999859</v>
      </c>
    </row>
    <row r="85" spans="1:23" x14ac:dyDescent="0.3">
      <c r="A85">
        <v>4.2205601000000001</v>
      </c>
      <c r="B85">
        <v>0.32973000000000002</v>
      </c>
      <c r="C85">
        <f t="shared" si="14"/>
        <v>1.3916452817730001</v>
      </c>
      <c r="D85">
        <v>1.9E-2</v>
      </c>
      <c r="E85">
        <v>9.9000000000000008E-3</v>
      </c>
      <c r="F85">
        <f t="shared" si="15"/>
        <v>844.11202000000003</v>
      </c>
      <c r="G85">
        <f t="shared" si="16"/>
        <v>-0.32973000000000002</v>
      </c>
      <c r="H85">
        <f t="shared" si="17"/>
        <v>-278.32905635460003</v>
      </c>
      <c r="I85">
        <v>1</v>
      </c>
      <c r="J85">
        <f t="shared" si="18"/>
        <v>-0.1694700680748957</v>
      </c>
      <c r="K85">
        <f t="shared" si="19"/>
        <v>-0.85018057297601191</v>
      </c>
      <c r="L85">
        <v>1</v>
      </c>
      <c r="M85">
        <f t="shared" si="20"/>
        <v>0.46293322475963494</v>
      </c>
      <c r="N85">
        <f t="shared" si="24"/>
        <v>8.0190641899999998E-2</v>
      </c>
      <c r="O85">
        <f t="shared" si="22"/>
        <v>4.1783544990000004E-2</v>
      </c>
      <c r="P85">
        <f t="shared" si="23"/>
        <v>0.26527316132637691</v>
      </c>
      <c r="V85">
        <v>2.0999999999999699</v>
      </c>
      <c r="W85">
        <f t="shared" si="21"/>
        <v>-0.57095999999999858</v>
      </c>
    </row>
    <row r="86" spans="1:23" x14ac:dyDescent="0.3">
      <c r="A86">
        <v>4.2719873000000002</v>
      </c>
      <c r="B86">
        <v>0.32294</v>
      </c>
      <c r="C86">
        <f t="shared" si="14"/>
        <v>1.379595578662</v>
      </c>
      <c r="D86">
        <v>1.9E-2</v>
      </c>
      <c r="E86">
        <v>9.9000000000000008E-3</v>
      </c>
      <c r="F86">
        <f t="shared" si="15"/>
        <v>854.39746000000002</v>
      </c>
      <c r="G86">
        <f t="shared" si="16"/>
        <v>-0.32294</v>
      </c>
      <c r="H86">
        <f t="shared" si="17"/>
        <v>-275.91911573239997</v>
      </c>
      <c r="I86">
        <v>1</v>
      </c>
      <c r="J86">
        <f t="shared" si="18"/>
        <v>-0.15735878362706746</v>
      </c>
      <c r="K86">
        <f t="shared" si="19"/>
        <v>-0.85697057297601198</v>
      </c>
      <c r="L86">
        <v>1</v>
      </c>
      <c r="M86">
        <f t="shared" si="20"/>
        <v>0.46350972189935158</v>
      </c>
      <c r="N86">
        <f t="shared" si="24"/>
        <v>8.1167758699999995E-2</v>
      </c>
      <c r="O86">
        <f t="shared" si="22"/>
        <v>4.2292674270000004E-2</v>
      </c>
      <c r="P86">
        <f t="shared" si="23"/>
        <v>0.27000041810666042</v>
      </c>
      <c r="V86">
        <v>2.19999999999997</v>
      </c>
      <c r="W86">
        <f t="shared" si="21"/>
        <v>-0.57571999999999857</v>
      </c>
    </row>
    <row r="87" spans="1:23" x14ac:dyDescent="0.3">
      <c r="A87">
        <v>4.3223965</v>
      </c>
      <c r="B87">
        <v>0.31559999999999999</v>
      </c>
      <c r="C87">
        <f t="shared" si="14"/>
        <v>1.3641483353999999</v>
      </c>
      <c r="D87">
        <v>1.9E-2</v>
      </c>
      <c r="E87">
        <v>9.9000000000000008E-3</v>
      </c>
      <c r="F87">
        <f t="shared" si="15"/>
        <v>864.47929999999997</v>
      </c>
      <c r="G87">
        <f t="shared" si="16"/>
        <v>-0.31559999999999999</v>
      </c>
      <c r="H87">
        <f t="shared" si="17"/>
        <v>-272.82966707999998</v>
      </c>
      <c r="I87">
        <v>1</v>
      </c>
      <c r="J87">
        <f t="shared" si="18"/>
        <v>-0.14562791862204152</v>
      </c>
      <c r="K87">
        <f t="shared" si="19"/>
        <v>-0.86431057297601199</v>
      </c>
      <c r="L87">
        <v>1</v>
      </c>
      <c r="M87">
        <f t="shared" si="20"/>
        <v>0.46406811107359081</v>
      </c>
      <c r="N87">
        <f t="shared" si="24"/>
        <v>8.21255335E-2</v>
      </c>
      <c r="O87">
        <f t="shared" si="22"/>
        <v>4.2791725350000004E-2</v>
      </c>
      <c r="P87">
        <f t="shared" si="23"/>
        <v>0.27532520305242114</v>
      </c>
      <c r="V87">
        <v>2.2999999999999701</v>
      </c>
      <c r="W87">
        <f t="shared" si="21"/>
        <v>-0.58047999999999855</v>
      </c>
    </row>
    <row r="88" spans="1:23" x14ac:dyDescent="0.3">
      <c r="A88">
        <v>4.3733148999999996</v>
      </c>
      <c r="B88">
        <v>0.30823</v>
      </c>
      <c r="C88">
        <f t="shared" si="14"/>
        <v>1.3479868516269999</v>
      </c>
      <c r="D88">
        <v>1.9E-2</v>
      </c>
      <c r="E88">
        <v>9.9000000000000008E-3</v>
      </c>
      <c r="F88">
        <f t="shared" si="15"/>
        <v>874.66297999999995</v>
      </c>
      <c r="G88">
        <f t="shared" si="16"/>
        <v>-0.30823</v>
      </c>
      <c r="H88">
        <f t="shared" si="17"/>
        <v>-269.59737032539999</v>
      </c>
      <c r="I88">
        <v>1</v>
      </c>
      <c r="J88">
        <f t="shared" si="18"/>
        <v>-0.13391663253417438</v>
      </c>
      <c r="K88">
        <f t="shared" si="19"/>
        <v>-0.87168057297601198</v>
      </c>
      <c r="L88">
        <v>1</v>
      </c>
      <c r="M88">
        <f t="shared" si="20"/>
        <v>0.46462556829137325</v>
      </c>
      <c r="N88">
        <f t="shared" si="24"/>
        <v>8.309298309999999E-2</v>
      </c>
      <c r="O88">
        <f t="shared" si="22"/>
        <v>4.3295817510000001E-2</v>
      </c>
      <c r="P88">
        <f t="shared" si="23"/>
        <v>0.28066620407463871</v>
      </c>
      <c r="V88">
        <v>2.3999999999999702</v>
      </c>
      <c r="W88">
        <f t="shared" si="21"/>
        <v>-0.58523999999999854</v>
      </c>
    </row>
    <row r="89" spans="1:23" x14ac:dyDescent="0.3">
      <c r="A89">
        <v>4.4242334000000003</v>
      </c>
      <c r="B89">
        <v>0.30113000000000001</v>
      </c>
      <c r="C89">
        <f t="shared" si="14"/>
        <v>1.3322694037420002</v>
      </c>
      <c r="D89">
        <v>1.9E-2</v>
      </c>
      <c r="E89">
        <v>9.9000000000000008E-3</v>
      </c>
      <c r="F89">
        <f t="shared" si="15"/>
        <v>884.84668000000011</v>
      </c>
      <c r="G89">
        <f t="shared" si="16"/>
        <v>-0.30113000000000001</v>
      </c>
      <c r="H89">
        <f t="shared" si="17"/>
        <v>-266.45388074840002</v>
      </c>
      <c r="I89">
        <v>1</v>
      </c>
      <c r="J89">
        <f t="shared" si="18"/>
        <v>-0.12234089192035169</v>
      </c>
      <c r="K89">
        <f t="shared" si="19"/>
        <v>-0.87878057297601198</v>
      </c>
      <c r="L89">
        <v>1</v>
      </c>
      <c r="M89">
        <f t="shared" si="20"/>
        <v>0.46517657354459124</v>
      </c>
      <c r="N89">
        <f t="shared" si="24"/>
        <v>8.4060434599999997E-2</v>
      </c>
      <c r="O89">
        <f t="shared" si="22"/>
        <v>4.3799910660000003E-2</v>
      </c>
      <c r="P89">
        <f t="shared" si="23"/>
        <v>0.28574365417142072</v>
      </c>
      <c r="V89">
        <v>2.4999999999999698</v>
      </c>
      <c r="W89">
        <f t="shared" si="21"/>
        <v>-0.58999999999999853</v>
      </c>
    </row>
    <row r="90" spans="1:23" x14ac:dyDescent="0.3">
      <c r="A90">
        <v>4.4756606000000003</v>
      </c>
      <c r="B90">
        <v>0.29404999999999998</v>
      </c>
      <c r="C90">
        <f t="shared" si="14"/>
        <v>1.31606799943</v>
      </c>
      <c r="D90">
        <v>1.9E-2</v>
      </c>
      <c r="E90">
        <v>9.9000000000000008E-3</v>
      </c>
      <c r="F90">
        <f t="shared" si="15"/>
        <v>895.1321200000001</v>
      </c>
      <c r="G90">
        <f t="shared" si="16"/>
        <v>-0.29404999999999998</v>
      </c>
      <c r="H90">
        <f t="shared" si="17"/>
        <v>-263.213599886</v>
      </c>
      <c r="I90">
        <v>1</v>
      </c>
      <c r="J90">
        <f t="shared" si="18"/>
        <v>-0.11078395149032626</v>
      </c>
      <c r="K90">
        <f t="shared" si="19"/>
        <v>-0.88586057297601206</v>
      </c>
      <c r="L90">
        <v>1</v>
      </c>
      <c r="M90">
        <f t="shared" si="20"/>
        <v>0.46572668390906047</v>
      </c>
      <c r="N90">
        <f t="shared" si="24"/>
        <v>8.5037551400000008E-2</v>
      </c>
      <c r="O90">
        <f t="shared" si="22"/>
        <v>4.430903994000001E-2</v>
      </c>
      <c r="P90">
        <f t="shared" si="23"/>
        <v>0.29078729772695155</v>
      </c>
      <c r="V90">
        <v>2.5999999999999699</v>
      </c>
      <c r="W90">
        <f t="shared" si="21"/>
        <v>-0.59475999999999851</v>
      </c>
    </row>
    <row r="91" spans="1:23" x14ac:dyDescent="0.3">
      <c r="A91">
        <v>4.5286156999999996</v>
      </c>
      <c r="B91">
        <v>0.28649000000000002</v>
      </c>
      <c r="C91">
        <f t="shared" si="14"/>
        <v>1.2974031118930001</v>
      </c>
      <c r="D91">
        <v>1.9E-2</v>
      </c>
      <c r="E91">
        <v>9.9000000000000008E-3</v>
      </c>
      <c r="F91">
        <f t="shared" si="15"/>
        <v>905.72313999999994</v>
      </c>
      <c r="G91">
        <f t="shared" si="16"/>
        <v>-0.28649000000000002</v>
      </c>
      <c r="H91">
        <f t="shared" si="17"/>
        <v>-259.4806223786</v>
      </c>
      <c r="I91">
        <v>1</v>
      </c>
      <c r="J91">
        <f t="shared" si="18"/>
        <v>-9.9021604628727194E-2</v>
      </c>
      <c r="K91">
        <f t="shared" si="19"/>
        <v>-0.89342057297601196</v>
      </c>
      <c r="L91">
        <v>1</v>
      </c>
      <c r="M91">
        <f t="shared" si="20"/>
        <v>0.46628657161967257</v>
      </c>
      <c r="N91">
        <f t="shared" si="24"/>
        <v>8.6043698299999985E-2</v>
      </c>
      <c r="O91">
        <f t="shared" si="22"/>
        <v>4.4833295429999996E-2</v>
      </c>
      <c r="P91">
        <f t="shared" si="23"/>
        <v>0.29625700762633944</v>
      </c>
      <c r="V91">
        <v>2.69999999999997</v>
      </c>
      <c r="W91">
        <f t="shared" si="21"/>
        <v>-0.5995199999999985</v>
      </c>
    </row>
    <row r="92" spans="1:23" x14ac:dyDescent="0.3">
      <c r="A92">
        <v>4.5820800999999998</v>
      </c>
      <c r="B92">
        <v>0.27857999999999999</v>
      </c>
      <c r="C92">
        <f t="shared" si="14"/>
        <v>1.2764758742579998</v>
      </c>
      <c r="D92">
        <v>1.9E-2</v>
      </c>
      <c r="E92">
        <v>9.9000000000000008E-3</v>
      </c>
      <c r="F92">
        <f t="shared" si="15"/>
        <v>916.41602</v>
      </c>
      <c r="G92">
        <f t="shared" si="16"/>
        <v>-0.27857999999999999</v>
      </c>
      <c r="H92">
        <f t="shared" si="17"/>
        <v>-255.29517485159997</v>
      </c>
      <c r="I92">
        <v>1</v>
      </c>
      <c r="J92">
        <f t="shared" si="18"/>
        <v>-8.7284847106446503E-2</v>
      </c>
      <c r="K92">
        <f t="shared" si="19"/>
        <v>-0.90133057297601193</v>
      </c>
      <c r="L92">
        <v>1</v>
      </c>
      <c r="M92">
        <f t="shared" si="20"/>
        <v>0.46684524127773314</v>
      </c>
      <c r="N92">
        <f t="shared" si="24"/>
        <v>8.7059521899999992E-2</v>
      </c>
      <c r="O92">
        <f t="shared" si="22"/>
        <v>4.5362592989999999E-2</v>
      </c>
      <c r="P92">
        <f t="shared" si="23"/>
        <v>0.3020632168082788</v>
      </c>
      <c r="V92">
        <v>2.7999999999999701</v>
      </c>
      <c r="W92">
        <f t="shared" si="21"/>
        <v>-0.6042799999999986</v>
      </c>
    </row>
    <row r="93" spans="1:23" x14ac:dyDescent="0.3">
      <c r="A93">
        <v>4.6329985000000002</v>
      </c>
      <c r="B93">
        <v>0.27100000000000002</v>
      </c>
      <c r="C93">
        <f t="shared" si="14"/>
        <v>1.2555425935000002</v>
      </c>
      <c r="D93">
        <v>1.9E-2</v>
      </c>
      <c r="E93">
        <v>9.9000000000000008E-3</v>
      </c>
      <c r="F93">
        <f t="shared" si="15"/>
        <v>926.5997000000001</v>
      </c>
      <c r="G93">
        <f t="shared" si="16"/>
        <v>-0.27100000000000002</v>
      </c>
      <c r="H93">
        <f t="shared" si="17"/>
        <v>-251.10851870000005</v>
      </c>
      <c r="I93">
        <v>1</v>
      </c>
      <c r="J93">
        <f t="shared" si="18"/>
        <v>-7.6233629763940908E-2</v>
      </c>
      <c r="K93">
        <f t="shared" si="19"/>
        <v>-0.90891057297601197</v>
      </c>
      <c r="L93">
        <v>1</v>
      </c>
      <c r="M93">
        <f t="shared" si="20"/>
        <v>0.4673712792232364</v>
      </c>
      <c r="N93">
        <f t="shared" si="24"/>
        <v>8.8026971500000009E-2</v>
      </c>
      <c r="O93">
        <f t="shared" si="22"/>
        <v>4.5866685150000003E-2</v>
      </c>
      <c r="P93">
        <f t="shared" si="23"/>
        <v>0.30764563710277559</v>
      </c>
      <c r="V93">
        <v>2.8999999999999702</v>
      </c>
      <c r="W93">
        <f t="shared" si="21"/>
        <v>-0.60903999999999858</v>
      </c>
    </row>
    <row r="94" spans="1:23" x14ac:dyDescent="0.3">
      <c r="A94">
        <v>4.6844258000000005</v>
      </c>
      <c r="B94">
        <v>0.26296000000000003</v>
      </c>
      <c r="C94">
        <f t="shared" si="14"/>
        <v>1.2318166083680002</v>
      </c>
      <c r="D94">
        <v>1.9E-2</v>
      </c>
      <c r="E94">
        <v>9.9000000000000008E-3</v>
      </c>
      <c r="F94">
        <f t="shared" si="15"/>
        <v>936.88516000000016</v>
      </c>
      <c r="G94">
        <f t="shared" si="16"/>
        <v>-0.26296000000000003</v>
      </c>
      <c r="H94">
        <f t="shared" si="17"/>
        <v>-246.36332167360004</v>
      </c>
      <c r="I94">
        <v>1</v>
      </c>
      <c r="J94">
        <f t="shared" si="18"/>
        <v>-6.5194565621034609E-2</v>
      </c>
      <c r="K94">
        <f t="shared" si="19"/>
        <v>-0.9169505729760119</v>
      </c>
      <c r="L94">
        <v>1</v>
      </c>
      <c r="M94">
        <f t="shared" si="20"/>
        <v>0.46789673867643872</v>
      </c>
      <c r="N94">
        <f t="shared" si="24"/>
        <v>8.9004090200000011E-2</v>
      </c>
      <c r="O94">
        <f t="shared" si="22"/>
        <v>4.6375815420000008E-2</v>
      </c>
      <c r="P94">
        <f t="shared" si="23"/>
        <v>0.31367392867957317</v>
      </c>
      <c r="V94">
        <v>2.9999999999999698</v>
      </c>
      <c r="W94">
        <f t="shared" si="21"/>
        <v>-0.61379999999999857</v>
      </c>
    </row>
    <row r="95" spans="1:23" x14ac:dyDescent="0.3">
      <c r="A95">
        <v>4.7394175000000001</v>
      </c>
      <c r="B95">
        <v>0.25561</v>
      </c>
      <c r="C95">
        <f t="shared" si="14"/>
        <v>1.2114425071750001</v>
      </c>
      <c r="D95">
        <v>1.9E-2</v>
      </c>
      <c r="E95">
        <v>9.9000000000000008E-3</v>
      </c>
      <c r="F95">
        <f t="shared" si="15"/>
        <v>947.88350000000003</v>
      </c>
      <c r="G95">
        <f t="shared" si="16"/>
        <v>-0.25561</v>
      </c>
      <c r="H95">
        <f t="shared" si="17"/>
        <v>-242.28850143500003</v>
      </c>
      <c r="I95">
        <v>1</v>
      </c>
      <c r="J95">
        <f t="shared" si="18"/>
        <v>-5.3523674574104944E-2</v>
      </c>
      <c r="K95">
        <f t="shared" si="19"/>
        <v>-0.92430057297601198</v>
      </c>
      <c r="L95">
        <v>1</v>
      </c>
      <c r="M95">
        <f t="shared" si="20"/>
        <v>0.4684522730902726</v>
      </c>
      <c r="N95">
        <f t="shared" si="24"/>
        <v>9.0048932499999998E-2</v>
      </c>
      <c r="O95">
        <f t="shared" si="22"/>
        <v>4.6920233250000005E-2</v>
      </c>
      <c r="P95">
        <f t="shared" si="23"/>
        <v>0.31887913413573937</v>
      </c>
      <c r="V95">
        <v>3.0999999999999699</v>
      </c>
      <c r="W95">
        <f t="shared" si="21"/>
        <v>-0.61855999999999856</v>
      </c>
    </row>
    <row r="96" spans="1:23" x14ac:dyDescent="0.3">
      <c r="A96">
        <v>4.7552026000000005</v>
      </c>
      <c r="B96">
        <v>0.25128</v>
      </c>
      <c r="C96">
        <f t="shared" si="14"/>
        <v>1.1948873093280001</v>
      </c>
      <c r="D96">
        <v>1.9E-2</v>
      </c>
      <c r="E96">
        <v>9.9000000000000008E-3</v>
      </c>
      <c r="F96">
        <f t="shared" si="15"/>
        <v>951.04052000000013</v>
      </c>
      <c r="G96">
        <f t="shared" si="16"/>
        <v>-0.25128</v>
      </c>
      <c r="H96">
        <f t="shared" si="17"/>
        <v>-238.97746186560002</v>
      </c>
      <c r="I96">
        <v>1</v>
      </c>
      <c r="J96">
        <f t="shared" si="18"/>
        <v>-5.0198609563149442E-2</v>
      </c>
      <c r="K96">
        <f t="shared" si="19"/>
        <v>-0.92863057297601204</v>
      </c>
      <c r="L96">
        <v>1</v>
      </c>
      <c r="M96">
        <f t="shared" si="20"/>
        <v>0.46861054618479409</v>
      </c>
      <c r="N96">
        <f t="shared" si="24"/>
        <v>9.0348849400000014E-2</v>
      </c>
      <c r="O96">
        <f t="shared" si="22"/>
        <v>4.707650574000001E-2</v>
      </c>
      <c r="P96">
        <f t="shared" si="23"/>
        <v>0.32259467165121791</v>
      </c>
      <c r="V96">
        <v>3.19999999999997</v>
      </c>
      <c r="W96">
        <f t="shared" si="21"/>
        <v>-0.62331999999999854</v>
      </c>
    </row>
    <row r="97" spans="3:23" x14ac:dyDescent="0.3">
      <c r="C97">
        <f t="shared" si="14"/>
        <v>0</v>
      </c>
      <c r="D97">
        <v>1.9E-2</v>
      </c>
      <c r="E97">
        <v>9.9000000000000008E-3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-1.179910572976012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-0.62807999999999853</v>
      </c>
    </row>
    <row r="98" spans="3:23" x14ac:dyDescent="0.3">
      <c r="C98">
        <f t="shared" si="14"/>
        <v>0</v>
      </c>
      <c r="D98">
        <v>1.9E-2</v>
      </c>
      <c r="E98">
        <v>9.9000000000000008E-3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-1.179910572976012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-0.63283999999999851</v>
      </c>
    </row>
    <row r="99" spans="3:23" x14ac:dyDescent="0.3">
      <c r="C99">
        <f t="shared" si="14"/>
        <v>0</v>
      </c>
      <c r="D99">
        <v>1.9E-2</v>
      </c>
      <c r="E99">
        <v>9.9000000000000008E-3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-1.179910572976012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-0.63759999999999861</v>
      </c>
    </row>
    <row r="100" spans="3:23" x14ac:dyDescent="0.3">
      <c r="C100">
        <f t="shared" si="14"/>
        <v>0</v>
      </c>
      <c r="D100">
        <v>1.9E-2</v>
      </c>
      <c r="E100">
        <v>9.9000000000000008E-3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-1.179910572976012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-0.64235999999999849</v>
      </c>
    </row>
    <row r="101" spans="3:23" x14ac:dyDescent="0.3">
      <c r="C101">
        <f t="shared" si="14"/>
        <v>0</v>
      </c>
      <c r="D101">
        <v>1.9E-2</v>
      </c>
      <c r="E101">
        <v>9.9000000000000008E-3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-1.179910572976012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-0.64711999999999859</v>
      </c>
    </row>
    <row r="102" spans="3:23" x14ac:dyDescent="0.3">
      <c r="C102">
        <f t="shared" si="14"/>
        <v>0</v>
      </c>
      <c r="D102">
        <v>1.9E-2</v>
      </c>
      <c r="E102">
        <v>9.9000000000000008E-3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-1.179910572976012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-0.65187999999999857</v>
      </c>
    </row>
    <row r="103" spans="3:23" x14ac:dyDescent="0.3">
      <c r="C103">
        <f t="shared" si="14"/>
        <v>0</v>
      </c>
      <c r="D103">
        <v>1.9E-2</v>
      </c>
      <c r="E103">
        <v>9.9000000000000008E-3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-1.179910572976012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-0.65663999999999811</v>
      </c>
    </row>
    <row r="104" spans="3:23" x14ac:dyDescent="0.3">
      <c r="C104">
        <f t="shared" si="14"/>
        <v>0</v>
      </c>
      <c r="D104">
        <v>1.9E-2</v>
      </c>
      <c r="E104">
        <v>9.9000000000000008E-3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-1.179910572976012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-0.6613999999999981</v>
      </c>
    </row>
    <row r="105" spans="3:23" x14ac:dyDescent="0.3">
      <c r="C105">
        <f t="shared" si="14"/>
        <v>0</v>
      </c>
      <c r="D105">
        <v>1.9E-2</v>
      </c>
      <c r="E105">
        <v>9.9000000000000008E-3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-1.179910572976012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-0.66615999999999997</v>
      </c>
    </row>
    <row r="106" spans="3:23" x14ac:dyDescent="0.3">
      <c r="C106">
        <f t="shared" si="14"/>
        <v>0</v>
      </c>
      <c r="D106">
        <v>1.9E-2</v>
      </c>
      <c r="E106">
        <v>9.9000000000000008E-3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-1.179910572976012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-0.67091999999999996</v>
      </c>
    </row>
    <row r="107" spans="3:23" x14ac:dyDescent="0.3">
      <c r="C107">
        <f t="shared" si="14"/>
        <v>0</v>
      </c>
      <c r="D107">
        <v>1.9E-2</v>
      </c>
      <c r="E107">
        <v>9.9000000000000008E-3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-1.179910572976012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-0.67567999999999995</v>
      </c>
    </row>
    <row r="108" spans="3:23" x14ac:dyDescent="0.3">
      <c r="C108">
        <f t="shared" si="14"/>
        <v>0</v>
      </c>
      <c r="D108">
        <v>1.9E-2</v>
      </c>
      <c r="E108">
        <v>9.9000000000000008E-3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-1.179910572976012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-0.68044000000000004</v>
      </c>
    </row>
    <row r="109" spans="3:23" x14ac:dyDescent="0.3">
      <c r="C109">
        <f t="shared" si="14"/>
        <v>0</v>
      </c>
      <c r="D109">
        <v>1.9E-2</v>
      </c>
      <c r="E109">
        <v>9.9000000000000008E-3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-1.179910572976012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-0.68520000000000003</v>
      </c>
    </row>
    <row r="110" spans="3:23" x14ac:dyDescent="0.3">
      <c r="C110">
        <f t="shared" si="14"/>
        <v>0</v>
      </c>
      <c r="D110">
        <v>1.9E-2</v>
      </c>
      <c r="E110">
        <v>9.9000000000000008E-3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-1.179910572976012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-0.68995999999999991</v>
      </c>
    </row>
    <row r="111" spans="3:23" x14ac:dyDescent="0.3">
      <c r="C111">
        <f t="shared" si="14"/>
        <v>0</v>
      </c>
      <c r="D111">
        <v>1.9E-2</v>
      </c>
      <c r="E111">
        <v>9.9000000000000008E-3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-1.179910572976012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-0.69472</v>
      </c>
    </row>
    <row r="112" spans="3:23" x14ac:dyDescent="0.3">
      <c r="C112">
        <f t="shared" si="14"/>
        <v>0</v>
      </c>
      <c r="D112">
        <v>1.9E-2</v>
      </c>
      <c r="E112">
        <v>9.9000000000000008E-3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-1.179910572976012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-0.69947999999999999</v>
      </c>
    </row>
    <row r="113" spans="3:23" x14ac:dyDescent="0.3">
      <c r="C113">
        <f t="shared" si="14"/>
        <v>0</v>
      </c>
      <c r="D113">
        <v>1.9E-2</v>
      </c>
      <c r="E113">
        <v>9.9000000000000008E-3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-1.179910572976012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-0.70423999999999998</v>
      </c>
    </row>
    <row r="114" spans="3:23" x14ac:dyDescent="0.3">
      <c r="C114">
        <f t="shared" si="14"/>
        <v>0</v>
      </c>
      <c r="D114">
        <v>1.9E-2</v>
      </c>
      <c r="E114">
        <v>9.9000000000000008E-3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-1.179910572976012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-0.70899999999999996</v>
      </c>
    </row>
    <row r="115" spans="3:23" x14ac:dyDescent="0.3">
      <c r="C115">
        <f t="shared" si="14"/>
        <v>0</v>
      </c>
      <c r="D115">
        <v>1.9E-2</v>
      </c>
      <c r="E115">
        <v>9.9000000000000008E-3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-1.179910572976012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-0.71375999999999995</v>
      </c>
    </row>
    <row r="116" spans="3:23" x14ac:dyDescent="0.3">
      <c r="C116">
        <f t="shared" si="14"/>
        <v>0</v>
      </c>
      <c r="D116">
        <v>1.9E-2</v>
      </c>
      <c r="E116">
        <v>9.9000000000000008E-3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-1.179910572976012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-0.71852000000000005</v>
      </c>
    </row>
    <row r="117" spans="3:23" x14ac:dyDescent="0.3">
      <c r="C117">
        <f t="shared" si="14"/>
        <v>0</v>
      </c>
      <c r="D117">
        <v>1.9E-2</v>
      </c>
      <c r="E117">
        <v>9.9000000000000008E-3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-1.179910572976012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-0.72327999999999992</v>
      </c>
    </row>
    <row r="118" spans="3:23" x14ac:dyDescent="0.3">
      <c r="C118">
        <f t="shared" si="14"/>
        <v>0</v>
      </c>
      <c r="D118">
        <v>1.9E-2</v>
      </c>
      <c r="E118">
        <v>9.9000000000000008E-3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-1.179910572976012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-0.72804000000000002</v>
      </c>
    </row>
    <row r="119" spans="3:23" x14ac:dyDescent="0.3">
      <c r="C119">
        <f t="shared" si="14"/>
        <v>0</v>
      </c>
      <c r="D119">
        <v>1.9E-2</v>
      </c>
      <c r="E119">
        <v>9.9000000000000008E-3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-1.179910572976012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-0.73280000000000001</v>
      </c>
    </row>
    <row r="120" spans="3:23" x14ac:dyDescent="0.3">
      <c r="C120">
        <f t="shared" si="14"/>
        <v>0</v>
      </c>
      <c r="D120">
        <v>1.9E-2</v>
      </c>
      <c r="E120">
        <v>9.9000000000000008E-3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-1.179910572976012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-0.73755999999999999</v>
      </c>
    </row>
    <row r="121" spans="3:23" x14ac:dyDescent="0.3">
      <c r="C121">
        <f t="shared" si="14"/>
        <v>0</v>
      </c>
      <c r="D121">
        <v>1.9E-2</v>
      </c>
      <c r="E121">
        <v>9.9000000000000008E-3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-1.179910572976012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-0.74231999999999998</v>
      </c>
    </row>
    <row r="122" spans="3:23" x14ac:dyDescent="0.3">
      <c r="C122">
        <f t="shared" si="14"/>
        <v>0</v>
      </c>
      <c r="D122">
        <v>1.9E-2</v>
      </c>
      <c r="E122">
        <v>9.9000000000000008E-3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-1.179910572976012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-0.74707999999999997</v>
      </c>
    </row>
    <row r="123" spans="3:23" x14ac:dyDescent="0.3">
      <c r="C123">
        <f t="shared" si="14"/>
        <v>0</v>
      </c>
      <c r="D123">
        <v>1.9E-2</v>
      </c>
      <c r="E123">
        <v>9.9000000000000008E-3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-1.179910572976012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-0.75184000000000006</v>
      </c>
    </row>
    <row r="124" spans="3:23" x14ac:dyDescent="0.3">
      <c r="C124">
        <f t="shared" si="14"/>
        <v>0</v>
      </c>
      <c r="D124">
        <v>1.9E-2</v>
      </c>
      <c r="E124">
        <v>9.9000000000000008E-3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-1.179910572976012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-0.75659999999999994</v>
      </c>
    </row>
    <row r="125" spans="3:23" x14ac:dyDescent="0.3">
      <c r="C125">
        <f t="shared" si="14"/>
        <v>0</v>
      </c>
      <c r="D125">
        <v>1.9E-2</v>
      </c>
      <c r="E125">
        <v>9.9000000000000008E-3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-1.179910572976012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-0.76136000000000004</v>
      </c>
    </row>
    <row r="126" spans="3:23" x14ac:dyDescent="0.3">
      <c r="C126">
        <f t="shared" si="14"/>
        <v>0</v>
      </c>
      <c r="D126">
        <v>1.9E-2</v>
      </c>
      <c r="E126">
        <v>9.9000000000000008E-3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-1.179910572976012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-0.76612000000000002</v>
      </c>
    </row>
    <row r="127" spans="3:23" x14ac:dyDescent="0.3">
      <c r="C127">
        <f t="shared" si="14"/>
        <v>0</v>
      </c>
      <c r="D127">
        <v>1.9E-2</v>
      </c>
      <c r="E127">
        <v>9.9000000000000008E-3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-1.179910572976012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-0.77088000000000001</v>
      </c>
    </row>
    <row r="128" spans="3:23" x14ac:dyDescent="0.3">
      <c r="C128">
        <f t="shared" si="14"/>
        <v>0</v>
      </c>
      <c r="D128">
        <v>1.9E-2</v>
      </c>
      <c r="E128">
        <v>9.9000000000000008E-3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-1.179910572976012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-0.77564</v>
      </c>
    </row>
    <row r="129" spans="3:23" x14ac:dyDescent="0.3">
      <c r="C129">
        <f t="shared" si="14"/>
        <v>0</v>
      </c>
      <c r="D129">
        <v>1.9E-2</v>
      </c>
      <c r="E129">
        <v>9.9000000000000008E-3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-1.179910572976012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-0.78039999999999998</v>
      </c>
    </row>
    <row r="130" spans="3:23" x14ac:dyDescent="0.3">
      <c r="C130">
        <f t="shared" si="14"/>
        <v>0</v>
      </c>
      <c r="D130">
        <v>1.9E-2</v>
      </c>
      <c r="E130">
        <v>9.9000000000000008E-3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-1.179910572976012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-0.78515999999999997</v>
      </c>
    </row>
    <row r="131" spans="3:23" x14ac:dyDescent="0.3">
      <c r="C131">
        <f t="shared" si="14"/>
        <v>0</v>
      </c>
      <c r="D131">
        <v>1.9E-2</v>
      </c>
      <c r="E131">
        <v>9.9000000000000008E-3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-1.179910572976012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-0.78991999999999996</v>
      </c>
    </row>
    <row r="132" spans="3:23" x14ac:dyDescent="0.3">
      <c r="C132">
        <f t="shared" si="14"/>
        <v>0</v>
      </c>
      <c r="D132">
        <v>1.9E-2</v>
      </c>
      <c r="E132">
        <v>9.9000000000000008E-3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-1.179910572976012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-0.79468000000000005</v>
      </c>
    </row>
    <row r="133" spans="3:23" x14ac:dyDescent="0.3">
      <c r="C133">
        <f t="shared" ref="C133:C196" si="25">A133*B133</f>
        <v>0</v>
      </c>
      <c r="D133">
        <v>1.9E-2</v>
      </c>
      <c r="E133">
        <v>9.9000000000000008E-3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-1.179910572976012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-0.79944000000000004</v>
      </c>
    </row>
    <row r="134" spans="3:23" x14ac:dyDescent="0.3">
      <c r="C134">
        <f t="shared" si="25"/>
        <v>0</v>
      </c>
      <c r="D134">
        <v>1.9E-2</v>
      </c>
      <c r="E134">
        <v>9.9000000000000008E-3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-1.179910572976012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-0.80420000000000003</v>
      </c>
    </row>
    <row r="135" spans="3:23" x14ac:dyDescent="0.3">
      <c r="C135">
        <f t="shared" si="25"/>
        <v>0</v>
      </c>
      <c r="D135">
        <v>1.9E-2</v>
      </c>
      <c r="E135">
        <v>9.9000000000000008E-3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-1.179910572976012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-0.8089599999999999</v>
      </c>
    </row>
    <row r="136" spans="3:23" x14ac:dyDescent="0.3">
      <c r="C136">
        <f t="shared" si="25"/>
        <v>0</v>
      </c>
      <c r="D136">
        <v>1.9E-2</v>
      </c>
      <c r="E136">
        <v>9.9000000000000008E-3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-1.179910572976012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-0.81372</v>
      </c>
    </row>
    <row r="137" spans="3:23" x14ac:dyDescent="0.3">
      <c r="C137">
        <f t="shared" si="25"/>
        <v>0</v>
      </c>
      <c r="D137">
        <v>1.9E-2</v>
      </c>
      <c r="E137">
        <v>9.9000000000000008E-3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-1.179910572976012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-0.81847999999999999</v>
      </c>
    </row>
    <row r="138" spans="3:23" x14ac:dyDescent="0.3">
      <c r="C138">
        <f t="shared" si="25"/>
        <v>0</v>
      </c>
      <c r="D138">
        <v>1.9E-2</v>
      </c>
      <c r="E138">
        <v>9.9000000000000008E-3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-1.179910572976012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-0.82323999999999997</v>
      </c>
    </row>
    <row r="139" spans="3:23" x14ac:dyDescent="0.3">
      <c r="C139">
        <f t="shared" si="25"/>
        <v>0</v>
      </c>
      <c r="D139">
        <v>1.9E-2</v>
      </c>
      <c r="E139">
        <v>9.9000000000000008E-3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-1.179910572976012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-0.82800000000000007</v>
      </c>
    </row>
    <row r="140" spans="3:23" x14ac:dyDescent="0.3">
      <c r="C140">
        <f t="shared" si="25"/>
        <v>0</v>
      </c>
      <c r="D140">
        <v>1.9E-2</v>
      </c>
      <c r="E140">
        <v>9.9000000000000008E-3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-1.179910572976012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1.9E-2</v>
      </c>
      <c r="E141">
        <v>9.9000000000000008E-3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-1.179910572976012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1.9E-2</v>
      </c>
      <c r="E142">
        <v>9.9000000000000008E-3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-1.179910572976012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1.9E-2</v>
      </c>
      <c r="E143">
        <v>9.9000000000000008E-3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-1.179910572976012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1.9E-2</v>
      </c>
      <c r="E144">
        <v>9.9000000000000008E-3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-1.179910572976012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1.9E-2</v>
      </c>
      <c r="E145">
        <v>9.9000000000000008E-3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-1.179910572976012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1.9E-2</v>
      </c>
      <c r="E146">
        <v>9.9000000000000008E-3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-1.179910572976012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1.9E-2</v>
      </c>
      <c r="E147">
        <v>9.9000000000000008E-3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-1.179910572976012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1.9E-2</v>
      </c>
      <c r="E148">
        <v>9.9000000000000008E-3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-1.179910572976012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1.9E-2</v>
      </c>
      <c r="E149">
        <v>9.9000000000000008E-3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-1.179910572976012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1.9E-2</v>
      </c>
      <c r="E150">
        <v>9.9000000000000008E-3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-1.179910572976012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1.9E-2</v>
      </c>
      <c r="E151">
        <v>9.9000000000000008E-3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-1.179910572976012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1.9E-2</v>
      </c>
      <c r="E152">
        <v>9.9000000000000008E-3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-1.179910572976012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1.9E-2</v>
      </c>
      <c r="E153">
        <v>9.9000000000000008E-3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-1.179910572976012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1.9E-2</v>
      </c>
      <c r="E154">
        <v>9.9000000000000008E-3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-1.179910572976012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1.9E-2</v>
      </c>
      <c r="E155">
        <v>9.9000000000000008E-3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-1.179910572976012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1.9E-2</v>
      </c>
      <c r="E156">
        <v>9.9000000000000008E-3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-1.179910572976012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1.9E-2</v>
      </c>
      <c r="E157">
        <v>9.9000000000000008E-3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-1.179910572976012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1.9E-2</v>
      </c>
      <c r="E158">
        <v>9.9000000000000008E-3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-1.179910572976012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1.9E-2</v>
      </c>
      <c r="E159">
        <v>9.9000000000000008E-3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-1.179910572976012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1.9E-2</v>
      </c>
      <c r="E160">
        <v>9.9000000000000008E-3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-1.179910572976012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1.9E-2</v>
      </c>
      <c r="E161">
        <v>9.9000000000000008E-3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-1.179910572976012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1.9E-2</v>
      </c>
      <c r="E162">
        <v>9.9000000000000008E-3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-1.179910572976012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1.9E-2</v>
      </c>
      <c r="E163">
        <v>9.9000000000000008E-3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-1.179910572976012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1.9E-2</v>
      </c>
      <c r="E164">
        <v>9.9000000000000008E-3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-1.179910572976012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1.9E-2</v>
      </c>
      <c r="E165">
        <v>9.9000000000000008E-3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-1.179910572976012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1.9E-2</v>
      </c>
      <c r="E166">
        <v>9.9000000000000008E-3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-1.179910572976012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1.9E-2</v>
      </c>
      <c r="E167">
        <v>9.9000000000000008E-3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-1.179910572976012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1.9E-2</v>
      </c>
      <c r="E168">
        <v>9.9000000000000008E-3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-1.179910572976012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1.9E-2</v>
      </c>
      <c r="E169">
        <v>9.9000000000000008E-3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-1.179910572976012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1.9E-2</v>
      </c>
      <c r="E170">
        <v>9.9000000000000008E-3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-1.179910572976012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1.9E-2</v>
      </c>
      <c r="E171">
        <v>9.9000000000000008E-3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-1.179910572976012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1.9E-2</v>
      </c>
      <c r="E172">
        <v>9.9000000000000008E-3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-1.179910572976012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1.9E-2</v>
      </c>
      <c r="E173">
        <v>9.9000000000000008E-3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-1.179910572976012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1.9E-2</v>
      </c>
      <c r="E174">
        <v>9.9000000000000008E-3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-1.179910572976012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1.9E-2</v>
      </c>
      <c r="E175">
        <v>9.9000000000000008E-3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-1.179910572976012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1.9E-2</v>
      </c>
      <c r="E176">
        <v>9.9000000000000008E-3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-1.179910572976012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1.9E-2</v>
      </c>
      <c r="E177">
        <v>9.9000000000000008E-3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-1.179910572976012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1.9E-2</v>
      </c>
      <c r="E178">
        <v>9.9000000000000008E-3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-1.179910572976012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1.9E-2</v>
      </c>
      <c r="E179">
        <v>9.9000000000000008E-3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-1.179910572976012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1.9E-2</v>
      </c>
      <c r="E180">
        <v>9.9000000000000008E-3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-1.179910572976012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1.9E-2</v>
      </c>
      <c r="E181">
        <v>9.9000000000000008E-3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-1.179910572976012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1.9E-2</v>
      </c>
      <c r="E182">
        <v>9.9000000000000008E-3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-1.179910572976012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1.9E-2</v>
      </c>
      <c r="E183">
        <v>9.9000000000000008E-3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-1.179910572976012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1.9E-2</v>
      </c>
      <c r="E184">
        <v>9.9000000000000008E-3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-1.179910572976012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1.9E-2</v>
      </c>
      <c r="E185">
        <v>9.9000000000000008E-3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1.9E-2</v>
      </c>
      <c r="E186">
        <v>9.9000000000000008E-3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1.9E-2</v>
      </c>
      <c r="E187">
        <v>9.9000000000000008E-3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1.9E-2</v>
      </c>
      <c r="E188">
        <v>9.9000000000000008E-3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-1.179910572976012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1.9E-2</v>
      </c>
      <c r="E189">
        <v>9.9000000000000008E-3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1.9E-2</v>
      </c>
      <c r="E190">
        <v>9.9000000000000008E-3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1.9E-2</v>
      </c>
      <c r="E191">
        <v>9.9000000000000008E-3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1.9E-2</v>
      </c>
      <c r="E192">
        <v>9.9000000000000008E-3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1.9E-2</v>
      </c>
      <c r="E193">
        <v>9.9000000000000008E-3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1.9E-2</v>
      </c>
      <c r="E194">
        <v>9.9000000000000008E-3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1.9E-2</v>
      </c>
      <c r="E195">
        <v>9.9000000000000008E-3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1.9E-2</v>
      </c>
      <c r="E196">
        <v>9.9000000000000008E-3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1.9E-2</v>
      </c>
      <c r="E197">
        <v>9.9000000000000008E-3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1.9E-2</v>
      </c>
      <c r="E198">
        <v>9.9000000000000008E-3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1.9E-2</v>
      </c>
      <c r="E199">
        <v>9.9000000000000008E-3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1.9E-2</v>
      </c>
      <c r="E200">
        <v>9.9000000000000008E-3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1.9E-2</v>
      </c>
      <c r="E201">
        <v>9.9000000000000008E-3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1.9E-2</v>
      </c>
      <c r="E202">
        <v>9.9000000000000008E-3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1.9E-2</v>
      </c>
      <c r="E203">
        <v>9.9000000000000008E-3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1.9E-2</v>
      </c>
      <c r="E204">
        <v>9.9000000000000008E-3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1.9E-2</v>
      </c>
      <c r="E205">
        <v>9.9000000000000008E-3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1.9E-2</v>
      </c>
      <c r="E206">
        <v>9.9000000000000008E-3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1.9E-2</v>
      </c>
      <c r="E207">
        <v>9.9000000000000008E-3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1.9E-2</v>
      </c>
      <c r="E208">
        <v>9.9000000000000008E-3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1.9E-2</v>
      </c>
      <c r="E209">
        <v>9.9000000000000008E-3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1.9E-2</v>
      </c>
      <c r="E210">
        <v>9.9000000000000008E-3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1.9E-2</v>
      </c>
      <c r="E211">
        <v>9.9000000000000008E-3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1.9E-2</v>
      </c>
      <c r="E212">
        <v>9.9000000000000008E-3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1.9E-2</v>
      </c>
      <c r="E213">
        <v>9.9000000000000008E-3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1.9E-2</v>
      </c>
      <c r="E214">
        <v>9.9000000000000008E-3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1.9E-2</v>
      </c>
      <c r="E215">
        <v>9.9000000000000008E-3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1.9E-2</v>
      </c>
      <c r="E216">
        <v>9.9000000000000008E-3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1.9E-2</v>
      </c>
      <c r="E217">
        <v>9.9000000000000008E-3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1.9E-2</v>
      </c>
      <c r="E218">
        <v>9.9000000000000008E-3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1.9E-2</v>
      </c>
      <c r="E219">
        <v>9.9000000000000008E-3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1.9E-2</v>
      </c>
      <c r="E220">
        <v>9.9000000000000008E-3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1.9E-2</v>
      </c>
      <c r="E221">
        <v>9.9000000000000008E-3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1.9E-2</v>
      </c>
      <c r="E222">
        <v>9.9000000000000008E-3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1.9E-2</v>
      </c>
      <c r="E223">
        <v>9.9000000000000008E-3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1.9E-2</v>
      </c>
      <c r="E224">
        <v>9.9000000000000008E-3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1.9E-2</v>
      </c>
      <c r="E225">
        <v>9.9000000000000008E-3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1.9E-2</v>
      </c>
      <c r="E226">
        <v>9.9000000000000008E-3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1.9E-2</v>
      </c>
      <c r="E227">
        <v>9.9000000000000008E-3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1.9E-2</v>
      </c>
      <c r="E228">
        <v>9.9000000000000008E-3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1.9E-2</v>
      </c>
      <c r="E229">
        <v>9.9000000000000008E-3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1.9E-2</v>
      </c>
      <c r="E230">
        <v>9.9000000000000008E-3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1.9E-2</v>
      </c>
      <c r="E231">
        <v>9.9000000000000008E-3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1.9E-2</v>
      </c>
      <c r="E232">
        <v>9.9000000000000008E-3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1.9E-2</v>
      </c>
      <c r="E233">
        <v>9.9000000000000008E-3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1.9E-2</v>
      </c>
      <c r="E234">
        <v>9.9000000000000008E-3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1.9E-2</v>
      </c>
      <c r="E235">
        <v>9.9000000000000008E-3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1.9E-2</v>
      </c>
      <c r="E236">
        <v>9.9000000000000008E-3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1.9E-2</v>
      </c>
      <c r="E237">
        <v>9.9000000000000008E-3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1.9E-2</v>
      </c>
      <c r="E238">
        <v>9.9000000000000008E-3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1.9E-2</v>
      </c>
      <c r="E239">
        <v>9.9000000000000008E-3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1.9E-2</v>
      </c>
      <c r="E240">
        <v>9.9000000000000008E-3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1.9E-2</v>
      </c>
      <c r="E241">
        <v>9.9000000000000008E-3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1.9E-2</v>
      </c>
      <c r="E242">
        <v>9.9000000000000008E-3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1.9E-2</v>
      </c>
      <c r="E243">
        <v>9.9000000000000008E-3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1.9E-2</v>
      </c>
      <c r="E244">
        <v>9.9000000000000008E-3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1.9E-2</v>
      </c>
      <c r="E245">
        <v>9.9000000000000008E-3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1.9E-2</v>
      </c>
      <c r="E246">
        <v>9.9000000000000008E-3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1.9E-2</v>
      </c>
      <c r="E247">
        <v>9.9000000000000008E-3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1.9E-2</v>
      </c>
      <c r="E248">
        <v>9.9000000000000008E-3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1.9E-2</v>
      </c>
      <c r="E249">
        <v>9.9000000000000008E-3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1.9E-2</v>
      </c>
      <c r="E250">
        <v>9.9000000000000008E-3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1.9E-2</v>
      </c>
      <c r="E251">
        <v>9.9000000000000008E-3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1.9E-2</v>
      </c>
      <c r="E252">
        <v>9.9000000000000008E-3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1.9E-2</v>
      </c>
      <c r="E253">
        <v>9.9000000000000008E-3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1.9E-2</v>
      </c>
      <c r="E254">
        <v>9.9000000000000008E-3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1.9E-2</v>
      </c>
      <c r="E255">
        <v>9.9000000000000008E-3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1.9E-2</v>
      </c>
      <c r="E256">
        <v>9.9000000000000008E-3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1.9E-2</v>
      </c>
      <c r="E257">
        <v>9.9000000000000008E-3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1.9E-2</v>
      </c>
      <c r="E258">
        <v>9.9000000000000008E-3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1.9E-2</v>
      </c>
      <c r="E259">
        <v>9.9000000000000008E-3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1.9E-2</v>
      </c>
      <c r="E260">
        <v>9.9000000000000008E-3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1.9E-2</v>
      </c>
      <c r="E261">
        <v>9.9000000000000008E-3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1.9E-2</v>
      </c>
      <c r="E262">
        <v>9.9000000000000008E-3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1.9E-2</v>
      </c>
      <c r="E263">
        <v>9.9000000000000008E-3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1.9E-2</v>
      </c>
      <c r="E264">
        <v>9.9000000000000008E-3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1.9E-2</v>
      </c>
      <c r="E265">
        <v>9.9000000000000008E-3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1.9E-2</v>
      </c>
      <c r="E266">
        <v>9.9000000000000008E-3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1.9E-2</v>
      </c>
      <c r="E267">
        <v>9.9000000000000008E-3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1.9E-2</v>
      </c>
      <c r="E268">
        <v>9.9000000000000008E-3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1.9E-2</v>
      </c>
      <c r="E269">
        <v>9.9000000000000008E-3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1.9E-2</v>
      </c>
      <c r="E270">
        <v>9.9000000000000008E-3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1.9E-2</v>
      </c>
      <c r="E271">
        <v>9.9000000000000008E-3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1.9E-2</v>
      </c>
      <c r="E272">
        <v>9.9000000000000008E-3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1.9E-2</v>
      </c>
      <c r="E273">
        <v>9.9000000000000008E-3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1.9E-2</v>
      </c>
      <c r="E274">
        <v>9.9000000000000008E-3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1.9E-2</v>
      </c>
      <c r="E275">
        <v>9.9000000000000008E-3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1.9E-2</v>
      </c>
      <c r="E276">
        <v>9.9000000000000008E-3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1.9E-2</v>
      </c>
      <c r="E277">
        <v>9.9000000000000008E-3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1.9E-2</v>
      </c>
      <c r="E278">
        <v>9.9000000000000008E-3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1.9E-2</v>
      </c>
      <c r="E279">
        <v>9.9000000000000008E-3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1.9E-2</v>
      </c>
      <c r="E280">
        <v>9.9000000000000008E-3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1.9E-2</v>
      </c>
      <c r="E281">
        <v>9.9000000000000008E-3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1.9E-2</v>
      </c>
      <c r="E282">
        <v>9.9000000000000008E-3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1.9E-2</v>
      </c>
      <c r="E283">
        <v>9.9000000000000008E-3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1.9E-2</v>
      </c>
      <c r="E284">
        <v>9.9000000000000008E-3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1.9E-2</v>
      </c>
      <c r="E285">
        <v>9.9000000000000008E-3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1.9E-2</v>
      </c>
      <c r="E286">
        <v>9.9000000000000008E-3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1.9E-2</v>
      </c>
      <c r="E287">
        <v>9.9000000000000008E-3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1.9E-2</v>
      </c>
      <c r="E288">
        <v>9.9000000000000008E-3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1.9E-2</v>
      </c>
      <c r="E289">
        <v>9.9000000000000008E-3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1.9E-2</v>
      </c>
      <c r="E290">
        <v>9.9000000000000008E-3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1.9E-2</v>
      </c>
      <c r="E291">
        <v>9.9000000000000008E-3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1.9E-2</v>
      </c>
      <c r="E292">
        <v>9.9000000000000008E-3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1.9E-2</v>
      </c>
      <c r="E293">
        <v>9.9000000000000008E-3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1.9E-2</v>
      </c>
      <c r="E294">
        <v>9.9000000000000008E-3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1.9E-2</v>
      </c>
      <c r="E295">
        <v>9.9000000000000008E-3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1.9E-2</v>
      </c>
      <c r="E296">
        <v>9.9000000000000008E-3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1.9E-2</v>
      </c>
      <c r="E297">
        <v>9.9000000000000008E-3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1.9E-2</v>
      </c>
      <c r="E298">
        <v>9.9000000000000008E-3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1.9E-2</v>
      </c>
      <c r="E299">
        <v>9.9000000000000008E-3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1.9E-2</v>
      </c>
      <c r="E300">
        <v>9.9000000000000008E-3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1.9E-2</v>
      </c>
      <c r="E301">
        <v>9.9000000000000008E-3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1.9E-2</v>
      </c>
      <c r="E302">
        <v>9.9000000000000008E-3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1.9E-2</v>
      </c>
      <c r="E303">
        <v>9.9000000000000008E-3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-0.50210941456063485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-0.50396947921745872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-0.50203230655460451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-0.50640734815434019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-0.50804671216367581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-0.51205973602570998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-0.51244931741132249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-0.5091586144346486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-0.5117823378683517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-0.51321719919641706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-0.51757198319091302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-0.51759515330781436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-0.51921337115733723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-0.51886376724322536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-0.52063481099422659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-0.51857533221711605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-0.5235943097433039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-0.52522364658059562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-0.52147346837889041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-0.52926385020682598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-0.52576852522577733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-0.52817293787868713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-0.52922176709853497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-0.53010000377172628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-0.53182555027850353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-0.53024474498929475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-0.5346441220892707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-0.53134502799658867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-0.53723053214137639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-0.53406292997818083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-0.53856844003232218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-0.53727791731480146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-0.53942153359400136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-0.53836898454435556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-0.54227679826231701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-0.54155216273166629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-0.54387965298279017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-0.54493852546979882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-0.54740831652041166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-0.54643149112050626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-0.546410741722543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-0.54977761355036892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-0.54730853837292293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-0.54811383455516793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-0.5564104941175172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-0.54942332974268893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-0.54959864582647777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-0.55304122647738851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-0.55220645998475348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-0.55690438823047672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-0.55439231119843224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-0.55473059510194167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-0.55988963998736829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-0.5547697109193841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-0.56047096653087836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-0.55681200967123001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-0.55822325332190481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-0.56457201859416462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-0.56033793175615765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-0.55779725236802191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-0.56470703057890037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-0.5586435056559631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-0.56502985727076627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-0.56690695434432126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-0.56414683321261805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-0.57076494562730584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-0.5675414789996186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-0.56973985840966201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-0.56867395754146977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-0.57142759712176416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-0.56965264655001857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-0.57239621367158389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-0.56976920496859051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-0.57393423416985967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-0.56783052872603035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-0.57772383977915742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-0.57593243574010233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-0.57576620597385264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-0.57846903967811558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-0.5685219289391229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-0.58038117018218727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-0.57645106110354161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-0.58035765980522724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-0.58104078488910593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-0.58043960964754626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-0.57711655827089037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-0.58163554453660937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-0.58139504048745727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-0.58199554384605989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-0.58670284545489049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-0.58408073316915721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-0.58737214665104831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-0.58295318004234531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-0.59098450762112831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-0.5846556829143652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-0.59058966837452742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-0.5873978074785362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-0.59211052766366701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-0.58566725199927783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-0.59321316723911854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-0.58981610628192516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-0.59313547702628766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-0.59284738218309385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-0.59063454252154024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-0.59177062711684802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-0.5989440985726604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-0.59367577938291827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-0.59615275359769559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-0.59618324768002717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-0.59314928930791122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-0.59834350716449713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-0.5999984916643688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-0.59670876868118738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-0.59480336731310579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-0.59543019529198493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-0.59566458515364318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-0.60122443613844001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-0.60469597230874395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-0.60829459105043504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-0.59983176375870795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-0.60343127611352898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-0.60372321337868673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-0.6059701288511643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-0.60458992291571589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-0.61047180304222193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-0.60003083149968484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-0.61009481698282464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-0.61092232841967442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-0.61048678814177604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-0.61777550389211278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-0.6199774649825136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-0.6203014151481876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-0.62258708845319244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-0.62336735335211846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-0.62538156965928171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-0.62490031107508048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-0.6270768080721687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-0.62674174645309544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-0.62866392101820201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-0.62924335561027034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-0.63137175281759006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-0.63108843792082758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-0.63320692326315142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-0.63360501011626813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-0.63570217175536259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-0.6353287023076305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-0.63821354379572359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-0.63807195185377097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-0.64021893557002041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-0.64085577070533128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-0.64278835452501859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-0.64254917419667934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-0.64221116659568644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-0.64516712658013786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-0.64459055307971336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-0.64683452659525364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-0.6469348542211244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2026-04-17T08:38:45Z</dcterms:modified>
</cp:coreProperties>
</file>