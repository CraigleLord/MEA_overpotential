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\"/>
    </mc:Choice>
  </mc:AlternateContent>
  <xr:revisionPtr revIDLastSave="0" documentId="13_ncr:1_{4D39F312-689A-49D8-A4F1-8420EEA1ADDE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287" i="1"/>
  <c r="P287" i="1" s="1"/>
  <c r="K276" i="1"/>
  <c r="P276" i="1" s="1"/>
  <c r="K265" i="1"/>
  <c r="P265" i="1" s="1"/>
  <c r="K281" i="1"/>
  <c r="P281" i="1" s="1"/>
  <c r="K262" i="1"/>
  <c r="P262" i="1" s="1"/>
  <c r="K220" i="1"/>
  <c r="P220" i="1" s="1"/>
  <c r="K261" i="1"/>
  <c r="P261" i="1" s="1"/>
  <c r="K248" i="1"/>
  <c r="P248" i="1" s="1"/>
  <c r="K238" i="1"/>
  <c r="P238" i="1" s="1"/>
  <c r="K253" i="1"/>
  <c r="P253" i="1" s="1"/>
  <c r="K250" i="1"/>
  <c r="P250" i="1" s="1"/>
  <c r="K294" i="1"/>
  <c r="P294" i="1" s="1"/>
  <c r="K273" i="1"/>
  <c r="P273" i="1" s="1"/>
  <c r="K293" i="1"/>
  <c r="P293" i="1" s="1"/>
  <c r="K286" i="1"/>
  <c r="P286" i="1" s="1"/>
  <c r="K267" i="1"/>
  <c r="P267" i="1" s="1"/>
  <c r="K295" i="1"/>
  <c r="P295" i="1" s="1"/>
  <c r="K284" i="1"/>
  <c r="P284" i="1" s="1"/>
  <c r="K212" i="1"/>
  <c r="P212" i="1" s="1"/>
  <c r="K219" i="1"/>
  <c r="P219" i="1" s="1"/>
  <c r="K226" i="1"/>
  <c r="P226" i="1" s="1"/>
  <c r="K239" i="1"/>
  <c r="P239" i="1" s="1"/>
  <c r="K255" i="1"/>
  <c r="P255" i="1" s="1"/>
  <c r="K280" i="1"/>
  <c r="P280" i="1" s="1"/>
  <c r="K240" i="1"/>
  <c r="P240" i="1" s="1"/>
  <c r="K256" i="1"/>
  <c r="P256" i="1" s="1"/>
  <c r="K243" i="1"/>
  <c r="P243" i="1" s="1"/>
  <c r="K233" i="1"/>
  <c r="P233" i="1" s="1"/>
  <c r="K272" i="1"/>
  <c r="P272" i="1" s="1"/>
  <c r="K257" i="1"/>
  <c r="P257" i="1" s="1"/>
  <c r="K274" i="1"/>
  <c r="P274" i="1" s="1"/>
  <c r="K214" i="1"/>
  <c r="P214" i="1" s="1"/>
  <c r="K260" i="1"/>
  <c r="P260" i="1" s="1"/>
  <c r="K271" i="1"/>
  <c r="P271" i="1" s="1"/>
  <c r="K237" i="1"/>
  <c r="P237" i="1" s="1"/>
  <c r="K258" i="1"/>
  <c r="P258" i="1" s="1"/>
  <c r="K232" i="1"/>
  <c r="P232" i="1" s="1"/>
  <c r="K234" i="1"/>
  <c r="P234" i="1" s="1"/>
  <c r="K230" i="1"/>
  <c r="P230" i="1" s="1"/>
  <c r="K285" i="1"/>
  <c r="P285" i="1" s="1"/>
  <c r="K264" i="1"/>
  <c r="P264" i="1" s="1"/>
  <c r="K224" i="1"/>
  <c r="P224" i="1" s="1"/>
  <c r="K290" i="1"/>
  <c r="P290" i="1" s="1"/>
  <c r="K247" i="1"/>
  <c r="P247" i="1" s="1"/>
  <c r="K283" i="1"/>
  <c r="P283" i="1" s="1"/>
  <c r="K263" i="1"/>
  <c r="P263" i="1" s="1"/>
  <c r="K218" i="1"/>
  <c r="P218" i="1" s="1"/>
  <c r="K241" i="1"/>
  <c r="P241" i="1" s="1"/>
  <c r="K279" i="1"/>
  <c r="P279" i="1" s="1"/>
  <c r="K300" i="1"/>
  <c r="P300" i="1" s="1"/>
  <c r="K222" i="1"/>
  <c r="P222" i="1" s="1"/>
  <c r="K298" i="1"/>
  <c r="P298" i="1" s="1"/>
  <c r="K228" i="1"/>
  <c r="P228" i="1" s="1"/>
  <c r="K249" i="1"/>
  <c r="P249" i="1" s="1"/>
  <c r="K227" i="1"/>
  <c r="P227" i="1" s="1"/>
  <c r="K282" i="1"/>
  <c r="P282" i="1" s="1"/>
  <c r="K216" i="1"/>
  <c r="P216" i="1" s="1"/>
  <c r="K277" i="1"/>
  <c r="P277" i="1" s="1"/>
  <c r="K213" i="1"/>
  <c r="P213" i="1" s="1"/>
  <c r="K269" i="1"/>
  <c r="P269" i="1" s="1"/>
  <c r="K270" i="1"/>
  <c r="P270" i="1" s="1"/>
  <c r="K236" i="1"/>
  <c r="P236" i="1" s="1"/>
  <c r="K229" i="1"/>
  <c r="P229" i="1" s="1"/>
  <c r="K252" i="1"/>
  <c r="P252" i="1" s="1"/>
  <c r="K278" i="1"/>
  <c r="P278" i="1" s="1"/>
  <c r="K231" i="1"/>
  <c r="P231" i="1" s="1"/>
  <c r="K254" i="1"/>
  <c r="P254" i="1" s="1"/>
  <c r="K245" i="1"/>
  <c r="P245" i="1" s="1"/>
  <c r="K296" i="1"/>
  <c r="P296" i="1" s="1"/>
  <c r="K301" i="1"/>
  <c r="P301" i="1" s="1"/>
  <c r="K268" i="1"/>
  <c r="P268" i="1" s="1"/>
  <c r="K289" i="1"/>
  <c r="P289" i="1" s="1"/>
  <c r="K266" i="1"/>
  <c r="P266" i="1" s="1"/>
  <c r="K223" i="1"/>
  <c r="P223" i="1" s="1"/>
  <c r="K244" i="1"/>
  <c r="P244" i="1" s="1"/>
  <c r="K221" i="1"/>
  <c r="P221" i="1" s="1"/>
  <c r="K275" i="1"/>
  <c r="P275" i="1" s="1"/>
  <c r="K297" i="1"/>
  <c r="P297" i="1" s="1"/>
  <c r="K302" i="1"/>
  <c r="P302" i="1" s="1"/>
  <c r="K303" i="1"/>
  <c r="P303" i="1" s="1"/>
  <c r="K242" i="1"/>
  <c r="P242" i="1" s="1"/>
  <c r="K299" i="1"/>
  <c r="P299" i="1" s="1"/>
  <c r="K246" i="1"/>
  <c r="P246" i="1" s="1"/>
  <c r="K292" i="1"/>
  <c r="P292" i="1" s="1"/>
  <c r="K291" i="1"/>
  <c r="P291" i="1" s="1"/>
  <c r="K259" i="1"/>
  <c r="P259" i="1" s="1"/>
  <c r="K215" i="1"/>
  <c r="P215" i="1" s="1"/>
  <c r="K225" i="1"/>
  <c r="P225" i="1" s="1"/>
  <c r="K251" i="1"/>
  <c r="P251" i="1" s="1"/>
  <c r="K217" i="1"/>
  <c r="P217" i="1" s="1"/>
  <c r="K235" i="1"/>
  <c r="P235" i="1" s="1"/>
  <c r="K160" i="1"/>
  <c r="P160" i="1" s="1"/>
  <c r="K198" i="1"/>
  <c r="P198" i="1" s="1"/>
  <c r="K186" i="1"/>
  <c r="P186" i="1" s="1"/>
  <c r="K47" i="1"/>
  <c r="K32" i="1"/>
  <c r="K153" i="1"/>
  <c r="P153" i="1" s="1"/>
  <c r="K169" i="1"/>
  <c r="P169" i="1" s="1"/>
  <c r="K162" i="1"/>
  <c r="P162" i="1" s="1"/>
  <c r="K174" i="1"/>
  <c r="K24" i="1"/>
  <c r="K173" i="1"/>
  <c r="K7" i="1"/>
  <c r="K102" i="1"/>
  <c r="K134" i="1"/>
  <c r="K43" i="1"/>
  <c r="K111" i="1"/>
  <c r="K140" i="1"/>
  <c r="K74" i="1"/>
  <c r="K75" i="1"/>
  <c r="K91" i="1"/>
  <c r="K69" i="1"/>
  <c r="K146" i="1"/>
  <c r="P146" i="1" s="1"/>
  <c r="K133" i="1"/>
  <c r="K185" i="1"/>
  <c r="P185" i="1" s="1"/>
  <c r="K93" i="1"/>
  <c r="K63" i="1"/>
  <c r="K127" i="1"/>
  <c r="K154" i="1"/>
  <c r="P154" i="1" s="1"/>
  <c r="K164" i="1"/>
  <c r="K11" i="1"/>
  <c r="K159" i="1"/>
  <c r="P159" i="1" s="1"/>
  <c r="K188" i="1"/>
  <c r="P188" i="1" s="1"/>
  <c r="K79" i="1"/>
  <c r="K37" i="1"/>
  <c r="K209" i="1"/>
  <c r="P209" i="1" s="1"/>
  <c r="K116" i="1"/>
  <c r="K82" i="1"/>
  <c r="K152" i="1"/>
  <c r="P152" i="1" s="1"/>
  <c r="K97" i="1"/>
  <c r="K143" i="1"/>
  <c r="K126" i="1"/>
  <c r="K100" i="1"/>
  <c r="K125" i="1"/>
  <c r="K144" i="1"/>
  <c r="K207" i="1"/>
  <c r="P207" i="1" s="1"/>
  <c r="K156" i="1"/>
  <c r="P156" i="1" s="1"/>
  <c r="K105" i="1"/>
  <c r="K104" i="1"/>
  <c r="K205" i="1"/>
  <c r="P205" i="1" s="1"/>
  <c r="K80" i="1"/>
  <c r="K195" i="1"/>
  <c r="P195" i="1" s="1"/>
  <c r="K65" i="1"/>
  <c r="K166" i="1"/>
  <c r="P166" i="1" s="1"/>
  <c r="K39" i="1"/>
  <c r="K123" i="1"/>
  <c r="K142" i="1"/>
  <c r="K120" i="1"/>
  <c r="K15" i="1"/>
  <c r="K150" i="1"/>
  <c r="P150" i="1" s="1"/>
  <c r="K21" i="1"/>
  <c r="K138" i="1"/>
  <c r="K62" i="1"/>
  <c r="K187" i="1"/>
  <c r="P187" i="1" s="1"/>
  <c r="K196" i="1"/>
  <c r="P196" i="1" s="1"/>
  <c r="K27" i="1"/>
  <c r="K168" i="1"/>
  <c r="P168" i="1" s="1"/>
  <c r="K96" i="1"/>
  <c r="K22" i="1"/>
  <c r="K114" i="1"/>
  <c r="K163" i="1"/>
  <c r="K83" i="1"/>
  <c r="K95" i="1"/>
  <c r="K76" i="1"/>
  <c r="K60" i="1"/>
  <c r="K18" i="1"/>
  <c r="K46" i="1"/>
  <c r="K8" i="1"/>
  <c r="K190" i="1"/>
  <c r="P190" i="1" s="1"/>
  <c r="K64" i="1"/>
  <c r="K119" i="1"/>
  <c r="K81" i="1"/>
  <c r="K175" i="1"/>
  <c r="P175" i="1" s="1"/>
  <c r="K73" i="1"/>
  <c r="K84" i="1"/>
  <c r="K41" i="1"/>
  <c r="K78" i="1"/>
  <c r="K42" i="1"/>
  <c r="K87" i="1"/>
  <c r="K137" i="1"/>
  <c r="K158" i="1"/>
  <c r="K177" i="1"/>
  <c r="K155" i="1"/>
  <c r="K17" i="1"/>
  <c r="K130" i="1"/>
  <c r="K86" i="1"/>
  <c r="K178" i="1"/>
  <c r="P178" i="1" s="1"/>
  <c r="K54" i="1"/>
  <c r="K136" i="1"/>
  <c r="K23" i="1"/>
  <c r="K181" i="1"/>
  <c r="P181" i="1" s="1"/>
  <c r="K110" i="1"/>
  <c r="K135" i="1"/>
  <c r="K149" i="1"/>
  <c r="P149" i="1" s="1"/>
  <c r="K171" i="1"/>
  <c r="P171" i="1" s="1"/>
  <c r="K66" i="1"/>
  <c r="K161" i="1"/>
  <c r="P161" i="1" s="1"/>
  <c r="K121" i="1"/>
  <c r="K124" i="1"/>
  <c r="K85" i="1"/>
  <c r="K101" i="1"/>
  <c r="K16" i="1"/>
  <c r="K30" i="1"/>
  <c r="K211" i="1"/>
  <c r="P211" i="1" s="1"/>
  <c r="K180" i="1"/>
  <c r="P180" i="1" s="1"/>
  <c r="K109" i="1"/>
  <c r="K61" i="1"/>
  <c r="K197" i="1"/>
  <c r="P197" i="1" s="1"/>
  <c r="K206" i="1"/>
  <c r="P206" i="1" s="1"/>
  <c r="K132" i="1"/>
  <c r="K33" i="1"/>
  <c r="K58" i="1"/>
  <c r="K77" i="1"/>
  <c r="K67" i="1"/>
  <c r="K148" i="1"/>
  <c r="P148" i="1" s="1"/>
  <c r="K167" i="1"/>
  <c r="P167" i="1" s="1"/>
  <c r="K88" i="1"/>
  <c r="K191" i="1"/>
  <c r="P191" i="1" s="1"/>
  <c r="K176" i="1"/>
  <c r="K26" i="1"/>
  <c r="K59" i="1"/>
  <c r="K12" i="1"/>
  <c r="K203" i="1"/>
  <c r="P203" i="1" s="1"/>
  <c r="K40" i="1"/>
  <c r="K108" i="1"/>
  <c r="K89" i="1"/>
  <c r="K29" i="1"/>
  <c r="K210" i="1"/>
  <c r="P210" i="1" s="1"/>
  <c r="K192" i="1"/>
  <c r="P192" i="1" s="1"/>
  <c r="K141" i="1"/>
  <c r="K157" i="1"/>
  <c r="P157" i="1" s="1"/>
  <c r="K38" i="1"/>
  <c r="K204" i="1"/>
  <c r="P204" i="1" s="1"/>
  <c r="K50" i="1"/>
  <c r="K170" i="1"/>
  <c r="P170" i="1" s="1"/>
  <c r="K36" i="1"/>
  <c r="K179" i="1"/>
  <c r="P179" i="1" s="1"/>
  <c r="K122" i="1"/>
  <c r="K14" i="1"/>
  <c r="K45" i="1"/>
  <c r="K128" i="1"/>
  <c r="K25" i="1"/>
  <c r="K98" i="1"/>
  <c r="K5" i="1"/>
  <c r="K145" i="1"/>
  <c r="P145" i="1" s="1"/>
  <c r="K112" i="1"/>
  <c r="K131" i="1"/>
  <c r="K147" i="1"/>
  <c r="K28" i="1"/>
  <c r="K194" i="1"/>
  <c r="P194" i="1" s="1"/>
  <c r="K20" i="1"/>
  <c r="K56" i="1"/>
  <c r="K10" i="1"/>
  <c r="K103" i="1"/>
  <c r="K115" i="1"/>
  <c r="K52" i="1"/>
  <c r="K151" i="1"/>
  <c r="P151" i="1" s="1"/>
  <c r="K189" i="1"/>
  <c r="P189" i="1" s="1"/>
  <c r="K129" i="1"/>
  <c r="K99" i="1"/>
  <c r="K44" i="1"/>
  <c r="K55" i="1"/>
  <c r="K19" i="1"/>
  <c r="K35" i="1"/>
  <c r="K13" i="1"/>
  <c r="K92" i="1"/>
  <c r="K202" i="1"/>
  <c r="P202" i="1" s="1"/>
  <c r="K182" i="1"/>
  <c r="P182" i="1" s="1"/>
  <c r="K139" i="1"/>
  <c r="K34" i="1"/>
  <c r="K6" i="1"/>
  <c r="K71" i="1"/>
  <c r="K193" i="1"/>
  <c r="P193" i="1" s="1"/>
  <c r="K49" i="1"/>
  <c r="K51" i="1"/>
  <c r="K201" i="1"/>
  <c r="P201" i="1" s="1"/>
  <c r="K165" i="1"/>
  <c r="P165" i="1" s="1"/>
  <c r="K31" i="1"/>
  <c r="K106" i="1"/>
  <c r="K199" i="1"/>
  <c r="P199" i="1" s="1"/>
  <c r="K208" i="1"/>
  <c r="P208" i="1" s="1"/>
  <c r="K70" i="1"/>
  <c r="K57" i="1"/>
  <c r="K72" i="1"/>
  <c r="K183" i="1"/>
  <c r="P183" i="1" s="1"/>
  <c r="K200" i="1"/>
  <c r="P200" i="1" s="1"/>
  <c r="K172" i="1"/>
  <c r="P172" i="1" s="1"/>
  <c r="K48" i="1"/>
  <c r="K94" i="1"/>
  <c r="K107" i="1"/>
  <c r="K9" i="1"/>
  <c r="K90" i="1"/>
  <c r="K118" i="1"/>
  <c r="K68" i="1"/>
  <c r="K184" i="1"/>
  <c r="P184" i="1" s="1"/>
  <c r="K117" i="1"/>
  <c r="K113" i="1"/>
  <c r="K53" i="1"/>
  <c r="P158" i="1"/>
  <c r="P164" i="1"/>
  <c r="P174" i="1"/>
  <c r="P176" i="1"/>
  <c r="P173" i="1"/>
  <c r="P177" i="1"/>
  <c r="P147" i="1"/>
  <c r="P155" i="1"/>
  <c r="P163" i="1"/>
  <c r="L177" i="3" l="1"/>
  <c r="L119" i="3"/>
  <c r="L182" i="3"/>
  <c r="L102" i="3"/>
  <c r="L22" i="3"/>
  <c r="L73" i="3"/>
  <c r="L172" i="3"/>
  <c r="L55" i="3"/>
  <c r="L136" i="3"/>
  <c r="L56" i="3"/>
  <c r="L209" i="3"/>
  <c r="L196" i="3"/>
  <c r="L201" i="3"/>
  <c r="L197" i="3"/>
  <c r="L44" i="3"/>
  <c r="L161" i="3"/>
  <c r="L212" i="3"/>
  <c r="L112" i="3"/>
  <c r="L175" i="3"/>
  <c r="L108" i="3"/>
  <c r="L133" i="3"/>
  <c r="L24" i="3"/>
  <c r="L121" i="3"/>
  <c r="L20" i="3"/>
  <c r="L142" i="3"/>
  <c r="L207" i="3"/>
  <c r="L58" i="3"/>
  <c r="L12" i="3"/>
  <c r="L141" i="3"/>
  <c r="L79" i="3"/>
  <c r="L206" i="3"/>
  <c r="L139" i="3"/>
  <c r="L164" i="3"/>
  <c r="L198" i="3"/>
  <c r="L131" i="3"/>
  <c r="L184" i="3"/>
  <c r="L186" i="3"/>
  <c r="L200" i="3"/>
  <c r="L192" i="3"/>
  <c r="L185" i="3"/>
  <c r="L178" i="3"/>
  <c r="L98" i="3"/>
  <c r="L18" i="3"/>
  <c r="L69" i="3"/>
  <c r="L168" i="3"/>
  <c r="L51" i="3"/>
  <c r="L132" i="3"/>
  <c r="L52" i="3"/>
  <c r="L199" i="3"/>
  <c r="L220" i="3"/>
  <c r="L166" i="3"/>
  <c r="L120" i="3"/>
  <c r="L35" i="3"/>
  <c r="L32" i="3"/>
  <c r="L137" i="3"/>
  <c r="L219" i="3"/>
  <c r="L70" i="3"/>
  <c r="L104" i="3"/>
  <c r="L163" i="3"/>
  <c r="L113" i="3"/>
  <c r="L15" i="3"/>
  <c r="L129" i="3"/>
  <c r="L91" i="3"/>
  <c r="L203" i="3"/>
  <c r="L101" i="3"/>
  <c r="L4" i="3"/>
  <c r="L143" i="3"/>
  <c r="L13" i="3"/>
  <c r="L167" i="3"/>
  <c r="L208" i="3"/>
  <c r="L5" i="3"/>
  <c r="L190" i="3"/>
  <c r="L202" i="3"/>
  <c r="L59" i="3"/>
  <c r="L188" i="3"/>
  <c r="L189" i="3"/>
  <c r="L174" i="3"/>
  <c r="L94" i="3"/>
  <c r="L14" i="3"/>
  <c r="L65" i="3"/>
  <c r="L160" i="3"/>
  <c r="L47" i="3"/>
  <c r="L128" i="3"/>
  <c r="L48" i="3"/>
  <c r="L195" i="3"/>
  <c r="L216" i="3"/>
  <c r="L111" i="3"/>
  <c r="L154" i="3"/>
  <c r="L107" i="3"/>
  <c r="L150" i="3"/>
  <c r="L103" i="3"/>
  <c r="L215" i="3"/>
  <c r="L66" i="3"/>
  <c r="L100" i="3"/>
  <c r="L159" i="3"/>
  <c r="L29" i="3"/>
  <c r="L130" i="3"/>
  <c r="L17" i="3"/>
  <c r="L122" i="3"/>
  <c r="L76" i="3"/>
  <c r="L118" i="3"/>
  <c r="L85" i="3"/>
  <c r="L204" i="3"/>
  <c r="L30" i="3"/>
  <c r="L64" i="3"/>
  <c r="L26" i="3"/>
  <c r="L213" i="3"/>
  <c r="L157" i="3"/>
  <c r="L169" i="3"/>
  <c r="L170" i="3"/>
  <c r="L90" i="3"/>
  <c r="L10" i="3"/>
  <c r="L61" i="3"/>
  <c r="L156" i="3"/>
  <c r="L43" i="3"/>
  <c r="L124" i="3"/>
  <c r="L86" i="3"/>
  <c r="L6" i="3"/>
  <c r="L57" i="3"/>
  <c r="L152" i="3"/>
  <c r="L39" i="3"/>
  <c r="L40" i="3"/>
  <c r="L115" i="3"/>
  <c r="L36" i="3"/>
  <c r="L31" i="3"/>
  <c r="L74" i="3"/>
  <c r="L45" i="3"/>
  <c r="L27" i="3"/>
  <c r="L28" i="3"/>
  <c r="L171" i="3"/>
  <c r="L23" i="3"/>
  <c r="L146" i="3"/>
  <c r="L211" i="3"/>
  <c r="L62" i="3"/>
  <c r="L109" i="3"/>
  <c r="L92" i="3"/>
  <c r="L50" i="3"/>
  <c r="L210" i="3"/>
  <c r="L97" i="3"/>
  <c r="L80" i="3"/>
  <c r="L183" i="3"/>
  <c r="L9" i="3"/>
  <c r="L72" i="3"/>
  <c r="L194" i="3"/>
  <c r="L221" i="3"/>
  <c r="L144" i="3"/>
  <c r="L123" i="3"/>
  <c r="L187" i="3"/>
  <c r="L153" i="3"/>
  <c r="L162" i="3"/>
  <c r="L82" i="3"/>
  <c r="L181" i="3"/>
  <c r="L53" i="3"/>
  <c r="L116" i="3"/>
  <c r="L149" i="3"/>
  <c r="L41" i="3"/>
  <c r="L117" i="3"/>
  <c r="L19" i="3"/>
  <c r="L193" i="3"/>
  <c r="L11" i="3"/>
  <c r="L21" i="3"/>
  <c r="L191" i="3"/>
  <c r="L180" i="3"/>
  <c r="L38" i="3"/>
  <c r="L67" i="3"/>
  <c r="L110" i="3"/>
  <c r="L140" i="3"/>
  <c r="L60" i="3"/>
  <c r="L179" i="3"/>
  <c r="L145" i="3"/>
  <c r="L158" i="3"/>
  <c r="L78" i="3"/>
  <c r="L165" i="3"/>
  <c r="L49" i="3"/>
  <c r="L223" i="3"/>
  <c r="L125" i="3"/>
  <c r="L99" i="3"/>
  <c r="L33" i="3"/>
  <c r="L96" i="3"/>
  <c r="L138" i="3"/>
  <c r="L84" i="3"/>
  <c r="L46" i="3"/>
  <c r="L42" i="3"/>
  <c r="L205" i="3"/>
  <c r="L71" i="3"/>
  <c r="L34" i="3"/>
  <c r="L68" i="3"/>
  <c r="L81" i="3"/>
  <c r="L176" i="3"/>
  <c r="L37" i="3"/>
  <c r="L95" i="3"/>
  <c r="L16" i="3"/>
  <c r="L155" i="3"/>
  <c r="L83" i="3"/>
  <c r="L126" i="3"/>
  <c r="L218" i="3"/>
  <c r="L75" i="3"/>
  <c r="L222" i="3"/>
  <c r="L135" i="3"/>
  <c r="L148" i="3"/>
  <c r="L127" i="3"/>
  <c r="L217" i="3"/>
  <c r="L77" i="3"/>
  <c r="L151" i="3"/>
  <c r="L173" i="3"/>
  <c r="L134" i="3"/>
  <c r="L54" i="3"/>
  <c r="L105" i="3"/>
  <c r="L25" i="3"/>
  <c r="L87" i="3"/>
  <c r="L7" i="3"/>
  <c r="L88" i="3"/>
  <c r="L8" i="3"/>
  <c r="L214" i="3"/>
  <c r="L147" i="3"/>
  <c r="L3" i="3"/>
  <c r="L2" i="3"/>
  <c r="L93" i="3"/>
  <c r="L89" i="3"/>
  <c r="L114" i="3"/>
  <c r="L63" i="3"/>
  <c r="L106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<sst xmlns="http://schemas.openxmlformats.org/spreadsheetml/2006/main" count="40" uniqueCount="36">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</sst>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D267" zoomScale="85" zoomScaleNormal="85" workbookViewId="0">
      <selection activeCell="R281" sqref="R281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-0.33889000000000002</v>
      </c>
      <c r="AC3" t="s">
        <v>30</v>
      </c>
    </row>
    <row r="4" spans="1:29" x14ac:dyDescent="0.3">
      <c r="A4">
        <v>1.3629599999999999E-2</v>
      </c>
      <c r="B4">
        <v>0.874</v>
      </c>
      <c r="C4">
        <f>A4*B4</f>
        <v>1.1912270399999999E-2</v>
      </c>
      <c r="D4">
        <v>2.01E-2</v>
      </c>
      <c r="E4">
        <v>3.8158201924077539E-3</v>
      </c>
      <c r="F4">
        <f>A4*200</f>
        <v>2.7259199999999999</v>
      </c>
      <c r="G4">
        <f>-B4</f>
        <v>-0.874</v>
      </c>
      <c r="H4">
        <f t="shared" ref="H4" si="0">-C4*200</f>
        <v>-2.38245408</v>
      </c>
      <c r="I4">
        <v>1</v>
      </c>
      <c r="J4">
        <f>LN(F4/1000)</f>
        <v>-5.904949293167042</v>
      </c>
      <c r="K4">
        <f>((-G4)-$N$2)</f>
        <v>-0.30591057297601199</v>
      </c>
      <c r="L4">
        <v>1</v>
      </c>
      <c r="M4">
        <f>-1*($S$4+($S$5*J4))</f>
        <v>0.26458262461630094</v>
      </c>
      <c r="N4">
        <f>D4*A4</f>
        <v>2.7395495999999999E-4</v>
      </c>
      <c r="O4">
        <f>E4*A4</f>
        <v>5.2008102894440717E-5</v>
      </c>
      <c r="P4">
        <f>-K4-M4-N4-O4</f>
        <v>4.1001985296816597E-2</v>
      </c>
      <c r="R4" s="2" t="s">
        <v>16</v>
      </c>
      <c r="S4">
        <v>-0.51200000000000001</v>
      </c>
      <c r="V4">
        <v>-6</v>
      </c>
      <c r="W4">
        <f>V4*$S$5+$S$4</f>
        <v>-0.2606</v>
      </c>
      <c r="Y4">
        <v>0</v>
      </c>
      <c r="Z4">
        <f>$AB$4*Y4+$AB$3</f>
        <v>-0.33889000000000002</v>
      </c>
      <c r="AB4">
        <v>8.4570399999999992</v>
      </c>
      <c r="AC4" t="s">
        <v>31</v>
      </c>
    </row>
    <row r="5" spans="1:29" x14ac:dyDescent="0.3">
      <c r="A5">
        <v>4.5828049999999995E-2</v>
      </c>
      <c r="B5">
        <v>0.86355000000000004</v>
      </c>
      <c r="C5">
        <f t="shared" ref="C5:C68" si="1">A5*B5</f>
        <v>3.95748125775E-2</v>
      </c>
      <c r="D5">
        <v>2.01E-2</v>
      </c>
      <c r="E5">
        <v>3.8158201924077539E-3</v>
      </c>
      <c r="F5">
        <f t="shared" ref="F5:F68" si="2">A5*200</f>
        <v>9.1656099999999991</v>
      </c>
      <c r="G5">
        <f t="shared" ref="G5:G68" si="3">-B5</f>
        <v>-0.86355000000000004</v>
      </c>
      <c r="H5">
        <f t="shared" ref="H5:H68" si="4">-C5*200</f>
        <v>-7.9149625155000001</v>
      </c>
      <c r="I5">
        <v>1</v>
      </c>
      <c r="J5">
        <f t="shared" ref="J5:J68" si="5">LN(F5/1000)</f>
        <v>-4.6922968423494051</v>
      </c>
      <c r="K5">
        <f t="shared" ref="K5:K68" si="6">((-G5)-$N$2)</f>
        <v>-0.31636057297601194</v>
      </c>
      <c r="L5">
        <v>1</v>
      </c>
      <c r="M5">
        <f t="shared" ref="M5:M68" si="7">-1*($S$4+($S$5*J5))</f>
        <v>0.3153927623055599</v>
      </c>
      <c r="N5">
        <f t="shared" ref="N5:N6" si="8">D5*A5</f>
        <v>9.2114380499999985E-4</v>
      </c>
      <c r="O5">
        <f>E5*A5</f>
        <v>1.7487159856867214E-4</v>
      </c>
      <c r="P5">
        <f>-K5-M5-N5-O5</f>
        <v>-1.2820473311663137E-4</v>
      </c>
      <c r="R5" s="2" t="s">
        <v>17</v>
      </c>
      <c r="S5">
        <v>-4.19E-2</v>
      </c>
      <c r="V5">
        <v>-5.9</v>
      </c>
      <c r="W5">
        <f t="shared" ref="W5:W68" si="9">V5*$S$5+$S$4</f>
        <v>-0.26478999999999997</v>
      </c>
      <c r="Y5">
        <v>0.01</v>
      </c>
      <c r="Z5">
        <f t="shared" ref="Z5:Z31" si="10">$AB$4*Y5+$AB$3</f>
        <v>-0.25431960000000003</v>
      </c>
    </row>
    <row r="6" spans="1:29" x14ac:dyDescent="0.3">
      <c r="A6">
        <v>7.7526250000000005E-2</v>
      </c>
      <c r="B6">
        <v>0.81889999999999996</v>
      </c>
      <c r="C6">
        <f t="shared" si="1"/>
        <v>6.3486246125000007E-2</v>
      </c>
      <c r="D6">
        <v>2.01E-2</v>
      </c>
      <c r="E6">
        <v>3.8158201924077539E-3</v>
      </c>
      <c r="F6">
        <f t="shared" si="2"/>
        <v>15.50525</v>
      </c>
      <c r="G6">
        <f t="shared" si="3"/>
        <v>-0.81889999999999996</v>
      </c>
      <c r="H6">
        <f t="shared" si="4"/>
        <v>-12.697249225000002</v>
      </c>
      <c r="I6">
        <v>1</v>
      </c>
      <c r="J6">
        <f t="shared" si="5"/>
        <v>-4.1665766027286901</v>
      </c>
      <c r="K6">
        <f t="shared" si="6"/>
        <v>-0.36101057297601202</v>
      </c>
      <c r="L6">
        <v>1</v>
      </c>
      <c r="M6">
        <f t="shared" si="7"/>
        <v>0.33742044034566787</v>
      </c>
      <c r="N6">
        <f t="shared" si="8"/>
        <v>1.5582776250000002E-3</v>
      </c>
      <c r="O6">
        <f t="shared" ref="O6:O69" si="11">E6*A6</f>
        <v>2.9582623019165167E-4</v>
      </c>
      <c r="P6">
        <f t="shared" ref="P6:P69" si="12">-K6-M6-N6-O6</f>
        <v>2.1736028775152499E-2</v>
      </c>
      <c r="V6">
        <v>-5.8</v>
      </c>
      <c r="W6">
        <f t="shared" si="9"/>
        <v>-0.26898</v>
      </c>
      <c r="Y6">
        <v>0.02</v>
      </c>
      <c r="Z6">
        <f t="shared" si="10"/>
        <v>-0.16974920000000004</v>
      </c>
      <c r="AB6" t="s">
        <v>32</v>
      </c>
    </row>
    <row r="7" spans="1:29" x14ac:dyDescent="0.3">
      <c r="A7">
        <v>0.11003729999999999</v>
      </c>
      <c r="B7">
        <v>0.80084999999999995</v>
      </c>
      <c r="C7">
        <f t="shared" si="1"/>
        <v>8.8123371704999981E-2</v>
      </c>
      <c r="D7">
        <v>2.01E-2</v>
      </c>
      <c r="E7">
        <v>3.8158201924077539E-3</v>
      </c>
      <c r="F7">
        <f t="shared" si="2"/>
        <v>22.007459999999998</v>
      </c>
      <c r="G7">
        <f t="shared" si="3"/>
        <v>-0.80084999999999995</v>
      </c>
      <c r="H7">
        <f t="shared" si="4"/>
        <v>-17.624674340999995</v>
      </c>
      <c r="I7">
        <v>1</v>
      </c>
      <c r="J7">
        <f t="shared" si="5"/>
        <v>-3.8163737921930596</v>
      </c>
      <c r="K7">
        <f t="shared" si="6"/>
        <v>-0.37906057297601203</v>
      </c>
      <c r="L7">
        <v>1</v>
      </c>
      <c r="M7">
        <f t="shared" si="7"/>
        <v>0.35209393810711082</v>
      </c>
      <c r="N7">
        <f t="shared" ref="N7:N70" si="13">D7*A7</f>
        <v>2.21174973E-3</v>
      </c>
      <c r="O7">
        <f t="shared" si="11"/>
        <v>4.1988255125802973E-4</v>
      </c>
      <c r="P7">
        <f t="shared" si="12"/>
        <v>2.4335002587643189E-2</v>
      </c>
      <c r="V7">
        <v>-5.7</v>
      </c>
      <c r="W7">
        <f t="shared" si="9"/>
        <v>-0.27317000000000002</v>
      </c>
      <c r="Y7">
        <v>0.03</v>
      </c>
      <c r="Z7">
        <f t="shared" si="10"/>
        <v>-8.5178800000000054E-2</v>
      </c>
      <c r="AB7" t="s">
        <v>33</v>
      </c>
      <c r="AC7">
        <f>-AB3/AB4</f>
        <v>4.0071940064135919E-2</v>
      </c>
    </row>
    <row r="8" spans="1:29" x14ac:dyDescent="0.3">
      <c r="A8">
        <v>0.14254829999999999</v>
      </c>
      <c r="B8">
        <v>0.79039999999999999</v>
      </c>
      <c r="C8">
        <f t="shared" si="1"/>
        <v>0.11267017632</v>
      </c>
      <c r="D8">
        <v>2.01E-2</v>
      </c>
      <c r="E8">
        <v>3.8158201924077539E-3</v>
      </c>
      <c r="F8">
        <f t="shared" si="2"/>
        <v>28.509659999999997</v>
      </c>
      <c r="G8">
        <f t="shared" si="3"/>
        <v>-0.79039999999999999</v>
      </c>
      <c r="H8">
        <f t="shared" si="4"/>
        <v>-22.534035264</v>
      </c>
      <c r="I8">
        <v>1</v>
      </c>
      <c r="J8">
        <f t="shared" si="5"/>
        <v>-3.557512301768794</v>
      </c>
      <c r="K8">
        <f t="shared" si="6"/>
        <v>-0.38951057297601199</v>
      </c>
      <c r="L8">
        <v>1</v>
      </c>
      <c r="M8">
        <f t="shared" si="7"/>
        <v>0.36294023455588753</v>
      </c>
      <c r="N8">
        <f t="shared" si="13"/>
        <v>2.8652208299999996E-3</v>
      </c>
      <c r="O8">
        <f t="shared" si="11"/>
        <v>5.4393868153339818E-4</v>
      </c>
      <c r="P8">
        <f t="shared" si="12"/>
        <v>2.3161178908591061E-2</v>
      </c>
      <c r="V8">
        <v>-5.6</v>
      </c>
      <c r="W8">
        <f t="shared" si="9"/>
        <v>-0.27736000000000005</v>
      </c>
      <c r="Y8">
        <v>0.04</v>
      </c>
      <c r="Z8">
        <f t="shared" si="10"/>
        <v>-6.0840000000006444E-4</v>
      </c>
    </row>
    <row r="9" spans="1:29" x14ac:dyDescent="0.3">
      <c r="A9">
        <v>0.1750593</v>
      </c>
      <c r="B9">
        <v>0.78090000000000004</v>
      </c>
      <c r="C9">
        <f t="shared" si="1"/>
        <v>0.13670380737000001</v>
      </c>
      <c r="D9">
        <v>2.01E-2</v>
      </c>
      <c r="E9">
        <v>3.8158201924077539E-3</v>
      </c>
      <c r="F9">
        <f t="shared" si="2"/>
        <v>35.011859999999999</v>
      </c>
      <c r="G9">
        <f t="shared" si="3"/>
        <v>-0.78090000000000004</v>
      </c>
      <c r="H9">
        <f t="shared" si="4"/>
        <v>-27.340761474000004</v>
      </c>
      <c r="I9">
        <v>1</v>
      </c>
      <c r="J9">
        <f t="shared" si="5"/>
        <v>-3.3520684177489817</v>
      </c>
      <c r="K9">
        <f t="shared" si="6"/>
        <v>-0.39901057297601195</v>
      </c>
      <c r="L9">
        <v>1</v>
      </c>
      <c r="M9">
        <f t="shared" si="7"/>
        <v>0.37154833329631765</v>
      </c>
      <c r="N9">
        <f t="shared" si="13"/>
        <v>3.5186919300000002E-3</v>
      </c>
      <c r="O9">
        <f t="shared" si="11"/>
        <v>6.6799481180876668E-4</v>
      </c>
      <c r="P9">
        <f t="shared" si="12"/>
        <v>2.3275552937885531E-2</v>
      </c>
      <c r="V9">
        <v>-5.5</v>
      </c>
      <c r="W9">
        <f t="shared" si="9"/>
        <v>-0.28155000000000002</v>
      </c>
      <c r="Y9">
        <v>0.05</v>
      </c>
      <c r="Z9">
        <f t="shared" si="10"/>
        <v>8.3961999999999981E-2</v>
      </c>
      <c r="AB9" t="s">
        <v>35</v>
      </c>
      <c r="AC9">
        <v>3.8800000000000001E-2</v>
      </c>
    </row>
    <row r="10" spans="1:29" x14ac:dyDescent="0.3">
      <c r="A10">
        <v>0.20694514999999999</v>
      </c>
      <c r="B10">
        <v>0.77329999999999999</v>
      </c>
      <c r="C10">
        <f t="shared" si="1"/>
        <v>0.16003068449499999</v>
      </c>
      <c r="D10">
        <v>2.01E-2</v>
      </c>
      <c r="E10">
        <v>3.8158201924077539E-3</v>
      </c>
      <c r="F10">
        <f t="shared" si="2"/>
        <v>41.389029999999998</v>
      </c>
      <c r="G10">
        <f t="shared" si="3"/>
        <v>-0.77329999999999999</v>
      </c>
      <c r="H10">
        <f t="shared" si="4"/>
        <v>-32.006136898999998</v>
      </c>
      <c r="I10">
        <v>1</v>
      </c>
      <c r="J10">
        <f t="shared" si="5"/>
        <v>-3.1847394091085812</v>
      </c>
      <c r="K10">
        <f t="shared" si="6"/>
        <v>-0.406610572976012</v>
      </c>
      <c r="L10">
        <v>1</v>
      </c>
      <c r="M10">
        <f t="shared" si="7"/>
        <v>0.37855941875835042</v>
      </c>
      <c r="N10">
        <f t="shared" si="13"/>
        <v>4.1595975150000002E-3</v>
      </c>
      <c r="O10">
        <f t="shared" si="11"/>
        <v>7.8966548209085145E-4</v>
      </c>
      <c r="P10">
        <f t="shared" si="12"/>
        <v>2.3101891220570724E-2</v>
      </c>
      <c r="V10">
        <v>-5.4</v>
      </c>
      <c r="W10">
        <f t="shared" si="9"/>
        <v>-0.28573999999999999</v>
      </c>
      <c r="Y10">
        <v>0.06</v>
      </c>
      <c r="Z10">
        <f t="shared" si="10"/>
        <v>0.16853239999999992</v>
      </c>
    </row>
    <row r="11" spans="1:29" x14ac:dyDescent="0.3">
      <c r="A11">
        <v>0.23883095000000001</v>
      </c>
      <c r="B11">
        <v>0.76759999999999995</v>
      </c>
      <c r="C11">
        <f t="shared" si="1"/>
        <v>0.18332663722</v>
      </c>
      <c r="D11">
        <v>2.01E-2</v>
      </c>
      <c r="E11">
        <v>3.8158201924077539E-3</v>
      </c>
      <c r="F11">
        <f t="shared" si="2"/>
        <v>47.766190000000002</v>
      </c>
      <c r="G11">
        <f t="shared" si="3"/>
        <v>-0.76759999999999995</v>
      </c>
      <c r="H11">
        <f t="shared" si="4"/>
        <v>-36.665327443999999</v>
      </c>
      <c r="I11">
        <v>1</v>
      </c>
      <c r="J11">
        <f t="shared" si="5"/>
        <v>-3.0414372119308104</v>
      </c>
      <c r="K11">
        <f t="shared" si="6"/>
        <v>-0.41231057297601204</v>
      </c>
      <c r="L11">
        <v>1</v>
      </c>
      <c r="M11">
        <f t="shared" si="7"/>
        <v>0.38456378082009907</v>
      </c>
      <c r="N11">
        <f t="shared" si="13"/>
        <v>4.8005020949999999E-3</v>
      </c>
      <c r="O11">
        <f t="shared" si="11"/>
        <v>9.113359615819267E-4</v>
      </c>
      <c r="P11">
        <f t="shared" si="12"/>
        <v>2.2034954099331042E-2</v>
      </c>
      <c r="V11">
        <v>-5.3</v>
      </c>
      <c r="W11">
        <f t="shared" si="9"/>
        <v>-0.28993000000000002</v>
      </c>
      <c r="Y11">
        <v>7.0000000000000007E-2</v>
      </c>
      <c r="Z11">
        <f t="shared" si="10"/>
        <v>0.25310279999999996</v>
      </c>
      <c r="AB11" t="s">
        <v>34</v>
      </c>
      <c r="AC11">
        <f>AC7-AC9</f>
        <v>1.271940064135918E-3</v>
      </c>
    </row>
    <row r="12" spans="1:29" x14ac:dyDescent="0.3">
      <c r="A12">
        <v>0.27071675000000001</v>
      </c>
      <c r="B12">
        <v>0.76190000000000002</v>
      </c>
      <c r="C12">
        <f t="shared" si="1"/>
        <v>0.20625909182500002</v>
      </c>
      <c r="D12">
        <v>2.01E-2</v>
      </c>
      <c r="E12">
        <v>3.8158201924077539E-3</v>
      </c>
      <c r="F12">
        <f t="shared" si="2"/>
        <v>54.143349999999998</v>
      </c>
      <c r="G12">
        <f t="shared" si="3"/>
        <v>-0.76190000000000002</v>
      </c>
      <c r="H12">
        <f t="shared" si="4"/>
        <v>-41.251818365000005</v>
      </c>
      <c r="I12">
        <v>1</v>
      </c>
      <c r="J12">
        <f t="shared" si="5"/>
        <v>-2.9161201200940807</v>
      </c>
      <c r="K12">
        <f t="shared" si="6"/>
        <v>-0.41801057297601196</v>
      </c>
      <c r="L12">
        <v>1</v>
      </c>
      <c r="M12">
        <f t="shared" si="7"/>
        <v>0.38981456696805805</v>
      </c>
      <c r="N12">
        <f t="shared" si="13"/>
        <v>5.4414066749999997E-3</v>
      </c>
      <c r="O12">
        <f t="shared" si="11"/>
        <v>1.0330064410730018E-3</v>
      </c>
      <c r="P12">
        <f t="shared" si="12"/>
        <v>2.1721592891880911E-2</v>
      </c>
      <c r="V12">
        <v>-5.2</v>
      </c>
      <c r="W12">
        <f t="shared" si="9"/>
        <v>-0.29411999999999999</v>
      </c>
      <c r="Y12">
        <v>0.08</v>
      </c>
      <c r="Z12">
        <f t="shared" si="10"/>
        <v>0.3376731999999999</v>
      </c>
      <c r="AC12">
        <f>AC11*3</f>
        <v>3.8158201924077539E-3</v>
      </c>
    </row>
    <row r="13" spans="1:29" x14ac:dyDescent="0.3">
      <c r="A13">
        <v>0.30197735000000003</v>
      </c>
      <c r="B13">
        <v>0.75714999999999999</v>
      </c>
      <c r="C13">
        <f t="shared" si="1"/>
        <v>0.22864215055250003</v>
      </c>
      <c r="D13">
        <v>2.01E-2</v>
      </c>
      <c r="E13">
        <v>3.8158201924077539E-3</v>
      </c>
      <c r="F13">
        <f t="shared" si="2"/>
        <v>60.395470000000003</v>
      </c>
      <c r="G13">
        <f t="shared" si="3"/>
        <v>-0.75714999999999999</v>
      </c>
      <c r="H13">
        <f t="shared" si="4"/>
        <v>-45.728430110500007</v>
      </c>
      <c r="I13">
        <v>1</v>
      </c>
      <c r="J13">
        <f t="shared" si="5"/>
        <v>-2.8068411768540082</v>
      </c>
      <c r="K13">
        <f t="shared" si="6"/>
        <v>-0.42276057297601199</v>
      </c>
      <c r="L13">
        <v>1</v>
      </c>
      <c r="M13">
        <f t="shared" si="7"/>
        <v>0.39439335468981707</v>
      </c>
      <c r="N13">
        <f t="shared" si="13"/>
        <v>6.0697447350000003E-3</v>
      </c>
      <c r="O13">
        <f t="shared" si="11"/>
        <v>1.1522912697797837E-3</v>
      </c>
      <c r="P13">
        <f t="shared" si="12"/>
        <v>2.1145182281415143E-2</v>
      </c>
      <c r="V13">
        <v>-5.0999999999999996</v>
      </c>
      <c r="W13">
        <f t="shared" si="9"/>
        <v>-0.29831000000000002</v>
      </c>
      <c r="Y13">
        <v>0.09</v>
      </c>
      <c r="Z13">
        <f t="shared" si="10"/>
        <v>0.42224359999999983</v>
      </c>
    </row>
    <row r="14" spans="1:29" x14ac:dyDescent="0.3">
      <c r="A14">
        <v>0.33386315000000005</v>
      </c>
      <c r="B14">
        <v>0.75239999999999996</v>
      </c>
      <c r="C14">
        <f t="shared" si="1"/>
        <v>0.25119863406000004</v>
      </c>
      <c r="D14">
        <v>2.01E-2</v>
      </c>
      <c r="E14">
        <v>3.8158201924077539E-3</v>
      </c>
      <c r="F14">
        <f t="shared" si="2"/>
        <v>66.772630000000007</v>
      </c>
      <c r="G14">
        <f t="shared" si="3"/>
        <v>-0.75239999999999996</v>
      </c>
      <c r="H14">
        <f t="shared" si="4"/>
        <v>-50.239726812000008</v>
      </c>
      <c r="I14">
        <v>1</v>
      </c>
      <c r="J14">
        <f t="shared" si="5"/>
        <v>-2.7064620129409516</v>
      </c>
      <c r="K14">
        <f t="shared" si="6"/>
        <v>-0.42751057297601203</v>
      </c>
      <c r="L14">
        <v>1</v>
      </c>
      <c r="M14">
        <f t="shared" si="7"/>
        <v>0.39859924165777416</v>
      </c>
      <c r="N14">
        <f t="shared" si="13"/>
        <v>6.7106493150000009E-3</v>
      </c>
      <c r="O14">
        <f t="shared" si="11"/>
        <v>1.273961749270859E-3</v>
      </c>
      <c r="P14">
        <f t="shared" si="12"/>
        <v>2.0926720253967006E-2</v>
      </c>
      <c r="V14">
        <v>-5</v>
      </c>
      <c r="W14">
        <f t="shared" si="9"/>
        <v>-0.30249999999999999</v>
      </c>
      <c r="Y14">
        <v>0.1</v>
      </c>
      <c r="Z14">
        <f t="shared" si="10"/>
        <v>0.50681399999999999</v>
      </c>
    </row>
    <row r="15" spans="1:29" x14ac:dyDescent="0.3">
      <c r="A15">
        <v>0.36512374999999997</v>
      </c>
      <c r="B15">
        <v>0.74765000000000004</v>
      </c>
      <c r="C15">
        <f t="shared" si="1"/>
        <v>0.27298477168750002</v>
      </c>
      <c r="D15">
        <v>2.01E-2</v>
      </c>
      <c r="E15">
        <v>3.8158201924077539E-3</v>
      </c>
      <c r="F15">
        <f t="shared" si="2"/>
        <v>73.024749999999997</v>
      </c>
      <c r="G15">
        <f t="shared" si="3"/>
        <v>-0.74765000000000004</v>
      </c>
      <c r="H15">
        <f t="shared" si="4"/>
        <v>-54.596954337500001</v>
      </c>
      <c r="I15">
        <v>1</v>
      </c>
      <c r="J15">
        <f t="shared" si="5"/>
        <v>-2.6169568541993002</v>
      </c>
      <c r="K15">
        <f t="shared" si="6"/>
        <v>-0.43226057297601195</v>
      </c>
      <c r="L15">
        <v>1</v>
      </c>
      <c r="M15">
        <f t="shared" si="7"/>
        <v>0.40234950780904932</v>
      </c>
      <c r="N15">
        <f t="shared" si="13"/>
        <v>7.3389873749999997E-3</v>
      </c>
      <c r="O15">
        <f t="shared" si="11"/>
        <v>1.3932465779776405E-3</v>
      </c>
      <c r="P15">
        <f t="shared" si="12"/>
        <v>2.1178831213984985E-2</v>
      </c>
      <c r="V15">
        <v>-4.9000000000000004</v>
      </c>
      <c r="W15">
        <f t="shared" si="9"/>
        <v>-0.30669000000000002</v>
      </c>
      <c r="Y15">
        <v>0.11</v>
      </c>
      <c r="Z15">
        <f t="shared" si="10"/>
        <v>0.59138439999999992</v>
      </c>
    </row>
    <row r="16" spans="1:29" x14ac:dyDescent="0.3">
      <c r="A16">
        <v>0.39700954999999999</v>
      </c>
      <c r="B16">
        <v>0.74385000000000001</v>
      </c>
      <c r="C16">
        <f t="shared" si="1"/>
        <v>0.29531555376750002</v>
      </c>
      <c r="D16">
        <v>2.01E-2</v>
      </c>
      <c r="E16">
        <v>3.8158201924077539E-3</v>
      </c>
      <c r="F16">
        <f t="shared" si="2"/>
        <v>79.401910000000001</v>
      </c>
      <c r="G16">
        <f t="shared" si="3"/>
        <v>-0.74385000000000001</v>
      </c>
      <c r="H16">
        <f t="shared" si="4"/>
        <v>-59.063110753500006</v>
      </c>
      <c r="I16">
        <v>1</v>
      </c>
      <c r="J16">
        <f t="shared" si="5"/>
        <v>-2.5332328556027566</v>
      </c>
      <c r="K16">
        <f t="shared" si="6"/>
        <v>-0.43606057297601197</v>
      </c>
      <c r="L16">
        <v>1</v>
      </c>
      <c r="M16">
        <f t="shared" si="7"/>
        <v>0.40585754335024449</v>
      </c>
      <c r="N16">
        <f t="shared" si="13"/>
        <v>7.9798919550000003E-3</v>
      </c>
      <c r="O16">
        <f t="shared" si="11"/>
        <v>1.5149170574687157E-3</v>
      </c>
      <c r="P16">
        <f t="shared" si="12"/>
        <v>2.0708220613298772E-2</v>
      </c>
      <c r="V16">
        <v>-4.8</v>
      </c>
      <c r="W16">
        <f t="shared" si="9"/>
        <v>-0.31088000000000005</v>
      </c>
      <c r="Y16">
        <v>0.12</v>
      </c>
      <c r="Z16">
        <f t="shared" si="10"/>
        <v>0.67595479999999986</v>
      </c>
    </row>
    <row r="17" spans="1:26" x14ac:dyDescent="0.3">
      <c r="A17">
        <v>0.42827015000000002</v>
      </c>
      <c r="B17">
        <v>0.74004999999999999</v>
      </c>
      <c r="C17">
        <f t="shared" si="1"/>
        <v>0.31694132450750001</v>
      </c>
      <c r="D17">
        <v>2.01E-2</v>
      </c>
      <c r="E17">
        <v>3.8158201924077539E-3</v>
      </c>
      <c r="F17">
        <f t="shared" si="2"/>
        <v>85.654030000000006</v>
      </c>
      <c r="G17">
        <f t="shared" si="3"/>
        <v>-0.74004999999999999</v>
      </c>
      <c r="H17">
        <f t="shared" si="4"/>
        <v>-63.388264901500001</v>
      </c>
      <c r="I17">
        <v>1</v>
      </c>
      <c r="J17">
        <f t="shared" si="5"/>
        <v>-2.4574390033632834</v>
      </c>
      <c r="K17">
        <f t="shared" si="6"/>
        <v>-0.439860572976012</v>
      </c>
      <c r="L17">
        <v>1</v>
      </c>
      <c r="M17">
        <f t="shared" si="7"/>
        <v>0.40903330575907842</v>
      </c>
      <c r="N17">
        <f t="shared" si="13"/>
        <v>8.6082300150000009E-3</v>
      </c>
      <c r="O17">
        <f t="shared" si="11"/>
        <v>1.6342018861754976E-3</v>
      </c>
      <c r="P17">
        <f t="shared" si="12"/>
        <v>2.0584835315758075E-2</v>
      </c>
      <c r="V17">
        <v>-4.7</v>
      </c>
      <c r="W17">
        <f t="shared" si="9"/>
        <v>-0.31507000000000002</v>
      </c>
      <c r="Y17">
        <v>0.13</v>
      </c>
      <c r="Z17">
        <f t="shared" si="10"/>
        <v>0.7605251999999999</v>
      </c>
    </row>
    <row r="18" spans="1:26" x14ac:dyDescent="0.3">
      <c r="A18">
        <v>0.46078114999999997</v>
      </c>
      <c r="B18">
        <v>0.73624999999999996</v>
      </c>
      <c r="C18">
        <f t="shared" si="1"/>
        <v>0.33925012168749996</v>
      </c>
      <c r="D18">
        <v>2.01E-2</v>
      </c>
      <c r="E18">
        <v>3.8158201924077539E-3</v>
      </c>
      <c r="F18">
        <f t="shared" si="2"/>
        <v>92.156229999999994</v>
      </c>
      <c r="G18">
        <f t="shared" si="3"/>
        <v>-0.73624999999999996</v>
      </c>
      <c r="H18">
        <f t="shared" si="4"/>
        <v>-67.850024337499988</v>
      </c>
      <c r="I18">
        <v>1</v>
      </c>
      <c r="J18">
        <f t="shared" si="5"/>
        <v>-2.3842699899893307</v>
      </c>
      <c r="K18">
        <f t="shared" si="6"/>
        <v>-0.44366057297601202</v>
      </c>
      <c r="L18">
        <v>1</v>
      </c>
      <c r="M18">
        <f t="shared" si="7"/>
        <v>0.41209908741944706</v>
      </c>
      <c r="N18">
        <f t="shared" si="13"/>
        <v>9.2617011149999998E-3</v>
      </c>
      <c r="O18">
        <f t="shared" si="11"/>
        <v>1.758258016450866E-3</v>
      </c>
      <c r="P18">
        <f t="shared" si="12"/>
        <v>2.0541526425114094E-2</v>
      </c>
      <c r="V18">
        <v>-4.5999999999999996</v>
      </c>
      <c r="W18">
        <f t="shared" si="9"/>
        <v>-0.31925999999999999</v>
      </c>
      <c r="Y18">
        <v>0.14000000000000001</v>
      </c>
      <c r="Z18">
        <f t="shared" si="10"/>
        <v>0.84509559999999995</v>
      </c>
    </row>
    <row r="19" spans="1:26" x14ac:dyDescent="0.3">
      <c r="A19">
        <v>0.49329214999999998</v>
      </c>
      <c r="B19">
        <v>0.73245000000000005</v>
      </c>
      <c r="C19">
        <f t="shared" si="1"/>
        <v>0.36131183526749999</v>
      </c>
      <c r="D19">
        <v>2.01E-2</v>
      </c>
      <c r="E19">
        <v>3.8158201924077539E-3</v>
      </c>
      <c r="F19">
        <f t="shared" si="2"/>
        <v>98.658429999999996</v>
      </c>
      <c r="G19">
        <f t="shared" si="3"/>
        <v>-0.73245000000000005</v>
      </c>
      <c r="H19">
        <f t="shared" si="4"/>
        <v>-72.2623670535</v>
      </c>
      <c r="I19">
        <v>1</v>
      </c>
      <c r="J19">
        <f t="shared" si="5"/>
        <v>-2.3160915965405429</v>
      </c>
      <c r="K19">
        <f t="shared" si="6"/>
        <v>-0.44746057297601194</v>
      </c>
      <c r="L19">
        <v>1</v>
      </c>
      <c r="M19">
        <f t="shared" si="7"/>
        <v>0.41495576210495128</v>
      </c>
      <c r="N19">
        <f t="shared" si="13"/>
        <v>9.9151722150000003E-3</v>
      </c>
      <c r="O19">
        <f t="shared" si="11"/>
        <v>1.8823141467262346E-3</v>
      </c>
      <c r="P19">
        <f t="shared" si="12"/>
        <v>2.0707324509334428E-2</v>
      </c>
      <c r="V19">
        <v>-4.5000000000000098</v>
      </c>
      <c r="W19">
        <f t="shared" si="9"/>
        <v>-0.32344999999999957</v>
      </c>
      <c r="Y19">
        <v>0.15</v>
      </c>
      <c r="Z19">
        <f t="shared" si="10"/>
        <v>0.92966599999999977</v>
      </c>
    </row>
    <row r="20" spans="1:26" x14ac:dyDescent="0.3">
      <c r="A20">
        <v>0.52517795</v>
      </c>
      <c r="B20">
        <v>0.72865000000000002</v>
      </c>
      <c r="C20">
        <f t="shared" si="1"/>
        <v>0.38267091326750002</v>
      </c>
      <c r="D20">
        <v>2.01E-2</v>
      </c>
      <c r="E20">
        <v>3.8158201924077539E-3</v>
      </c>
      <c r="F20">
        <f t="shared" si="2"/>
        <v>105.03559</v>
      </c>
      <c r="G20">
        <f t="shared" si="3"/>
        <v>-0.72865000000000002</v>
      </c>
      <c r="H20">
        <f t="shared" si="4"/>
        <v>-76.534182653500011</v>
      </c>
      <c r="I20">
        <v>1</v>
      </c>
      <c r="J20">
        <f t="shared" si="5"/>
        <v>-2.2534560338750422</v>
      </c>
      <c r="K20">
        <f t="shared" si="6"/>
        <v>-0.45126057297601196</v>
      </c>
      <c r="L20">
        <v>1</v>
      </c>
      <c r="M20">
        <f t="shared" si="7"/>
        <v>0.41758019218063575</v>
      </c>
      <c r="N20">
        <f t="shared" si="13"/>
        <v>1.0556076794999999E-2</v>
      </c>
      <c r="O20">
        <f t="shared" si="11"/>
        <v>2.0039846262173097E-3</v>
      </c>
      <c r="P20">
        <f t="shared" si="12"/>
        <v>2.1120319374158907E-2</v>
      </c>
      <c r="V20">
        <v>-4.4000000000000101</v>
      </c>
      <c r="W20">
        <f t="shared" si="9"/>
        <v>-0.3276399999999996</v>
      </c>
      <c r="Y20">
        <v>0.16</v>
      </c>
      <c r="Z20">
        <f t="shared" si="10"/>
        <v>1.0142363999999997</v>
      </c>
    </row>
    <row r="21" spans="1:26" x14ac:dyDescent="0.3">
      <c r="A21">
        <v>0.55831419999999998</v>
      </c>
      <c r="B21">
        <v>0.72484999999999999</v>
      </c>
      <c r="C21">
        <f t="shared" si="1"/>
        <v>0.40469404786999996</v>
      </c>
      <c r="D21">
        <v>2.01E-2</v>
      </c>
      <c r="E21">
        <v>3.8158201924077539E-3</v>
      </c>
      <c r="F21">
        <f t="shared" si="2"/>
        <v>111.66284</v>
      </c>
      <c r="G21">
        <f t="shared" si="3"/>
        <v>-0.72484999999999999</v>
      </c>
      <c r="H21">
        <f t="shared" si="4"/>
        <v>-80.93880957399999</v>
      </c>
      <c r="I21">
        <v>1</v>
      </c>
      <c r="J21">
        <f t="shared" si="5"/>
        <v>-2.1922713050690805</v>
      </c>
      <c r="K21">
        <f t="shared" si="6"/>
        <v>-0.45506057297601199</v>
      </c>
      <c r="L21">
        <v>1</v>
      </c>
      <c r="M21">
        <f t="shared" si="7"/>
        <v>0.42014383231760555</v>
      </c>
      <c r="N21">
        <f t="shared" si="13"/>
        <v>1.122211542E-2</v>
      </c>
      <c r="O21">
        <f t="shared" si="11"/>
        <v>2.1304265980679814E-3</v>
      </c>
      <c r="P21">
        <f t="shared" si="12"/>
        <v>2.1564198640338463E-2</v>
      </c>
      <c r="V21">
        <v>-4.3000000000000096</v>
      </c>
      <c r="W21">
        <f t="shared" si="9"/>
        <v>-0.33182999999999963</v>
      </c>
      <c r="Y21">
        <v>0.17</v>
      </c>
      <c r="Z21">
        <f t="shared" si="10"/>
        <v>1.0988067999999998</v>
      </c>
    </row>
    <row r="22" spans="1:26" x14ac:dyDescent="0.3">
      <c r="A22">
        <v>0.58957479999999995</v>
      </c>
      <c r="B22">
        <v>0.72199999999999998</v>
      </c>
      <c r="C22">
        <f t="shared" si="1"/>
        <v>0.42567300559999993</v>
      </c>
      <c r="D22">
        <v>2.01E-2</v>
      </c>
      <c r="E22">
        <v>3.8158201924077539E-3</v>
      </c>
      <c r="F22">
        <f t="shared" si="2"/>
        <v>117.91495999999999</v>
      </c>
      <c r="G22">
        <f t="shared" si="3"/>
        <v>-0.72199999999999998</v>
      </c>
      <c r="H22">
        <f t="shared" si="4"/>
        <v>-85.134601119999985</v>
      </c>
      <c r="I22">
        <v>1</v>
      </c>
      <c r="J22">
        <f t="shared" si="5"/>
        <v>-2.1377915922957746</v>
      </c>
      <c r="K22">
        <f t="shared" si="6"/>
        <v>-0.45791057297601201</v>
      </c>
      <c r="L22">
        <v>1</v>
      </c>
      <c r="M22">
        <f t="shared" si="7"/>
        <v>0.42242653228280702</v>
      </c>
      <c r="N22">
        <f t="shared" si="13"/>
        <v>1.1850453479999998E-2</v>
      </c>
      <c r="O22">
        <f t="shared" si="11"/>
        <v>2.2497114267747628E-3</v>
      </c>
      <c r="P22">
        <f t="shared" si="12"/>
        <v>2.1383875786430227E-2</v>
      </c>
      <c r="V22">
        <v>-4.2000000000000099</v>
      </c>
      <c r="W22">
        <f t="shared" si="9"/>
        <v>-0.3360199999999996</v>
      </c>
      <c r="Y22">
        <v>0.18</v>
      </c>
      <c r="Z22">
        <f t="shared" si="10"/>
        <v>1.1833771999999998</v>
      </c>
    </row>
    <row r="23" spans="1:26" x14ac:dyDescent="0.3">
      <c r="A23">
        <v>0.62146060000000003</v>
      </c>
      <c r="B23">
        <v>0.71819999999999995</v>
      </c>
      <c r="C23">
        <f t="shared" si="1"/>
        <v>0.44633300292</v>
      </c>
      <c r="D23">
        <v>2.01E-2</v>
      </c>
      <c r="E23">
        <v>3.8158201924077539E-3</v>
      </c>
      <c r="F23">
        <f t="shared" si="2"/>
        <v>124.29212000000001</v>
      </c>
      <c r="G23">
        <f t="shared" si="3"/>
        <v>-0.71819999999999995</v>
      </c>
      <c r="H23">
        <f t="shared" si="4"/>
        <v>-89.266600584000003</v>
      </c>
      <c r="I23">
        <v>1</v>
      </c>
      <c r="J23">
        <f t="shared" si="5"/>
        <v>-2.0851206774870881</v>
      </c>
      <c r="K23">
        <f t="shared" si="6"/>
        <v>-0.46171057297601203</v>
      </c>
      <c r="L23">
        <v>1</v>
      </c>
      <c r="M23">
        <f t="shared" si="7"/>
        <v>0.42463344361329103</v>
      </c>
      <c r="N23">
        <f t="shared" si="13"/>
        <v>1.2491358060000001E-2</v>
      </c>
      <c r="O23">
        <f t="shared" si="11"/>
        <v>2.3713819062658385E-3</v>
      </c>
      <c r="P23">
        <f t="shared" si="12"/>
        <v>2.2214389396455168E-2</v>
      </c>
      <c r="V23">
        <v>-4.1000000000000103</v>
      </c>
      <c r="W23">
        <f t="shared" si="9"/>
        <v>-0.34020999999999957</v>
      </c>
      <c r="Y23">
        <v>0.19</v>
      </c>
      <c r="Z23">
        <f t="shared" si="10"/>
        <v>1.2679475999999998</v>
      </c>
    </row>
    <row r="24" spans="1:26" x14ac:dyDescent="0.3">
      <c r="A24">
        <v>0.65647244999999999</v>
      </c>
      <c r="B24">
        <v>0.71535000000000004</v>
      </c>
      <c r="C24">
        <f t="shared" si="1"/>
        <v>0.46960756710750001</v>
      </c>
      <c r="D24">
        <v>2.01E-2</v>
      </c>
      <c r="E24">
        <v>3.8158201924077539E-3</v>
      </c>
      <c r="F24">
        <f t="shared" si="2"/>
        <v>131.29449</v>
      </c>
      <c r="G24">
        <f t="shared" si="3"/>
        <v>-0.71535000000000004</v>
      </c>
      <c r="H24">
        <f t="shared" si="4"/>
        <v>-93.921513421500009</v>
      </c>
      <c r="I24">
        <v>1</v>
      </c>
      <c r="J24">
        <f t="shared" si="5"/>
        <v>-2.0303124635196679</v>
      </c>
      <c r="K24">
        <f t="shared" si="6"/>
        <v>-0.46456057297601194</v>
      </c>
      <c r="L24">
        <v>1</v>
      </c>
      <c r="M24">
        <f t="shared" si="7"/>
        <v>0.42692990777852591</v>
      </c>
      <c r="N24">
        <f t="shared" si="13"/>
        <v>1.3195096244999999E-2</v>
      </c>
      <c r="O24">
        <f t="shared" si="11"/>
        <v>2.5049808304693894E-3</v>
      </c>
      <c r="P24">
        <f t="shared" si="12"/>
        <v>2.1930588122016648E-2</v>
      </c>
      <c r="V24">
        <v>-4.0000000000000098</v>
      </c>
      <c r="W24">
        <f t="shared" si="9"/>
        <v>-0.3443999999999996</v>
      </c>
      <c r="Y24">
        <v>0.2</v>
      </c>
      <c r="Z24">
        <f t="shared" si="10"/>
        <v>1.3525179999999999</v>
      </c>
    </row>
    <row r="25" spans="1:26" x14ac:dyDescent="0.3">
      <c r="A25">
        <v>0.68773304999999996</v>
      </c>
      <c r="B25">
        <v>0.71250000000000002</v>
      </c>
      <c r="C25">
        <f t="shared" si="1"/>
        <v>0.49000979812500001</v>
      </c>
      <c r="D25">
        <v>2.01E-2</v>
      </c>
      <c r="E25">
        <v>3.8158201924077539E-3</v>
      </c>
      <c r="F25">
        <f t="shared" si="2"/>
        <v>137.54660999999999</v>
      </c>
      <c r="G25">
        <f t="shared" si="3"/>
        <v>-0.71250000000000002</v>
      </c>
      <c r="H25">
        <f t="shared" si="4"/>
        <v>-98.001959624999998</v>
      </c>
      <c r="I25">
        <v>1</v>
      </c>
      <c r="J25">
        <f t="shared" si="5"/>
        <v>-1.9837924374986853</v>
      </c>
      <c r="K25">
        <f t="shared" si="6"/>
        <v>-0.46741057297601196</v>
      </c>
      <c r="L25">
        <v>1</v>
      </c>
      <c r="M25">
        <f t="shared" si="7"/>
        <v>0.4288790968688051</v>
      </c>
      <c r="N25">
        <f t="shared" si="13"/>
        <v>1.3823434304999998E-2</v>
      </c>
      <c r="O25">
        <f t="shared" si="11"/>
        <v>2.6242656591761713E-3</v>
      </c>
      <c r="P25">
        <f t="shared" si="12"/>
        <v>2.2083776143030691E-2</v>
      </c>
      <c r="V25">
        <v>-3.9000000000000101</v>
      </c>
      <c r="W25">
        <f t="shared" si="9"/>
        <v>-0.34858999999999962</v>
      </c>
      <c r="Y25">
        <v>0.21</v>
      </c>
      <c r="Z25">
        <f t="shared" si="10"/>
        <v>1.4370883999999999</v>
      </c>
    </row>
    <row r="26" spans="1:26" x14ac:dyDescent="0.3">
      <c r="A26">
        <v>0.71899365000000004</v>
      </c>
      <c r="B26">
        <v>0.7087</v>
      </c>
      <c r="C26">
        <f t="shared" si="1"/>
        <v>0.50955079975500006</v>
      </c>
      <c r="D26">
        <v>2.01E-2</v>
      </c>
      <c r="E26">
        <v>3.8158201924077539E-3</v>
      </c>
      <c r="F26">
        <f t="shared" si="2"/>
        <v>143.79873000000001</v>
      </c>
      <c r="G26">
        <f t="shared" si="3"/>
        <v>-0.7087</v>
      </c>
      <c r="H26">
        <f t="shared" si="4"/>
        <v>-101.91015995100001</v>
      </c>
      <c r="I26">
        <v>1</v>
      </c>
      <c r="J26">
        <f t="shared" si="5"/>
        <v>-1.9393406654448997</v>
      </c>
      <c r="K26">
        <f t="shared" si="6"/>
        <v>-0.47121057297601199</v>
      </c>
      <c r="L26">
        <v>1</v>
      </c>
      <c r="M26">
        <f t="shared" si="7"/>
        <v>0.43074162611785871</v>
      </c>
      <c r="N26">
        <f t="shared" si="13"/>
        <v>1.4451772365000001E-2</v>
      </c>
      <c r="O26">
        <f t="shared" si="11"/>
        <v>2.7435504878829536E-3</v>
      </c>
      <c r="P26">
        <f t="shared" si="12"/>
        <v>2.3273624005270322E-2</v>
      </c>
      <c r="V26">
        <v>-3.80000000000001</v>
      </c>
      <c r="W26">
        <f t="shared" si="9"/>
        <v>-0.35277999999999959</v>
      </c>
      <c r="Y26">
        <v>0.22</v>
      </c>
      <c r="Z26">
        <f t="shared" si="10"/>
        <v>1.5216588</v>
      </c>
    </row>
    <row r="27" spans="1:26" x14ac:dyDescent="0.3">
      <c r="A27">
        <v>0.75025425000000001</v>
      </c>
      <c r="B27">
        <v>0.70584999999999998</v>
      </c>
      <c r="C27">
        <f t="shared" si="1"/>
        <v>0.5295669623625</v>
      </c>
      <c r="D27">
        <v>2.01E-2</v>
      </c>
      <c r="E27">
        <v>3.8158201924077539E-3</v>
      </c>
      <c r="F27">
        <f t="shared" si="2"/>
        <v>150.05085</v>
      </c>
      <c r="G27">
        <f t="shared" si="3"/>
        <v>-0.70584999999999998</v>
      </c>
      <c r="H27">
        <f t="shared" si="4"/>
        <v>-105.91339247250001</v>
      </c>
      <c r="I27">
        <v>1</v>
      </c>
      <c r="J27">
        <f t="shared" si="5"/>
        <v>-1.8967810423333986</v>
      </c>
      <c r="K27">
        <f t="shared" si="6"/>
        <v>-0.47406057297601201</v>
      </c>
      <c r="L27">
        <v>1</v>
      </c>
      <c r="M27">
        <f t="shared" si="7"/>
        <v>0.4325248743262306</v>
      </c>
      <c r="N27">
        <f t="shared" si="13"/>
        <v>1.5080110424999999E-2</v>
      </c>
      <c r="O27">
        <f t="shared" si="11"/>
        <v>2.8628353165897351E-3</v>
      </c>
      <c r="P27">
        <f t="shared" si="12"/>
        <v>2.3592752908191669E-2</v>
      </c>
      <c r="V27">
        <v>-3.7000000000000099</v>
      </c>
      <c r="W27">
        <f t="shared" si="9"/>
        <v>-0.35696999999999957</v>
      </c>
      <c r="Y27">
        <v>0.23</v>
      </c>
      <c r="Z27">
        <f t="shared" si="10"/>
        <v>1.6062292</v>
      </c>
    </row>
    <row r="28" spans="1:26" x14ac:dyDescent="0.3">
      <c r="A28">
        <v>0.78151484999999998</v>
      </c>
      <c r="B28">
        <v>0.70299999999999996</v>
      </c>
      <c r="C28">
        <f t="shared" si="1"/>
        <v>0.54940493954999992</v>
      </c>
      <c r="D28">
        <v>2.01E-2</v>
      </c>
      <c r="E28">
        <v>3.8158201924077539E-3</v>
      </c>
      <c r="F28">
        <f t="shared" si="2"/>
        <v>156.30296999999999</v>
      </c>
      <c r="G28">
        <f t="shared" si="3"/>
        <v>-0.70299999999999996</v>
      </c>
      <c r="H28">
        <f t="shared" si="4"/>
        <v>-109.88098790999999</v>
      </c>
      <c r="I28">
        <v>1</v>
      </c>
      <c r="J28">
        <f t="shared" si="5"/>
        <v>-1.8559590398158545</v>
      </c>
      <c r="K28">
        <f t="shared" si="6"/>
        <v>-0.47691057297601203</v>
      </c>
      <c r="L28">
        <v>1</v>
      </c>
      <c r="M28">
        <f t="shared" si="7"/>
        <v>0.43423531623171574</v>
      </c>
      <c r="N28">
        <f t="shared" si="13"/>
        <v>1.5708448484999998E-2</v>
      </c>
      <c r="O28">
        <f t="shared" si="11"/>
        <v>2.982120145296517E-3</v>
      </c>
      <c r="P28">
        <f t="shared" si="12"/>
        <v>2.3984688113999772E-2</v>
      </c>
      <c r="V28">
        <v>-3.6000000000000099</v>
      </c>
      <c r="W28">
        <f t="shared" si="9"/>
        <v>-0.36115999999999959</v>
      </c>
      <c r="Y28">
        <v>0.24</v>
      </c>
      <c r="Z28">
        <f t="shared" si="10"/>
        <v>1.6907995999999996</v>
      </c>
    </row>
    <row r="29" spans="1:26" x14ac:dyDescent="0.3">
      <c r="A29">
        <v>0.81277545000000007</v>
      </c>
      <c r="B29">
        <v>0.69920000000000004</v>
      </c>
      <c r="C29">
        <f t="shared" si="1"/>
        <v>0.56829259464000004</v>
      </c>
      <c r="D29">
        <v>2.01E-2</v>
      </c>
      <c r="E29">
        <v>3.8158201924077539E-3</v>
      </c>
      <c r="F29">
        <f t="shared" si="2"/>
        <v>162.55509000000001</v>
      </c>
      <c r="G29">
        <f t="shared" si="3"/>
        <v>-0.69920000000000004</v>
      </c>
      <c r="H29">
        <f t="shared" si="4"/>
        <v>-113.65851892800001</v>
      </c>
      <c r="I29">
        <v>1</v>
      </c>
      <c r="J29">
        <f t="shared" si="5"/>
        <v>-1.8167383192804605</v>
      </c>
      <c r="K29">
        <f t="shared" si="6"/>
        <v>-0.48071057297601194</v>
      </c>
      <c r="L29">
        <v>1</v>
      </c>
      <c r="M29">
        <f t="shared" si="7"/>
        <v>0.43587866442214873</v>
      </c>
      <c r="N29">
        <f t="shared" si="13"/>
        <v>1.6336786545000002E-2</v>
      </c>
      <c r="O29">
        <f t="shared" si="11"/>
        <v>3.1014049740032989E-3</v>
      </c>
      <c r="P29">
        <f t="shared" si="12"/>
        <v>2.5393717034859906E-2</v>
      </c>
      <c r="V29">
        <v>-3.5000000000000102</v>
      </c>
      <c r="W29">
        <f t="shared" si="9"/>
        <v>-0.36534999999999962</v>
      </c>
      <c r="Y29">
        <v>0.25</v>
      </c>
      <c r="Z29">
        <f t="shared" si="10"/>
        <v>1.7753699999999997</v>
      </c>
    </row>
    <row r="30" spans="1:26" x14ac:dyDescent="0.3">
      <c r="A30">
        <v>0.84403600000000001</v>
      </c>
      <c r="B30">
        <v>0.69635000000000002</v>
      </c>
      <c r="C30">
        <f t="shared" si="1"/>
        <v>0.58774446860000007</v>
      </c>
      <c r="D30">
        <v>2.01E-2</v>
      </c>
      <c r="E30">
        <v>3.8158201924077539E-3</v>
      </c>
      <c r="F30">
        <f t="shared" si="2"/>
        <v>168.80719999999999</v>
      </c>
      <c r="G30">
        <f t="shared" si="3"/>
        <v>-0.69635000000000002</v>
      </c>
      <c r="H30">
        <f t="shared" si="4"/>
        <v>-117.54889372000001</v>
      </c>
      <c r="I30">
        <v>1</v>
      </c>
      <c r="J30">
        <f t="shared" si="5"/>
        <v>-1.7789980437015016</v>
      </c>
      <c r="K30">
        <f t="shared" si="6"/>
        <v>-0.48356057297601196</v>
      </c>
      <c r="L30">
        <v>1</v>
      </c>
      <c r="M30">
        <f t="shared" si="7"/>
        <v>0.43745998196890712</v>
      </c>
      <c r="N30">
        <f t="shared" si="13"/>
        <v>1.69651236E-2</v>
      </c>
      <c r="O30">
        <f t="shared" si="11"/>
        <v>3.2206896119190711E-3</v>
      </c>
      <c r="P30">
        <f t="shared" si="12"/>
        <v>2.5914777795185771E-2</v>
      </c>
      <c r="V30">
        <v>-3.4000000000000101</v>
      </c>
      <c r="W30">
        <f t="shared" si="9"/>
        <v>-0.36953999999999959</v>
      </c>
      <c r="Y30">
        <v>0.26</v>
      </c>
      <c r="Z30">
        <f t="shared" si="10"/>
        <v>1.8599403999999997</v>
      </c>
    </row>
    <row r="31" spans="1:26" x14ac:dyDescent="0.3">
      <c r="A31">
        <v>0.87529660000000009</v>
      </c>
      <c r="B31">
        <v>0.69350000000000001</v>
      </c>
      <c r="C31">
        <f t="shared" si="1"/>
        <v>0.60701819210000008</v>
      </c>
      <c r="D31">
        <v>2.01E-2</v>
      </c>
      <c r="E31">
        <v>3.8158201924077539E-3</v>
      </c>
      <c r="F31">
        <f t="shared" si="2"/>
        <v>175.05932000000001</v>
      </c>
      <c r="G31">
        <f t="shared" si="3"/>
        <v>-0.69350000000000001</v>
      </c>
      <c r="H31">
        <f t="shared" si="4"/>
        <v>-121.40363842000002</v>
      </c>
      <c r="I31">
        <v>1</v>
      </c>
      <c r="J31">
        <f t="shared" si="5"/>
        <v>-1.7426303910678866</v>
      </c>
      <c r="K31">
        <f t="shared" si="6"/>
        <v>-0.48641057297601198</v>
      </c>
      <c r="L31">
        <v>1</v>
      </c>
      <c r="M31">
        <f t="shared" si="7"/>
        <v>0.43898378661425558</v>
      </c>
      <c r="N31">
        <f t="shared" si="13"/>
        <v>1.759346166E-2</v>
      </c>
      <c r="O31">
        <f t="shared" si="11"/>
        <v>3.339974440625853E-3</v>
      </c>
      <c r="P31">
        <f t="shared" si="12"/>
        <v>2.6493350261130547E-2</v>
      </c>
      <c r="V31">
        <v>-3.30000000000001</v>
      </c>
      <c r="W31">
        <f t="shared" si="9"/>
        <v>-0.37372999999999956</v>
      </c>
      <c r="Y31">
        <v>0.27</v>
      </c>
      <c r="Z31">
        <f t="shared" si="10"/>
        <v>1.9445107999999998</v>
      </c>
    </row>
    <row r="32" spans="1:26" x14ac:dyDescent="0.3">
      <c r="A32">
        <v>0.91280934999999996</v>
      </c>
      <c r="B32">
        <v>0.69064999999999999</v>
      </c>
      <c r="C32">
        <f t="shared" si="1"/>
        <v>0.63043177757749991</v>
      </c>
      <c r="D32">
        <v>2.01E-2</v>
      </c>
      <c r="E32">
        <v>3.8158201924077539E-3</v>
      </c>
      <c r="F32">
        <f t="shared" si="2"/>
        <v>182.56187</v>
      </c>
      <c r="G32">
        <f t="shared" si="3"/>
        <v>-0.69064999999999999</v>
      </c>
      <c r="H32">
        <f t="shared" si="4"/>
        <v>-126.08635551549997</v>
      </c>
      <c r="I32">
        <v>1</v>
      </c>
      <c r="J32">
        <f t="shared" si="5"/>
        <v>-1.7006661497131204</v>
      </c>
      <c r="K32">
        <f t="shared" si="6"/>
        <v>-0.489260572976012</v>
      </c>
      <c r="L32">
        <v>1</v>
      </c>
      <c r="M32">
        <f t="shared" si="7"/>
        <v>0.44074208832702028</v>
      </c>
      <c r="N32">
        <f t="shared" si="13"/>
        <v>1.8347467935E-2</v>
      </c>
      <c r="O32">
        <f t="shared" si="11"/>
        <v>3.4831163495485967E-3</v>
      </c>
      <c r="P32">
        <f t="shared" si="12"/>
        <v>2.6687900364443125E-2</v>
      </c>
      <c r="V32">
        <v>-3.2000000000000099</v>
      </c>
      <c r="W32">
        <f t="shared" si="9"/>
        <v>-0.37791999999999959</v>
      </c>
    </row>
    <row r="33" spans="1:23" x14ac:dyDescent="0.3">
      <c r="A33">
        <v>0.94406989999999991</v>
      </c>
      <c r="B33">
        <v>0.68779999999999997</v>
      </c>
      <c r="C33">
        <f t="shared" si="1"/>
        <v>0.64933127721999995</v>
      </c>
      <c r="D33">
        <v>2.01E-2</v>
      </c>
      <c r="E33">
        <v>3.8158201924077539E-3</v>
      </c>
      <c r="F33">
        <f t="shared" si="2"/>
        <v>188.81397999999999</v>
      </c>
      <c r="G33">
        <f t="shared" si="3"/>
        <v>-0.68779999999999997</v>
      </c>
      <c r="H33">
        <f t="shared" si="4"/>
        <v>-129.86625544399999</v>
      </c>
      <c r="I33">
        <v>1</v>
      </c>
      <c r="J33">
        <f t="shared" si="5"/>
        <v>-1.6669929814018822</v>
      </c>
      <c r="K33">
        <f t="shared" si="6"/>
        <v>-0.49211057297601202</v>
      </c>
      <c r="L33">
        <v>1</v>
      </c>
      <c r="M33">
        <f t="shared" si="7"/>
        <v>0.44215299407926112</v>
      </c>
      <c r="N33">
        <f t="shared" si="13"/>
        <v>1.8975804989999998E-2</v>
      </c>
      <c r="O33">
        <f t="shared" si="11"/>
        <v>3.6024009874643685E-3</v>
      </c>
      <c r="P33">
        <f t="shared" si="12"/>
        <v>2.7379372919286531E-2</v>
      </c>
      <c r="V33">
        <v>-3.1000000000000099</v>
      </c>
      <c r="W33">
        <f t="shared" si="9"/>
        <v>-0.38210999999999962</v>
      </c>
    </row>
    <row r="34" spans="1:23" x14ac:dyDescent="0.3">
      <c r="A34">
        <v>0.97533049999999999</v>
      </c>
      <c r="B34">
        <v>0.68589999999999995</v>
      </c>
      <c r="C34">
        <f t="shared" si="1"/>
        <v>0.66897918994999994</v>
      </c>
      <c r="D34">
        <v>2.01E-2</v>
      </c>
      <c r="E34">
        <v>3.8158201924077539E-3</v>
      </c>
      <c r="F34">
        <f t="shared" si="2"/>
        <v>195.06610000000001</v>
      </c>
      <c r="G34">
        <f t="shared" si="3"/>
        <v>-0.68589999999999995</v>
      </c>
      <c r="H34">
        <f t="shared" si="4"/>
        <v>-133.79583799</v>
      </c>
      <c r="I34">
        <v>1</v>
      </c>
      <c r="J34">
        <f t="shared" si="5"/>
        <v>-1.634416803498244</v>
      </c>
      <c r="K34">
        <f t="shared" si="6"/>
        <v>-0.49401057297601203</v>
      </c>
      <c r="L34">
        <v>1</v>
      </c>
      <c r="M34">
        <f t="shared" si="7"/>
        <v>0.44351793593342359</v>
      </c>
      <c r="N34">
        <f t="shared" si="13"/>
        <v>1.9604143049999998E-2</v>
      </c>
      <c r="O34">
        <f t="shared" si="11"/>
        <v>3.7216858161711508E-3</v>
      </c>
      <c r="P34">
        <f t="shared" si="12"/>
        <v>2.7166808176417291E-2</v>
      </c>
      <c r="V34">
        <v>-3.0000000000000102</v>
      </c>
      <c r="W34">
        <f t="shared" si="9"/>
        <v>-0.38629999999999959</v>
      </c>
    </row>
    <row r="35" spans="1:23" x14ac:dyDescent="0.3">
      <c r="A35">
        <v>1.0065911000000001</v>
      </c>
      <c r="B35">
        <v>0.68210000000000004</v>
      </c>
      <c r="C35">
        <f t="shared" si="1"/>
        <v>0.68659578931000009</v>
      </c>
      <c r="D35">
        <v>2.01E-2</v>
      </c>
      <c r="E35">
        <v>3.8158201924077539E-3</v>
      </c>
      <c r="F35">
        <f t="shared" si="2"/>
        <v>201.31822000000003</v>
      </c>
      <c r="G35">
        <f t="shared" si="3"/>
        <v>-0.68210000000000004</v>
      </c>
      <c r="H35">
        <f t="shared" si="4"/>
        <v>-137.31915786200003</v>
      </c>
      <c r="I35">
        <v>1</v>
      </c>
      <c r="J35">
        <f t="shared" si="5"/>
        <v>-1.6028684387582073</v>
      </c>
      <c r="K35">
        <f t="shared" si="6"/>
        <v>-0.49781057297601194</v>
      </c>
      <c r="L35">
        <v>1</v>
      </c>
      <c r="M35">
        <f t="shared" si="7"/>
        <v>0.4448398124160311</v>
      </c>
      <c r="N35">
        <f t="shared" si="13"/>
        <v>2.0232481110000002E-2</v>
      </c>
      <c r="O35">
        <f t="shared" si="11"/>
        <v>3.8409706448779331E-3</v>
      </c>
      <c r="P35">
        <f t="shared" si="12"/>
        <v>2.8897308805102905E-2</v>
      </c>
      <c r="V35">
        <v>-2.9000000000000101</v>
      </c>
      <c r="W35">
        <f t="shared" si="9"/>
        <v>-0.39048999999999956</v>
      </c>
    </row>
    <row r="36" spans="1:23" x14ac:dyDescent="0.3">
      <c r="A36">
        <v>1.0378517</v>
      </c>
      <c r="B36">
        <v>0.67925000000000002</v>
      </c>
      <c r="C36">
        <f t="shared" si="1"/>
        <v>0.70496076722500001</v>
      </c>
      <c r="D36">
        <v>2.01E-2</v>
      </c>
      <c r="E36">
        <v>3.8158201924077539E-3</v>
      </c>
      <c r="F36">
        <f t="shared" si="2"/>
        <v>207.57034000000002</v>
      </c>
      <c r="G36">
        <f t="shared" si="3"/>
        <v>-0.67925000000000002</v>
      </c>
      <c r="H36">
        <f t="shared" si="4"/>
        <v>-140.99215344500001</v>
      </c>
      <c r="I36">
        <v>1</v>
      </c>
      <c r="J36">
        <f t="shared" si="5"/>
        <v>-1.5722850088030111</v>
      </c>
      <c r="K36">
        <f t="shared" si="6"/>
        <v>-0.50066057297601196</v>
      </c>
      <c r="L36">
        <v>1</v>
      </c>
      <c r="M36">
        <f t="shared" si="7"/>
        <v>0.44612125813115383</v>
      </c>
      <c r="N36">
        <f t="shared" si="13"/>
        <v>2.0860819169999999E-2</v>
      </c>
      <c r="O36">
        <f t="shared" si="11"/>
        <v>3.960255473584715E-3</v>
      </c>
      <c r="P36">
        <f t="shared" si="12"/>
        <v>2.9718240201273415E-2</v>
      </c>
      <c r="V36">
        <v>-2.80000000000001</v>
      </c>
      <c r="W36">
        <f t="shared" si="9"/>
        <v>-0.39467999999999959</v>
      </c>
    </row>
    <row r="37" spans="1:23" x14ac:dyDescent="0.3">
      <c r="A37">
        <v>1.0691123</v>
      </c>
      <c r="B37">
        <v>0.6764</v>
      </c>
      <c r="C37">
        <f t="shared" si="1"/>
        <v>0.72314755972</v>
      </c>
      <c r="D37">
        <v>2.01E-2</v>
      </c>
      <c r="E37">
        <v>3.8158201924077539E-3</v>
      </c>
      <c r="F37">
        <f t="shared" si="2"/>
        <v>213.82246000000001</v>
      </c>
      <c r="G37">
        <f t="shared" si="3"/>
        <v>-0.6764</v>
      </c>
      <c r="H37">
        <f t="shared" si="4"/>
        <v>-144.629511944</v>
      </c>
      <c r="I37">
        <v>1</v>
      </c>
      <c r="J37">
        <f t="shared" si="5"/>
        <v>-1.5426092344587561</v>
      </c>
      <c r="K37">
        <f t="shared" si="6"/>
        <v>-0.50351057297601198</v>
      </c>
      <c r="L37">
        <v>1</v>
      </c>
      <c r="M37">
        <f t="shared" si="7"/>
        <v>0.44736467307617811</v>
      </c>
      <c r="N37">
        <f t="shared" si="13"/>
        <v>2.148915723E-2</v>
      </c>
      <c r="O37">
        <f t="shared" si="11"/>
        <v>4.0795403022914961E-3</v>
      </c>
      <c r="P37">
        <f t="shared" si="12"/>
        <v>3.0577202367542376E-2</v>
      </c>
      <c r="V37">
        <v>-2.7000000000000099</v>
      </c>
      <c r="W37">
        <f t="shared" si="9"/>
        <v>-0.39886999999999961</v>
      </c>
    </row>
    <row r="38" spans="1:23" x14ac:dyDescent="0.3">
      <c r="A38">
        <v>1.1003729</v>
      </c>
      <c r="B38">
        <v>0.67354999999999998</v>
      </c>
      <c r="C38">
        <f t="shared" si="1"/>
        <v>0.74115616679499996</v>
      </c>
      <c r="D38">
        <v>2.01E-2</v>
      </c>
      <c r="E38">
        <v>3.8158201924077539E-3</v>
      </c>
      <c r="F38">
        <f t="shared" si="2"/>
        <v>220.07458</v>
      </c>
      <c r="G38">
        <f t="shared" si="3"/>
        <v>-0.67354999999999998</v>
      </c>
      <c r="H38">
        <f t="shared" si="4"/>
        <v>-148.23123335899999</v>
      </c>
      <c r="I38">
        <v>1</v>
      </c>
      <c r="J38">
        <f t="shared" si="5"/>
        <v>-1.5137887900772928</v>
      </c>
      <c r="K38">
        <f t="shared" si="6"/>
        <v>-0.506360572976012</v>
      </c>
      <c r="L38">
        <v>1</v>
      </c>
      <c r="M38">
        <f t="shared" si="7"/>
        <v>0.44857224969576143</v>
      </c>
      <c r="N38">
        <f t="shared" si="13"/>
        <v>2.2117495290000001E-2</v>
      </c>
      <c r="O38">
        <f t="shared" si="11"/>
        <v>4.198825130998278E-3</v>
      </c>
      <c r="P38">
        <f t="shared" si="12"/>
        <v>3.14720028592523E-2</v>
      </c>
      <c r="V38">
        <v>-2.6000000000000099</v>
      </c>
      <c r="W38">
        <f t="shared" si="9"/>
        <v>-0.40305999999999959</v>
      </c>
    </row>
    <row r="39" spans="1:23" x14ac:dyDescent="0.3">
      <c r="A39">
        <v>1.1378855999999999</v>
      </c>
      <c r="B39">
        <v>0.67164999999999997</v>
      </c>
      <c r="C39">
        <f t="shared" si="1"/>
        <v>0.76426086323999998</v>
      </c>
      <c r="D39">
        <v>2.01E-2</v>
      </c>
      <c r="E39">
        <v>3.8158201924077539E-3</v>
      </c>
      <c r="F39">
        <f t="shared" si="2"/>
        <v>227.57711999999998</v>
      </c>
      <c r="G39">
        <f t="shared" si="3"/>
        <v>-0.67164999999999997</v>
      </c>
      <c r="H39">
        <f t="shared" si="4"/>
        <v>-152.85217264799999</v>
      </c>
      <c r="I39">
        <v>1</v>
      </c>
      <c r="J39">
        <f t="shared" si="5"/>
        <v>-1.4802661090239364</v>
      </c>
      <c r="K39">
        <f t="shared" si="6"/>
        <v>-0.50826057297601202</v>
      </c>
      <c r="L39">
        <v>1</v>
      </c>
      <c r="M39">
        <f t="shared" si="7"/>
        <v>0.44997685003189708</v>
      </c>
      <c r="N39">
        <f t="shared" si="13"/>
        <v>2.2871500559999997E-2</v>
      </c>
      <c r="O39">
        <f t="shared" si="11"/>
        <v>4.341966849130012E-3</v>
      </c>
      <c r="P39">
        <f t="shared" si="12"/>
        <v>3.1070255534984929E-2</v>
      </c>
      <c r="V39">
        <v>-2.5000000000000102</v>
      </c>
      <c r="W39">
        <f t="shared" si="9"/>
        <v>-0.40724999999999956</v>
      </c>
    </row>
    <row r="40" spans="1:23" x14ac:dyDescent="0.3">
      <c r="A40">
        <v>1.1691461999999999</v>
      </c>
      <c r="B40">
        <v>0.66879999999999995</v>
      </c>
      <c r="C40">
        <f t="shared" si="1"/>
        <v>0.78192497855999987</v>
      </c>
      <c r="D40">
        <v>2.01E-2</v>
      </c>
      <c r="E40">
        <v>3.8158201924077539E-3</v>
      </c>
      <c r="F40">
        <f t="shared" si="2"/>
        <v>233.82923999999997</v>
      </c>
      <c r="G40">
        <f t="shared" si="3"/>
        <v>-0.66879999999999995</v>
      </c>
      <c r="H40">
        <f t="shared" si="4"/>
        <v>-156.38499571199998</v>
      </c>
      <c r="I40">
        <v>1</v>
      </c>
      <c r="J40">
        <f t="shared" si="5"/>
        <v>-1.4531641736066394</v>
      </c>
      <c r="K40">
        <f t="shared" si="6"/>
        <v>-0.51111057297601203</v>
      </c>
      <c r="L40">
        <v>1</v>
      </c>
      <c r="M40">
        <f t="shared" si="7"/>
        <v>0.45111242112588179</v>
      </c>
      <c r="N40">
        <f t="shared" si="13"/>
        <v>2.3499838619999998E-2</v>
      </c>
      <c r="O40">
        <f t="shared" si="11"/>
        <v>4.4612516778367939E-3</v>
      </c>
      <c r="P40">
        <f t="shared" si="12"/>
        <v>3.2037061552293453E-2</v>
      </c>
      <c r="V40">
        <v>-2.4000000000000101</v>
      </c>
      <c r="W40">
        <f t="shared" si="9"/>
        <v>-0.41143999999999958</v>
      </c>
    </row>
    <row r="41" spans="1:23" x14ac:dyDescent="0.3">
      <c r="A41">
        <v>1.2004067999999999</v>
      </c>
      <c r="B41">
        <v>0.66595000000000004</v>
      </c>
      <c r="C41">
        <f t="shared" si="1"/>
        <v>0.79941090845999996</v>
      </c>
      <c r="D41">
        <v>2.01E-2</v>
      </c>
      <c r="E41">
        <v>3.8158201924077539E-3</v>
      </c>
      <c r="F41">
        <f t="shared" si="2"/>
        <v>240.08135999999999</v>
      </c>
      <c r="G41">
        <f t="shared" si="3"/>
        <v>-0.66595000000000004</v>
      </c>
      <c r="H41">
        <f t="shared" si="4"/>
        <v>-159.88218169199999</v>
      </c>
      <c r="I41">
        <v>1</v>
      </c>
      <c r="J41">
        <f t="shared" si="5"/>
        <v>-1.4267774130876629</v>
      </c>
      <c r="K41">
        <f t="shared" si="6"/>
        <v>-0.51396057297601194</v>
      </c>
      <c r="L41">
        <v>1</v>
      </c>
      <c r="M41">
        <f t="shared" si="7"/>
        <v>0.45221802639162695</v>
      </c>
      <c r="N41">
        <f t="shared" si="13"/>
        <v>2.4128176679999998E-2</v>
      </c>
      <c r="O41">
        <f t="shared" si="11"/>
        <v>4.5805365065435758E-3</v>
      </c>
      <c r="P41">
        <f t="shared" si="12"/>
        <v>3.3033833397841418E-2</v>
      </c>
      <c r="V41">
        <v>-2.30000000000001</v>
      </c>
      <c r="W41">
        <f t="shared" si="9"/>
        <v>-0.41562999999999961</v>
      </c>
    </row>
    <row r="42" spans="1:23" x14ac:dyDescent="0.3">
      <c r="A42">
        <v>1.2316674000000001</v>
      </c>
      <c r="B42">
        <v>0.66310000000000002</v>
      </c>
      <c r="C42">
        <f t="shared" si="1"/>
        <v>0.81671865294000012</v>
      </c>
      <c r="D42">
        <v>2.01E-2</v>
      </c>
      <c r="E42">
        <v>3.8158201924077539E-3</v>
      </c>
      <c r="F42">
        <f t="shared" si="2"/>
        <v>246.33348000000001</v>
      </c>
      <c r="G42">
        <f t="shared" si="3"/>
        <v>-0.66310000000000002</v>
      </c>
      <c r="H42">
        <f t="shared" si="4"/>
        <v>-163.34373058800003</v>
      </c>
      <c r="I42">
        <v>1</v>
      </c>
      <c r="J42">
        <f t="shared" si="5"/>
        <v>-1.4010690513030339</v>
      </c>
      <c r="K42">
        <f t="shared" si="6"/>
        <v>-0.51681057297601196</v>
      </c>
      <c r="L42">
        <v>1</v>
      </c>
      <c r="M42">
        <f t="shared" si="7"/>
        <v>0.45329520675040291</v>
      </c>
      <c r="N42">
        <f t="shared" si="13"/>
        <v>2.4756514740000003E-2</v>
      </c>
      <c r="O42">
        <f t="shared" si="11"/>
        <v>4.6998213352503586E-3</v>
      </c>
      <c r="P42">
        <f t="shared" si="12"/>
        <v>3.4059030150358688E-2</v>
      </c>
      <c r="V42">
        <v>-2.2000000000000099</v>
      </c>
      <c r="W42">
        <f t="shared" si="9"/>
        <v>-0.41981999999999958</v>
      </c>
    </row>
    <row r="43" spans="1:23" x14ac:dyDescent="0.3">
      <c r="A43">
        <v>1.2629280000000001</v>
      </c>
      <c r="B43">
        <v>0.66025</v>
      </c>
      <c r="C43">
        <f t="shared" si="1"/>
        <v>0.83384821200000003</v>
      </c>
      <c r="D43">
        <v>2.01E-2</v>
      </c>
      <c r="E43">
        <v>3.8158201924077539E-3</v>
      </c>
      <c r="F43">
        <f t="shared" si="2"/>
        <v>252.5856</v>
      </c>
      <c r="G43">
        <f t="shared" si="3"/>
        <v>-0.66025</v>
      </c>
      <c r="H43">
        <f t="shared" si="4"/>
        <v>-166.76964240000001</v>
      </c>
      <c r="I43">
        <v>1</v>
      </c>
      <c r="J43">
        <f t="shared" si="5"/>
        <v>-1.3760050778166049</v>
      </c>
      <c r="K43">
        <f t="shared" si="6"/>
        <v>-0.51966057297601198</v>
      </c>
      <c r="L43">
        <v>1</v>
      </c>
      <c r="M43">
        <f t="shared" si="7"/>
        <v>0.45434538723948426</v>
      </c>
      <c r="N43">
        <f t="shared" si="13"/>
        <v>2.53848528E-2</v>
      </c>
      <c r="O43">
        <f t="shared" si="11"/>
        <v>4.8191061639571405E-3</v>
      </c>
      <c r="P43">
        <f t="shared" si="12"/>
        <v>3.5111226772570586E-2</v>
      </c>
      <c r="V43">
        <v>-2.1000000000000099</v>
      </c>
      <c r="W43">
        <f t="shared" si="9"/>
        <v>-0.42400999999999961</v>
      </c>
    </row>
    <row r="44" spans="1:23" x14ac:dyDescent="0.3">
      <c r="A44">
        <v>1.2941885500000001</v>
      </c>
      <c r="B44">
        <v>0.65739999999999998</v>
      </c>
      <c r="C44">
        <f t="shared" si="1"/>
        <v>0.85079955277000008</v>
      </c>
      <c r="D44">
        <v>2.01E-2</v>
      </c>
      <c r="E44">
        <v>3.8158201924077539E-3</v>
      </c>
      <c r="F44">
        <f t="shared" si="2"/>
        <v>258.83771000000002</v>
      </c>
      <c r="G44">
        <f t="shared" si="3"/>
        <v>-0.65739999999999998</v>
      </c>
      <c r="H44">
        <f t="shared" si="4"/>
        <v>-170.15991055400002</v>
      </c>
      <c r="I44">
        <v>1</v>
      </c>
      <c r="J44">
        <f t="shared" si="5"/>
        <v>-1.3515540159964794</v>
      </c>
      <c r="K44">
        <f t="shared" si="6"/>
        <v>-0.522510572976012</v>
      </c>
      <c r="L44">
        <v>1</v>
      </c>
      <c r="M44">
        <f t="shared" si="7"/>
        <v>0.45536988672974754</v>
      </c>
      <c r="N44">
        <f t="shared" si="13"/>
        <v>2.6013189855E-2</v>
      </c>
      <c r="O44">
        <f t="shared" si="11"/>
        <v>4.9383908018729127E-3</v>
      </c>
      <c r="P44">
        <f t="shared" si="12"/>
        <v>3.6189105589391549E-2</v>
      </c>
      <c r="V44">
        <v>-2.0000000000000102</v>
      </c>
      <c r="W44">
        <f t="shared" si="9"/>
        <v>-0.42819999999999958</v>
      </c>
    </row>
    <row r="45" spans="1:23" x14ac:dyDescent="0.3">
      <c r="A45">
        <v>1.3254491500000001</v>
      </c>
      <c r="B45">
        <v>0.65549999999999997</v>
      </c>
      <c r="C45">
        <f t="shared" si="1"/>
        <v>0.86883191782500002</v>
      </c>
      <c r="D45">
        <v>2.01E-2</v>
      </c>
      <c r="E45">
        <v>3.8158201924077539E-3</v>
      </c>
      <c r="F45">
        <f t="shared" si="2"/>
        <v>265.08983000000001</v>
      </c>
      <c r="G45">
        <f t="shared" si="3"/>
        <v>-0.65549999999999997</v>
      </c>
      <c r="H45">
        <f t="shared" si="4"/>
        <v>-173.76638356500001</v>
      </c>
      <c r="I45">
        <v>1</v>
      </c>
      <c r="J45">
        <f t="shared" si="5"/>
        <v>-1.3276865293049627</v>
      </c>
      <c r="K45">
        <f t="shared" si="6"/>
        <v>-0.52441057297601201</v>
      </c>
      <c r="L45">
        <v>1</v>
      </c>
      <c r="M45">
        <f t="shared" si="7"/>
        <v>0.45636993442212209</v>
      </c>
      <c r="N45">
        <f t="shared" si="13"/>
        <v>2.6641527915000001E-2</v>
      </c>
      <c r="O45">
        <f t="shared" si="11"/>
        <v>5.0576756305796946E-3</v>
      </c>
      <c r="P45">
        <f t="shared" si="12"/>
        <v>3.6341435008310219E-2</v>
      </c>
      <c r="V45">
        <v>-1.9000000000000099</v>
      </c>
      <c r="W45">
        <f t="shared" si="9"/>
        <v>-0.43238999999999961</v>
      </c>
    </row>
    <row r="46" spans="1:23" x14ac:dyDescent="0.3">
      <c r="A46">
        <v>1.35670975</v>
      </c>
      <c r="B46">
        <v>0.65264999999999995</v>
      </c>
      <c r="C46">
        <f t="shared" si="1"/>
        <v>0.8854566183375</v>
      </c>
      <c r="D46">
        <v>2.01E-2</v>
      </c>
      <c r="E46">
        <v>3.8158201924077539E-3</v>
      </c>
      <c r="F46">
        <f t="shared" si="2"/>
        <v>271.34195</v>
      </c>
      <c r="G46">
        <f t="shared" si="3"/>
        <v>-0.65264999999999995</v>
      </c>
      <c r="H46">
        <f t="shared" si="4"/>
        <v>-177.09132366750001</v>
      </c>
      <c r="I46">
        <v>1</v>
      </c>
      <c r="J46">
        <f t="shared" si="5"/>
        <v>-1.3043754453951848</v>
      </c>
      <c r="K46">
        <f t="shared" si="6"/>
        <v>-0.52726057297601203</v>
      </c>
      <c r="L46">
        <v>1</v>
      </c>
      <c r="M46">
        <f t="shared" si="7"/>
        <v>0.45734666883794178</v>
      </c>
      <c r="N46">
        <f t="shared" si="13"/>
        <v>2.7269865975000002E-2</v>
      </c>
      <c r="O46">
        <f t="shared" si="11"/>
        <v>5.1769604592864756E-3</v>
      </c>
      <c r="P46">
        <f t="shared" si="12"/>
        <v>3.7467077703783769E-2</v>
      </c>
      <c r="V46">
        <v>-1.80000000000001</v>
      </c>
      <c r="W46">
        <f t="shared" si="9"/>
        <v>-0.43657999999999958</v>
      </c>
    </row>
    <row r="47" spans="1:23" x14ac:dyDescent="0.3">
      <c r="A47">
        <v>1.39422245</v>
      </c>
      <c r="B47">
        <v>0.64980000000000004</v>
      </c>
      <c r="C47">
        <f t="shared" si="1"/>
        <v>0.90596574801000007</v>
      </c>
      <c r="D47">
        <v>2.01E-2</v>
      </c>
      <c r="E47">
        <v>3.8158201924077539E-3</v>
      </c>
      <c r="F47">
        <f t="shared" si="2"/>
        <v>278.84449000000001</v>
      </c>
      <c r="G47">
        <f t="shared" si="3"/>
        <v>-0.64980000000000004</v>
      </c>
      <c r="H47">
        <f t="shared" si="4"/>
        <v>-181.19314960200001</v>
      </c>
      <c r="I47">
        <v>1</v>
      </c>
      <c r="J47">
        <f t="shared" si="5"/>
        <v>-1.2771010360692523</v>
      </c>
      <c r="K47">
        <f t="shared" si="6"/>
        <v>-0.53011057297601194</v>
      </c>
      <c r="L47">
        <v>1</v>
      </c>
      <c r="M47">
        <f t="shared" si="7"/>
        <v>0.45848946658869832</v>
      </c>
      <c r="N47">
        <f t="shared" si="13"/>
        <v>2.8023871244999998E-2</v>
      </c>
      <c r="O47">
        <f t="shared" si="11"/>
        <v>5.3201021774182105E-3</v>
      </c>
      <c r="P47">
        <f t="shared" si="12"/>
        <v>3.8277132964895405E-2</v>
      </c>
      <c r="V47">
        <v>-1.7000000000000199</v>
      </c>
      <c r="W47">
        <f t="shared" si="9"/>
        <v>-0.44076999999999916</v>
      </c>
    </row>
    <row r="48" spans="1:23" x14ac:dyDescent="0.3">
      <c r="A48">
        <v>1.42548305</v>
      </c>
      <c r="B48">
        <v>0.64790000000000003</v>
      </c>
      <c r="C48">
        <f t="shared" si="1"/>
        <v>0.92357046809499999</v>
      </c>
      <c r="D48">
        <v>2.01E-2</v>
      </c>
      <c r="E48">
        <v>3.8158201924077539E-3</v>
      </c>
      <c r="F48">
        <f t="shared" si="2"/>
        <v>285.09661</v>
      </c>
      <c r="G48">
        <f t="shared" si="3"/>
        <v>-0.64790000000000003</v>
      </c>
      <c r="H48">
        <f t="shared" si="4"/>
        <v>-184.71409361900001</v>
      </c>
      <c r="I48">
        <v>1</v>
      </c>
      <c r="J48">
        <f t="shared" si="5"/>
        <v>-1.2549271736989183</v>
      </c>
      <c r="K48">
        <f t="shared" si="6"/>
        <v>-0.53201057297601195</v>
      </c>
      <c r="L48">
        <v>1</v>
      </c>
      <c r="M48">
        <f t="shared" si="7"/>
        <v>0.45941855142201532</v>
      </c>
      <c r="N48">
        <f t="shared" si="13"/>
        <v>2.8652209304999999E-2</v>
      </c>
      <c r="O48">
        <f t="shared" si="11"/>
        <v>5.4393870061249915E-3</v>
      </c>
      <c r="P48">
        <f t="shared" si="12"/>
        <v>3.8500425242871644E-2</v>
      </c>
      <c r="V48">
        <v>-1.6000000000000201</v>
      </c>
      <c r="W48">
        <f t="shared" si="9"/>
        <v>-0.44495999999999919</v>
      </c>
    </row>
    <row r="49" spans="1:23" x14ac:dyDescent="0.3">
      <c r="A49">
        <v>1.4567436499999999</v>
      </c>
      <c r="B49">
        <v>0.64505000000000001</v>
      </c>
      <c r="C49">
        <f t="shared" si="1"/>
        <v>0.93967249143249998</v>
      </c>
      <c r="D49">
        <v>2.01E-2</v>
      </c>
      <c r="E49">
        <v>3.8158201924077539E-3</v>
      </c>
      <c r="F49">
        <f t="shared" si="2"/>
        <v>291.34872999999999</v>
      </c>
      <c r="G49">
        <f t="shared" si="3"/>
        <v>-0.64505000000000001</v>
      </c>
      <c r="H49">
        <f t="shared" si="4"/>
        <v>-187.9344982865</v>
      </c>
      <c r="I49">
        <v>1</v>
      </c>
      <c r="J49">
        <f t="shared" si="5"/>
        <v>-1.2332343444209173</v>
      </c>
      <c r="K49">
        <f t="shared" si="6"/>
        <v>-0.53486057297601197</v>
      </c>
      <c r="L49">
        <v>1</v>
      </c>
      <c r="M49">
        <f t="shared" si="7"/>
        <v>0.46032748096876358</v>
      </c>
      <c r="N49">
        <f t="shared" si="13"/>
        <v>2.9280547364999999E-2</v>
      </c>
      <c r="O49">
        <f t="shared" si="11"/>
        <v>5.5586718348317734E-3</v>
      </c>
      <c r="P49">
        <f t="shared" si="12"/>
        <v>3.9693872807416618E-2</v>
      </c>
      <c r="V49">
        <v>-1.50000000000002</v>
      </c>
      <c r="W49">
        <f t="shared" si="9"/>
        <v>-0.44914999999999916</v>
      </c>
    </row>
    <row r="50" spans="1:23" x14ac:dyDescent="0.3">
      <c r="A50">
        <v>1.4880042499999999</v>
      </c>
      <c r="B50">
        <v>0.64219999999999999</v>
      </c>
      <c r="C50">
        <f t="shared" si="1"/>
        <v>0.95559632934999994</v>
      </c>
      <c r="D50">
        <v>2.01E-2</v>
      </c>
      <c r="E50">
        <v>3.8158201924077539E-3</v>
      </c>
      <c r="F50">
        <f t="shared" si="2"/>
        <v>297.60084999999998</v>
      </c>
      <c r="G50">
        <f t="shared" si="3"/>
        <v>-0.64219999999999999</v>
      </c>
      <c r="H50">
        <f t="shared" si="4"/>
        <v>-191.11926586999999</v>
      </c>
      <c r="I50">
        <v>1</v>
      </c>
      <c r="J50">
        <f t="shared" si="5"/>
        <v>-1.2120021198444835</v>
      </c>
      <c r="K50">
        <f t="shared" si="6"/>
        <v>-0.53771057297601199</v>
      </c>
      <c r="L50">
        <v>1</v>
      </c>
      <c r="M50">
        <f t="shared" si="7"/>
        <v>0.46121711117851616</v>
      </c>
      <c r="N50">
        <f t="shared" si="13"/>
        <v>2.9908885424999997E-2</v>
      </c>
      <c r="O50">
        <f t="shared" si="11"/>
        <v>5.6779566635385553E-3</v>
      </c>
      <c r="P50">
        <f t="shared" si="12"/>
        <v>4.090661970895728E-2</v>
      </c>
      <c r="V50">
        <v>-1.4000000000000199</v>
      </c>
      <c r="W50">
        <f t="shared" si="9"/>
        <v>-0.45333999999999919</v>
      </c>
    </row>
    <row r="51" spans="1:23" x14ac:dyDescent="0.3">
      <c r="A51">
        <v>1.5255169499999999</v>
      </c>
      <c r="B51">
        <v>0.63934999999999997</v>
      </c>
      <c r="C51">
        <f t="shared" si="1"/>
        <v>0.97533926198249987</v>
      </c>
      <c r="D51">
        <v>2.01E-2</v>
      </c>
      <c r="E51">
        <v>3.8158201924077539E-3</v>
      </c>
      <c r="F51">
        <f t="shared" si="2"/>
        <v>305.10338999999999</v>
      </c>
      <c r="G51">
        <f t="shared" si="3"/>
        <v>-0.63934999999999997</v>
      </c>
      <c r="H51">
        <f t="shared" si="4"/>
        <v>-195.06785239649997</v>
      </c>
      <c r="I51">
        <v>1</v>
      </c>
      <c r="J51">
        <f t="shared" si="5"/>
        <v>-1.18710457621013</v>
      </c>
      <c r="K51">
        <f t="shared" si="6"/>
        <v>-0.54056057297601201</v>
      </c>
      <c r="L51">
        <v>1</v>
      </c>
      <c r="M51">
        <f t="shared" si="7"/>
        <v>0.46226031825679559</v>
      </c>
      <c r="N51">
        <f t="shared" si="13"/>
        <v>3.0662890694999997E-2</v>
      </c>
      <c r="O51">
        <f t="shared" si="11"/>
        <v>5.8210983816702894E-3</v>
      </c>
      <c r="P51">
        <f t="shared" si="12"/>
        <v>4.1816265642546133E-2</v>
      </c>
      <c r="V51">
        <v>-1.30000000000002</v>
      </c>
      <c r="W51">
        <f t="shared" si="9"/>
        <v>-0.45752999999999916</v>
      </c>
    </row>
    <row r="52" spans="1:23" x14ac:dyDescent="0.3">
      <c r="A52">
        <v>1.5567775499999998</v>
      </c>
      <c r="B52">
        <v>0.63744999999999996</v>
      </c>
      <c r="C52">
        <f t="shared" si="1"/>
        <v>0.99236784924749988</v>
      </c>
      <c r="D52">
        <v>2.01E-2</v>
      </c>
      <c r="E52">
        <v>3.8158201924077539E-3</v>
      </c>
      <c r="F52">
        <f t="shared" si="2"/>
        <v>311.35550999999998</v>
      </c>
      <c r="G52">
        <f t="shared" si="3"/>
        <v>-0.63744999999999996</v>
      </c>
      <c r="H52">
        <f t="shared" si="4"/>
        <v>-198.47356984949997</v>
      </c>
      <c r="I52">
        <v>1</v>
      </c>
      <c r="J52">
        <f t="shared" si="5"/>
        <v>-1.1668199006948468</v>
      </c>
      <c r="K52">
        <f t="shared" si="6"/>
        <v>-0.54246057297601202</v>
      </c>
      <c r="L52">
        <v>1</v>
      </c>
      <c r="M52">
        <f t="shared" si="7"/>
        <v>0.46311024616088592</v>
      </c>
      <c r="N52">
        <f t="shared" si="13"/>
        <v>3.1291228754999997E-2</v>
      </c>
      <c r="O52">
        <f t="shared" si="11"/>
        <v>5.9403832103770713E-3</v>
      </c>
      <c r="P52">
        <f t="shared" si="12"/>
        <v>4.2118714849749037E-2</v>
      </c>
      <c r="V52">
        <v>-1.2000000000000199</v>
      </c>
      <c r="W52">
        <f t="shared" si="9"/>
        <v>-0.46171999999999919</v>
      </c>
    </row>
    <row r="53" spans="1:23" x14ac:dyDescent="0.3">
      <c r="A53">
        <v>1.5880381499999998</v>
      </c>
      <c r="B53">
        <v>0.63460000000000005</v>
      </c>
      <c r="C53">
        <f t="shared" si="1"/>
        <v>1.0077690099900001</v>
      </c>
      <c r="D53">
        <v>2.01E-2</v>
      </c>
      <c r="E53">
        <v>3.8158201924077539E-3</v>
      </c>
      <c r="F53">
        <f t="shared" si="2"/>
        <v>317.60762999999997</v>
      </c>
      <c r="G53">
        <f t="shared" si="3"/>
        <v>-0.63460000000000005</v>
      </c>
      <c r="H53">
        <f t="shared" si="4"/>
        <v>-201.55380199800001</v>
      </c>
      <c r="I53">
        <v>1</v>
      </c>
      <c r="J53">
        <f t="shared" si="5"/>
        <v>-1.1469385259682554</v>
      </c>
      <c r="K53">
        <f t="shared" si="6"/>
        <v>-0.54531057297601193</v>
      </c>
      <c r="L53">
        <v>1</v>
      </c>
      <c r="M53">
        <f t="shared" si="7"/>
        <v>0.46394327576193012</v>
      </c>
      <c r="N53">
        <f t="shared" si="13"/>
        <v>3.1919566814999994E-2</v>
      </c>
      <c r="O53">
        <f t="shared" si="11"/>
        <v>6.0596680390838532E-3</v>
      </c>
      <c r="P53">
        <f t="shared" si="12"/>
        <v>4.3388062359997967E-2</v>
      </c>
      <c r="V53">
        <v>-1.1000000000000201</v>
      </c>
      <c r="W53">
        <f t="shared" si="9"/>
        <v>-0.46590999999999916</v>
      </c>
    </row>
    <row r="54" spans="1:23" x14ac:dyDescent="0.3">
      <c r="A54">
        <v>1.61929875</v>
      </c>
      <c r="B54">
        <v>0.63270000000000004</v>
      </c>
      <c r="C54">
        <f t="shared" si="1"/>
        <v>1.0245303191250001</v>
      </c>
      <c r="D54">
        <v>2.01E-2</v>
      </c>
      <c r="E54">
        <v>3.8158201924077539E-3</v>
      </c>
      <c r="F54">
        <f t="shared" si="2"/>
        <v>323.85975000000002</v>
      </c>
      <c r="G54">
        <f t="shared" si="3"/>
        <v>-0.63270000000000004</v>
      </c>
      <c r="H54">
        <f t="shared" si="4"/>
        <v>-204.90606382500002</v>
      </c>
      <c r="I54">
        <v>1</v>
      </c>
      <c r="J54">
        <f t="shared" si="5"/>
        <v>-1.1274447272756023</v>
      </c>
      <c r="K54">
        <f t="shared" si="6"/>
        <v>-0.54721057297601194</v>
      </c>
      <c r="L54">
        <v>1</v>
      </c>
      <c r="M54">
        <f t="shared" si="7"/>
        <v>0.46476006592715224</v>
      </c>
      <c r="N54">
        <f t="shared" si="13"/>
        <v>3.2547904874999999E-2</v>
      </c>
      <c r="O54">
        <f t="shared" si="11"/>
        <v>6.1789528677906351E-3</v>
      </c>
      <c r="P54">
        <f t="shared" si="12"/>
        <v>4.3723649306069069E-2</v>
      </c>
      <c r="V54">
        <v>-1.00000000000002</v>
      </c>
      <c r="W54">
        <f t="shared" si="9"/>
        <v>-0.47009999999999919</v>
      </c>
    </row>
    <row r="55" spans="1:23" x14ac:dyDescent="0.3">
      <c r="A55">
        <v>1.65055935</v>
      </c>
      <c r="B55">
        <v>0.62985000000000002</v>
      </c>
      <c r="C55">
        <f t="shared" si="1"/>
        <v>1.0396048065975001</v>
      </c>
      <c r="D55">
        <v>2.01E-2</v>
      </c>
      <c r="E55">
        <v>3.8158201924077539E-3</v>
      </c>
      <c r="F55">
        <f t="shared" si="2"/>
        <v>330.11187000000001</v>
      </c>
      <c r="G55">
        <f t="shared" si="3"/>
        <v>-0.62985000000000002</v>
      </c>
      <c r="H55">
        <f t="shared" si="4"/>
        <v>-207.92096131950001</v>
      </c>
      <c r="I55">
        <v>1</v>
      </c>
      <c r="J55">
        <f t="shared" si="5"/>
        <v>-1.1083236819691282</v>
      </c>
      <c r="K55">
        <f t="shared" si="6"/>
        <v>-0.55006057297601196</v>
      </c>
      <c r="L55">
        <v>1</v>
      </c>
      <c r="M55">
        <f t="shared" si="7"/>
        <v>0.46556123772549352</v>
      </c>
      <c r="N55">
        <f t="shared" si="13"/>
        <v>3.3176242935000003E-2</v>
      </c>
      <c r="O55">
        <f t="shared" si="11"/>
        <v>6.298237696497417E-3</v>
      </c>
      <c r="P55">
        <f t="shared" si="12"/>
        <v>4.5024854619021032E-2</v>
      </c>
      <c r="V55">
        <v>-0.90000000000002001</v>
      </c>
      <c r="W55">
        <f t="shared" si="9"/>
        <v>-0.47428999999999916</v>
      </c>
    </row>
    <row r="56" spans="1:23" x14ac:dyDescent="0.3">
      <c r="A56">
        <v>1.6880720500000002</v>
      </c>
      <c r="B56">
        <v>0.627</v>
      </c>
      <c r="C56">
        <f t="shared" si="1"/>
        <v>1.0584211753500001</v>
      </c>
      <c r="D56">
        <v>2.01E-2</v>
      </c>
      <c r="E56">
        <v>3.8158201924077539E-3</v>
      </c>
      <c r="F56">
        <f t="shared" si="2"/>
        <v>337.61441000000002</v>
      </c>
      <c r="G56">
        <f t="shared" si="3"/>
        <v>-0.627</v>
      </c>
      <c r="H56">
        <f t="shared" si="4"/>
        <v>-211.68423507000003</v>
      </c>
      <c r="I56">
        <v>1</v>
      </c>
      <c r="J56">
        <f t="shared" si="5"/>
        <v>-1.0858508335219668</v>
      </c>
      <c r="K56">
        <f t="shared" si="6"/>
        <v>-0.55291057297601198</v>
      </c>
      <c r="L56">
        <v>1</v>
      </c>
      <c r="M56">
        <f t="shared" si="7"/>
        <v>0.46650285007542958</v>
      </c>
      <c r="N56">
        <f t="shared" si="13"/>
        <v>3.3930248205000006E-2</v>
      </c>
      <c r="O56">
        <f t="shared" si="11"/>
        <v>6.4413794146291519E-3</v>
      </c>
      <c r="P56">
        <f t="shared" si="12"/>
        <v>4.6036095280953246E-2</v>
      </c>
      <c r="V56">
        <v>-0.80000000000002003</v>
      </c>
      <c r="W56">
        <f t="shared" si="9"/>
        <v>-0.47847999999999918</v>
      </c>
    </row>
    <row r="57" spans="1:23" x14ac:dyDescent="0.3">
      <c r="A57">
        <v>1.7193326500000001</v>
      </c>
      <c r="B57">
        <v>0.62509999999999999</v>
      </c>
      <c r="C57">
        <f t="shared" si="1"/>
        <v>1.0747548395150002</v>
      </c>
      <c r="D57">
        <v>2.01E-2</v>
      </c>
      <c r="E57">
        <v>3.8158201924077539E-3</v>
      </c>
      <c r="F57">
        <f t="shared" si="2"/>
        <v>343.86653000000001</v>
      </c>
      <c r="G57">
        <f t="shared" si="3"/>
        <v>-0.62509999999999999</v>
      </c>
      <c r="H57">
        <f t="shared" si="4"/>
        <v>-214.95096790300005</v>
      </c>
      <c r="I57">
        <v>1</v>
      </c>
      <c r="J57">
        <f t="shared" si="5"/>
        <v>-1.0675016910840045</v>
      </c>
      <c r="K57">
        <f t="shared" si="6"/>
        <v>-0.554810572976012</v>
      </c>
      <c r="L57">
        <v>1</v>
      </c>
      <c r="M57">
        <f t="shared" si="7"/>
        <v>0.4672716791435802</v>
      </c>
      <c r="N57">
        <f t="shared" si="13"/>
        <v>3.4558586265000003E-2</v>
      </c>
      <c r="O57">
        <f t="shared" si="11"/>
        <v>6.5606642433359338E-3</v>
      </c>
      <c r="P57">
        <f t="shared" si="12"/>
        <v>4.6419643324095858E-2</v>
      </c>
      <c r="V57">
        <v>-0.70000000000002005</v>
      </c>
      <c r="W57">
        <f t="shared" si="9"/>
        <v>-0.48266999999999916</v>
      </c>
    </row>
    <row r="58" spans="1:23" x14ac:dyDescent="0.3">
      <c r="A58">
        <v>1.7505932500000001</v>
      </c>
      <c r="B58">
        <v>0.62224999999999997</v>
      </c>
      <c r="C58">
        <f t="shared" si="1"/>
        <v>1.0893066498124999</v>
      </c>
      <c r="D58">
        <v>2.01E-2</v>
      </c>
      <c r="E58">
        <v>3.8158201924077539E-3</v>
      </c>
      <c r="F58">
        <f t="shared" si="2"/>
        <v>350.11865</v>
      </c>
      <c r="G58">
        <f t="shared" si="3"/>
        <v>-0.62224999999999997</v>
      </c>
      <c r="H58">
        <f t="shared" si="4"/>
        <v>-217.86132996249998</v>
      </c>
      <c r="I58">
        <v>1</v>
      </c>
      <c r="J58">
        <f t="shared" si="5"/>
        <v>-1.0494831819461949</v>
      </c>
      <c r="K58">
        <f t="shared" si="6"/>
        <v>-0.55766057297601201</v>
      </c>
      <c r="L58">
        <v>1</v>
      </c>
      <c r="M58">
        <f t="shared" si="7"/>
        <v>0.46802665467645443</v>
      </c>
      <c r="N58">
        <f t="shared" si="13"/>
        <v>3.5186924325000001E-2</v>
      </c>
      <c r="O58">
        <f t="shared" si="11"/>
        <v>6.6799490720427157E-3</v>
      </c>
      <c r="P58">
        <f t="shared" si="12"/>
        <v>4.7767044902514863E-2</v>
      </c>
      <c r="V58">
        <v>-0.60000000000001996</v>
      </c>
      <c r="W58">
        <f t="shared" si="9"/>
        <v>-0.48685999999999918</v>
      </c>
    </row>
    <row r="59" spans="1:23" x14ac:dyDescent="0.3">
      <c r="A59">
        <v>1.7818538500000001</v>
      </c>
      <c r="B59">
        <v>0.61939999999999995</v>
      </c>
      <c r="C59">
        <f t="shared" si="1"/>
        <v>1.1036802746899999</v>
      </c>
      <c r="D59">
        <v>2.01E-2</v>
      </c>
      <c r="E59">
        <v>3.8158201924077539E-3</v>
      </c>
      <c r="F59">
        <f t="shared" si="2"/>
        <v>356.37076999999999</v>
      </c>
      <c r="G59">
        <f t="shared" si="3"/>
        <v>-0.61939999999999995</v>
      </c>
      <c r="H59">
        <f t="shared" si="4"/>
        <v>-220.73605493799997</v>
      </c>
      <c r="I59">
        <v>1</v>
      </c>
      <c r="J59">
        <f t="shared" si="5"/>
        <v>-1.0317836013392112</v>
      </c>
      <c r="K59">
        <f t="shared" si="6"/>
        <v>-0.56051057297601203</v>
      </c>
      <c r="L59">
        <v>1</v>
      </c>
      <c r="M59">
        <f t="shared" si="7"/>
        <v>0.46876826710388708</v>
      </c>
      <c r="N59">
        <f t="shared" si="13"/>
        <v>3.5815262385000005E-2</v>
      </c>
      <c r="O59">
        <f t="shared" si="11"/>
        <v>6.7992339007494976E-3</v>
      </c>
      <c r="P59">
        <f t="shared" si="12"/>
        <v>4.912780958637545E-2</v>
      </c>
      <c r="V59">
        <v>-0.50000000000001998</v>
      </c>
      <c r="W59">
        <f t="shared" si="9"/>
        <v>-0.49104999999999915</v>
      </c>
    </row>
    <row r="60" spans="1:23" x14ac:dyDescent="0.3">
      <c r="A60">
        <v>1.81936655</v>
      </c>
      <c r="B60">
        <v>0.61750000000000005</v>
      </c>
      <c r="C60">
        <f t="shared" si="1"/>
        <v>1.123458844625</v>
      </c>
      <c r="D60">
        <v>2.01E-2</v>
      </c>
      <c r="E60">
        <v>3.8158201924077539E-3</v>
      </c>
      <c r="F60">
        <f t="shared" si="2"/>
        <v>363.87331</v>
      </c>
      <c r="G60">
        <f t="shared" si="3"/>
        <v>-0.61750000000000005</v>
      </c>
      <c r="H60">
        <f t="shared" si="4"/>
        <v>-224.69176892499999</v>
      </c>
      <c r="I60">
        <v>1</v>
      </c>
      <c r="J60">
        <f t="shared" si="5"/>
        <v>-1.0109495213792135</v>
      </c>
      <c r="K60">
        <f t="shared" si="6"/>
        <v>-0.56241057297601194</v>
      </c>
      <c r="L60">
        <v>1</v>
      </c>
      <c r="M60">
        <f t="shared" si="7"/>
        <v>0.46964121505421097</v>
      </c>
      <c r="N60">
        <f t="shared" si="13"/>
        <v>3.6569267655000001E-2</v>
      </c>
      <c r="O60">
        <f t="shared" si="11"/>
        <v>6.9423756188812316E-3</v>
      </c>
      <c r="P60">
        <f t="shared" si="12"/>
        <v>4.9257714647919733E-2</v>
      </c>
      <c r="V60">
        <v>-0.40000000000002001</v>
      </c>
      <c r="W60">
        <f t="shared" si="9"/>
        <v>-0.49523999999999918</v>
      </c>
    </row>
    <row r="61" spans="1:23" x14ac:dyDescent="0.3">
      <c r="A61">
        <v>1.85062715</v>
      </c>
      <c r="B61">
        <v>0.61465000000000003</v>
      </c>
      <c r="C61">
        <f t="shared" si="1"/>
        <v>1.1374879777475</v>
      </c>
      <c r="D61">
        <v>2.01E-2</v>
      </c>
      <c r="E61">
        <v>3.8158201924077539E-3</v>
      </c>
      <c r="F61">
        <f t="shared" si="2"/>
        <v>370.12542999999999</v>
      </c>
      <c r="G61">
        <f t="shared" si="3"/>
        <v>-0.61465000000000003</v>
      </c>
      <c r="H61">
        <f t="shared" si="4"/>
        <v>-227.49759554950001</v>
      </c>
      <c r="I61">
        <v>1</v>
      </c>
      <c r="J61">
        <f t="shared" si="5"/>
        <v>-0.99391333079138422</v>
      </c>
      <c r="K61">
        <f t="shared" si="6"/>
        <v>-0.56526057297601195</v>
      </c>
      <c r="L61">
        <v>1</v>
      </c>
      <c r="M61">
        <f t="shared" si="7"/>
        <v>0.47035503143984103</v>
      </c>
      <c r="N61">
        <f t="shared" si="13"/>
        <v>3.7197605714999998E-2</v>
      </c>
      <c r="O61">
        <f t="shared" si="11"/>
        <v>7.0616604475880135E-3</v>
      </c>
      <c r="P61">
        <f t="shared" si="12"/>
        <v>5.0646275373582912E-2</v>
      </c>
      <c r="V61">
        <v>-0.30000000000001997</v>
      </c>
      <c r="W61">
        <f t="shared" si="9"/>
        <v>-0.49942999999999915</v>
      </c>
    </row>
    <row r="62" spans="1:23" x14ac:dyDescent="0.3">
      <c r="A62">
        <v>1.88188775</v>
      </c>
      <c r="B62">
        <v>0.61275000000000002</v>
      </c>
      <c r="C62">
        <f t="shared" si="1"/>
        <v>1.1531267188125001</v>
      </c>
      <c r="D62">
        <v>2.01E-2</v>
      </c>
      <c r="E62">
        <v>3.8158201924077539E-3</v>
      </c>
      <c r="F62">
        <f t="shared" si="2"/>
        <v>376.37754999999999</v>
      </c>
      <c r="G62">
        <f t="shared" si="3"/>
        <v>-0.61275000000000002</v>
      </c>
      <c r="H62">
        <f t="shared" si="4"/>
        <v>-230.62534376250002</v>
      </c>
      <c r="I62">
        <v>1</v>
      </c>
      <c r="J62">
        <f t="shared" si="5"/>
        <v>-0.97716251704543555</v>
      </c>
      <c r="K62">
        <f t="shared" si="6"/>
        <v>-0.56716057297601197</v>
      </c>
      <c r="L62">
        <v>1</v>
      </c>
      <c r="M62">
        <f t="shared" si="7"/>
        <v>0.47105689053579625</v>
      </c>
      <c r="N62">
        <f t="shared" si="13"/>
        <v>3.7825943775000002E-2</v>
      </c>
      <c r="O62">
        <f t="shared" si="11"/>
        <v>7.1809452762947954E-3</v>
      </c>
      <c r="P62">
        <f t="shared" si="12"/>
        <v>5.1096793388920925E-2</v>
      </c>
      <c r="V62">
        <v>-0.20000000000002</v>
      </c>
      <c r="W62">
        <f t="shared" si="9"/>
        <v>-0.50361999999999918</v>
      </c>
    </row>
    <row r="63" spans="1:23" x14ac:dyDescent="0.3">
      <c r="A63">
        <v>1.9131483</v>
      </c>
      <c r="B63">
        <v>0.6099</v>
      </c>
      <c r="C63">
        <f t="shared" si="1"/>
        <v>1.1668291481699999</v>
      </c>
      <c r="D63">
        <v>2.01E-2</v>
      </c>
      <c r="E63">
        <v>3.8158201924077539E-3</v>
      </c>
      <c r="F63">
        <f t="shared" si="2"/>
        <v>382.62966</v>
      </c>
      <c r="G63">
        <f t="shared" si="3"/>
        <v>-0.6099</v>
      </c>
      <c r="H63">
        <f t="shared" si="4"/>
        <v>-233.36582963399999</v>
      </c>
      <c r="I63">
        <v>1</v>
      </c>
      <c r="J63">
        <f t="shared" si="5"/>
        <v>-0.9606877027642623</v>
      </c>
      <c r="K63">
        <f t="shared" si="6"/>
        <v>-0.57001057297601199</v>
      </c>
      <c r="L63">
        <v>1</v>
      </c>
      <c r="M63">
        <f t="shared" si="7"/>
        <v>0.47174718525417741</v>
      </c>
      <c r="N63">
        <f t="shared" si="13"/>
        <v>3.845428083E-2</v>
      </c>
      <c r="O63">
        <f t="shared" si="11"/>
        <v>7.3002299142105676E-3</v>
      </c>
      <c r="P63">
        <f t="shared" si="12"/>
        <v>5.2508876977624006E-2</v>
      </c>
      <c r="V63">
        <v>-0.10000000000002</v>
      </c>
      <c r="W63">
        <f t="shared" si="9"/>
        <v>-0.50780999999999921</v>
      </c>
    </row>
    <row r="64" spans="1:23" x14ac:dyDescent="0.3">
      <c r="A64">
        <v>1.9444089</v>
      </c>
      <c r="B64">
        <v>0.60704999999999998</v>
      </c>
      <c r="C64">
        <f t="shared" si="1"/>
        <v>1.1803534227449999</v>
      </c>
      <c r="D64">
        <v>2.01E-2</v>
      </c>
      <c r="E64">
        <v>3.8158201924077539E-3</v>
      </c>
      <c r="F64">
        <f t="shared" si="2"/>
        <v>388.88177999999999</v>
      </c>
      <c r="G64">
        <f t="shared" si="3"/>
        <v>-0.60704999999999998</v>
      </c>
      <c r="H64">
        <f t="shared" si="4"/>
        <v>-236.07068454899996</v>
      </c>
      <c r="I64">
        <v>1</v>
      </c>
      <c r="J64">
        <f t="shared" si="5"/>
        <v>-0.94447988900793256</v>
      </c>
      <c r="K64">
        <f t="shared" si="6"/>
        <v>-0.57286057297601201</v>
      </c>
      <c r="L64">
        <v>1</v>
      </c>
      <c r="M64">
        <f t="shared" si="7"/>
        <v>0.47242629265056763</v>
      </c>
      <c r="N64">
        <f t="shared" si="13"/>
        <v>3.9082618889999997E-2</v>
      </c>
      <c r="O64">
        <f t="shared" si="11"/>
        <v>7.4195147429173495E-3</v>
      </c>
      <c r="P64">
        <f t="shared" si="12"/>
        <v>5.3932146692527036E-2</v>
      </c>
      <c r="V64">
        <v>-2.0428103653102899E-14</v>
      </c>
      <c r="W64">
        <f t="shared" si="9"/>
        <v>-0.51199999999999912</v>
      </c>
    </row>
    <row r="65" spans="1:23" x14ac:dyDescent="0.3">
      <c r="A65">
        <v>1.9756695</v>
      </c>
      <c r="B65">
        <v>0.60514999999999997</v>
      </c>
      <c r="C65">
        <f t="shared" si="1"/>
        <v>1.1955763979249998</v>
      </c>
      <c r="D65">
        <v>2.01E-2</v>
      </c>
      <c r="E65">
        <v>3.8158201924077539E-3</v>
      </c>
      <c r="F65">
        <f t="shared" si="2"/>
        <v>395.13389999999998</v>
      </c>
      <c r="G65">
        <f t="shared" si="3"/>
        <v>-0.60514999999999997</v>
      </c>
      <c r="H65">
        <f t="shared" si="4"/>
        <v>-239.11527958499997</v>
      </c>
      <c r="I65">
        <v>1</v>
      </c>
      <c r="J65">
        <f t="shared" si="5"/>
        <v>-0.9285305841824707</v>
      </c>
      <c r="K65">
        <f t="shared" si="6"/>
        <v>-0.57476057297601202</v>
      </c>
      <c r="L65">
        <v>1</v>
      </c>
      <c r="M65">
        <f t="shared" si="7"/>
        <v>0.4730945685227545</v>
      </c>
      <c r="N65">
        <f t="shared" si="13"/>
        <v>3.9710956950000001E-2</v>
      </c>
      <c r="O65">
        <f t="shared" si="11"/>
        <v>7.5387995716241305E-3</v>
      </c>
      <c r="P65">
        <f t="shared" si="12"/>
        <v>5.4416247931633389E-2</v>
      </c>
      <c r="V65">
        <v>9.9999999999980105E-2</v>
      </c>
      <c r="W65">
        <f t="shared" si="9"/>
        <v>-0.51618999999999915</v>
      </c>
    </row>
    <row r="66" spans="1:23" x14ac:dyDescent="0.3">
      <c r="A66">
        <v>2.0069300999999999</v>
      </c>
      <c r="B66">
        <v>0.60324999999999995</v>
      </c>
      <c r="C66">
        <f t="shared" si="1"/>
        <v>1.2106805828249998</v>
      </c>
      <c r="D66">
        <v>2.01E-2</v>
      </c>
      <c r="E66">
        <v>3.8158201924077539E-3</v>
      </c>
      <c r="F66">
        <f t="shared" si="2"/>
        <v>401.38601999999997</v>
      </c>
      <c r="G66">
        <f t="shared" si="3"/>
        <v>-0.60324999999999995</v>
      </c>
      <c r="H66">
        <f t="shared" si="4"/>
        <v>-242.13611656499995</v>
      </c>
      <c r="I66">
        <v>1</v>
      </c>
      <c r="J66">
        <f t="shared" si="5"/>
        <v>-0.91283167132805609</v>
      </c>
      <c r="K66">
        <f t="shared" si="6"/>
        <v>-0.57666057297601203</v>
      </c>
      <c r="L66">
        <v>1</v>
      </c>
      <c r="M66">
        <f t="shared" si="7"/>
        <v>0.47375235297135448</v>
      </c>
      <c r="N66">
        <f t="shared" si="13"/>
        <v>4.0339295009999998E-2</v>
      </c>
      <c r="O66">
        <f t="shared" si="11"/>
        <v>7.6580844003309124E-3</v>
      </c>
      <c r="P66">
        <f t="shared" si="12"/>
        <v>5.4910840594326639E-2</v>
      </c>
      <c r="V66">
        <v>0.19999999999998</v>
      </c>
      <c r="W66">
        <f t="shared" si="9"/>
        <v>-0.52037999999999918</v>
      </c>
    </row>
    <row r="67" spans="1:23" x14ac:dyDescent="0.3">
      <c r="A67">
        <v>2.0444428000000001</v>
      </c>
      <c r="B67">
        <v>0.60040000000000004</v>
      </c>
      <c r="C67">
        <f t="shared" si="1"/>
        <v>1.2274834571200002</v>
      </c>
      <c r="D67">
        <v>2.01E-2</v>
      </c>
      <c r="E67">
        <v>3.8158201924077539E-3</v>
      </c>
      <c r="F67">
        <f t="shared" si="2"/>
        <v>408.88856000000004</v>
      </c>
      <c r="G67">
        <f t="shared" si="3"/>
        <v>-0.60040000000000004</v>
      </c>
      <c r="H67">
        <f t="shared" si="4"/>
        <v>-245.49669142400003</v>
      </c>
      <c r="I67">
        <v>1</v>
      </c>
      <c r="J67">
        <f t="shared" si="5"/>
        <v>-0.89431262950352919</v>
      </c>
      <c r="K67">
        <f t="shared" si="6"/>
        <v>-0.57951057297601194</v>
      </c>
      <c r="L67">
        <v>1</v>
      </c>
      <c r="M67">
        <f t="shared" si="7"/>
        <v>0.47452830082380215</v>
      </c>
      <c r="N67">
        <f t="shared" si="13"/>
        <v>4.1093300280000002E-2</v>
      </c>
      <c r="O67">
        <f t="shared" si="11"/>
        <v>7.8012261184626473E-3</v>
      </c>
      <c r="P67">
        <f t="shared" si="12"/>
        <v>5.6087745753747142E-2</v>
      </c>
      <c r="V67">
        <v>0.29999999999998</v>
      </c>
      <c r="W67">
        <f t="shared" si="9"/>
        <v>-0.5245699999999992</v>
      </c>
    </row>
    <row r="68" spans="1:23" x14ac:dyDescent="0.3">
      <c r="A68">
        <v>2.0757034000000001</v>
      </c>
      <c r="B68">
        <v>0.59755000000000003</v>
      </c>
      <c r="C68">
        <f t="shared" si="1"/>
        <v>1.2403365666700001</v>
      </c>
      <c r="D68">
        <v>2.01E-2</v>
      </c>
      <c r="E68">
        <v>3.8158201924077539E-3</v>
      </c>
      <c r="F68">
        <f t="shared" si="2"/>
        <v>415.14068000000003</v>
      </c>
      <c r="G68">
        <f t="shared" si="3"/>
        <v>-0.59755000000000003</v>
      </c>
      <c r="H68">
        <f t="shared" si="4"/>
        <v>-248.06731333400003</v>
      </c>
      <c r="I68">
        <v>1</v>
      </c>
      <c r="J68">
        <f t="shared" si="5"/>
        <v>-0.87913782824306574</v>
      </c>
      <c r="K68">
        <f t="shared" si="6"/>
        <v>-0.58236057297601196</v>
      </c>
      <c r="L68">
        <v>1</v>
      </c>
      <c r="M68">
        <f t="shared" si="7"/>
        <v>0.47516412499661553</v>
      </c>
      <c r="N68">
        <f t="shared" si="13"/>
        <v>4.1721638339999999E-2</v>
      </c>
      <c r="O68">
        <f t="shared" si="11"/>
        <v>7.9205109471694301E-3</v>
      </c>
      <c r="P68">
        <f t="shared" si="12"/>
        <v>5.7554298692226988E-2</v>
      </c>
      <c r="V68">
        <v>0.39999999999997998</v>
      </c>
      <c r="W68">
        <f t="shared" si="9"/>
        <v>-0.52875999999999912</v>
      </c>
    </row>
    <row r="69" spans="1:23" x14ac:dyDescent="0.3">
      <c r="A69">
        <v>2.1069640000000001</v>
      </c>
      <c r="B69">
        <v>0.59565000000000001</v>
      </c>
      <c r="C69">
        <f t="shared" ref="C69:C132" si="14">A69*B69</f>
        <v>1.2550131066000001</v>
      </c>
      <c r="D69">
        <v>2.01E-2</v>
      </c>
      <c r="E69">
        <v>3.8158201924077539E-3</v>
      </c>
      <c r="F69">
        <f t="shared" ref="F69:F132" si="15">A69*200</f>
        <v>421.39280000000002</v>
      </c>
      <c r="G69">
        <f t="shared" ref="G69:G132" si="16">-B69</f>
        <v>-0.59565000000000001</v>
      </c>
      <c r="H69">
        <f t="shared" ref="H69:H132" si="17">-C69*200</f>
        <v>-251.00262132000003</v>
      </c>
      <c r="I69">
        <v>1</v>
      </c>
      <c r="J69">
        <f t="shared" ref="J69:J132" si="18">LN(F69/1000)</f>
        <v>-0.86418986366214323</v>
      </c>
      <c r="K69">
        <f t="shared" ref="K69:K132" si="19">((-G69)-$N$2)</f>
        <v>-0.58426057297601197</v>
      </c>
      <c r="L69">
        <v>1</v>
      </c>
      <c r="M69">
        <f t="shared" ref="M69:M132" si="20">-1*($S$4+($S$5*J69))</f>
        <v>0.47579044471255622</v>
      </c>
      <c r="N69">
        <f t="shared" si="13"/>
        <v>4.2349976400000003E-2</v>
      </c>
      <c r="O69">
        <f t="shared" si="11"/>
        <v>8.0397957758762111E-3</v>
      </c>
      <c r="P69">
        <f t="shared" si="12"/>
        <v>5.808035608757954E-2</v>
      </c>
      <c r="V69">
        <v>0.49999999999998002</v>
      </c>
      <c r="W69">
        <f t="shared" ref="W69:W132" si="21">V69*$S$5+$S$4</f>
        <v>-0.53294999999999915</v>
      </c>
    </row>
    <row r="70" spans="1:23" x14ac:dyDescent="0.3">
      <c r="A70">
        <v>2.1382246</v>
      </c>
      <c r="B70">
        <v>0.59375</v>
      </c>
      <c r="C70">
        <f t="shared" si="14"/>
        <v>1.2695708562500001</v>
      </c>
      <c r="D70">
        <v>2.01E-2</v>
      </c>
      <c r="E70">
        <v>3.8158201924077539E-3</v>
      </c>
      <c r="F70">
        <f t="shared" si="15"/>
        <v>427.64492000000001</v>
      </c>
      <c r="G70">
        <f t="shared" si="16"/>
        <v>-0.59375</v>
      </c>
      <c r="H70">
        <f t="shared" si="17"/>
        <v>-253.91417125000001</v>
      </c>
      <c r="I70">
        <v>1</v>
      </c>
      <c r="J70">
        <f t="shared" si="18"/>
        <v>-0.84946205389881069</v>
      </c>
      <c r="K70">
        <f t="shared" si="19"/>
        <v>-0.58616057297601198</v>
      </c>
      <c r="L70">
        <v>1</v>
      </c>
      <c r="M70">
        <f t="shared" si="20"/>
        <v>0.47640753994163987</v>
      </c>
      <c r="N70">
        <f t="shared" si="13"/>
        <v>4.297831446E-2</v>
      </c>
      <c r="O70">
        <f t="shared" ref="O70:O133" si="22">E70*A70</f>
        <v>8.1590806045829922E-3</v>
      </c>
      <c r="P70">
        <f t="shared" ref="P70:P133" si="23">-K70-M70-N70-O70</f>
        <v>5.8615637969789122E-2</v>
      </c>
      <c r="V70">
        <v>0.59999999999997999</v>
      </c>
      <c r="W70">
        <f t="shared" si="21"/>
        <v>-0.53713999999999917</v>
      </c>
    </row>
    <row r="71" spans="1:23" x14ac:dyDescent="0.3">
      <c r="A71">
        <v>2.1694852</v>
      </c>
      <c r="B71">
        <v>0.59089999999999998</v>
      </c>
      <c r="C71">
        <f t="shared" si="14"/>
        <v>1.2819488046800001</v>
      </c>
      <c r="D71">
        <v>2.01E-2</v>
      </c>
      <c r="E71">
        <v>3.8158201924077539E-3</v>
      </c>
      <c r="F71">
        <f t="shared" si="15"/>
        <v>433.89704</v>
      </c>
      <c r="G71">
        <f t="shared" si="16"/>
        <v>-0.59089999999999998</v>
      </c>
      <c r="H71">
        <f t="shared" si="17"/>
        <v>-256.38976093600002</v>
      </c>
      <c r="I71">
        <v>1</v>
      </c>
      <c r="J71">
        <f t="shared" si="18"/>
        <v>-0.83494800804945313</v>
      </c>
      <c r="K71">
        <f t="shared" si="19"/>
        <v>-0.589010572976012</v>
      </c>
      <c r="L71">
        <v>1</v>
      </c>
      <c r="M71">
        <f t="shared" si="20"/>
        <v>0.47701567846272791</v>
      </c>
      <c r="N71">
        <f t="shared" ref="N71:N134" si="24">D71*A71</f>
        <v>4.3606652519999997E-2</v>
      </c>
      <c r="O71">
        <f t="shared" si="22"/>
        <v>8.2783654332897749E-3</v>
      </c>
      <c r="P71">
        <f t="shared" si="23"/>
        <v>6.0109876559994321E-2</v>
      </c>
      <c r="V71">
        <v>0.69999999999997997</v>
      </c>
      <c r="W71">
        <f t="shared" si="21"/>
        <v>-0.5413299999999992</v>
      </c>
    </row>
    <row r="72" spans="1:23" x14ac:dyDescent="0.3">
      <c r="A72">
        <v>2.2007458</v>
      </c>
      <c r="B72">
        <v>0.58899999999999997</v>
      </c>
      <c r="C72">
        <f t="shared" si="14"/>
        <v>1.2962392761999999</v>
      </c>
      <c r="D72">
        <v>2.01E-2</v>
      </c>
      <c r="E72">
        <v>3.8158201924077539E-3</v>
      </c>
      <c r="F72">
        <f t="shared" si="15"/>
        <v>440.14915999999999</v>
      </c>
      <c r="G72">
        <f t="shared" si="16"/>
        <v>-0.58899999999999997</v>
      </c>
      <c r="H72">
        <f t="shared" si="17"/>
        <v>-259.24785523999998</v>
      </c>
      <c r="I72">
        <v>1</v>
      </c>
      <c r="J72">
        <f t="shared" si="18"/>
        <v>-0.82064160951734744</v>
      </c>
      <c r="K72">
        <f t="shared" si="19"/>
        <v>-0.59091057297601202</v>
      </c>
      <c r="L72">
        <v>1</v>
      </c>
      <c r="M72">
        <f t="shared" si="20"/>
        <v>0.47761511656122313</v>
      </c>
      <c r="N72">
        <f t="shared" si="24"/>
        <v>4.4234990580000001E-2</v>
      </c>
      <c r="O72">
        <f t="shared" si="22"/>
        <v>8.397650261996556E-3</v>
      </c>
      <c r="P72">
        <f t="shared" si="23"/>
        <v>6.0662815572792336E-2</v>
      </c>
      <c r="V72">
        <v>0.79999999999997995</v>
      </c>
      <c r="W72">
        <f t="shared" si="21"/>
        <v>-0.54551999999999912</v>
      </c>
    </row>
    <row r="73" spans="1:23" x14ac:dyDescent="0.3">
      <c r="A73">
        <v>2.2320063500000002</v>
      </c>
      <c r="B73">
        <v>0.58614999999999995</v>
      </c>
      <c r="C73">
        <f t="shared" si="14"/>
        <v>1.3082905220525001</v>
      </c>
      <c r="D73">
        <v>2.01E-2</v>
      </c>
      <c r="E73">
        <v>3.8158201924077539E-3</v>
      </c>
      <c r="F73">
        <f t="shared" si="15"/>
        <v>446.40127000000007</v>
      </c>
      <c r="G73">
        <f t="shared" si="16"/>
        <v>-0.58614999999999995</v>
      </c>
      <c r="H73">
        <f t="shared" si="17"/>
        <v>-261.65810441050002</v>
      </c>
      <c r="I73">
        <v>1</v>
      </c>
      <c r="J73">
        <f t="shared" si="18"/>
        <v>-0.8065370229370038</v>
      </c>
      <c r="K73">
        <f t="shared" si="19"/>
        <v>-0.59376057297601204</v>
      </c>
      <c r="L73">
        <v>1</v>
      </c>
      <c r="M73">
        <f t="shared" si="20"/>
        <v>0.47820609873893954</v>
      </c>
      <c r="N73">
        <f t="shared" si="24"/>
        <v>4.4863327635000005E-2</v>
      </c>
      <c r="O73">
        <f t="shared" si="22"/>
        <v>8.516934899912329E-3</v>
      </c>
      <c r="P73">
        <f t="shared" si="23"/>
        <v>6.2174211702160156E-2</v>
      </c>
      <c r="V73">
        <v>0.89999999999998004</v>
      </c>
      <c r="W73">
        <f t="shared" si="21"/>
        <v>-0.54970999999999914</v>
      </c>
    </row>
    <row r="74" spans="1:23" x14ac:dyDescent="0.3">
      <c r="A74">
        <v>2.2632669500000002</v>
      </c>
      <c r="B74">
        <v>0.58425000000000005</v>
      </c>
      <c r="C74">
        <f t="shared" si="14"/>
        <v>1.3223137155375002</v>
      </c>
      <c r="D74">
        <v>2.01E-2</v>
      </c>
      <c r="E74">
        <v>3.8158201924077539E-3</v>
      </c>
      <c r="F74">
        <f t="shared" si="15"/>
        <v>452.65339000000006</v>
      </c>
      <c r="G74">
        <f t="shared" si="16"/>
        <v>-0.58425000000000005</v>
      </c>
      <c r="H74">
        <f t="shared" si="17"/>
        <v>-264.46274310750005</v>
      </c>
      <c r="I74">
        <v>1</v>
      </c>
      <c r="J74">
        <f t="shared" si="18"/>
        <v>-0.79262858985864226</v>
      </c>
      <c r="K74">
        <f t="shared" si="19"/>
        <v>-0.59566057297601194</v>
      </c>
      <c r="L74">
        <v>1</v>
      </c>
      <c r="M74">
        <f t="shared" si="20"/>
        <v>0.47878886208492288</v>
      </c>
      <c r="N74">
        <f t="shared" si="24"/>
        <v>4.5491665695000003E-2</v>
      </c>
      <c r="O74">
        <f t="shared" si="22"/>
        <v>8.6362197286191118E-3</v>
      </c>
      <c r="P74">
        <f t="shared" si="23"/>
        <v>6.2743825467469941E-2</v>
      </c>
      <c r="V74">
        <v>0.99999999999998002</v>
      </c>
      <c r="W74">
        <f t="shared" si="21"/>
        <v>-0.55389999999999917</v>
      </c>
    </row>
    <row r="75" spans="1:23" x14ac:dyDescent="0.3">
      <c r="A75">
        <v>2.2945275499999997</v>
      </c>
      <c r="B75">
        <v>0.58235000000000003</v>
      </c>
      <c r="C75">
        <f t="shared" si="14"/>
        <v>1.3362181187425</v>
      </c>
      <c r="D75">
        <v>2.01E-2</v>
      </c>
      <c r="E75">
        <v>3.8158201924077539E-3</v>
      </c>
      <c r="F75">
        <f t="shared" si="15"/>
        <v>458.90550999999994</v>
      </c>
      <c r="G75">
        <f t="shared" si="16"/>
        <v>-0.58235000000000003</v>
      </c>
      <c r="H75">
        <f t="shared" si="17"/>
        <v>-267.2436237485</v>
      </c>
      <c r="I75">
        <v>1</v>
      </c>
      <c r="J75">
        <f t="shared" si="18"/>
        <v>-0.77891095068023564</v>
      </c>
      <c r="K75">
        <f t="shared" si="19"/>
        <v>-0.59756057297601195</v>
      </c>
      <c r="L75">
        <v>1</v>
      </c>
      <c r="M75">
        <f t="shared" si="20"/>
        <v>0.47936363116649816</v>
      </c>
      <c r="N75">
        <f t="shared" si="24"/>
        <v>4.6120003754999993E-2</v>
      </c>
      <c r="O75">
        <f t="shared" si="22"/>
        <v>8.7555045573258911E-3</v>
      </c>
      <c r="P75">
        <f t="shared" si="23"/>
        <v>6.3321433497187898E-2</v>
      </c>
      <c r="V75">
        <v>1.0999999999999699</v>
      </c>
      <c r="W75">
        <f t="shared" si="21"/>
        <v>-0.55808999999999875</v>
      </c>
    </row>
    <row r="76" spans="1:23" x14ac:dyDescent="0.3">
      <c r="A76">
        <v>2.3320402499999999</v>
      </c>
      <c r="B76">
        <v>0.57950000000000002</v>
      </c>
      <c r="C76">
        <f t="shared" si="14"/>
        <v>1.3514173248749999</v>
      </c>
      <c r="D76">
        <v>2.01E-2</v>
      </c>
      <c r="E76">
        <v>3.8158201924077539E-3</v>
      </c>
      <c r="F76">
        <f t="shared" si="15"/>
        <v>466.40805</v>
      </c>
      <c r="G76">
        <f t="shared" si="16"/>
        <v>-0.57950000000000002</v>
      </c>
      <c r="H76">
        <f t="shared" si="17"/>
        <v>-270.28346497499996</v>
      </c>
      <c r="I76">
        <v>1</v>
      </c>
      <c r="J76">
        <f t="shared" si="18"/>
        <v>-0.7626943842320254</v>
      </c>
      <c r="K76">
        <f t="shared" si="19"/>
        <v>-0.60041057297601197</v>
      </c>
      <c r="L76">
        <v>1</v>
      </c>
      <c r="M76">
        <f t="shared" si="20"/>
        <v>0.48004310530067817</v>
      </c>
      <c r="N76">
        <f t="shared" si="24"/>
        <v>4.6874009024999996E-2</v>
      </c>
      <c r="O76">
        <f t="shared" si="22"/>
        <v>8.8986462754576268E-3</v>
      </c>
      <c r="P76">
        <f t="shared" si="23"/>
        <v>6.4594812374876173E-2</v>
      </c>
      <c r="V76">
        <v>1.19999999999997</v>
      </c>
      <c r="W76">
        <f t="shared" si="21"/>
        <v>-0.56227999999999878</v>
      </c>
    </row>
    <row r="77" spans="1:23" x14ac:dyDescent="0.3">
      <c r="A77">
        <v>2.3633008499999999</v>
      </c>
      <c r="B77">
        <v>0.5776</v>
      </c>
      <c r="C77">
        <f t="shared" si="14"/>
        <v>1.36504257096</v>
      </c>
      <c r="D77">
        <v>2.01E-2</v>
      </c>
      <c r="E77">
        <v>3.8158201924077539E-3</v>
      </c>
      <c r="F77">
        <f t="shared" si="15"/>
        <v>472.66016999999999</v>
      </c>
      <c r="G77">
        <f t="shared" si="16"/>
        <v>-0.5776</v>
      </c>
      <c r="H77">
        <f t="shared" si="17"/>
        <v>-273.00851419200001</v>
      </c>
      <c r="I77">
        <v>1</v>
      </c>
      <c r="J77">
        <f t="shared" si="18"/>
        <v>-0.74937860536349377</v>
      </c>
      <c r="K77">
        <f t="shared" si="19"/>
        <v>-0.60231057297601198</v>
      </c>
      <c r="L77">
        <v>1</v>
      </c>
      <c r="M77">
        <f t="shared" si="20"/>
        <v>0.48060103643526964</v>
      </c>
      <c r="N77">
        <f t="shared" si="24"/>
        <v>4.7502347085E-2</v>
      </c>
      <c r="O77">
        <f t="shared" si="22"/>
        <v>9.0179311041644079E-3</v>
      </c>
      <c r="P77">
        <f t="shared" si="23"/>
        <v>6.5189258351577933E-2</v>
      </c>
      <c r="V77">
        <v>1.2999999999999701</v>
      </c>
      <c r="W77">
        <f t="shared" si="21"/>
        <v>-0.56646999999999881</v>
      </c>
    </row>
    <row r="78" spans="1:23" x14ac:dyDescent="0.3">
      <c r="A78">
        <v>2.3945614499999999</v>
      </c>
      <c r="B78">
        <v>0.57474999999999998</v>
      </c>
      <c r="C78">
        <f t="shared" si="14"/>
        <v>1.3762741933874998</v>
      </c>
      <c r="D78">
        <v>2.01E-2</v>
      </c>
      <c r="E78">
        <v>3.8158201924077539E-3</v>
      </c>
      <c r="F78">
        <f t="shared" si="15"/>
        <v>478.91228999999998</v>
      </c>
      <c r="G78">
        <f t="shared" si="16"/>
        <v>-0.57474999999999998</v>
      </c>
      <c r="H78">
        <f t="shared" si="17"/>
        <v>-275.25483867749995</v>
      </c>
      <c r="I78">
        <v>1</v>
      </c>
      <c r="J78">
        <f t="shared" si="18"/>
        <v>-0.73623780898520486</v>
      </c>
      <c r="K78">
        <f t="shared" si="19"/>
        <v>-0.605160572976012</v>
      </c>
      <c r="L78">
        <v>1</v>
      </c>
      <c r="M78">
        <f t="shared" si="20"/>
        <v>0.48115163580351994</v>
      </c>
      <c r="N78">
        <f t="shared" si="24"/>
        <v>4.8130685144999998E-2</v>
      </c>
      <c r="O78">
        <f t="shared" si="22"/>
        <v>9.1372159328711906E-3</v>
      </c>
      <c r="P78">
        <f t="shared" si="23"/>
        <v>6.6741036094620884E-2</v>
      </c>
      <c r="V78">
        <v>1.3999999999999699</v>
      </c>
      <c r="W78">
        <f t="shared" si="21"/>
        <v>-0.57065999999999872</v>
      </c>
    </row>
    <row r="79" spans="1:23" x14ac:dyDescent="0.3">
      <c r="A79">
        <v>2.4258220499999998</v>
      </c>
      <c r="B79">
        <v>0.57284999999999997</v>
      </c>
      <c r="C79">
        <f t="shared" si="14"/>
        <v>1.3896321613424998</v>
      </c>
      <c r="D79">
        <v>2.01E-2</v>
      </c>
      <c r="E79">
        <v>3.8158201924077539E-3</v>
      </c>
      <c r="F79">
        <f t="shared" si="15"/>
        <v>485.16440999999998</v>
      </c>
      <c r="G79">
        <f t="shared" si="16"/>
        <v>-0.57284999999999997</v>
      </c>
      <c r="H79">
        <f t="shared" si="17"/>
        <v>-277.92643226849998</v>
      </c>
      <c r="I79">
        <v>1</v>
      </c>
      <c r="J79">
        <f t="shared" si="18"/>
        <v>-0.72326745579795582</v>
      </c>
      <c r="K79">
        <f t="shared" si="19"/>
        <v>-0.60706057297601201</v>
      </c>
      <c r="L79">
        <v>1</v>
      </c>
      <c r="M79">
        <f t="shared" si="20"/>
        <v>0.48169509360206564</v>
      </c>
      <c r="N79">
        <f t="shared" si="24"/>
        <v>4.8759023204999995E-2</v>
      </c>
      <c r="O79">
        <f t="shared" si="22"/>
        <v>9.2565007615779717E-3</v>
      </c>
      <c r="P79">
        <f t="shared" si="23"/>
        <v>6.7349955407368406E-2</v>
      </c>
      <c r="V79">
        <v>1.49999999999997</v>
      </c>
      <c r="W79">
        <f t="shared" si="21"/>
        <v>-0.57484999999999875</v>
      </c>
    </row>
    <row r="80" spans="1:23" x14ac:dyDescent="0.3">
      <c r="A80">
        <v>2.4570826500000003</v>
      </c>
      <c r="B80">
        <v>0.56999999999999995</v>
      </c>
      <c r="C80">
        <f t="shared" si="14"/>
        <v>1.4005371105</v>
      </c>
      <c r="D80">
        <v>2.01E-2</v>
      </c>
      <c r="E80">
        <v>3.8158201924077539E-3</v>
      </c>
      <c r="F80">
        <f t="shared" si="15"/>
        <v>491.41653000000008</v>
      </c>
      <c r="G80">
        <f t="shared" si="16"/>
        <v>-0.56999999999999995</v>
      </c>
      <c r="H80">
        <f t="shared" si="17"/>
        <v>-280.10742210000001</v>
      </c>
      <c r="I80">
        <v>1</v>
      </c>
      <c r="J80">
        <f t="shared" si="18"/>
        <v>-0.71046318087718408</v>
      </c>
      <c r="K80">
        <f t="shared" si="19"/>
        <v>-0.60991057297601203</v>
      </c>
      <c r="L80">
        <v>1</v>
      </c>
      <c r="M80">
        <f t="shared" si="20"/>
        <v>0.48223159272124599</v>
      </c>
      <c r="N80">
        <f t="shared" si="24"/>
        <v>4.9387361265000006E-2</v>
      </c>
      <c r="O80">
        <f t="shared" si="22"/>
        <v>9.3757855902847544E-3</v>
      </c>
      <c r="P80">
        <f t="shared" si="23"/>
        <v>6.8915833399481277E-2</v>
      </c>
      <c r="V80">
        <v>1.5999999999999699</v>
      </c>
      <c r="W80">
        <f t="shared" si="21"/>
        <v>-0.57903999999999878</v>
      </c>
    </row>
    <row r="81" spans="1:23" x14ac:dyDescent="0.3">
      <c r="A81">
        <v>2.4883432500000002</v>
      </c>
      <c r="B81">
        <v>0.56810000000000005</v>
      </c>
      <c r="C81">
        <f t="shared" si="14"/>
        <v>1.4136278003250002</v>
      </c>
      <c r="D81">
        <v>2.01E-2</v>
      </c>
      <c r="E81">
        <v>3.8158201924077539E-3</v>
      </c>
      <c r="F81">
        <f t="shared" si="15"/>
        <v>497.66865000000007</v>
      </c>
      <c r="G81">
        <f t="shared" si="16"/>
        <v>-0.56810000000000005</v>
      </c>
      <c r="H81">
        <f t="shared" si="17"/>
        <v>-282.72556006500002</v>
      </c>
      <c r="I81">
        <v>1</v>
      </c>
      <c r="J81">
        <f t="shared" si="18"/>
        <v>-0.69782078485442944</v>
      </c>
      <c r="K81">
        <f t="shared" si="19"/>
        <v>-0.61181057297601193</v>
      </c>
      <c r="L81">
        <v>1</v>
      </c>
      <c r="M81">
        <f t="shared" si="20"/>
        <v>0.48276130911459941</v>
      </c>
      <c r="N81">
        <f t="shared" si="24"/>
        <v>5.0015699325000003E-2</v>
      </c>
      <c r="O81">
        <f t="shared" si="22"/>
        <v>9.4950704189915372E-3</v>
      </c>
      <c r="P81">
        <f t="shared" si="23"/>
        <v>6.9538494117420996E-2</v>
      </c>
      <c r="V81">
        <v>1.69999999999997</v>
      </c>
      <c r="W81">
        <f t="shared" si="21"/>
        <v>-0.5832299999999988</v>
      </c>
    </row>
    <row r="82" spans="1:23" x14ac:dyDescent="0.3">
      <c r="A82">
        <v>2.5196038500000002</v>
      </c>
      <c r="B82">
        <v>0.56525000000000003</v>
      </c>
      <c r="C82">
        <f t="shared" si="14"/>
        <v>1.4242060762125002</v>
      </c>
      <c r="D82">
        <v>2.01E-2</v>
      </c>
      <c r="E82">
        <v>3.8158201924077539E-3</v>
      </c>
      <c r="F82">
        <f t="shared" si="15"/>
        <v>503.92077000000006</v>
      </c>
      <c r="G82">
        <f t="shared" si="16"/>
        <v>-0.56525000000000003</v>
      </c>
      <c r="H82">
        <f t="shared" si="17"/>
        <v>-284.84121524250003</v>
      </c>
      <c r="I82">
        <v>1</v>
      </c>
      <c r="J82">
        <f t="shared" si="18"/>
        <v>-0.68533622564931018</v>
      </c>
      <c r="K82">
        <f t="shared" si="19"/>
        <v>-0.61466057297601195</v>
      </c>
      <c r="L82">
        <v>1</v>
      </c>
      <c r="M82">
        <f t="shared" si="20"/>
        <v>0.48328441214529394</v>
      </c>
      <c r="N82">
        <f t="shared" si="24"/>
        <v>5.0644037385000007E-2</v>
      </c>
      <c r="O82">
        <f t="shared" si="22"/>
        <v>9.6143552476983182E-3</v>
      </c>
      <c r="P82">
        <f t="shared" si="23"/>
        <v>7.1117768198019682E-2</v>
      </c>
      <c r="V82">
        <v>1.7999999999999701</v>
      </c>
      <c r="W82">
        <f t="shared" si="21"/>
        <v>-0.58741999999999872</v>
      </c>
    </row>
    <row r="83" spans="1:23" x14ac:dyDescent="0.3">
      <c r="A83">
        <v>2.5508644500000002</v>
      </c>
      <c r="B83">
        <v>0.56335000000000002</v>
      </c>
      <c r="C83">
        <f t="shared" si="14"/>
        <v>1.4370294879075001</v>
      </c>
      <c r="D83">
        <v>2.01E-2</v>
      </c>
      <c r="E83">
        <v>3.8158201924077539E-3</v>
      </c>
      <c r="F83">
        <f t="shared" si="15"/>
        <v>510.17289000000005</v>
      </c>
      <c r="G83">
        <f t="shared" si="16"/>
        <v>-0.56335000000000002</v>
      </c>
      <c r="H83">
        <f t="shared" si="17"/>
        <v>-287.40589758150003</v>
      </c>
      <c r="I83">
        <v>1</v>
      </c>
      <c r="J83">
        <f t="shared" si="18"/>
        <v>-0.67300561071128262</v>
      </c>
      <c r="K83">
        <f t="shared" si="19"/>
        <v>-0.61656057297601197</v>
      </c>
      <c r="L83">
        <v>1</v>
      </c>
      <c r="M83">
        <f t="shared" si="20"/>
        <v>0.48380106491119729</v>
      </c>
      <c r="N83">
        <f t="shared" si="24"/>
        <v>5.1272375445000004E-2</v>
      </c>
      <c r="O83">
        <f t="shared" si="22"/>
        <v>9.7336400764050993E-3</v>
      </c>
      <c r="P83">
        <f t="shared" si="23"/>
        <v>7.1753492543409569E-2</v>
      </c>
      <c r="V83">
        <v>1.8999999999999699</v>
      </c>
      <c r="W83">
        <f t="shared" si="21"/>
        <v>-0.59160999999999875</v>
      </c>
    </row>
    <row r="84" spans="1:23" x14ac:dyDescent="0.3">
      <c r="A84">
        <v>2.5821249999999996</v>
      </c>
      <c r="B84">
        <v>0.56145</v>
      </c>
      <c r="C84">
        <f t="shared" si="14"/>
        <v>1.4497340812499997</v>
      </c>
      <c r="D84">
        <v>2.01E-2</v>
      </c>
      <c r="E84">
        <v>3.8158201924077539E-3</v>
      </c>
      <c r="F84">
        <f t="shared" si="15"/>
        <v>516.42499999999995</v>
      </c>
      <c r="G84">
        <f t="shared" si="16"/>
        <v>-0.56145</v>
      </c>
      <c r="H84">
        <f t="shared" si="17"/>
        <v>-289.94681624999993</v>
      </c>
      <c r="I84">
        <v>1</v>
      </c>
      <c r="J84">
        <f t="shared" si="18"/>
        <v>-0.66082520909782083</v>
      </c>
      <c r="K84">
        <f t="shared" si="19"/>
        <v>-0.61846057297601198</v>
      </c>
      <c r="L84">
        <v>1</v>
      </c>
      <c r="M84">
        <f t="shared" si="20"/>
        <v>0.48431142373880132</v>
      </c>
      <c r="N84">
        <f t="shared" si="24"/>
        <v>5.1900712499999987E-2</v>
      </c>
      <c r="O84">
        <f t="shared" si="22"/>
        <v>9.8529247143208706E-3</v>
      </c>
      <c r="P84">
        <f t="shared" si="23"/>
        <v>7.239551202288981E-2</v>
      </c>
      <c r="V84">
        <v>1.99999999999997</v>
      </c>
      <c r="W84">
        <f t="shared" si="21"/>
        <v>-0.59579999999999878</v>
      </c>
    </row>
    <row r="85" spans="1:23" x14ac:dyDescent="0.3">
      <c r="A85">
        <v>2.6196377499999999</v>
      </c>
      <c r="B85">
        <v>0.55859999999999999</v>
      </c>
      <c r="C85">
        <f t="shared" si="14"/>
        <v>1.4633296471499999</v>
      </c>
      <c r="D85">
        <v>2.01E-2</v>
      </c>
      <c r="E85">
        <v>3.8158201924077539E-3</v>
      </c>
      <c r="F85">
        <f t="shared" si="15"/>
        <v>523.92755</v>
      </c>
      <c r="G85">
        <f t="shared" si="16"/>
        <v>-0.55859999999999999</v>
      </c>
      <c r="H85">
        <f t="shared" si="17"/>
        <v>-292.66592943000001</v>
      </c>
      <c r="I85">
        <v>1</v>
      </c>
      <c r="J85">
        <f t="shared" si="18"/>
        <v>-0.64640186757913276</v>
      </c>
      <c r="K85">
        <f t="shared" si="19"/>
        <v>-0.621310572976012</v>
      </c>
      <c r="L85">
        <v>1</v>
      </c>
      <c r="M85">
        <f t="shared" si="20"/>
        <v>0.48491576174843437</v>
      </c>
      <c r="N85">
        <f t="shared" si="24"/>
        <v>5.2654718774999998E-2</v>
      </c>
      <c r="O85">
        <f t="shared" si="22"/>
        <v>9.9960666232436143E-3</v>
      </c>
      <c r="P85">
        <f t="shared" si="23"/>
        <v>7.3744025829334009E-2</v>
      </c>
      <c r="V85">
        <v>2.0999999999999699</v>
      </c>
      <c r="W85">
        <f t="shared" si="21"/>
        <v>-0.59998999999999869</v>
      </c>
    </row>
    <row r="86" spans="1:23" x14ac:dyDescent="0.3">
      <c r="A86">
        <v>2.6508983499999998</v>
      </c>
      <c r="B86">
        <v>0.55669999999999997</v>
      </c>
      <c r="C86">
        <f t="shared" si="14"/>
        <v>1.4757551114449998</v>
      </c>
      <c r="D86">
        <v>2.01E-2</v>
      </c>
      <c r="E86">
        <v>3.8158201924077539E-3</v>
      </c>
      <c r="F86">
        <f t="shared" si="15"/>
        <v>530.17966999999999</v>
      </c>
      <c r="G86">
        <f t="shared" si="16"/>
        <v>-0.55669999999999997</v>
      </c>
      <c r="H86">
        <f t="shared" si="17"/>
        <v>-295.15102228899997</v>
      </c>
      <c r="I86">
        <v>1</v>
      </c>
      <c r="J86">
        <f t="shared" si="18"/>
        <v>-0.63453932988348682</v>
      </c>
      <c r="K86">
        <f t="shared" si="19"/>
        <v>-0.62321057297601201</v>
      </c>
      <c r="L86">
        <v>1</v>
      </c>
      <c r="M86">
        <f t="shared" si="20"/>
        <v>0.4854128020778819</v>
      </c>
      <c r="N86">
        <f t="shared" si="24"/>
        <v>5.3283056834999995E-2</v>
      </c>
      <c r="O86">
        <f t="shared" si="22"/>
        <v>1.0115351451950397E-2</v>
      </c>
      <c r="P86">
        <f t="shared" si="23"/>
        <v>7.4399362611179715E-2</v>
      </c>
      <c r="V86">
        <v>2.19999999999997</v>
      </c>
      <c r="W86">
        <f t="shared" si="21"/>
        <v>-0.60417999999999872</v>
      </c>
    </row>
    <row r="87" spans="1:23" x14ac:dyDescent="0.3">
      <c r="A87">
        <v>2.6821589000000001</v>
      </c>
      <c r="B87">
        <v>0.55384999999999995</v>
      </c>
      <c r="C87">
        <f t="shared" si="14"/>
        <v>1.4855137067649999</v>
      </c>
      <c r="D87">
        <v>2.01E-2</v>
      </c>
      <c r="E87">
        <v>3.8158201924077539E-3</v>
      </c>
      <c r="F87">
        <f t="shared" si="15"/>
        <v>536.43178</v>
      </c>
      <c r="G87">
        <f t="shared" si="16"/>
        <v>-0.55384999999999995</v>
      </c>
      <c r="H87">
        <f t="shared" si="17"/>
        <v>-297.102741353</v>
      </c>
      <c r="I87">
        <v>1</v>
      </c>
      <c r="J87">
        <f t="shared" si="18"/>
        <v>-0.6228158824989144</v>
      </c>
      <c r="K87">
        <f t="shared" si="19"/>
        <v>-0.62606057297601203</v>
      </c>
      <c r="L87">
        <v>1</v>
      </c>
      <c r="M87">
        <f t="shared" si="20"/>
        <v>0.48590401452329551</v>
      </c>
      <c r="N87">
        <f t="shared" si="24"/>
        <v>5.3911393889999999E-2</v>
      </c>
      <c r="O87">
        <f t="shared" si="22"/>
        <v>1.023463608986617E-2</v>
      </c>
      <c r="P87">
        <f t="shared" si="23"/>
        <v>7.601052847285035E-2</v>
      </c>
      <c r="V87">
        <v>2.2999999999999701</v>
      </c>
      <c r="W87">
        <f t="shared" si="21"/>
        <v>-0.60836999999999875</v>
      </c>
    </row>
    <row r="88" spans="1:23" x14ac:dyDescent="0.3">
      <c r="A88">
        <v>2.7134195000000001</v>
      </c>
      <c r="B88">
        <v>0.55195000000000005</v>
      </c>
      <c r="C88">
        <f t="shared" si="14"/>
        <v>1.4976718930250001</v>
      </c>
      <c r="D88">
        <v>2.01E-2</v>
      </c>
      <c r="E88">
        <v>3.8158201924077539E-3</v>
      </c>
      <c r="F88">
        <f t="shared" si="15"/>
        <v>542.68389999999999</v>
      </c>
      <c r="G88">
        <f t="shared" si="16"/>
        <v>-0.55195000000000005</v>
      </c>
      <c r="H88">
        <f t="shared" si="17"/>
        <v>-299.53437860500003</v>
      </c>
      <c r="I88">
        <v>1</v>
      </c>
      <c r="J88">
        <f t="shared" si="18"/>
        <v>-0.61122826483523951</v>
      </c>
      <c r="K88">
        <f t="shared" si="19"/>
        <v>-0.62796057297601193</v>
      </c>
      <c r="L88">
        <v>1</v>
      </c>
      <c r="M88">
        <f t="shared" si="20"/>
        <v>0.48638953570340349</v>
      </c>
      <c r="N88">
        <f t="shared" si="24"/>
        <v>5.4539731950000003E-2</v>
      </c>
      <c r="O88">
        <f t="shared" si="22"/>
        <v>1.0353920918572951E-2</v>
      </c>
      <c r="P88">
        <f t="shared" si="23"/>
        <v>7.6677384404035487E-2</v>
      </c>
      <c r="V88">
        <v>2.3999999999999702</v>
      </c>
      <c r="W88">
        <f t="shared" si="21"/>
        <v>-0.61255999999999877</v>
      </c>
    </row>
    <row r="89" spans="1:23" x14ac:dyDescent="0.3">
      <c r="A89">
        <v>2.7446801000000001</v>
      </c>
      <c r="B89">
        <v>0.54910000000000003</v>
      </c>
      <c r="C89">
        <f t="shared" si="14"/>
        <v>1.5071038429100001</v>
      </c>
      <c r="D89">
        <v>2.01E-2</v>
      </c>
      <c r="E89">
        <v>3.8158201924077539E-3</v>
      </c>
      <c r="F89">
        <f t="shared" si="15"/>
        <v>548.93601999999998</v>
      </c>
      <c r="G89">
        <f t="shared" si="16"/>
        <v>-0.54910000000000003</v>
      </c>
      <c r="H89">
        <f t="shared" si="17"/>
        <v>-301.42076858199999</v>
      </c>
      <c r="I89">
        <v>1</v>
      </c>
      <c r="J89">
        <f t="shared" si="18"/>
        <v>-0.59977338342593522</v>
      </c>
      <c r="K89">
        <f t="shared" si="19"/>
        <v>-0.63081057297601195</v>
      </c>
      <c r="L89">
        <v>1</v>
      </c>
      <c r="M89">
        <f t="shared" si="20"/>
        <v>0.48686949523445333</v>
      </c>
      <c r="N89">
        <f t="shared" si="24"/>
        <v>5.516807001E-2</v>
      </c>
      <c r="O89">
        <f t="shared" si="22"/>
        <v>1.0473205747279734E-2</v>
      </c>
      <c r="P89">
        <f t="shared" si="23"/>
        <v>7.8299801984278883E-2</v>
      </c>
      <c r="V89">
        <v>2.4999999999999698</v>
      </c>
      <c r="W89">
        <f t="shared" si="21"/>
        <v>-0.6167499999999988</v>
      </c>
    </row>
    <row r="90" spans="1:23" x14ac:dyDescent="0.3">
      <c r="A90">
        <v>2.7821928000000002</v>
      </c>
      <c r="B90">
        <v>0.54720000000000002</v>
      </c>
      <c r="C90">
        <f t="shared" si="14"/>
        <v>1.5224159001600002</v>
      </c>
      <c r="D90">
        <v>2.01E-2</v>
      </c>
      <c r="E90">
        <v>3.8158201924077539E-3</v>
      </c>
      <c r="F90">
        <f t="shared" si="15"/>
        <v>556.43856000000005</v>
      </c>
      <c r="G90">
        <f t="shared" si="16"/>
        <v>-0.54720000000000002</v>
      </c>
      <c r="H90">
        <f t="shared" si="17"/>
        <v>-304.48318003200001</v>
      </c>
      <c r="I90">
        <v>1</v>
      </c>
      <c r="J90">
        <f t="shared" si="18"/>
        <v>-0.58619851867421069</v>
      </c>
      <c r="K90">
        <f t="shared" si="19"/>
        <v>-0.63271057297601196</v>
      </c>
      <c r="L90">
        <v>1</v>
      </c>
      <c r="M90">
        <f t="shared" si="20"/>
        <v>0.48743828206755058</v>
      </c>
      <c r="N90">
        <f t="shared" si="24"/>
        <v>5.5922075280000004E-2</v>
      </c>
      <c r="O90">
        <f t="shared" si="22"/>
        <v>1.0616347465411468E-2</v>
      </c>
      <c r="P90">
        <f t="shared" si="23"/>
        <v>7.8733868163049905E-2</v>
      </c>
      <c r="V90">
        <v>2.5999999999999699</v>
      </c>
      <c r="W90">
        <f t="shared" si="21"/>
        <v>-0.62093999999999872</v>
      </c>
    </row>
    <row r="91" spans="1:23" x14ac:dyDescent="0.3">
      <c r="A91">
        <v>2.8134534000000002</v>
      </c>
      <c r="B91">
        <v>0.54435</v>
      </c>
      <c r="C91">
        <f t="shared" si="14"/>
        <v>1.5315033582900002</v>
      </c>
      <c r="D91">
        <v>2.01E-2</v>
      </c>
      <c r="E91">
        <v>3.8158201924077539E-3</v>
      </c>
      <c r="F91">
        <f t="shared" si="15"/>
        <v>562.69068000000004</v>
      </c>
      <c r="G91">
        <f t="shared" si="16"/>
        <v>-0.54435</v>
      </c>
      <c r="H91">
        <f t="shared" si="17"/>
        <v>-306.30067165800006</v>
      </c>
      <c r="I91">
        <v>1</v>
      </c>
      <c r="J91">
        <f t="shared" si="18"/>
        <v>-0.57502521567989406</v>
      </c>
      <c r="K91">
        <f t="shared" si="19"/>
        <v>-0.63556057297601198</v>
      </c>
      <c r="L91">
        <v>1</v>
      </c>
      <c r="M91">
        <f t="shared" si="20"/>
        <v>0.48790644346301243</v>
      </c>
      <c r="N91">
        <f t="shared" si="24"/>
        <v>5.6550413340000001E-2</v>
      </c>
      <c r="O91">
        <f t="shared" si="22"/>
        <v>1.0735632294118251E-2</v>
      </c>
      <c r="P91">
        <f t="shared" si="23"/>
        <v>8.0368083878881308E-2</v>
      </c>
      <c r="V91">
        <v>2.69999999999997</v>
      </c>
      <c r="W91">
        <f t="shared" si="21"/>
        <v>-0.62512999999999874</v>
      </c>
    </row>
    <row r="92" spans="1:23" x14ac:dyDescent="0.3">
      <c r="A92">
        <v>2.8447140000000002</v>
      </c>
      <c r="B92">
        <v>0.54244999999999999</v>
      </c>
      <c r="C92">
        <f t="shared" si="14"/>
        <v>1.5431151093000002</v>
      </c>
      <c r="D92">
        <v>2.01E-2</v>
      </c>
      <c r="E92">
        <v>3.8158201924077539E-3</v>
      </c>
      <c r="F92">
        <f t="shared" si="15"/>
        <v>568.94280000000003</v>
      </c>
      <c r="G92">
        <f t="shared" si="16"/>
        <v>-0.54244999999999999</v>
      </c>
      <c r="H92">
        <f t="shared" si="17"/>
        <v>-308.62302186000005</v>
      </c>
      <c r="I92">
        <v>1</v>
      </c>
      <c r="J92">
        <f t="shared" si="18"/>
        <v>-0.56397537714978097</v>
      </c>
      <c r="K92">
        <f t="shared" si="19"/>
        <v>-0.637460572976012</v>
      </c>
      <c r="L92">
        <v>1</v>
      </c>
      <c r="M92">
        <f t="shared" si="20"/>
        <v>0.48836943169742419</v>
      </c>
      <c r="N92">
        <f t="shared" si="24"/>
        <v>5.7178751400000005E-2</v>
      </c>
      <c r="O92">
        <f t="shared" si="22"/>
        <v>1.0854917122825032E-2</v>
      </c>
      <c r="P92">
        <f t="shared" si="23"/>
        <v>8.1057472755762763E-2</v>
      </c>
      <c r="V92">
        <v>2.7999999999999701</v>
      </c>
      <c r="W92">
        <f t="shared" si="21"/>
        <v>-0.62931999999999877</v>
      </c>
    </row>
    <row r="93" spans="1:23" x14ac:dyDescent="0.3">
      <c r="A93">
        <v>2.8759746000000002</v>
      </c>
      <c r="B93">
        <v>0.54054999999999997</v>
      </c>
      <c r="C93">
        <f t="shared" si="14"/>
        <v>1.55460807003</v>
      </c>
      <c r="D93">
        <v>2.01E-2</v>
      </c>
      <c r="E93">
        <v>3.8158201924077539E-3</v>
      </c>
      <c r="F93">
        <f t="shared" si="15"/>
        <v>575.19492000000002</v>
      </c>
      <c r="G93">
        <f t="shared" si="16"/>
        <v>-0.54054999999999997</v>
      </c>
      <c r="H93">
        <f t="shared" si="17"/>
        <v>-310.92161400600003</v>
      </c>
      <c r="I93">
        <v>1</v>
      </c>
      <c r="J93">
        <f t="shared" si="18"/>
        <v>-0.55304630432500912</v>
      </c>
      <c r="K93">
        <f t="shared" si="19"/>
        <v>-0.63936057297601201</v>
      </c>
      <c r="L93">
        <v>1</v>
      </c>
      <c r="M93">
        <f t="shared" si="20"/>
        <v>0.48882735984878212</v>
      </c>
      <c r="N93">
        <f t="shared" si="24"/>
        <v>5.7807089460000002E-2</v>
      </c>
      <c r="O93">
        <f t="shared" si="22"/>
        <v>1.0974201951531815E-2</v>
      </c>
      <c r="P93">
        <f t="shared" si="23"/>
        <v>8.1751921715698075E-2</v>
      </c>
      <c r="V93">
        <v>2.8999999999999702</v>
      </c>
      <c r="W93">
        <f t="shared" si="21"/>
        <v>-0.6335099999999988</v>
      </c>
    </row>
    <row r="94" spans="1:23" x14ac:dyDescent="0.3">
      <c r="A94">
        <v>2.9072352000000001</v>
      </c>
      <c r="B94">
        <v>0.53769999999999996</v>
      </c>
      <c r="C94">
        <f t="shared" si="14"/>
        <v>1.56322036704</v>
      </c>
      <c r="D94">
        <v>2.01E-2</v>
      </c>
      <c r="E94">
        <v>3.8158201924077539E-3</v>
      </c>
      <c r="F94">
        <f t="shared" si="15"/>
        <v>581.44704000000002</v>
      </c>
      <c r="G94">
        <f t="shared" si="16"/>
        <v>-0.53769999999999996</v>
      </c>
      <c r="H94">
        <f t="shared" si="17"/>
        <v>-312.644073408</v>
      </c>
      <c r="I94">
        <v>1</v>
      </c>
      <c r="J94">
        <f t="shared" si="18"/>
        <v>-0.54223538597751475</v>
      </c>
      <c r="K94">
        <f t="shared" si="19"/>
        <v>-0.64221057297601203</v>
      </c>
      <c r="L94">
        <v>1</v>
      </c>
      <c r="M94">
        <f t="shared" si="20"/>
        <v>0.48928033732754217</v>
      </c>
      <c r="N94">
        <f t="shared" si="24"/>
        <v>5.843542752E-2</v>
      </c>
      <c r="O94">
        <f t="shared" si="22"/>
        <v>1.1093486780238596E-2</v>
      </c>
      <c r="P94">
        <f t="shared" si="23"/>
        <v>8.3401321348231264E-2</v>
      </c>
      <c r="V94">
        <v>2.9999999999999698</v>
      </c>
      <c r="W94">
        <f t="shared" si="21"/>
        <v>-0.63769999999999871</v>
      </c>
    </row>
    <row r="95" spans="1:23" x14ac:dyDescent="0.3">
      <c r="A95">
        <v>2.9384958000000001</v>
      </c>
      <c r="B95">
        <v>0.53485000000000005</v>
      </c>
      <c r="C95">
        <f t="shared" si="14"/>
        <v>1.5716544786300002</v>
      </c>
      <c r="D95">
        <v>2.01E-2</v>
      </c>
      <c r="E95">
        <v>3.8158201924077539E-3</v>
      </c>
      <c r="F95">
        <f t="shared" si="15"/>
        <v>587.69916000000001</v>
      </c>
      <c r="G95">
        <f t="shared" si="16"/>
        <v>-0.53485000000000005</v>
      </c>
      <c r="H95">
        <f t="shared" si="17"/>
        <v>-314.33089572600005</v>
      </c>
      <c r="I95">
        <v>1</v>
      </c>
      <c r="J95">
        <f t="shared" si="18"/>
        <v>-0.53154009466521734</v>
      </c>
      <c r="K95">
        <f t="shared" si="19"/>
        <v>-0.64506057297601194</v>
      </c>
      <c r="L95">
        <v>1</v>
      </c>
      <c r="M95">
        <f t="shared" si="20"/>
        <v>0.48972847003352743</v>
      </c>
      <c r="N95">
        <f t="shared" si="24"/>
        <v>5.9063765580000004E-2</v>
      </c>
      <c r="O95">
        <f t="shared" si="22"/>
        <v>1.1212771608945377E-2</v>
      </c>
      <c r="P95">
        <f t="shared" si="23"/>
        <v>8.505556575353912E-2</v>
      </c>
      <c r="V95">
        <v>3.0999999999999699</v>
      </c>
      <c r="W95">
        <f t="shared" si="21"/>
        <v>-0.64188999999999874</v>
      </c>
    </row>
    <row r="96" spans="1:23" x14ac:dyDescent="0.3">
      <c r="A96">
        <v>2.9697564000000001</v>
      </c>
      <c r="B96">
        <v>0.53295000000000003</v>
      </c>
      <c r="C96">
        <f t="shared" si="14"/>
        <v>1.5827316733800001</v>
      </c>
      <c r="D96">
        <v>2.01E-2</v>
      </c>
      <c r="E96">
        <v>3.8158201924077539E-3</v>
      </c>
      <c r="F96">
        <f t="shared" si="15"/>
        <v>593.95128</v>
      </c>
      <c r="G96">
        <f t="shared" si="16"/>
        <v>-0.53295000000000003</v>
      </c>
      <c r="H96">
        <f t="shared" si="17"/>
        <v>-316.54633467600001</v>
      </c>
      <c r="I96">
        <v>1</v>
      </c>
      <c r="J96">
        <f t="shared" si="18"/>
        <v>-0.52095798318535314</v>
      </c>
      <c r="K96">
        <f t="shared" si="19"/>
        <v>-0.64696057297601195</v>
      </c>
      <c r="L96">
        <v>1</v>
      </c>
      <c r="M96">
        <f t="shared" si="20"/>
        <v>0.49017186050453371</v>
      </c>
      <c r="N96">
        <f t="shared" si="24"/>
        <v>5.9692103640000001E-2</v>
      </c>
      <c r="O96">
        <f t="shared" si="22"/>
        <v>1.1332056437652159E-2</v>
      </c>
      <c r="P96">
        <f t="shared" si="23"/>
        <v>8.5764552393826091E-2</v>
      </c>
      <c r="V96">
        <v>3.19999999999997</v>
      </c>
      <c r="W96">
        <f t="shared" si="21"/>
        <v>-0.64607999999999877</v>
      </c>
    </row>
    <row r="97" spans="1:23" x14ac:dyDescent="0.3">
      <c r="A97">
        <v>3.0010169499999999</v>
      </c>
      <c r="B97">
        <v>0.53010000000000002</v>
      </c>
      <c r="C97">
        <f t="shared" si="14"/>
        <v>1.5908390851950001</v>
      </c>
      <c r="D97">
        <v>2.01E-2</v>
      </c>
      <c r="E97">
        <v>3.8158201924077539E-3</v>
      </c>
      <c r="F97">
        <f t="shared" si="15"/>
        <v>600.20339000000001</v>
      </c>
      <c r="G97">
        <f t="shared" si="16"/>
        <v>-0.53010000000000002</v>
      </c>
      <c r="H97">
        <f t="shared" si="17"/>
        <v>-318.167817039</v>
      </c>
      <c r="I97">
        <v>1</v>
      </c>
      <c r="J97">
        <f t="shared" si="18"/>
        <v>-0.51048669787452661</v>
      </c>
      <c r="K97">
        <f t="shared" si="19"/>
        <v>-0.64981057297601197</v>
      </c>
      <c r="L97">
        <v>1</v>
      </c>
      <c r="M97">
        <f t="shared" si="20"/>
        <v>0.49061060735905737</v>
      </c>
      <c r="N97">
        <f t="shared" si="24"/>
        <v>6.0320440694999998E-2</v>
      </c>
      <c r="O97">
        <f t="shared" si="22"/>
        <v>1.1451341075567931E-2</v>
      </c>
      <c r="P97">
        <f t="shared" si="23"/>
        <v>8.7428183846386662E-2</v>
      </c>
      <c r="V97">
        <v>3.2999999999999701</v>
      </c>
      <c r="W97">
        <f t="shared" si="21"/>
        <v>-0.65026999999999879</v>
      </c>
    </row>
    <row r="98" spans="1:23" x14ac:dyDescent="0.3">
      <c r="A98">
        <v>3.0385297000000002</v>
      </c>
      <c r="B98">
        <v>0.5282</v>
      </c>
      <c r="C98">
        <f t="shared" si="14"/>
        <v>1.6049513875400001</v>
      </c>
      <c r="D98">
        <v>2.01E-2</v>
      </c>
      <c r="E98">
        <v>3.8158201924077539E-3</v>
      </c>
      <c r="F98">
        <f t="shared" si="15"/>
        <v>607.70594000000006</v>
      </c>
      <c r="G98">
        <f t="shared" si="16"/>
        <v>-0.5282</v>
      </c>
      <c r="H98">
        <f t="shared" si="17"/>
        <v>-320.99027750800002</v>
      </c>
      <c r="I98">
        <v>1</v>
      </c>
      <c r="J98">
        <f t="shared" si="18"/>
        <v>-0.4980641653287825</v>
      </c>
      <c r="K98">
        <f t="shared" si="19"/>
        <v>-0.65171057297601198</v>
      </c>
      <c r="L98">
        <v>1</v>
      </c>
      <c r="M98">
        <f t="shared" si="20"/>
        <v>0.49113111147272404</v>
      </c>
      <c r="N98">
        <f t="shared" si="24"/>
        <v>6.1074446970000001E-2</v>
      </c>
      <c r="O98">
        <f t="shared" si="22"/>
        <v>1.1594482984490676E-2</v>
      </c>
      <c r="P98">
        <f t="shared" si="23"/>
        <v>8.7910531548797272E-2</v>
      </c>
      <c r="V98">
        <v>3.3999999999999702</v>
      </c>
      <c r="W98">
        <f t="shared" si="21"/>
        <v>-0.65445999999999871</v>
      </c>
    </row>
    <row r="99" spans="1:23" x14ac:dyDescent="0.3">
      <c r="A99">
        <v>3.0697903000000002</v>
      </c>
      <c r="B99">
        <v>0.52629999999999999</v>
      </c>
      <c r="C99">
        <f t="shared" si="14"/>
        <v>1.61563063489</v>
      </c>
      <c r="D99">
        <v>2.01E-2</v>
      </c>
      <c r="E99">
        <v>3.8158201924077539E-3</v>
      </c>
      <c r="F99">
        <f t="shared" si="15"/>
        <v>613.95806000000005</v>
      </c>
      <c r="G99">
        <f t="shared" si="16"/>
        <v>-0.52629999999999999</v>
      </c>
      <c r="H99">
        <f t="shared" si="17"/>
        <v>-323.126126978</v>
      </c>
      <c r="I99">
        <v>1</v>
      </c>
      <c r="J99">
        <f t="shared" si="18"/>
        <v>-0.48782865935689351</v>
      </c>
      <c r="K99">
        <f t="shared" si="19"/>
        <v>-0.65361057297601199</v>
      </c>
      <c r="L99">
        <v>1</v>
      </c>
      <c r="M99">
        <f t="shared" si="20"/>
        <v>0.49155997917294619</v>
      </c>
      <c r="N99">
        <f t="shared" si="24"/>
        <v>6.1702785030000006E-2</v>
      </c>
      <c r="O99">
        <f t="shared" si="22"/>
        <v>1.1713767813197457E-2</v>
      </c>
      <c r="P99">
        <f t="shared" si="23"/>
        <v>8.8634040959868335E-2</v>
      </c>
      <c r="V99">
        <v>3.4999999999999698</v>
      </c>
      <c r="W99">
        <f t="shared" si="21"/>
        <v>-0.65864999999999874</v>
      </c>
    </row>
    <row r="100" spans="1:23" x14ac:dyDescent="0.3">
      <c r="A100">
        <v>3.1010508499999996</v>
      </c>
      <c r="B100">
        <v>0.52344999999999997</v>
      </c>
      <c r="C100">
        <f t="shared" si="14"/>
        <v>1.6232450674324996</v>
      </c>
      <c r="D100">
        <v>2.01E-2</v>
      </c>
      <c r="E100">
        <v>3.8158201924077539E-3</v>
      </c>
      <c r="F100">
        <f t="shared" si="15"/>
        <v>620.21016999999995</v>
      </c>
      <c r="G100">
        <f t="shared" si="16"/>
        <v>-0.52344999999999997</v>
      </c>
      <c r="H100">
        <f t="shared" si="17"/>
        <v>-324.64901348649994</v>
      </c>
      <c r="I100">
        <v>1</v>
      </c>
      <c r="J100">
        <f t="shared" si="18"/>
        <v>-0.47769687451408371</v>
      </c>
      <c r="K100">
        <f t="shared" si="19"/>
        <v>-0.65646057297601201</v>
      </c>
      <c r="L100">
        <v>1</v>
      </c>
      <c r="M100">
        <f t="shared" si="20"/>
        <v>0.49198450095785989</v>
      </c>
      <c r="N100">
        <f t="shared" si="24"/>
        <v>6.2331122084999989E-2</v>
      </c>
      <c r="O100">
        <f t="shared" si="22"/>
        <v>1.1833052451113227E-2</v>
      </c>
      <c r="P100">
        <f t="shared" si="23"/>
        <v>9.0311897482038897E-2</v>
      </c>
      <c r="V100">
        <v>3.5999999999999699</v>
      </c>
      <c r="W100">
        <f t="shared" si="21"/>
        <v>-0.66283999999999876</v>
      </c>
    </row>
    <row r="101" spans="1:23" x14ac:dyDescent="0.3">
      <c r="A101">
        <v>3.1323114500000004</v>
      </c>
      <c r="B101">
        <v>0.52059999999999995</v>
      </c>
      <c r="C101">
        <f t="shared" si="14"/>
        <v>1.6306813408700001</v>
      </c>
      <c r="D101">
        <v>2.01E-2</v>
      </c>
      <c r="E101">
        <v>3.8158201924077539E-3</v>
      </c>
      <c r="F101">
        <f t="shared" si="15"/>
        <v>626.46229000000005</v>
      </c>
      <c r="G101">
        <f t="shared" si="16"/>
        <v>-0.52059999999999995</v>
      </c>
      <c r="H101">
        <f t="shared" si="17"/>
        <v>-326.13626817400001</v>
      </c>
      <c r="I101">
        <v>1</v>
      </c>
      <c r="J101">
        <f t="shared" si="18"/>
        <v>-0.46766669799790067</v>
      </c>
      <c r="K101">
        <f t="shared" si="19"/>
        <v>-0.65931057297601203</v>
      </c>
      <c r="L101">
        <v>1</v>
      </c>
      <c r="M101">
        <f t="shared" si="20"/>
        <v>0.492404765353888</v>
      </c>
      <c r="N101">
        <f t="shared" si="24"/>
        <v>6.2959460145000007E-2</v>
      </c>
      <c r="O101">
        <f t="shared" si="22"/>
        <v>1.1952337279820013E-2</v>
      </c>
      <c r="P101">
        <f t="shared" si="23"/>
        <v>9.1994010197304021E-2</v>
      </c>
      <c r="V101">
        <v>3.69999999999997</v>
      </c>
      <c r="W101">
        <f t="shared" si="21"/>
        <v>-0.66702999999999879</v>
      </c>
    </row>
    <row r="102" spans="1:23" x14ac:dyDescent="0.3">
      <c r="A102">
        <v>3.1698241999999999</v>
      </c>
      <c r="B102">
        <v>0.51870000000000005</v>
      </c>
      <c r="C102">
        <f t="shared" si="14"/>
        <v>1.64418781254</v>
      </c>
      <c r="D102">
        <v>2.01E-2</v>
      </c>
      <c r="E102">
        <v>3.8158201924077539E-3</v>
      </c>
      <c r="F102">
        <f t="shared" si="15"/>
        <v>633.96483999999998</v>
      </c>
      <c r="G102">
        <f t="shared" si="16"/>
        <v>-0.51870000000000005</v>
      </c>
      <c r="H102">
        <f t="shared" si="17"/>
        <v>-328.83756250800002</v>
      </c>
      <c r="I102">
        <v>1</v>
      </c>
      <c r="J102">
        <f t="shared" si="18"/>
        <v>-0.45576178349597957</v>
      </c>
      <c r="K102">
        <f t="shared" si="19"/>
        <v>-0.66121057297601193</v>
      </c>
      <c r="L102">
        <v>1</v>
      </c>
      <c r="M102">
        <f t="shared" si="20"/>
        <v>0.49290358127151845</v>
      </c>
      <c r="N102">
        <f t="shared" si="24"/>
        <v>6.3713466420000003E-2</v>
      </c>
      <c r="O102">
        <f t="shared" si="22"/>
        <v>1.2095479188742755E-2</v>
      </c>
      <c r="P102">
        <f t="shared" si="23"/>
        <v>9.2498046095750727E-2</v>
      </c>
      <c r="V102">
        <v>3.7999999999999701</v>
      </c>
      <c r="W102">
        <f t="shared" si="21"/>
        <v>-0.67121999999999882</v>
      </c>
    </row>
    <row r="103" spans="1:23" x14ac:dyDescent="0.3">
      <c r="A103">
        <v>3.2010847500000001</v>
      </c>
      <c r="B103">
        <v>0.51585000000000003</v>
      </c>
      <c r="C103">
        <f t="shared" si="14"/>
        <v>1.6512795682875001</v>
      </c>
      <c r="D103">
        <v>2.01E-2</v>
      </c>
      <c r="E103">
        <v>3.8158201924077539E-3</v>
      </c>
      <c r="F103">
        <f t="shared" si="15"/>
        <v>640.21695</v>
      </c>
      <c r="G103">
        <f t="shared" si="16"/>
        <v>-0.51585000000000003</v>
      </c>
      <c r="H103">
        <f t="shared" si="17"/>
        <v>-330.2559136575</v>
      </c>
      <c r="I103">
        <v>1</v>
      </c>
      <c r="J103">
        <f t="shared" si="18"/>
        <v>-0.44594817569564177</v>
      </c>
      <c r="K103">
        <f t="shared" si="19"/>
        <v>-0.66406057297601195</v>
      </c>
      <c r="L103">
        <v>1</v>
      </c>
      <c r="M103">
        <f t="shared" si="20"/>
        <v>0.49331477143835262</v>
      </c>
      <c r="N103">
        <f t="shared" si="24"/>
        <v>6.4341803475000001E-2</v>
      </c>
      <c r="O103">
        <f t="shared" si="22"/>
        <v>1.2214763826658528E-2</v>
      </c>
      <c r="P103">
        <f t="shared" si="23"/>
        <v>9.4189234236000813E-2</v>
      </c>
      <c r="V103">
        <v>3.8999999999999599</v>
      </c>
      <c r="W103">
        <f t="shared" si="21"/>
        <v>-0.67540999999999829</v>
      </c>
    </row>
    <row r="104" spans="1:23" x14ac:dyDescent="0.3">
      <c r="A104">
        <v>3.2323453500000001</v>
      </c>
      <c r="B104">
        <v>0.51300000000000001</v>
      </c>
      <c r="C104">
        <f t="shared" si="14"/>
        <v>1.6581931645500001</v>
      </c>
      <c r="D104">
        <v>2.01E-2</v>
      </c>
      <c r="E104">
        <v>3.8158201924077539E-3</v>
      </c>
      <c r="F104">
        <f t="shared" si="15"/>
        <v>646.46906999999999</v>
      </c>
      <c r="G104">
        <f t="shared" si="16"/>
        <v>-0.51300000000000001</v>
      </c>
      <c r="H104">
        <f t="shared" si="17"/>
        <v>-331.63863291000001</v>
      </c>
      <c r="I104">
        <v>1</v>
      </c>
      <c r="J104">
        <f t="shared" si="18"/>
        <v>-0.43622992414207895</v>
      </c>
      <c r="K104">
        <f t="shared" si="19"/>
        <v>-0.66691057297601197</v>
      </c>
      <c r="L104">
        <v>1</v>
      </c>
      <c r="M104">
        <f t="shared" si="20"/>
        <v>0.49372196617844688</v>
      </c>
      <c r="N104">
        <f t="shared" si="24"/>
        <v>6.4970141534999998E-2</v>
      </c>
      <c r="O104">
        <f t="shared" si="22"/>
        <v>1.2334048655365309E-2</v>
      </c>
      <c r="P104">
        <f t="shared" si="23"/>
        <v>9.5884416607199791E-2</v>
      </c>
      <c r="V104">
        <v>3.99999999999996</v>
      </c>
      <c r="W104">
        <f t="shared" si="21"/>
        <v>-0.67959999999999832</v>
      </c>
    </row>
    <row r="105" spans="1:23" x14ac:dyDescent="0.3">
      <c r="A105">
        <v>3.2636059500000001</v>
      </c>
      <c r="B105">
        <v>0.51014999999999999</v>
      </c>
      <c r="C105">
        <f t="shared" si="14"/>
        <v>1.6649285753925001</v>
      </c>
      <c r="D105">
        <v>2.01E-2</v>
      </c>
      <c r="E105">
        <v>3.8158201924077539E-3</v>
      </c>
      <c r="F105">
        <f t="shared" si="15"/>
        <v>652.72118999999998</v>
      </c>
      <c r="G105">
        <f t="shared" si="16"/>
        <v>-0.51014999999999999</v>
      </c>
      <c r="H105">
        <f t="shared" si="17"/>
        <v>-332.98571507849999</v>
      </c>
      <c r="I105">
        <v>1</v>
      </c>
      <c r="J105">
        <f t="shared" si="18"/>
        <v>-0.4266052087231636</v>
      </c>
      <c r="K105">
        <f t="shared" si="19"/>
        <v>-0.66976057297601199</v>
      </c>
      <c r="L105">
        <v>1</v>
      </c>
      <c r="M105">
        <f t="shared" si="20"/>
        <v>0.49412524175449946</v>
      </c>
      <c r="N105">
        <f t="shared" si="24"/>
        <v>6.5598479594999995E-2</v>
      </c>
      <c r="O105">
        <f t="shared" si="22"/>
        <v>1.245333348407209E-2</v>
      </c>
      <c r="P105">
        <f t="shared" si="23"/>
        <v>9.7583518142440456E-2</v>
      </c>
      <c r="V105">
        <v>4.0999999999999996</v>
      </c>
      <c r="W105">
        <f t="shared" si="21"/>
        <v>-0.68379000000000001</v>
      </c>
    </row>
    <row r="106" spans="1:23" x14ac:dyDescent="0.3">
      <c r="A106">
        <v>3.2948665500000001</v>
      </c>
      <c r="B106">
        <v>0.50824999999999998</v>
      </c>
      <c r="C106">
        <f t="shared" si="14"/>
        <v>1.6746159240375</v>
      </c>
      <c r="D106">
        <v>2.01E-2</v>
      </c>
      <c r="E106">
        <v>3.8158201924077539E-3</v>
      </c>
      <c r="F106">
        <f t="shared" si="15"/>
        <v>658.97330999999997</v>
      </c>
      <c r="G106">
        <f t="shared" si="16"/>
        <v>-0.50824999999999998</v>
      </c>
      <c r="H106">
        <f t="shared" si="17"/>
        <v>-334.92318480749998</v>
      </c>
      <c r="I106">
        <v>1</v>
      </c>
      <c r="J106">
        <f t="shared" si="18"/>
        <v>-0.41707224605853316</v>
      </c>
      <c r="K106">
        <f t="shared" si="19"/>
        <v>-0.671660572976012</v>
      </c>
      <c r="L106">
        <v>1</v>
      </c>
      <c r="M106">
        <f t="shared" si="20"/>
        <v>0.49452467289014745</v>
      </c>
      <c r="N106">
        <f t="shared" si="24"/>
        <v>6.6226817655000006E-2</v>
      </c>
      <c r="O106">
        <f t="shared" si="22"/>
        <v>1.2572618312778873E-2</v>
      </c>
      <c r="P106">
        <f t="shared" si="23"/>
        <v>9.8336464118085665E-2</v>
      </c>
      <c r="V106">
        <v>4.2</v>
      </c>
      <c r="W106">
        <f t="shared" si="21"/>
        <v>-0.68798000000000004</v>
      </c>
    </row>
    <row r="107" spans="1:23" x14ac:dyDescent="0.3">
      <c r="A107">
        <v>3.3261271499999996</v>
      </c>
      <c r="B107">
        <v>0.50634999999999997</v>
      </c>
      <c r="C107">
        <f t="shared" si="14"/>
        <v>1.6841844824024996</v>
      </c>
      <c r="D107">
        <v>2.01E-2</v>
      </c>
      <c r="E107">
        <v>3.8158201924077539E-3</v>
      </c>
      <c r="F107">
        <f t="shared" si="15"/>
        <v>665.22542999999996</v>
      </c>
      <c r="G107">
        <f t="shared" si="16"/>
        <v>-0.50634999999999997</v>
      </c>
      <c r="H107">
        <f t="shared" si="17"/>
        <v>-336.83689648049995</v>
      </c>
      <c r="I107">
        <v>1</v>
      </c>
      <c r="J107">
        <f t="shared" si="18"/>
        <v>-0.40762930329004915</v>
      </c>
      <c r="K107">
        <f t="shared" si="19"/>
        <v>-0.67356057297601202</v>
      </c>
      <c r="L107">
        <v>1</v>
      </c>
      <c r="M107">
        <f t="shared" si="20"/>
        <v>0.49492033219214693</v>
      </c>
      <c r="N107">
        <f t="shared" si="24"/>
        <v>6.6855155714999989E-2</v>
      </c>
      <c r="O107">
        <f t="shared" si="22"/>
        <v>1.2691903141485652E-2</v>
      </c>
      <c r="P107">
        <f t="shared" si="23"/>
        <v>9.9093181927379453E-2</v>
      </c>
      <c r="V107">
        <v>4.3</v>
      </c>
      <c r="W107">
        <f t="shared" si="21"/>
        <v>-0.69216999999999995</v>
      </c>
    </row>
    <row r="108" spans="1:23" x14ac:dyDescent="0.3">
      <c r="A108">
        <v>3.3636398500000002</v>
      </c>
      <c r="B108">
        <v>0.50349999999999995</v>
      </c>
      <c r="C108">
        <f t="shared" si="14"/>
        <v>1.6935926644749999</v>
      </c>
      <c r="D108">
        <v>2.01E-2</v>
      </c>
      <c r="E108">
        <v>3.8158201924077539E-3</v>
      </c>
      <c r="F108">
        <f t="shared" si="15"/>
        <v>672.72797000000003</v>
      </c>
      <c r="G108">
        <f t="shared" si="16"/>
        <v>-0.50349999999999995</v>
      </c>
      <c r="H108">
        <f t="shared" si="17"/>
        <v>-338.71853289499995</v>
      </c>
      <c r="I108">
        <v>1</v>
      </c>
      <c r="J108">
        <f t="shared" si="18"/>
        <v>-0.39641423610229704</v>
      </c>
      <c r="K108">
        <f t="shared" si="19"/>
        <v>-0.67641057297601204</v>
      </c>
      <c r="L108">
        <v>1</v>
      </c>
      <c r="M108">
        <f t="shared" si="20"/>
        <v>0.49539024350731375</v>
      </c>
      <c r="N108">
        <f t="shared" si="24"/>
        <v>6.7609160985E-2</v>
      </c>
      <c r="O108">
        <f t="shared" si="22"/>
        <v>1.283504485961739E-2</v>
      </c>
      <c r="P108">
        <f t="shared" si="23"/>
        <v>0.10057612362408089</v>
      </c>
      <c r="V108">
        <v>4.4000000000000004</v>
      </c>
      <c r="W108">
        <f t="shared" si="21"/>
        <v>-0.69636000000000009</v>
      </c>
    </row>
    <row r="109" spans="1:23" x14ac:dyDescent="0.3">
      <c r="A109">
        <v>3.3949004500000002</v>
      </c>
      <c r="B109">
        <v>0.50065000000000004</v>
      </c>
      <c r="C109">
        <f t="shared" si="14"/>
        <v>1.6996569102925003</v>
      </c>
      <c r="D109">
        <v>2.01E-2</v>
      </c>
      <c r="E109">
        <v>3.8158201924077539E-3</v>
      </c>
      <c r="F109">
        <f t="shared" si="15"/>
        <v>678.98009000000002</v>
      </c>
      <c r="G109">
        <f t="shared" si="16"/>
        <v>-0.50065000000000004</v>
      </c>
      <c r="H109">
        <f t="shared" si="17"/>
        <v>-339.93138205850005</v>
      </c>
      <c r="I109">
        <v>1</v>
      </c>
      <c r="J109">
        <f t="shared" si="18"/>
        <v>-0.38716347438649173</v>
      </c>
      <c r="K109">
        <f t="shared" si="19"/>
        <v>-0.67926057297601194</v>
      </c>
      <c r="L109">
        <v>1</v>
      </c>
      <c r="M109">
        <f t="shared" si="20"/>
        <v>0.49577785042320599</v>
      </c>
      <c r="N109">
        <f t="shared" si="24"/>
        <v>6.8237499044999997E-2</v>
      </c>
      <c r="O109">
        <f t="shared" si="22"/>
        <v>1.2954329688324171E-2</v>
      </c>
      <c r="P109">
        <f t="shared" si="23"/>
        <v>0.10229089381948178</v>
      </c>
      <c r="V109">
        <v>4.5</v>
      </c>
      <c r="W109">
        <f t="shared" si="21"/>
        <v>-0.70055000000000001</v>
      </c>
    </row>
    <row r="110" spans="1:23" x14ac:dyDescent="0.3">
      <c r="A110">
        <v>3.4261610500000002</v>
      </c>
      <c r="B110">
        <v>0.49875000000000003</v>
      </c>
      <c r="C110">
        <f t="shared" si="14"/>
        <v>1.7087978236875001</v>
      </c>
      <c r="D110">
        <v>2.01E-2</v>
      </c>
      <c r="E110">
        <v>3.8158201924077539E-3</v>
      </c>
      <c r="F110">
        <f t="shared" si="15"/>
        <v>685.23221000000001</v>
      </c>
      <c r="G110">
        <f t="shared" si="16"/>
        <v>-0.49875000000000003</v>
      </c>
      <c r="H110">
        <f t="shared" si="17"/>
        <v>-341.7595647375</v>
      </c>
      <c r="I110">
        <v>1</v>
      </c>
      <c r="J110">
        <f t="shared" si="18"/>
        <v>-0.37799750546422545</v>
      </c>
      <c r="K110">
        <f t="shared" si="19"/>
        <v>-0.68116057297601196</v>
      </c>
      <c r="L110">
        <v>1</v>
      </c>
      <c r="M110">
        <f t="shared" si="20"/>
        <v>0.49616190452104897</v>
      </c>
      <c r="N110">
        <f t="shared" si="24"/>
        <v>6.8865837105000008E-2</v>
      </c>
      <c r="O110">
        <f t="shared" si="22"/>
        <v>1.3073614517030954E-2</v>
      </c>
      <c r="P110">
        <f t="shared" si="23"/>
        <v>0.10305921683293202</v>
      </c>
      <c r="V110">
        <v>4.5999999999999996</v>
      </c>
      <c r="W110">
        <f t="shared" si="21"/>
        <v>-0.70474000000000003</v>
      </c>
    </row>
    <row r="111" spans="1:23" x14ac:dyDescent="0.3">
      <c r="A111">
        <v>3.4574216500000001</v>
      </c>
      <c r="B111">
        <v>0.49590000000000001</v>
      </c>
      <c r="C111">
        <f t="shared" si="14"/>
        <v>1.7145353962350001</v>
      </c>
      <c r="D111">
        <v>2.01E-2</v>
      </c>
      <c r="E111">
        <v>3.8158201924077539E-3</v>
      </c>
      <c r="F111">
        <f t="shared" si="15"/>
        <v>691.48433</v>
      </c>
      <c r="G111">
        <f t="shared" si="16"/>
        <v>-0.49590000000000001</v>
      </c>
      <c r="H111">
        <f t="shared" si="17"/>
        <v>-342.90707924700001</v>
      </c>
      <c r="I111">
        <v>1</v>
      </c>
      <c r="J111">
        <f t="shared" si="18"/>
        <v>-0.3689147890162261</v>
      </c>
      <c r="K111">
        <f t="shared" si="19"/>
        <v>-0.68401057297601198</v>
      </c>
      <c r="L111">
        <v>1</v>
      </c>
      <c r="M111">
        <f t="shared" si="20"/>
        <v>0.49654247034022014</v>
      </c>
      <c r="N111">
        <f t="shared" si="24"/>
        <v>6.9494175165000005E-2</v>
      </c>
      <c r="O111">
        <f t="shared" si="22"/>
        <v>1.3192899345737735E-2</v>
      </c>
      <c r="P111">
        <f t="shared" si="23"/>
        <v>0.10478102812505409</v>
      </c>
      <c r="V111">
        <v>4.7</v>
      </c>
      <c r="W111">
        <f t="shared" si="21"/>
        <v>-0.70893000000000006</v>
      </c>
    </row>
    <row r="112" spans="1:23" x14ac:dyDescent="0.3">
      <c r="A112">
        <v>3.4886822500000001</v>
      </c>
      <c r="B112">
        <v>0.49304999999999999</v>
      </c>
      <c r="C112">
        <f t="shared" si="14"/>
        <v>1.7200947833625</v>
      </c>
      <c r="D112">
        <v>2.01E-2</v>
      </c>
      <c r="E112">
        <v>3.8158201924077539E-3</v>
      </c>
      <c r="F112">
        <f t="shared" si="15"/>
        <v>697.73644999999999</v>
      </c>
      <c r="G112">
        <f t="shared" si="16"/>
        <v>-0.49304999999999999</v>
      </c>
      <c r="H112">
        <f t="shared" si="17"/>
        <v>-344.0189566725</v>
      </c>
      <c r="I112">
        <v>1</v>
      </c>
      <c r="J112">
        <f t="shared" si="18"/>
        <v>-0.35991382631714841</v>
      </c>
      <c r="K112">
        <f t="shared" si="19"/>
        <v>-0.686860572976012</v>
      </c>
      <c r="L112">
        <v>1</v>
      </c>
      <c r="M112">
        <f t="shared" si="20"/>
        <v>0.4969196106773115</v>
      </c>
      <c r="N112">
        <f t="shared" si="24"/>
        <v>7.0122513225000002E-2</v>
      </c>
      <c r="O112">
        <f t="shared" si="22"/>
        <v>1.3312184174444516E-2</v>
      </c>
      <c r="P112">
        <f t="shared" si="23"/>
        <v>0.10650626489925598</v>
      </c>
      <c r="V112">
        <v>4.8</v>
      </c>
      <c r="W112">
        <f t="shared" si="21"/>
        <v>-0.71311999999999998</v>
      </c>
    </row>
    <row r="113" spans="1:23" x14ac:dyDescent="0.3">
      <c r="A113">
        <v>3.5199427999999999</v>
      </c>
      <c r="B113">
        <v>0.49114999999999998</v>
      </c>
      <c r="C113">
        <f t="shared" si="14"/>
        <v>1.7288199062199998</v>
      </c>
      <c r="D113">
        <v>2.01E-2</v>
      </c>
      <c r="E113">
        <v>3.8158201924077539E-3</v>
      </c>
      <c r="F113">
        <f t="shared" si="15"/>
        <v>703.98856000000001</v>
      </c>
      <c r="G113">
        <f t="shared" si="16"/>
        <v>-0.49114999999999998</v>
      </c>
      <c r="H113">
        <f t="shared" si="17"/>
        <v>-345.76398124399998</v>
      </c>
      <c r="I113">
        <v>1</v>
      </c>
      <c r="J113">
        <f t="shared" si="18"/>
        <v>-0.35099317295612736</v>
      </c>
      <c r="K113">
        <f t="shared" si="19"/>
        <v>-0.68876057297601201</v>
      </c>
      <c r="L113">
        <v>1</v>
      </c>
      <c r="M113">
        <f t="shared" si="20"/>
        <v>0.49729338605313828</v>
      </c>
      <c r="N113">
        <f t="shared" si="24"/>
        <v>7.0750850279999999E-2</v>
      </c>
      <c r="O113">
        <f t="shared" si="22"/>
        <v>1.3431468812360289E-2</v>
      </c>
      <c r="P113">
        <f t="shared" si="23"/>
        <v>0.10728486783051344</v>
      </c>
      <c r="V113">
        <v>4.9000000000000004</v>
      </c>
      <c r="W113">
        <f t="shared" si="21"/>
        <v>-0.71731</v>
      </c>
    </row>
    <row r="114" spans="1:23" x14ac:dyDescent="0.3">
      <c r="A114">
        <v>3.5512033999999999</v>
      </c>
      <c r="B114">
        <v>0.48830000000000001</v>
      </c>
      <c r="C114">
        <f t="shared" si="14"/>
        <v>1.73405262022</v>
      </c>
      <c r="D114">
        <v>2.01E-2</v>
      </c>
      <c r="E114">
        <v>3.8158201924077539E-3</v>
      </c>
      <c r="F114">
        <f t="shared" si="15"/>
        <v>710.24068</v>
      </c>
      <c r="G114">
        <f t="shared" si="16"/>
        <v>-0.48830000000000001</v>
      </c>
      <c r="H114">
        <f t="shared" si="17"/>
        <v>-346.81052404399998</v>
      </c>
      <c r="I114">
        <v>1</v>
      </c>
      <c r="J114">
        <f t="shared" si="18"/>
        <v>-0.34215138047402732</v>
      </c>
      <c r="K114">
        <f t="shared" si="19"/>
        <v>-0.69161057297601203</v>
      </c>
      <c r="L114">
        <v>1</v>
      </c>
      <c r="M114">
        <f t="shared" si="20"/>
        <v>0.49766385715813827</v>
      </c>
      <c r="N114">
        <f t="shared" si="24"/>
        <v>7.1379188339999997E-2</v>
      </c>
      <c r="O114">
        <f t="shared" si="22"/>
        <v>1.355075364106707E-2</v>
      </c>
      <c r="P114">
        <f t="shared" si="23"/>
        <v>0.10901677383680669</v>
      </c>
      <c r="V114">
        <v>5</v>
      </c>
      <c r="W114">
        <f t="shared" si="21"/>
        <v>-0.72150000000000003</v>
      </c>
    </row>
    <row r="115" spans="1:23" x14ac:dyDescent="0.3">
      <c r="A115">
        <v>3.5887161500000002</v>
      </c>
      <c r="B115">
        <v>0.48544999999999999</v>
      </c>
      <c r="C115">
        <f t="shared" si="14"/>
        <v>1.7421422550175001</v>
      </c>
      <c r="D115">
        <v>2.01E-2</v>
      </c>
      <c r="E115">
        <v>3.8158201924077539E-3</v>
      </c>
      <c r="F115">
        <f t="shared" si="15"/>
        <v>717.74323000000004</v>
      </c>
      <c r="G115">
        <f t="shared" si="16"/>
        <v>-0.48544999999999999</v>
      </c>
      <c r="H115">
        <f t="shared" si="17"/>
        <v>-348.42845100350002</v>
      </c>
      <c r="I115">
        <v>1</v>
      </c>
      <c r="J115">
        <f t="shared" si="18"/>
        <v>-0.33164339227901779</v>
      </c>
      <c r="K115">
        <f t="shared" si="19"/>
        <v>-0.69446057297601205</v>
      </c>
      <c r="L115">
        <v>1</v>
      </c>
      <c r="M115">
        <f t="shared" si="20"/>
        <v>0.49810414186350915</v>
      </c>
      <c r="N115">
        <f t="shared" si="24"/>
        <v>7.2133194615000007E-2</v>
      </c>
      <c r="O115">
        <f t="shared" si="22"/>
        <v>1.3693895549989815E-2</v>
      </c>
      <c r="P115">
        <f t="shared" si="23"/>
        <v>0.11052934094751307</v>
      </c>
      <c r="V115">
        <v>5.0999999999999996</v>
      </c>
      <c r="W115">
        <f t="shared" si="21"/>
        <v>-0.72568999999999995</v>
      </c>
    </row>
    <row r="116" spans="1:23" x14ac:dyDescent="0.3">
      <c r="A116">
        <v>3.6199767000000005</v>
      </c>
      <c r="B116">
        <v>0.48259999999999997</v>
      </c>
      <c r="C116">
        <f t="shared" si="14"/>
        <v>1.7470007554200002</v>
      </c>
      <c r="D116">
        <v>2.01E-2</v>
      </c>
      <c r="E116">
        <v>3.8158201924077539E-3</v>
      </c>
      <c r="F116">
        <f t="shared" si="15"/>
        <v>723.99534000000006</v>
      </c>
      <c r="G116">
        <f t="shared" si="16"/>
        <v>-0.48259999999999997</v>
      </c>
      <c r="H116">
        <f t="shared" si="17"/>
        <v>-349.40015108400007</v>
      </c>
      <c r="I116">
        <v>1</v>
      </c>
      <c r="J116">
        <f t="shared" si="18"/>
        <v>-0.32297032308122309</v>
      </c>
      <c r="K116">
        <f t="shared" si="19"/>
        <v>-0.69731057297601207</v>
      </c>
      <c r="L116">
        <v>1</v>
      </c>
      <c r="M116">
        <f t="shared" si="20"/>
        <v>0.49846754346289679</v>
      </c>
      <c r="N116">
        <f t="shared" si="24"/>
        <v>7.2761531670000004E-2</v>
      </c>
      <c r="O116">
        <f t="shared" si="22"/>
        <v>1.3813180187905588E-2</v>
      </c>
      <c r="P116">
        <f t="shared" si="23"/>
        <v>0.1122683176552097</v>
      </c>
      <c r="V116">
        <v>5.2</v>
      </c>
      <c r="W116">
        <f t="shared" si="21"/>
        <v>-0.72988000000000008</v>
      </c>
    </row>
    <row r="117" spans="1:23" x14ac:dyDescent="0.3">
      <c r="A117">
        <v>3.6512373</v>
      </c>
      <c r="B117">
        <v>0.47975000000000001</v>
      </c>
      <c r="C117">
        <f t="shared" si="14"/>
        <v>1.7516810946750001</v>
      </c>
      <c r="D117">
        <v>2.01E-2</v>
      </c>
      <c r="E117">
        <v>3.8158201924077539E-3</v>
      </c>
      <c r="F117">
        <f t="shared" si="15"/>
        <v>730.24746000000005</v>
      </c>
      <c r="G117">
        <f t="shared" si="16"/>
        <v>-0.47975000000000001</v>
      </c>
      <c r="H117">
        <f t="shared" si="17"/>
        <v>-350.33621893500003</v>
      </c>
      <c r="I117">
        <v>1</v>
      </c>
      <c r="J117">
        <f t="shared" si="18"/>
        <v>-0.31437181598120534</v>
      </c>
      <c r="K117">
        <f t="shared" si="19"/>
        <v>-0.70016057297601197</v>
      </c>
      <c r="L117">
        <v>1</v>
      </c>
      <c r="M117">
        <f t="shared" si="20"/>
        <v>0.49882782091038752</v>
      </c>
      <c r="N117">
        <f t="shared" si="24"/>
        <v>7.3389869730000001E-2</v>
      </c>
      <c r="O117">
        <f t="shared" si="22"/>
        <v>1.3932465016612368E-2</v>
      </c>
      <c r="P117">
        <f t="shared" si="23"/>
        <v>0.11401041731901208</v>
      </c>
      <c r="V117">
        <v>5.3</v>
      </c>
      <c r="W117">
        <f t="shared" si="21"/>
        <v>-0.73407</v>
      </c>
    </row>
    <row r="118" spans="1:23" x14ac:dyDescent="0.3">
      <c r="A118">
        <v>3.6824979</v>
      </c>
      <c r="B118">
        <v>0.47785</v>
      </c>
      <c r="C118">
        <f t="shared" si="14"/>
        <v>1.759681621515</v>
      </c>
      <c r="D118">
        <v>2.01E-2</v>
      </c>
      <c r="E118">
        <v>3.8158201924077539E-3</v>
      </c>
      <c r="F118">
        <f t="shared" si="15"/>
        <v>736.49958000000004</v>
      </c>
      <c r="G118">
        <f t="shared" si="16"/>
        <v>-0.47785</v>
      </c>
      <c r="H118">
        <f t="shared" si="17"/>
        <v>-351.93632430299999</v>
      </c>
      <c r="I118">
        <v>1</v>
      </c>
      <c r="J118">
        <f t="shared" si="18"/>
        <v>-0.3058466133443804</v>
      </c>
      <c r="K118">
        <f t="shared" si="19"/>
        <v>-0.70206057297601199</v>
      </c>
      <c r="L118">
        <v>1</v>
      </c>
      <c r="M118">
        <f t="shared" si="20"/>
        <v>0.49918502690087047</v>
      </c>
      <c r="N118">
        <f t="shared" si="24"/>
        <v>7.4018207789999999E-2</v>
      </c>
      <c r="O118">
        <f t="shared" si="22"/>
        <v>1.405174984531915E-2</v>
      </c>
      <c r="P118">
        <f t="shared" si="23"/>
        <v>0.11480558843982236</v>
      </c>
      <c r="V118">
        <v>5.4</v>
      </c>
      <c r="W118">
        <f t="shared" si="21"/>
        <v>-0.73826000000000003</v>
      </c>
    </row>
    <row r="119" spans="1:23" x14ac:dyDescent="0.3">
      <c r="A119">
        <v>3.7137585</v>
      </c>
      <c r="B119">
        <v>0.47499999999999998</v>
      </c>
      <c r="C119">
        <f t="shared" si="14"/>
        <v>1.7640352874999998</v>
      </c>
      <c r="D119">
        <v>2.01E-2</v>
      </c>
      <c r="E119">
        <v>3.8158201924077539E-3</v>
      </c>
      <c r="F119">
        <f t="shared" si="15"/>
        <v>742.75170000000003</v>
      </c>
      <c r="G119">
        <f t="shared" si="16"/>
        <v>-0.47499999999999998</v>
      </c>
      <c r="H119">
        <f t="shared" si="17"/>
        <v>-352.80705749999998</v>
      </c>
      <c r="I119">
        <v>1</v>
      </c>
      <c r="J119">
        <f t="shared" si="18"/>
        <v>-0.29739347585038667</v>
      </c>
      <c r="K119">
        <f t="shared" si="19"/>
        <v>-0.70491057297601201</v>
      </c>
      <c r="L119">
        <v>1</v>
      </c>
      <c r="M119">
        <f t="shared" si="20"/>
        <v>0.49953921336186879</v>
      </c>
      <c r="N119">
        <f t="shared" si="24"/>
        <v>7.4646545849999996E-2</v>
      </c>
      <c r="O119">
        <f t="shared" si="22"/>
        <v>1.4171034674025931E-2</v>
      </c>
      <c r="P119">
        <f t="shared" si="23"/>
        <v>0.11655377909011728</v>
      </c>
      <c r="V119">
        <v>5.5</v>
      </c>
      <c r="W119">
        <f t="shared" si="21"/>
        <v>-0.74245000000000005</v>
      </c>
    </row>
    <row r="120" spans="1:23" x14ac:dyDescent="0.3">
      <c r="A120">
        <v>3.7450190999999999</v>
      </c>
      <c r="B120">
        <v>0.47215000000000001</v>
      </c>
      <c r="C120">
        <f t="shared" si="14"/>
        <v>1.7682107680650001</v>
      </c>
      <c r="D120">
        <v>2.01E-2</v>
      </c>
      <c r="E120">
        <v>3.8158201924077539E-3</v>
      </c>
      <c r="F120">
        <f t="shared" si="15"/>
        <v>749.00382000000002</v>
      </c>
      <c r="G120">
        <f t="shared" si="16"/>
        <v>-0.47215000000000001</v>
      </c>
      <c r="H120">
        <f t="shared" si="17"/>
        <v>-353.642153613</v>
      </c>
      <c r="I120">
        <v>1</v>
      </c>
      <c r="J120">
        <f t="shared" si="18"/>
        <v>-0.28901119534441189</v>
      </c>
      <c r="K120">
        <f t="shared" si="19"/>
        <v>-0.70776057297601191</v>
      </c>
      <c r="L120">
        <v>1</v>
      </c>
      <c r="M120">
        <f t="shared" si="20"/>
        <v>0.49989043091506913</v>
      </c>
      <c r="N120">
        <f t="shared" si="24"/>
        <v>7.5274883909999993E-2</v>
      </c>
      <c r="O120">
        <f t="shared" si="22"/>
        <v>1.4290319502732714E-2</v>
      </c>
      <c r="P120">
        <f t="shared" si="23"/>
        <v>0.1183049386482101</v>
      </c>
      <c r="V120">
        <v>5.6</v>
      </c>
      <c r="W120">
        <f t="shared" si="21"/>
        <v>-0.74663999999999997</v>
      </c>
    </row>
    <row r="121" spans="1:23" x14ac:dyDescent="0.3">
      <c r="A121">
        <v>3.7762796999999999</v>
      </c>
      <c r="B121">
        <v>0.46929999999999999</v>
      </c>
      <c r="C121">
        <f t="shared" si="14"/>
        <v>1.7722080632099999</v>
      </c>
      <c r="D121">
        <v>2.01E-2</v>
      </c>
      <c r="E121">
        <v>3.8158201924077539E-3</v>
      </c>
      <c r="F121">
        <f t="shared" si="15"/>
        <v>755.25594000000001</v>
      </c>
      <c r="G121">
        <f t="shared" si="16"/>
        <v>-0.46929999999999999</v>
      </c>
      <c r="H121">
        <f t="shared" si="17"/>
        <v>-354.441612642</v>
      </c>
      <c r="I121">
        <v>1</v>
      </c>
      <c r="J121">
        <f t="shared" si="18"/>
        <v>-0.28069859380090195</v>
      </c>
      <c r="K121">
        <f t="shared" si="19"/>
        <v>-0.71061057297601193</v>
      </c>
      <c r="L121">
        <v>1</v>
      </c>
      <c r="M121">
        <f t="shared" si="20"/>
        <v>0.50023872891974219</v>
      </c>
      <c r="N121">
        <f t="shared" si="24"/>
        <v>7.5903221970000004E-2</v>
      </c>
      <c r="O121">
        <f t="shared" si="22"/>
        <v>1.4409604331439495E-2</v>
      </c>
      <c r="P121">
        <f t="shared" si="23"/>
        <v>0.12005901775483026</v>
      </c>
      <c r="V121">
        <v>5.7</v>
      </c>
      <c r="W121">
        <f t="shared" si="21"/>
        <v>-0.75083</v>
      </c>
    </row>
    <row r="122" spans="1:23" x14ac:dyDescent="0.3">
      <c r="A122">
        <v>3.8137923999999996</v>
      </c>
      <c r="B122">
        <v>0.46644999999999998</v>
      </c>
      <c r="C122">
        <f t="shared" si="14"/>
        <v>1.7789434649799998</v>
      </c>
      <c r="D122">
        <v>2.01E-2</v>
      </c>
      <c r="E122">
        <v>3.8158201924077539E-3</v>
      </c>
      <c r="F122">
        <f t="shared" si="15"/>
        <v>762.75847999999996</v>
      </c>
      <c r="G122">
        <f t="shared" si="16"/>
        <v>-0.46644999999999998</v>
      </c>
      <c r="H122">
        <f t="shared" si="17"/>
        <v>-355.78869299599995</v>
      </c>
      <c r="I122">
        <v>1</v>
      </c>
      <c r="J122">
        <f t="shared" si="18"/>
        <v>-0.27081383778081991</v>
      </c>
      <c r="K122">
        <f t="shared" si="19"/>
        <v>-0.71346057297601195</v>
      </c>
      <c r="L122">
        <v>1</v>
      </c>
      <c r="M122">
        <f t="shared" si="20"/>
        <v>0.50065290019698361</v>
      </c>
      <c r="N122">
        <f t="shared" si="24"/>
        <v>7.6657227239999987E-2</v>
      </c>
      <c r="O122">
        <f t="shared" si="22"/>
        <v>1.4552746049571229E-2</v>
      </c>
      <c r="P122">
        <f t="shared" si="23"/>
        <v>0.12159769948945713</v>
      </c>
      <c r="V122">
        <v>5.8</v>
      </c>
      <c r="W122">
        <f t="shared" si="21"/>
        <v>-0.75502000000000002</v>
      </c>
    </row>
    <row r="123" spans="1:23" x14ac:dyDescent="0.3">
      <c r="A123">
        <v>3.8450529999999996</v>
      </c>
      <c r="B123">
        <v>0.46360000000000001</v>
      </c>
      <c r="C123">
        <f t="shared" si="14"/>
        <v>1.7825665707999998</v>
      </c>
      <c r="D123">
        <v>2.01E-2</v>
      </c>
      <c r="E123">
        <v>3.8158201924077539E-3</v>
      </c>
      <c r="F123">
        <f t="shared" si="15"/>
        <v>769.01059999999995</v>
      </c>
      <c r="G123">
        <f t="shared" si="16"/>
        <v>-0.46360000000000001</v>
      </c>
      <c r="H123">
        <f t="shared" si="17"/>
        <v>-356.51331415999994</v>
      </c>
      <c r="I123">
        <v>1</v>
      </c>
      <c r="J123">
        <f t="shared" si="18"/>
        <v>-0.26265052543625284</v>
      </c>
      <c r="K123">
        <f t="shared" si="19"/>
        <v>-0.71631057297601197</v>
      </c>
      <c r="L123">
        <v>1</v>
      </c>
      <c r="M123">
        <f t="shared" si="20"/>
        <v>0.50099494298422098</v>
      </c>
      <c r="N123">
        <f t="shared" si="24"/>
        <v>7.7285565299999998E-2</v>
      </c>
      <c r="O123">
        <f t="shared" si="22"/>
        <v>1.467203087827801E-2</v>
      </c>
      <c r="P123">
        <f t="shared" si="23"/>
        <v>0.12335803381351299</v>
      </c>
      <c r="V123">
        <v>5.9</v>
      </c>
      <c r="W123">
        <f t="shared" si="21"/>
        <v>-0.75921000000000005</v>
      </c>
    </row>
    <row r="124" spans="1:23" x14ac:dyDescent="0.3">
      <c r="A124">
        <v>3.8825657000000002</v>
      </c>
      <c r="B124">
        <v>0.46074999999999999</v>
      </c>
      <c r="C124">
        <f t="shared" si="14"/>
        <v>1.788892146275</v>
      </c>
      <c r="D124">
        <v>2.01E-2</v>
      </c>
      <c r="E124">
        <v>3.8158201924077539E-3</v>
      </c>
      <c r="F124">
        <f t="shared" si="15"/>
        <v>776.51314000000002</v>
      </c>
      <c r="G124">
        <f t="shared" si="16"/>
        <v>-0.46074999999999999</v>
      </c>
      <c r="H124">
        <f t="shared" si="17"/>
        <v>-357.77842925499999</v>
      </c>
      <c r="I124">
        <v>1</v>
      </c>
      <c r="J124">
        <f t="shared" si="18"/>
        <v>-0.25294171445028751</v>
      </c>
      <c r="K124">
        <f t="shared" si="19"/>
        <v>-0.71916057297601199</v>
      </c>
      <c r="L124">
        <v>1</v>
      </c>
      <c r="M124">
        <f t="shared" si="20"/>
        <v>0.50140174216453293</v>
      </c>
      <c r="N124">
        <f t="shared" si="24"/>
        <v>7.8039570570000008E-2</v>
      </c>
      <c r="O124">
        <f t="shared" si="22"/>
        <v>1.4815172596409746E-2</v>
      </c>
      <c r="P124">
        <f t="shared" si="23"/>
        <v>0.12490408764506933</v>
      </c>
      <c r="V124">
        <v>6</v>
      </c>
      <c r="W124">
        <f t="shared" si="21"/>
        <v>-0.76340000000000008</v>
      </c>
    </row>
    <row r="125" spans="1:23" x14ac:dyDescent="0.3">
      <c r="A125">
        <v>3.9138263000000002</v>
      </c>
      <c r="B125">
        <v>0.45789999999999997</v>
      </c>
      <c r="C125">
        <f t="shared" si="14"/>
        <v>1.7921410627700001</v>
      </c>
      <c r="D125">
        <v>2.01E-2</v>
      </c>
      <c r="E125">
        <v>3.8158201924077539E-3</v>
      </c>
      <c r="F125">
        <f t="shared" si="15"/>
        <v>782.76526000000001</v>
      </c>
      <c r="G125">
        <f t="shared" si="16"/>
        <v>-0.45789999999999997</v>
      </c>
      <c r="H125">
        <f t="shared" si="17"/>
        <v>-358.42821255400003</v>
      </c>
      <c r="I125">
        <v>1</v>
      </c>
      <c r="J125">
        <f t="shared" si="18"/>
        <v>-0.24492242359676245</v>
      </c>
      <c r="K125">
        <f t="shared" si="19"/>
        <v>-0.72201057297601201</v>
      </c>
      <c r="L125">
        <v>1</v>
      </c>
      <c r="M125">
        <f t="shared" si="20"/>
        <v>0.50173775045129565</v>
      </c>
      <c r="N125">
        <f t="shared" si="24"/>
        <v>7.8667908630000005E-2</v>
      </c>
      <c r="O125">
        <f t="shared" si="22"/>
        <v>1.4934457425116529E-2</v>
      </c>
      <c r="P125">
        <f t="shared" si="23"/>
        <v>0.12667045646959982</v>
      </c>
      <c r="V125">
        <v>6.1</v>
      </c>
      <c r="W125">
        <f t="shared" si="21"/>
        <v>-0.76758999999999999</v>
      </c>
    </row>
    <row r="126" spans="1:23" x14ac:dyDescent="0.3">
      <c r="A126">
        <v>3.9450869000000002</v>
      </c>
      <c r="B126">
        <v>0.4541</v>
      </c>
      <c r="C126">
        <f t="shared" si="14"/>
        <v>1.7914639612900001</v>
      </c>
      <c r="D126">
        <v>2.01E-2</v>
      </c>
      <c r="E126">
        <v>3.8158201924077539E-3</v>
      </c>
      <c r="F126">
        <f t="shared" si="15"/>
        <v>789.01738</v>
      </c>
      <c r="G126">
        <f t="shared" si="16"/>
        <v>-0.4541</v>
      </c>
      <c r="H126">
        <f t="shared" si="17"/>
        <v>-358.29279225800002</v>
      </c>
      <c r="I126">
        <v>1</v>
      </c>
      <c r="J126">
        <f t="shared" si="18"/>
        <v>-0.23696693049547637</v>
      </c>
      <c r="K126">
        <f t="shared" si="19"/>
        <v>-0.72581057297601204</v>
      </c>
      <c r="L126">
        <v>1</v>
      </c>
      <c r="M126">
        <f t="shared" si="20"/>
        <v>0.50207108561223956</v>
      </c>
      <c r="N126">
        <f t="shared" si="24"/>
        <v>7.9296246690000002E-2</v>
      </c>
      <c r="O126">
        <f t="shared" si="22"/>
        <v>1.505374225382331E-2</v>
      </c>
      <c r="P126">
        <f t="shared" si="23"/>
        <v>0.12938949841994915</v>
      </c>
      <c r="V126">
        <v>6.2</v>
      </c>
      <c r="W126">
        <f t="shared" si="21"/>
        <v>-0.77178000000000002</v>
      </c>
    </row>
    <row r="127" spans="1:23" x14ac:dyDescent="0.3">
      <c r="A127">
        <v>3.9763475000000001</v>
      </c>
      <c r="B127">
        <v>0.45124999999999998</v>
      </c>
      <c r="C127">
        <f t="shared" si="14"/>
        <v>1.794326809375</v>
      </c>
      <c r="D127">
        <v>2.01E-2</v>
      </c>
      <c r="E127">
        <v>3.8158201924077539E-3</v>
      </c>
      <c r="F127">
        <f t="shared" si="15"/>
        <v>795.26949999999999</v>
      </c>
      <c r="G127">
        <f t="shared" si="16"/>
        <v>-0.45124999999999998</v>
      </c>
      <c r="H127">
        <f t="shared" si="17"/>
        <v>-358.86536187500002</v>
      </c>
      <c r="I127">
        <v>1</v>
      </c>
      <c r="J127">
        <f t="shared" si="18"/>
        <v>-0.22907422806249927</v>
      </c>
      <c r="K127">
        <f t="shared" si="19"/>
        <v>-0.72866057297601206</v>
      </c>
      <c r="L127">
        <v>1</v>
      </c>
      <c r="M127">
        <f t="shared" si="20"/>
        <v>0.50240178984418127</v>
      </c>
      <c r="N127">
        <f t="shared" si="24"/>
        <v>7.992458475E-2</v>
      </c>
      <c r="O127">
        <f t="shared" si="22"/>
        <v>1.5173027082530093E-2</v>
      </c>
      <c r="P127">
        <f t="shared" si="23"/>
        <v>0.13116117129930069</v>
      </c>
      <c r="V127">
        <v>6.3</v>
      </c>
      <c r="W127">
        <f t="shared" si="21"/>
        <v>-0.77597000000000005</v>
      </c>
    </row>
    <row r="128" spans="1:23" x14ac:dyDescent="0.3">
      <c r="A128">
        <v>4.0076080999999997</v>
      </c>
      <c r="B128">
        <v>0.44840000000000002</v>
      </c>
      <c r="C128">
        <f t="shared" si="14"/>
        <v>1.7970114720399999</v>
      </c>
      <c r="D128">
        <v>2.01E-2</v>
      </c>
      <c r="E128">
        <v>3.8158201924077539E-3</v>
      </c>
      <c r="F128">
        <f t="shared" si="15"/>
        <v>801.52161999999998</v>
      </c>
      <c r="G128">
        <f t="shared" si="16"/>
        <v>-0.44840000000000002</v>
      </c>
      <c r="H128">
        <f t="shared" si="17"/>
        <v>-359.40229440799999</v>
      </c>
      <c r="I128">
        <v>1</v>
      </c>
      <c r="J128">
        <f t="shared" si="18"/>
        <v>-0.22124333287337575</v>
      </c>
      <c r="K128">
        <f t="shared" si="19"/>
        <v>-0.73151057297601196</v>
      </c>
      <c r="L128">
        <v>1</v>
      </c>
      <c r="M128">
        <f t="shared" si="20"/>
        <v>0.50272990435260556</v>
      </c>
      <c r="N128">
        <f t="shared" si="24"/>
        <v>8.0552922809999997E-2</v>
      </c>
      <c r="O128">
        <f t="shared" si="22"/>
        <v>1.5292311911236872E-2</v>
      </c>
      <c r="P128">
        <f t="shared" si="23"/>
        <v>0.13293543390216955</v>
      </c>
      <c r="V128">
        <v>6.4</v>
      </c>
      <c r="W128">
        <f t="shared" si="21"/>
        <v>-0.78015999999999996</v>
      </c>
    </row>
    <row r="129" spans="1:23" x14ac:dyDescent="0.3">
      <c r="A129">
        <v>4.0451208000000003</v>
      </c>
      <c r="B129">
        <v>0.44555</v>
      </c>
      <c r="C129">
        <f t="shared" si="14"/>
        <v>1.8023035724400001</v>
      </c>
      <c r="D129">
        <v>2.01E-2</v>
      </c>
      <c r="E129">
        <v>3.8158201924077539E-3</v>
      </c>
      <c r="F129">
        <f t="shared" si="15"/>
        <v>809.02416000000005</v>
      </c>
      <c r="G129">
        <f t="shared" si="16"/>
        <v>-0.44555</v>
      </c>
      <c r="H129">
        <f t="shared" si="17"/>
        <v>-360.46071448800001</v>
      </c>
      <c r="I129">
        <v>1</v>
      </c>
      <c r="J129">
        <f t="shared" si="18"/>
        <v>-0.21192649833990024</v>
      </c>
      <c r="K129">
        <f t="shared" si="19"/>
        <v>-0.73436057297601198</v>
      </c>
      <c r="L129">
        <v>1</v>
      </c>
      <c r="M129">
        <f t="shared" si="20"/>
        <v>0.50312027971955819</v>
      </c>
      <c r="N129">
        <f t="shared" si="24"/>
        <v>8.1306928080000007E-2</v>
      </c>
      <c r="O129">
        <f t="shared" si="22"/>
        <v>1.5435453629368609E-2</v>
      </c>
      <c r="P129">
        <f t="shared" si="23"/>
        <v>0.13449791154708518</v>
      </c>
      <c r="V129">
        <v>6.5</v>
      </c>
      <c r="W129">
        <f t="shared" si="21"/>
        <v>-0.78434999999999999</v>
      </c>
    </row>
    <row r="130" spans="1:23" x14ac:dyDescent="0.3">
      <c r="A130">
        <v>4.0763813999999998</v>
      </c>
      <c r="B130">
        <v>0.44269999999999998</v>
      </c>
      <c r="C130">
        <f t="shared" si="14"/>
        <v>1.80461404578</v>
      </c>
      <c r="D130">
        <v>2.01E-2</v>
      </c>
      <c r="E130">
        <v>3.8158201924077539E-3</v>
      </c>
      <c r="F130">
        <f t="shared" si="15"/>
        <v>815.27627999999993</v>
      </c>
      <c r="G130">
        <f t="shared" si="16"/>
        <v>-0.44269999999999998</v>
      </c>
      <c r="H130">
        <f t="shared" si="17"/>
        <v>-360.92280915599997</v>
      </c>
      <c r="I130">
        <v>1</v>
      </c>
      <c r="J130">
        <f t="shared" si="18"/>
        <v>-0.20422822932168191</v>
      </c>
      <c r="K130">
        <f t="shared" si="19"/>
        <v>-0.737210572976012</v>
      </c>
      <c r="L130">
        <v>1</v>
      </c>
      <c r="M130">
        <f t="shared" si="20"/>
        <v>0.50344283719142158</v>
      </c>
      <c r="N130">
        <f t="shared" si="24"/>
        <v>8.193526613999999E-2</v>
      </c>
      <c r="O130">
        <f t="shared" si="22"/>
        <v>1.5554738458075389E-2</v>
      </c>
      <c r="P130">
        <f t="shared" si="23"/>
        <v>0.13627773118651504</v>
      </c>
      <c r="V130">
        <v>6.6</v>
      </c>
      <c r="W130">
        <f t="shared" si="21"/>
        <v>-0.78854000000000002</v>
      </c>
    </row>
    <row r="131" spans="1:23" x14ac:dyDescent="0.3">
      <c r="A131">
        <v>4.1076420000000002</v>
      </c>
      <c r="B131">
        <v>0.43985000000000002</v>
      </c>
      <c r="C131">
        <f t="shared" si="14"/>
        <v>1.8067463337000003</v>
      </c>
      <c r="D131">
        <v>2.01E-2</v>
      </c>
      <c r="E131">
        <v>3.8158201924077539E-3</v>
      </c>
      <c r="F131">
        <f t="shared" si="15"/>
        <v>821.52840000000003</v>
      </c>
      <c r="G131">
        <f t="shared" si="16"/>
        <v>-0.43985000000000002</v>
      </c>
      <c r="H131">
        <f t="shared" si="17"/>
        <v>-361.34926674000008</v>
      </c>
      <c r="I131">
        <v>1</v>
      </c>
      <c r="J131">
        <f t="shared" si="18"/>
        <v>-0.19658877119549659</v>
      </c>
      <c r="K131">
        <f t="shared" si="19"/>
        <v>-0.74006057297601191</v>
      </c>
      <c r="L131">
        <v>1</v>
      </c>
      <c r="M131">
        <f t="shared" si="20"/>
        <v>0.50376293048690868</v>
      </c>
      <c r="N131">
        <f t="shared" si="24"/>
        <v>8.2563604200000001E-2</v>
      </c>
      <c r="O131">
        <f t="shared" si="22"/>
        <v>1.5674023286782173E-2</v>
      </c>
      <c r="P131">
        <f t="shared" si="23"/>
        <v>0.13806001500232107</v>
      </c>
      <c r="V131">
        <v>6.7</v>
      </c>
      <c r="W131">
        <f t="shared" si="21"/>
        <v>-0.79272999999999993</v>
      </c>
    </row>
    <row r="132" spans="1:23" x14ac:dyDescent="0.3">
      <c r="A132">
        <v>4.1389025999999998</v>
      </c>
      <c r="B132">
        <v>0.437</v>
      </c>
      <c r="C132">
        <f t="shared" si="14"/>
        <v>1.8087004361999999</v>
      </c>
      <c r="D132">
        <v>2.01E-2</v>
      </c>
      <c r="E132">
        <v>3.8158201924077539E-3</v>
      </c>
      <c r="F132">
        <f t="shared" si="15"/>
        <v>827.78051999999991</v>
      </c>
      <c r="G132">
        <f t="shared" si="16"/>
        <v>-0.437</v>
      </c>
      <c r="H132">
        <f t="shared" si="17"/>
        <v>-361.74008723999998</v>
      </c>
      <c r="I132">
        <v>1</v>
      </c>
      <c r="J132">
        <f t="shared" si="18"/>
        <v>-0.18900723219856064</v>
      </c>
      <c r="K132">
        <f t="shared" si="19"/>
        <v>-0.74291057297601193</v>
      </c>
      <c r="L132">
        <v>1</v>
      </c>
      <c r="M132">
        <f t="shared" si="20"/>
        <v>0.50408059697088037</v>
      </c>
      <c r="N132">
        <f t="shared" si="24"/>
        <v>8.3191942259999999E-2</v>
      </c>
      <c r="O132">
        <f t="shared" si="22"/>
        <v>1.5793308115488951E-2</v>
      </c>
      <c r="P132">
        <f t="shared" si="23"/>
        <v>0.13984472562964262</v>
      </c>
      <c r="V132">
        <v>6.8</v>
      </c>
      <c r="W132">
        <f t="shared" si="21"/>
        <v>-0.79692000000000007</v>
      </c>
    </row>
    <row r="133" spans="1:23" x14ac:dyDescent="0.3">
      <c r="A133">
        <v>4.1701631500000005</v>
      </c>
      <c r="B133">
        <v>0.43319999999999997</v>
      </c>
      <c r="C133">
        <f t="shared" ref="C133:C196" si="25">A133*B133</f>
        <v>1.8065146765800002</v>
      </c>
      <c r="D133">
        <v>2.01E-2</v>
      </c>
      <c r="E133">
        <v>3.8158201924077539E-3</v>
      </c>
      <c r="F133">
        <f t="shared" ref="F133:F196" si="26">A133*200</f>
        <v>834.03263000000015</v>
      </c>
      <c r="G133">
        <f t="shared" ref="G133:G144" si="27">-B133</f>
        <v>-0.43319999999999997</v>
      </c>
      <c r="H133">
        <f t="shared" ref="H133:H196" si="28">-C133*200</f>
        <v>-361.30293531600006</v>
      </c>
      <c r="I133">
        <v>1</v>
      </c>
      <c r="J133">
        <f t="shared" ref="J133:J196" si="29">LN(F133/1000)</f>
        <v>-0.18148275268850142</v>
      </c>
      <c r="K133">
        <f t="shared" ref="K133:K187" si="30">((-G133)-$N$2)</f>
        <v>-0.74671057297601195</v>
      </c>
      <c r="L133">
        <v>1</v>
      </c>
      <c r="M133">
        <f t="shared" ref="M133:M196" si="31">-1*($S$4+($S$5*J133))</f>
        <v>0.50439587266235175</v>
      </c>
      <c r="N133">
        <f t="shared" si="24"/>
        <v>8.382027931500001E-2</v>
      </c>
      <c r="O133">
        <f t="shared" si="22"/>
        <v>1.5912592753404727E-2</v>
      </c>
      <c r="P133">
        <f t="shared" si="23"/>
        <v>0.14258182824525545</v>
      </c>
      <c r="V133">
        <v>6.9</v>
      </c>
      <c r="W133">
        <f t="shared" ref="W133:W139" si="32">V133*$S$5+$S$4</f>
        <v>-0.80110999999999999</v>
      </c>
    </row>
    <row r="134" spans="1:23" x14ac:dyDescent="0.3">
      <c r="A134">
        <v>4.20142375</v>
      </c>
      <c r="B134">
        <v>0.43035000000000001</v>
      </c>
      <c r="C134">
        <f t="shared" si="25"/>
        <v>1.8080827108124999</v>
      </c>
      <c r="D134">
        <v>2.01E-2</v>
      </c>
      <c r="E134">
        <v>3.8158201924077539E-3</v>
      </c>
      <c r="F134">
        <f t="shared" si="26"/>
        <v>840.28475000000003</v>
      </c>
      <c r="G134">
        <f t="shared" si="27"/>
        <v>-0.43035000000000001</v>
      </c>
      <c r="H134">
        <f t="shared" si="28"/>
        <v>-361.61654216249997</v>
      </c>
      <c r="I134">
        <v>1</v>
      </c>
      <c r="J134">
        <f t="shared" si="29"/>
        <v>-0.17401445649302258</v>
      </c>
      <c r="K134">
        <f t="shared" si="30"/>
        <v>-0.74956057297601197</v>
      </c>
      <c r="L134">
        <v>1</v>
      </c>
      <c r="M134">
        <f t="shared" si="31"/>
        <v>0.50470879427294235</v>
      </c>
      <c r="N134">
        <f t="shared" si="24"/>
        <v>8.4448617374999993E-2</v>
      </c>
      <c r="O134">
        <f t="shared" ref="O134:O144" si="33">E134*A134</f>
        <v>1.6031877582111508E-2</v>
      </c>
      <c r="P134">
        <f t="shared" ref="P134:P144" si="34">-K134-M134-N134-O134</f>
        <v>0.14437128374595815</v>
      </c>
      <c r="V134">
        <v>7</v>
      </c>
      <c r="W134">
        <f t="shared" si="32"/>
        <v>-0.80530000000000002</v>
      </c>
    </row>
    <row r="135" spans="1:23" x14ac:dyDescent="0.3">
      <c r="A135">
        <v>4.2326843500000004</v>
      </c>
      <c r="B135">
        <v>0.42749999999999999</v>
      </c>
      <c r="C135">
        <f t="shared" si="25"/>
        <v>1.8094725596250001</v>
      </c>
      <c r="D135">
        <v>2.01E-2</v>
      </c>
      <c r="E135">
        <v>3.8158201924077539E-3</v>
      </c>
      <c r="F135">
        <f t="shared" si="26"/>
        <v>846.53687000000014</v>
      </c>
      <c r="G135">
        <f t="shared" si="27"/>
        <v>-0.42749999999999999</v>
      </c>
      <c r="H135">
        <f t="shared" si="28"/>
        <v>-361.89451192500002</v>
      </c>
      <c r="I135">
        <v>1</v>
      </c>
      <c r="J135">
        <f t="shared" si="29"/>
        <v>-0.16660152253939958</v>
      </c>
      <c r="K135">
        <f t="shared" si="30"/>
        <v>-0.75241057297601199</v>
      </c>
      <c r="L135">
        <v>1</v>
      </c>
      <c r="M135">
        <f t="shared" si="31"/>
        <v>0.50501939620559921</v>
      </c>
      <c r="N135">
        <f t="shared" ref="N135:N144" si="35">D135*A135</f>
        <v>8.5076955435000004E-2</v>
      </c>
      <c r="O135">
        <f t="shared" si="33"/>
        <v>1.6151162410818289E-2</v>
      </c>
      <c r="P135">
        <f t="shared" si="34"/>
        <v>0.1461630589245945</v>
      </c>
      <c r="V135">
        <v>7.1</v>
      </c>
      <c r="W135">
        <f t="shared" si="32"/>
        <v>-0.80949000000000004</v>
      </c>
    </row>
    <row r="136" spans="1:23" x14ac:dyDescent="0.3">
      <c r="A136">
        <v>4.2701970500000002</v>
      </c>
      <c r="B136">
        <v>0.42370000000000002</v>
      </c>
      <c r="C136">
        <f t="shared" si="25"/>
        <v>1.8092824900850002</v>
      </c>
      <c r="D136">
        <v>2.01E-2</v>
      </c>
      <c r="E136">
        <v>3.8158201924077539E-3</v>
      </c>
      <c r="F136">
        <f t="shared" si="26"/>
        <v>854.03941000000009</v>
      </c>
      <c r="G136">
        <f t="shared" si="27"/>
        <v>-0.42370000000000002</v>
      </c>
      <c r="H136">
        <f t="shared" si="28"/>
        <v>-361.85649801700004</v>
      </c>
      <c r="I136">
        <v>1</v>
      </c>
      <c r="J136">
        <f t="shared" si="29"/>
        <v>-0.15777793871734852</v>
      </c>
      <c r="K136">
        <f t="shared" si="30"/>
        <v>-0.75621057297601202</v>
      </c>
      <c r="L136">
        <v>1</v>
      </c>
      <c r="M136">
        <f t="shared" si="31"/>
        <v>0.50538910436774309</v>
      </c>
      <c r="N136">
        <f t="shared" si="35"/>
        <v>8.5830960705000001E-2</v>
      </c>
      <c r="O136">
        <f t="shared" si="33"/>
        <v>1.6294304128950023E-2</v>
      </c>
      <c r="P136">
        <f t="shared" si="34"/>
        <v>0.14869620377431889</v>
      </c>
      <c r="V136">
        <v>7.2</v>
      </c>
      <c r="W136">
        <f t="shared" si="32"/>
        <v>-0.81367999999999996</v>
      </c>
    </row>
    <row r="137" spans="1:23" x14ac:dyDescent="0.3">
      <c r="A137">
        <v>4.3014576499999997</v>
      </c>
      <c r="B137">
        <v>0.42085</v>
      </c>
      <c r="C137">
        <f t="shared" si="25"/>
        <v>1.8102684520024999</v>
      </c>
      <c r="D137">
        <v>2.01E-2</v>
      </c>
      <c r="E137">
        <v>3.8158201924077539E-3</v>
      </c>
      <c r="F137">
        <f t="shared" si="26"/>
        <v>860.29152999999997</v>
      </c>
      <c r="G137">
        <f t="shared" si="27"/>
        <v>-0.42085</v>
      </c>
      <c r="H137">
        <f t="shared" si="28"/>
        <v>-362.05369040049999</v>
      </c>
      <c r="I137">
        <v>1</v>
      </c>
      <c r="J137">
        <f t="shared" si="29"/>
        <v>-0.15048395880606749</v>
      </c>
      <c r="K137">
        <f t="shared" si="30"/>
        <v>-0.75906057297601204</v>
      </c>
      <c r="L137">
        <v>1</v>
      </c>
      <c r="M137">
        <f t="shared" si="31"/>
        <v>0.50569472212602573</v>
      </c>
      <c r="N137">
        <f t="shared" si="35"/>
        <v>8.6459298764999998E-2</v>
      </c>
      <c r="O137">
        <f t="shared" si="33"/>
        <v>1.6413588957656804E-2</v>
      </c>
      <c r="P137">
        <f t="shared" si="34"/>
        <v>0.15049296312732952</v>
      </c>
      <c r="V137">
        <v>7.3</v>
      </c>
      <c r="W137">
        <f t="shared" si="32"/>
        <v>-0.81786999999999999</v>
      </c>
    </row>
    <row r="138" spans="1:23" x14ac:dyDescent="0.3">
      <c r="A138">
        <v>4.3327182500000001</v>
      </c>
      <c r="B138">
        <v>0.41799999999999998</v>
      </c>
      <c r="C138">
        <f t="shared" si="25"/>
        <v>1.8110762284999999</v>
      </c>
      <c r="D138">
        <v>2.01E-2</v>
      </c>
      <c r="E138">
        <v>3.8158201924077539E-3</v>
      </c>
      <c r="F138">
        <f t="shared" si="26"/>
        <v>866.54365000000007</v>
      </c>
      <c r="G138">
        <f t="shared" si="27"/>
        <v>-0.41799999999999998</v>
      </c>
      <c r="H138">
        <f t="shared" si="28"/>
        <v>-362.21524569999997</v>
      </c>
      <c r="I138">
        <v>1</v>
      </c>
      <c r="J138">
        <f t="shared" si="29"/>
        <v>-0.14324279602312823</v>
      </c>
      <c r="K138">
        <f t="shared" si="30"/>
        <v>-0.76191057297601206</v>
      </c>
      <c r="L138">
        <v>1</v>
      </c>
      <c r="M138">
        <f t="shared" si="31"/>
        <v>0.50599812684663092</v>
      </c>
      <c r="N138">
        <f t="shared" si="35"/>
        <v>8.7087636824999995E-2</v>
      </c>
      <c r="O138">
        <f t="shared" si="33"/>
        <v>1.6532873786363589E-2</v>
      </c>
      <c r="P138">
        <f t="shared" si="34"/>
        <v>0.15229193551801756</v>
      </c>
      <c r="V138">
        <v>7.4</v>
      </c>
      <c r="W138">
        <f t="shared" si="32"/>
        <v>-0.82206000000000001</v>
      </c>
    </row>
    <row r="139" spans="1:23" x14ac:dyDescent="0.3">
      <c r="A139">
        <v>4.3639788499999996</v>
      </c>
      <c r="B139">
        <v>0.41420000000000001</v>
      </c>
      <c r="C139">
        <f t="shared" si="25"/>
        <v>1.80756003967</v>
      </c>
      <c r="D139">
        <v>2.01E-2</v>
      </c>
      <c r="E139">
        <v>3.8158201924077539E-3</v>
      </c>
      <c r="F139">
        <f t="shared" si="26"/>
        <v>872.79576999999995</v>
      </c>
      <c r="G139">
        <f t="shared" si="27"/>
        <v>-0.41420000000000001</v>
      </c>
      <c r="H139">
        <f t="shared" si="28"/>
        <v>-361.512007934</v>
      </c>
      <c r="I139">
        <v>1</v>
      </c>
      <c r="J139">
        <f t="shared" si="29"/>
        <v>-0.13605369094614761</v>
      </c>
      <c r="K139">
        <f t="shared" si="30"/>
        <v>-0.76571057297601197</v>
      </c>
      <c r="L139">
        <v>1</v>
      </c>
      <c r="M139">
        <f t="shared" si="31"/>
        <v>0.50629935034935647</v>
      </c>
      <c r="N139">
        <f t="shared" si="35"/>
        <v>8.7715974884999992E-2</v>
      </c>
      <c r="O139">
        <f t="shared" si="33"/>
        <v>1.6652158615070366E-2</v>
      </c>
      <c r="P139">
        <f t="shared" si="34"/>
        <v>0.15504308912658515</v>
      </c>
      <c r="V139">
        <v>7.5</v>
      </c>
      <c r="W139">
        <f t="shared" si="32"/>
        <v>-0.82624999999999993</v>
      </c>
    </row>
    <row r="140" spans="1:23" x14ac:dyDescent="0.3">
      <c r="A140">
        <v>4.39523945</v>
      </c>
      <c r="B140">
        <v>0.41134999999999999</v>
      </c>
      <c r="C140">
        <f t="shared" si="25"/>
        <v>1.8079817477575</v>
      </c>
      <c r="D140">
        <v>2.01E-2</v>
      </c>
      <c r="E140">
        <v>3.8158201924077539E-3</v>
      </c>
      <c r="F140">
        <f t="shared" si="26"/>
        <v>879.04789000000005</v>
      </c>
      <c r="G140">
        <f t="shared" si="27"/>
        <v>-0.41134999999999999</v>
      </c>
      <c r="H140">
        <f t="shared" si="28"/>
        <v>-361.5963495515</v>
      </c>
      <c r="I140">
        <v>1</v>
      </c>
      <c r="J140">
        <f t="shared" si="29"/>
        <v>-0.12891590041474485</v>
      </c>
      <c r="K140">
        <f t="shared" si="30"/>
        <v>-0.76856057297601199</v>
      </c>
      <c r="L140">
        <v>1</v>
      </c>
      <c r="M140">
        <f t="shared" si="31"/>
        <v>0.50659842377262221</v>
      </c>
      <c r="N140">
        <f t="shared" si="35"/>
        <v>8.8344312945000003E-2</v>
      </c>
      <c r="O140">
        <f t="shared" si="33"/>
        <v>1.6771443443777151E-2</v>
      </c>
      <c r="P140">
        <f t="shared" si="34"/>
        <v>0.15684639281461263</v>
      </c>
    </row>
    <row r="141" spans="1:23" x14ac:dyDescent="0.3">
      <c r="A141">
        <v>4.4327521499999998</v>
      </c>
      <c r="B141">
        <v>0.40755000000000002</v>
      </c>
      <c r="C141">
        <f t="shared" si="25"/>
        <v>1.8065681387325001</v>
      </c>
      <c r="D141">
        <v>2.01E-2</v>
      </c>
      <c r="E141">
        <v>3.8158201924077539E-3</v>
      </c>
      <c r="F141">
        <f t="shared" si="26"/>
        <v>886.55043000000001</v>
      </c>
      <c r="G141">
        <f t="shared" si="27"/>
        <v>-0.40755000000000002</v>
      </c>
      <c r="H141">
        <f t="shared" si="28"/>
        <v>-361.3136277465</v>
      </c>
      <c r="I141">
        <v>1</v>
      </c>
      <c r="J141">
        <f t="shared" si="29"/>
        <v>-0.12041726845303188</v>
      </c>
      <c r="K141">
        <f t="shared" si="30"/>
        <v>-0.77236057297601191</v>
      </c>
      <c r="L141">
        <v>1</v>
      </c>
      <c r="M141">
        <f t="shared" si="31"/>
        <v>0.50695451645181799</v>
      </c>
      <c r="N141">
        <f t="shared" si="35"/>
        <v>8.9098318215E-2</v>
      </c>
      <c r="O141">
        <f t="shared" si="33"/>
        <v>1.6914585161908885E-2</v>
      </c>
      <c r="P141">
        <f t="shared" si="34"/>
        <v>0.15939315314728503</v>
      </c>
    </row>
    <row r="142" spans="1:23" x14ac:dyDescent="0.3">
      <c r="A142">
        <v>4.4640127500000002</v>
      </c>
      <c r="B142">
        <v>0.4047</v>
      </c>
      <c r="C142">
        <f t="shared" si="25"/>
        <v>1.806585959925</v>
      </c>
      <c r="D142">
        <v>2.01E-2</v>
      </c>
      <c r="E142">
        <v>3.8158201924077539E-3</v>
      </c>
      <c r="F142">
        <f t="shared" si="26"/>
        <v>892.80255</v>
      </c>
      <c r="G142">
        <f t="shared" si="27"/>
        <v>-0.4047</v>
      </c>
      <c r="H142">
        <f t="shared" si="28"/>
        <v>-361.31719198500002</v>
      </c>
      <c r="I142">
        <v>1</v>
      </c>
      <c r="J142">
        <f t="shared" si="29"/>
        <v>-0.11338983117637377</v>
      </c>
      <c r="K142">
        <f t="shared" si="30"/>
        <v>-0.77521057297601192</v>
      </c>
      <c r="L142">
        <v>1</v>
      </c>
      <c r="M142">
        <f t="shared" si="31"/>
        <v>0.50724896607370995</v>
      </c>
      <c r="N142">
        <f t="shared" si="35"/>
        <v>8.9726656274999997E-2</v>
      </c>
      <c r="O142">
        <f t="shared" si="33"/>
        <v>1.7033869990615666E-2</v>
      </c>
      <c r="P142">
        <f t="shared" si="34"/>
        <v>0.16120108063668631</v>
      </c>
    </row>
    <row r="143" spans="1:23" x14ac:dyDescent="0.3">
      <c r="A143">
        <v>4.4952733499999997</v>
      </c>
      <c r="B143">
        <v>0.40089999999999998</v>
      </c>
      <c r="C143">
        <f t="shared" si="25"/>
        <v>1.8021550860149997</v>
      </c>
      <c r="D143">
        <v>2.01E-2</v>
      </c>
      <c r="E143">
        <v>3.8158201924077539E-3</v>
      </c>
      <c r="F143">
        <f t="shared" si="26"/>
        <v>899.05466999999999</v>
      </c>
      <c r="G143">
        <f t="shared" si="27"/>
        <v>-0.40089999999999998</v>
      </c>
      <c r="H143">
        <f t="shared" si="28"/>
        <v>-360.43101720299995</v>
      </c>
      <c r="I143">
        <v>1</v>
      </c>
      <c r="J143">
        <f t="shared" si="29"/>
        <v>-0.1064114343461442</v>
      </c>
      <c r="K143">
        <f t="shared" si="30"/>
        <v>-0.77901057297601195</v>
      </c>
      <c r="L143">
        <v>1</v>
      </c>
      <c r="M143">
        <f t="shared" si="31"/>
        <v>0.50754136090089652</v>
      </c>
      <c r="N143">
        <f t="shared" si="35"/>
        <v>9.0354994334999994E-2</v>
      </c>
      <c r="O143">
        <f t="shared" si="33"/>
        <v>1.7153154819322447E-2</v>
      </c>
      <c r="P143">
        <f t="shared" si="34"/>
        <v>0.16396106292079299</v>
      </c>
    </row>
    <row r="144" spans="1:23" x14ac:dyDescent="0.3">
      <c r="A144">
        <v>4.5265339500000001</v>
      </c>
      <c r="B144">
        <v>0.39805000000000001</v>
      </c>
      <c r="C144">
        <f t="shared" si="25"/>
        <v>1.8017868387975</v>
      </c>
      <c r="D144">
        <v>2.01E-2</v>
      </c>
      <c r="E144">
        <v>3.8158201924077539E-3</v>
      </c>
      <c r="F144">
        <f t="shared" si="26"/>
        <v>905.30678999999998</v>
      </c>
      <c r="G144">
        <f t="shared" si="27"/>
        <v>-0.39805000000000001</v>
      </c>
      <c r="H144">
        <f t="shared" si="28"/>
        <v>-360.35736775949999</v>
      </c>
      <c r="I144">
        <v>1</v>
      </c>
      <c r="J144">
        <f t="shared" si="29"/>
        <v>-9.9481398252717734E-2</v>
      </c>
      <c r="K144">
        <f t="shared" si="30"/>
        <v>-0.78186057297601197</v>
      </c>
      <c r="L144">
        <v>1</v>
      </c>
      <c r="M144">
        <f t="shared" si="31"/>
        <v>0.50783172941321109</v>
      </c>
      <c r="N144">
        <f t="shared" si="35"/>
        <v>9.0983332395000005E-2</v>
      </c>
      <c r="O144">
        <f t="shared" si="33"/>
        <v>1.7272439648029232E-2</v>
      </c>
      <c r="P144">
        <f t="shared" si="34"/>
        <v>0.16577307151977164</v>
      </c>
    </row>
    <row r="145" spans="1:16" x14ac:dyDescent="0.3">
      <c r="A145">
        <v>4.5640466499999999</v>
      </c>
      <c r="B145">
        <v>0.39424999999999999</v>
      </c>
      <c r="C145">
        <f t="shared" si="25"/>
        <v>1.7993753917624999</v>
      </c>
      <c r="D145">
        <v>2.01E-2</v>
      </c>
      <c r="E145">
        <v>3.8158201924077539E-3</v>
      </c>
      <c r="F145">
        <f t="shared" si="26"/>
        <v>912.80932999999993</v>
      </c>
      <c r="G145">
        <f t="shared" ref="G145:G187" si="36">-B145</f>
        <v>-0.39424999999999999</v>
      </c>
      <c r="H145">
        <f t="shared" si="28"/>
        <v>-359.8750783525</v>
      </c>
      <c r="I145">
        <v>1</v>
      </c>
      <c r="J145">
        <f t="shared" si="29"/>
        <v>-9.1228259189400501E-2</v>
      </c>
      <c r="K145">
        <f t="shared" si="30"/>
        <v>-0.78566057297601199</v>
      </c>
      <c r="L145">
        <v>1</v>
      </c>
      <c r="M145">
        <f t="shared" si="31"/>
        <v>0.50817753593996418</v>
      </c>
      <c r="N145">
        <f t="shared" ref="N145:N187" si="37">D145*A145</f>
        <v>9.1737337665000002E-2</v>
      </c>
      <c r="O145">
        <f t="shared" ref="O145:O187" si="38">E145*A145</f>
        <v>1.7415581366160966E-2</v>
      </c>
      <c r="P145">
        <f t="shared" ref="P145:P187" si="39">-K145-M145-N145-O145</f>
        <v>0.16833011800488684</v>
      </c>
    </row>
    <row r="146" spans="1:16" x14ac:dyDescent="0.3">
      <c r="A146">
        <v>4.5953072500000003</v>
      </c>
      <c r="B146">
        <v>0.39045000000000002</v>
      </c>
      <c r="C146">
        <f t="shared" si="25"/>
        <v>1.7942377157625002</v>
      </c>
      <c r="D146">
        <v>2.01E-2</v>
      </c>
      <c r="E146">
        <v>3.8158201924077539E-3</v>
      </c>
      <c r="F146">
        <f t="shared" si="26"/>
        <v>919.06145000000004</v>
      </c>
      <c r="G146">
        <f t="shared" si="36"/>
        <v>-0.39045000000000002</v>
      </c>
      <c r="H146">
        <f t="shared" si="28"/>
        <v>-358.84754315250007</v>
      </c>
      <c r="I146">
        <v>1</v>
      </c>
      <c r="J146">
        <f t="shared" si="29"/>
        <v>-8.440229270302356E-2</v>
      </c>
      <c r="K146">
        <f t="shared" si="30"/>
        <v>-0.78946057297601202</v>
      </c>
      <c r="L146">
        <v>1</v>
      </c>
      <c r="M146">
        <f t="shared" si="31"/>
        <v>0.50846354393574333</v>
      </c>
      <c r="N146">
        <f t="shared" si="37"/>
        <v>9.2365675724999999E-2</v>
      </c>
      <c r="O146">
        <f t="shared" si="38"/>
        <v>1.7534866194867747E-2</v>
      </c>
      <c r="P146">
        <f t="shared" si="39"/>
        <v>0.17109648712040096</v>
      </c>
    </row>
    <row r="147" spans="1:16" x14ac:dyDescent="0.3">
      <c r="A147">
        <v>4.6265678499999998</v>
      </c>
      <c r="B147">
        <v>0.3876</v>
      </c>
      <c r="C147">
        <f t="shared" si="25"/>
        <v>1.79325769866</v>
      </c>
      <c r="D147">
        <v>2.01E-2</v>
      </c>
      <c r="E147">
        <v>3.8158201924077539E-3</v>
      </c>
      <c r="F147">
        <f t="shared" si="26"/>
        <v>925.31356999999991</v>
      </c>
      <c r="G147">
        <f t="shared" si="36"/>
        <v>-0.3876</v>
      </c>
      <c r="H147">
        <f t="shared" si="28"/>
        <v>-358.651539732</v>
      </c>
      <c r="I147">
        <v>1</v>
      </c>
      <c r="J147">
        <f t="shared" si="29"/>
        <v>-7.7622604320802785E-2</v>
      </c>
      <c r="K147">
        <f t="shared" si="30"/>
        <v>-0.79231057297601204</v>
      </c>
      <c r="L147">
        <v>1</v>
      </c>
      <c r="M147">
        <f t="shared" si="31"/>
        <v>0.50874761287895842</v>
      </c>
      <c r="N147">
        <f t="shared" si="37"/>
        <v>9.2994013784999996E-2</v>
      </c>
      <c r="O147">
        <f t="shared" si="38"/>
        <v>1.7654151023574528E-2</v>
      </c>
      <c r="P147">
        <f t="shared" si="39"/>
        <v>0.17291479528847908</v>
      </c>
    </row>
    <row r="148" spans="1:16" x14ac:dyDescent="0.3">
      <c r="A148">
        <v>4.6578284500000002</v>
      </c>
      <c r="B148">
        <v>0.38379999999999997</v>
      </c>
      <c r="C148">
        <f t="shared" si="25"/>
        <v>1.7876745591100001</v>
      </c>
      <c r="D148">
        <v>2.01E-2</v>
      </c>
      <c r="E148">
        <v>3.8158201924077539E-3</v>
      </c>
      <c r="F148">
        <f t="shared" si="26"/>
        <v>931.56569000000002</v>
      </c>
      <c r="G148">
        <f t="shared" si="36"/>
        <v>-0.38379999999999997</v>
      </c>
      <c r="H148">
        <f t="shared" si="28"/>
        <v>-357.53491182200003</v>
      </c>
      <c r="I148">
        <v>1</v>
      </c>
      <c r="J148">
        <f t="shared" si="29"/>
        <v>-7.088857076136601E-2</v>
      </c>
      <c r="K148">
        <f t="shared" si="30"/>
        <v>-0.79611057297601207</v>
      </c>
      <c r="L148">
        <v>1</v>
      </c>
      <c r="M148">
        <f t="shared" si="31"/>
        <v>0.50902976888509877</v>
      </c>
      <c r="N148">
        <f t="shared" si="37"/>
        <v>9.3622351845000007E-2</v>
      </c>
      <c r="O148">
        <f t="shared" si="38"/>
        <v>1.7773435852281312E-2</v>
      </c>
      <c r="P148">
        <f t="shared" si="39"/>
        <v>0.17568501639363199</v>
      </c>
    </row>
    <row r="149" spans="1:16" x14ac:dyDescent="0.3">
      <c r="A149">
        <v>4.6890890000000001</v>
      </c>
      <c r="B149">
        <v>0.38095000000000001</v>
      </c>
      <c r="C149">
        <f t="shared" si="25"/>
        <v>1.7863084545500001</v>
      </c>
      <c r="D149">
        <v>2.01E-2</v>
      </c>
      <c r="E149">
        <v>3.8158201924077539E-3</v>
      </c>
      <c r="F149">
        <f t="shared" si="26"/>
        <v>937.81780000000003</v>
      </c>
      <c r="G149">
        <f t="shared" si="36"/>
        <v>-0.38095000000000001</v>
      </c>
      <c r="H149">
        <f t="shared" si="28"/>
        <v>-357.26169091000003</v>
      </c>
      <c r="I149">
        <v>1</v>
      </c>
      <c r="J149">
        <f t="shared" si="29"/>
        <v>-6.4199591913903314E-2</v>
      </c>
      <c r="K149">
        <f t="shared" si="30"/>
        <v>-0.79896057297601197</v>
      </c>
      <c r="L149">
        <v>1</v>
      </c>
      <c r="M149">
        <f t="shared" si="31"/>
        <v>0.50931003709880751</v>
      </c>
      <c r="N149">
        <f t="shared" si="37"/>
        <v>9.4250688900000004E-2</v>
      </c>
      <c r="O149">
        <f t="shared" si="38"/>
        <v>1.7892720490197082E-2</v>
      </c>
      <c r="P149">
        <f t="shared" si="39"/>
        <v>0.17750712648700739</v>
      </c>
    </row>
    <row r="150" spans="1:16" x14ac:dyDescent="0.3">
      <c r="A150">
        <v>4.7203496000000005</v>
      </c>
      <c r="B150">
        <v>0.37714999999999999</v>
      </c>
      <c r="C150">
        <f t="shared" si="25"/>
        <v>1.78027985164</v>
      </c>
      <c r="D150">
        <v>2.01E-2</v>
      </c>
      <c r="E150">
        <v>3.8158201924077539E-3</v>
      </c>
      <c r="F150">
        <f t="shared" si="26"/>
        <v>944.06992000000014</v>
      </c>
      <c r="G150">
        <f t="shared" si="36"/>
        <v>-0.37714999999999999</v>
      </c>
      <c r="H150">
        <f t="shared" si="28"/>
        <v>-356.055970328</v>
      </c>
      <c r="I150">
        <v>1</v>
      </c>
      <c r="J150">
        <f t="shared" si="29"/>
        <v>-5.7555047782909881E-2</v>
      </c>
      <c r="K150">
        <f t="shared" si="30"/>
        <v>-0.802760572976012</v>
      </c>
      <c r="L150">
        <v>1</v>
      </c>
      <c r="M150">
        <f t="shared" si="31"/>
        <v>0.50958844349789612</v>
      </c>
      <c r="N150">
        <f t="shared" si="37"/>
        <v>9.4879026960000015E-2</v>
      </c>
      <c r="O150">
        <f t="shared" si="38"/>
        <v>1.8012005318903866E-2</v>
      </c>
      <c r="P150">
        <f t="shared" si="39"/>
        <v>0.18028109719921201</v>
      </c>
    </row>
    <row r="151" spans="1:16" x14ac:dyDescent="0.3">
      <c r="A151">
        <v>4.7516102</v>
      </c>
      <c r="B151">
        <v>0.37430000000000002</v>
      </c>
      <c r="C151">
        <f t="shared" si="25"/>
        <v>1.7785276978600002</v>
      </c>
      <c r="D151">
        <v>2.01E-2</v>
      </c>
      <c r="E151">
        <v>3.8158201924077539E-3</v>
      </c>
      <c r="F151">
        <f t="shared" si="26"/>
        <v>950.32204000000002</v>
      </c>
      <c r="G151">
        <f t="shared" si="36"/>
        <v>-0.37430000000000002</v>
      </c>
      <c r="H151">
        <f t="shared" si="28"/>
        <v>-355.70553957200002</v>
      </c>
      <c r="I151">
        <v>1</v>
      </c>
      <c r="J151">
        <f t="shared" si="29"/>
        <v>-5.0954362357816418E-2</v>
      </c>
      <c r="K151">
        <f t="shared" si="30"/>
        <v>-0.80561057297601191</v>
      </c>
      <c r="L151">
        <v>1</v>
      </c>
      <c r="M151">
        <f t="shared" si="31"/>
        <v>0.50986501221720748</v>
      </c>
      <c r="N151">
        <f t="shared" si="37"/>
        <v>9.5507365019999999E-2</v>
      </c>
      <c r="O151">
        <f t="shared" si="38"/>
        <v>1.8131290147610647E-2</v>
      </c>
      <c r="P151">
        <f t="shared" si="39"/>
        <v>0.18210690559119377</v>
      </c>
    </row>
    <row r="152" spans="1:16" x14ac:dyDescent="0.3">
      <c r="A152">
        <v>4.7828708000000004</v>
      </c>
      <c r="B152">
        <v>0.3705</v>
      </c>
      <c r="C152">
        <f t="shared" si="25"/>
        <v>1.7720536314000002</v>
      </c>
      <c r="D152">
        <v>2.01E-2</v>
      </c>
      <c r="E152">
        <v>3.8158201924077539E-3</v>
      </c>
      <c r="F152">
        <f t="shared" si="26"/>
        <v>956.57416000000012</v>
      </c>
      <c r="G152">
        <f t="shared" si="36"/>
        <v>-0.3705</v>
      </c>
      <c r="H152">
        <f t="shared" si="28"/>
        <v>-354.41072628000001</v>
      </c>
      <c r="I152">
        <v>1</v>
      </c>
      <c r="J152">
        <f t="shared" si="29"/>
        <v>-4.4396960436134433E-2</v>
      </c>
      <c r="K152">
        <f t="shared" si="30"/>
        <v>-0.80941057297601193</v>
      </c>
      <c r="L152">
        <v>1</v>
      </c>
      <c r="M152">
        <f t="shared" si="31"/>
        <v>0.51013976735772593</v>
      </c>
      <c r="N152">
        <f t="shared" si="37"/>
        <v>9.613570308000001E-2</v>
      </c>
      <c r="O152">
        <f t="shared" si="38"/>
        <v>1.8250574976317428E-2</v>
      </c>
      <c r="P152">
        <f t="shared" si="39"/>
        <v>0.18488452756196855</v>
      </c>
    </row>
    <row r="153" spans="1:16" x14ac:dyDescent="0.3">
      <c r="A153">
        <v>4.8203835000000002</v>
      </c>
      <c r="B153">
        <v>0.36764999999999998</v>
      </c>
      <c r="C153">
        <f t="shared" si="25"/>
        <v>1.7722139937749999</v>
      </c>
      <c r="D153">
        <v>2.01E-2</v>
      </c>
      <c r="E153">
        <v>3.8158201924077539E-3</v>
      </c>
      <c r="F153">
        <f t="shared" si="26"/>
        <v>964.07670000000007</v>
      </c>
      <c r="G153">
        <f t="shared" si="36"/>
        <v>-0.36764999999999998</v>
      </c>
      <c r="H153">
        <f t="shared" si="28"/>
        <v>-354.44279875499996</v>
      </c>
      <c r="I153">
        <v>1</v>
      </c>
      <c r="J153">
        <f t="shared" si="29"/>
        <v>-3.658442322131087E-2</v>
      </c>
      <c r="K153">
        <f t="shared" si="30"/>
        <v>-0.81226057297601195</v>
      </c>
      <c r="L153">
        <v>1</v>
      </c>
      <c r="M153">
        <f t="shared" si="31"/>
        <v>0.51046711266702705</v>
      </c>
      <c r="N153">
        <f t="shared" si="37"/>
        <v>9.6889708350000006E-2</v>
      </c>
      <c r="O153">
        <f t="shared" si="38"/>
        <v>1.8393716694449162E-2</v>
      </c>
      <c r="P153">
        <f t="shared" si="39"/>
        <v>0.18651003526453575</v>
      </c>
    </row>
    <row r="154" spans="1:16" x14ac:dyDescent="0.3">
      <c r="A154">
        <v>4.8516440999999997</v>
      </c>
      <c r="B154">
        <v>0.36385000000000001</v>
      </c>
      <c r="C154">
        <f t="shared" si="25"/>
        <v>1.7652707057849999</v>
      </c>
      <c r="D154">
        <v>2.01E-2</v>
      </c>
      <c r="E154">
        <v>3.8158201924077539E-3</v>
      </c>
      <c r="F154">
        <f t="shared" si="26"/>
        <v>970.32881999999995</v>
      </c>
      <c r="G154">
        <f t="shared" si="36"/>
        <v>-0.36385000000000001</v>
      </c>
      <c r="H154">
        <f t="shared" si="28"/>
        <v>-353.054141157</v>
      </c>
      <c r="I154">
        <v>1</v>
      </c>
      <c r="J154">
        <f t="shared" si="29"/>
        <v>-3.0120275238010537E-2</v>
      </c>
      <c r="K154">
        <f t="shared" si="30"/>
        <v>-0.81606057297601198</v>
      </c>
      <c r="L154">
        <v>1</v>
      </c>
      <c r="M154">
        <f t="shared" si="31"/>
        <v>0.5107379604675274</v>
      </c>
      <c r="N154">
        <f t="shared" si="37"/>
        <v>9.7518046409999989E-2</v>
      </c>
      <c r="O154">
        <f t="shared" si="38"/>
        <v>1.8513001523155943E-2</v>
      </c>
      <c r="P154">
        <f t="shared" si="39"/>
        <v>0.18929156457532864</v>
      </c>
    </row>
    <row r="155" spans="1:16" x14ac:dyDescent="0.3">
      <c r="A155">
        <v>4.8829047000000001</v>
      </c>
      <c r="B155">
        <v>0.36099999999999999</v>
      </c>
      <c r="C155">
        <f t="shared" si="25"/>
        <v>1.7627285966999999</v>
      </c>
      <c r="D155">
        <v>2.01E-2</v>
      </c>
      <c r="E155">
        <v>3.8158201924077539E-3</v>
      </c>
      <c r="F155">
        <f t="shared" si="26"/>
        <v>976.58094000000006</v>
      </c>
      <c r="G155">
        <f t="shared" si="36"/>
        <v>-0.36099999999999999</v>
      </c>
      <c r="H155">
        <f t="shared" si="28"/>
        <v>-352.54571934000001</v>
      </c>
      <c r="I155">
        <v>1</v>
      </c>
      <c r="J155">
        <f t="shared" si="29"/>
        <v>-2.3697644235589267E-2</v>
      </c>
      <c r="K155">
        <f t="shared" si="30"/>
        <v>-0.818910572976012</v>
      </c>
      <c r="L155">
        <v>1</v>
      </c>
      <c r="M155">
        <f t="shared" si="31"/>
        <v>0.51100706870652879</v>
      </c>
      <c r="N155">
        <f t="shared" si="37"/>
        <v>9.814638447E-2</v>
      </c>
      <c r="O155">
        <f t="shared" si="38"/>
        <v>1.8632286351862728E-2</v>
      </c>
      <c r="P155">
        <f t="shared" si="39"/>
        <v>0.19112483344762046</v>
      </c>
    </row>
    <row r="156" spans="1:16" x14ac:dyDescent="0.3">
      <c r="A156">
        <v>4.9141653000000005</v>
      </c>
      <c r="B156">
        <v>0.35720000000000002</v>
      </c>
      <c r="C156">
        <f t="shared" si="25"/>
        <v>1.7553398451600002</v>
      </c>
      <c r="D156">
        <v>2.01E-2</v>
      </c>
      <c r="E156">
        <v>3.8158201924077539E-3</v>
      </c>
      <c r="F156">
        <f t="shared" si="26"/>
        <v>982.83306000000016</v>
      </c>
      <c r="G156">
        <f t="shared" si="36"/>
        <v>-0.35720000000000002</v>
      </c>
      <c r="H156">
        <f t="shared" si="28"/>
        <v>-351.06796903200006</v>
      </c>
      <c r="I156">
        <v>1</v>
      </c>
      <c r="J156">
        <f t="shared" si="29"/>
        <v>-1.7316000317238737E-2</v>
      </c>
      <c r="K156">
        <f t="shared" si="30"/>
        <v>-0.82271057297601202</v>
      </c>
      <c r="L156">
        <v>1</v>
      </c>
      <c r="M156">
        <f t="shared" si="31"/>
        <v>0.5112744595867077</v>
      </c>
      <c r="N156">
        <f t="shared" si="37"/>
        <v>9.8774722530000011E-2</v>
      </c>
      <c r="O156">
        <f t="shared" si="38"/>
        <v>1.8751571180569509E-2</v>
      </c>
      <c r="P156">
        <f t="shared" si="39"/>
        <v>0.1939098196787348</v>
      </c>
    </row>
    <row r="157" spans="1:16" x14ac:dyDescent="0.3">
      <c r="A157">
        <v>4.9454259</v>
      </c>
      <c r="B157">
        <v>0.35339999999999999</v>
      </c>
      <c r="C157">
        <f t="shared" si="25"/>
        <v>1.7477135130599999</v>
      </c>
      <c r="D157">
        <v>2.01E-2</v>
      </c>
      <c r="E157">
        <v>3.8158201924077539E-3</v>
      </c>
      <c r="F157">
        <f t="shared" si="26"/>
        <v>989.08518000000004</v>
      </c>
      <c r="G157">
        <f t="shared" si="36"/>
        <v>-0.35339999999999999</v>
      </c>
      <c r="H157">
        <f t="shared" si="28"/>
        <v>-349.54270261199997</v>
      </c>
      <c r="I157">
        <v>1</v>
      </c>
      <c r="J157">
        <f t="shared" si="29"/>
        <v>-1.0974823666761047E-2</v>
      </c>
      <c r="K157">
        <f t="shared" si="30"/>
        <v>-0.82651057297601205</v>
      </c>
      <c r="L157">
        <v>1</v>
      </c>
      <c r="M157">
        <f t="shared" si="31"/>
        <v>0.51154015488836269</v>
      </c>
      <c r="N157">
        <f t="shared" si="37"/>
        <v>9.9403060589999995E-2</v>
      </c>
      <c r="O157">
        <f t="shared" si="38"/>
        <v>1.887085600927629E-2</v>
      </c>
      <c r="P157">
        <f t="shared" si="39"/>
        <v>0.19669650148837309</v>
      </c>
    </row>
    <row r="158" spans="1:16" x14ac:dyDescent="0.3">
      <c r="A158">
        <v>4.9766865000000005</v>
      </c>
      <c r="B158">
        <v>0.34960000000000002</v>
      </c>
      <c r="C158">
        <f t="shared" si="25"/>
        <v>1.7398496004000004</v>
      </c>
      <c r="D158">
        <v>2.01E-2</v>
      </c>
      <c r="E158">
        <v>3.8158201924077539E-3</v>
      </c>
      <c r="F158">
        <f t="shared" si="26"/>
        <v>995.33730000000014</v>
      </c>
      <c r="G158">
        <f t="shared" si="36"/>
        <v>-0.34960000000000002</v>
      </c>
      <c r="H158">
        <f t="shared" si="28"/>
        <v>-347.96992008000007</v>
      </c>
      <c r="I158">
        <v>1</v>
      </c>
      <c r="J158">
        <f t="shared" si="29"/>
        <v>-4.6736042944841181E-3</v>
      </c>
      <c r="K158">
        <f t="shared" si="30"/>
        <v>-0.83031057297601196</v>
      </c>
      <c r="L158">
        <v>1</v>
      </c>
      <c r="M158">
        <f t="shared" si="31"/>
        <v>0.51180417598006112</v>
      </c>
      <c r="N158">
        <f t="shared" si="37"/>
        <v>0.10003139865000001</v>
      </c>
      <c r="O158">
        <f t="shared" si="38"/>
        <v>1.8990140837983074E-2</v>
      </c>
      <c r="P158">
        <f t="shared" si="39"/>
        <v>0.19948485750796779</v>
      </c>
    </row>
    <row r="159" spans="1:16" x14ac:dyDescent="0.3">
      <c r="A159">
        <v>5.0079471</v>
      </c>
      <c r="B159">
        <v>0.3458</v>
      </c>
      <c r="C159">
        <f t="shared" si="25"/>
        <v>1.7317481071800001</v>
      </c>
      <c r="D159">
        <v>2.01E-2</v>
      </c>
      <c r="E159">
        <v>3.8158201924077539E-3</v>
      </c>
      <c r="F159">
        <f t="shared" si="26"/>
        <v>1001.58942</v>
      </c>
      <c r="G159">
        <f t="shared" si="36"/>
        <v>-0.3458</v>
      </c>
      <c r="H159">
        <f t="shared" si="28"/>
        <v>-346.34962143600001</v>
      </c>
      <c r="I159">
        <v>1</v>
      </c>
      <c r="J159">
        <f t="shared" si="29"/>
        <v>1.5881582088655233E-3</v>
      </c>
      <c r="K159">
        <f t="shared" si="30"/>
        <v>-0.83411057297601199</v>
      </c>
      <c r="L159">
        <v>1</v>
      </c>
      <c r="M159">
        <f t="shared" si="31"/>
        <v>0.51206654382895145</v>
      </c>
      <c r="N159">
        <f t="shared" si="37"/>
        <v>0.10065973671</v>
      </c>
      <c r="O159">
        <f t="shared" si="38"/>
        <v>1.9109425666689852E-2</v>
      </c>
      <c r="P159">
        <f t="shared" si="39"/>
        <v>0.20227486677037068</v>
      </c>
    </row>
    <row r="160" spans="1:16" x14ac:dyDescent="0.3">
      <c r="A160">
        <v>5.0392076499999998</v>
      </c>
      <c r="B160">
        <v>0.34294999999999998</v>
      </c>
      <c r="C160">
        <f t="shared" si="25"/>
        <v>1.7281962635674999</v>
      </c>
      <c r="D160">
        <v>2.01E-2</v>
      </c>
      <c r="E160">
        <v>3.8158201924077539E-3</v>
      </c>
      <c r="F160">
        <f t="shared" si="26"/>
        <v>1007.8415299999999</v>
      </c>
      <c r="G160">
        <f t="shared" si="36"/>
        <v>-0.34294999999999998</v>
      </c>
      <c r="H160">
        <f t="shared" si="28"/>
        <v>-345.63925271349996</v>
      </c>
      <c r="I160">
        <v>1</v>
      </c>
      <c r="J160">
        <f t="shared" si="29"/>
        <v>7.8109449884402049E-3</v>
      </c>
      <c r="K160">
        <f t="shared" si="30"/>
        <v>-0.83696057297601201</v>
      </c>
      <c r="L160">
        <v>1</v>
      </c>
      <c r="M160">
        <f t="shared" si="31"/>
        <v>0.5123272785950157</v>
      </c>
      <c r="N160">
        <f t="shared" si="37"/>
        <v>0.101288073765</v>
      </c>
      <c r="O160">
        <f t="shared" si="38"/>
        <v>1.9228710304605625E-2</v>
      </c>
      <c r="P160">
        <f t="shared" si="39"/>
        <v>0.20411651031139069</v>
      </c>
    </row>
    <row r="161" spans="1:16" x14ac:dyDescent="0.3">
      <c r="A161">
        <v>5.0704682500000002</v>
      </c>
      <c r="B161">
        <v>0.33915000000000001</v>
      </c>
      <c r="C161">
        <f t="shared" si="25"/>
        <v>1.7196493069875001</v>
      </c>
      <c r="D161">
        <v>2.01E-2</v>
      </c>
      <c r="E161">
        <v>3.8158201924077539E-3</v>
      </c>
      <c r="F161">
        <f t="shared" si="26"/>
        <v>1014.09365</v>
      </c>
      <c r="G161">
        <f t="shared" si="36"/>
        <v>-0.33915000000000001</v>
      </c>
      <c r="H161">
        <f t="shared" si="28"/>
        <v>-343.92986139750002</v>
      </c>
      <c r="I161">
        <v>1</v>
      </c>
      <c r="J161">
        <f t="shared" si="29"/>
        <v>1.3995257906318437E-2</v>
      </c>
      <c r="K161">
        <f t="shared" si="30"/>
        <v>-0.84076057297601192</v>
      </c>
      <c r="L161">
        <v>1</v>
      </c>
      <c r="M161">
        <f t="shared" si="31"/>
        <v>0.51258640130627475</v>
      </c>
      <c r="N161">
        <f t="shared" si="37"/>
        <v>0.101916411825</v>
      </c>
      <c r="O161">
        <f t="shared" si="38"/>
        <v>1.9347995133312409E-2</v>
      </c>
      <c r="P161">
        <f t="shared" si="39"/>
        <v>0.20690976471142475</v>
      </c>
    </row>
    <row r="162" spans="1:16" x14ac:dyDescent="0.3">
      <c r="A162">
        <v>5.1079809999999997</v>
      </c>
      <c r="B162">
        <v>0.33534999999999998</v>
      </c>
      <c r="C162">
        <f t="shared" si="25"/>
        <v>1.7129614283499999</v>
      </c>
      <c r="D162">
        <v>2.01E-2</v>
      </c>
      <c r="E162">
        <v>3.8158201924077539E-3</v>
      </c>
      <c r="F162">
        <f t="shared" si="26"/>
        <v>1021.5962</v>
      </c>
      <c r="G162">
        <f t="shared" si="36"/>
        <v>-0.33534999999999998</v>
      </c>
      <c r="H162">
        <f t="shared" si="28"/>
        <v>-342.59228566999997</v>
      </c>
      <c r="I162">
        <v>1</v>
      </c>
      <c r="J162">
        <f t="shared" si="29"/>
        <v>2.1366306073831953E-2</v>
      </c>
      <c r="K162">
        <f t="shared" si="30"/>
        <v>-0.84456057297601195</v>
      </c>
      <c r="L162">
        <v>1</v>
      </c>
      <c r="M162">
        <f t="shared" si="31"/>
        <v>0.51289524822449362</v>
      </c>
      <c r="N162">
        <f t="shared" si="37"/>
        <v>0.10267041809999999</v>
      </c>
      <c r="O162">
        <f t="shared" si="38"/>
        <v>1.9491137042235152E-2</v>
      </c>
      <c r="P162">
        <f t="shared" si="39"/>
        <v>0.20950376960928319</v>
      </c>
    </row>
    <row r="163" spans="1:16" x14ac:dyDescent="0.3">
      <c r="A163">
        <v>5.1392415500000004</v>
      </c>
      <c r="B163">
        <v>0.33250000000000002</v>
      </c>
      <c r="C163">
        <f t="shared" si="25"/>
        <v>1.7087978153750003</v>
      </c>
      <c r="D163">
        <v>2.01E-2</v>
      </c>
      <c r="E163">
        <v>3.8158201924077539E-3</v>
      </c>
      <c r="F163">
        <f t="shared" si="26"/>
        <v>1027.8483100000001</v>
      </c>
      <c r="G163">
        <f t="shared" si="36"/>
        <v>-0.33250000000000002</v>
      </c>
      <c r="H163">
        <f t="shared" si="28"/>
        <v>-341.75956307500007</v>
      </c>
      <c r="I163">
        <v>1</v>
      </c>
      <c r="J163">
        <f t="shared" si="29"/>
        <v>2.7467597779407875E-2</v>
      </c>
      <c r="K163">
        <f t="shared" si="30"/>
        <v>-0.84741057297601197</v>
      </c>
      <c r="L163">
        <v>1</v>
      </c>
      <c r="M163">
        <f t="shared" si="31"/>
        <v>0.51315089234695721</v>
      </c>
      <c r="N163">
        <f t="shared" si="37"/>
        <v>0.103298755155</v>
      </c>
      <c r="O163">
        <f t="shared" si="38"/>
        <v>1.9610421680150925E-2</v>
      </c>
      <c r="P163">
        <f t="shared" si="39"/>
        <v>0.21135050379390383</v>
      </c>
    </row>
    <row r="164" spans="1:16" x14ac:dyDescent="0.3">
      <c r="A164">
        <v>5.1705021499999999</v>
      </c>
      <c r="B164">
        <v>0.32869999999999999</v>
      </c>
      <c r="C164">
        <f t="shared" si="25"/>
        <v>1.699544056705</v>
      </c>
      <c r="D164">
        <v>2.01E-2</v>
      </c>
      <c r="E164">
        <v>3.8158201924077539E-3</v>
      </c>
      <c r="F164">
        <f t="shared" si="26"/>
        <v>1034.10043</v>
      </c>
      <c r="G164">
        <f t="shared" si="36"/>
        <v>-0.32869999999999999</v>
      </c>
      <c r="H164">
        <f t="shared" si="28"/>
        <v>-339.90881134099999</v>
      </c>
      <c r="I164">
        <v>1</v>
      </c>
      <c r="J164">
        <f t="shared" si="29"/>
        <v>3.3531899029226202E-2</v>
      </c>
      <c r="K164">
        <f t="shared" si="30"/>
        <v>-0.85121057297601199</v>
      </c>
      <c r="L164">
        <v>1</v>
      </c>
      <c r="M164">
        <f t="shared" si="31"/>
        <v>0.51340498656932454</v>
      </c>
      <c r="N164">
        <f t="shared" si="37"/>
        <v>0.103927093215</v>
      </c>
      <c r="O164">
        <f t="shared" si="38"/>
        <v>1.9729706508857706E-2</v>
      </c>
      <c r="P164">
        <f t="shared" si="39"/>
        <v>0.21414878668282977</v>
      </c>
    </row>
    <row r="165" spans="1:16" x14ac:dyDescent="0.3">
      <c r="A165">
        <v>5.2017627500000003</v>
      </c>
      <c r="B165">
        <v>0.32490000000000002</v>
      </c>
      <c r="C165">
        <f t="shared" si="25"/>
        <v>1.6900527174750002</v>
      </c>
      <c r="D165">
        <v>2.01E-2</v>
      </c>
      <c r="E165">
        <v>3.8158201924077539E-3</v>
      </c>
      <c r="F165">
        <f t="shared" si="26"/>
        <v>1040.3525500000001</v>
      </c>
      <c r="G165">
        <f t="shared" si="36"/>
        <v>-0.32490000000000002</v>
      </c>
      <c r="H165">
        <f t="shared" si="28"/>
        <v>-338.01054349500004</v>
      </c>
      <c r="I165">
        <v>1</v>
      </c>
      <c r="J165">
        <f t="shared" si="29"/>
        <v>3.9559646093638066E-2</v>
      </c>
      <c r="K165">
        <f t="shared" si="30"/>
        <v>-0.85501057297601202</v>
      </c>
      <c r="L165">
        <v>1</v>
      </c>
      <c r="M165">
        <f t="shared" si="31"/>
        <v>0.51365754917132345</v>
      </c>
      <c r="N165">
        <f t="shared" si="37"/>
        <v>0.104555431275</v>
      </c>
      <c r="O165">
        <f t="shared" si="38"/>
        <v>1.984899133756449E-2</v>
      </c>
      <c r="P165">
        <f t="shared" si="39"/>
        <v>0.21694860119212409</v>
      </c>
    </row>
    <row r="166" spans="1:16" x14ac:dyDescent="0.3">
      <c r="A166">
        <v>5.2330233499999999</v>
      </c>
      <c r="B166">
        <v>0.3211</v>
      </c>
      <c r="C166">
        <f t="shared" si="25"/>
        <v>1.6803237976849998</v>
      </c>
      <c r="D166">
        <v>2.01E-2</v>
      </c>
      <c r="E166">
        <v>3.8158201924077539E-3</v>
      </c>
      <c r="F166">
        <f t="shared" si="26"/>
        <v>1046.6046699999999</v>
      </c>
      <c r="G166">
        <f t="shared" si="36"/>
        <v>-0.3211</v>
      </c>
      <c r="H166">
        <f t="shared" si="28"/>
        <v>-336.06475953699999</v>
      </c>
      <c r="I166">
        <v>1</v>
      </c>
      <c r="J166">
        <f t="shared" si="29"/>
        <v>4.555127701366303E-2</v>
      </c>
      <c r="K166">
        <f t="shared" si="30"/>
        <v>-0.85881057297601204</v>
      </c>
      <c r="L166">
        <v>1</v>
      </c>
      <c r="M166">
        <f t="shared" si="31"/>
        <v>0.51390859850687254</v>
      </c>
      <c r="N166">
        <f t="shared" si="37"/>
        <v>0.105183769335</v>
      </c>
      <c r="O166">
        <f t="shared" si="38"/>
        <v>1.9968276166271268E-2</v>
      </c>
      <c r="P166">
        <f t="shared" si="39"/>
        <v>0.21974992896786821</v>
      </c>
    </row>
    <row r="167" spans="1:16" x14ac:dyDescent="0.3">
      <c r="A167">
        <v>5.2642839500000003</v>
      </c>
      <c r="B167">
        <v>0.31824999999999998</v>
      </c>
      <c r="C167">
        <f t="shared" si="25"/>
        <v>1.6753583670874999</v>
      </c>
      <c r="D167">
        <v>2.01E-2</v>
      </c>
      <c r="E167">
        <v>3.8158201924077539E-3</v>
      </c>
      <c r="F167">
        <f t="shared" si="26"/>
        <v>1052.85679</v>
      </c>
      <c r="G167">
        <f t="shared" si="36"/>
        <v>-0.31824999999999998</v>
      </c>
      <c r="H167">
        <f t="shared" si="28"/>
        <v>-335.07167341749999</v>
      </c>
      <c r="I167">
        <v>1</v>
      </c>
      <c r="J167">
        <f t="shared" si="29"/>
        <v>5.1507222003406392E-2</v>
      </c>
      <c r="K167">
        <f t="shared" si="30"/>
        <v>-0.86166057297601206</v>
      </c>
      <c r="L167">
        <v>1</v>
      </c>
      <c r="M167">
        <f t="shared" si="31"/>
        <v>0.51415815260194275</v>
      </c>
      <c r="N167">
        <f t="shared" si="37"/>
        <v>0.10581210739500001</v>
      </c>
      <c r="O167">
        <f t="shared" si="38"/>
        <v>2.0087560994978052E-2</v>
      </c>
      <c r="P167">
        <f t="shared" si="39"/>
        <v>0.22160275198409124</v>
      </c>
    </row>
    <row r="168" spans="1:16" x14ac:dyDescent="0.3">
      <c r="A168">
        <v>5.2955445499999998</v>
      </c>
      <c r="B168">
        <v>0.3135</v>
      </c>
      <c r="C168">
        <f t="shared" si="25"/>
        <v>1.6601532164249999</v>
      </c>
      <c r="D168">
        <v>2.01E-2</v>
      </c>
      <c r="E168">
        <v>3.8158201924077539E-3</v>
      </c>
      <c r="F168">
        <f t="shared" si="26"/>
        <v>1059.1089099999999</v>
      </c>
      <c r="G168">
        <f t="shared" si="36"/>
        <v>-0.3135</v>
      </c>
      <c r="H168">
        <f t="shared" si="28"/>
        <v>-332.030643285</v>
      </c>
      <c r="I168">
        <v>1</v>
      </c>
      <c r="J168">
        <f t="shared" si="29"/>
        <v>5.7427903635422592E-2</v>
      </c>
      <c r="K168">
        <f t="shared" si="30"/>
        <v>-0.86641057297601198</v>
      </c>
      <c r="L168">
        <v>1</v>
      </c>
      <c r="M168">
        <f t="shared" si="31"/>
        <v>0.51440622916232426</v>
      </c>
      <c r="N168">
        <f t="shared" si="37"/>
        <v>0.10644044545499999</v>
      </c>
      <c r="O168">
        <f t="shared" si="38"/>
        <v>2.0206845823684833E-2</v>
      </c>
      <c r="P168">
        <f t="shared" si="39"/>
        <v>0.22535705253500291</v>
      </c>
    </row>
    <row r="169" spans="1:16" x14ac:dyDescent="0.3">
      <c r="A169">
        <v>5.3330572500000004</v>
      </c>
      <c r="B169">
        <v>0.30969999999999998</v>
      </c>
      <c r="C169">
        <f t="shared" si="25"/>
        <v>1.651647830325</v>
      </c>
      <c r="D169">
        <v>2.01E-2</v>
      </c>
      <c r="E169">
        <v>3.8158201924077539E-3</v>
      </c>
      <c r="F169">
        <f t="shared" si="26"/>
        <v>1066.6114500000001</v>
      </c>
      <c r="G169">
        <f t="shared" si="36"/>
        <v>-0.30969999999999998</v>
      </c>
      <c r="H169">
        <f t="shared" si="28"/>
        <v>-330.32956606499999</v>
      </c>
      <c r="I169">
        <v>1</v>
      </c>
      <c r="J169">
        <f t="shared" si="29"/>
        <v>6.4486754172685082E-2</v>
      </c>
      <c r="K169">
        <f t="shared" si="30"/>
        <v>-0.87021057297601201</v>
      </c>
      <c r="L169">
        <v>1</v>
      </c>
      <c r="M169">
        <f t="shared" si="31"/>
        <v>0.51470199499983549</v>
      </c>
      <c r="N169">
        <f t="shared" si="37"/>
        <v>0.107194450725</v>
      </c>
      <c r="O169">
        <f t="shared" si="38"/>
        <v>2.0349987541816567E-2</v>
      </c>
      <c r="P169">
        <f t="shared" si="39"/>
        <v>0.22796413970935994</v>
      </c>
    </row>
    <row r="170" spans="1:16" x14ac:dyDescent="0.3">
      <c r="A170">
        <v>5.3643178499999999</v>
      </c>
      <c r="B170">
        <v>0.30590000000000001</v>
      </c>
      <c r="C170">
        <f t="shared" si="25"/>
        <v>1.640944830315</v>
      </c>
      <c r="D170">
        <v>2.01E-2</v>
      </c>
      <c r="E170">
        <v>3.8158201924077539E-3</v>
      </c>
      <c r="F170">
        <f t="shared" si="26"/>
        <v>1072.86357</v>
      </c>
      <c r="G170">
        <f t="shared" si="36"/>
        <v>-0.30590000000000001</v>
      </c>
      <c r="H170">
        <f t="shared" si="28"/>
        <v>-328.18896606300001</v>
      </c>
      <c r="I170">
        <v>1</v>
      </c>
      <c r="J170">
        <f t="shared" si="29"/>
        <v>7.0331307381880551E-2</v>
      </c>
      <c r="K170">
        <f t="shared" si="30"/>
        <v>-0.87401057297601192</v>
      </c>
      <c r="L170">
        <v>1</v>
      </c>
      <c r="M170">
        <f t="shared" si="31"/>
        <v>0.51494688177930081</v>
      </c>
      <c r="N170">
        <f t="shared" si="37"/>
        <v>0.107822788785</v>
      </c>
      <c r="O170">
        <f t="shared" si="38"/>
        <v>2.0469272370523348E-2</v>
      </c>
      <c r="P170">
        <f t="shared" si="39"/>
        <v>0.23077163004118775</v>
      </c>
    </row>
    <row r="171" spans="1:16" x14ac:dyDescent="0.3">
      <c r="A171">
        <v>5.4018305499999997</v>
      </c>
      <c r="B171">
        <v>0.30209999999999998</v>
      </c>
      <c r="C171">
        <f t="shared" si="25"/>
        <v>1.6318930091549997</v>
      </c>
      <c r="D171">
        <v>2.01E-2</v>
      </c>
      <c r="E171">
        <v>3.8158201924077539E-3</v>
      </c>
      <c r="F171">
        <f t="shared" si="26"/>
        <v>1080.3661099999999</v>
      </c>
      <c r="G171">
        <f t="shared" si="36"/>
        <v>-0.30209999999999998</v>
      </c>
      <c r="H171">
        <f t="shared" si="28"/>
        <v>-326.37860183099991</v>
      </c>
      <c r="I171">
        <v>1</v>
      </c>
      <c r="J171">
        <f t="shared" si="29"/>
        <v>7.7299974432489565E-2</v>
      </c>
      <c r="K171">
        <f t="shared" si="30"/>
        <v>-0.87781057297601195</v>
      </c>
      <c r="L171">
        <v>1</v>
      </c>
      <c r="M171">
        <f t="shared" si="31"/>
        <v>0.51523886892872128</v>
      </c>
      <c r="N171">
        <f t="shared" si="37"/>
        <v>0.10857679405499999</v>
      </c>
      <c r="O171">
        <f t="shared" si="38"/>
        <v>2.0612414088655082E-2</v>
      </c>
      <c r="P171">
        <f t="shared" si="39"/>
        <v>0.23338249590363561</v>
      </c>
    </row>
    <row r="172" spans="1:16" x14ac:dyDescent="0.3">
      <c r="A172">
        <v>5.4393432499999994</v>
      </c>
      <c r="B172">
        <v>0.29925000000000002</v>
      </c>
      <c r="C172">
        <f t="shared" si="25"/>
        <v>1.6277234675624999</v>
      </c>
      <c r="D172">
        <v>2.01E-2</v>
      </c>
      <c r="E172">
        <v>3.8158201924077539E-3</v>
      </c>
      <c r="F172">
        <f t="shared" si="26"/>
        <v>1087.8686499999999</v>
      </c>
      <c r="G172">
        <f t="shared" si="36"/>
        <v>-0.29925000000000002</v>
      </c>
      <c r="H172">
        <f t="shared" si="28"/>
        <v>-325.54469351249998</v>
      </c>
      <c r="I172">
        <v>1</v>
      </c>
      <c r="J172">
        <f t="shared" si="29"/>
        <v>8.4220415042827068E-2</v>
      </c>
      <c r="K172">
        <f t="shared" si="30"/>
        <v>-0.88066057297601197</v>
      </c>
      <c r="L172">
        <v>1</v>
      </c>
      <c r="M172">
        <f t="shared" si="31"/>
        <v>0.51552883539029448</v>
      </c>
      <c r="N172">
        <f t="shared" si="37"/>
        <v>0.10933079932499999</v>
      </c>
      <c r="O172">
        <f t="shared" si="38"/>
        <v>2.0755555806786816E-2</v>
      </c>
      <c r="P172">
        <f t="shared" si="39"/>
        <v>0.23504538245393067</v>
      </c>
    </row>
    <row r="173" spans="1:16" x14ac:dyDescent="0.3">
      <c r="A173">
        <v>5.4706038499999998</v>
      </c>
      <c r="B173">
        <v>0.29449999999999998</v>
      </c>
      <c r="C173">
        <f t="shared" si="25"/>
        <v>1.6110928338249999</v>
      </c>
      <c r="D173">
        <v>2.01E-2</v>
      </c>
      <c r="E173">
        <v>3.8158201924077539E-3</v>
      </c>
      <c r="F173">
        <f t="shared" si="26"/>
        <v>1094.12077</v>
      </c>
      <c r="G173">
        <f t="shared" si="36"/>
        <v>-0.29449999999999998</v>
      </c>
      <c r="H173">
        <f t="shared" si="28"/>
        <v>-322.21856676499999</v>
      </c>
      <c r="I173">
        <v>1</v>
      </c>
      <c r="J173">
        <f t="shared" si="29"/>
        <v>8.9951090959941207E-2</v>
      </c>
      <c r="K173">
        <f t="shared" si="30"/>
        <v>-0.885410572976012</v>
      </c>
      <c r="L173">
        <v>1</v>
      </c>
      <c r="M173">
        <f t="shared" si="31"/>
        <v>0.51576895071122153</v>
      </c>
      <c r="N173">
        <f t="shared" si="37"/>
        <v>0.10995913738499999</v>
      </c>
      <c r="O173">
        <f t="shared" si="38"/>
        <v>2.0874840635493597E-2</v>
      </c>
      <c r="P173">
        <f t="shared" si="39"/>
        <v>0.2388076442442969</v>
      </c>
    </row>
    <row r="174" spans="1:16" x14ac:dyDescent="0.3">
      <c r="A174">
        <v>5.5018644500000002</v>
      </c>
      <c r="B174">
        <v>0.29070000000000001</v>
      </c>
      <c r="C174">
        <f t="shared" si="25"/>
        <v>1.5993919956150002</v>
      </c>
      <c r="D174">
        <v>2.01E-2</v>
      </c>
      <c r="E174">
        <v>3.8158201924077539E-3</v>
      </c>
      <c r="F174">
        <f t="shared" si="26"/>
        <v>1100.3728900000001</v>
      </c>
      <c r="G174">
        <f t="shared" si="36"/>
        <v>-0.29070000000000001</v>
      </c>
      <c r="H174">
        <f t="shared" si="28"/>
        <v>-319.87839912300007</v>
      </c>
      <c r="I174">
        <v>1</v>
      </c>
      <c r="J174">
        <f t="shared" si="29"/>
        <v>9.5649113268979319E-2</v>
      </c>
      <c r="K174">
        <f t="shared" si="30"/>
        <v>-0.88921057297601203</v>
      </c>
      <c r="L174">
        <v>1</v>
      </c>
      <c r="M174">
        <f t="shared" si="31"/>
        <v>0.51600769784597023</v>
      </c>
      <c r="N174">
        <f t="shared" si="37"/>
        <v>0.110587475445</v>
      </c>
      <c r="O174">
        <f t="shared" si="38"/>
        <v>2.0994125464200382E-2</v>
      </c>
      <c r="P174">
        <f t="shared" si="39"/>
        <v>0.2416212742208414</v>
      </c>
    </row>
    <row r="175" spans="1:16" x14ac:dyDescent="0.3">
      <c r="A175">
        <v>5.53937715</v>
      </c>
      <c r="B175">
        <v>0.28689999999999999</v>
      </c>
      <c r="C175">
        <f t="shared" si="25"/>
        <v>1.5892473043349999</v>
      </c>
      <c r="D175">
        <v>2.01E-2</v>
      </c>
      <c r="E175">
        <v>3.8158201924077539E-3</v>
      </c>
      <c r="F175">
        <f t="shared" si="26"/>
        <v>1107.8754300000001</v>
      </c>
      <c r="G175">
        <f t="shared" si="36"/>
        <v>-0.28689999999999999</v>
      </c>
      <c r="H175">
        <f t="shared" si="28"/>
        <v>-317.849460867</v>
      </c>
      <c r="I175">
        <v>1</v>
      </c>
      <c r="J175">
        <f t="shared" si="29"/>
        <v>0.10244415420677953</v>
      </c>
      <c r="K175">
        <f t="shared" si="30"/>
        <v>-0.89301057297601205</v>
      </c>
      <c r="L175">
        <v>1</v>
      </c>
      <c r="M175">
        <f t="shared" si="31"/>
        <v>0.51629241006126403</v>
      </c>
      <c r="N175">
        <f t="shared" si="37"/>
        <v>0.111341480715</v>
      </c>
      <c r="O175">
        <f t="shared" si="38"/>
        <v>2.1137267182332116E-2</v>
      </c>
      <c r="P175">
        <f t="shared" si="39"/>
        <v>0.24423941501741592</v>
      </c>
    </row>
    <row r="176" spans="1:16" x14ac:dyDescent="0.3">
      <c r="A176">
        <v>5.5706377499999995</v>
      </c>
      <c r="B176">
        <v>0.28310000000000002</v>
      </c>
      <c r="C176">
        <f t="shared" si="25"/>
        <v>1.5770475470250001</v>
      </c>
      <c r="D176">
        <v>2.01E-2</v>
      </c>
      <c r="E176">
        <v>3.8158201924077539E-3</v>
      </c>
      <c r="F176">
        <f t="shared" si="26"/>
        <v>1114.1275499999999</v>
      </c>
      <c r="G176">
        <f t="shared" si="36"/>
        <v>-0.28310000000000002</v>
      </c>
      <c r="H176">
        <f t="shared" si="28"/>
        <v>-315.40950940499999</v>
      </c>
      <c r="I176">
        <v>1</v>
      </c>
      <c r="J176">
        <f t="shared" si="29"/>
        <v>0.10807163225777759</v>
      </c>
      <c r="K176">
        <f t="shared" si="30"/>
        <v>-0.89681057297601197</v>
      </c>
      <c r="L176">
        <v>1</v>
      </c>
      <c r="M176">
        <f t="shared" si="31"/>
        <v>0.51652820139160094</v>
      </c>
      <c r="N176">
        <f t="shared" si="37"/>
        <v>0.11196981877499999</v>
      </c>
      <c r="O176">
        <f t="shared" si="38"/>
        <v>2.1256552011038897E-2</v>
      </c>
      <c r="P176">
        <f t="shared" si="39"/>
        <v>0.24705600079837212</v>
      </c>
    </row>
    <row r="177" spans="1:16" x14ac:dyDescent="0.3">
      <c r="A177">
        <v>5.6018983499999999</v>
      </c>
      <c r="B177">
        <v>0.27929999999999999</v>
      </c>
      <c r="C177">
        <f t="shared" si="25"/>
        <v>1.564610209155</v>
      </c>
      <c r="D177">
        <v>2.01E-2</v>
      </c>
      <c r="E177">
        <v>3.8158201924077539E-3</v>
      </c>
      <c r="F177">
        <f t="shared" si="26"/>
        <v>1120.37967</v>
      </c>
      <c r="G177">
        <f t="shared" si="36"/>
        <v>-0.27929999999999999</v>
      </c>
      <c r="H177">
        <f t="shared" si="28"/>
        <v>-312.922041831</v>
      </c>
      <c r="I177">
        <v>1</v>
      </c>
      <c r="J177">
        <f t="shared" si="29"/>
        <v>0.11366761893394019</v>
      </c>
      <c r="K177">
        <f t="shared" si="30"/>
        <v>-0.90061057297601199</v>
      </c>
      <c r="L177">
        <v>1</v>
      </c>
      <c r="M177">
        <f t="shared" si="31"/>
        <v>0.51676267323333214</v>
      </c>
      <c r="N177">
        <f t="shared" si="37"/>
        <v>0.11259815683499999</v>
      </c>
      <c r="O177">
        <f t="shared" si="38"/>
        <v>2.1375836839745678E-2</v>
      </c>
      <c r="P177">
        <f t="shared" si="39"/>
        <v>0.24987390606793422</v>
      </c>
    </row>
    <row r="178" spans="1:16" x14ac:dyDescent="0.3">
      <c r="A178">
        <v>5.6394110499999996</v>
      </c>
      <c r="B178">
        <v>0.27455000000000002</v>
      </c>
      <c r="C178">
        <f t="shared" si="25"/>
        <v>1.5483003037775001</v>
      </c>
      <c r="D178">
        <v>2.01E-2</v>
      </c>
      <c r="E178">
        <v>3.8158201924077539E-3</v>
      </c>
      <c r="F178">
        <f t="shared" si="26"/>
        <v>1127.88221</v>
      </c>
      <c r="G178">
        <f t="shared" si="36"/>
        <v>-0.27455000000000002</v>
      </c>
      <c r="H178">
        <f t="shared" si="28"/>
        <v>-309.66006075550001</v>
      </c>
      <c r="I178">
        <v>1</v>
      </c>
      <c r="J178">
        <f t="shared" si="29"/>
        <v>0.12034172386446151</v>
      </c>
      <c r="K178">
        <f t="shared" si="30"/>
        <v>-0.90536057297601191</v>
      </c>
      <c r="L178">
        <v>1</v>
      </c>
      <c r="M178">
        <f t="shared" si="31"/>
        <v>0.51704231822992097</v>
      </c>
      <c r="N178">
        <f t="shared" si="37"/>
        <v>0.11335216210499999</v>
      </c>
      <c r="O178">
        <f t="shared" si="38"/>
        <v>2.1518978557877412E-2</v>
      </c>
      <c r="P178">
        <f t="shared" si="39"/>
        <v>0.25344711408321352</v>
      </c>
    </row>
    <row r="179" spans="1:16" x14ac:dyDescent="0.3">
      <c r="A179">
        <v>5.6706716500000001</v>
      </c>
      <c r="B179">
        <v>0.26979999999999998</v>
      </c>
      <c r="C179">
        <f t="shared" si="25"/>
        <v>1.5299472111699999</v>
      </c>
      <c r="D179">
        <v>2.01E-2</v>
      </c>
      <c r="E179">
        <v>3.8158201924077539E-3</v>
      </c>
      <c r="F179">
        <f t="shared" si="26"/>
        <v>1134.1343300000001</v>
      </c>
      <c r="G179">
        <f t="shared" si="36"/>
        <v>-0.26979999999999998</v>
      </c>
      <c r="H179">
        <f t="shared" si="28"/>
        <v>-305.98944223399997</v>
      </c>
      <c r="I179">
        <v>1</v>
      </c>
      <c r="J179">
        <f t="shared" si="29"/>
        <v>0.1258696550802324</v>
      </c>
      <c r="K179">
        <f t="shared" si="30"/>
        <v>-0.91011057297601194</v>
      </c>
      <c r="L179">
        <v>1</v>
      </c>
      <c r="M179">
        <f t="shared" si="31"/>
        <v>0.51727393854786174</v>
      </c>
      <c r="N179">
        <f t="shared" si="37"/>
        <v>0.113980500165</v>
      </c>
      <c r="O179">
        <f t="shared" si="38"/>
        <v>2.1638263386584197E-2</v>
      </c>
      <c r="P179">
        <f t="shared" si="39"/>
        <v>0.257217870876566</v>
      </c>
    </row>
    <row r="180" spans="1:16" x14ac:dyDescent="0.3">
      <c r="A180">
        <v>5.7019322499999996</v>
      </c>
      <c r="B180">
        <v>0.26695000000000002</v>
      </c>
      <c r="C180">
        <f t="shared" si="25"/>
        <v>1.5221308141375001</v>
      </c>
      <c r="D180">
        <v>2.01E-2</v>
      </c>
      <c r="E180">
        <v>3.8158201924077539E-3</v>
      </c>
      <c r="F180">
        <f t="shared" si="26"/>
        <v>1140.38645</v>
      </c>
      <c r="G180">
        <f t="shared" si="36"/>
        <v>-0.26695000000000002</v>
      </c>
      <c r="H180">
        <f t="shared" si="28"/>
        <v>-304.42616282750004</v>
      </c>
      <c r="I180">
        <v>1</v>
      </c>
      <c r="J180">
        <f t="shared" si="29"/>
        <v>0.13136719618992973</v>
      </c>
      <c r="K180">
        <f t="shared" si="30"/>
        <v>-0.91296057297601196</v>
      </c>
      <c r="L180">
        <v>1</v>
      </c>
      <c r="M180">
        <f t="shared" si="31"/>
        <v>0.5175042855203581</v>
      </c>
      <c r="N180">
        <f t="shared" si="37"/>
        <v>0.114608838225</v>
      </c>
      <c r="O180">
        <f t="shared" si="38"/>
        <v>2.1757548215290974E-2</v>
      </c>
      <c r="P180">
        <f t="shared" si="39"/>
        <v>0.25908990101536289</v>
      </c>
    </row>
    <row r="181" spans="1:16" x14ac:dyDescent="0.3">
      <c r="A181">
        <v>5.73319285</v>
      </c>
      <c r="B181">
        <v>0.26219999999999999</v>
      </c>
      <c r="C181">
        <f t="shared" si="25"/>
        <v>1.50324316527</v>
      </c>
      <c r="D181">
        <v>2.01E-2</v>
      </c>
      <c r="E181">
        <v>3.8158201924077539E-3</v>
      </c>
      <c r="F181">
        <f t="shared" si="26"/>
        <v>1146.6385700000001</v>
      </c>
      <c r="G181">
        <f t="shared" si="36"/>
        <v>-0.26219999999999999</v>
      </c>
      <c r="H181">
        <f t="shared" si="28"/>
        <v>-300.64863305400002</v>
      </c>
      <c r="I181">
        <v>1</v>
      </c>
      <c r="J181">
        <f t="shared" si="29"/>
        <v>0.13683467951001954</v>
      </c>
      <c r="K181">
        <f t="shared" si="30"/>
        <v>-0.917710572976012</v>
      </c>
      <c r="L181">
        <v>1</v>
      </c>
      <c r="M181">
        <f t="shared" si="31"/>
        <v>0.51773337307146983</v>
      </c>
      <c r="N181">
        <f t="shared" si="37"/>
        <v>0.11523717628499999</v>
      </c>
      <c r="O181">
        <f t="shared" si="38"/>
        <v>2.1876833043997759E-2</v>
      </c>
      <c r="P181">
        <f t="shared" si="39"/>
        <v>0.26286319057554447</v>
      </c>
    </row>
    <row r="182" spans="1:16" x14ac:dyDescent="0.3">
      <c r="A182">
        <v>5.7707055499999997</v>
      </c>
      <c r="B182">
        <v>0.25840000000000002</v>
      </c>
      <c r="C182">
        <f t="shared" si="25"/>
        <v>1.49115031412</v>
      </c>
      <c r="D182">
        <v>2.01E-2</v>
      </c>
      <c r="E182">
        <v>3.8158201924077539E-3</v>
      </c>
      <c r="F182">
        <f t="shared" si="26"/>
        <v>1154.14111</v>
      </c>
      <c r="G182">
        <f t="shared" si="36"/>
        <v>-0.25840000000000002</v>
      </c>
      <c r="H182">
        <f t="shared" si="28"/>
        <v>-298.23006282400002</v>
      </c>
      <c r="I182">
        <v>1</v>
      </c>
      <c r="J182">
        <f t="shared" si="29"/>
        <v>0.1433564396398995</v>
      </c>
      <c r="K182">
        <f t="shared" si="30"/>
        <v>-0.92151057297601202</v>
      </c>
      <c r="L182">
        <v>1</v>
      </c>
      <c r="M182">
        <f t="shared" si="31"/>
        <v>0.5180066348209118</v>
      </c>
      <c r="N182">
        <f t="shared" si="37"/>
        <v>0.11599118155499999</v>
      </c>
      <c r="O182">
        <f t="shared" si="38"/>
        <v>2.2019974762129493E-2</v>
      </c>
      <c r="P182">
        <f t="shared" si="39"/>
        <v>0.26549278183797076</v>
      </c>
    </row>
    <row r="183" spans="1:16" x14ac:dyDescent="0.3">
      <c r="A183">
        <v>5.8019661499999993</v>
      </c>
      <c r="B183">
        <v>0.25459999999999999</v>
      </c>
      <c r="C183">
        <f t="shared" si="25"/>
        <v>1.4771805817899997</v>
      </c>
      <c r="D183">
        <v>2.01E-2</v>
      </c>
      <c r="E183">
        <v>3.8158201924077539E-3</v>
      </c>
      <c r="F183">
        <f t="shared" si="26"/>
        <v>1160.3932299999999</v>
      </c>
      <c r="G183">
        <f t="shared" si="36"/>
        <v>-0.25459999999999999</v>
      </c>
      <c r="H183">
        <f t="shared" si="28"/>
        <v>-295.43611635799994</v>
      </c>
      <c r="I183">
        <v>1</v>
      </c>
      <c r="J183">
        <f t="shared" si="29"/>
        <v>0.14875893905298773</v>
      </c>
      <c r="K183">
        <f t="shared" si="30"/>
        <v>-0.92531057297601205</v>
      </c>
      <c r="L183">
        <v>1</v>
      </c>
      <c r="M183">
        <f t="shared" si="31"/>
        <v>0.51823299954632018</v>
      </c>
      <c r="N183">
        <f t="shared" si="37"/>
        <v>0.11661951961499999</v>
      </c>
      <c r="O183">
        <f t="shared" si="38"/>
        <v>2.2139259590836274E-2</v>
      </c>
      <c r="P183">
        <f t="shared" si="39"/>
        <v>0.26831879422385557</v>
      </c>
    </row>
    <row r="184" spans="1:16" x14ac:dyDescent="0.3">
      <c r="A184">
        <v>5.8332267499999997</v>
      </c>
      <c r="B184">
        <v>0.25080000000000002</v>
      </c>
      <c r="C184">
        <f t="shared" si="25"/>
        <v>1.4629732689000001</v>
      </c>
      <c r="D184">
        <v>2.01E-2</v>
      </c>
      <c r="E184">
        <v>3.8158201924077539E-3</v>
      </c>
      <c r="F184">
        <f t="shared" si="26"/>
        <v>1166.64535</v>
      </c>
      <c r="G184">
        <f t="shared" si="36"/>
        <v>-0.25080000000000002</v>
      </c>
      <c r="H184">
        <f t="shared" si="28"/>
        <v>-292.59465378000004</v>
      </c>
      <c r="I184">
        <v>1</v>
      </c>
      <c r="J184">
        <f t="shared" si="29"/>
        <v>0.1541324082317623</v>
      </c>
      <c r="K184">
        <f t="shared" si="30"/>
        <v>-0.92911057297601196</v>
      </c>
      <c r="L184">
        <v>1</v>
      </c>
      <c r="M184">
        <f t="shared" si="31"/>
        <v>0.51845814790491085</v>
      </c>
      <c r="N184">
        <f t="shared" si="37"/>
        <v>0.117247857675</v>
      </c>
      <c r="O184">
        <f t="shared" si="38"/>
        <v>2.2258544419543055E-2</v>
      </c>
      <c r="P184">
        <f t="shared" si="39"/>
        <v>0.27114602297655804</v>
      </c>
    </row>
    <row r="185" spans="1:16" x14ac:dyDescent="0.3">
      <c r="C185">
        <f t="shared" si="25"/>
        <v>0</v>
      </c>
      <c r="D185">
        <v>2.01E-2</v>
      </c>
      <c r="E185">
        <v>3.8158201924077539E-3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-1.179910572976012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1:16" x14ac:dyDescent="0.3">
      <c r="C186">
        <f t="shared" si="25"/>
        <v>0</v>
      </c>
      <c r="D186">
        <v>2.01E-2</v>
      </c>
      <c r="E186">
        <v>3.8158201924077539E-3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-1.179910572976012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1:16" x14ac:dyDescent="0.3">
      <c r="C187">
        <f t="shared" si="25"/>
        <v>0</v>
      </c>
      <c r="D187">
        <v>2.01E-2</v>
      </c>
      <c r="E187">
        <v>3.8158201924077539E-3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-1.179910572976012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1:16" x14ac:dyDescent="0.3">
      <c r="C188">
        <f t="shared" si="25"/>
        <v>0</v>
      </c>
      <c r="D188">
        <v>2.01E-2</v>
      </c>
      <c r="E188">
        <v>3.8158201924077539E-3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-1.179910572976012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1:16" x14ac:dyDescent="0.3">
      <c r="C189">
        <f t="shared" si="25"/>
        <v>0</v>
      </c>
      <c r="D189">
        <v>2.01E-2</v>
      </c>
      <c r="E189">
        <v>3.8158201924077539E-3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-1.179910572976012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1:16" x14ac:dyDescent="0.3">
      <c r="C190">
        <f t="shared" si="25"/>
        <v>0</v>
      </c>
      <c r="D190">
        <v>2.01E-2</v>
      </c>
      <c r="E190">
        <v>3.8158201924077539E-3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1:16" x14ac:dyDescent="0.3">
      <c r="C191">
        <f t="shared" si="25"/>
        <v>0</v>
      </c>
      <c r="D191">
        <v>2.01E-2</v>
      </c>
      <c r="E191">
        <v>3.8158201924077539E-3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1:16" x14ac:dyDescent="0.3">
      <c r="C192">
        <f t="shared" si="25"/>
        <v>0</v>
      </c>
      <c r="D192">
        <v>2.01E-2</v>
      </c>
      <c r="E192">
        <v>3.8158201924077539E-3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2.01E-2</v>
      </c>
      <c r="E193">
        <v>3.8158201924077539E-3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2.01E-2</v>
      </c>
      <c r="E194">
        <v>3.8158201924077539E-3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2.01E-2</v>
      </c>
      <c r="E195">
        <v>3.8158201924077539E-3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2.01E-2</v>
      </c>
      <c r="E196">
        <v>3.8158201924077539E-3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2.01E-2</v>
      </c>
      <c r="E197">
        <v>3.8158201924077539E-3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2.01E-2</v>
      </c>
      <c r="E198">
        <v>3.8158201924077539E-3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2.01E-2</v>
      </c>
      <c r="E199">
        <v>3.8158201924077539E-3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2.01E-2</v>
      </c>
      <c r="E200">
        <v>3.8158201924077539E-3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2.01E-2</v>
      </c>
      <c r="E201">
        <v>3.8158201924077539E-3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2.01E-2</v>
      </c>
      <c r="E202">
        <v>3.8158201924077539E-3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2.01E-2</v>
      </c>
      <c r="E203">
        <v>3.8158201924077539E-3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2.01E-2</v>
      </c>
      <c r="E204">
        <v>3.8158201924077539E-3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2.01E-2</v>
      </c>
      <c r="E205">
        <v>3.8158201924077539E-3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2.01E-2</v>
      </c>
      <c r="E206">
        <v>3.8158201924077539E-3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2.01E-2</v>
      </c>
      <c r="E207">
        <v>3.8158201924077539E-3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2.01E-2</v>
      </c>
      <c r="E208">
        <v>3.8158201924077539E-3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2.01E-2</v>
      </c>
      <c r="E209">
        <v>3.8158201924077539E-3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2.01E-2</v>
      </c>
      <c r="E210">
        <v>3.8158201924077539E-3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2.01E-2</v>
      </c>
      <c r="E211">
        <v>3.8158201924077539E-3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2.01E-2</v>
      </c>
      <c r="E212">
        <v>3.8158201924077539E-3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2.01E-2</v>
      </c>
      <c r="E213">
        <v>3.8158201924077539E-3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2.01E-2</v>
      </c>
      <c r="E214">
        <v>3.8158201924077539E-3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2.01E-2</v>
      </c>
      <c r="E215">
        <v>3.8158201924077539E-3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2.01E-2</v>
      </c>
      <c r="E216">
        <v>3.8158201924077539E-3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2.01E-2</v>
      </c>
      <c r="E217">
        <v>3.8158201924077539E-3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2.01E-2</v>
      </c>
      <c r="E218">
        <v>3.8158201924077539E-3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2.01E-2</v>
      </c>
      <c r="E219">
        <v>3.8158201924077539E-3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2.01E-2</v>
      </c>
      <c r="E220">
        <v>3.8158201924077539E-3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2.01E-2</v>
      </c>
      <c r="E221">
        <v>3.8158201924077539E-3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2.01E-2</v>
      </c>
      <c r="E222">
        <v>3.8158201924077539E-3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2.01E-2</v>
      </c>
      <c r="E223">
        <v>3.8158201924077539E-3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2.01E-2</v>
      </c>
      <c r="E224">
        <v>3.8158201924077539E-3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2.01E-2</v>
      </c>
      <c r="E225">
        <v>3.8158201924077539E-3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2.01E-2</v>
      </c>
      <c r="E226">
        <v>3.8158201924077539E-3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2.01E-2</v>
      </c>
      <c r="E227">
        <v>3.8158201924077539E-3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2.01E-2</v>
      </c>
      <c r="E228">
        <v>3.8158201924077539E-3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2.01E-2</v>
      </c>
      <c r="E229">
        <v>3.8158201924077539E-3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2.01E-2</v>
      </c>
      <c r="E230">
        <v>3.8158201924077539E-3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2.01E-2</v>
      </c>
      <c r="E231">
        <v>3.8158201924077539E-3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2.01E-2</v>
      </c>
      <c r="E232">
        <v>3.8158201924077539E-3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2.01E-2</v>
      </c>
      <c r="E233">
        <v>3.8158201924077539E-3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2.01E-2</v>
      </c>
      <c r="E234">
        <v>3.8158201924077539E-3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2.01E-2</v>
      </c>
      <c r="E235">
        <v>3.8158201924077539E-3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2.01E-2</v>
      </c>
      <c r="E236">
        <v>3.8158201924077539E-3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2.01E-2</v>
      </c>
      <c r="E237">
        <v>3.8158201924077539E-3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2.01E-2</v>
      </c>
      <c r="E238">
        <v>3.8158201924077539E-3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2.01E-2</v>
      </c>
      <c r="E239">
        <v>3.8158201924077539E-3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2.01E-2</v>
      </c>
      <c r="E240">
        <v>3.8158201924077539E-3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2.01E-2</v>
      </c>
      <c r="E241">
        <v>3.8158201924077539E-3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2.01E-2</v>
      </c>
      <c r="E242">
        <v>3.8158201924077539E-3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2.01E-2</v>
      </c>
      <c r="E243">
        <v>3.8158201924077539E-3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2.01E-2</v>
      </c>
      <c r="E244">
        <v>3.8158201924077539E-3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2.01E-2</v>
      </c>
      <c r="E245">
        <v>3.8158201924077539E-3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2.01E-2</v>
      </c>
      <c r="E246">
        <v>3.8158201924077539E-3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2.01E-2</v>
      </c>
      <c r="E247">
        <v>3.8158201924077539E-3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2.01E-2</v>
      </c>
      <c r="E248">
        <v>3.8158201924077539E-3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2.01E-2</v>
      </c>
      <c r="E249">
        <v>3.8158201924077539E-3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2.01E-2</v>
      </c>
      <c r="E250">
        <v>3.8158201924077539E-3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2.01E-2</v>
      </c>
      <c r="E251">
        <v>3.8158201924077539E-3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2.01E-2</v>
      </c>
      <c r="E252">
        <v>3.8158201924077539E-3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2.01E-2</v>
      </c>
      <c r="E253">
        <v>3.8158201924077539E-3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2.01E-2</v>
      </c>
      <c r="E254">
        <v>3.8158201924077539E-3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2.01E-2</v>
      </c>
      <c r="E255">
        <v>3.8158201924077539E-3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2.01E-2</v>
      </c>
      <c r="E256">
        <v>3.8158201924077539E-3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2.01E-2</v>
      </c>
      <c r="E257">
        <v>3.8158201924077539E-3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2.01E-2</v>
      </c>
      <c r="E258">
        <v>3.8158201924077539E-3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2.01E-2</v>
      </c>
      <c r="E259">
        <v>3.8158201924077539E-3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2.01E-2</v>
      </c>
      <c r="E260">
        <v>3.8158201924077539E-3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2.01E-2</v>
      </c>
      <c r="E261">
        <v>3.8158201924077539E-3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2.01E-2</v>
      </c>
      <c r="E262">
        <v>3.8158201924077539E-3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2.01E-2</v>
      </c>
      <c r="E263">
        <v>3.8158201924077539E-3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2.01E-2</v>
      </c>
      <c r="E264">
        <v>3.8158201924077539E-3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2.01E-2</v>
      </c>
      <c r="E265">
        <v>3.8158201924077539E-3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2.01E-2</v>
      </c>
      <c r="E266">
        <v>3.8158201924077539E-3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2.01E-2</v>
      </c>
      <c r="E267">
        <v>3.8158201924077539E-3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2.01E-2</v>
      </c>
      <c r="E268">
        <v>3.8158201924077539E-3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2.01E-2</v>
      </c>
      <c r="E269">
        <v>3.8158201924077539E-3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2.01E-2</v>
      </c>
      <c r="E270">
        <v>3.8158201924077539E-3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2.01E-2</v>
      </c>
      <c r="E271">
        <v>3.8158201924077539E-3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2.01E-2</v>
      </c>
      <c r="E272">
        <v>3.8158201924077539E-3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2.01E-2</v>
      </c>
      <c r="E273">
        <v>3.8158201924077539E-3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2.01E-2</v>
      </c>
      <c r="E274">
        <v>3.8158201924077539E-3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2.01E-2</v>
      </c>
      <c r="E275">
        <v>3.8158201924077539E-3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2.01E-2</v>
      </c>
      <c r="E276">
        <v>3.8158201924077539E-3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2.01E-2</v>
      </c>
      <c r="E277">
        <v>3.8158201924077539E-3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2.01E-2</v>
      </c>
      <c r="E278">
        <v>3.8158201924077539E-3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2.01E-2</v>
      </c>
      <c r="E279">
        <v>3.8158201924077539E-3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2.01E-2</v>
      </c>
      <c r="E280">
        <v>3.8158201924077539E-3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2.01E-2</v>
      </c>
      <c r="E281">
        <v>3.8158201924077539E-3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2.01E-2</v>
      </c>
      <c r="E282">
        <v>3.8158201924077539E-3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2.01E-2</v>
      </c>
      <c r="E283">
        <v>3.8158201924077539E-3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2.01E-2</v>
      </c>
      <c r="E284">
        <v>3.8158201924077539E-3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2.01E-2</v>
      </c>
      <c r="E285">
        <v>3.8158201924077539E-3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2.01E-2</v>
      </c>
      <c r="E286">
        <v>3.8158201924077539E-3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2.01E-2</v>
      </c>
      <c r="E287">
        <v>3.8158201924077539E-3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2.01E-2</v>
      </c>
      <c r="E288">
        <v>3.8158201924077539E-3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2.01E-2</v>
      </c>
      <c r="E289">
        <v>3.8158201924077539E-3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2.01E-2</v>
      </c>
      <c r="E290">
        <v>3.8158201924077539E-3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2.01E-2</v>
      </c>
      <c r="E291">
        <v>3.8158201924077539E-3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2.01E-2</v>
      </c>
      <c r="E292">
        <v>3.8158201924077539E-3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2.01E-2</v>
      </c>
      <c r="E293">
        <v>3.8158201924077539E-3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2.01E-2</v>
      </c>
      <c r="E294">
        <v>3.8158201924077539E-3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2.01E-2</v>
      </c>
      <c r="E295">
        <v>3.8158201924077539E-3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2.01E-2</v>
      </c>
      <c r="E296">
        <v>3.8158201924077539E-3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2.01E-2</v>
      </c>
      <c r="E297">
        <v>3.8158201924077539E-3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2.01E-2</v>
      </c>
      <c r="E298">
        <v>3.8158201924077539E-3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2.01E-2</v>
      </c>
      <c r="E299">
        <v>3.8158201924077539E-3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2.01E-2</v>
      </c>
      <c r="E300">
        <v>3.8158201924077539E-3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2.01E-2</v>
      </c>
      <c r="E301">
        <v>3.8158201924077539E-3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2.01E-2</v>
      </c>
      <c r="E302">
        <v>3.8158201924077539E-3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2.01E-2</v>
      </c>
      <c r="E303">
        <v>3.8158201924077539E-3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-0.50248032168887946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-0.50210941456063485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-0.50396947921745872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-0.50203230655460451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-0.50640734815434019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-0.50804671216367581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-0.51205973602570998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-0.51244931741132249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-0.5091586144346486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-0.5117823378683517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-0.51321719919641706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-0.51757198319091302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-0.51759515330781436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-0.51921337115733723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-0.51886376724322536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-0.52063481099422659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-0.51857533221711605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-0.5235943097433039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-0.52522364658059562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-0.52147346837889041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-0.52926385020682598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-0.52576852522577733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-0.52817293787868713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-0.52922176709853497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-0.53010000377172628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-0.53182555027850353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-0.53024474498929475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-0.5346441220892707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-0.53134502799658867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-0.53723053214137639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-0.53406292997818083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-0.53856844003232218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-0.53727791731480146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-0.53942153359400136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-0.53836898454435556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-0.54227679826231701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-0.54155216273166629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-0.54387965298279017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-0.54493852546979882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-0.54740831652041166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-0.54643149112050626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-0.546410741722543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-0.54977761355036892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-0.54730853837292293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-0.54811383455516793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-0.5564104941175172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-0.54942332974268893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-0.54959864582647777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-0.55304122647738851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-0.55220645998475348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-0.55690438823047672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-0.55439231119843224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-0.55473059510194167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-0.55988963998736829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-0.5547697109193841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-0.56047096653087836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-0.55681200967123001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-0.55822325332190481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-0.56457201859416462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-0.56033793175615765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-0.55779725236802191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-0.56470703057890037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-0.5586435056559631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-0.56502985727076627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-0.56690695434432126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-0.56414683321261805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-0.57076494562730584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-0.5675414789996186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-0.56973985840966201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-0.56867395754146977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-0.57142759712176416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-0.56965264655001857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-0.57239621367158389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-0.56976920496859051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-0.57393423416985967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-0.56783052872603035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-0.57772383977915742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-0.57593243574010233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-0.57576620597385264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-0.57846903967811558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-0.5685219289391229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-0.58038117018218727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-0.57645106110354161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-0.58035765980522724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-0.58104078488910593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-0.58043960964754626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-0.57711655827089037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-0.58163554453660937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-0.58139504048745727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-0.58199554384605989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-0.58670284545489049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-0.58408073316915721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-0.58737214665104831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-0.58295318004234531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-0.59098450762112831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-0.5846556829143652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-0.59058966837452742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-0.5873978074785362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-0.59211052766366701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-0.58566725199927783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-0.59321316723911854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-0.58981610628192516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-0.59313547702628766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-0.59284738218309385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-0.59063454252154024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-0.59177062711684802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-0.5989440985726604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-0.59367577938291827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-0.59615275359769559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-0.59618324768002717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-0.59314928930791122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-0.59834350716449713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-0.5999984916643688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-0.59670876868118738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-0.59480336731310579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-0.59543019529198493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-0.59566458515364318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-0.60122443613844001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-0.60469597230874395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-0.60829459105043504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-0.59983176375870795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-0.60343127611352898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-0.60372321337868673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-0.6059701288511643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-0.60458992291571589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-0.61047180304222193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-0.60003083149968484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-0.61009481698282464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-0.61092232841967442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-0.61048678814177604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-0.61777550389211278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-0.6199774649825136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-0.6203014151481876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-0.62258708845319244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-0.62336735335211846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-0.62538156965928171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-0.62490031107508048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-0.6270768080721687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-0.62674174645309544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-0.62866392101820201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-0.62924335561027034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-0.63137175281759006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-0.63108843792082758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-0.63320692326315142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-0.63360501011626813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-0.63570217175536259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-0.6353287023076305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-0.63821354379572359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-0.63807195185377097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-0.64021893557002041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-0.64085577070533128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-0.64278835452501859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-0.64254917419667934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-0.64221116659568644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-0.64516712658013786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-0.64459055307971336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-0.64683452659525364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-0.6469348542211244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2026-04-20T00:40:19Z</dcterms:modified>
</cp:coreProperties>
</file>