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\"/>
    </mc:Choice>
  </mc:AlternateContent>
  <xr:revisionPtr revIDLastSave="0" documentId="13_ncr:1_{C33882F0-DA13-4404-9BC6-DB6BD0B201A5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2" i="3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2" i="3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99" i="1"/>
  <c r="P299" i="1" s="1"/>
  <c r="K273" i="1"/>
  <c r="P273" i="1" s="1"/>
  <c r="K247" i="1"/>
  <c r="P247" i="1" s="1"/>
  <c r="K228" i="1"/>
  <c r="P228" i="1" s="1"/>
  <c r="K212" i="1"/>
  <c r="P212" i="1" s="1"/>
  <c r="K221" i="1"/>
  <c r="P221" i="1" s="1"/>
  <c r="K297" i="1"/>
  <c r="P297" i="1" s="1"/>
  <c r="K277" i="1"/>
  <c r="P277" i="1" s="1"/>
  <c r="K253" i="1"/>
  <c r="P253" i="1" s="1"/>
  <c r="K300" i="1"/>
  <c r="P300" i="1" s="1"/>
  <c r="K280" i="1"/>
  <c r="P280" i="1" s="1"/>
  <c r="K266" i="1"/>
  <c r="P266" i="1" s="1"/>
  <c r="K258" i="1"/>
  <c r="P258" i="1" s="1"/>
  <c r="K250" i="1"/>
  <c r="P250" i="1" s="1"/>
  <c r="K242" i="1"/>
  <c r="P242" i="1" s="1"/>
  <c r="K234" i="1"/>
  <c r="P234" i="1" s="1"/>
  <c r="K218" i="1"/>
  <c r="P218" i="1" s="1"/>
  <c r="K287" i="1"/>
  <c r="P287" i="1" s="1"/>
  <c r="K263" i="1"/>
  <c r="P263" i="1" s="1"/>
  <c r="K237" i="1"/>
  <c r="P237" i="1" s="1"/>
  <c r="K290" i="1"/>
  <c r="P290" i="1" s="1"/>
  <c r="K274" i="1"/>
  <c r="P274" i="1" s="1"/>
  <c r="K223" i="1"/>
  <c r="P223" i="1" s="1"/>
  <c r="K291" i="1"/>
  <c r="P291" i="1" s="1"/>
  <c r="K267" i="1"/>
  <c r="P267" i="1" s="1"/>
  <c r="K241" i="1"/>
  <c r="P241" i="1" s="1"/>
  <c r="K224" i="1"/>
  <c r="P224" i="1" s="1"/>
  <c r="K233" i="1"/>
  <c r="P233" i="1" s="1"/>
  <c r="K217" i="1"/>
  <c r="P217" i="1" s="1"/>
  <c r="K293" i="1"/>
  <c r="P293" i="1" s="1"/>
  <c r="K271" i="1"/>
  <c r="P271" i="1" s="1"/>
  <c r="K249" i="1"/>
  <c r="P249" i="1" s="1"/>
  <c r="K296" i="1"/>
  <c r="P296" i="1" s="1"/>
  <c r="K276" i="1"/>
  <c r="P276" i="1" s="1"/>
  <c r="K264" i="1"/>
  <c r="P264" i="1" s="1"/>
  <c r="K256" i="1"/>
  <c r="P256" i="1" s="1"/>
  <c r="K248" i="1"/>
  <c r="P248" i="1" s="1"/>
  <c r="K240" i="1"/>
  <c r="P240" i="1" s="1"/>
  <c r="K230" i="1"/>
  <c r="P230" i="1" s="1"/>
  <c r="K214" i="1"/>
  <c r="P214" i="1" s="1"/>
  <c r="K281" i="1"/>
  <c r="P281" i="1" s="1"/>
  <c r="K257" i="1"/>
  <c r="P257" i="1" s="1"/>
  <c r="K302" i="1"/>
  <c r="P302" i="1" s="1"/>
  <c r="K286" i="1"/>
  <c r="P286" i="1" s="1"/>
  <c r="K268" i="1"/>
  <c r="P268" i="1" s="1"/>
  <c r="K219" i="1"/>
  <c r="P219" i="1" s="1"/>
  <c r="K285" i="1"/>
  <c r="P285" i="1" s="1"/>
  <c r="K261" i="1"/>
  <c r="P261" i="1" s="1"/>
  <c r="K235" i="1"/>
  <c r="P235" i="1" s="1"/>
  <c r="K220" i="1"/>
  <c r="P220" i="1" s="1"/>
  <c r="K229" i="1"/>
  <c r="P229" i="1" s="1"/>
  <c r="K213" i="1"/>
  <c r="P213" i="1" s="1"/>
  <c r="K289" i="1"/>
  <c r="P289" i="1" s="1"/>
  <c r="K265" i="1"/>
  <c r="P265" i="1" s="1"/>
  <c r="K243" i="1"/>
  <c r="P243" i="1" s="1"/>
  <c r="K292" i="1"/>
  <c r="P292" i="1" s="1"/>
  <c r="K272" i="1"/>
  <c r="P272" i="1" s="1"/>
  <c r="K262" i="1"/>
  <c r="P262" i="1" s="1"/>
  <c r="K254" i="1"/>
  <c r="P254" i="1" s="1"/>
  <c r="K246" i="1"/>
  <c r="P246" i="1" s="1"/>
  <c r="K238" i="1"/>
  <c r="P238" i="1" s="1"/>
  <c r="K226" i="1"/>
  <c r="P226" i="1" s="1"/>
  <c r="K301" i="1"/>
  <c r="P301" i="1" s="1"/>
  <c r="K275" i="1"/>
  <c r="P275" i="1" s="1"/>
  <c r="K251" i="1"/>
  <c r="P251" i="1" s="1"/>
  <c r="K298" i="1"/>
  <c r="P298" i="1" s="1"/>
  <c r="K282" i="1"/>
  <c r="P282" i="1" s="1"/>
  <c r="K231" i="1"/>
  <c r="P231" i="1" s="1"/>
  <c r="K215" i="1"/>
  <c r="P215" i="1" s="1"/>
  <c r="K279" i="1"/>
  <c r="P279" i="1" s="1"/>
  <c r="K225" i="1"/>
  <c r="P225" i="1" s="1"/>
  <c r="K239" i="1"/>
  <c r="P239" i="1" s="1"/>
  <c r="K252" i="1"/>
  <c r="P252" i="1" s="1"/>
  <c r="K295" i="1"/>
  <c r="P295" i="1" s="1"/>
  <c r="K278" i="1"/>
  <c r="P278" i="1" s="1"/>
  <c r="K255" i="1"/>
  <c r="P255" i="1" s="1"/>
  <c r="K303" i="1"/>
  <c r="P303" i="1" s="1"/>
  <c r="K284" i="1"/>
  <c r="P284" i="1" s="1"/>
  <c r="K244" i="1"/>
  <c r="P244" i="1" s="1"/>
  <c r="K269" i="1"/>
  <c r="P269" i="1" s="1"/>
  <c r="K227" i="1"/>
  <c r="P227" i="1" s="1"/>
  <c r="K232" i="1"/>
  <c r="P232" i="1" s="1"/>
  <c r="K283" i="1"/>
  <c r="P283" i="1" s="1"/>
  <c r="K270" i="1"/>
  <c r="P270" i="1" s="1"/>
  <c r="K236" i="1"/>
  <c r="P236" i="1" s="1"/>
  <c r="K245" i="1"/>
  <c r="P245" i="1" s="1"/>
  <c r="K216" i="1"/>
  <c r="P216" i="1" s="1"/>
  <c r="K294" i="1"/>
  <c r="P294" i="1" s="1"/>
  <c r="K259" i="1"/>
  <c r="P259" i="1" s="1"/>
  <c r="K222" i="1"/>
  <c r="P222" i="1" s="1"/>
  <c r="K260" i="1"/>
  <c r="P260" i="1" s="1"/>
  <c r="K187" i="1"/>
  <c r="K165" i="1"/>
  <c r="P165" i="1" s="1"/>
  <c r="K144" i="1"/>
  <c r="K136" i="1"/>
  <c r="K128" i="1"/>
  <c r="K161" i="1"/>
  <c r="P161" i="1" s="1"/>
  <c r="K182" i="1"/>
  <c r="P182" i="1" s="1"/>
  <c r="K174" i="1"/>
  <c r="K169" i="1"/>
  <c r="K145" i="1"/>
  <c r="P145" i="1" s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70" i="1"/>
  <c r="K162" i="1"/>
  <c r="P162" i="1" s="1"/>
  <c r="K154" i="1"/>
  <c r="P154" i="1" s="1"/>
  <c r="K146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49" i="1"/>
  <c r="K92" i="1"/>
  <c r="K60" i="1"/>
  <c r="K28" i="1"/>
  <c r="K211" i="1"/>
  <c r="P211" i="1" s="1"/>
  <c r="K195" i="1"/>
  <c r="P195" i="1" s="1"/>
  <c r="K156" i="1"/>
  <c r="P156" i="1" s="1"/>
  <c r="K131" i="1"/>
  <c r="K107" i="1"/>
  <c r="K83" i="1"/>
  <c r="K59" i="1"/>
  <c r="K35" i="1"/>
  <c r="K210" i="1"/>
  <c r="P210" i="1" s="1"/>
  <c r="K183" i="1"/>
  <c r="P183" i="1" s="1"/>
  <c r="K159" i="1"/>
  <c r="P159" i="1" s="1"/>
  <c r="K142" i="1"/>
  <c r="K134" i="1"/>
  <c r="K181" i="1"/>
  <c r="P181" i="1" s="1"/>
  <c r="K153" i="1"/>
  <c r="P153" i="1" s="1"/>
  <c r="K180" i="1"/>
  <c r="K185" i="1"/>
  <c r="K163" i="1"/>
  <c r="P163" i="1" s="1"/>
  <c r="K186" i="1"/>
  <c r="P186" i="1" s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207" i="1"/>
  <c r="P207" i="1" s="1"/>
  <c r="K199" i="1"/>
  <c r="P199" i="1" s="1"/>
  <c r="K191" i="1"/>
  <c r="P191" i="1" s="1"/>
  <c r="K168" i="1"/>
  <c r="P168" i="1" s="1"/>
  <c r="K160" i="1"/>
  <c r="P160" i="1" s="1"/>
  <c r="K152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73" i="1"/>
  <c r="K171" i="1"/>
  <c r="P171" i="1" s="1"/>
  <c r="K124" i="1"/>
  <c r="K108" i="1"/>
  <c r="K84" i="1"/>
  <c r="K68" i="1"/>
  <c r="K52" i="1"/>
  <c r="K36" i="1"/>
  <c r="K20" i="1"/>
  <c r="K203" i="1"/>
  <c r="P203" i="1" s="1"/>
  <c r="K164" i="1"/>
  <c r="K139" i="1"/>
  <c r="K123" i="1"/>
  <c r="K99" i="1"/>
  <c r="K67" i="1"/>
  <c r="K43" i="1"/>
  <c r="K27" i="1"/>
  <c r="K11" i="1"/>
  <c r="K194" i="1"/>
  <c r="P194" i="1" s="1"/>
  <c r="K177" i="1"/>
  <c r="K155" i="1"/>
  <c r="P155" i="1" s="1"/>
  <c r="K140" i="1"/>
  <c r="K132" i="1"/>
  <c r="K175" i="1"/>
  <c r="K147" i="1"/>
  <c r="P147" i="1" s="1"/>
  <c r="K178" i="1"/>
  <c r="P178" i="1" s="1"/>
  <c r="K179" i="1"/>
  <c r="K157" i="1"/>
  <c r="P157" i="1" s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66" i="1"/>
  <c r="P166" i="1" s="1"/>
  <c r="K158" i="1"/>
  <c r="K150" i="1"/>
  <c r="P150" i="1" s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38" i="1"/>
  <c r="K130" i="1"/>
  <c r="K167" i="1"/>
  <c r="P167" i="1" s="1"/>
  <c r="K184" i="1"/>
  <c r="K176" i="1"/>
  <c r="K151" i="1"/>
  <c r="P151" i="1" s="1"/>
  <c r="K116" i="1"/>
  <c r="K100" i="1"/>
  <c r="K76" i="1"/>
  <c r="K44" i="1"/>
  <c r="K12" i="1"/>
  <c r="K172" i="1"/>
  <c r="K148" i="1"/>
  <c r="K115" i="1"/>
  <c r="K91" i="1"/>
  <c r="K75" i="1"/>
  <c r="K51" i="1"/>
  <c r="K19" i="1"/>
  <c r="K202" i="1"/>
  <c r="P202" i="1" s="1"/>
  <c r="P146" i="1"/>
  <c r="P148" i="1"/>
  <c r="P152" i="1"/>
  <c r="P158" i="1"/>
  <c r="P164" i="1"/>
  <c r="P170" i="1"/>
  <c r="P172" i="1"/>
  <c r="P174" i="1"/>
  <c r="P176" i="1"/>
  <c r="P180" i="1"/>
  <c r="P184" i="1"/>
  <c r="P149" i="1"/>
  <c r="P173" i="1"/>
  <c r="P175" i="1"/>
  <c r="P169" i="1"/>
  <c r="P177" i="1"/>
  <c r="P185" i="1"/>
  <c r="P179" i="1"/>
  <c r="P187" i="1"/>
  <c r="L177" i="3" l="1"/>
  <c r="L195" i="3"/>
  <c r="L171" i="3"/>
  <c r="L151" i="3"/>
  <c r="L135" i="3"/>
  <c r="L119" i="3"/>
  <c r="L161" i="3"/>
  <c r="L125" i="3"/>
  <c r="L173" i="3"/>
  <c r="L167" i="3"/>
  <c r="L182" i="3"/>
  <c r="L166" i="3"/>
  <c r="L150" i="3"/>
  <c r="L134" i="3"/>
  <c r="L118" i="3"/>
  <c r="L102" i="3"/>
  <c r="L86" i="3"/>
  <c r="L70" i="3"/>
  <c r="L54" i="3"/>
  <c r="L38" i="3"/>
  <c r="L22" i="3"/>
  <c r="L6" i="3"/>
  <c r="L133" i="3"/>
  <c r="L105" i="3"/>
  <c r="L89" i="3"/>
  <c r="L73" i="3"/>
  <c r="L57" i="3"/>
  <c r="L41" i="3"/>
  <c r="L25" i="3"/>
  <c r="L9" i="3"/>
  <c r="L172" i="3"/>
  <c r="L152" i="3"/>
  <c r="L103" i="3"/>
  <c r="L87" i="3"/>
  <c r="L71" i="3"/>
  <c r="L55" i="3"/>
  <c r="L39" i="3"/>
  <c r="L23" i="3"/>
  <c r="L7" i="3"/>
  <c r="L164" i="3"/>
  <c r="L136" i="3"/>
  <c r="L120" i="3"/>
  <c r="L104" i="3"/>
  <c r="L88" i="3"/>
  <c r="L72" i="3"/>
  <c r="L56" i="3"/>
  <c r="L40" i="3"/>
  <c r="L24" i="3"/>
  <c r="L8" i="3"/>
  <c r="L198" i="3"/>
  <c r="L209" i="3"/>
  <c r="L216" i="3"/>
  <c r="L215" i="3"/>
  <c r="L214" i="3"/>
  <c r="L208" i="3"/>
  <c r="L196" i="3"/>
  <c r="L155" i="3"/>
  <c r="L183" i="3"/>
  <c r="L154" i="3"/>
  <c r="L106" i="3"/>
  <c r="L42" i="3"/>
  <c r="L10" i="3"/>
  <c r="L93" i="3"/>
  <c r="L45" i="3"/>
  <c r="L176" i="3"/>
  <c r="L91" i="3"/>
  <c r="L43" i="3"/>
  <c r="L11" i="3"/>
  <c r="L124" i="3"/>
  <c r="L60" i="3"/>
  <c r="L28" i="3"/>
  <c r="L213" i="3"/>
  <c r="L203" i="3"/>
  <c r="L200" i="3"/>
  <c r="L192" i="3"/>
  <c r="L187" i="3"/>
  <c r="L163" i="3"/>
  <c r="L147" i="3"/>
  <c r="L131" i="3"/>
  <c r="L185" i="3"/>
  <c r="L153" i="3"/>
  <c r="L121" i="3"/>
  <c r="L141" i="3"/>
  <c r="L194" i="3"/>
  <c r="L178" i="3"/>
  <c r="L162" i="3"/>
  <c r="L146" i="3"/>
  <c r="L130" i="3"/>
  <c r="L114" i="3"/>
  <c r="L98" i="3"/>
  <c r="L82" i="3"/>
  <c r="L66" i="3"/>
  <c r="L50" i="3"/>
  <c r="L34" i="3"/>
  <c r="L18" i="3"/>
  <c r="L181" i="3"/>
  <c r="L117" i="3"/>
  <c r="L101" i="3"/>
  <c r="L85" i="3"/>
  <c r="L69" i="3"/>
  <c r="L53" i="3"/>
  <c r="L37" i="3"/>
  <c r="L21" i="3"/>
  <c r="L5" i="3"/>
  <c r="L168" i="3"/>
  <c r="L115" i="3"/>
  <c r="L99" i="3"/>
  <c r="L83" i="3"/>
  <c r="L67" i="3"/>
  <c r="L51" i="3"/>
  <c r="L35" i="3"/>
  <c r="L19" i="3"/>
  <c r="L3" i="3"/>
  <c r="L148" i="3"/>
  <c r="L132" i="3"/>
  <c r="L116" i="3"/>
  <c r="L100" i="3"/>
  <c r="L84" i="3"/>
  <c r="L68" i="3"/>
  <c r="L52" i="3"/>
  <c r="L36" i="3"/>
  <c r="L20" i="3"/>
  <c r="L4" i="3"/>
  <c r="L221" i="3"/>
  <c r="L201" i="3"/>
  <c r="L212" i="3"/>
  <c r="L211" i="3"/>
  <c r="L210" i="3"/>
  <c r="L204" i="3"/>
  <c r="L199" i="3"/>
  <c r="L175" i="3"/>
  <c r="L129" i="3"/>
  <c r="L170" i="3"/>
  <c r="L122" i="3"/>
  <c r="L74" i="3"/>
  <c r="L26" i="3"/>
  <c r="L109" i="3"/>
  <c r="L61" i="3"/>
  <c r="L13" i="3"/>
  <c r="L107" i="3"/>
  <c r="L59" i="3"/>
  <c r="L180" i="3"/>
  <c r="L108" i="3"/>
  <c r="L76" i="3"/>
  <c r="L12" i="3"/>
  <c r="L220" i="3"/>
  <c r="L205" i="3"/>
  <c r="L188" i="3"/>
  <c r="L179" i="3"/>
  <c r="L159" i="3"/>
  <c r="L143" i="3"/>
  <c r="L127" i="3"/>
  <c r="L189" i="3"/>
  <c r="L145" i="3"/>
  <c r="L193" i="3"/>
  <c r="L191" i="3"/>
  <c r="L190" i="3"/>
  <c r="L174" i="3"/>
  <c r="L158" i="3"/>
  <c r="L142" i="3"/>
  <c r="L126" i="3"/>
  <c r="L110" i="3"/>
  <c r="L94" i="3"/>
  <c r="L78" i="3"/>
  <c r="L62" i="3"/>
  <c r="L46" i="3"/>
  <c r="L30" i="3"/>
  <c r="L14" i="3"/>
  <c r="L165" i="3"/>
  <c r="L113" i="3"/>
  <c r="L97" i="3"/>
  <c r="L81" i="3"/>
  <c r="L65" i="3"/>
  <c r="L49" i="3"/>
  <c r="L33" i="3"/>
  <c r="L17" i="3"/>
  <c r="L184" i="3"/>
  <c r="L160" i="3"/>
  <c r="L111" i="3"/>
  <c r="L95" i="3"/>
  <c r="L79" i="3"/>
  <c r="L63" i="3"/>
  <c r="L47" i="3"/>
  <c r="L31" i="3"/>
  <c r="L15" i="3"/>
  <c r="L2" i="3"/>
  <c r="L144" i="3"/>
  <c r="L128" i="3"/>
  <c r="L112" i="3"/>
  <c r="L96" i="3"/>
  <c r="L80" i="3"/>
  <c r="L64" i="3"/>
  <c r="L48" i="3"/>
  <c r="L32" i="3"/>
  <c r="L16" i="3"/>
  <c r="L218" i="3"/>
  <c r="L217" i="3"/>
  <c r="L197" i="3"/>
  <c r="L223" i="3"/>
  <c r="L207" i="3"/>
  <c r="L206" i="3"/>
  <c r="L202" i="3"/>
  <c r="L157" i="3"/>
  <c r="L139" i="3"/>
  <c r="L123" i="3"/>
  <c r="L169" i="3"/>
  <c r="L137" i="3"/>
  <c r="L186" i="3"/>
  <c r="L138" i="3"/>
  <c r="L90" i="3"/>
  <c r="L58" i="3"/>
  <c r="L149" i="3"/>
  <c r="L77" i="3"/>
  <c r="L29" i="3"/>
  <c r="L156" i="3"/>
  <c r="L75" i="3"/>
  <c r="L27" i="3"/>
  <c r="L140" i="3"/>
  <c r="L92" i="3"/>
  <c r="L44" i="3"/>
  <c r="L222" i="3"/>
  <c r="L219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<sst xmlns="http://schemas.openxmlformats.org/spreadsheetml/2006/main" count="40" uniqueCount="36">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</sst>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G1" zoomScaleNormal="100" workbookViewId="0">
      <selection activeCell="N6" sqref="N6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-0.63371999999999995</v>
      </c>
      <c r="AC3" t="s">
        <v>30</v>
      </c>
    </row>
    <row r="4" spans="1:29" x14ac:dyDescent="0.3">
      <c r="A4">
        <v>2.0942949999999998E-2</v>
      </c>
      <c r="B4">
        <v>0.78964999999999996</v>
      </c>
      <c r="C4">
        <f>A4*B4</f>
        <v>1.6537600467499997E-2</v>
      </c>
      <c r="D4">
        <v>1.6E-2</v>
      </c>
      <c r="E4">
        <v>9.1900000000000003E-3</v>
      </c>
      <c r="F4">
        <f>A4*200</f>
        <v>4.1885899999999996</v>
      </c>
      <c r="G4">
        <f>-B4</f>
        <v>-0.78964999999999996</v>
      </c>
      <c r="H4">
        <f t="shared" ref="H4" si="0">-C4*200</f>
        <v>-3.3075200934999991</v>
      </c>
      <c r="I4">
        <v>1</v>
      </c>
      <c r="J4">
        <f>LN(F4/1000)</f>
        <v>-5.4753911171952687</v>
      </c>
      <c r="K4">
        <f>((-G4)-$N$2)</f>
        <v>-0.39026057297601202</v>
      </c>
      <c r="L4">
        <v>1</v>
      </c>
      <c r="M4">
        <f>-1*($S$4+($S$5*J4))</f>
        <v>0.21608614815118804</v>
      </c>
      <c r="N4">
        <f>D4*A4</f>
        <v>3.3508719999999999E-4</v>
      </c>
      <c r="O4">
        <f>E4*A4</f>
        <v>1.9246571049999999E-4</v>
      </c>
      <c r="P4">
        <f>-K4-M4-N4-O4</f>
        <v>0.17364687191432399</v>
      </c>
      <c r="R4" s="2" t="s">
        <v>16</v>
      </c>
      <c r="S4">
        <v>-0.48</v>
      </c>
      <c r="V4">
        <v>-6</v>
      </c>
      <c r="W4">
        <f>V4*$S$5+$S$4</f>
        <v>-0.19079999999999997</v>
      </c>
      <c r="Y4">
        <v>0</v>
      </c>
      <c r="Z4">
        <f>$AB$4*Y4+$AB$3</f>
        <v>-0.63371999999999995</v>
      </c>
      <c r="AB4">
        <v>18.104559999999999</v>
      </c>
      <c r="AC4" t="s">
        <v>31</v>
      </c>
    </row>
    <row r="5" spans="1:29" x14ac:dyDescent="0.3">
      <c r="A5">
        <v>6.5994650000000002E-2</v>
      </c>
      <c r="B5">
        <v>0.78830999999999996</v>
      </c>
      <c r="C5">
        <f>A5*B5</f>
        <v>5.2024242541499996E-2</v>
      </c>
      <c r="D5">
        <v>1.6E-2</v>
      </c>
      <c r="E5">
        <v>9.1900000000000003E-3</v>
      </c>
      <c r="F5">
        <f>A5*200</f>
        <v>13.198930000000001</v>
      </c>
      <c r="G5">
        <f t="shared" ref="G5:G68" si="1">-B5</f>
        <v>-0.78830999999999996</v>
      </c>
      <c r="H5">
        <f t="shared" ref="H5:H68" si="2">-C5*200</f>
        <v>-10.404848508299999</v>
      </c>
      <c r="I5">
        <v>1</v>
      </c>
      <c r="J5">
        <f t="shared" ref="J5:J68" si="3">LN(F5/1000)</f>
        <v>-4.3276195132814612</v>
      </c>
      <c r="K5">
        <f t="shared" ref="K5:K68" si="4">((-G5)-$N$2)</f>
        <v>-0.39160057297601203</v>
      </c>
      <c r="L5">
        <v>1</v>
      </c>
      <c r="M5">
        <f t="shared" ref="M5:M68" si="5">-1*($S$4+($S$5*J5))</f>
        <v>0.27140873945983357</v>
      </c>
      <c r="N5">
        <f>D5*A5</f>
        <v>1.0559143999999999E-3</v>
      </c>
      <c r="O5">
        <f>E5*A5</f>
        <v>6.0649083350000003E-4</v>
      </c>
      <c r="P5">
        <f>-K5-M5-N5-O5</f>
        <v>0.11852942828267846</v>
      </c>
      <c r="R5" s="2" t="s">
        <v>17</v>
      </c>
      <c r="S5">
        <v>-4.82E-2</v>
      </c>
      <c r="V5">
        <v>-5.9</v>
      </c>
      <c r="W5">
        <f t="shared" ref="W5:W68" si="6">V5*$S$5+$S$4</f>
        <v>-0.19561999999999996</v>
      </c>
      <c r="Y5">
        <v>0.01</v>
      </c>
      <c r="Z5">
        <f t="shared" ref="Z5:Z31" si="7">$AB$4*Y5+$AB$3</f>
        <v>-0.45267439999999992</v>
      </c>
    </row>
    <row r="6" spans="1:29" x14ac:dyDescent="0.3">
      <c r="A6">
        <v>0.11148370000000001</v>
      </c>
      <c r="B6">
        <v>0.77803999999999995</v>
      </c>
      <c r="C6">
        <f t="shared" ref="C5:C68" si="8">A6*B6</f>
        <v>8.6738777948000001E-2</v>
      </c>
      <c r="D6">
        <v>1.6E-2</v>
      </c>
      <c r="E6">
        <v>9.1900000000000003E-3</v>
      </c>
      <c r="F6">
        <f t="shared" ref="F5:F68" si="9">A6*200</f>
        <v>22.29674</v>
      </c>
      <c r="G6">
        <f t="shared" si="1"/>
        <v>-0.77803999999999995</v>
      </c>
      <c r="H6">
        <f t="shared" si="2"/>
        <v>-17.347755589599998</v>
      </c>
      <c r="I6">
        <v>1</v>
      </c>
      <c r="J6">
        <f t="shared" si="3"/>
        <v>-3.8033147995434282</v>
      </c>
      <c r="K6">
        <f t="shared" si="4"/>
        <v>-0.40187057297601203</v>
      </c>
      <c r="L6">
        <v>1</v>
      </c>
      <c r="M6">
        <f t="shared" si="5"/>
        <v>0.29668022666200677</v>
      </c>
      <c r="N6">
        <f t="shared" ref="N5:N6" si="10">D6*A6</f>
        <v>1.7837392000000002E-3</v>
      </c>
      <c r="O6">
        <f t="shared" ref="O6:O69" si="11">E6*A6</f>
        <v>1.0245352030000001E-3</v>
      </c>
      <c r="P6">
        <f t="shared" ref="P6:P69" si="12">-K6-M6-N6-O6</f>
        <v>0.10238207191100526</v>
      </c>
      <c r="V6">
        <v>-5.8</v>
      </c>
      <c r="W6">
        <f t="shared" si="6"/>
        <v>-0.20044000000000001</v>
      </c>
      <c r="Y6">
        <v>0.02</v>
      </c>
      <c r="Z6">
        <f t="shared" si="7"/>
        <v>-0.27162879999999995</v>
      </c>
      <c r="AB6" t="s">
        <v>32</v>
      </c>
    </row>
    <row r="7" spans="1:29" x14ac:dyDescent="0.3">
      <c r="A7">
        <v>0.1547858</v>
      </c>
      <c r="B7">
        <v>0.76985000000000003</v>
      </c>
      <c r="C7">
        <f t="shared" si="8"/>
        <v>0.11916184813000001</v>
      </c>
      <c r="D7">
        <v>1.6E-2</v>
      </c>
      <c r="E7">
        <v>9.1900000000000003E-3</v>
      </c>
      <c r="F7">
        <f t="shared" si="9"/>
        <v>30.957160000000002</v>
      </c>
      <c r="G7">
        <f t="shared" si="1"/>
        <v>-0.76985000000000003</v>
      </c>
      <c r="H7">
        <f t="shared" si="2"/>
        <v>-23.832369626000002</v>
      </c>
      <c r="I7">
        <v>1</v>
      </c>
      <c r="J7">
        <f t="shared" si="3"/>
        <v>-3.4751509657343305</v>
      </c>
      <c r="K7">
        <f t="shared" si="4"/>
        <v>-0.41006057297601195</v>
      </c>
      <c r="L7">
        <v>1</v>
      </c>
      <c r="M7">
        <f t="shared" si="5"/>
        <v>0.31249772345160526</v>
      </c>
      <c r="N7">
        <f t="shared" ref="N7:N70" si="13">D7*A7</f>
        <v>2.4765728000000001E-3</v>
      </c>
      <c r="O7">
        <f t="shared" si="11"/>
        <v>1.4224815020000001E-3</v>
      </c>
      <c r="P7">
        <f t="shared" si="12"/>
        <v>9.3663795222406698E-2</v>
      </c>
      <c r="V7">
        <v>-5.7</v>
      </c>
      <c r="W7">
        <f t="shared" si="6"/>
        <v>-0.20526</v>
      </c>
      <c r="Y7">
        <v>0.03</v>
      </c>
      <c r="Z7">
        <f t="shared" si="7"/>
        <v>-9.0583199999999975E-2</v>
      </c>
      <c r="AB7" t="s">
        <v>33</v>
      </c>
      <c r="AC7">
        <f>-AB3/AB4</f>
        <v>3.5003336176079397E-2</v>
      </c>
    </row>
    <row r="8" spans="1:29" x14ac:dyDescent="0.3">
      <c r="A8">
        <v>0.19808789999999998</v>
      </c>
      <c r="B8">
        <v>0.76053000000000004</v>
      </c>
      <c r="C8">
        <f t="shared" si="8"/>
        <v>0.15065179058699998</v>
      </c>
      <c r="D8">
        <v>1.6E-2</v>
      </c>
      <c r="E8">
        <v>9.1900000000000003E-3</v>
      </c>
      <c r="F8">
        <f t="shared" si="9"/>
        <v>39.617579999999997</v>
      </c>
      <c r="G8">
        <f t="shared" si="1"/>
        <v>-0.76053000000000004</v>
      </c>
      <c r="H8">
        <f t="shared" si="2"/>
        <v>-30.130358117399997</v>
      </c>
      <c r="I8">
        <v>1</v>
      </c>
      <c r="J8">
        <f t="shared" si="3"/>
        <v>-3.228482319839701</v>
      </c>
      <c r="K8">
        <f t="shared" si="4"/>
        <v>-0.41938057297601194</v>
      </c>
      <c r="L8">
        <v>1</v>
      </c>
      <c r="M8">
        <f t="shared" si="5"/>
        <v>0.32438715218372638</v>
      </c>
      <c r="N8">
        <f t="shared" si="13"/>
        <v>3.1694063999999997E-3</v>
      </c>
      <c r="O8">
        <f t="shared" si="11"/>
        <v>1.8204278009999999E-3</v>
      </c>
      <c r="P8">
        <f t="shared" si="12"/>
        <v>9.0003586591285559E-2</v>
      </c>
      <c r="V8">
        <v>-5.6</v>
      </c>
      <c r="W8">
        <f t="shared" si="6"/>
        <v>-0.21007999999999999</v>
      </c>
      <c r="Y8">
        <v>0.04</v>
      </c>
      <c r="Z8">
        <f t="shared" si="7"/>
        <v>9.0462400000000054E-2</v>
      </c>
    </row>
    <row r="9" spans="1:29" x14ac:dyDescent="0.3">
      <c r="A9">
        <v>0.24139005000000002</v>
      </c>
      <c r="B9">
        <v>0.75297000000000003</v>
      </c>
      <c r="C9">
        <f t="shared" si="8"/>
        <v>0.18175946594850004</v>
      </c>
      <c r="D9">
        <v>1.6E-2</v>
      </c>
      <c r="E9">
        <v>9.1900000000000003E-3</v>
      </c>
      <c r="F9">
        <f t="shared" si="9"/>
        <v>48.278010000000002</v>
      </c>
      <c r="G9">
        <f t="shared" si="1"/>
        <v>-0.75297000000000003</v>
      </c>
      <c r="H9">
        <f t="shared" si="2"/>
        <v>-36.351893189700007</v>
      </c>
      <c r="I9">
        <v>1</v>
      </c>
      <c r="J9">
        <f t="shared" si="3"/>
        <v>-3.0307791014978962</v>
      </c>
      <c r="K9">
        <f t="shared" si="4"/>
        <v>-0.42694057297601196</v>
      </c>
      <c r="L9">
        <v>1</v>
      </c>
      <c r="M9">
        <f t="shared" si="5"/>
        <v>0.33391644730780135</v>
      </c>
      <c r="N9">
        <f t="shared" si="13"/>
        <v>3.8622408000000006E-3</v>
      </c>
      <c r="O9">
        <f t="shared" si="11"/>
        <v>2.2183745595000001E-3</v>
      </c>
      <c r="P9">
        <f t="shared" si="12"/>
        <v>8.6943510308710614E-2</v>
      </c>
      <c r="V9">
        <v>-5.5</v>
      </c>
      <c r="W9">
        <f t="shared" si="6"/>
        <v>-0.21489999999999998</v>
      </c>
      <c r="Y9">
        <v>0.05</v>
      </c>
      <c r="Z9">
        <f t="shared" si="7"/>
        <v>0.27150800000000008</v>
      </c>
      <c r="AB9" t="s">
        <v>35</v>
      </c>
      <c r="AC9">
        <v>3.1940000000000003E-2</v>
      </c>
    </row>
    <row r="10" spans="1:29" x14ac:dyDescent="0.3">
      <c r="A10">
        <v>0.28556690000000001</v>
      </c>
      <c r="B10">
        <v>0.74653000000000003</v>
      </c>
      <c r="C10">
        <f t="shared" si="8"/>
        <v>0.21318425785700001</v>
      </c>
      <c r="D10">
        <v>1.6E-2</v>
      </c>
      <c r="E10">
        <v>9.1900000000000003E-3</v>
      </c>
      <c r="F10">
        <f t="shared" si="9"/>
        <v>57.113379999999999</v>
      </c>
      <c r="G10">
        <f t="shared" si="1"/>
        <v>-0.74653000000000003</v>
      </c>
      <c r="H10">
        <f t="shared" si="2"/>
        <v>-42.636851571400001</v>
      </c>
      <c r="I10">
        <v>1</v>
      </c>
      <c r="J10">
        <f t="shared" si="3"/>
        <v>-2.8627168640258533</v>
      </c>
      <c r="K10">
        <f t="shared" si="4"/>
        <v>-0.43338057297601196</v>
      </c>
      <c r="L10">
        <v>1</v>
      </c>
      <c r="M10">
        <f t="shared" si="5"/>
        <v>0.34201704715395387</v>
      </c>
      <c r="N10">
        <f t="shared" si="13"/>
        <v>4.5690703999999999E-3</v>
      </c>
      <c r="O10">
        <f t="shared" si="11"/>
        <v>2.6243598110000004E-3</v>
      </c>
      <c r="P10">
        <f t="shared" si="12"/>
        <v>8.4170095611058093E-2</v>
      </c>
      <c r="V10">
        <v>-5.4</v>
      </c>
      <c r="W10">
        <f t="shared" si="6"/>
        <v>-0.21971999999999997</v>
      </c>
      <c r="Y10">
        <v>0.06</v>
      </c>
      <c r="Z10">
        <f t="shared" si="7"/>
        <v>0.4525536</v>
      </c>
    </row>
    <row r="11" spans="1:29" x14ac:dyDescent="0.3">
      <c r="A11">
        <v>0.33105600000000002</v>
      </c>
      <c r="B11">
        <v>0.73914000000000002</v>
      </c>
      <c r="C11">
        <f t="shared" si="8"/>
        <v>0.24469673184000001</v>
      </c>
      <c r="D11">
        <v>1.6E-2</v>
      </c>
      <c r="E11">
        <v>9.1900000000000003E-3</v>
      </c>
      <c r="F11">
        <f t="shared" si="9"/>
        <v>66.211200000000005</v>
      </c>
      <c r="G11">
        <f t="shared" si="1"/>
        <v>-0.73914000000000002</v>
      </c>
      <c r="H11">
        <f t="shared" si="2"/>
        <v>-48.939346368000002</v>
      </c>
      <c r="I11">
        <v>1</v>
      </c>
      <c r="J11">
        <f t="shared" si="3"/>
        <v>-2.7149056460591923</v>
      </c>
      <c r="K11">
        <f t="shared" si="4"/>
        <v>-0.44077057297601197</v>
      </c>
      <c r="L11">
        <v>1</v>
      </c>
      <c r="M11">
        <f t="shared" si="5"/>
        <v>0.34914154785994689</v>
      </c>
      <c r="N11">
        <f t="shared" si="13"/>
        <v>5.2968960000000006E-3</v>
      </c>
      <c r="O11">
        <f t="shared" si="11"/>
        <v>3.0424046400000003E-3</v>
      </c>
      <c r="P11">
        <f t="shared" si="12"/>
        <v>8.3289724476065086E-2</v>
      </c>
      <c r="V11">
        <v>-5.3</v>
      </c>
      <c r="W11">
        <f t="shared" si="6"/>
        <v>-0.22454000000000002</v>
      </c>
      <c r="Y11">
        <v>7.0000000000000007E-2</v>
      </c>
      <c r="Z11">
        <f t="shared" si="7"/>
        <v>0.63359920000000003</v>
      </c>
      <c r="AB11" t="s">
        <v>34</v>
      </c>
      <c r="AC11">
        <f>AC7-AC9</f>
        <v>3.063336176079394E-3</v>
      </c>
    </row>
    <row r="12" spans="1:29" x14ac:dyDescent="0.3">
      <c r="A12">
        <v>0.37610765000000002</v>
      </c>
      <c r="B12">
        <v>0.73290999999999995</v>
      </c>
      <c r="C12">
        <f t="shared" si="8"/>
        <v>0.27565305776150001</v>
      </c>
      <c r="D12">
        <v>1.6E-2</v>
      </c>
      <c r="E12">
        <v>9.1900000000000003E-3</v>
      </c>
      <c r="F12">
        <f t="shared" si="9"/>
        <v>75.221530000000001</v>
      </c>
      <c r="G12">
        <f t="shared" si="1"/>
        <v>-0.73290999999999995</v>
      </c>
      <c r="H12">
        <f t="shared" si="2"/>
        <v>-55.130611552300003</v>
      </c>
      <c r="I12">
        <v>1</v>
      </c>
      <c r="J12">
        <f t="shared" si="3"/>
        <v>-2.5873177858117913</v>
      </c>
      <c r="K12">
        <f t="shared" si="4"/>
        <v>-0.44700057297601203</v>
      </c>
      <c r="L12">
        <v>1</v>
      </c>
      <c r="M12">
        <f t="shared" si="5"/>
        <v>0.35529128272387167</v>
      </c>
      <c r="N12">
        <f t="shared" si="13"/>
        <v>6.0177224000000007E-3</v>
      </c>
      <c r="O12">
        <f t="shared" si="11"/>
        <v>3.4564293035000003E-3</v>
      </c>
      <c r="P12">
        <f t="shared" si="12"/>
        <v>8.2235138548640369E-2</v>
      </c>
      <c r="V12">
        <v>-5.2</v>
      </c>
      <c r="W12">
        <f t="shared" si="6"/>
        <v>-0.22935999999999995</v>
      </c>
      <c r="Y12">
        <v>0.08</v>
      </c>
      <c r="Z12">
        <f t="shared" si="7"/>
        <v>0.81464480000000006</v>
      </c>
      <c r="AC12">
        <f>AC11*3</f>
        <v>9.1900085282381819E-3</v>
      </c>
    </row>
    <row r="13" spans="1:29" x14ac:dyDescent="0.3">
      <c r="A13">
        <v>0.41984720000000003</v>
      </c>
      <c r="B13">
        <v>0.72652000000000005</v>
      </c>
      <c r="C13">
        <f t="shared" si="8"/>
        <v>0.30502738774400007</v>
      </c>
      <c r="D13">
        <v>1.6E-2</v>
      </c>
      <c r="E13">
        <v>9.1900000000000003E-3</v>
      </c>
      <c r="F13">
        <f t="shared" si="9"/>
        <v>83.969440000000006</v>
      </c>
      <c r="G13">
        <f t="shared" si="1"/>
        <v>-0.72652000000000005</v>
      </c>
      <c r="H13">
        <f t="shared" si="2"/>
        <v>-61.005477548800016</v>
      </c>
      <c r="I13">
        <v>1</v>
      </c>
      <c r="J13">
        <f t="shared" si="3"/>
        <v>-2.4773023558573732</v>
      </c>
      <c r="K13">
        <f t="shared" si="4"/>
        <v>-0.45339057297601193</v>
      </c>
      <c r="L13">
        <v>1</v>
      </c>
      <c r="M13">
        <f t="shared" si="5"/>
        <v>0.36059402644767458</v>
      </c>
      <c r="N13">
        <f t="shared" si="13"/>
        <v>6.717555200000001E-3</v>
      </c>
      <c r="O13">
        <f t="shared" si="11"/>
        <v>3.8583957680000005E-3</v>
      </c>
      <c r="P13">
        <f t="shared" si="12"/>
        <v>8.2220595560337353E-2</v>
      </c>
      <c r="V13">
        <v>-5.0999999999999996</v>
      </c>
      <c r="W13">
        <f t="shared" si="6"/>
        <v>-0.23418</v>
      </c>
      <c r="Y13">
        <v>0.09</v>
      </c>
      <c r="Z13">
        <f t="shared" si="7"/>
        <v>0.99569039999999986</v>
      </c>
    </row>
    <row r="14" spans="1:29" x14ac:dyDescent="0.3">
      <c r="A14">
        <v>0.46402410000000005</v>
      </c>
      <c r="B14">
        <v>0.72014</v>
      </c>
      <c r="C14">
        <f t="shared" si="8"/>
        <v>0.33416231537400004</v>
      </c>
      <c r="D14">
        <v>1.6E-2</v>
      </c>
      <c r="E14">
        <v>9.1900000000000003E-3</v>
      </c>
      <c r="F14">
        <f t="shared" si="9"/>
        <v>92.804820000000007</v>
      </c>
      <c r="G14">
        <f t="shared" si="1"/>
        <v>-0.72014</v>
      </c>
      <c r="H14">
        <f t="shared" si="2"/>
        <v>-66.832463074800003</v>
      </c>
      <c r="I14">
        <v>1</v>
      </c>
      <c r="J14">
        <f t="shared" si="3"/>
        <v>-2.3772567008836267</v>
      </c>
      <c r="K14">
        <f t="shared" si="4"/>
        <v>-0.45977057297601198</v>
      </c>
      <c r="L14">
        <v>1</v>
      </c>
      <c r="M14">
        <f t="shared" si="5"/>
        <v>0.36541622701740917</v>
      </c>
      <c r="N14">
        <f t="shared" si="13"/>
        <v>7.4243856000000006E-3</v>
      </c>
      <c r="O14">
        <f t="shared" si="11"/>
        <v>4.2643814790000005E-3</v>
      </c>
      <c r="P14">
        <f t="shared" si="12"/>
        <v>8.2665578879602811E-2</v>
      </c>
      <c r="V14">
        <v>-5</v>
      </c>
      <c r="W14">
        <f t="shared" si="6"/>
        <v>-0.23899999999999999</v>
      </c>
      <c r="Y14">
        <v>0.1</v>
      </c>
      <c r="Z14">
        <f t="shared" si="7"/>
        <v>1.176736</v>
      </c>
    </row>
    <row r="15" spans="1:29" x14ac:dyDescent="0.3">
      <c r="A15">
        <v>0.50732619999999995</v>
      </c>
      <c r="B15">
        <v>0.71433000000000002</v>
      </c>
      <c r="C15">
        <f t="shared" si="8"/>
        <v>0.36239832444599995</v>
      </c>
      <c r="D15">
        <v>1.6E-2</v>
      </c>
      <c r="E15">
        <v>9.1900000000000003E-3</v>
      </c>
      <c r="F15">
        <f t="shared" si="9"/>
        <v>101.46523999999999</v>
      </c>
      <c r="G15">
        <f t="shared" si="1"/>
        <v>-0.71433000000000002</v>
      </c>
      <c r="H15">
        <f t="shared" si="2"/>
        <v>-72.479664889199995</v>
      </c>
      <c r="I15">
        <v>1</v>
      </c>
      <c r="J15">
        <f t="shared" si="3"/>
        <v>-2.2880390022083454</v>
      </c>
      <c r="K15">
        <f t="shared" si="4"/>
        <v>-0.46558057297601196</v>
      </c>
      <c r="L15">
        <v>1</v>
      </c>
      <c r="M15">
        <f t="shared" si="5"/>
        <v>0.36971652009355771</v>
      </c>
      <c r="N15">
        <f t="shared" si="13"/>
        <v>8.1172191999999994E-3</v>
      </c>
      <c r="O15">
        <f t="shared" si="11"/>
        <v>4.6623277779999995E-3</v>
      </c>
      <c r="P15">
        <f t="shared" si="12"/>
        <v>8.3084505904454251E-2</v>
      </c>
      <c r="V15">
        <v>-4.9000000000000004</v>
      </c>
      <c r="W15">
        <f t="shared" si="6"/>
        <v>-0.24381999999999995</v>
      </c>
      <c r="Y15">
        <v>0.11</v>
      </c>
      <c r="Z15">
        <f t="shared" si="7"/>
        <v>1.3577816</v>
      </c>
    </row>
    <row r="16" spans="1:29" x14ac:dyDescent="0.3">
      <c r="A16">
        <v>0.55281519999999995</v>
      </c>
      <c r="B16">
        <v>0.70903000000000005</v>
      </c>
      <c r="C16">
        <f t="shared" si="8"/>
        <v>0.39196256125599999</v>
      </c>
      <c r="D16">
        <v>1.6E-2</v>
      </c>
      <c r="E16">
        <v>9.1900000000000003E-3</v>
      </c>
      <c r="F16">
        <f t="shared" si="9"/>
        <v>110.56303999999999</v>
      </c>
      <c r="G16">
        <f t="shared" si="1"/>
        <v>-0.70903000000000005</v>
      </c>
      <c r="H16">
        <f t="shared" si="2"/>
        <v>-78.392512251200003</v>
      </c>
      <c r="I16">
        <v>1</v>
      </c>
      <c r="J16">
        <f t="shared" si="3"/>
        <v>-2.202169422958741</v>
      </c>
      <c r="K16">
        <f t="shared" si="4"/>
        <v>-0.47088057297601194</v>
      </c>
      <c r="L16">
        <v>1</v>
      </c>
      <c r="M16">
        <f t="shared" si="5"/>
        <v>0.37385543381338865</v>
      </c>
      <c r="N16">
        <f t="shared" si="13"/>
        <v>8.8450431999999996E-3</v>
      </c>
      <c r="O16">
        <f t="shared" si="11"/>
        <v>5.080371688E-3</v>
      </c>
      <c r="P16">
        <f t="shared" si="12"/>
        <v>8.3099724274623282E-2</v>
      </c>
      <c r="V16">
        <v>-4.8</v>
      </c>
      <c r="W16">
        <f t="shared" si="6"/>
        <v>-0.24864</v>
      </c>
      <c r="Y16">
        <v>0.12</v>
      </c>
      <c r="Z16">
        <f t="shared" si="7"/>
        <v>1.5388272000000001</v>
      </c>
    </row>
    <row r="17" spans="1:26" x14ac:dyDescent="0.3">
      <c r="A17">
        <v>0.59699210000000003</v>
      </c>
      <c r="B17">
        <v>0.70330999999999999</v>
      </c>
      <c r="C17">
        <f t="shared" si="8"/>
        <v>0.41987051385099999</v>
      </c>
      <c r="D17">
        <v>1.6E-2</v>
      </c>
      <c r="E17">
        <v>9.1900000000000003E-3</v>
      </c>
      <c r="F17">
        <f t="shared" si="9"/>
        <v>119.39842</v>
      </c>
      <c r="G17">
        <f t="shared" si="1"/>
        <v>-0.70330999999999999</v>
      </c>
      <c r="H17">
        <f t="shared" si="2"/>
        <v>-83.974102770200005</v>
      </c>
      <c r="I17">
        <v>1</v>
      </c>
      <c r="J17">
        <f t="shared" si="3"/>
        <v>-2.1252893109420108</v>
      </c>
      <c r="K17">
        <f t="shared" si="4"/>
        <v>-0.47660057297601199</v>
      </c>
      <c r="L17">
        <v>1</v>
      </c>
      <c r="M17">
        <f t="shared" si="5"/>
        <v>0.37756105521259509</v>
      </c>
      <c r="N17">
        <f t="shared" si="13"/>
        <v>9.5518736E-3</v>
      </c>
      <c r="O17">
        <f t="shared" si="11"/>
        <v>5.4863573990000004E-3</v>
      </c>
      <c r="P17">
        <f t="shared" si="12"/>
        <v>8.4001286764416913E-2</v>
      </c>
      <c r="V17">
        <v>-4.7</v>
      </c>
      <c r="W17">
        <f t="shared" si="6"/>
        <v>-0.25345999999999996</v>
      </c>
      <c r="Y17">
        <v>0.13</v>
      </c>
      <c r="Z17">
        <f t="shared" si="7"/>
        <v>1.7198728000000001</v>
      </c>
    </row>
    <row r="18" spans="1:26" x14ac:dyDescent="0.3">
      <c r="A18">
        <v>0.64073164999999999</v>
      </c>
      <c r="B18">
        <v>0.69789000000000001</v>
      </c>
      <c r="C18">
        <f t="shared" si="8"/>
        <v>0.44716021121849997</v>
      </c>
      <c r="D18">
        <v>1.6E-2</v>
      </c>
      <c r="E18">
        <v>9.1900000000000003E-3</v>
      </c>
      <c r="F18">
        <f t="shared" si="9"/>
        <v>128.14633000000001</v>
      </c>
      <c r="G18">
        <f t="shared" si="1"/>
        <v>-0.69789000000000001</v>
      </c>
      <c r="H18">
        <f t="shared" si="2"/>
        <v>-89.432042243699996</v>
      </c>
      <c r="I18">
        <v>1</v>
      </c>
      <c r="J18">
        <f t="shared" si="3"/>
        <v>-2.0545824648966167</v>
      </c>
      <c r="K18">
        <f t="shared" si="4"/>
        <v>-0.48202057297601197</v>
      </c>
      <c r="L18">
        <v>1</v>
      </c>
      <c r="M18">
        <f t="shared" si="5"/>
        <v>0.38096912519198306</v>
      </c>
      <c r="N18">
        <f t="shared" si="13"/>
        <v>1.0251706399999999E-2</v>
      </c>
      <c r="O18">
        <f t="shared" si="11"/>
        <v>5.8883238634999998E-3</v>
      </c>
      <c r="P18">
        <f t="shared" si="12"/>
        <v>8.4911417520528915E-2</v>
      </c>
      <c r="V18">
        <v>-4.5999999999999996</v>
      </c>
      <c r="W18">
        <f t="shared" si="6"/>
        <v>-0.25828000000000001</v>
      </c>
      <c r="Y18">
        <v>0.14000000000000001</v>
      </c>
      <c r="Z18">
        <f t="shared" si="7"/>
        <v>1.9009184000000001</v>
      </c>
    </row>
    <row r="19" spans="1:26" x14ac:dyDescent="0.3">
      <c r="A19">
        <v>0.68578325000000007</v>
      </c>
      <c r="B19">
        <v>0.69303000000000003</v>
      </c>
      <c r="C19">
        <f t="shared" si="8"/>
        <v>0.47526836574750009</v>
      </c>
      <c r="D19">
        <v>1.6E-2</v>
      </c>
      <c r="E19">
        <v>9.1900000000000003E-3</v>
      </c>
      <c r="F19">
        <f t="shared" si="9"/>
        <v>137.15665000000001</v>
      </c>
      <c r="G19">
        <f t="shared" si="1"/>
        <v>-0.69303000000000003</v>
      </c>
      <c r="H19">
        <f t="shared" si="2"/>
        <v>-95.053673149500014</v>
      </c>
      <c r="I19">
        <v>1</v>
      </c>
      <c r="J19">
        <f t="shared" si="3"/>
        <v>-1.9866315757160184</v>
      </c>
      <c r="K19">
        <f t="shared" si="4"/>
        <v>-0.48688057297601195</v>
      </c>
      <c r="L19">
        <v>1</v>
      </c>
      <c r="M19">
        <f t="shared" si="5"/>
        <v>0.3842443580504879</v>
      </c>
      <c r="N19">
        <f t="shared" si="13"/>
        <v>1.0972532000000002E-2</v>
      </c>
      <c r="O19">
        <f t="shared" si="11"/>
        <v>6.3023480675000005E-3</v>
      </c>
      <c r="P19">
        <f t="shared" si="12"/>
        <v>8.5361334858024038E-2</v>
      </c>
      <c r="V19">
        <v>-4.5000000000000098</v>
      </c>
      <c r="W19">
        <f t="shared" si="6"/>
        <v>-0.2630999999999995</v>
      </c>
      <c r="Y19">
        <v>0.15</v>
      </c>
      <c r="Z19">
        <f t="shared" si="7"/>
        <v>2.0819640000000001</v>
      </c>
    </row>
    <row r="20" spans="1:26" x14ac:dyDescent="0.3">
      <c r="A20">
        <v>0.72996020000000006</v>
      </c>
      <c r="B20">
        <v>0.68764000000000003</v>
      </c>
      <c r="C20">
        <f t="shared" si="8"/>
        <v>0.50194983192800002</v>
      </c>
      <c r="D20">
        <v>1.6E-2</v>
      </c>
      <c r="E20">
        <v>9.1900000000000003E-3</v>
      </c>
      <c r="F20">
        <f t="shared" si="9"/>
        <v>145.99204</v>
      </c>
      <c r="G20">
        <f t="shared" si="1"/>
        <v>-0.68764000000000003</v>
      </c>
      <c r="H20">
        <f t="shared" si="2"/>
        <v>-100.3899663856</v>
      </c>
      <c r="I20">
        <v>1</v>
      </c>
      <c r="J20">
        <f t="shared" si="3"/>
        <v>-1.924203179308045</v>
      </c>
      <c r="K20">
        <f t="shared" si="4"/>
        <v>-0.49227057297601196</v>
      </c>
      <c r="L20">
        <v>1</v>
      </c>
      <c r="M20">
        <f t="shared" si="5"/>
        <v>0.3872534067573522</v>
      </c>
      <c r="N20">
        <f t="shared" si="13"/>
        <v>1.1679363200000001E-2</v>
      </c>
      <c r="O20">
        <f t="shared" si="11"/>
        <v>6.7083342380000006E-3</v>
      </c>
      <c r="P20">
        <f t="shared" si="12"/>
        <v>8.6629468780659746E-2</v>
      </c>
      <c r="V20">
        <v>-4.4000000000000101</v>
      </c>
      <c r="W20">
        <f t="shared" si="6"/>
        <v>-0.26791999999999949</v>
      </c>
      <c r="Y20">
        <v>0.16</v>
      </c>
      <c r="Z20">
        <f t="shared" si="7"/>
        <v>2.2630096000000002</v>
      </c>
    </row>
    <row r="21" spans="1:26" x14ac:dyDescent="0.3">
      <c r="A21">
        <v>0.77544920000000006</v>
      </c>
      <c r="B21">
        <v>0.68215999999999999</v>
      </c>
      <c r="C21">
        <f t="shared" si="8"/>
        <v>0.52898042627200004</v>
      </c>
      <c r="D21">
        <v>1.6E-2</v>
      </c>
      <c r="E21">
        <v>9.1900000000000003E-3</v>
      </c>
      <c r="F21">
        <f t="shared" si="9"/>
        <v>155.08984000000001</v>
      </c>
      <c r="G21">
        <f t="shared" si="1"/>
        <v>-0.68215999999999999</v>
      </c>
      <c r="H21">
        <f t="shared" si="2"/>
        <v>-105.79608525440001</v>
      </c>
      <c r="I21">
        <v>1</v>
      </c>
      <c r="J21">
        <f t="shared" si="3"/>
        <v>-1.8637507170703445</v>
      </c>
      <c r="K21">
        <f t="shared" si="4"/>
        <v>-0.497750572976012</v>
      </c>
      <c r="L21">
        <v>1</v>
      </c>
      <c r="M21">
        <f t="shared" si="5"/>
        <v>0.39016721543720939</v>
      </c>
      <c r="N21">
        <f t="shared" si="13"/>
        <v>1.2407187200000001E-2</v>
      </c>
      <c r="O21">
        <f t="shared" si="11"/>
        <v>7.1263781480000003E-3</v>
      </c>
      <c r="P21">
        <f t="shared" si="12"/>
        <v>8.8049792190802598E-2</v>
      </c>
      <c r="V21">
        <v>-4.3000000000000096</v>
      </c>
      <c r="W21">
        <f t="shared" si="6"/>
        <v>-0.27273999999999954</v>
      </c>
      <c r="Y21">
        <v>0.17</v>
      </c>
      <c r="Z21">
        <f t="shared" si="7"/>
        <v>2.4440552000000002</v>
      </c>
    </row>
    <row r="22" spans="1:26" x14ac:dyDescent="0.3">
      <c r="A22">
        <v>0.81918875000000002</v>
      </c>
      <c r="B22">
        <v>0.67727000000000004</v>
      </c>
      <c r="C22">
        <f t="shared" si="8"/>
        <v>0.55481196471250005</v>
      </c>
      <c r="D22">
        <v>1.6E-2</v>
      </c>
      <c r="E22">
        <v>9.1900000000000003E-3</v>
      </c>
      <c r="F22">
        <f t="shared" si="9"/>
        <v>163.83775</v>
      </c>
      <c r="G22">
        <f t="shared" si="1"/>
        <v>-0.67727000000000004</v>
      </c>
      <c r="H22">
        <f t="shared" si="2"/>
        <v>-110.9623929425</v>
      </c>
      <c r="I22">
        <v>1</v>
      </c>
      <c r="J22">
        <f t="shared" si="3"/>
        <v>-1.8088786701354476</v>
      </c>
      <c r="K22">
        <f t="shared" si="4"/>
        <v>-0.50264057297601195</v>
      </c>
      <c r="L22">
        <v>1</v>
      </c>
      <c r="M22">
        <f t="shared" si="5"/>
        <v>0.3928120480994714</v>
      </c>
      <c r="N22">
        <f t="shared" si="13"/>
        <v>1.310702E-2</v>
      </c>
      <c r="O22">
        <f t="shared" si="11"/>
        <v>7.5283446125000006E-3</v>
      </c>
      <c r="P22">
        <f t="shared" si="12"/>
        <v>8.9193160264040547E-2</v>
      </c>
      <c r="V22">
        <v>-4.2000000000000099</v>
      </c>
      <c r="W22">
        <f t="shared" si="6"/>
        <v>-0.27755999999999947</v>
      </c>
      <c r="Y22">
        <v>0.18</v>
      </c>
      <c r="Z22">
        <f t="shared" si="7"/>
        <v>2.6251007999999998</v>
      </c>
    </row>
    <row r="23" spans="1:26" x14ac:dyDescent="0.3">
      <c r="A23">
        <v>0.86249084999999992</v>
      </c>
      <c r="B23">
        <v>0.67230999999999996</v>
      </c>
      <c r="C23">
        <f t="shared" si="8"/>
        <v>0.57986122336349988</v>
      </c>
      <c r="D23">
        <v>1.6E-2</v>
      </c>
      <c r="E23">
        <v>9.1900000000000003E-3</v>
      </c>
      <c r="F23">
        <f t="shared" si="9"/>
        <v>172.49816999999999</v>
      </c>
      <c r="G23">
        <f t="shared" si="1"/>
        <v>-0.67230999999999996</v>
      </c>
      <c r="H23">
        <f t="shared" si="2"/>
        <v>-115.97224467269997</v>
      </c>
      <c r="I23">
        <v>1</v>
      </c>
      <c r="J23">
        <f t="shared" si="3"/>
        <v>-1.7573686512626474</v>
      </c>
      <c r="K23">
        <f t="shared" si="4"/>
        <v>-0.50760057297601202</v>
      </c>
      <c r="L23">
        <v>1</v>
      </c>
      <c r="M23">
        <f t="shared" si="5"/>
        <v>0.39529483100914037</v>
      </c>
      <c r="N23">
        <f t="shared" si="13"/>
        <v>1.3799853599999998E-2</v>
      </c>
      <c r="O23">
        <f t="shared" si="11"/>
        <v>7.9262909114999995E-3</v>
      </c>
      <c r="P23">
        <f t="shared" si="12"/>
        <v>9.0579597455371655E-2</v>
      </c>
      <c r="V23">
        <v>-4.1000000000000103</v>
      </c>
      <c r="W23">
        <f t="shared" si="6"/>
        <v>-0.28237999999999952</v>
      </c>
      <c r="Y23">
        <v>0.19</v>
      </c>
      <c r="Z23">
        <f t="shared" si="7"/>
        <v>2.8061464000000003</v>
      </c>
    </row>
    <row r="24" spans="1:26" x14ac:dyDescent="0.3">
      <c r="A24">
        <v>0.90841740000000004</v>
      </c>
      <c r="B24">
        <v>0.66700999999999999</v>
      </c>
      <c r="C24">
        <f t="shared" si="8"/>
        <v>0.60592348997400003</v>
      </c>
      <c r="D24">
        <v>1.6E-2</v>
      </c>
      <c r="E24">
        <v>9.1900000000000003E-3</v>
      </c>
      <c r="F24">
        <f t="shared" si="9"/>
        <v>181.68348</v>
      </c>
      <c r="G24">
        <f t="shared" si="1"/>
        <v>-0.66700999999999999</v>
      </c>
      <c r="H24">
        <f t="shared" si="2"/>
        <v>-121.1846979948</v>
      </c>
      <c r="I24">
        <v>1</v>
      </c>
      <c r="J24">
        <f t="shared" si="3"/>
        <v>-1.7054892268108166</v>
      </c>
      <c r="K24">
        <f t="shared" si="4"/>
        <v>-0.51290057297601199</v>
      </c>
      <c r="L24">
        <v>1</v>
      </c>
      <c r="M24">
        <f t="shared" si="5"/>
        <v>0.39779541926771861</v>
      </c>
      <c r="N24">
        <f t="shared" si="13"/>
        <v>1.4534678400000001E-2</v>
      </c>
      <c r="O24">
        <f t="shared" si="11"/>
        <v>8.3483559060000007E-3</v>
      </c>
      <c r="P24">
        <f t="shared" si="12"/>
        <v>9.2222119402293384E-2</v>
      </c>
      <c r="V24">
        <v>-4.0000000000000098</v>
      </c>
      <c r="W24">
        <f t="shared" si="6"/>
        <v>-0.28719999999999951</v>
      </c>
      <c r="Y24">
        <v>0.2</v>
      </c>
      <c r="Z24">
        <f t="shared" si="7"/>
        <v>2.9871920000000003</v>
      </c>
    </row>
    <row r="25" spans="1:26" x14ac:dyDescent="0.3">
      <c r="A25">
        <v>0.95434380000000008</v>
      </c>
      <c r="B25">
        <v>0.66164000000000001</v>
      </c>
      <c r="C25">
        <f t="shared" si="8"/>
        <v>0.63143203183200003</v>
      </c>
      <c r="D25">
        <v>1.6E-2</v>
      </c>
      <c r="E25">
        <v>9.1900000000000003E-3</v>
      </c>
      <c r="F25">
        <f t="shared" si="9"/>
        <v>190.86876000000001</v>
      </c>
      <c r="G25">
        <f t="shared" si="1"/>
        <v>-0.66164000000000001</v>
      </c>
      <c r="H25">
        <f t="shared" si="2"/>
        <v>-126.2864063664</v>
      </c>
      <c r="I25">
        <v>1</v>
      </c>
      <c r="J25">
        <f t="shared" si="3"/>
        <v>-1.6561692075297838</v>
      </c>
      <c r="K25">
        <f t="shared" si="4"/>
        <v>-0.51827057297601198</v>
      </c>
      <c r="L25">
        <v>1</v>
      </c>
      <c r="M25">
        <f t="shared" si="5"/>
        <v>0.40017264419706439</v>
      </c>
      <c r="N25">
        <f t="shared" si="13"/>
        <v>1.5269500800000002E-2</v>
      </c>
      <c r="O25">
        <f t="shared" si="11"/>
        <v>8.7704195220000003E-3</v>
      </c>
      <c r="P25">
        <f t="shared" si="12"/>
        <v>9.4058008456947589E-2</v>
      </c>
      <c r="V25">
        <v>-3.9000000000000101</v>
      </c>
      <c r="W25">
        <f t="shared" si="6"/>
        <v>-0.2920199999999995</v>
      </c>
      <c r="Y25">
        <v>0.21</v>
      </c>
      <c r="Z25">
        <f t="shared" si="7"/>
        <v>3.1682375999999999</v>
      </c>
    </row>
    <row r="26" spans="1:26" x14ac:dyDescent="0.3">
      <c r="A26">
        <v>0.99764595</v>
      </c>
      <c r="B26">
        <v>0.65680000000000005</v>
      </c>
      <c r="C26">
        <f t="shared" si="8"/>
        <v>0.65525385996000007</v>
      </c>
      <c r="D26">
        <v>1.6E-2</v>
      </c>
      <c r="E26">
        <v>9.1900000000000003E-3</v>
      </c>
      <c r="F26">
        <f t="shared" si="9"/>
        <v>199.52919</v>
      </c>
      <c r="G26">
        <f t="shared" si="1"/>
        <v>-0.65680000000000005</v>
      </c>
      <c r="H26">
        <f t="shared" si="2"/>
        <v>-131.05077199200002</v>
      </c>
      <c r="I26">
        <v>1</v>
      </c>
      <c r="J26">
        <f t="shared" si="3"/>
        <v>-1.6117947375658563</v>
      </c>
      <c r="K26">
        <f t="shared" si="4"/>
        <v>-0.52311057297601193</v>
      </c>
      <c r="L26">
        <v>1</v>
      </c>
      <c r="M26">
        <f t="shared" si="5"/>
        <v>0.40231149364932572</v>
      </c>
      <c r="N26">
        <f t="shared" si="13"/>
        <v>1.59623352E-2</v>
      </c>
      <c r="O26">
        <f t="shared" si="11"/>
        <v>9.1683662805000007E-3</v>
      </c>
      <c r="P26">
        <f t="shared" si="12"/>
        <v>9.5668377846186217E-2</v>
      </c>
      <c r="V26">
        <v>-3.80000000000001</v>
      </c>
      <c r="W26">
        <f t="shared" si="6"/>
        <v>-0.29683999999999949</v>
      </c>
      <c r="Y26">
        <v>0.22</v>
      </c>
      <c r="Z26">
        <f t="shared" si="7"/>
        <v>3.3492831999999999</v>
      </c>
    </row>
    <row r="27" spans="1:26" x14ac:dyDescent="0.3">
      <c r="A27">
        <v>1.0413854499999999</v>
      </c>
      <c r="B27">
        <v>0.65185999999999999</v>
      </c>
      <c r="C27">
        <f t="shared" si="8"/>
        <v>0.67883751943699999</v>
      </c>
      <c r="D27">
        <v>1.6E-2</v>
      </c>
      <c r="E27">
        <v>9.1900000000000003E-3</v>
      </c>
      <c r="F27">
        <f t="shared" si="9"/>
        <v>208.27708999999999</v>
      </c>
      <c r="G27">
        <f t="shared" si="1"/>
        <v>-0.65185999999999999</v>
      </c>
      <c r="H27">
        <f t="shared" si="2"/>
        <v>-135.76750388740001</v>
      </c>
      <c r="I27">
        <v>1</v>
      </c>
      <c r="J27">
        <f t="shared" si="3"/>
        <v>-1.5688859223617657</v>
      </c>
      <c r="K27">
        <f t="shared" si="4"/>
        <v>-0.52805057297601199</v>
      </c>
      <c r="L27">
        <v>1</v>
      </c>
      <c r="M27">
        <f t="shared" si="5"/>
        <v>0.40437969854216288</v>
      </c>
      <c r="N27">
        <f t="shared" si="13"/>
        <v>1.6662167199999998E-2</v>
      </c>
      <c r="O27">
        <f t="shared" si="11"/>
        <v>9.5703322854999995E-3</v>
      </c>
      <c r="P27">
        <f t="shared" si="12"/>
        <v>9.7438374948349116E-2</v>
      </c>
      <c r="V27">
        <v>-3.7000000000000099</v>
      </c>
      <c r="W27">
        <f t="shared" si="6"/>
        <v>-0.30165999999999948</v>
      </c>
      <c r="Y27">
        <v>0.23</v>
      </c>
      <c r="Z27">
        <f t="shared" si="7"/>
        <v>3.5303287999999999</v>
      </c>
    </row>
    <row r="28" spans="1:26" x14ac:dyDescent="0.3">
      <c r="A28">
        <v>1.0855623000000001</v>
      </c>
      <c r="B28">
        <v>0.64690999999999999</v>
      </c>
      <c r="C28">
        <f t="shared" si="8"/>
        <v>0.70226110749300008</v>
      </c>
      <c r="D28">
        <v>1.6E-2</v>
      </c>
      <c r="E28">
        <v>9.1900000000000003E-3</v>
      </c>
      <c r="F28">
        <f t="shared" si="9"/>
        <v>217.11246000000003</v>
      </c>
      <c r="G28">
        <f t="shared" si="1"/>
        <v>-0.64690999999999999</v>
      </c>
      <c r="H28">
        <f t="shared" si="2"/>
        <v>-140.45222149860001</v>
      </c>
      <c r="I28">
        <v>1</v>
      </c>
      <c r="J28">
        <f t="shared" si="3"/>
        <v>-1.5273398108383058</v>
      </c>
      <c r="K28">
        <f t="shared" si="4"/>
        <v>-0.533000572976012</v>
      </c>
      <c r="L28">
        <v>1</v>
      </c>
      <c r="M28">
        <f t="shared" si="5"/>
        <v>0.40638222111759364</v>
      </c>
      <c r="N28">
        <f t="shared" si="13"/>
        <v>1.7368996800000001E-2</v>
      </c>
      <c r="O28">
        <f t="shared" si="11"/>
        <v>9.9763175370000019E-3</v>
      </c>
      <c r="P28">
        <f t="shared" si="12"/>
        <v>9.9273037521418347E-2</v>
      </c>
      <c r="V28">
        <v>-3.6000000000000099</v>
      </c>
      <c r="W28">
        <f t="shared" si="6"/>
        <v>-0.30647999999999953</v>
      </c>
      <c r="Y28">
        <v>0.24</v>
      </c>
      <c r="Z28">
        <f t="shared" si="7"/>
        <v>3.7113744</v>
      </c>
    </row>
    <row r="29" spans="1:26" x14ac:dyDescent="0.3">
      <c r="A29">
        <v>1.1297393</v>
      </c>
      <c r="B29">
        <v>0.64242999999999995</v>
      </c>
      <c r="C29">
        <f t="shared" si="8"/>
        <v>0.72577841849899993</v>
      </c>
      <c r="D29">
        <v>1.6E-2</v>
      </c>
      <c r="E29">
        <v>9.1900000000000003E-3</v>
      </c>
      <c r="F29">
        <f t="shared" si="9"/>
        <v>225.94785999999999</v>
      </c>
      <c r="G29">
        <f t="shared" si="1"/>
        <v>-0.64242999999999995</v>
      </c>
      <c r="H29">
        <f t="shared" si="2"/>
        <v>-145.15568369979999</v>
      </c>
      <c r="I29">
        <v>1</v>
      </c>
      <c r="J29">
        <f t="shared" si="3"/>
        <v>-1.4874510142916293</v>
      </c>
      <c r="K29">
        <f t="shared" si="4"/>
        <v>-0.53748057297601204</v>
      </c>
      <c r="L29">
        <v>1</v>
      </c>
      <c r="M29">
        <f t="shared" si="5"/>
        <v>0.40830486111114345</v>
      </c>
      <c r="N29">
        <f t="shared" si="13"/>
        <v>1.8075828799999999E-2</v>
      </c>
      <c r="O29">
        <f t="shared" si="11"/>
        <v>1.0382304167000001E-2</v>
      </c>
      <c r="P29">
        <f t="shared" si="12"/>
        <v>0.10071757889786859</v>
      </c>
      <c r="V29">
        <v>-3.5000000000000102</v>
      </c>
      <c r="W29">
        <f t="shared" si="6"/>
        <v>-0.31129999999999947</v>
      </c>
      <c r="Y29">
        <v>0.25</v>
      </c>
      <c r="Z29">
        <f t="shared" si="7"/>
        <v>3.89242</v>
      </c>
    </row>
    <row r="30" spans="1:26" x14ac:dyDescent="0.3">
      <c r="A30">
        <v>1.1730413500000001</v>
      </c>
      <c r="B30">
        <v>0.63719999999999999</v>
      </c>
      <c r="C30">
        <f t="shared" si="8"/>
        <v>0.74746194822000001</v>
      </c>
      <c r="D30">
        <v>1.6E-2</v>
      </c>
      <c r="E30">
        <v>9.1900000000000003E-3</v>
      </c>
      <c r="F30">
        <f t="shared" si="9"/>
        <v>234.60827</v>
      </c>
      <c r="G30">
        <f t="shared" si="1"/>
        <v>-0.63719999999999999</v>
      </c>
      <c r="H30">
        <f t="shared" si="2"/>
        <v>-149.49238964400001</v>
      </c>
      <c r="I30">
        <v>1</v>
      </c>
      <c r="J30">
        <f t="shared" si="3"/>
        <v>-1.44983809189218</v>
      </c>
      <c r="K30">
        <f t="shared" si="4"/>
        <v>-0.542710572976012</v>
      </c>
      <c r="L30">
        <v>1</v>
      </c>
      <c r="M30">
        <f t="shared" si="5"/>
        <v>0.41011780397079689</v>
      </c>
      <c r="N30">
        <f t="shared" si="13"/>
        <v>1.8768661600000004E-2</v>
      </c>
      <c r="O30">
        <f t="shared" si="11"/>
        <v>1.0780250006500002E-2</v>
      </c>
      <c r="P30">
        <f t="shared" si="12"/>
        <v>0.10304385739871511</v>
      </c>
      <c r="V30">
        <v>-3.4000000000000101</v>
      </c>
      <c r="W30">
        <f t="shared" si="6"/>
        <v>-0.31611999999999951</v>
      </c>
      <c r="Y30">
        <v>0.26</v>
      </c>
      <c r="Z30">
        <f t="shared" si="7"/>
        <v>4.0734655999999996</v>
      </c>
    </row>
    <row r="31" spans="1:26" x14ac:dyDescent="0.3">
      <c r="A31">
        <v>1.2167808</v>
      </c>
      <c r="B31">
        <v>0.63256999999999997</v>
      </c>
      <c r="C31">
        <f t="shared" si="8"/>
        <v>0.76969903065599998</v>
      </c>
      <c r="D31">
        <v>1.6E-2</v>
      </c>
      <c r="E31">
        <v>9.1900000000000003E-3</v>
      </c>
      <c r="F31">
        <f t="shared" si="9"/>
        <v>243.35615999999999</v>
      </c>
      <c r="G31">
        <f t="shared" si="1"/>
        <v>-0.63256999999999997</v>
      </c>
      <c r="H31">
        <f t="shared" si="2"/>
        <v>-153.93980613119999</v>
      </c>
      <c r="I31">
        <v>1</v>
      </c>
      <c r="J31">
        <f t="shared" si="3"/>
        <v>-1.4132292296883477</v>
      </c>
      <c r="K31">
        <f t="shared" si="4"/>
        <v>-0.54734057297601202</v>
      </c>
      <c r="L31">
        <v>1</v>
      </c>
      <c r="M31">
        <f t="shared" si="5"/>
        <v>0.41188235112902161</v>
      </c>
      <c r="N31">
        <f t="shared" si="13"/>
        <v>1.9468492800000001E-2</v>
      </c>
      <c r="O31">
        <f t="shared" si="11"/>
        <v>1.1182215552E-2</v>
      </c>
      <c r="P31">
        <f t="shared" si="12"/>
        <v>0.10480751349499041</v>
      </c>
      <c r="V31">
        <v>-3.30000000000001</v>
      </c>
      <c r="W31">
        <f t="shared" si="6"/>
        <v>-0.3209399999999995</v>
      </c>
      <c r="Y31">
        <v>0.27</v>
      </c>
      <c r="Z31">
        <f t="shared" si="7"/>
        <v>4.2545111999999996</v>
      </c>
    </row>
    <row r="32" spans="1:26" x14ac:dyDescent="0.3">
      <c r="A32">
        <v>1.26052035</v>
      </c>
      <c r="B32">
        <v>0.62773000000000001</v>
      </c>
      <c r="C32">
        <f t="shared" si="8"/>
        <v>0.7912664393055</v>
      </c>
      <c r="D32">
        <v>1.6E-2</v>
      </c>
      <c r="E32">
        <v>9.1900000000000003E-3</v>
      </c>
      <c r="F32">
        <f t="shared" si="9"/>
        <v>252.10406999999998</v>
      </c>
      <c r="G32">
        <f t="shared" si="1"/>
        <v>-0.62773000000000001</v>
      </c>
      <c r="H32">
        <f t="shared" si="2"/>
        <v>-158.25328786110001</v>
      </c>
      <c r="I32">
        <v>1</v>
      </c>
      <c r="J32">
        <f t="shared" si="3"/>
        <v>-1.3779133005314343</v>
      </c>
      <c r="K32">
        <f t="shared" si="4"/>
        <v>-0.55218057297601197</v>
      </c>
      <c r="L32">
        <v>1</v>
      </c>
      <c r="M32">
        <f t="shared" si="5"/>
        <v>0.41358457891438483</v>
      </c>
      <c r="N32">
        <f t="shared" si="13"/>
        <v>2.0168325599999998E-2</v>
      </c>
      <c r="O32">
        <f t="shared" si="11"/>
        <v>1.1584182016499999E-2</v>
      </c>
      <c r="P32">
        <f t="shared" si="12"/>
        <v>0.10684348644512716</v>
      </c>
      <c r="V32">
        <v>-3.2000000000000099</v>
      </c>
      <c r="W32">
        <f t="shared" si="6"/>
        <v>-0.32575999999999949</v>
      </c>
    </row>
    <row r="33" spans="1:23" x14ac:dyDescent="0.3">
      <c r="A33">
        <v>1.3051346000000001</v>
      </c>
      <c r="B33">
        <v>0.62292000000000003</v>
      </c>
      <c r="C33">
        <f t="shared" si="8"/>
        <v>0.81299444503200013</v>
      </c>
      <c r="D33">
        <v>1.6E-2</v>
      </c>
      <c r="E33">
        <v>9.1900000000000003E-3</v>
      </c>
      <c r="F33">
        <f t="shared" si="9"/>
        <v>261.02692000000002</v>
      </c>
      <c r="G33">
        <f t="shared" si="1"/>
        <v>-0.62292000000000003</v>
      </c>
      <c r="H33">
        <f t="shared" si="2"/>
        <v>-162.59888900640001</v>
      </c>
      <c r="I33">
        <v>1</v>
      </c>
      <c r="J33">
        <f t="shared" si="3"/>
        <v>-1.3431317352157375</v>
      </c>
      <c r="K33">
        <f t="shared" si="4"/>
        <v>-0.55699057297601196</v>
      </c>
      <c r="L33">
        <v>1</v>
      </c>
      <c r="M33">
        <f t="shared" si="5"/>
        <v>0.41526105036260141</v>
      </c>
      <c r="N33">
        <f t="shared" si="13"/>
        <v>2.0882153600000002E-2</v>
      </c>
      <c r="O33">
        <f t="shared" si="11"/>
        <v>1.1994186974000001E-2</v>
      </c>
      <c r="P33">
        <f t="shared" si="12"/>
        <v>0.10885318203941054</v>
      </c>
      <c r="V33">
        <v>-3.1000000000000099</v>
      </c>
      <c r="W33">
        <f t="shared" si="6"/>
        <v>-0.33057999999999954</v>
      </c>
    </row>
    <row r="34" spans="1:23" x14ac:dyDescent="0.3">
      <c r="A34">
        <v>1.3497487000000001</v>
      </c>
      <c r="B34">
        <v>0.61782000000000004</v>
      </c>
      <c r="C34">
        <f t="shared" si="8"/>
        <v>0.83390174183400012</v>
      </c>
      <c r="D34">
        <v>1.6E-2</v>
      </c>
      <c r="E34">
        <v>9.1900000000000003E-3</v>
      </c>
      <c r="F34">
        <f t="shared" si="9"/>
        <v>269.94974000000002</v>
      </c>
      <c r="G34">
        <f t="shared" si="1"/>
        <v>-0.61782000000000004</v>
      </c>
      <c r="H34">
        <f t="shared" si="2"/>
        <v>-166.78034836680001</v>
      </c>
      <c r="I34">
        <v>1</v>
      </c>
      <c r="J34">
        <f t="shared" si="3"/>
        <v>-1.3095194854596275</v>
      </c>
      <c r="K34">
        <f t="shared" si="4"/>
        <v>-0.56209057297601195</v>
      </c>
      <c r="L34">
        <v>1</v>
      </c>
      <c r="M34">
        <f t="shared" si="5"/>
        <v>0.41688116080084592</v>
      </c>
      <c r="N34">
        <f t="shared" si="13"/>
        <v>2.1595979200000004E-2</v>
      </c>
      <c r="O34">
        <f t="shared" si="11"/>
        <v>1.2404190553000002E-2</v>
      </c>
      <c r="P34">
        <f t="shared" si="12"/>
        <v>0.11120924242216602</v>
      </c>
      <c r="V34">
        <v>-3.0000000000000102</v>
      </c>
      <c r="W34">
        <f t="shared" si="6"/>
        <v>-0.33539999999999948</v>
      </c>
    </row>
    <row r="35" spans="1:23" x14ac:dyDescent="0.3">
      <c r="A35">
        <v>1.3987371</v>
      </c>
      <c r="B35">
        <v>0.61304999999999998</v>
      </c>
      <c r="C35">
        <f t="shared" si="8"/>
        <v>0.85749577915499997</v>
      </c>
      <c r="D35">
        <v>1.6E-2</v>
      </c>
      <c r="E35">
        <v>9.1900000000000003E-3</v>
      </c>
      <c r="F35">
        <f t="shared" si="9"/>
        <v>279.74741999999998</v>
      </c>
      <c r="G35">
        <f t="shared" si="1"/>
        <v>-0.61304999999999998</v>
      </c>
      <c r="H35">
        <f t="shared" si="2"/>
        <v>-171.499155831</v>
      </c>
      <c r="I35">
        <v>1</v>
      </c>
      <c r="J35">
        <f t="shared" si="3"/>
        <v>-1.2738681543527375</v>
      </c>
      <c r="K35">
        <f t="shared" si="4"/>
        <v>-0.566860572976012</v>
      </c>
      <c r="L35">
        <v>1</v>
      </c>
      <c r="M35">
        <f t="shared" si="5"/>
        <v>0.41859955496019802</v>
      </c>
      <c r="N35">
        <f t="shared" si="13"/>
        <v>2.23797936E-2</v>
      </c>
      <c r="O35">
        <f t="shared" si="11"/>
        <v>1.2854393949000001E-2</v>
      </c>
      <c r="P35">
        <f t="shared" si="12"/>
        <v>0.11302683046681399</v>
      </c>
      <c r="V35">
        <v>-2.9000000000000101</v>
      </c>
      <c r="W35">
        <f t="shared" si="6"/>
        <v>-0.34021999999999952</v>
      </c>
    </row>
    <row r="36" spans="1:23" x14ac:dyDescent="0.3">
      <c r="A36">
        <v>1.4429139499999999</v>
      </c>
      <c r="B36">
        <v>0.60802999999999996</v>
      </c>
      <c r="C36">
        <f t="shared" si="8"/>
        <v>0.87733496901849983</v>
      </c>
      <c r="D36">
        <v>1.6E-2</v>
      </c>
      <c r="E36">
        <v>9.1900000000000003E-3</v>
      </c>
      <c r="F36">
        <f t="shared" si="9"/>
        <v>288.58278999999999</v>
      </c>
      <c r="G36">
        <f t="shared" si="1"/>
        <v>-0.60802999999999996</v>
      </c>
      <c r="H36">
        <f t="shared" si="2"/>
        <v>-175.46699380369998</v>
      </c>
      <c r="I36">
        <v>1</v>
      </c>
      <c r="J36">
        <f t="shared" si="3"/>
        <v>-1.2427732671301002</v>
      </c>
      <c r="K36">
        <f t="shared" si="4"/>
        <v>-0.57188057297601202</v>
      </c>
      <c r="L36">
        <v>1</v>
      </c>
      <c r="M36">
        <f t="shared" si="5"/>
        <v>0.42009832852432916</v>
      </c>
      <c r="N36">
        <f t="shared" si="13"/>
        <v>2.30866232E-2</v>
      </c>
      <c r="O36">
        <f t="shared" si="11"/>
        <v>1.32603792005E-2</v>
      </c>
      <c r="P36">
        <f t="shared" si="12"/>
        <v>0.11543524205118288</v>
      </c>
      <c r="V36">
        <v>-2.80000000000001</v>
      </c>
      <c r="W36">
        <f t="shared" si="6"/>
        <v>-0.34503999999999946</v>
      </c>
    </row>
    <row r="37" spans="1:23" x14ac:dyDescent="0.3">
      <c r="A37">
        <v>1.4862161</v>
      </c>
      <c r="B37">
        <v>0.60313000000000005</v>
      </c>
      <c r="C37">
        <f t="shared" si="8"/>
        <v>0.89638151639300012</v>
      </c>
      <c r="D37">
        <v>1.6E-2</v>
      </c>
      <c r="E37">
        <v>9.1900000000000003E-3</v>
      </c>
      <c r="F37">
        <f t="shared" si="9"/>
        <v>297.24322000000001</v>
      </c>
      <c r="G37">
        <f t="shared" si="1"/>
        <v>-0.60313000000000005</v>
      </c>
      <c r="H37">
        <f t="shared" si="2"/>
        <v>-179.27630327860001</v>
      </c>
      <c r="I37">
        <v>1</v>
      </c>
      <c r="J37">
        <f t="shared" si="3"/>
        <v>-1.21320455275464</v>
      </c>
      <c r="K37">
        <f t="shared" si="4"/>
        <v>-0.57678057297601193</v>
      </c>
      <c r="L37">
        <v>1</v>
      </c>
      <c r="M37">
        <f t="shared" si="5"/>
        <v>0.42152354055722635</v>
      </c>
      <c r="N37">
        <f t="shared" si="13"/>
        <v>2.3779457600000001E-2</v>
      </c>
      <c r="O37">
        <f t="shared" si="11"/>
        <v>1.3658325959E-2</v>
      </c>
      <c r="P37">
        <f t="shared" si="12"/>
        <v>0.11781924885978558</v>
      </c>
      <c r="V37">
        <v>-2.7000000000000099</v>
      </c>
      <c r="W37">
        <f t="shared" si="6"/>
        <v>-0.3498599999999995</v>
      </c>
    </row>
    <row r="38" spans="1:23" x14ac:dyDescent="0.3">
      <c r="A38">
        <v>1.5308303000000001</v>
      </c>
      <c r="B38">
        <v>0.59855999999999998</v>
      </c>
      <c r="C38">
        <f t="shared" si="8"/>
        <v>0.91629378436800002</v>
      </c>
      <c r="D38">
        <v>1.6E-2</v>
      </c>
      <c r="E38">
        <v>9.1900000000000003E-3</v>
      </c>
      <c r="F38">
        <f t="shared" si="9"/>
        <v>306.16606000000002</v>
      </c>
      <c r="G38">
        <f t="shared" si="1"/>
        <v>-0.59855999999999998</v>
      </c>
      <c r="H38">
        <f t="shared" si="2"/>
        <v>-183.25875687359999</v>
      </c>
      <c r="I38">
        <v>1</v>
      </c>
      <c r="J38">
        <f t="shared" si="3"/>
        <v>-1.1836276444885918</v>
      </c>
      <c r="K38">
        <f t="shared" si="4"/>
        <v>-0.581350572976012</v>
      </c>
      <c r="L38">
        <v>1</v>
      </c>
      <c r="M38">
        <f t="shared" si="5"/>
        <v>0.42294914753564983</v>
      </c>
      <c r="N38">
        <f t="shared" si="13"/>
        <v>2.4493284800000001E-2</v>
      </c>
      <c r="O38">
        <f t="shared" si="11"/>
        <v>1.4068330457000001E-2</v>
      </c>
      <c r="P38">
        <f t="shared" si="12"/>
        <v>0.11983981018336216</v>
      </c>
      <c r="V38">
        <v>-2.6000000000000099</v>
      </c>
      <c r="W38">
        <f t="shared" si="6"/>
        <v>-0.3546799999999995</v>
      </c>
    </row>
    <row r="39" spans="1:23" x14ac:dyDescent="0.3">
      <c r="A39">
        <v>1.5750073</v>
      </c>
      <c r="B39">
        <v>0.59323999999999999</v>
      </c>
      <c r="C39">
        <f t="shared" si="8"/>
        <v>0.934357330652</v>
      </c>
      <c r="D39">
        <v>1.6E-2</v>
      </c>
      <c r="E39">
        <v>9.1900000000000003E-3</v>
      </c>
      <c r="F39">
        <f t="shared" si="9"/>
        <v>315.00146000000001</v>
      </c>
      <c r="G39">
        <f t="shared" si="1"/>
        <v>-0.59323999999999999</v>
      </c>
      <c r="H39">
        <f t="shared" si="2"/>
        <v>-186.87146613039999</v>
      </c>
      <c r="I39">
        <v>1</v>
      </c>
      <c r="J39">
        <f t="shared" si="3"/>
        <v>-1.1551780052466103</v>
      </c>
      <c r="K39">
        <f t="shared" si="4"/>
        <v>-0.58667057297601199</v>
      </c>
      <c r="L39">
        <v>1</v>
      </c>
      <c r="M39">
        <f t="shared" si="5"/>
        <v>0.42432042014711335</v>
      </c>
      <c r="N39">
        <f t="shared" si="13"/>
        <v>2.5200116800000002E-2</v>
      </c>
      <c r="O39">
        <f t="shared" si="11"/>
        <v>1.4474317087E-2</v>
      </c>
      <c r="P39">
        <f t="shared" si="12"/>
        <v>0.12267571894189863</v>
      </c>
      <c r="V39">
        <v>-2.5000000000000102</v>
      </c>
      <c r="W39">
        <f t="shared" si="6"/>
        <v>-0.35949999999999949</v>
      </c>
    </row>
    <row r="40" spans="1:23" x14ac:dyDescent="0.3">
      <c r="A40">
        <v>1.6187466000000001</v>
      </c>
      <c r="B40">
        <v>0.58892</v>
      </c>
      <c r="C40">
        <f t="shared" si="8"/>
        <v>0.95331224767200007</v>
      </c>
      <c r="D40">
        <v>1.6E-2</v>
      </c>
      <c r="E40">
        <v>9.1900000000000003E-3</v>
      </c>
      <c r="F40">
        <f t="shared" si="9"/>
        <v>323.74932000000001</v>
      </c>
      <c r="G40">
        <f t="shared" si="1"/>
        <v>-0.58892</v>
      </c>
      <c r="H40">
        <f t="shared" si="2"/>
        <v>-190.66244953440003</v>
      </c>
      <c r="I40">
        <v>1</v>
      </c>
      <c r="J40">
        <f t="shared" si="3"/>
        <v>-1.1277857663566957</v>
      </c>
      <c r="K40">
        <f t="shared" si="4"/>
        <v>-0.59099057297601199</v>
      </c>
      <c r="L40">
        <v>1</v>
      </c>
      <c r="M40">
        <f t="shared" si="5"/>
        <v>0.42564072606160724</v>
      </c>
      <c r="N40">
        <f t="shared" si="13"/>
        <v>2.5899945600000002E-2</v>
      </c>
      <c r="O40">
        <f t="shared" si="11"/>
        <v>1.4876281254000001E-2</v>
      </c>
      <c r="P40">
        <f t="shared" si="12"/>
        <v>0.12457362006040473</v>
      </c>
      <c r="V40">
        <v>-2.4000000000000101</v>
      </c>
      <c r="W40">
        <f t="shared" si="6"/>
        <v>-0.36431999999999948</v>
      </c>
    </row>
    <row r="41" spans="1:23" x14ac:dyDescent="0.3">
      <c r="A41">
        <v>1.6624861999999998</v>
      </c>
      <c r="B41">
        <v>0.58413999999999999</v>
      </c>
      <c r="C41">
        <f t="shared" si="8"/>
        <v>0.97112468886799985</v>
      </c>
      <c r="D41">
        <v>1.6E-2</v>
      </c>
      <c r="E41">
        <v>9.1900000000000003E-3</v>
      </c>
      <c r="F41">
        <f t="shared" si="9"/>
        <v>332.49723999999998</v>
      </c>
      <c r="G41">
        <f t="shared" si="1"/>
        <v>-0.58413999999999999</v>
      </c>
      <c r="H41">
        <f t="shared" si="2"/>
        <v>-194.22493777359998</v>
      </c>
      <c r="I41">
        <v>1</v>
      </c>
      <c r="J41">
        <f t="shared" si="3"/>
        <v>-1.1011237196725594</v>
      </c>
      <c r="K41">
        <f t="shared" si="4"/>
        <v>-0.59577057297601199</v>
      </c>
      <c r="L41">
        <v>1</v>
      </c>
      <c r="M41">
        <f t="shared" si="5"/>
        <v>0.42692583671178264</v>
      </c>
      <c r="N41">
        <f t="shared" si="13"/>
        <v>2.6599779199999996E-2</v>
      </c>
      <c r="O41">
        <f t="shared" si="11"/>
        <v>1.5278248177999998E-2</v>
      </c>
      <c r="P41">
        <f t="shared" si="12"/>
        <v>0.12696670888622935</v>
      </c>
      <c r="V41">
        <v>-2.30000000000001</v>
      </c>
      <c r="W41">
        <f t="shared" si="6"/>
        <v>-0.36913999999999947</v>
      </c>
    </row>
    <row r="42" spans="1:23" x14ac:dyDescent="0.3">
      <c r="A42">
        <v>1.70578835</v>
      </c>
      <c r="B42">
        <v>0.57918000000000003</v>
      </c>
      <c r="C42">
        <f t="shared" si="8"/>
        <v>0.98795849655300005</v>
      </c>
      <c r="D42">
        <v>1.6E-2</v>
      </c>
      <c r="E42">
        <v>9.1900000000000003E-3</v>
      </c>
      <c r="F42">
        <f t="shared" si="9"/>
        <v>341.15767</v>
      </c>
      <c r="G42">
        <f t="shared" si="1"/>
        <v>-0.57918000000000003</v>
      </c>
      <c r="H42">
        <f t="shared" si="2"/>
        <v>-197.59169931060001</v>
      </c>
      <c r="I42">
        <v>1</v>
      </c>
      <c r="J42">
        <f t="shared" si="3"/>
        <v>-1.075410533194602</v>
      </c>
      <c r="K42">
        <f t="shared" si="4"/>
        <v>-0.60073057297601196</v>
      </c>
      <c r="L42">
        <v>1</v>
      </c>
      <c r="M42">
        <f t="shared" si="5"/>
        <v>0.42816521230002014</v>
      </c>
      <c r="N42">
        <f t="shared" si="13"/>
        <v>2.7292613600000001E-2</v>
      </c>
      <c r="O42">
        <f t="shared" si="11"/>
        <v>1.56761949365E-2</v>
      </c>
      <c r="P42">
        <f t="shared" si="12"/>
        <v>0.12959655213949181</v>
      </c>
      <c r="V42">
        <v>-2.2000000000000099</v>
      </c>
      <c r="W42">
        <f t="shared" si="6"/>
        <v>-0.37395999999999952</v>
      </c>
    </row>
    <row r="43" spans="1:23" x14ac:dyDescent="0.3">
      <c r="A43">
        <v>1.74952785</v>
      </c>
      <c r="B43">
        <v>0.57440999999999998</v>
      </c>
      <c r="C43">
        <f t="shared" si="8"/>
        <v>1.0049462923185</v>
      </c>
      <c r="D43">
        <v>1.6E-2</v>
      </c>
      <c r="E43">
        <v>9.1900000000000003E-3</v>
      </c>
      <c r="F43">
        <f t="shared" si="9"/>
        <v>349.90557000000001</v>
      </c>
      <c r="G43">
        <f t="shared" si="1"/>
        <v>-0.57440999999999998</v>
      </c>
      <c r="H43">
        <f t="shared" si="2"/>
        <v>-200.9892584637</v>
      </c>
      <c r="I43">
        <v>1</v>
      </c>
      <c r="J43">
        <f t="shared" si="3"/>
        <v>-1.0500919609012453</v>
      </c>
      <c r="K43">
        <f t="shared" si="4"/>
        <v>-0.60550057297601201</v>
      </c>
      <c r="L43">
        <v>1</v>
      </c>
      <c r="M43">
        <f t="shared" si="5"/>
        <v>0.42938556748455997</v>
      </c>
      <c r="N43">
        <f t="shared" si="13"/>
        <v>2.7992445599999999E-2</v>
      </c>
      <c r="O43">
        <f t="shared" si="11"/>
        <v>1.6078160941500001E-2</v>
      </c>
      <c r="P43">
        <f t="shared" si="12"/>
        <v>0.13204439894995204</v>
      </c>
      <c r="V43">
        <v>-2.1000000000000099</v>
      </c>
      <c r="W43">
        <f t="shared" si="6"/>
        <v>-0.37877999999999951</v>
      </c>
    </row>
    <row r="44" spans="1:23" x14ac:dyDescent="0.3">
      <c r="A44">
        <v>1.7963292000000002</v>
      </c>
      <c r="B44">
        <v>0.56891999999999998</v>
      </c>
      <c r="C44">
        <f t="shared" si="8"/>
        <v>1.0219676084640001</v>
      </c>
      <c r="D44">
        <v>1.6E-2</v>
      </c>
      <c r="E44">
        <v>9.1900000000000003E-3</v>
      </c>
      <c r="F44">
        <f t="shared" si="9"/>
        <v>359.26584000000003</v>
      </c>
      <c r="G44">
        <f t="shared" si="1"/>
        <v>-0.56891999999999998</v>
      </c>
      <c r="H44">
        <f t="shared" si="2"/>
        <v>-204.39352169280002</v>
      </c>
      <c r="I44">
        <v>1</v>
      </c>
      <c r="J44">
        <f t="shared" si="3"/>
        <v>-1.0236926631369825</v>
      </c>
      <c r="K44">
        <f t="shared" si="4"/>
        <v>-0.610990572976012</v>
      </c>
      <c r="L44">
        <v>1</v>
      </c>
      <c r="M44">
        <f t="shared" si="5"/>
        <v>0.43065801363679745</v>
      </c>
      <c r="N44">
        <f t="shared" si="13"/>
        <v>2.8741267200000004E-2</v>
      </c>
      <c r="O44">
        <f t="shared" si="11"/>
        <v>1.6508265348000001E-2</v>
      </c>
      <c r="P44">
        <f t="shared" si="12"/>
        <v>0.13508302679121453</v>
      </c>
      <c r="V44">
        <v>-2.0000000000000102</v>
      </c>
      <c r="W44">
        <f t="shared" si="6"/>
        <v>-0.3835999999999995</v>
      </c>
    </row>
    <row r="45" spans="1:23" x14ac:dyDescent="0.3">
      <c r="A45">
        <v>1.84050625</v>
      </c>
      <c r="B45">
        <v>0.56435000000000002</v>
      </c>
      <c r="C45">
        <f t="shared" si="8"/>
        <v>1.0386897021875001</v>
      </c>
      <c r="D45">
        <v>1.6E-2</v>
      </c>
      <c r="E45">
        <v>9.1900000000000003E-3</v>
      </c>
      <c r="F45">
        <f t="shared" si="9"/>
        <v>368.10124999999999</v>
      </c>
      <c r="G45">
        <f t="shared" si="1"/>
        <v>-0.56435000000000002</v>
      </c>
      <c r="H45">
        <f t="shared" si="2"/>
        <v>-207.73794043750001</v>
      </c>
      <c r="I45">
        <v>1</v>
      </c>
      <c r="J45">
        <f t="shared" si="3"/>
        <v>-0.99939724278657316</v>
      </c>
      <c r="K45">
        <f t="shared" si="4"/>
        <v>-0.61556057297601197</v>
      </c>
      <c r="L45">
        <v>1</v>
      </c>
      <c r="M45">
        <f t="shared" si="5"/>
        <v>0.43182905289768714</v>
      </c>
      <c r="N45">
        <f t="shared" si="13"/>
        <v>2.9448100000000001E-2</v>
      </c>
      <c r="O45">
        <f t="shared" si="11"/>
        <v>1.6914252437499999E-2</v>
      </c>
      <c r="P45">
        <f t="shared" si="12"/>
        <v>0.13736916764082482</v>
      </c>
      <c r="V45">
        <v>-1.9000000000000099</v>
      </c>
      <c r="W45">
        <f t="shared" si="6"/>
        <v>-0.38841999999999949</v>
      </c>
    </row>
    <row r="46" spans="1:23" x14ac:dyDescent="0.3">
      <c r="A46">
        <v>1.8838084000000002</v>
      </c>
      <c r="B46">
        <v>0.55932000000000004</v>
      </c>
      <c r="C46">
        <f t="shared" si="8"/>
        <v>1.0536517142880002</v>
      </c>
      <c r="D46">
        <v>1.6E-2</v>
      </c>
      <c r="E46">
        <v>9.1900000000000003E-3</v>
      </c>
      <c r="F46">
        <f t="shared" si="9"/>
        <v>376.76168000000001</v>
      </c>
      <c r="G46">
        <f t="shared" si="1"/>
        <v>-0.55932000000000004</v>
      </c>
      <c r="H46">
        <f t="shared" si="2"/>
        <v>-210.73034285760005</v>
      </c>
      <c r="I46">
        <v>1</v>
      </c>
      <c r="J46">
        <f t="shared" si="3"/>
        <v>-0.97614243996537398</v>
      </c>
      <c r="K46">
        <f t="shared" si="4"/>
        <v>-0.62059057297601194</v>
      </c>
      <c r="L46">
        <v>1</v>
      </c>
      <c r="M46">
        <f t="shared" si="5"/>
        <v>0.43294993439366897</v>
      </c>
      <c r="N46">
        <f t="shared" si="13"/>
        <v>3.0140934400000003E-2</v>
      </c>
      <c r="O46">
        <f t="shared" si="11"/>
        <v>1.7312199196000001E-2</v>
      </c>
      <c r="P46">
        <f t="shared" si="12"/>
        <v>0.14018750498634297</v>
      </c>
      <c r="V46">
        <v>-1.80000000000001</v>
      </c>
      <c r="W46">
        <f t="shared" si="6"/>
        <v>-0.39323999999999948</v>
      </c>
    </row>
    <row r="47" spans="1:23" x14ac:dyDescent="0.3">
      <c r="A47">
        <v>1.9279852500000001</v>
      </c>
      <c r="B47">
        <v>0.55447000000000002</v>
      </c>
      <c r="C47">
        <f t="shared" si="8"/>
        <v>1.0690099815675</v>
      </c>
      <c r="D47">
        <v>1.6E-2</v>
      </c>
      <c r="E47">
        <v>9.1900000000000003E-3</v>
      </c>
      <c r="F47">
        <f t="shared" si="9"/>
        <v>385.59705000000002</v>
      </c>
      <c r="G47">
        <f t="shared" si="1"/>
        <v>-0.55447000000000002</v>
      </c>
      <c r="H47">
        <f t="shared" si="2"/>
        <v>-213.80199631350001</v>
      </c>
      <c r="I47">
        <v>1</v>
      </c>
      <c r="J47">
        <f t="shared" si="3"/>
        <v>-0.95296236668994883</v>
      </c>
      <c r="K47">
        <f t="shared" si="4"/>
        <v>-0.62544057297601197</v>
      </c>
      <c r="L47">
        <v>1</v>
      </c>
      <c r="M47">
        <f t="shared" si="5"/>
        <v>0.43406721392554443</v>
      </c>
      <c r="N47">
        <f t="shared" si="13"/>
        <v>3.0847764000000003E-2</v>
      </c>
      <c r="O47">
        <f t="shared" si="11"/>
        <v>1.77181844475E-2</v>
      </c>
      <c r="P47">
        <f t="shared" si="12"/>
        <v>0.14280741060296753</v>
      </c>
      <c r="V47">
        <v>-1.7000000000000199</v>
      </c>
      <c r="W47">
        <f t="shared" si="6"/>
        <v>-0.39805999999999903</v>
      </c>
    </row>
    <row r="48" spans="1:23" x14ac:dyDescent="0.3">
      <c r="A48">
        <v>1.97128715</v>
      </c>
      <c r="B48">
        <v>0.54910999999999999</v>
      </c>
      <c r="C48">
        <f t="shared" si="8"/>
        <v>1.0824534869364999</v>
      </c>
      <c r="D48">
        <v>1.6E-2</v>
      </c>
      <c r="E48">
        <v>9.1900000000000003E-3</v>
      </c>
      <c r="F48">
        <f t="shared" si="9"/>
        <v>394.25743</v>
      </c>
      <c r="G48">
        <f t="shared" si="1"/>
        <v>-0.54910999999999999</v>
      </c>
      <c r="H48">
        <f t="shared" si="2"/>
        <v>-216.49069738729997</v>
      </c>
      <c r="I48">
        <v>1</v>
      </c>
      <c r="J48">
        <f t="shared" si="3"/>
        <v>-0.93075120740661554</v>
      </c>
      <c r="K48">
        <f t="shared" si="4"/>
        <v>-0.630800572976012</v>
      </c>
      <c r="L48">
        <v>1</v>
      </c>
      <c r="M48">
        <f t="shared" si="5"/>
        <v>0.43513779180300111</v>
      </c>
      <c r="N48">
        <f t="shared" si="13"/>
        <v>3.1540594400000004E-2</v>
      </c>
      <c r="O48">
        <f t="shared" si="11"/>
        <v>1.81161289085E-2</v>
      </c>
      <c r="P48">
        <f t="shared" si="12"/>
        <v>0.14600605786451087</v>
      </c>
      <c r="V48">
        <v>-1.6000000000000201</v>
      </c>
      <c r="W48">
        <f t="shared" si="6"/>
        <v>-0.40287999999999902</v>
      </c>
    </row>
    <row r="49" spans="1:23" x14ac:dyDescent="0.3">
      <c r="A49">
        <v>2.0172137499999998</v>
      </c>
      <c r="B49">
        <v>0.54432000000000003</v>
      </c>
      <c r="C49">
        <f t="shared" si="8"/>
        <v>1.0980097884</v>
      </c>
      <c r="D49">
        <v>1.6E-2</v>
      </c>
      <c r="E49">
        <v>9.1900000000000003E-3</v>
      </c>
      <c r="F49">
        <f t="shared" si="9"/>
        <v>403.44274999999993</v>
      </c>
      <c r="G49">
        <f t="shared" si="1"/>
        <v>-0.54432000000000003</v>
      </c>
      <c r="H49">
        <f t="shared" si="2"/>
        <v>-219.60195768</v>
      </c>
      <c r="I49">
        <v>1</v>
      </c>
      <c r="J49">
        <f t="shared" si="3"/>
        <v>-0.90772068485775947</v>
      </c>
      <c r="K49">
        <f t="shared" si="4"/>
        <v>-0.63559057297601196</v>
      </c>
      <c r="L49">
        <v>1</v>
      </c>
      <c r="M49">
        <f t="shared" si="5"/>
        <v>0.43624786298985596</v>
      </c>
      <c r="N49">
        <f t="shared" si="13"/>
        <v>3.2275419999999999E-2</v>
      </c>
      <c r="O49">
        <f t="shared" si="11"/>
        <v>1.85381943625E-2</v>
      </c>
      <c r="P49">
        <f t="shared" si="12"/>
        <v>0.14852909562365599</v>
      </c>
      <c r="V49">
        <v>-1.50000000000002</v>
      </c>
      <c r="W49">
        <f t="shared" si="6"/>
        <v>-0.40769999999999901</v>
      </c>
    </row>
    <row r="50" spans="1:23" x14ac:dyDescent="0.3">
      <c r="A50">
        <v>2.0613906499999999</v>
      </c>
      <c r="B50">
        <v>0.53885000000000005</v>
      </c>
      <c r="C50">
        <f t="shared" si="8"/>
        <v>1.1107803517525001</v>
      </c>
      <c r="D50">
        <v>1.6E-2</v>
      </c>
      <c r="E50">
        <v>9.1900000000000003E-3</v>
      </c>
      <c r="F50">
        <f t="shared" si="9"/>
        <v>412.27812999999998</v>
      </c>
      <c r="G50">
        <f t="shared" si="1"/>
        <v>-0.53885000000000005</v>
      </c>
      <c r="H50">
        <f t="shared" si="2"/>
        <v>-222.15607035050002</v>
      </c>
      <c r="I50">
        <v>1</v>
      </c>
      <c r="J50">
        <f t="shared" si="3"/>
        <v>-0.886057084576233</v>
      </c>
      <c r="K50">
        <f t="shared" si="4"/>
        <v>-0.64106057297601193</v>
      </c>
      <c r="L50">
        <v>1</v>
      </c>
      <c r="M50">
        <f t="shared" si="5"/>
        <v>0.43729204852342557</v>
      </c>
      <c r="N50">
        <f t="shared" si="13"/>
        <v>3.2982250399999996E-2</v>
      </c>
      <c r="O50">
        <f t="shared" si="11"/>
        <v>1.8944180073499999E-2</v>
      </c>
      <c r="P50">
        <f t="shared" si="12"/>
        <v>0.15184209397908638</v>
      </c>
      <c r="V50">
        <v>-1.4000000000000199</v>
      </c>
      <c r="W50">
        <f t="shared" si="6"/>
        <v>-0.412519999999999</v>
      </c>
    </row>
    <row r="51" spans="1:23" x14ac:dyDescent="0.3">
      <c r="A51">
        <v>2.1051299999999999</v>
      </c>
      <c r="B51">
        <v>0.53390000000000004</v>
      </c>
      <c r="C51">
        <f t="shared" si="8"/>
        <v>1.123928907</v>
      </c>
      <c r="D51">
        <v>1.6E-2</v>
      </c>
      <c r="E51">
        <v>9.1900000000000003E-3</v>
      </c>
      <c r="F51">
        <f t="shared" si="9"/>
        <v>421.02600000000001</v>
      </c>
      <c r="G51">
        <f t="shared" si="1"/>
        <v>-0.53390000000000004</v>
      </c>
      <c r="H51">
        <f t="shared" si="2"/>
        <v>-224.78578140000002</v>
      </c>
      <c r="I51">
        <v>1</v>
      </c>
      <c r="J51">
        <f t="shared" si="3"/>
        <v>-0.86506068948697012</v>
      </c>
      <c r="K51">
        <f t="shared" si="4"/>
        <v>-0.64601057297601194</v>
      </c>
      <c r="L51">
        <v>1</v>
      </c>
      <c r="M51">
        <f t="shared" si="5"/>
        <v>0.438304074766728</v>
      </c>
      <c r="N51">
        <f t="shared" si="13"/>
        <v>3.3682080000000003E-2</v>
      </c>
      <c r="O51">
        <f t="shared" si="11"/>
        <v>1.9346144700000002E-2</v>
      </c>
      <c r="P51">
        <f t="shared" si="12"/>
        <v>0.15467827350928393</v>
      </c>
      <c r="V51">
        <v>-1.30000000000002</v>
      </c>
      <c r="W51">
        <f t="shared" si="6"/>
        <v>-0.41733999999999905</v>
      </c>
    </row>
    <row r="52" spans="1:23" x14ac:dyDescent="0.3">
      <c r="A52">
        <v>2.1519312999999998</v>
      </c>
      <c r="B52">
        <v>0.52853000000000006</v>
      </c>
      <c r="C52">
        <f t="shared" si="8"/>
        <v>1.1373602499890001</v>
      </c>
      <c r="D52">
        <v>1.6E-2</v>
      </c>
      <c r="E52">
        <v>9.1900000000000003E-3</v>
      </c>
      <c r="F52">
        <f t="shared" si="9"/>
        <v>430.38625999999994</v>
      </c>
      <c r="G52">
        <f t="shared" si="1"/>
        <v>-0.52853000000000006</v>
      </c>
      <c r="H52">
        <f t="shared" si="2"/>
        <v>-227.47204999780001</v>
      </c>
      <c r="I52">
        <v>1</v>
      </c>
      <c r="J52">
        <f t="shared" si="3"/>
        <v>-0.84307219443595927</v>
      </c>
      <c r="K52">
        <f t="shared" si="4"/>
        <v>-0.65138057297601193</v>
      </c>
      <c r="L52">
        <v>1</v>
      </c>
      <c r="M52">
        <f t="shared" si="5"/>
        <v>0.43936392022818677</v>
      </c>
      <c r="N52">
        <f t="shared" si="13"/>
        <v>3.4430900799999997E-2</v>
      </c>
      <c r="O52">
        <f t="shared" si="11"/>
        <v>1.9776248646999998E-2</v>
      </c>
      <c r="P52">
        <f t="shared" si="12"/>
        <v>0.15780950330082516</v>
      </c>
      <c r="V52">
        <v>-1.2000000000000199</v>
      </c>
      <c r="W52">
        <f t="shared" si="6"/>
        <v>-0.42215999999999904</v>
      </c>
    </row>
    <row r="53" spans="1:23" x14ac:dyDescent="0.3">
      <c r="A53">
        <v>2.1987324500000001</v>
      </c>
      <c r="B53">
        <v>0.52261999999999997</v>
      </c>
      <c r="C53">
        <f t="shared" si="8"/>
        <v>1.1491015530190001</v>
      </c>
      <c r="D53">
        <v>1.6E-2</v>
      </c>
      <c r="E53">
        <v>9.1900000000000003E-3</v>
      </c>
      <c r="F53">
        <f t="shared" si="9"/>
        <v>439.74648999999999</v>
      </c>
      <c r="G53">
        <f t="shared" si="1"/>
        <v>-0.52261999999999997</v>
      </c>
      <c r="H53">
        <f t="shared" si="2"/>
        <v>-229.82031060380001</v>
      </c>
      <c r="I53">
        <v>1</v>
      </c>
      <c r="J53">
        <f t="shared" si="3"/>
        <v>-0.8215568772041697</v>
      </c>
      <c r="K53">
        <f t="shared" si="4"/>
        <v>-0.65729057297601201</v>
      </c>
      <c r="L53">
        <v>1</v>
      </c>
      <c r="M53">
        <f t="shared" si="5"/>
        <v>0.44040095851875899</v>
      </c>
      <c r="N53">
        <f t="shared" si="13"/>
        <v>3.5179719200000001E-2</v>
      </c>
      <c r="O53">
        <f t="shared" si="11"/>
        <v>2.0206351215500001E-2</v>
      </c>
      <c r="P53">
        <f t="shared" si="12"/>
        <v>0.16150354404175302</v>
      </c>
      <c r="V53">
        <v>-1.1000000000000201</v>
      </c>
      <c r="W53">
        <f t="shared" si="6"/>
        <v>-0.42697999999999903</v>
      </c>
    </row>
    <row r="54" spans="1:23" x14ac:dyDescent="0.3">
      <c r="A54">
        <v>2.2472834000000002</v>
      </c>
      <c r="B54">
        <v>0.51756000000000002</v>
      </c>
      <c r="C54">
        <f t="shared" si="8"/>
        <v>1.1631039965040002</v>
      </c>
      <c r="D54">
        <v>1.6E-2</v>
      </c>
      <c r="E54">
        <v>9.1900000000000003E-3</v>
      </c>
      <c r="F54">
        <f t="shared" si="9"/>
        <v>449.45668000000001</v>
      </c>
      <c r="G54">
        <f t="shared" si="1"/>
        <v>-0.51756000000000002</v>
      </c>
      <c r="H54">
        <f t="shared" si="2"/>
        <v>-232.62079930080003</v>
      </c>
      <c r="I54">
        <v>1</v>
      </c>
      <c r="J54">
        <f t="shared" si="3"/>
        <v>-0.79971580346331972</v>
      </c>
      <c r="K54">
        <f t="shared" si="4"/>
        <v>-0.66235057297601196</v>
      </c>
      <c r="L54">
        <v>1</v>
      </c>
      <c r="M54">
        <f t="shared" si="5"/>
        <v>0.44145369827306796</v>
      </c>
      <c r="N54">
        <f t="shared" si="13"/>
        <v>3.5956534400000004E-2</v>
      </c>
      <c r="O54">
        <f t="shared" si="11"/>
        <v>2.0652534446000001E-2</v>
      </c>
      <c r="P54">
        <f t="shared" si="12"/>
        <v>0.16428780585694397</v>
      </c>
      <c r="V54">
        <v>-1.00000000000002</v>
      </c>
      <c r="W54">
        <f t="shared" si="6"/>
        <v>-0.43179999999999902</v>
      </c>
    </row>
    <row r="55" spans="1:23" x14ac:dyDescent="0.3">
      <c r="A55">
        <v>2.2927722500000001</v>
      </c>
      <c r="B55">
        <v>0.51180999999999999</v>
      </c>
      <c r="C55">
        <f t="shared" si="8"/>
        <v>1.1734637652725</v>
      </c>
      <c r="D55">
        <v>1.6E-2</v>
      </c>
      <c r="E55">
        <v>9.1900000000000003E-3</v>
      </c>
      <c r="F55">
        <f t="shared" si="9"/>
        <v>458.55445000000003</v>
      </c>
      <c r="G55">
        <f t="shared" si="1"/>
        <v>-0.51180999999999999</v>
      </c>
      <c r="H55">
        <f t="shared" si="2"/>
        <v>-234.6927530545</v>
      </c>
      <c r="I55">
        <v>1</v>
      </c>
      <c r="J55">
        <f t="shared" si="3"/>
        <v>-0.77967623752094639</v>
      </c>
      <c r="K55">
        <f t="shared" si="4"/>
        <v>-0.668100572976012</v>
      </c>
      <c r="L55">
        <v>1</v>
      </c>
      <c r="M55">
        <f t="shared" si="5"/>
        <v>0.44241960535149039</v>
      </c>
      <c r="N55">
        <f t="shared" si="13"/>
        <v>3.6684356000000001E-2</v>
      </c>
      <c r="O55">
        <f t="shared" si="11"/>
        <v>2.1070576977500002E-2</v>
      </c>
      <c r="P55">
        <f t="shared" si="12"/>
        <v>0.1679260346470216</v>
      </c>
      <c r="V55">
        <v>-0.90000000000002001</v>
      </c>
      <c r="W55">
        <f t="shared" si="6"/>
        <v>-0.43661999999999901</v>
      </c>
    </row>
    <row r="56" spans="1:23" x14ac:dyDescent="0.3">
      <c r="A56">
        <v>2.3360743999999998</v>
      </c>
      <c r="B56">
        <v>0.50590000000000002</v>
      </c>
      <c r="C56">
        <f t="shared" si="8"/>
        <v>1.18182003896</v>
      </c>
      <c r="D56">
        <v>1.6E-2</v>
      </c>
      <c r="E56">
        <v>9.1900000000000003E-3</v>
      </c>
      <c r="F56">
        <f t="shared" si="9"/>
        <v>467.21487999999994</v>
      </c>
      <c r="G56">
        <f t="shared" si="1"/>
        <v>-0.50590000000000002</v>
      </c>
      <c r="H56">
        <f t="shared" si="2"/>
        <v>-236.364007792</v>
      </c>
      <c r="I56">
        <v>1</v>
      </c>
      <c r="J56">
        <f t="shared" si="3"/>
        <v>-0.76096599866023007</v>
      </c>
      <c r="K56">
        <f t="shared" si="4"/>
        <v>-0.67401057297601197</v>
      </c>
      <c r="L56">
        <v>1</v>
      </c>
      <c r="M56">
        <f t="shared" si="5"/>
        <v>0.44332143886457687</v>
      </c>
      <c r="N56">
        <f t="shared" si="13"/>
        <v>3.7377190399999996E-2</v>
      </c>
      <c r="O56">
        <f t="shared" si="11"/>
        <v>2.1468523735999997E-2</v>
      </c>
      <c r="P56">
        <f t="shared" si="12"/>
        <v>0.17184341997543512</v>
      </c>
      <c r="V56">
        <v>-0.80000000000002003</v>
      </c>
      <c r="W56">
        <f t="shared" si="6"/>
        <v>-0.441439999999999</v>
      </c>
    </row>
    <row r="57" spans="1:23" x14ac:dyDescent="0.3">
      <c r="A57">
        <v>2.38243845</v>
      </c>
      <c r="B57">
        <v>0.50029999999999997</v>
      </c>
      <c r="C57">
        <f t="shared" si="8"/>
        <v>1.191933956535</v>
      </c>
      <c r="D57">
        <v>1.6E-2</v>
      </c>
      <c r="E57">
        <v>9.1900000000000003E-3</v>
      </c>
      <c r="F57">
        <f t="shared" si="9"/>
        <v>476.48768999999999</v>
      </c>
      <c r="G57">
        <f t="shared" si="1"/>
        <v>-0.50029999999999997</v>
      </c>
      <c r="H57">
        <f t="shared" si="2"/>
        <v>-238.38679130700001</v>
      </c>
      <c r="I57">
        <v>1</v>
      </c>
      <c r="J57">
        <f t="shared" si="3"/>
        <v>-0.74131339042935418</v>
      </c>
      <c r="K57">
        <f t="shared" si="4"/>
        <v>-0.67961057297601202</v>
      </c>
      <c r="L57">
        <v>1</v>
      </c>
      <c r="M57">
        <f t="shared" si="5"/>
        <v>0.44426869458130513</v>
      </c>
      <c r="N57">
        <f t="shared" si="13"/>
        <v>3.8119015200000002E-2</v>
      </c>
      <c r="O57">
        <f t="shared" si="11"/>
        <v>2.18946093555E-2</v>
      </c>
      <c r="P57">
        <f t="shared" si="12"/>
        <v>0.17532825383920689</v>
      </c>
      <c r="V57">
        <v>-0.70000000000002005</v>
      </c>
      <c r="W57">
        <f t="shared" si="6"/>
        <v>-0.44625999999999899</v>
      </c>
    </row>
    <row r="58" spans="1:23" x14ac:dyDescent="0.3">
      <c r="A58">
        <v>2.4266152999999999</v>
      </c>
      <c r="B58">
        <v>0.49467</v>
      </c>
      <c r="C58">
        <f t="shared" si="8"/>
        <v>1.2003737904509999</v>
      </c>
      <c r="D58">
        <v>1.6E-2</v>
      </c>
      <c r="E58">
        <v>9.1900000000000003E-3</v>
      </c>
      <c r="F58">
        <f t="shared" si="9"/>
        <v>485.32306</v>
      </c>
      <c r="G58">
        <f t="shared" si="1"/>
        <v>-0.49467</v>
      </c>
      <c r="H58">
        <f t="shared" si="2"/>
        <v>-240.07475809019999</v>
      </c>
      <c r="I58">
        <v>1</v>
      </c>
      <c r="J58">
        <f t="shared" si="3"/>
        <v>-0.72294050670006949</v>
      </c>
      <c r="K58">
        <f t="shared" si="4"/>
        <v>-0.68524057297601204</v>
      </c>
      <c r="L58">
        <v>1</v>
      </c>
      <c r="M58">
        <f t="shared" si="5"/>
        <v>0.44515426757705662</v>
      </c>
      <c r="N58">
        <f t="shared" si="13"/>
        <v>3.8825844800000002E-2</v>
      </c>
      <c r="O58">
        <f t="shared" si="11"/>
        <v>2.2300594606999999E-2</v>
      </c>
      <c r="P58">
        <f t="shared" si="12"/>
        <v>0.1789598659919554</v>
      </c>
      <c r="V58">
        <v>-0.60000000000001996</v>
      </c>
      <c r="W58">
        <f t="shared" si="6"/>
        <v>-0.45107999999999904</v>
      </c>
    </row>
    <row r="59" spans="1:23" x14ac:dyDescent="0.3">
      <c r="A59">
        <v>2.4703549499999999</v>
      </c>
      <c r="B59">
        <v>0.48902000000000001</v>
      </c>
      <c r="C59">
        <f t="shared" si="8"/>
        <v>1.2080529776490001</v>
      </c>
      <c r="D59">
        <v>1.6E-2</v>
      </c>
      <c r="E59">
        <v>9.1900000000000003E-3</v>
      </c>
      <c r="F59">
        <f t="shared" si="9"/>
        <v>494.07098999999999</v>
      </c>
      <c r="G59">
        <f t="shared" si="1"/>
        <v>-0.48902000000000001</v>
      </c>
      <c r="H59">
        <f t="shared" si="2"/>
        <v>-241.61059552980001</v>
      </c>
      <c r="I59">
        <v>1</v>
      </c>
      <c r="J59">
        <f t="shared" si="3"/>
        <v>-0.70507606766526909</v>
      </c>
      <c r="K59">
        <f t="shared" si="4"/>
        <v>-0.69089057297601197</v>
      </c>
      <c r="L59">
        <v>1</v>
      </c>
      <c r="M59">
        <f t="shared" si="5"/>
        <v>0.44601533353853401</v>
      </c>
      <c r="N59">
        <f t="shared" si="13"/>
        <v>3.9525679199999997E-2</v>
      </c>
      <c r="O59">
        <f t="shared" si="11"/>
        <v>2.2702561990500001E-2</v>
      </c>
      <c r="P59">
        <f t="shared" si="12"/>
        <v>0.18264699824697797</v>
      </c>
      <c r="V59">
        <v>-0.50000000000001998</v>
      </c>
      <c r="W59">
        <f t="shared" si="6"/>
        <v>-0.45589999999999903</v>
      </c>
    </row>
    <row r="60" spans="1:23" x14ac:dyDescent="0.3">
      <c r="A60">
        <v>2.5136571000000001</v>
      </c>
      <c r="B60">
        <v>0.48383999999999999</v>
      </c>
      <c r="C60">
        <f t="shared" si="8"/>
        <v>1.216207851264</v>
      </c>
      <c r="D60">
        <v>1.6E-2</v>
      </c>
      <c r="E60">
        <v>9.1900000000000003E-3</v>
      </c>
      <c r="F60">
        <f t="shared" si="9"/>
        <v>502.73142000000001</v>
      </c>
      <c r="G60">
        <f t="shared" si="1"/>
        <v>-0.48383999999999999</v>
      </c>
      <c r="H60">
        <f t="shared" si="2"/>
        <v>-243.24157025279999</v>
      </c>
      <c r="I60">
        <v>1</v>
      </c>
      <c r="J60">
        <f t="shared" si="3"/>
        <v>-0.68769920775023397</v>
      </c>
      <c r="K60">
        <f t="shared" si="4"/>
        <v>-0.69607057297601194</v>
      </c>
      <c r="L60">
        <v>1</v>
      </c>
      <c r="M60">
        <f t="shared" si="5"/>
        <v>0.4468528981864387</v>
      </c>
      <c r="N60">
        <f t="shared" si="13"/>
        <v>4.0218513600000005E-2</v>
      </c>
      <c r="O60">
        <f t="shared" si="11"/>
        <v>2.3100508749000003E-2</v>
      </c>
      <c r="P60">
        <f t="shared" si="12"/>
        <v>0.18589865244057324</v>
      </c>
      <c r="V60">
        <v>-0.40000000000002001</v>
      </c>
      <c r="W60">
        <f t="shared" si="6"/>
        <v>-0.46071999999999902</v>
      </c>
    </row>
    <row r="61" spans="1:23" x14ac:dyDescent="0.3">
      <c r="A61">
        <v>2.5587086999999999</v>
      </c>
      <c r="B61">
        <v>0.47816999999999998</v>
      </c>
      <c r="C61">
        <f t="shared" si="8"/>
        <v>1.2234977390789998</v>
      </c>
      <c r="D61">
        <v>1.6E-2</v>
      </c>
      <c r="E61">
        <v>9.1900000000000003E-3</v>
      </c>
      <c r="F61">
        <f t="shared" si="9"/>
        <v>511.74173999999999</v>
      </c>
      <c r="G61">
        <f t="shared" si="1"/>
        <v>-0.47816999999999998</v>
      </c>
      <c r="H61">
        <f t="shared" si="2"/>
        <v>-244.69954781579997</v>
      </c>
      <c r="I61">
        <v>1</v>
      </c>
      <c r="J61">
        <f t="shared" si="3"/>
        <v>-0.66993519526469869</v>
      </c>
      <c r="K61">
        <f t="shared" si="4"/>
        <v>-0.701740572976012</v>
      </c>
      <c r="L61">
        <v>1</v>
      </c>
      <c r="M61">
        <f t="shared" si="5"/>
        <v>0.4477091235882415</v>
      </c>
      <c r="N61">
        <f t="shared" si="13"/>
        <v>4.0939339200000001E-2</v>
      </c>
      <c r="O61">
        <f t="shared" si="11"/>
        <v>2.3514532953E-2</v>
      </c>
      <c r="P61">
        <f t="shared" si="12"/>
        <v>0.18957757723477051</v>
      </c>
      <c r="V61">
        <v>-0.30000000000001997</v>
      </c>
      <c r="W61">
        <f t="shared" si="6"/>
        <v>-0.46553999999999901</v>
      </c>
    </row>
    <row r="62" spans="1:23" x14ac:dyDescent="0.3">
      <c r="A62">
        <v>2.6028856</v>
      </c>
      <c r="B62">
        <v>0.47233999999999998</v>
      </c>
      <c r="C62">
        <f t="shared" si="8"/>
        <v>1.2294469843039999</v>
      </c>
      <c r="D62">
        <v>1.6E-2</v>
      </c>
      <c r="E62">
        <v>9.1900000000000003E-3</v>
      </c>
      <c r="F62">
        <f t="shared" si="9"/>
        <v>520.57712000000004</v>
      </c>
      <c r="G62">
        <f t="shared" si="1"/>
        <v>-0.47233999999999998</v>
      </c>
      <c r="H62">
        <f t="shared" si="2"/>
        <v>-245.88939686079999</v>
      </c>
      <c r="I62">
        <v>1</v>
      </c>
      <c r="J62">
        <f t="shared" si="3"/>
        <v>-0.65281723667675196</v>
      </c>
      <c r="K62">
        <f t="shared" si="4"/>
        <v>-0.707570572976012</v>
      </c>
      <c r="L62">
        <v>1</v>
      </c>
      <c r="M62">
        <f t="shared" si="5"/>
        <v>0.44853420919218057</v>
      </c>
      <c r="N62">
        <f t="shared" si="13"/>
        <v>4.1646169599999998E-2</v>
      </c>
      <c r="O62">
        <f t="shared" si="11"/>
        <v>2.3920518664000003E-2</v>
      </c>
      <c r="P62">
        <f t="shared" si="12"/>
        <v>0.19346967551983144</v>
      </c>
      <c r="V62">
        <v>-0.20000000000002</v>
      </c>
      <c r="W62">
        <f t="shared" si="6"/>
        <v>-0.470359999999999</v>
      </c>
    </row>
    <row r="63" spans="1:23" x14ac:dyDescent="0.3">
      <c r="A63">
        <v>2.6479371999999999</v>
      </c>
      <c r="B63">
        <v>0.46643000000000001</v>
      </c>
      <c r="C63">
        <f t="shared" si="8"/>
        <v>1.235077348196</v>
      </c>
      <c r="D63">
        <v>1.6E-2</v>
      </c>
      <c r="E63">
        <v>9.1900000000000003E-3</v>
      </c>
      <c r="F63">
        <f t="shared" si="9"/>
        <v>529.58744000000002</v>
      </c>
      <c r="G63">
        <f t="shared" si="1"/>
        <v>-0.46643000000000001</v>
      </c>
      <c r="H63">
        <f t="shared" si="2"/>
        <v>-247.01546963920001</v>
      </c>
      <c r="I63">
        <v>1</v>
      </c>
      <c r="J63">
        <f t="shared" si="3"/>
        <v>-0.63565699065265224</v>
      </c>
      <c r="K63">
        <f t="shared" si="4"/>
        <v>-0.71348057297601197</v>
      </c>
      <c r="L63">
        <v>1</v>
      </c>
      <c r="M63">
        <f t="shared" si="5"/>
        <v>0.44936133305054216</v>
      </c>
      <c r="N63">
        <f t="shared" si="13"/>
        <v>4.23669952E-2</v>
      </c>
      <c r="O63">
        <f t="shared" si="11"/>
        <v>2.4334542867999999E-2</v>
      </c>
      <c r="P63">
        <f t="shared" si="12"/>
        <v>0.19741770185746982</v>
      </c>
      <c r="V63">
        <v>-0.10000000000002</v>
      </c>
      <c r="W63">
        <f t="shared" si="6"/>
        <v>-0.47517999999999899</v>
      </c>
    </row>
    <row r="64" spans="1:23" x14ac:dyDescent="0.3">
      <c r="A64">
        <v>2.6921140000000001</v>
      </c>
      <c r="B64">
        <v>0.46045000000000003</v>
      </c>
      <c r="C64">
        <f t="shared" si="8"/>
        <v>1.2395838913000001</v>
      </c>
      <c r="D64">
        <v>1.6E-2</v>
      </c>
      <c r="E64">
        <v>9.1900000000000003E-3</v>
      </c>
      <c r="F64">
        <f t="shared" si="9"/>
        <v>538.42280000000005</v>
      </c>
      <c r="G64">
        <f t="shared" si="1"/>
        <v>-0.46045000000000003</v>
      </c>
      <c r="H64">
        <f t="shared" si="2"/>
        <v>-247.91677826000003</v>
      </c>
      <c r="I64">
        <v>1</v>
      </c>
      <c r="J64">
        <f t="shared" si="3"/>
        <v>-0.6191111538513776</v>
      </c>
      <c r="K64">
        <f t="shared" si="4"/>
        <v>-0.71946057297601196</v>
      </c>
      <c r="L64">
        <v>1</v>
      </c>
      <c r="M64">
        <f t="shared" si="5"/>
        <v>0.4501588423843636</v>
      </c>
      <c r="N64">
        <f t="shared" si="13"/>
        <v>4.3073824000000004E-2</v>
      </c>
      <c r="O64">
        <f t="shared" si="11"/>
        <v>2.4740527660000001E-2</v>
      </c>
      <c r="P64">
        <f t="shared" si="12"/>
        <v>0.20148737893164834</v>
      </c>
      <c r="V64">
        <v>-2.0428103653102899E-14</v>
      </c>
      <c r="W64">
        <f t="shared" si="6"/>
        <v>-0.47999999999999898</v>
      </c>
    </row>
    <row r="65" spans="1:23" x14ac:dyDescent="0.3">
      <c r="A65">
        <v>2.7358532000000002</v>
      </c>
      <c r="B65">
        <v>0.45429000000000003</v>
      </c>
      <c r="C65">
        <f t="shared" si="8"/>
        <v>1.2428707502280001</v>
      </c>
      <c r="D65">
        <v>1.6E-2</v>
      </c>
      <c r="E65">
        <v>9.1900000000000003E-3</v>
      </c>
      <c r="F65">
        <f t="shared" si="9"/>
        <v>547.17064000000005</v>
      </c>
      <c r="G65">
        <f t="shared" si="1"/>
        <v>-0.45429000000000003</v>
      </c>
      <c r="H65">
        <f t="shared" si="2"/>
        <v>-248.57415004560002</v>
      </c>
      <c r="I65">
        <v>1</v>
      </c>
      <c r="J65">
        <f t="shared" si="3"/>
        <v>-0.60299456908403593</v>
      </c>
      <c r="K65">
        <f t="shared" si="4"/>
        <v>-0.7256205729760119</v>
      </c>
      <c r="L65">
        <v>1</v>
      </c>
      <c r="M65">
        <f t="shared" si="5"/>
        <v>0.45093566177014943</v>
      </c>
      <c r="N65">
        <f t="shared" si="13"/>
        <v>4.3773651200000006E-2</v>
      </c>
      <c r="O65">
        <f t="shared" si="11"/>
        <v>2.5142490908000002E-2</v>
      </c>
      <c r="P65">
        <f t="shared" si="12"/>
        <v>0.20576876909786246</v>
      </c>
      <c r="V65">
        <v>9.9999999999980105E-2</v>
      </c>
      <c r="W65">
        <f t="shared" si="6"/>
        <v>-0.48481999999999903</v>
      </c>
    </row>
    <row r="66" spans="1:23" x14ac:dyDescent="0.3">
      <c r="A66">
        <v>2.7791553499999999</v>
      </c>
      <c r="B66">
        <v>0.44868000000000002</v>
      </c>
      <c r="C66">
        <f t="shared" si="8"/>
        <v>1.2469514224380001</v>
      </c>
      <c r="D66">
        <v>1.6E-2</v>
      </c>
      <c r="E66">
        <v>9.1900000000000003E-3</v>
      </c>
      <c r="F66">
        <f t="shared" si="9"/>
        <v>555.83106999999995</v>
      </c>
      <c r="G66">
        <f t="shared" si="1"/>
        <v>-0.44868000000000002</v>
      </c>
      <c r="H66">
        <f t="shared" si="2"/>
        <v>-249.39028448760001</v>
      </c>
      <c r="I66">
        <v>1</v>
      </c>
      <c r="J66">
        <f t="shared" si="3"/>
        <v>-0.58729086183277646</v>
      </c>
      <c r="K66">
        <f t="shared" si="4"/>
        <v>-0.73123057297601202</v>
      </c>
      <c r="L66">
        <v>1</v>
      </c>
      <c r="M66">
        <f t="shared" si="5"/>
        <v>0.45169258045966015</v>
      </c>
      <c r="N66">
        <f t="shared" si="13"/>
        <v>4.4466485600000001E-2</v>
      </c>
      <c r="O66">
        <f t="shared" si="11"/>
        <v>2.55404376665E-2</v>
      </c>
      <c r="P66">
        <f t="shared" si="12"/>
        <v>0.20953106924985188</v>
      </c>
      <c r="V66">
        <v>0.19999999999998</v>
      </c>
      <c r="W66">
        <f t="shared" si="6"/>
        <v>-0.48963999999999902</v>
      </c>
    </row>
    <row r="67" spans="1:23" x14ac:dyDescent="0.3">
      <c r="A67">
        <v>2.8246446500000002</v>
      </c>
      <c r="B67">
        <v>0.44268000000000002</v>
      </c>
      <c r="C67">
        <f t="shared" si="8"/>
        <v>1.2504136936620001</v>
      </c>
      <c r="D67">
        <v>1.6E-2</v>
      </c>
      <c r="E67">
        <v>9.1900000000000003E-3</v>
      </c>
      <c r="F67">
        <f t="shared" si="9"/>
        <v>564.92893000000004</v>
      </c>
      <c r="G67">
        <f t="shared" si="1"/>
        <v>-0.44268000000000002</v>
      </c>
      <c r="H67">
        <f t="shared" si="2"/>
        <v>-250.0827387324</v>
      </c>
      <c r="I67">
        <v>1</v>
      </c>
      <c r="J67">
        <f t="shared" si="3"/>
        <v>-0.5710553433582406</v>
      </c>
      <c r="K67">
        <f t="shared" si="4"/>
        <v>-0.73723057297601202</v>
      </c>
      <c r="L67">
        <v>1</v>
      </c>
      <c r="M67">
        <f t="shared" si="5"/>
        <v>0.45247513245013277</v>
      </c>
      <c r="N67">
        <f t="shared" si="13"/>
        <v>4.5194314400000005E-2</v>
      </c>
      <c r="O67">
        <f t="shared" si="11"/>
        <v>2.5958484333500002E-2</v>
      </c>
      <c r="P67">
        <f t="shared" si="12"/>
        <v>0.21360264179237926</v>
      </c>
      <c r="V67">
        <v>0.29999999999998</v>
      </c>
      <c r="W67">
        <f t="shared" si="6"/>
        <v>-0.49445999999999901</v>
      </c>
    </row>
    <row r="68" spans="1:23" x14ac:dyDescent="0.3">
      <c r="A68">
        <v>2.8683838500000003</v>
      </c>
      <c r="B68">
        <v>0.43631999999999999</v>
      </c>
      <c r="C68">
        <f t="shared" si="8"/>
        <v>1.2515332414320002</v>
      </c>
      <c r="D68">
        <v>1.6E-2</v>
      </c>
      <c r="E68">
        <v>9.1900000000000003E-3</v>
      </c>
      <c r="F68">
        <f t="shared" si="9"/>
        <v>573.67677000000003</v>
      </c>
      <c r="G68">
        <f t="shared" si="1"/>
        <v>-0.43631999999999999</v>
      </c>
      <c r="H68">
        <f t="shared" si="2"/>
        <v>-250.30664828640005</v>
      </c>
      <c r="I68">
        <v>1</v>
      </c>
      <c r="J68">
        <f t="shared" si="3"/>
        <v>-0.5556891597402206</v>
      </c>
      <c r="K68">
        <f t="shared" si="4"/>
        <v>-0.74359057297601194</v>
      </c>
      <c r="L68">
        <v>1</v>
      </c>
      <c r="M68">
        <f t="shared" si="5"/>
        <v>0.45321578250052136</v>
      </c>
      <c r="N68">
        <f t="shared" si="13"/>
        <v>4.5894141600000007E-2</v>
      </c>
      <c r="O68">
        <f t="shared" si="11"/>
        <v>2.6360447581500003E-2</v>
      </c>
      <c r="P68">
        <f t="shared" si="12"/>
        <v>0.2181202012939906</v>
      </c>
      <c r="V68">
        <v>0.39999999999997998</v>
      </c>
      <c r="W68">
        <f t="shared" si="6"/>
        <v>-0.499279999999999</v>
      </c>
    </row>
    <row r="69" spans="1:23" x14ac:dyDescent="0.3">
      <c r="A69">
        <v>2.9156225999999998</v>
      </c>
      <c r="B69">
        <v>0.43041000000000001</v>
      </c>
      <c r="C69">
        <f t="shared" ref="C69:C132" si="14">A69*B69</f>
        <v>1.254913123266</v>
      </c>
      <c r="D69">
        <v>1.6E-2</v>
      </c>
      <c r="E69">
        <v>9.1900000000000003E-3</v>
      </c>
      <c r="F69">
        <f t="shared" ref="F69:F132" si="15">A69*200</f>
        <v>583.12451999999996</v>
      </c>
      <c r="G69">
        <f t="shared" ref="G69:G132" si="16">-B69</f>
        <v>-0.43041000000000001</v>
      </c>
      <c r="H69">
        <f t="shared" ref="H69:H132" si="17">-C69*200</f>
        <v>-250.98262465319999</v>
      </c>
      <c r="I69">
        <v>1</v>
      </c>
      <c r="J69">
        <f t="shared" ref="J69:J132" si="18">LN(F69/1000)</f>
        <v>-0.53935453053199311</v>
      </c>
      <c r="K69">
        <f t="shared" ref="K69:K132" si="19">((-G69)-$N$2)</f>
        <v>-0.74950057297601202</v>
      </c>
      <c r="L69">
        <v>1</v>
      </c>
      <c r="M69">
        <f t="shared" ref="M69:M132" si="20">-1*($S$4+($S$5*J69))</f>
        <v>0.45400311162835794</v>
      </c>
      <c r="N69">
        <f t="shared" si="13"/>
        <v>4.6649961599999998E-2</v>
      </c>
      <c r="O69">
        <f t="shared" si="11"/>
        <v>2.6794571693999999E-2</v>
      </c>
      <c r="P69">
        <f t="shared" si="12"/>
        <v>0.22205292805365406</v>
      </c>
      <c r="V69">
        <v>0.49999999999998002</v>
      </c>
      <c r="W69">
        <f t="shared" ref="W69:W132" si="21">V69*$S$5+$S$4</f>
        <v>-0.50409999999999899</v>
      </c>
    </row>
    <row r="70" spans="1:23" x14ac:dyDescent="0.3">
      <c r="A70">
        <v>2.9602370000000002</v>
      </c>
      <c r="B70">
        <v>0.42376999999999998</v>
      </c>
      <c r="C70">
        <f t="shared" si="14"/>
        <v>1.25445963349</v>
      </c>
      <c r="D70">
        <v>1.6E-2</v>
      </c>
      <c r="E70">
        <v>9.1900000000000003E-3</v>
      </c>
      <c r="F70">
        <f t="shared" si="15"/>
        <v>592.04740000000004</v>
      </c>
      <c r="G70">
        <f t="shared" si="16"/>
        <v>-0.42376999999999998</v>
      </c>
      <c r="H70">
        <f t="shared" si="17"/>
        <v>-250.89192669799999</v>
      </c>
      <c r="I70">
        <v>1</v>
      </c>
      <c r="J70">
        <f t="shared" si="18"/>
        <v>-0.52416857973580044</v>
      </c>
      <c r="K70">
        <f t="shared" si="19"/>
        <v>-0.756140572976012</v>
      </c>
      <c r="L70">
        <v>1</v>
      </c>
      <c r="M70">
        <f t="shared" si="20"/>
        <v>0.45473507445673439</v>
      </c>
      <c r="N70">
        <f t="shared" si="13"/>
        <v>4.7363792000000002E-2</v>
      </c>
      <c r="O70">
        <f t="shared" ref="O70:O133" si="22">E70*A70</f>
        <v>2.7204578030000003E-2</v>
      </c>
      <c r="P70">
        <f t="shared" ref="P70:P133" si="23">-K70-M70-N70-O70</f>
        <v>0.22683712848927759</v>
      </c>
      <c r="V70">
        <v>0.59999999999997999</v>
      </c>
      <c r="W70">
        <f t="shared" si="21"/>
        <v>-0.50891999999999904</v>
      </c>
    </row>
    <row r="71" spans="1:23" x14ac:dyDescent="0.3">
      <c r="A71">
        <v>3.0039766500000002</v>
      </c>
      <c r="B71">
        <v>0.41782999999999998</v>
      </c>
      <c r="C71">
        <f t="shared" si="14"/>
        <v>1.2551515636695001</v>
      </c>
      <c r="D71">
        <v>1.6E-2</v>
      </c>
      <c r="E71">
        <v>9.1900000000000003E-3</v>
      </c>
      <c r="F71">
        <f t="shared" si="15"/>
        <v>600.79533000000004</v>
      </c>
      <c r="G71">
        <f t="shared" si="16"/>
        <v>-0.41782999999999998</v>
      </c>
      <c r="H71">
        <f t="shared" si="17"/>
        <v>-251.03031273390002</v>
      </c>
      <c r="I71">
        <v>1</v>
      </c>
      <c r="J71">
        <f t="shared" si="18"/>
        <v>-0.50950095153179575</v>
      </c>
      <c r="K71">
        <f t="shared" si="19"/>
        <v>-0.76208057297601206</v>
      </c>
      <c r="L71">
        <v>1</v>
      </c>
      <c r="M71">
        <f t="shared" si="20"/>
        <v>0.45544205413616745</v>
      </c>
      <c r="N71">
        <f t="shared" ref="N71:N134" si="24">D71*A71</f>
        <v>4.8063626400000004E-2</v>
      </c>
      <c r="O71">
        <f t="shared" si="22"/>
        <v>2.7606545413500005E-2</v>
      </c>
      <c r="P71">
        <f t="shared" si="23"/>
        <v>0.23096834702634461</v>
      </c>
      <c r="V71">
        <v>0.69999999999997997</v>
      </c>
      <c r="W71">
        <f t="shared" si="21"/>
        <v>-0.51373999999999898</v>
      </c>
    </row>
    <row r="72" spans="1:23" x14ac:dyDescent="0.3">
      <c r="A72">
        <v>3.0490282500000001</v>
      </c>
      <c r="B72">
        <v>0.41173999999999999</v>
      </c>
      <c r="C72">
        <f t="shared" si="14"/>
        <v>1.2554068916550001</v>
      </c>
      <c r="D72">
        <v>1.6E-2</v>
      </c>
      <c r="E72">
        <v>9.1900000000000003E-3</v>
      </c>
      <c r="F72">
        <f t="shared" si="15"/>
        <v>609.80565000000001</v>
      </c>
      <c r="G72">
        <f t="shared" si="16"/>
        <v>-0.41173999999999999</v>
      </c>
      <c r="H72">
        <f t="shared" si="17"/>
        <v>-251.08137833100002</v>
      </c>
      <c r="I72">
        <v>1</v>
      </c>
      <c r="J72">
        <f t="shared" si="18"/>
        <v>-0.49461497913800956</v>
      </c>
      <c r="K72">
        <f t="shared" si="19"/>
        <v>-0.76817057297601199</v>
      </c>
      <c r="L72">
        <v>1</v>
      </c>
      <c r="M72">
        <f t="shared" si="20"/>
        <v>0.45615955800554792</v>
      </c>
      <c r="N72">
        <f t="shared" si="24"/>
        <v>4.8784452000000006E-2</v>
      </c>
      <c r="O72">
        <f t="shared" si="22"/>
        <v>2.8020569617500001E-2</v>
      </c>
      <c r="P72">
        <f t="shared" si="23"/>
        <v>0.2352059933529641</v>
      </c>
      <c r="V72">
        <v>0.79999999999997995</v>
      </c>
      <c r="W72">
        <f t="shared" si="21"/>
        <v>-0.51855999999999902</v>
      </c>
    </row>
    <row r="73" spans="1:23" x14ac:dyDescent="0.3">
      <c r="A73">
        <v>3.0958297499999996</v>
      </c>
      <c r="B73">
        <v>0.40518999999999999</v>
      </c>
      <c r="C73">
        <f t="shared" si="14"/>
        <v>1.2543992564024997</v>
      </c>
      <c r="D73">
        <v>1.6E-2</v>
      </c>
      <c r="E73">
        <v>9.1900000000000003E-3</v>
      </c>
      <c r="F73">
        <f t="shared" si="15"/>
        <v>619.16594999999995</v>
      </c>
      <c r="G73">
        <f t="shared" si="16"/>
        <v>-0.40518999999999999</v>
      </c>
      <c r="H73">
        <f t="shared" si="17"/>
        <v>-250.87985128049993</v>
      </c>
      <c r="I73">
        <v>1</v>
      </c>
      <c r="J73">
        <f t="shared" si="18"/>
        <v>-0.47938194852871979</v>
      </c>
      <c r="K73">
        <f t="shared" si="19"/>
        <v>-0.77472057297601205</v>
      </c>
      <c r="L73">
        <v>1</v>
      </c>
      <c r="M73">
        <f t="shared" si="20"/>
        <v>0.45689379008091568</v>
      </c>
      <c r="N73">
        <f t="shared" si="24"/>
        <v>4.9533275999999994E-2</v>
      </c>
      <c r="O73">
        <f t="shared" si="22"/>
        <v>2.8450675402499997E-2</v>
      </c>
      <c r="P73">
        <f t="shared" si="23"/>
        <v>0.23984283149259636</v>
      </c>
      <c r="V73">
        <v>0.89999999999998004</v>
      </c>
      <c r="W73">
        <f t="shared" si="21"/>
        <v>-0.52337999999999907</v>
      </c>
    </row>
    <row r="74" spans="1:23" x14ac:dyDescent="0.3">
      <c r="A74">
        <v>3.1421933499999999</v>
      </c>
      <c r="B74">
        <v>0.39845000000000003</v>
      </c>
      <c r="C74">
        <f t="shared" si="14"/>
        <v>1.2520069403075</v>
      </c>
      <c r="D74">
        <v>1.6E-2</v>
      </c>
      <c r="E74">
        <v>9.1900000000000003E-3</v>
      </c>
      <c r="F74">
        <f t="shared" si="15"/>
        <v>628.43867</v>
      </c>
      <c r="G74">
        <f t="shared" si="16"/>
        <v>-0.39845000000000003</v>
      </c>
      <c r="H74">
        <f t="shared" si="17"/>
        <v>-250.4013880615</v>
      </c>
      <c r="I74">
        <v>1</v>
      </c>
      <c r="J74">
        <f t="shared" si="18"/>
        <v>-0.46451683725658072</v>
      </c>
      <c r="K74">
        <f t="shared" si="19"/>
        <v>-0.78146057297601201</v>
      </c>
      <c r="L74">
        <v>1</v>
      </c>
      <c r="M74">
        <f t="shared" si="20"/>
        <v>0.45761028844423279</v>
      </c>
      <c r="N74">
        <f t="shared" si="24"/>
        <v>5.0275093600000001E-2</v>
      </c>
      <c r="O74">
        <f t="shared" si="22"/>
        <v>2.8876756886499998E-2</v>
      </c>
      <c r="P74">
        <f t="shared" si="23"/>
        <v>0.24469843404527925</v>
      </c>
      <c r="V74">
        <v>0.99999999999998002</v>
      </c>
      <c r="W74">
        <f t="shared" si="21"/>
        <v>-0.528199999999999</v>
      </c>
    </row>
    <row r="75" spans="1:23" x14ac:dyDescent="0.3">
      <c r="A75">
        <v>3.1859327000000004</v>
      </c>
      <c r="B75">
        <v>0.39224999999999999</v>
      </c>
      <c r="C75">
        <f t="shared" si="14"/>
        <v>1.2496821015750001</v>
      </c>
      <c r="D75">
        <v>1.6E-2</v>
      </c>
      <c r="E75">
        <v>9.1900000000000003E-3</v>
      </c>
      <c r="F75">
        <f t="shared" si="15"/>
        <v>637.18654000000004</v>
      </c>
      <c r="G75">
        <f t="shared" si="16"/>
        <v>-0.39224999999999999</v>
      </c>
      <c r="H75">
        <f t="shared" si="17"/>
        <v>-249.93642031500002</v>
      </c>
      <c r="I75">
        <v>1</v>
      </c>
      <c r="J75">
        <f t="shared" si="18"/>
        <v>-0.45069282483539014</v>
      </c>
      <c r="K75">
        <f t="shared" si="19"/>
        <v>-0.787660572976012</v>
      </c>
      <c r="L75">
        <v>1</v>
      </c>
      <c r="M75">
        <f t="shared" si="20"/>
        <v>0.45827660584293417</v>
      </c>
      <c r="N75">
        <f t="shared" si="24"/>
        <v>5.0974923200000008E-2</v>
      </c>
      <c r="O75">
        <f t="shared" si="22"/>
        <v>2.9278721513000004E-2</v>
      </c>
      <c r="P75">
        <f t="shared" si="23"/>
        <v>0.24913032242007779</v>
      </c>
      <c r="V75">
        <v>1.0999999999999699</v>
      </c>
      <c r="W75">
        <f t="shared" si="21"/>
        <v>-0.53301999999999849</v>
      </c>
    </row>
    <row r="76" spans="1:23" x14ac:dyDescent="0.3">
      <c r="A76">
        <v>3.2292348500000001</v>
      </c>
      <c r="B76">
        <v>0.38551000000000002</v>
      </c>
      <c r="C76">
        <f t="shared" si="14"/>
        <v>1.2449023270235</v>
      </c>
      <c r="D76">
        <v>1.6E-2</v>
      </c>
      <c r="E76">
        <v>9.1900000000000003E-3</v>
      </c>
      <c r="F76">
        <f t="shared" si="15"/>
        <v>645.84697000000006</v>
      </c>
      <c r="G76">
        <f t="shared" si="16"/>
        <v>-0.38551000000000002</v>
      </c>
      <c r="H76">
        <f t="shared" si="17"/>
        <v>-248.9804654047</v>
      </c>
      <c r="I76">
        <v>1</v>
      </c>
      <c r="J76">
        <f t="shared" si="18"/>
        <v>-0.43719269180695003</v>
      </c>
      <c r="K76">
        <f t="shared" si="19"/>
        <v>-0.79440057297601196</v>
      </c>
      <c r="L76">
        <v>1</v>
      </c>
      <c r="M76">
        <f t="shared" si="20"/>
        <v>0.45892731225490502</v>
      </c>
      <c r="N76">
        <f t="shared" si="24"/>
        <v>5.1667757600000003E-2</v>
      </c>
      <c r="O76">
        <f t="shared" si="22"/>
        <v>2.9676668271500003E-2</v>
      </c>
      <c r="P76">
        <f t="shared" si="23"/>
        <v>0.25412883484960697</v>
      </c>
      <c r="V76">
        <v>1.19999999999997</v>
      </c>
      <c r="W76">
        <f t="shared" si="21"/>
        <v>-0.53783999999999854</v>
      </c>
    </row>
    <row r="77" spans="1:23" x14ac:dyDescent="0.3">
      <c r="A77">
        <v>3.2734118999999997</v>
      </c>
      <c r="B77">
        <v>0.37935999999999998</v>
      </c>
      <c r="C77">
        <f t="shared" si="14"/>
        <v>1.2418015383839998</v>
      </c>
      <c r="D77">
        <v>1.6E-2</v>
      </c>
      <c r="E77">
        <v>9.1900000000000003E-3</v>
      </c>
      <c r="F77">
        <f t="shared" si="15"/>
        <v>654.68237999999997</v>
      </c>
      <c r="G77">
        <f t="shared" si="16"/>
        <v>-0.37935999999999998</v>
      </c>
      <c r="H77">
        <f t="shared" si="17"/>
        <v>-248.36030767679995</v>
      </c>
      <c r="I77">
        <v>1</v>
      </c>
      <c r="J77">
        <f t="shared" si="18"/>
        <v>-0.42360507698721994</v>
      </c>
      <c r="K77">
        <f t="shared" si="19"/>
        <v>-0.80055057297601206</v>
      </c>
      <c r="L77">
        <v>1</v>
      </c>
      <c r="M77">
        <f t="shared" si="20"/>
        <v>0.45958223528921599</v>
      </c>
      <c r="N77">
        <f t="shared" si="24"/>
        <v>5.2374590399999997E-2</v>
      </c>
      <c r="O77">
        <f t="shared" si="22"/>
        <v>3.0082655360999997E-2</v>
      </c>
      <c r="P77">
        <f t="shared" si="23"/>
        <v>0.25851109192579608</v>
      </c>
      <c r="V77">
        <v>1.2999999999999701</v>
      </c>
      <c r="W77">
        <f t="shared" si="21"/>
        <v>-0.54265999999999859</v>
      </c>
    </row>
    <row r="78" spans="1:23" x14ac:dyDescent="0.3">
      <c r="A78">
        <v>3.3171512999999999</v>
      </c>
      <c r="B78">
        <v>0.373</v>
      </c>
      <c r="C78">
        <f t="shared" si="14"/>
        <v>1.2372974348999999</v>
      </c>
      <c r="D78">
        <v>1.6E-2</v>
      </c>
      <c r="E78">
        <v>9.1900000000000003E-3</v>
      </c>
      <c r="F78">
        <f t="shared" si="15"/>
        <v>663.43025999999998</v>
      </c>
      <c r="G78">
        <f t="shared" si="16"/>
        <v>-0.373</v>
      </c>
      <c r="H78">
        <f t="shared" si="17"/>
        <v>-247.45948697999998</v>
      </c>
      <c r="I78">
        <v>1</v>
      </c>
      <c r="J78">
        <f t="shared" si="18"/>
        <v>-0.41033154000326916</v>
      </c>
      <c r="K78">
        <f t="shared" si="19"/>
        <v>-0.80691057297601199</v>
      </c>
      <c r="L78">
        <v>1</v>
      </c>
      <c r="M78">
        <f t="shared" si="20"/>
        <v>0.46022201977184241</v>
      </c>
      <c r="N78">
        <f t="shared" si="24"/>
        <v>5.3074420800000001E-2</v>
      </c>
      <c r="O78">
        <f t="shared" si="22"/>
        <v>3.0484620447E-2</v>
      </c>
      <c r="P78">
        <f t="shared" si="23"/>
        <v>0.26312951195716955</v>
      </c>
      <c r="V78">
        <v>1.3999999999999699</v>
      </c>
      <c r="W78">
        <f t="shared" si="21"/>
        <v>-0.54747999999999852</v>
      </c>
    </row>
    <row r="79" spans="1:23" x14ac:dyDescent="0.3">
      <c r="A79">
        <v>3.3613282</v>
      </c>
      <c r="B79">
        <v>0.36664000000000002</v>
      </c>
      <c r="C79">
        <f t="shared" si="14"/>
        <v>1.2323973712480001</v>
      </c>
      <c r="D79">
        <v>1.6E-2</v>
      </c>
      <c r="E79">
        <v>9.1900000000000003E-3</v>
      </c>
      <c r="F79">
        <f t="shared" si="15"/>
        <v>672.26563999999996</v>
      </c>
      <c r="G79">
        <f t="shared" si="16"/>
        <v>-0.36664000000000002</v>
      </c>
      <c r="H79">
        <f t="shared" si="17"/>
        <v>-246.4794742496</v>
      </c>
      <c r="I79">
        <v>1</v>
      </c>
      <c r="J79">
        <f t="shared" si="18"/>
        <v>-0.39710171894946006</v>
      </c>
      <c r="K79">
        <f t="shared" si="19"/>
        <v>-0.81327057297601191</v>
      </c>
      <c r="L79">
        <v>1</v>
      </c>
      <c r="M79">
        <f t="shared" si="20"/>
        <v>0.46085969714663599</v>
      </c>
      <c r="N79">
        <f t="shared" si="24"/>
        <v>5.3781251199999998E-2</v>
      </c>
      <c r="O79">
        <f t="shared" si="22"/>
        <v>3.0890606158E-2</v>
      </c>
      <c r="P79">
        <f t="shared" si="23"/>
        <v>0.26773901847137593</v>
      </c>
      <c r="V79">
        <v>1.49999999999997</v>
      </c>
      <c r="W79">
        <f t="shared" si="21"/>
        <v>-0.55229999999999857</v>
      </c>
    </row>
    <row r="80" spans="1:23" x14ac:dyDescent="0.3">
      <c r="A80">
        <v>3.4046303499999997</v>
      </c>
      <c r="B80">
        <v>0.35976000000000002</v>
      </c>
      <c r="C80">
        <f t="shared" si="14"/>
        <v>1.2248498147160001</v>
      </c>
      <c r="D80">
        <v>1.6E-2</v>
      </c>
      <c r="E80">
        <v>9.1900000000000003E-3</v>
      </c>
      <c r="F80">
        <f t="shared" si="15"/>
        <v>680.92606999999998</v>
      </c>
      <c r="G80">
        <f t="shared" si="16"/>
        <v>-0.35976000000000002</v>
      </c>
      <c r="H80">
        <f t="shared" si="17"/>
        <v>-244.96996294320002</v>
      </c>
      <c r="I80">
        <v>1</v>
      </c>
      <c r="J80">
        <f t="shared" si="18"/>
        <v>-0.38430153966558456</v>
      </c>
      <c r="K80">
        <f t="shared" si="19"/>
        <v>-0.8201505729760119</v>
      </c>
      <c r="L80">
        <v>1</v>
      </c>
      <c r="M80">
        <f t="shared" si="20"/>
        <v>0.4614766657881188</v>
      </c>
      <c r="N80">
        <f t="shared" si="24"/>
        <v>5.44740856E-2</v>
      </c>
      <c r="O80">
        <f t="shared" si="22"/>
        <v>3.1288552916499998E-2</v>
      </c>
      <c r="P80">
        <f t="shared" si="23"/>
        <v>0.27291126867139309</v>
      </c>
      <c r="V80">
        <v>1.5999999999999699</v>
      </c>
      <c r="W80">
        <f t="shared" si="21"/>
        <v>-0.55711999999999851</v>
      </c>
    </row>
    <row r="81" spans="1:23" x14ac:dyDescent="0.3">
      <c r="A81">
        <v>3.4501195999999998</v>
      </c>
      <c r="B81">
        <v>0.35357</v>
      </c>
      <c r="C81">
        <f t="shared" si="14"/>
        <v>1.2198587869719999</v>
      </c>
      <c r="D81">
        <v>1.6E-2</v>
      </c>
      <c r="E81">
        <v>9.1900000000000003E-3</v>
      </c>
      <c r="F81">
        <f t="shared" si="15"/>
        <v>690.02391999999998</v>
      </c>
      <c r="G81">
        <f t="shared" si="16"/>
        <v>-0.35357</v>
      </c>
      <c r="H81">
        <f t="shared" si="17"/>
        <v>-243.97175739439999</v>
      </c>
      <c r="I81">
        <v>1</v>
      </c>
      <c r="J81">
        <f t="shared" si="18"/>
        <v>-0.37102901532504029</v>
      </c>
      <c r="K81">
        <f t="shared" si="19"/>
        <v>-0.82634057297601204</v>
      </c>
      <c r="L81">
        <v>1</v>
      </c>
      <c r="M81">
        <f t="shared" si="20"/>
        <v>0.46211640146133304</v>
      </c>
      <c r="N81">
        <f t="shared" si="24"/>
        <v>5.5201913599999999E-2</v>
      </c>
      <c r="O81">
        <f t="shared" si="22"/>
        <v>3.1706599124E-2</v>
      </c>
      <c r="P81">
        <f t="shared" si="23"/>
        <v>0.27731565879067904</v>
      </c>
      <c r="V81">
        <v>1.69999999999997</v>
      </c>
      <c r="W81">
        <f t="shared" si="21"/>
        <v>-0.56193999999999855</v>
      </c>
    </row>
    <row r="82" spans="1:23" x14ac:dyDescent="0.3">
      <c r="A82">
        <v>3.4947338000000001</v>
      </c>
      <c r="B82">
        <v>0.34637000000000001</v>
      </c>
      <c r="C82">
        <f t="shared" si="14"/>
        <v>1.2104709463060002</v>
      </c>
      <c r="D82">
        <v>1.6E-2</v>
      </c>
      <c r="E82">
        <v>9.1900000000000003E-3</v>
      </c>
      <c r="F82">
        <f t="shared" si="15"/>
        <v>698.94676000000004</v>
      </c>
      <c r="G82">
        <f t="shared" si="16"/>
        <v>-0.34637000000000001</v>
      </c>
      <c r="H82">
        <f t="shared" si="17"/>
        <v>-242.09418926120003</v>
      </c>
      <c r="I82">
        <v>1</v>
      </c>
      <c r="J82">
        <f t="shared" si="18"/>
        <v>-0.35818070560045923</v>
      </c>
      <c r="K82">
        <f t="shared" si="19"/>
        <v>-0.83354057297601192</v>
      </c>
      <c r="L82">
        <v>1</v>
      </c>
      <c r="M82">
        <f t="shared" si="20"/>
        <v>0.46273568999005787</v>
      </c>
      <c r="N82">
        <f t="shared" si="24"/>
        <v>5.5915740800000002E-2</v>
      </c>
      <c r="O82">
        <f t="shared" si="22"/>
        <v>3.2116603622000001E-2</v>
      </c>
      <c r="P82">
        <f t="shared" si="23"/>
        <v>0.28277253856395401</v>
      </c>
      <c r="V82">
        <v>1.7999999999999701</v>
      </c>
      <c r="W82">
        <f t="shared" si="21"/>
        <v>-0.5667599999999986</v>
      </c>
    </row>
    <row r="83" spans="1:23" x14ac:dyDescent="0.3">
      <c r="A83">
        <v>3.5384733999999995</v>
      </c>
      <c r="B83">
        <v>0.33955000000000002</v>
      </c>
      <c r="C83">
        <f t="shared" si="14"/>
        <v>1.20148864297</v>
      </c>
      <c r="D83">
        <v>1.6E-2</v>
      </c>
      <c r="E83">
        <v>9.1900000000000003E-3</v>
      </c>
      <c r="F83">
        <f t="shared" si="15"/>
        <v>707.69467999999995</v>
      </c>
      <c r="G83">
        <f t="shared" si="16"/>
        <v>-0.33955000000000002</v>
      </c>
      <c r="H83">
        <f t="shared" si="17"/>
        <v>-240.29772859400001</v>
      </c>
      <c r="I83">
        <v>1</v>
      </c>
      <c r="J83">
        <f t="shared" si="18"/>
        <v>-0.34574252123824772</v>
      </c>
      <c r="K83">
        <f t="shared" si="19"/>
        <v>-0.84036057297601197</v>
      </c>
      <c r="L83">
        <v>1</v>
      </c>
      <c r="M83">
        <f t="shared" si="20"/>
        <v>0.46333521047631643</v>
      </c>
      <c r="N83">
        <f t="shared" si="24"/>
        <v>5.6615574399999993E-2</v>
      </c>
      <c r="O83">
        <f t="shared" si="22"/>
        <v>3.2518570545999999E-2</v>
      </c>
      <c r="P83">
        <f t="shared" si="23"/>
        <v>0.28789121755369557</v>
      </c>
      <c r="V83">
        <v>1.8999999999999699</v>
      </c>
      <c r="W83">
        <f t="shared" si="21"/>
        <v>-0.57157999999999853</v>
      </c>
    </row>
    <row r="84" spans="1:23" x14ac:dyDescent="0.3">
      <c r="A84">
        <v>3.5822129999999999</v>
      </c>
      <c r="B84">
        <v>0.33307999999999999</v>
      </c>
      <c r="C84">
        <f t="shared" si="14"/>
        <v>1.1931635060399999</v>
      </c>
      <c r="D84">
        <v>1.6E-2</v>
      </c>
      <c r="E84">
        <v>9.1900000000000003E-3</v>
      </c>
      <c r="F84">
        <f t="shared" si="15"/>
        <v>716.44259999999997</v>
      </c>
      <c r="G84">
        <f t="shared" si="16"/>
        <v>-0.33307999999999999</v>
      </c>
      <c r="H84">
        <f t="shared" si="17"/>
        <v>-238.63270120799999</v>
      </c>
      <c r="I84">
        <v>1</v>
      </c>
      <c r="J84">
        <f t="shared" si="18"/>
        <v>-0.33345714657689352</v>
      </c>
      <c r="K84">
        <f t="shared" si="19"/>
        <v>-0.84683057297601194</v>
      </c>
      <c r="L84">
        <v>1</v>
      </c>
      <c r="M84">
        <f t="shared" si="20"/>
        <v>0.4639273655349937</v>
      </c>
      <c r="N84">
        <f t="shared" si="24"/>
        <v>5.7315407999999998E-2</v>
      </c>
      <c r="O84">
        <f t="shared" si="22"/>
        <v>3.2920537469999997E-2</v>
      </c>
      <c r="P84">
        <f t="shared" si="23"/>
        <v>0.29266726197101822</v>
      </c>
      <c r="V84">
        <v>1.99999999999997</v>
      </c>
      <c r="W84">
        <f t="shared" si="21"/>
        <v>-0.57639999999999858</v>
      </c>
    </row>
    <row r="85" spans="1:23" x14ac:dyDescent="0.3">
      <c r="A85">
        <v>3.62551515</v>
      </c>
      <c r="B85">
        <v>0.32583000000000001</v>
      </c>
      <c r="C85">
        <f t="shared" si="14"/>
        <v>1.1813016013245001</v>
      </c>
      <c r="D85">
        <v>1.6E-2</v>
      </c>
      <c r="E85">
        <v>9.1900000000000003E-3</v>
      </c>
      <c r="F85">
        <f t="shared" si="15"/>
        <v>725.10302999999999</v>
      </c>
      <c r="G85">
        <f t="shared" si="16"/>
        <v>-0.32583000000000001</v>
      </c>
      <c r="H85">
        <f t="shared" si="17"/>
        <v>-236.26032026490003</v>
      </c>
      <c r="I85">
        <v>1</v>
      </c>
      <c r="J85">
        <f t="shared" si="18"/>
        <v>-0.32144152387935321</v>
      </c>
      <c r="K85">
        <f t="shared" si="19"/>
        <v>-0.85408057297601192</v>
      </c>
      <c r="L85">
        <v>1</v>
      </c>
      <c r="M85">
        <f t="shared" si="20"/>
        <v>0.46450651854901515</v>
      </c>
      <c r="N85">
        <f t="shared" si="24"/>
        <v>5.80082424E-2</v>
      </c>
      <c r="O85">
        <f t="shared" si="22"/>
        <v>3.3318484228499999E-2</v>
      </c>
      <c r="P85">
        <f t="shared" si="23"/>
        <v>0.29824732779849678</v>
      </c>
      <c r="V85">
        <v>2.0999999999999699</v>
      </c>
      <c r="W85">
        <f t="shared" si="21"/>
        <v>-0.58121999999999852</v>
      </c>
    </row>
    <row r="86" spans="1:23" x14ac:dyDescent="0.3">
      <c r="A86">
        <v>3.6696917999999998</v>
      </c>
      <c r="B86">
        <v>0.31912000000000001</v>
      </c>
      <c r="C86">
        <f t="shared" si="14"/>
        <v>1.1710720472160001</v>
      </c>
      <c r="D86">
        <v>1.6E-2</v>
      </c>
      <c r="E86">
        <v>9.1900000000000003E-3</v>
      </c>
      <c r="F86">
        <f t="shared" si="15"/>
        <v>733.93835999999999</v>
      </c>
      <c r="G86">
        <f t="shared" si="16"/>
        <v>-0.31912000000000001</v>
      </c>
      <c r="H86">
        <f t="shared" si="17"/>
        <v>-234.21440944320003</v>
      </c>
      <c r="I86">
        <v>1</v>
      </c>
      <c r="J86">
        <f t="shared" si="18"/>
        <v>-0.30933023209562294</v>
      </c>
      <c r="K86">
        <f t="shared" si="19"/>
        <v>-0.86079057297601191</v>
      </c>
      <c r="L86">
        <v>1</v>
      </c>
      <c r="M86">
        <f t="shared" si="20"/>
        <v>0.46509028281299097</v>
      </c>
      <c r="N86">
        <f t="shared" si="24"/>
        <v>5.8715068799999999E-2</v>
      </c>
      <c r="O86">
        <f t="shared" si="22"/>
        <v>3.3724467642000003E-2</v>
      </c>
      <c r="P86">
        <f t="shared" si="23"/>
        <v>0.30326075372102096</v>
      </c>
      <c r="V86">
        <v>2.19999999999997</v>
      </c>
      <c r="W86">
        <f t="shared" si="21"/>
        <v>-0.58603999999999856</v>
      </c>
    </row>
    <row r="87" spans="1:23" x14ac:dyDescent="0.3">
      <c r="A87">
        <v>3.71299395</v>
      </c>
      <c r="B87">
        <v>0.31186999999999998</v>
      </c>
      <c r="C87">
        <f t="shared" si="14"/>
        <v>1.1579714231864999</v>
      </c>
      <c r="D87">
        <v>1.6E-2</v>
      </c>
      <c r="E87">
        <v>9.1900000000000003E-3</v>
      </c>
      <c r="F87">
        <f t="shared" si="15"/>
        <v>742.59879000000001</v>
      </c>
      <c r="G87">
        <f t="shared" si="16"/>
        <v>-0.31186999999999998</v>
      </c>
      <c r="H87">
        <f t="shared" si="17"/>
        <v>-231.59428463729998</v>
      </c>
      <c r="I87">
        <v>1</v>
      </c>
      <c r="J87">
        <f t="shared" si="18"/>
        <v>-0.29759936665066533</v>
      </c>
      <c r="K87">
        <f t="shared" si="19"/>
        <v>-0.868040572976012</v>
      </c>
      <c r="L87">
        <v>1</v>
      </c>
      <c r="M87">
        <f t="shared" si="20"/>
        <v>0.46565571052743793</v>
      </c>
      <c r="N87">
        <f t="shared" si="24"/>
        <v>5.9407903200000001E-2</v>
      </c>
      <c r="O87">
        <f t="shared" si="22"/>
        <v>3.4122414400499998E-2</v>
      </c>
      <c r="P87">
        <f t="shared" si="23"/>
        <v>0.30885454484807406</v>
      </c>
      <c r="V87">
        <v>2.2999999999999701</v>
      </c>
      <c r="W87">
        <f t="shared" si="21"/>
        <v>-0.5908599999999985</v>
      </c>
    </row>
    <row r="88" spans="1:23" x14ac:dyDescent="0.3">
      <c r="A88">
        <v>3.7567335000000002</v>
      </c>
      <c r="B88">
        <v>0.30459000000000003</v>
      </c>
      <c r="C88">
        <f t="shared" si="14"/>
        <v>1.1442634567650001</v>
      </c>
      <c r="D88">
        <v>1.6E-2</v>
      </c>
      <c r="E88">
        <v>9.1900000000000003E-3</v>
      </c>
      <c r="F88">
        <f t="shared" si="15"/>
        <v>751.34670000000006</v>
      </c>
      <c r="G88">
        <f t="shared" si="16"/>
        <v>-0.30459000000000003</v>
      </c>
      <c r="H88">
        <f t="shared" si="17"/>
        <v>-228.85269135300001</v>
      </c>
      <c r="I88">
        <v>1</v>
      </c>
      <c r="J88">
        <f t="shared" si="18"/>
        <v>-0.28588808261427717</v>
      </c>
      <c r="K88">
        <f t="shared" si="19"/>
        <v>-0.87532057297601196</v>
      </c>
      <c r="L88">
        <v>1</v>
      </c>
      <c r="M88">
        <f t="shared" si="20"/>
        <v>0.46622019441799184</v>
      </c>
      <c r="N88">
        <f t="shared" si="24"/>
        <v>6.0107736000000002E-2</v>
      </c>
      <c r="O88">
        <f t="shared" si="22"/>
        <v>3.4524380865000003E-2</v>
      </c>
      <c r="P88">
        <f t="shared" si="23"/>
        <v>0.31446826169302011</v>
      </c>
      <c r="V88">
        <v>2.3999999999999702</v>
      </c>
      <c r="W88">
        <f t="shared" si="21"/>
        <v>-0.59567999999999854</v>
      </c>
    </row>
    <row r="89" spans="1:23" x14ac:dyDescent="0.3">
      <c r="A89">
        <v>3.8004731500000002</v>
      </c>
      <c r="B89">
        <v>0.29757</v>
      </c>
      <c r="C89">
        <f t="shared" si="14"/>
        <v>1.1309067952455001</v>
      </c>
      <c r="D89">
        <v>1.6E-2</v>
      </c>
      <c r="E89">
        <v>9.1900000000000003E-3</v>
      </c>
      <c r="F89">
        <f t="shared" si="15"/>
        <v>760.09463000000005</v>
      </c>
      <c r="G89">
        <f t="shared" si="16"/>
        <v>-0.29757</v>
      </c>
      <c r="H89">
        <f t="shared" si="17"/>
        <v>-226.18135904910002</v>
      </c>
      <c r="I89">
        <v>1</v>
      </c>
      <c r="J89">
        <f t="shared" si="18"/>
        <v>-0.27431234029498525</v>
      </c>
      <c r="K89">
        <f t="shared" si="19"/>
        <v>-0.88234057297601198</v>
      </c>
      <c r="L89">
        <v>1</v>
      </c>
      <c r="M89">
        <f t="shared" si="20"/>
        <v>0.46677814519778171</v>
      </c>
      <c r="N89">
        <f t="shared" si="24"/>
        <v>6.0807570400000004E-2</v>
      </c>
      <c r="O89">
        <f t="shared" si="22"/>
        <v>3.4926348248500001E-2</v>
      </c>
      <c r="P89">
        <f t="shared" si="23"/>
        <v>0.31982850912973027</v>
      </c>
      <c r="V89">
        <v>2.4999999999999698</v>
      </c>
      <c r="W89">
        <f t="shared" si="21"/>
        <v>-0.60049999999999848</v>
      </c>
    </row>
    <row r="90" spans="1:23" x14ac:dyDescent="0.3">
      <c r="A90">
        <v>3.8446497499999999</v>
      </c>
      <c r="B90">
        <v>0.29056999999999999</v>
      </c>
      <c r="C90">
        <f t="shared" si="14"/>
        <v>1.1171398778574999</v>
      </c>
      <c r="D90">
        <v>1.6E-2</v>
      </c>
      <c r="E90">
        <v>9.1900000000000003E-3</v>
      </c>
      <c r="F90">
        <f t="shared" si="15"/>
        <v>768.92994999999996</v>
      </c>
      <c r="G90">
        <f t="shared" si="16"/>
        <v>-0.29056999999999999</v>
      </c>
      <c r="H90">
        <f t="shared" si="17"/>
        <v>-223.42797557149999</v>
      </c>
      <c r="I90">
        <v>1</v>
      </c>
      <c r="J90">
        <f t="shared" si="18"/>
        <v>-0.26275540595334945</v>
      </c>
      <c r="K90">
        <f t="shared" si="19"/>
        <v>-0.88934057297601199</v>
      </c>
      <c r="L90">
        <v>1</v>
      </c>
      <c r="M90">
        <f t="shared" si="20"/>
        <v>0.46733518943304853</v>
      </c>
      <c r="N90">
        <f t="shared" si="24"/>
        <v>6.1514395999999999E-2</v>
      </c>
      <c r="O90">
        <f t="shared" si="22"/>
        <v>3.5332331202499997E-2</v>
      </c>
      <c r="P90">
        <f t="shared" si="23"/>
        <v>0.32515865634046348</v>
      </c>
      <c r="V90">
        <v>2.5999999999999699</v>
      </c>
      <c r="W90">
        <f t="shared" si="21"/>
        <v>-0.60531999999999853</v>
      </c>
    </row>
    <row r="91" spans="1:23" x14ac:dyDescent="0.3">
      <c r="A91">
        <v>3.8901389000000002</v>
      </c>
      <c r="B91">
        <v>0.28310000000000002</v>
      </c>
      <c r="C91">
        <f t="shared" si="14"/>
        <v>1.1012983225900002</v>
      </c>
      <c r="D91">
        <v>1.6E-2</v>
      </c>
      <c r="E91">
        <v>9.1900000000000003E-3</v>
      </c>
      <c r="F91">
        <f t="shared" si="15"/>
        <v>778.02778000000001</v>
      </c>
      <c r="G91">
        <f t="shared" si="16"/>
        <v>-0.28310000000000002</v>
      </c>
      <c r="H91">
        <f t="shared" si="17"/>
        <v>-220.25966451800002</v>
      </c>
      <c r="I91">
        <v>1</v>
      </c>
      <c r="J91">
        <f t="shared" si="18"/>
        <v>-0.25099304850034898</v>
      </c>
      <c r="K91">
        <f t="shared" si="19"/>
        <v>-0.89681057297601197</v>
      </c>
      <c r="L91">
        <v>1</v>
      </c>
      <c r="M91">
        <f t="shared" si="20"/>
        <v>0.46790213506228318</v>
      </c>
      <c r="N91">
        <f t="shared" si="24"/>
        <v>6.2242222400000005E-2</v>
      </c>
      <c r="O91">
        <f t="shared" si="22"/>
        <v>3.5750376491000005E-2</v>
      </c>
      <c r="P91">
        <f t="shared" si="23"/>
        <v>0.33091583902272881</v>
      </c>
      <c r="V91">
        <v>2.69999999999997</v>
      </c>
      <c r="W91">
        <f t="shared" si="21"/>
        <v>-0.61013999999999857</v>
      </c>
    </row>
    <row r="92" spans="1:23" x14ac:dyDescent="0.3">
      <c r="A92">
        <v>3.9360655000000002</v>
      </c>
      <c r="B92">
        <v>0.27528999999999998</v>
      </c>
      <c r="C92">
        <f t="shared" si="14"/>
        <v>1.0835594714949999</v>
      </c>
      <c r="D92">
        <v>1.6E-2</v>
      </c>
      <c r="E92">
        <v>9.1900000000000003E-3</v>
      </c>
      <c r="F92">
        <f t="shared" si="15"/>
        <v>787.21310000000005</v>
      </c>
      <c r="G92">
        <f t="shared" si="16"/>
        <v>-0.27528999999999998</v>
      </c>
      <c r="H92">
        <f t="shared" si="17"/>
        <v>-216.71189429899997</v>
      </c>
      <c r="I92">
        <v>1</v>
      </c>
      <c r="J92">
        <f t="shared" si="18"/>
        <v>-0.23925629212239502</v>
      </c>
      <c r="K92">
        <f t="shared" si="19"/>
        <v>-0.90462057297601195</v>
      </c>
      <c r="L92">
        <v>1</v>
      </c>
      <c r="M92">
        <f t="shared" si="20"/>
        <v>0.46846784671970054</v>
      </c>
      <c r="N92">
        <f t="shared" si="24"/>
        <v>6.2977048000000008E-2</v>
      </c>
      <c r="O92">
        <f t="shared" si="22"/>
        <v>3.6172441945000001E-2</v>
      </c>
      <c r="P92">
        <f t="shared" si="23"/>
        <v>0.33700323631131135</v>
      </c>
      <c r="V92">
        <v>2.7999999999999701</v>
      </c>
      <c r="W92">
        <f t="shared" si="21"/>
        <v>-0.61495999999999851</v>
      </c>
    </row>
    <row r="93" spans="1:23" x14ac:dyDescent="0.3">
      <c r="A93">
        <v>3.97980505</v>
      </c>
      <c r="B93">
        <v>0.26779999999999998</v>
      </c>
      <c r="C93">
        <f t="shared" si="14"/>
        <v>1.06579179239</v>
      </c>
      <c r="D93">
        <v>1.6E-2</v>
      </c>
      <c r="E93">
        <v>9.1900000000000003E-3</v>
      </c>
      <c r="F93">
        <f t="shared" si="15"/>
        <v>795.96100999999999</v>
      </c>
      <c r="G93">
        <f t="shared" si="16"/>
        <v>-0.26779999999999998</v>
      </c>
      <c r="H93">
        <f t="shared" si="17"/>
        <v>-213.158358478</v>
      </c>
      <c r="I93">
        <v>1</v>
      </c>
      <c r="J93">
        <f t="shared" si="18"/>
        <v>-0.22820507674949189</v>
      </c>
      <c r="K93">
        <f t="shared" si="19"/>
        <v>-0.91211057297601195</v>
      </c>
      <c r="L93">
        <v>1</v>
      </c>
      <c r="M93">
        <f t="shared" si="20"/>
        <v>0.46900051530067449</v>
      </c>
      <c r="N93">
        <f t="shared" si="24"/>
        <v>6.3676880800000002E-2</v>
      </c>
      <c r="O93">
        <f t="shared" si="22"/>
        <v>3.6574408409499999E-2</v>
      </c>
      <c r="P93">
        <f t="shared" si="23"/>
        <v>0.34285876846583746</v>
      </c>
      <c r="V93">
        <v>2.8999999999999702</v>
      </c>
      <c r="W93">
        <f t="shared" si="21"/>
        <v>-0.61977999999999855</v>
      </c>
    </row>
    <row r="94" spans="1:23" x14ac:dyDescent="0.3">
      <c r="A94">
        <v>4.0239817499999999</v>
      </c>
      <c r="B94">
        <v>0.25985000000000003</v>
      </c>
      <c r="C94">
        <f t="shared" si="14"/>
        <v>1.0456316577375</v>
      </c>
      <c r="D94">
        <v>1.6E-2</v>
      </c>
      <c r="E94">
        <v>9.1900000000000003E-3</v>
      </c>
      <c r="F94">
        <f t="shared" si="15"/>
        <v>804.79634999999996</v>
      </c>
      <c r="G94">
        <f t="shared" si="16"/>
        <v>-0.25985000000000003</v>
      </c>
      <c r="H94">
        <f t="shared" si="17"/>
        <v>-209.1263315475</v>
      </c>
      <c r="I94">
        <v>1</v>
      </c>
      <c r="J94">
        <f t="shared" si="18"/>
        <v>-0.2171660149352172</v>
      </c>
      <c r="K94">
        <f t="shared" si="19"/>
        <v>-0.92006057297601196</v>
      </c>
      <c r="L94">
        <v>1</v>
      </c>
      <c r="M94">
        <f t="shared" si="20"/>
        <v>0.46953259808012249</v>
      </c>
      <c r="N94">
        <f t="shared" si="24"/>
        <v>6.4383707999999998E-2</v>
      </c>
      <c r="O94">
        <f t="shared" si="22"/>
        <v>3.6980392282500003E-2</v>
      </c>
      <c r="P94">
        <f t="shared" si="23"/>
        <v>0.34916387461338949</v>
      </c>
      <c r="V94">
        <v>2.9999999999999698</v>
      </c>
      <c r="W94">
        <f t="shared" si="21"/>
        <v>-0.62459999999999849</v>
      </c>
    </row>
    <row r="95" spans="1:23" x14ac:dyDescent="0.3">
      <c r="A95">
        <v>4.0712203000000002</v>
      </c>
      <c r="B95">
        <v>0.25258999999999998</v>
      </c>
      <c r="C95">
        <f t="shared" si="14"/>
        <v>1.028349535577</v>
      </c>
      <c r="D95">
        <v>1.6E-2</v>
      </c>
      <c r="E95">
        <v>9.1900000000000003E-3</v>
      </c>
      <c r="F95">
        <f t="shared" si="15"/>
        <v>814.24405999999999</v>
      </c>
      <c r="G95">
        <f t="shared" si="16"/>
        <v>-0.25258999999999998</v>
      </c>
      <c r="H95">
        <f t="shared" si="17"/>
        <v>-205.66990711540001</v>
      </c>
      <c r="I95">
        <v>1</v>
      </c>
      <c r="J95">
        <f t="shared" si="18"/>
        <v>-0.20549512990920404</v>
      </c>
      <c r="K95">
        <f t="shared" si="19"/>
        <v>-0.927320572976012</v>
      </c>
      <c r="L95">
        <v>1</v>
      </c>
      <c r="M95">
        <f t="shared" si="20"/>
        <v>0.47009513473837633</v>
      </c>
      <c r="N95">
        <f t="shared" si="24"/>
        <v>6.5139524800000001E-2</v>
      </c>
      <c r="O95">
        <f t="shared" si="22"/>
        <v>3.7414514557000005E-2</v>
      </c>
      <c r="P95">
        <f t="shared" si="23"/>
        <v>0.35467139888063565</v>
      </c>
      <c r="V95">
        <v>3.0999999999999699</v>
      </c>
      <c r="W95">
        <f t="shared" si="21"/>
        <v>-0.62941999999999854</v>
      </c>
    </row>
    <row r="96" spans="1:23" x14ac:dyDescent="0.3">
      <c r="A96">
        <v>4.0847799500000006</v>
      </c>
      <c r="B96">
        <v>0.24831</v>
      </c>
      <c r="C96">
        <f t="shared" si="14"/>
        <v>1.0142917093845001</v>
      </c>
      <c r="D96">
        <v>1.6E-2</v>
      </c>
      <c r="E96">
        <v>9.1900000000000003E-3</v>
      </c>
      <c r="F96">
        <f t="shared" si="15"/>
        <v>816.95599000000016</v>
      </c>
      <c r="G96">
        <f t="shared" si="16"/>
        <v>-0.24831</v>
      </c>
      <c r="H96">
        <f t="shared" si="17"/>
        <v>-202.85834187690003</v>
      </c>
      <c r="I96">
        <v>1</v>
      </c>
      <c r="J96">
        <f t="shared" si="18"/>
        <v>-0.202170053382114</v>
      </c>
      <c r="K96">
        <f t="shared" si="19"/>
        <v>-0.93160057297601195</v>
      </c>
      <c r="L96">
        <v>1</v>
      </c>
      <c r="M96">
        <f t="shared" si="20"/>
        <v>0.47025540342698208</v>
      </c>
      <c r="N96">
        <f t="shared" si="24"/>
        <v>6.5356479200000012E-2</v>
      </c>
      <c r="O96">
        <f t="shared" si="22"/>
        <v>3.7539127740500007E-2</v>
      </c>
      <c r="P96">
        <f t="shared" si="23"/>
        <v>0.35844956260852984</v>
      </c>
      <c r="V96">
        <v>3.19999999999997</v>
      </c>
      <c r="W96">
        <f t="shared" si="21"/>
        <v>-0.63423999999999858</v>
      </c>
    </row>
    <row r="97" spans="3:23" x14ac:dyDescent="0.3">
      <c r="C97">
        <f t="shared" si="14"/>
        <v>0</v>
      </c>
      <c r="D97">
        <v>1.6E-2</v>
      </c>
      <c r="E97">
        <v>9.1900000000000003E-3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-1.179910572976012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-0.63905999999999852</v>
      </c>
    </row>
    <row r="98" spans="3:23" x14ac:dyDescent="0.3">
      <c r="C98">
        <f t="shared" si="14"/>
        <v>0</v>
      </c>
      <c r="D98">
        <v>1.6E-2</v>
      </c>
      <c r="E98">
        <v>9.1900000000000003E-3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-1.179910572976012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-0.64387999999999856</v>
      </c>
    </row>
    <row r="99" spans="3:23" x14ac:dyDescent="0.3">
      <c r="C99">
        <f t="shared" si="14"/>
        <v>0</v>
      </c>
      <c r="D99">
        <v>1.6E-2</v>
      </c>
      <c r="E99">
        <v>9.1900000000000003E-3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-1.179910572976012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-0.6486999999999985</v>
      </c>
    </row>
    <row r="100" spans="3:23" x14ac:dyDescent="0.3">
      <c r="C100">
        <f t="shared" si="14"/>
        <v>0</v>
      </c>
      <c r="D100">
        <v>1.6E-2</v>
      </c>
      <c r="E100">
        <v>9.1900000000000003E-3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-1.179910572976012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-0.65351999999999855</v>
      </c>
    </row>
    <row r="101" spans="3:23" x14ac:dyDescent="0.3">
      <c r="C101">
        <f t="shared" si="14"/>
        <v>0</v>
      </c>
      <c r="D101">
        <v>1.6E-2</v>
      </c>
      <c r="E101">
        <v>9.1900000000000003E-3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-1.179910572976012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-0.65833999999999859</v>
      </c>
    </row>
    <row r="102" spans="3:23" x14ac:dyDescent="0.3">
      <c r="C102">
        <f t="shared" si="14"/>
        <v>0</v>
      </c>
      <c r="D102">
        <v>1.6E-2</v>
      </c>
      <c r="E102">
        <v>9.1900000000000003E-3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-1.179910572976012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-0.66315999999999853</v>
      </c>
    </row>
    <row r="103" spans="3:23" x14ac:dyDescent="0.3">
      <c r="C103">
        <f t="shared" si="14"/>
        <v>0</v>
      </c>
      <c r="D103">
        <v>1.6E-2</v>
      </c>
      <c r="E103">
        <v>9.1900000000000003E-3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-1.179910572976012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-0.66797999999999802</v>
      </c>
    </row>
    <row r="104" spans="3:23" x14ac:dyDescent="0.3">
      <c r="C104">
        <f t="shared" si="14"/>
        <v>0</v>
      </c>
      <c r="D104">
        <v>1.6E-2</v>
      </c>
      <c r="E104">
        <v>9.1900000000000003E-3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-1.179910572976012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-0.67279999999999807</v>
      </c>
    </row>
    <row r="105" spans="3:23" x14ac:dyDescent="0.3">
      <c r="C105">
        <f t="shared" si="14"/>
        <v>0</v>
      </c>
      <c r="D105">
        <v>1.6E-2</v>
      </c>
      <c r="E105">
        <v>9.1900000000000003E-3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-1.179910572976012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-0.67762</v>
      </c>
    </row>
    <row r="106" spans="3:23" x14ac:dyDescent="0.3">
      <c r="C106">
        <f t="shared" si="14"/>
        <v>0</v>
      </c>
      <c r="D106">
        <v>1.6E-2</v>
      </c>
      <c r="E106">
        <v>9.1900000000000003E-3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-1.179910572976012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-0.68243999999999994</v>
      </c>
    </row>
    <row r="107" spans="3:23" x14ac:dyDescent="0.3">
      <c r="C107">
        <f t="shared" si="14"/>
        <v>0</v>
      </c>
      <c r="D107">
        <v>1.6E-2</v>
      </c>
      <c r="E107">
        <v>9.1900000000000003E-3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-1.179910572976012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-0.68725999999999998</v>
      </c>
    </row>
    <row r="108" spans="3:23" x14ac:dyDescent="0.3">
      <c r="C108">
        <f t="shared" si="14"/>
        <v>0</v>
      </c>
      <c r="D108">
        <v>1.6E-2</v>
      </c>
      <c r="E108">
        <v>9.1900000000000003E-3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-1.179910572976012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-0.69208000000000003</v>
      </c>
    </row>
    <row r="109" spans="3:23" x14ac:dyDescent="0.3">
      <c r="C109">
        <f t="shared" si="14"/>
        <v>0</v>
      </c>
      <c r="D109">
        <v>1.6E-2</v>
      </c>
      <c r="E109">
        <v>9.1900000000000003E-3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-1.179910572976012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-0.69689999999999996</v>
      </c>
    </row>
    <row r="110" spans="3:23" x14ac:dyDescent="0.3">
      <c r="C110">
        <f t="shared" si="14"/>
        <v>0</v>
      </c>
      <c r="D110">
        <v>1.6E-2</v>
      </c>
      <c r="E110">
        <v>9.1900000000000003E-3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-1.179910572976012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-0.7017199999999999</v>
      </c>
    </row>
    <row r="111" spans="3:23" x14ac:dyDescent="0.3">
      <c r="C111">
        <f t="shared" si="14"/>
        <v>0</v>
      </c>
      <c r="D111">
        <v>1.6E-2</v>
      </c>
      <c r="E111">
        <v>9.1900000000000003E-3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-1.179910572976012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-0.70653999999999995</v>
      </c>
    </row>
    <row r="112" spans="3:23" x14ac:dyDescent="0.3">
      <c r="C112">
        <f t="shared" si="14"/>
        <v>0</v>
      </c>
      <c r="D112">
        <v>1.6E-2</v>
      </c>
      <c r="E112">
        <v>9.1900000000000003E-3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-1.179910572976012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-0.71135999999999999</v>
      </c>
    </row>
    <row r="113" spans="3:23" x14ac:dyDescent="0.3">
      <c r="C113">
        <f t="shared" si="14"/>
        <v>0</v>
      </c>
      <c r="D113">
        <v>1.6E-2</v>
      </c>
      <c r="E113">
        <v>9.1900000000000003E-3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-1.179910572976012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-0.71618000000000004</v>
      </c>
    </row>
    <row r="114" spans="3:23" x14ac:dyDescent="0.3">
      <c r="C114">
        <f t="shared" si="14"/>
        <v>0</v>
      </c>
      <c r="D114">
        <v>1.6E-2</v>
      </c>
      <c r="E114">
        <v>9.1900000000000003E-3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-1.179910572976012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-0.72099999999999997</v>
      </c>
    </row>
    <row r="115" spans="3:23" x14ac:dyDescent="0.3">
      <c r="C115">
        <f t="shared" si="14"/>
        <v>0</v>
      </c>
      <c r="D115">
        <v>1.6E-2</v>
      </c>
      <c r="E115">
        <v>9.1900000000000003E-3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-1.179910572976012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-0.72581999999999991</v>
      </c>
    </row>
    <row r="116" spans="3:23" x14ac:dyDescent="0.3">
      <c r="C116">
        <f t="shared" si="14"/>
        <v>0</v>
      </c>
      <c r="D116">
        <v>1.6E-2</v>
      </c>
      <c r="E116">
        <v>9.1900000000000003E-3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-1.179910572976012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-0.73063999999999996</v>
      </c>
    </row>
    <row r="117" spans="3:23" x14ac:dyDescent="0.3">
      <c r="C117">
        <f t="shared" si="14"/>
        <v>0</v>
      </c>
      <c r="D117">
        <v>1.6E-2</v>
      </c>
      <c r="E117">
        <v>9.1900000000000003E-3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-1.179910572976012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-0.73546</v>
      </c>
    </row>
    <row r="118" spans="3:23" x14ac:dyDescent="0.3">
      <c r="C118">
        <f t="shared" si="14"/>
        <v>0</v>
      </c>
      <c r="D118">
        <v>1.6E-2</v>
      </c>
      <c r="E118">
        <v>9.1900000000000003E-3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-1.179910572976012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-0.74028000000000005</v>
      </c>
    </row>
    <row r="119" spans="3:23" x14ac:dyDescent="0.3">
      <c r="C119">
        <f t="shared" si="14"/>
        <v>0</v>
      </c>
      <c r="D119">
        <v>1.6E-2</v>
      </c>
      <c r="E119">
        <v>9.1900000000000003E-3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-1.179910572976012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-0.74509999999999998</v>
      </c>
    </row>
    <row r="120" spans="3:23" x14ac:dyDescent="0.3">
      <c r="C120">
        <f t="shared" si="14"/>
        <v>0</v>
      </c>
      <c r="D120">
        <v>1.6E-2</v>
      </c>
      <c r="E120">
        <v>9.1900000000000003E-3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-1.179910572976012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-0.74991999999999992</v>
      </c>
    </row>
    <row r="121" spans="3:23" x14ac:dyDescent="0.3">
      <c r="C121">
        <f t="shared" si="14"/>
        <v>0</v>
      </c>
      <c r="D121">
        <v>1.6E-2</v>
      </c>
      <c r="E121">
        <v>9.1900000000000003E-3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-1.179910572976012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-0.75473999999999997</v>
      </c>
    </row>
    <row r="122" spans="3:23" x14ac:dyDescent="0.3">
      <c r="C122">
        <f t="shared" si="14"/>
        <v>0</v>
      </c>
      <c r="D122">
        <v>1.6E-2</v>
      </c>
      <c r="E122">
        <v>9.1900000000000003E-3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-1.179910572976012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-0.75956000000000001</v>
      </c>
    </row>
    <row r="123" spans="3:23" x14ac:dyDescent="0.3">
      <c r="C123">
        <f t="shared" si="14"/>
        <v>0</v>
      </c>
      <c r="D123">
        <v>1.6E-2</v>
      </c>
      <c r="E123">
        <v>9.1900000000000003E-3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-1.179910572976012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-0.76438000000000006</v>
      </c>
    </row>
    <row r="124" spans="3:23" x14ac:dyDescent="0.3">
      <c r="C124">
        <f t="shared" si="14"/>
        <v>0</v>
      </c>
      <c r="D124">
        <v>1.6E-2</v>
      </c>
      <c r="E124">
        <v>9.1900000000000003E-3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-1.179910572976012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-0.76919999999999999</v>
      </c>
    </row>
    <row r="125" spans="3:23" x14ac:dyDescent="0.3">
      <c r="C125">
        <f t="shared" si="14"/>
        <v>0</v>
      </c>
      <c r="D125">
        <v>1.6E-2</v>
      </c>
      <c r="E125">
        <v>9.1900000000000003E-3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-1.179910572976012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-0.77401999999999993</v>
      </c>
    </row>
    <row r="126" spans="3:23" x14ac:dyDescent="0.3">
      <c r="C126">
        <f t="shared" si="14"/>
        <v>0</v>
      </c>
      <c r="D126">
        <v>1.6E-2</v>
      </c>
      <c r="E126">
        <v>9.1900000000000003E-3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-1.179910572976012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-0.77883999999999998</v>
      </c>
    </row>
    <row r="127" spans="3:23" x14ac:dyDescent="0.3">
      <c r="C127">
        <f t="shared" si="14"/>
        <v>0</v>
      </c>
      <c r="D127">
        <v>1.6E-2</v>
      </c>
      <c r="E127">
        <v>9.1900000000000003E-3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-1.179910572976012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-0.78366000000000002</v>
      </c>
    </row>
    <row r="128" spans="3:23" x14ac:dyDescent="0.3">
      <c r="C128">
        <f t="shared" si="14"/>
        <v>0</v>
      </c>
      <c r="D128">
        <v>1.6E-2</v>
      </c>
      <c r="E128">
        <v>9.1900000000000003E-3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-1.179910572976012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-0.78848000000000007</v>
      </c>
    </row>
    <row r="129" spans="3:23" x14ac:dyDescent="0.3">
      <c r="C129">
        <f t="shared" si="14"/>
        <v>0</v>
      </c>
      <c r="D129">
        <v>1.6E-2</v>
      </c>
      <c r="E129">
        <v>9.1900000000000003E-3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-1.179910572976012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-0.79330000000000001</v>
      </c>
    </row>
    <row r="130" spans="3:23" x14ac:dyDescent="0.3">
      <c r="C130">
        <f t="shared" si="14"/>
        <v>0</v>
      </c>
      <c r="D130">
        <v>1.6E-2</v>
      </c>
      <c r="E130">
        <v>9.1900000000000003E-3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-1.179910572976012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-0.79811999999999994</v>
      </c>
    </row>
    <row r="131" spans="3:23" x14ac:dyDescent="0.3">
      <c r="C131">
        <f t="shared" si="14"/>
        <v>0</v>
      </c>
      <c r="D131">
        <v>1.6E-2</v>
      </c>
      <c r="E131">
        <v>9.1900000000000003E-3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-1.179910572976012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-0.80293999999999999</v>
      </c>
    </row>
    <row r="132" spans="3:23" x14ac:dyDescent="0.3">
      <c r="C132">
        <f t="shared" si="14"/>
        <v>0</v>
      </c>
      <c r="D132">
        <v>1.6E-2</v>
      </c>
      <c r="E132">
        <v>9.1900000000000003E-3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-1.179910572976012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-0.80776000000000003</v>
      </c>
    </row>
    <row r="133" spans="3:23" x14ac:dyDescent="0.3">
      <c r="C133">
        <f t="shared" ref="C133:C196" si="25">A133*B133</f>
        <v>0</v>
      </c>
      <c r="D133">
        <v>1.6E-2</v>
      </c>
      <c r="E133">
        <v>9.1900000000000003E-3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-1.179910572976012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-0.81258000000000008</v>
      </c>
    </row>
    <row r="134" spans="3:23" x14ac:dyDescent="0.3">
      <c r="C134">
        <f t="shared" si="25"/>
        <v>0</v>
      </c>
      <c r="D134">
        <v>1.6E-2</v>
      </c>
      <c r="E134">
        <v>9.1900000000000003E-3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-1.179910572976012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-0.8173999999999999</v>
      </c>
    </row>
    <row r="135" spans="3:23" x14ac:dyDescent="0.3">
      <c r="C135">
        <f t="shared" si="25"/>
        <v>0</v>
      </c>
      <c r="D135">
        <v>1.6E-2</v>
      </c>
      <c r="E135">
        <v>9.1900000000000003E-3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-1.179910572976012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-0.82221999999999995</v>
      </c>
    </row>
    <row r="136" spans="3:23" x14ac:dyDescent="0.3">
      <c r="C136">
        <f t="shared" si="25"/>
        <v>0</v>
      </c>
      <c r="D136">
        <v>1.6E-2</v>
      </c>
      <c r="E136">
        <v>9.1900000000000003E-3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-1.179910572976012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-0.82704</v>
      </c>
    </row>
    <row r="137" spans="3:23" x14ac:dyDescent="0.3">
      <c r="C137">
        <f t="shared" si="25"/>
        <v>0</v>
      </c>
      <c r="D137">
        <v>1.6E-2</v>
      </c>
      <c r="E137">
        <v>9.1900000000000003E-3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-1.179910572976012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-0.83186000000000004</v>
      </c>
    </row>
    <row r="138" spans="3:23" x14ac:dyDescent="0.3">
      <c r="C138">
        <f t="shared" si="25"/>
        <v>0</v>
      </c>
      <c r="D138">
        <v>1.6E-2</v>
      </c>
      <c r="E138">
        <v>9.1900000000000003E-3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-1.179910572976012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-0.83667999999999998</v>
      </c>
    </row>
    <row r="139" spans="3:23" x14ac:dyDescent="0.3">
      <c r="C139">
        <f t="shared" si="25"/>
        <v>0</v>
      </c>
      <c r="D139">
        <v>1.6E-2</v>
      </c>
      <c r="E139">
        <v>9.1900000000000003E-3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-1.179910572976012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-0.84149999999999991</v>
      </c>
    </row>
    <row r="140" spans="3:23" x14ac:dyDescent="0.3">
      <c r="C140">
        <f t="shared" si="25"/>
        <v>0</v>
      </c>
      <c r="D140">
        <v>1.6E-2</v>
      </c>
      <c r="E140">
        <v>9.1900000000000003E-3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-1.179910572976012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1.6E-2</v>
      </c>
      <c r="E141">
        <v>9.1900000000000003E-3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-1.179910572976012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1.6E-2</v>
      </c>
      <c r="E142">
        <v>9.1900000000000003E-3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-1.179910572976012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1.6E-2</v>
      </c>
      <c r="E143">
        <v>9.1900000000000003E-3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-1.179910572976012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1.6E-2</v>
      </c>
      <c r="E144">
        <v>9.1900000000000003E-3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-1.179910572976012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1.6E-2</v>
      </c>
      <c r="E145">
        <v>9.1900000000000003E-3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-1.179910572976012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1.6E-2</v>
      </c>
      <c r="E146">
        <v>9.1900000000000003E-3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-1.179910572976012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1.6E-2</v>
      </c>
      <c r="E147">
        <v>9.1900000000000003E-3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-1.179910572976012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1.6E-2</v>
      </c>
      <c r="E148">
        <v>9.1900000000000003E-3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-1.179910572976012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1.6E-2</v>
      </c>
      <c r="E149">
        <v>9.1900000000000003E-3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-1.179910572976012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1.6E-2</v>
      </c>
      <c r="E150">
        <v>9.1900000000000003E-3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-1.179910572976012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1.6E-2</v>
      </c>
      <c r="E151">
        <v>9.1900000000000003E-3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-1.179910572976012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1.6E-2</v>
      </c>
      <c r="E152">
        <v>9.1900000000000003E-3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-1.179910572976012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1.6E-2</v>
      </c>
      <c r="E153">
        <v>9.1900000000000003E-3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-1.179910572976012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1.6E-2</v>
      </c>
      <c r="E154">
        <v>9.1900000000000003E-3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-1.179910572976012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1.6E-2</v>
      </c>
      <c r="E155">
        <v>9.1900000000000003E-3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-1.179910572976012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1.6E-2</v>
      </c>
      <c r="E156">
        <v>9.1900000000000003E-3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-1.179910572976012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1.6E-2</v>
      </c>
      <c r="E157">
        <v>9.1900000000000003E-3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-1.179910572976012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1.6E-2</v>
      </c>
      <c r="E158">
        <v>9.1900000000000003E-3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-1.179910572976012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1.6E-2</v>
      </c>
      <c r="E159">
        <v>9.1900000000000003E-3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-1.179910572976012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1.6E-2</v>
      </c>
      <c r="E160">
        <v>9.1900000000000003E-3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-1.179910572976012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1.6E-2</v>
      </c>
      <c r="E161">
        <v>9.1900000000000003E-3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-1.179910572976012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1.6E-2</v>
      </c>
      <c r="E162">
        <v>9.1900000000000003E-3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-1.179910572976012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1.6E-2</v>
      </c>
      <c r="E163">
        <v>9.1900000000000003E-3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-1.179910572976012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1.6E-2</v>
      </c>
      <c r="E164">
        <v>9.1900000000000003E-3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-1.179910572976012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1.6E-2</v>
      </c>
      <c r="E165">
        <v>9.1900000000000003E-3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-1.179910572976012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1.6E-2</v>
      </c>
      <c r="E166">
        <v>9.1900000000000003E-3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-1.179910572976012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1.6E-2</v>
      </c>
      <c r="E167">
        <v>9.1900000000000003E-3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-1.179910572976012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1.6E-2</v>
      </c>
      <c r="E168">
        <v>9.1900000000000003E-3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-1.179910572976012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1.6E-2</v>
      </c>
      <c r="E169">
        <v>9.1900000000000003E-3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-1.179910572976012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1.6E-2</v>
      </c>
      <c r="E170">
        <v>9.1900000000000003E-3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-1.179910572976012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1.6E-2</v>
      </c>
      <c r="E171">
        <v>9.1900000000000003E-3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-1.179910572976012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1.6E-2</v>
      </c>
      <c r="E172">
        <v>9.1900000000000003E-3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-1.179910572976012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1.6E-2</v>
      </c>
      <c r="E173">
        <v>9.1900000000000003E-3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-1.179910572976012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1.6E-2</v>
      </c>
      <c r="E174">
        <v>9.1900000000000003E-3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-1.179910572976012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1.6E-2</v>
      </c>
      <c r="E175">
        <v>9.1900000000000003E-3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-1.179910572976012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1.6E-2</v>
      </c>
      <c r="E176">
        <v>9.1900000000000003E-3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-1.179910572976012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1.6E-2</v>
      </c>
      <c r="E177">
        <v>9.1900000000000003E-3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-1.179910572976012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1.6E-2</v>
      </c>
      <c r="E178">
        <v>9.1900000000000003E-3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-1.179910572976012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1.6E-2</v>
      </c>
      <c r="E179">
        <v>9.1900000000000003E-3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-1.179910572976012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1.6E-2</v>
      </c>
      <c r="E180">
        <v>9.1900000000000003E-3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-1.179910572976012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1.6E-2</v>
      </c>
      <c r="E181">
        <v>9.1900000000000003E-3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-1.179910572976012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1.6E-2</v>
      </c>
      <c r="E182">
        <v>9.1900000000000003E-3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-1.179910572976012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1.6E-2</v>
      </c>
      <c r="E183">
        <v>9.1900000000000003E-3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-1.179910572976012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1.6E-2</v>
      </c>
      <c r="E184">
        <v>9.1900000000000003E-3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-1.179910572976012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1.6E-2</v>
      </c>
      <c r="E185">
        <v>9.1900000000000003E-3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1.6E-2</v>
      </c>
      <c r="E186">
        <v>9.1900000000000003E-3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1.6E-2</v>
      </c>
      <c r="E187">
        <v>9.1900000000000003E-3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1.6E-2</v>
      </c>
      <c r="E188">
        <v>9.1900000000000003E-3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-1.179910572976012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1.6E-2</v>
      </c>
      <c r="E189">
        <v>9.1900000000000003E-3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1.6E-2</v>
      </c>
      <c r="E190">
        <v>9.1900000000000003E-3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1.6E-2</v>
      </c>
      <c r="E191">
        <v>9.1900000000000003E-3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1.6E-2</v>
      </c>
      <c r="E192">
        <v>9.1900000000000003E-3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1.6E-2</v>
      </c>
      <c r="E193">
        <v>9.1900000000000003E-3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1.6E-2</v>
      </c>
      <c r="E194">
        <v>9.1900000000000003E-3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1.6E-2</v>
      </c>
      <c r="E195">
        <v>9.1900000000000003E-3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1.6E-2</v>
      </c>
      <c r="E196">
        <v>9.1900000000000003E-3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1.6E-2</v>
      </c>
      <c r="E197">
        <v>9.1900000000000003E-3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1.6E-2</v>
      </c>
      <c r="E198">
        <v>9.1900000000000003E-3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1.6E-2</v>
      </c>
      <c r="E199">
        <v>9.1900000000000003E-3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1.6E-2</v>
      </c>
      <c r="E200">
        <v>9.1900000000000003E-3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1.6E-2</v>
      </c>
      <c r="E201">
        <v>9.1900000000000003E-3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1.6E-2</v>
      </c>
      <c r="E202">
        <v>9.1900000000000003E-3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1.6E-2</v>
      </c>
      <c r="E203">
        <v>9.1900000000000003E-3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1.6E-2</v>
      </c>
      <c r="E204">
        <v>9.1900000000000003E-3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1.6E-2</v>
      </c>
      <c r="E205">
        <v>9.1900000000000003E-3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1.6E-2</v>
      </c>
      <c r="E206">
        <v>9.1900000000000003E-3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1.6E-2</v>
      </c>
      <c r="E207">
        <v>9.1900000000000003E-3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1.6E-2</v>
      </c>
      <c r="E208">
        <v>9.1900000000000003E-3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1.6E-2</v>
      </c>
      <c r="E209">
        <v>9.1900000000000003E-3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1.6E-2</v>
      </c>
      <c r="E210">
        <v>9.1900000000000003E-3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1.6E-2</v>
      </c>
      <c r="E211">
        <v>9.1900000000000003E-3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1.6E-2</v>
      </c>
      <c r="E212">
        <v>9.1900000000000003E-3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1.6E-2</v>
      </c>
      <c r="E213">
        <v>9.1900000000000003E-3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1.6E-2</v>
      </c>
      <c r="E214">
        <v>9.1900000000000003E-3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1.6E-2</v>
      </c>
      <c r="E215">
        <v>9.1900000000000003E-3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1.6E-2</v>
      </c>
      <c r="E216">
        <v>9.1900000000000003E-3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1.6E-2</v>
      </c>
      <c r="E217">
        <v>9.1900000000000003E-3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1.6E-2</v>
      </c>
      <c r="E218">
        <v>9.1900000000000003E-3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1.6E-2</v>
      </c>
      <c r="E219">
        <v>9.1900000000000003E-3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1.6E-2</v>
      </c>
      <c r="E220">
        <v>9.1900000000000003E-3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1.6E-2</v>
      </c>
      <c r="E221">
        <v>9.1900000000000003E-3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1.6E-2</v>
      </c>
      <c r="E222">
        <v>9.1900000000000003E-3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1.6E-2</v>
      </c>
      <c r="E223">
        <v>9.1900000000000003E-3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1.6E-2</v>
      </c>
      <c r="E224">
        <v>9.1900000000000003E-3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1.6E-2</v>
      </c>
      <c r="E225">
        <v>9.1900000000000003E-3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1.6E-2</v>
      </c>
      <c r="E226">
        <v>9.1900000000000003E-3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1.6E-2</v>
      </c>
      <c r="E227">
        <v>9.1900000000000003E-3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1.6E-2</v>
      </c>
      <c r="E228">
        <v>9.1900000000000003E-3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1.6E-2</v>
      </c>
      <c r="E229">
        <v>9.1900000000000003E-3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1.6E-2</v>
      </c>
      <c r="E230">
        <v>9.1900000000000003E-3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1.6E-2</v>
      </c>
      <c r="E231">
        <v>9.1900000000000003E-3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1.6E-2</v>
      </c>
      <c r="E232">
        <v>9.1900000000000003E-3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1.6E-2</v>
      </c>
      <c r="E233">
        <v>9.1900000000000003E-3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1.6E-2</v>
      </c>
      <c r="E234">
        <v>9.1900000000000003E-3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1.6E-2</v>
      </c>
      <c r="E235">
        <v>9.1900000000000003E-3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1.6E-2</v>
      </c>
      <c r="E236">
        <v>9.1900000000000003E-3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1.6E-2</v>
      </c>
      <c r="E237">
        <v>9.1900000000000003E-3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1.6E-2</v>
      </c>
      <c r="E238">
        <v>9.1900000000000003E-3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1.6E-2</v>
      </c>
      <c r="E239">
        <v>9.1900000000000003E-3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1.6E-2</v>
      </c>
      <c r="E240">
        <v>9.1900000000000003E-3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1.6E-2</v>
      </c>
      <c r="E241">
        <v>9.1900000000000003E-3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1.6E-2</v>
      </c>
      <c r="E242">
        <v>9.1900000000000003E-3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1.6E-2</v>
      </c>
      <c r="E243">
        <v>9.1900000000000003E-3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1.6E-2</v>
      </c>
      <c r="E244">
        <v>9.1900000000000003E-3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1.6E-2</v>
      </c>
      <c r="E245">
        <v>9.1900000000000003E-3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1.6E-2</v>
      </c>
      <c r="E246">
        <v>9.1900000000000003E-3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1.6E-2</v>
      </c>
      <c r="E247">
        <v>9.1900000000000003E-3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1.6E-2</v>
      </c>
      <c r="E248">
        <v>9.1900000000000003E-3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1.6E-2</v>
      </c>
      <c r="E249">
        <v>9.1900000000000003E-3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1.6E-2</v>
      </c>
      <c r="E250">
        <v>9.1900000000000003E-3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1.6E-2</v>
      </c>
      <c r="E251">
        <v>9.1900000000000003E-3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1.6E-2</v>
      </c>
      <c r="E252">
        <v>9.1900000000000003E-3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1.6E-2</v>
      </c>
      <c r="E253">
        <v>9.1900000000000003E-3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1.6E-2</v>
      </c>
      <c r="E254">
        <v>9.1900000000000003E-3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1.6E-2</v>
      </c>
      <c r="E255">
        <v>9.1900000000000003E-3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1.6E-2</v>
      </c>
      <c r="E256">
        <v>9.1900000000000003E-3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1.6E-2</v>
      </c>
      <c r="E257">
        <v>9.1900000000000003E-3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1.6E-2</v>
      </c>
      <c r="E258">
        <v>9.1900000000000003E-3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1.6E-2</v>
      </c>
      <c r="E259">
        <v>9.1900000000000003E-3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1.6E-2</v>
      </c>
      <c r="E260">
        <v>9.1900000000000003E-3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1.6E-2</v>
      </c>
      <c r="E261">
        <v>9.1900000000000003E-3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1.6E-2</v>
      </c>
      <c r="E262">
        <v>9.1900000000000003E-3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1.6E-2</v>
      </c>
      <c r="E263">
        <v>9.1900000000000003E-3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1.6E-2</v>
      </c>
      <c r="E264">
        <v>9.1900000000000003E-3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1.6E-2</v>
      </c>
      <c r="E265">
        <v>9.1900000000000003E-3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1.6E-2</v>
      </c>
      <c r="E266">
        <v>9.1900000000000003E-3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1.6E-2</v>
      </c>
      <c r="E267">
        <v>9.1900000000000003E-3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1.6E-2</v>
      </c>
      <c r="E268">
        <v>9.1900000000000003E-3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1.6E-2</v>
      </c>
      <c r="E269">
        <v>9.1900000000000003E-3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1.6E-2</v>
      </c>
      <c r="E270">
        <v>9.1900000000000003E-3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1.6E-2</v>
      </c>
      <c r="E271">
        <v>9.1900000000000003E-3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1.6E-2</v>
      </c>
      <c r="E272">
        <v>9.1900000000000003E-3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1.6E-2</v>
      </c>
      <c r="E273">
        <v>9.1900000000000003E-3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1.6E-2</v>
      </c>
      <c r="E274">
        <v>9.1900000000000003E-3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1.6E-2</v>
      </c>
      <c r="E275">
        <v>9.1900000000000003E-3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1.6E-2</v>
      </c>
      <c r="E276">
        <v>9.1900000000000003E-3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1.6E-2</v>
      </c>
      <c r="E277">
        <v>9.1900000000000003E-3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1.6E-2</v>
      </c>
      <c r="E278">
        <v>9.1900000000000003E-3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1.6E-2</v>
      </c>
      <c r="E279">
        <v>9.1900000000000003E-3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1.6E-2</v>
      </c>
      <c r="E280">
        <v>9.1900000000000003E-3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1.6E-2</v>
      </c>
      <c r="E281">
        <v>9.1900000000000003E-3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1.6E-2</v>
      </c>
      <c r="E282">
        <v>9.1900000000000003E-3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1.6E-2</v>
      </c>
      <c r="E283">
        <v>9.1900000000000003E-3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1.6E-2</v>
      </c>
      <c r="E284">
        <v>9.1900000000000003E-3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1.6E-2</v>
      </c>
      <c r="E285">
        <v>9.1900000000000003E-3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1.6E-2</v>
      </c>
      <c r="E286">
        <v>9.1900000000000003E-3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1.6E-2</v>
      </c>
      <c r="E287">
        <v>9.1900000000000003E-3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1.6E-2</v>
      </c>
      <c r="E288">
        <v>9.1900000000000003E-3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1.6E-2</v>
      </c>
      <c r="E289">
        <v>9.1900000000000003E-3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1.6E-2</v>
      </c>
      <c r="E290">
        <v>9.1900000000000003E-3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1.6E-2</v>
      </c>
      <c r="E291">
        <v>9.1900000000000003E-3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1.6E-2</v>
      </c>
      <c r="E292">
        <v>9.1900000000000003E-3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1.6E-2</v>
      </c>
      <c r="E293">
        <v>9.1900000000000003E-3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1.6E-2</v>
      </c>
      <c r="E294">
        <v>9.1900000000000003E-3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1.6E-2</v>
      </c>
      <c r="E295">
        <v>9.1900000000000003E-3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1.6E-2</v>
      </c>
      <c r="E296">
        <v>9.1900000000000003E-3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1.6E-2</v>
      </c>
      <c r="E297">
        <v>9.1900000000000003E-3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1.6E-2</v>
      </c>
      <c r="E298">
        <v>9.1900000000000003E-3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1.6E-2</v>
      </c>
      <c r="E299">
        <v>9.1900000000000003E-3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1.6E-2</v>
      </c>
      <c r="E300">
        <v>9.1900000000000003E-3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1.6E-2</v>
      </c>
      <c r="E301">
        <v>9.1900000000000003E-3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1.6E-2</v>
      </c>
      <c r="E302">
        <v>9.1900000000000003E-3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1.6E-2</v>
      </c>
      <c r="E303">
        <v>9.1900000000000003E-3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U232"/>
  <sheetViews>
    <sheetView topLeftCell="I1" workbookViewId="0">
      <selection activeCell="U2" sqref="U2:U94"/>
    </sheetView>
  </sheetViews>
  <sheetFormatPr defaultRowHeight="16.5" x14ac:dyDescent="0.3"/>
  <sheetData>
    <row r="1" spans="1:21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21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  <c r="Q2">
        <v>3.8848600000000002</v>
      </c>
      <c r="R2">
        <f>Q2/200</f>
        <v>1.9424300000000002E-2</v>
      </c>
      <c r="T2">
        <v>4.1885899999999996</v>
      </c>
      <c r="U2">
        <f>T2/200</f>
        <v>2.0942949999999998E-2</v>
      </c>
    </row>
    <row r="3" spans="1:21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  <c r="Q3">
        <v>14.015610000000001</v>
      </c>
      <c r="R3">
        <f t="shared" ref="R3:R66" si="7">Q3/200</f>
        <v>7.0078050000000003E-2</v>
      </c>
      <c r="T3">
        <v>13.198930000000001</v>
      </c>
      <c r="U3">
        <f t="shared" ref="U3:U66" si="8">T3/200</f>
        <v>6.5994650000000002E-2</v>
      </c>
    </row>
    <row r="4" spans="1:21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  <c r="Q4">
        <v>23.854130000000001</v>
      </c>
      <c r="R4">
        <f t="shared" si="7"/>
        <v>0.11927065000000001</v>
      </c>
      <c r="T4">
        <v>22.29674</v>
      </c>
      <c r="U4">
        <f t="shared" si="8"/>
        <v>0.11148370000000001</v>
      </c>
    </row>
    <row r="5" spans="1:21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  <c r="Q5">
        <v>33.49783</v>
      </c>
      <c r="R5">
        <f t="shared" si="7"/>
        <v>0.16748915</v>
      </c>
      <c r="T5">
        <v>30.957159999999998</v>
      </c>
      <c r="U5">
        <f t="shared" si="8"/>
        <v>0.1547858</v>
      </c>
    </row>
    <row r="6" spans="1:21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  <c r="Q6">
        <v>43.238930000000003</v>
      </c>
      <c r="R6">
        <f t="shared" si="7"/>
        <v>0.21619465000000002</v>
      </c>
      <c r="T6">
        <v>39.617579999999997</v>
      </c>
      <c r="U6">
        <f t="shared" si="8"/>
        <v>0.19808789999999998</v>
      </c>
    </row>
    <row r="7" spans="1:21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  <c r="Q7">
        <v>53.564509999999999</v>
      </c>
      <c r="R7">
        <f t="shared" si="7"/>
        <v>0.26782254999999999</v>
      </c>
      <c r="T7">
        <v>48.278010000000002</v>
      </c>
      <c r="U7">
        <f t="shared" si="8"/>
        <v>0.24139005000000002</v>
      </c>
    </row>
    <row r="8" spans="1:21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  <c r="Q8">
        <v>63.597839999999998</v>
      </c>
      <c r="R8">
        <f t="shared" si="7"/>
        <v>0.31798919999999997</v>
      </c>
      <c r="T8">
        <v>57.113379999999999</v>
      </c>
      <c r="U8">
        <f t="shared" si="8"/>
        <v>0.28556690000000001</v>
      </c>
    </row>
    <row r="9" spans="1:21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  <c r="Q9">
        <v>73.338949999999997</v>
      </c>
      <c r="R9">
        <f t="shared" si="7"/>
        <v>0.36669474999999996</v>
      </c>
      <c r="T9">
        <v>66.211200000000005</v>
      </c>
      <c r="U9">
        <f t="shared" si="8"/>
        <v>0.33105600000000002</v>
      </c>
    </row>
    <row r="10" spans="1:21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  <c r="Q10">
        <v>83.859350000000006</v>
      </c>
      <c r="R10">
        <f t="shared" si="7"/>
        <v>0.41929675000000005</v>
      </c>
      <c r="T10">
        <v>75.221530000000001</v>
      </c>
      <c r="U10">
        <f t="shared" si="8"/>
        <v>0.37610765000000002</v>
      </c>
    </row>
    <row r="11" spans="1:21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  <c r="Q11">
        <v>93.600449999999995</v>
      </c>
      <c r="R11">
        <f t="shared" si="7"/>
        <v>0.46800224999999995</v>
      </c>
      <c r="T11">
        <v>83.969440000000006</v>
      </c>
      <c r="U11">
        <f t="shared" si="8"/>
        <v>0.41984720000000003</v>
      </c>
    </row>
    <row r="12" spans="1:21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  <c r="Q12">
        <v>103.34157</v>
      </c>
      <c r="R12">
        <f t="shared" si="7"/>
        <v>0.51670784999999997</v>
      </c>
      <c r="T12">
        <v>92.804820000000007</v>
      </c>
      <c r="U12">
        <f t="shared" si="8"/>
        <v>0.46402410000000005</v>
      </c>
    </row>
    <row r="13" spans="1:21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  <c r="Q13">
        <v>112.98524999999999</v>
      </c>
      <c r="R13">
        <f t="shared" si="7"/>
        <v>0.56492624999999996</v>
      </c>
      <c r="T13">
        <v>101.46523999999999</v>
      </c>
      <c r="U13">
        <f t="shared" si="8"/>
        <v>0.50732619999999995</v>
      </c>
    </row>
    <row r="14" spans="1:21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  <c r="Q14">
        <v>122.72636</v>
      </c>
      <c r="R14">
        <f t="shared" si="7"/>
        <v>0.61363179999999995</v>
      </c>
      <c r="T14">
        <v>110.56304</v>
      </c>
      <c r="U14">
        <f t="shared" si="8"/>
        <v>0.55281519999999995</v>
      </c>
    </row>
    <row r="15" spans="1:21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  <c r="Q15">
        <v>132.56487999999999</v>
      </c>
      <c r="R15">
        <f t="shared" si="7"/>
        <v>0.66282439999999998</v>
      </c>
      <c r="T15">
        <v>119.39842</v>
      </c>
      <c r="U15">
        <f t="shared" si="8"/>
        <v>0.59699210000000003</v>
      </c>
    </row>
    <row r="16" spans="1:21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  <c r="Q16">
        <v>142.5008</v>
      </c>
      <c r="R16">
        <f t="shared" si="7"/>
        <v>0.71250400000000003</v>
      </c>
      <c r="T16">
        <v>128.14633000000001</v>
      </c>
      <c r="U16">
        <f t="shared" si="8"/>
        <v>0.64073164999999999</v>
      </c>
    </row>
    <row r="17" spans="1:21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  <c r="Q17">
        <v>152.24189999999999</v>
      </c>
      <c r="R17">
        <f t="shared" si="7"/>
        <v>0.76120949999999998</v>
      </c>
      <c r="T17">
        <v>137.15665000000001</v>
      </c>
      <c r="U17">
        <f t="shared" si="8"/>
        <v>0.68578325000000007</v>
      </c>
    </row>
    <row r="18" spans="1:21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  <c r="Q18">
        <v>161.98301000000001</v>
      </c>
      <c r="R18">
        <f t="shared" si="7"/>
        <v>0.80991505000000008</v>
      </c>
      <c r="T18">
        <v>145.99204</v>
      </c>
      <c r="U18">
        <f t="shared" si="8"/>
        <v>0.72996020000000006</v>
      </c>
    </row>
    <row r="19" spans="1:21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  <c r="Q19">
        <v>171.72412</v>
      </c>
      <c r="R19">
        <f t="shared" si="7"/>
        <v>0.85862059999999996</v>
      </c>
      <c r="T19">
        <v>155.08984000000001</v>
      </c>
      <c r="U19">
        <f t="shared" si="8"/>
        <v>0.77544920000000006</v>
      </c>
    </row>
    <row r="20" spans="1:21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  <c r="Q20">
        <v>181.46521999999999</v>
      </c>
      <c r="R20">
        <f t="shared" si="7"/>
        <v>0.90732609999999991</v>
      </c>
      <c r="T20">
        <v>163.83775</v>
      </c>
      <c r="U20">
        <f t="shared" si="8"/>
        <v>0.81918875000000002</v>
      </c>
    </row>
    <row r="21" spans="1:21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  <c r="Q21">
        <v>191.88821999999999</v>
      </c>
      <c r="R21">
        <f t="shared" si="7"/>
        <v>0.95944109999999994</v>
      </c>
      <c r="T21">
        <v>172.49816999999999</v>
      </c>
      <c r="U21">
        <f t="shared" si="8"/>
        <v>0.86249084999999992</v>
      </c>
    </row>
    <row r="22" spans="1:21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  <c r="Q22">
        <v>201.72673</v>
      </c>
      <c r="R22">
        <f t="shared" si="7"/>
        <v>1.0086336499999999</v>
      </c>
      <c r="T22">
        <v>181.68348</v>
      </c>
      <c r="U22">
        <f t="shared" si="8"/>
        <v>0.90841740000000004</v>
      </c>
    </row>
    <row r="23" spans="1:21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  <c r="Q23">
        <v>211.76005000000001</v>
      </c>
      <c r="R23">
        <f t="shared" si="7"/>
        <v>1.05880025</v>
      </c>
      <c r="T23">
        <v>190.86876000000001</v>
      </c>
      <c r="U23">
        <f t="shared" si="8"/>
        <v>0.95434380000000008</v>
      </c>
    </row>
    <row r="24" spans="1:21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  <c r="Q24">
        <v>221.40376000000001</v>
      </c>
      <c r="R24">
        <f t="shared" si="7"/>
        <v>1.1070188000000001</v>
      </c>
      <c r="T24">
        <v>199.52919</v>
      </c>
      <c r="U24">
        <f t="shared" si="8"/>
        <v>0.99764595</v>
      </c>
    </row>
    <row r="25" spans="1:21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  <c r="Q25">
        <v>231.24229</v>
      </c>
      <c r="R25">
        <f t="shared" si="7"/>
        <v>1.15621145</v>
      </c>
      <c r="T25">
        <v>208.27708999999999</v>
      </c>
      <c r="U25">
        <f t="shared" si="8"/>
        <v>1.0413854499999999</v>
      </c>
    </row>
    <row r="26" spans="1:21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  <c r="Q26">
        <v>240.88597999999999</v>
      </c>
      <c r="R26">
        <f t="shared" si="7"/>
        <v>1.2044299000000001</v>
      </c>
      <c r="T26">
        <v>217.11246</v>
      </c>
      <c r="U26">
        <f t="shared" si="8"/>
        <v>1.0855623000000001</v>
      </c>
    </row>
    <row r="27" spans="1:21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  <c r="Q27">
        <v>251.21154999999999</v>
      </c>
      <c r="R27">
        <f t="shared" si="7"/>
        <v>1.2560577499999999</v>
      </c>
      <c r="T27">
        <v>225.94785999999999</v>
      </c>
      <c r="U27">
        <f t="shared" si="8"/>
        <v>1.1297393</v>
      </c>
    </row>
    <row r="28" spans="1:21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  <c r="Q28">
        <v>260.85523000000001</v>
      </c>
      <c r="R28">
        <f t="shared" si="7"/>
        <v>1.30427615</v>
      </c>
      <c r="T28">
        <v>234.60827</v>
      </c>
      <c r="U28">
        <f t="shared" si="8"/>
        <v>1.1730413500000001</v>
      </c>
    </row>
    <row r="29" spans="1:21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  <c r="Q29">
        <v>270.49892</v>
      </c>
      <c r="R29">
        <f t="shared" si="7"/>
        <v>1.3524946</v>
      </c>
      <c r="T29">
        <v>243.35615999999999</v>
      </c>
      <c r="U29">
        <f t="shared" si="8"/>
        <v>1.2167808</v>
      </c>
    </row>
    <row r="30" spans="1:21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  <c r="Q30">
        <v>280.8245</v>
      </c>
      <c r="R30">
        <f t="shared" si="7"/>
        <v>1.4041224999999999</v>
      </c>
      <c r="T30">
        <v>252.10407000000001</v>
      </c>
      <c r="U30">
        <f t="shared" si="8"/>
        <v>1.26052035</v>
      </c>
    </row>
    <row r="31" spans="1:21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  <c r="Q31">
        <v>290.46821</v>
      </c>
      <c r="R31">
        <f t="shared" si="7"/>
        <v>1.45234105</v>
      </c>
      <c r="T31">
        <v>261.02692000000002</v>
      </c>
      <c r="U31">
        <f t="shared" si="8"/>
        <v>1.3051346000000001</v>
      </c>
    </row>
    <row r="32" spans="1:21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  <c r="Q32">
        <v>300.30669999999998</v>
      </c>
      <c r="R32">
        <f t="shared" si="7"/>
        <v>1.5015334999999999</v>
      </c>
      <c r="T32">
        <v>269.94974000000002</v>
      </c>
      <c r="U32">
        <f t="shared" si="8"/>
        <v>1.3497487000000001</v>
      </c>
    </row>
    <row r="33" spans="1:21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  <c r="Q33">
        <v>309.95037000000002</v>
      </c>
      <c r="R33">
        <f t="shared" si="7"/>
        <v>1.54975185</v>
      </c>
      <c r="T33">
        <v>279.74741999999998</v>
      </c>
      <c r="U33">
        <f t="shared" si="8"/>
        <v>1.3987371</v>
      </c>
    </row>
    <row r="34" spans="1:21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  <c r="Q34">
        <v>319.98374999999999</v>
      </c>
      <c r="R34">
        <f t="shared" si="7"/>
        <v>1.5999187499999998</v>
      </c>
      <c r="T34">
        <v>288.58278999999999</v>
      </c>
      <c r="U34">
        <f t="shared" si="8"/>
        <v>1.4429139499999999</v>
      </c>
    </row>
    <row r="35" spans="1:21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  <c r="Q35">
        <v>329.62741999999997</v>
      </c>
      <c r="R35">
        <f t="shared" si="7"/>
        <v>1.6481370999999998</v>
      </c>
      <c r="T35">
        <v>297.24322000000001</v>
      </c>
      <c r="U35">
        <f t="shared" si="8"/>
        <v>1.4862161</v>
      </c>
    </row>
    <row r="36" spans="1:21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  <c r="Q36">
        <v>339.75817999999998</v>
      </c>
      <c r="R36">
        <f t="shared" si="7"/>
        <v>1.6987908999999999</v>
      </c>
      <c r="T36">
        <v>306.16606000000002</v>
      </c>
      <c r="U36">
        <f t="shared" si="8"/>
        <v>1.5308303000000001</v>
      </c>
    </row>
    <row r="37" spans="1:21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  <c r="Q37">
        <v>349.40186</v>
      </c>
      <c r="R37">
        <f t="shared" si="7"/>
        <v>1.7470093</v>
      </c>
      <c r="T37">
        <v>315.00146000000001</v>
      </c>
      <c r="U37">
        <f t="shared" si="8"/>
        <v>1.5750073</v>
      </c>
    </row>
    <row r="38" spans="1:21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  <c r="Q38">
        <v>359.24041999999997</v>
      </c>
      <c r="R38">
        <f t="shared" si="7"/>
        <v>1.7962020999999999</v>
      </c>
      <c r="T38">
        <v>323.74932000000001</v>
      </c>
      <c r="U38">
        <f t="shared" si="8"/>
        <v>1.6187466000000001</v>
      </c>
    </row>
    <row r="39" spans="1:21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  <c r="Q39">
        <v>368.98149999999998</v>
      </c>
      <c r="R39">
        <f t="shared" si="7"/>
        <v>1.8449074999999999</v>
      </c>
      <c r="T39">
        <v>332.49723999999998</v>
      </c>
      <c r="U39">
        <f t="shared" si="8"/>
        <v>1.6624861999999998</v>
      </c>
    </row>
    <row r="40" spans="1:21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  <c r="Q40">
        <v>379.40449999999998</v>
      </c>
      <c r="R40">
        <f t="shared" si="7"/>
        <v>1.8970224999999998</v>
      </c>
      <c r="T40">
        <v>341.15767</v>
      </c>
      <c r="U40">
        <f t="shared" si="8"/>
        <v>1.70578835</v>
      </c>
    </row>
    <row r="41" spans="1:21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  <c r="Q41">
        <v>389.34041000000002</v>
      </c>
      <c r="R41">
        <f t="shared" si="7"/>
        <v>1.9467020500000001</v>
      </c>
      <c r="T41">
        <v>349.90557000000001</v>
      </c>
      <c r="U41">
        <f t="shared" si="8"/>
        <v>1.74952785</v>
      </c>
    </row>
    <row r="42" spans="1:21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  <c r="Q42">
        <v>399.17892000000001</v>
      </c>
      <c r="R42">
        <f t="shared" si="7"/>
        <v>1.9958946</v>
      </c>
      <c r="T42">
        <v>359.26584000000003</v>
      </c>
      <c r="U42">
        <f t="shared" si="8"/>
        <v>1.7963292000000002</v>
      </c>
    </row>
    <row r="43" spans="1:21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  <c r="Q43">
        <v>409.40710999999999</v>
      </c>
      <c r="R43">
        <f t="shared" si="7"/>
        <v>2.0470355499999999</v>
      </c>
      <c r="T43">
        <v>368.10124999999999</v>
      </c>
      <c r="U43">
        <f t="shared" si="8"/>
        <v>1.84050625</v>
      </c>
    </row>
    <row r="44" spans="1:21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  <c r="Q44">
        <v>420.80419999999998</v>
      </c>
      <c r="R44">
        <f t="shared" si="7"/>
        <v>2.1040209999999999</v>
      </c>
      <c r="T44">
        <v>376.76168000000001</v>
      </c>
      <c r="U44">
        <f t="shared" si="8"/>
        <v>1.8838084000000002</v>
      </c>
    </row>
    <row r="45" spans="1:21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  <c r="Q45">
        <v>430.54527999999999</v>
      </c>
      <c r="R45">
        <f t="shared" si="7"/>
        <v>2.1527264000000002</v>
      </c>
      <c r="T45">
        <v>385.59705000000002</v>
      </c>
      <c r="U45">
        <f t="shared" si="8"/>
        <v>1.9279852500000001</v>
      </c>
    </row>
    <row r="46" spans="1:21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  <c r="Q46">
        <v>440.38378999999998</v>
      </c>
      <c r="R46">
        <f t="shared" si="7"/>
        <v>2.20191895</v>
      </c>
      <c r="T46">
        <v>394.25743</v>
      </c>
      <c r="U46">
        <f t="shared" si="8"/>
        <v>1.97128715</v>
      </c>
    </row>
    <row r="47" spans="1:21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  <c r="Q47">
        <v>450.31974000000002</v>
      </c>
      <c r="R47">
        <f t="shared" si="7"/>
        <v>2.2515987000000002</v>
      </c>
      <c r="T47">
        <v>403.44274999999999</v>
      </c>
      <c r="U47">
        <f t="shared" si="8"/>
        <v>2.0172137499999998</v>
      </c>
    </row>
    <row r="48" spans="1:21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  <c r="Q48">
        <v>460.06088</v>
      </c>
      <c r="R48">
        <f t="shared" si="7"/>
        <v>2.3003043999999999</v>
      </c>
      <c r="T48">
        <v>412.27812999999998</v>
      </c>
      <c r="U48">
        <f t="shared" si="8"/>
        <v>2.0613906499999999</v>
      </c>
    </row>
    <row r="49" spans="1:21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  <c r="Q49">
        <v>470.28904999999997</v>
      </c>
      <c r="R49">
        <f t="shared" si="7"/>
        <v>2.3514452499999998</v>
      </c>
      <c r="T49">
        <v>421.02600000000001</v>
      </c>
      <c r="U49">
        <f t="shared" si="8"/>
        <v>2.1051299999999999</v>
      </c>
    </row>
    <row r="50" spans="1:21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  <c r="Q50">
        <v>479.93275999999997</v>
      </c>
      <c r="R50">
        <f t="shared" si="7"/>
        <v>2.3996637999999999</v>
      </c>
      <c r="T50">
        <v>430.38625999999999</v>
      </c>
      <c r="U50">
        <f t="shared" si="8"/>
        <v>2.1519312999999998</v>
      </c>
    </row>
    <row r="51" spans="1:21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  <c r="Q51">
        <v>489.67380000000003</v>
      </c>
      <c r="R51">
        <f t="shared" si="7"/>
        <v>2.448369</v>
      </c>
      <c r="T51">
        <v>439.74648999999999</v>
      </c>
      <c r="U51">
        <f t="shared" si="8"/>
        <v>2.1987324500000001</v>
      </c>
    </row>
    <row r="52" spans="1:21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  <c r="Q52">
        <v>499.41487999999998</v>
      </c>
      <c r="R52">
        <f t="shared" si="7"/>
        <v>2.4970743999999998</v>
      </c>
      <c r="T52">
        <v>449.45668000000001</v>
      </c>
      <c r="U52">
        <f t="shared" si="8"/>
        <v>2.2472834000000002</v>
      </c>
    </row>
    <row r="53" spans="1:21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  <c r="Q53">
        <v>510.03273000000002</v>
      </c>
      <c r="R53">
        <f t="shared" si="7"/>
        <v>2.55016365</v>
      </c>
      <c r="T53">
        <v>458.55444999999997</v>
      </c>
      <c r="U53">
        <f t="shared" si="8"/>
        <v>2.2927722500000001</v>
      </c>
    </row>
    <row r="54" spans="1:21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  <c r="Q54">
        <v>519.67642999999998</v>
      </c>
      <c r="R54">
        <f t="shared" si="7"/>
        <v>2.5983821499999999</v>
      </c>
      <c r="T54">
        <v>467.21487999999999</v>
      </c>
      <c r="U54">
        <f t="shared" si="8"/>
        <v>2.3360743999999998</v>
      </c>
    </row>
    <row r="55" spans="1:21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  <c r="Q55">
        <v>529.41755000000001</v>
      </c>
      <c r="R55">
        <f t="shared" si="7"/>
        <v>2.6470877499999999</v>
      </c>
      <c r="T55">
        <v>476.48768999999999</v>
      </c>
      <c r="U55">
        <f t="shared" si="8"/>
        <v>2.38243845</v>
      </c>
    </row>
    <row r="56" spans="1:21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  <c r="Q56">
        <v>539.54827</v>
      </c>
      <c r="R56">
        <f t="shared" si="7"/>
        <v>2.6977413499999998</v>
      </c>
      <c r="T56">
        <v>485.32306</v>
      </c>
      <c r="U56">
        <f t="shared" si="8"/>
        <v>2.4266152999999999</v>
      </c>
    </row>
    <row r="57" spans="1:21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  <c r="Q57">
        <v>549.97122000000002</v>
      </c>
      <c r="R57">
        <f t="shared" si="7"/>
        <v>2.7498561000000001</v>
      </c>
      <c r="T57">
        <v>494.07098999999999</v>
      </c>
      <c r="U57">
        <f t="shared" si="8"/>
        <v>2.4703549499999999</v>
      </c>
    </row>
    <row r="58" spans="1:21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  <c r="Q58">
        <v>559.71234000000004</v>
      </c>
      <c r="R58">
        <f t="shared" si="7"/>
        <v>2.7985617</v>
      </c>
      <c r="T58">
        <v>502.73142000000001</v>
      </c>
      <c r="U58">
        <f t="shared" si="8"/>
        <v>2.5136571000000001</v>
      </c>
    </row>
    <row r="59" spans="1:21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  <c r="Q59">
        <v>569.35604000000001</v>
      </c>
      <c r="R59">
        <f t="shared" si="7"/>
        <v>2.8467802</v>
      </c>
      <c r="T59">
        <v>511.74173999999999</v>
      </c>
      <c r="U59">
        <f t="shared" si="8"/>
        <v>2.5587086999999999</v>
      </c>
    </row>
    <row r="60" spans="1:21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  <c r="Q60">
        <v>579.29199000000006</v>
      </c>
      <c r="R60">
        <f t="shared" si="7"/>
        <v>2.8964599500000001</v>
      </c>
      <c r="T60">
        <v>520.57712000000004</v>
      </c>
      <c r="U60">
        <f t="shared" si="8"/>
        <v>2.6028856</v>
      </c>
    </row>
    <row r="61" spans="1:21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  <c r="Q61">
        <v>588.93569000000002</v>
      </c>
      <c r="R61">
        <f t="shared" si="7"/>
        <v>2.9446784500000001</v>
      </c>
      <c r="T61">
        <v>529.58744000000002</v>
      </c>
      <c r="U61">
        <f t="shared" si="8"/>
        <v>2.6479371999999999</v>
      </c>
    </row>
    <row r="62" spans="1:21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  <c r="Q62">
        <v>598.77414999999996</v>
      </c>
      <c r="R62">
        <f t="shared" si="7"/>
        <v>2.9938707499999997</v>
      </c>
      <c r="T62">
        <v>538.42280000000005</v>
      </c>
      <c r="U62">
        <f t="shared" si="8"/>
        <v>2.6921140000000001</v>
      </c>
    </row>
    <row r="63" spans="1:21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  <c r="Q63">
        <v>608.90490999999997</v>
      </c>
      <c r="R63">
        <f t="shared" si="7"/>
        <v>3.0445245499999998</v>
      </c>
      <c r="T63">
        <v>547.17064000000005</v>
      </c>
      <c r="U63">
        <f t="shared" si="8"/>
        <v>2.7358532000000002</v>
      </c>
    </row>
    <row r="64" spans="1:21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  <c r="Q64">
        <v>618.54861000000005</v>
      </c>
      <c r="R64">
        <f t="shared" si="7"/>
        <v>3.0927430500000002</v>
      </c>
      <c r="T64">
        <v>555.83106999999995</v>
      </c>
      <c r="U64">
        <f t="shared" si="8"/>
        <v>2.7791553499999999</v>
      </c>
    </row>
    <row r="65" spans="1:21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  <c r="Q65">
        <v>628.19232</v>
      </c>
      <c r="R65">
        <f t="shared" si="7"/>
        <v>3.1409615999999998</v>
      </c>
      <c r="T65">
        <v>564.92893000000004</v>
      </c>
      <c r="U65">
        <f t="shared" si="8"/>
        <v>2.8246446500000002</v>
      </c>
    </row>
    <row r="66" spans="1:21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9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  <c r="Q66">
        <v>637.83600000000001</v>
      </c>
      <c r="R66">
        <f t="shared" si="7"/>
        <v>3.1891799999999999</v>
      </c>
      <c r="T66">
        <v>573.67677000000003</v>
      </c>
      <c r="U66">
        <f t="shared" si="8"/>
        <v>2.8683838500000003</v>
      </c>
    </row>
    <row r="67" spans="1:21" x14ac:dyDescent="0.3">
      <c r="A67">
        <v>3.43</v>
      </c>
      <c r="B67">
        <f t="shared" ref="B67:B130" si="10">A67*200</f>
        <v>686</v>
      </c>
      <c r="C67">
        <v>0.59499999999999997</v>
      </c>
      <c r="D67" s="1">
        <v>2.1236933767795563E-2</v>
      </c>
      <c r="E67">
        <f t="shared" ref="E67:E130" si="11">B67</f>
        <v>686</v>
      </c>
      <c r="F67">
        <f t="shared" ref="F67:F130" si="12">D67-0.0045</f>
        <v>1.6736933767795562E-2</v>
      </c>
      <c r="I67">
        <f t="shared" si="9"/>
        <v>0.66784268282353876</v>
      </c>
      <c r="K67">
        <f t="shared" ref="K67:K130" si="13">I67+(F67*C67)</f>
        <v>0.67780115841537714</v>
      </c>
      <c r="L67">
        <f t="shared" ref="L67:L130" si="14">K67-$I$1</f>
        <v>-0.50210941456063485</v>
      </c>
      <c r="N67">
        <v>682.80264</v>
      </c>
      <c r="O67">
        <f t="shared" ref="O67:O130" si="15">N67/200</f>
        <v>3.4140131999999999</v>
      </c>
      <c r="Q67">
        <v>647.47970999999995</v>
      </c>
      <c r="R67">
        <f t="shared" ref="R67:R130" si="16">Q67/200</f>
        <v>3.23739855</v>
      </c>
      <c r="T67">
        <v>583.12451999999996</v>
      </c>
      <c r="U67">
        <f t="shared" ref="U67:U94" si="17">T67/200</f>
        <v>2.9156225999999998</v>
      </c>
    </row>
    <row r="68" spans="1:21" x14ac:dyDescent="0.3">
      <c r="A68">
        <v>3.49</v>
      </c>
      <c r="B68">
        <f t="shared" si="10"/>
        <v>698</v>
      </c>
      <c r="C68">
        <v>0.59199999999999997</v>
      </c>
      <c r="D68" s="1">
        <v>2.1216338500380516E-2</v>
      </c>
      <c r="E68">
        <f t="shared" si="11"/>
        <v>698</v>
      </c>
      <c r="F68">
        <f t="shared" si="12"/>
        <v>1.6716338500380516E-2</v>
      </c>
      <c r="I68">
        <f t="shared" si="9"/>
        <v>0.66604502136632804</v>
      </c>
      <c r="K68">
        <f t="shared" si="13"/>
        <v>0.67594109375855327</v>
      </c>
      <c r="L68">
        <f t="shared" si="14"/>
        <v>-0.50396947921745872</v>
      </c>
      <c r="N68">
        <v>692.98631999999998</v>
      </c>
      <c r="O68">
        <f t="shared" si="15"/>
        <v>3.4649315999999999</v>
      </c>
      <c r="Q68">
        <v>657.41566</v>
      </c>
      <c r="R68">
        <f t="shared" si="16"/>
        <v>3.2870783000000001</v>
      </c>
      <c r="T68">
        <v>592.04740000000004</v>
      </c>
      <c r="U68">
        <f t="shared" si="17"/>
        <v>2.9602370000000002</v>
      </c>
    </row>
    <row r="69" spans="1:21" x14ac:dyDescent="0.3">
      <c r="A69">
        <v>3.54</v>
      </c>
      <c r="B69">
        <f t="shared" si="10"/>
        <v>708</v>
      </c>
      <c r="C69">
        <v>0.59</v>
      </c>
      <c r="D69" s="1">
        <v>2.1920887753367424E-2</v>
      </c>
      <c r="E69">
        <f t="shared" si="11"/>
        <v>708</v>
      </c>
      <c r="F69">
        <f t="shared" si="12"/>
        <v>1.7420887753367423E-2</v>
      </c>
      <c r="I69">
        <f t="shared" si="9"/>
        <v>0.66759994264692069</v>
      </c>
      <c r="K69">
        <f t="shared" si="13"/>
        <v>0.67787826642140747</v>
      </c>
      <c r="L69">
        <f t="shared" si="14"/>
        <v>-0.50203230655460451</v>
      </c>
      <c r="N69">
        <v>703.06822</v>
      </c>
      <c r="O69">
        <f t="shared" si="15"/>
        <v>3.5153411000000001</v>
      </c>
      <c r="Q69">
        <v>668.22832000000005</v>
      </c>
      <c r="R69">
        <f t="shared" si="16"/>
        <v>3.3411416000000003</v>
      </c>
      <c r="T69">
        <v>600.79533000000004</v>
      </c>
      <c r="U69">
        <f t="shared" si="17"/>
        <v>3.0039766500000002</v>
      </c>
    </row>
    <row r="70" spans="1:21" x14ac:dyDescent="0.3">
      <c r="A70">
        <v>3.59</v>
      </c>
      <c r="B70">
        <f t="shared" si="10"/>
        <v>718</v>
      </c>
      <c r="C70">
        <v>0.58699999999999997</v>
      </c>
      <c r="D70" s="1">
        <v>2.1341806277632713E-2</v>
      </c>
      <c r="E70">
        <f t="shared" si="11"/>
        <v>718</v>
      </c>
      <c r="F70">
        <f t="shared" si="12"/>
        <v>1.6841806277632713E-2</v>
      </c>
      <c r="I70">
        <f t="shared" si="9"/>
        <v>0.66361708453670143</v>
      </c>
      <c r="K70">
        <f t="shared" si="13"/>
        <v>0.6735032248216718</v>
      </c>
      <c r="L70">
        <f t="shared" si="14"/>
        <v>-0.50640734815434019</v>
      </c>
      <c r="N70">
        <v>713.45551999999998</v>
      </c>
      <c r="O70">
        <f t="shared" si="15"/>
        <v>3.5672775999999997</v>
      </c>
      <c r="Q70">
        <v>677.96936000000005</v>
      </c>
      <c r="R70">
        <f t="shared" si="16"/>
        <v>3.3898468000000004</v>
      </c>
      <c r="T70">
        <v>609.80565000000001</v>
      </c>
      <c r="U70">
        <f t="shared" si="17"/>
        <v>3.0490282500000001</v>
      </c>
    </row>
    <row r="71" spans="1:21" x14ac:dyDescent="0.3">
      <c r="A71">
        <v>3.64</v>
      </c>
      <c r="B71">
        <f t="shared" si="10"/>
        <v>728</v>
      </c>
      <c r="C71">
        <v>0.58499999999999996</v>
      </c>
      <c r="D71" s="1">
        <v>2.1182570606470108E-2</v>
      </c>
      <c r="E71">
        <f t="shared" si="11"/>
        <v>728</v>
      </c>
      <c r="F71">
        <f t="shared" si="12"/>
        <v>1.6682570606470108E-2</v>
      </c>
      <c r="I71">
        <f t="shared" si="9"/>
        <v>0.66210455700755122</v>
      </c>
      <c r="K71">
        <f t="shared" si="13"/>
        <v>0.67186386081233618</v>
      </c>
      <c r="L71">
        <f t="shared" si="14"/>
        <v>-0.50804671216367581</v>
      </c>
      <c r="N71">
        <v>723.53736000000004</v>
      </c>
      <c r="O71">
        <f t="shared" si="15"/>
        <v>3.6176868</v>
      </c>
      <c r="Q71">
        <v>688.29495999999995</v>
      </c>
      <c r="R71">
        <f t="shared" si="16"/>
        <v>3.4414747999999999</v>
      </c>
      <c r="T71">
        <v>619.16594999999995</v>
      </c>
      <c r="U71">
        <f t="shared" si="17"/>
        <v>3.0958297499999996</v>
      </c>
    </row>
    <row r="72" spans="1:21" x14ac:dyDescent="0.3">
      <c r="A72">
        <v>3.69</v>
      </c>
      <c r="B72">
        <f t="shared" si="10"/>
        <v>738</v>
      </c>
      <c r="C72">
        <v>0.58199999999999996</v>
      </c>
      <c r="D72" s="1">
        <v>2.0709231495857239E-2</v>
      </c>
      <c r="E72">
        <f t="shared" si="11"/>
        <v>738</v>
      </c>
      <c r="F72">
        <f t="shared" si="12"/>
        <v>1.6209231495857238E-2</v>
      </c>
      <c r="I72">
        <f t="shared" si="9"/>
        <v>0.65841706421971313</v>
      </c>
      <c r="K72">
        <f t="shared" si="13"/>
        <v>0.66785083695030201</v>
      </c>
      <c r="L72">
        <f t="shared" si="14"/>
        <v>-0.51205973602570998</v>
      </c>
      <c r="N72">
        <v>733.721</v>
      </c>
      <c r="O72">
        <f t="shared" si="15"/>
        <v>3.6686049999999999</v>
      </c>
      <c r="Q72">
        <v>698.03603999999996</v>
      </c>
      <c r="R72">
        <f t="shared" si="16"/>
        <v>3.4901801999999997</v>
      </c>
      <c r="T72">
        <v>628.43867</v>
      </c>
      <c r="U72">
        <f t="shared" si="17"/>
        <v>3.1421933499999999</v>
      </c>
    </row>
    <row r="73" spans="1:21" x14ac:dyDescent="0.3">
      <c r="A73">
        <v>3.74</v>
      </c>
      <c r="B73">
        <f t="shared" si="10"/>
        <v>748</v>
      </c>
      <c r="C73">
        <v>0.57999999999999996</v>
      </c>
      <c r="D73" s="1">
        <v>2.084982767701149E-2</v>
      </c>
      <c r="E73">
        <f t="shared" si="11"/>
        <v>748</v>
      </c>
      <c r="F73">
        <f t="shared" si="12"/>
        <v>1.6349827677011489E-2</v>
      </c>
      <c r="I73">
        <f t="shared" si="9"/>
        <v>0.65797835551202288</v>
      </c>
      <c r="K73">
        <f t="shared" si="13"/>
        <v>0.66746125556468949</v>
      </c>
      <c r="L73">
        <f t="shared" si="14"/>
        <v>-0.51244931741132249</v>
      </c>
      <c r="N73">
        <v>744.21015999999997</v>
      </c>
      <c r="O73">
        <f t="shared" si="15"/>
        <v>3.7210508</v>
      </c>
      <c r="Q73">
        <v>708.75133000000005</v>
      </c>
      <c r="R73">
        <f t="shared" si="16"/>
        <v>3.5437566500000002</v>
      </c>
      <c r="T73">
        <v>637.18654000000004</v>
      </c>
      <c r="U73">
        <f t="shared" si="17"/>
        <v>3.1859327000000004</v>
      </c>
    </row>
    <row r="74" spans="1:21" x14ac:dyDescent="0.3">
      <c r="A74">
        <v>3.8</v>
      </c>
      <c r="B74">
        <f t="shared" si="10"/>
        <v>760</v>
      </c>
      <c r="C74">
        <v>0.57799999999999996</v>
      </c>
      <c r="D74" s="1">
        <v>2.1780027076601982E-2</v>
      </c>
      <c r="E74">
        <f t="shared" si="11"/>
        <v>760</v>
      </c>
      <c r="F74">
        <f t="shared" si="12"/>
        <v>1.7280027076601982E-2</v>
      </c>
      <c r="I74">
        <f t="shared" si="9"/>
        <v>0.66076410289108745</v>
      </c>
      <c r="K74">
        <f t="shared" si="13"/>
        <v>0.67075195854136338</v>
      </c>
      <c r="L74">
        <f t="shared" si="14"/>
        <v>-0.5091586144346486</v>
      </c>
      <c r="N74">
        <v>754.39383999999995</v>
      </c>
      <c r="O74">
        <f t="shared" si="15"/>
        <v>3.7719691999999996</v>
      </c>
      <c r="Q74">
        <v>718.58974000000001</v>
      </c>
      <c r="R74">
        <f t="shared" si="16"/>
        <v>3.5929487</v>
      </c>
      <c r="T74">
        <v>645.84697000000006</v>
      </c>
      <c r="U74">
        <f t="shared" si="17"/>
        <v>3.2292348500000001</v>
      </c>
    </row>
    <row r="75" spans="1:21" x14ac:dyDescent="0.3">
      <c r="A75">
        <v>3.85</v>
      </c>
      <c r="B75">
        <f t="shared" si="10"/>
        <v>770</v>
      </c>
      <c r="C75">
        <v>0.57499999999999996</v>
      </c>
      <c r="D75" s="1">
        <v>2.1630674600601196E-2</v>
      </c>
      <c r="E75">
        <f t="shared" si="11"/>
        <v>770</v>
      </c>
      <c r="F75">
        <f t="shared" si="12"/>
        <v>1.7130674600601196E-2</v>
      </c>
      <c r="I75">
        <f t="shared" si="9"/>
        <v>0.65827809721231456</v>
      </c>
      <c r="K75">
        <f t="shared" si="13"/>
        <v>0.66812823510766028</v>
      </c>
      <c r="L75">
        <f t="shared" si="14"/>
        <v>-0.5117823378683517</v>
      </c>
      <c r="N75">
        <v>764.57754</v>
      </c>
      <c r="O75">
        <f t="shared" si="15"/>
        <v>3.8228876999999999</v>
      </c>
      <c r="Q75">
        <v>728.33087999999998</v>
      </c>
      <c r="R75">
        <f t="shared" si="16"/>
        <v>3.6416543999999997</v>
      </c>
      <c r="T75">
        <v>654.68237999999997</v>
      </c>
      <c r="U75">
        <f t="shared" si="17"/>
        <v>3.2734118999999997</v>
      </c>
    </row>
    <row r="76" spans="1:21" x14ac:dyDescent="0.3">
      <c r="A76">
        <v>3.9</v>
      </c>
      <c r="B76">
        <f t="shared" si="10"/>
        <v>780</v>
      </c>
      <c r="C76">
        <v>0.57299999999999995</v>
      </c>
      <c r="D76" s="1">
        <v>2.1522887051105499E-2</v>
      </c>
      <c r="E76">
        <f t="shared" si="11"/>
        <v>780</v>
      </c>
      <c r="F76">
        <f t="shared" si="12"/>
        <v>1.7022887051105499E-2</v>
      </c>
      <c r="I76">
        <f t="shared" si="9"/>
        <v>0.65693925949931142</v>
      </c>
      <c r="K76">
        <f t="shared" si="13"/>
        <v>0.66669337377959492</v>
      </c>
      <c r="L76">
        <f t="shared" si="14"/>
        <v>-0.51321719919641706</v>
      </c>
      <c r="N76">
        <v>774.86303999999996</v>
      </c>
      <c r="O76">
        <f t="shared" si="15"/>
        <v>3.8743151999999998</v>
      </c>
      <c r="Q76">
        <v>738.85130000000004</v>
      </c>
      <c r="R76">
        <f t="shared" si="16"/>
        <v>3.6942565000000003</v>
      </c>
      <c r="T76">
        <v>663.43025999999998</v>
      </c>
      <c r="U76">
        <f t="shared" si="17"/>
        <v>3.3171512999999999</v>
      </c>
    </row>
    <row r="77" spans="1:21" x14ac:dyDescent="0.3">
      <c r="A77">
        <v>3.95</v>
      </c>
      <c r="B77">
        <f t="shared" si="10"/>
        <v>790</v>
      </c>
      <c r="C77">
        <v>0.56999999999999995</v>
      </c>
      <c r="D77" s="1">
        <v>2.0996369421482086E-2</v>
      </c>
      <c r="E77">
        <f t="shared" si="11"/>
        <v>790</v>
      </c>
      <c r="F77">
        <f t="shared" si="12"/>
        <v>1.6496369421482086E-2</v>
      </c>
      <c r="I77">
        <f t="shared" si="9"/>
        <v>0.65293565921485419</v>
      </c>
      <c r="K77">
        <f t="shared" si="13"/>
        <v>0.66233858978509896</v>
      </c>
      <c r="L77">
        <f t="shared" si="14"/>
        <v>-0.51757198319091302</v>
      </c>
      <c r="N77">
        <v>785.14847999999995</v>
      </c>
      <c r="O77">
        <f t="shared" si="15"/>
        <v>3.9257423999999999</v>
      </c>
      <c r="Q77">
        <v>748.68980999999997</v>
      </c>
      <c r="R77">
        <f t="shared" si="16"/>
        <v>3.7434490499999997</v>
      </c>
      <c r="T77">
        <v>672.26563999999996</v>
      </c>
      <c r="U77">
        <f t="shared" si="17"/>
        <v>3.3613282</v>
      </c>
    </row>
    <row r="78" spans="1:21" x14ac:dyDescent="0.3">
      <c r="A78">
        <v>4</v>
      </c>
      <c r="B78">
        <f t="shared" si="10"/>
        <v>800</v>
      </c>
      <c r="C78">
        <v>0.56799999999999995</v>
      </c>
      <c r="D78" s="1">
        <v>2.1206527948379517E-2</v>
      </c>
      <c r="E78">
        <f t="shared" si="11"/>
        <v>800</v>
      </c>
      <c r="F78">
        <f t="shared" si="12"/>
        <v>1.6706527948379516E-2</v>
      </c>
      <c r="I78">
        <f t="shared" si="9"/>
        <v>0.65282611179351802</v>
      </c>
      <c r="K78">
        <f t="shared" si="13"/>
        <v>0.66231541966819762</v>
      </c>
      <c r="L78">
        <f t="shared" si="14"/>
        <v>-0.51759515330781436</v>
      </c>
      <c r="N78">
        <v>795.6377</v>
      </c>
      <c r="O78">
        <f t="shared" si="15"/>
        <v>3.9781884999999999</v>
      </c>
      <c r="Q78">
        <v>758.33352000000002</v>
      </c>
      <c r="R78">
        <f t="shared" si="16"/>
        <v>3.7916676000000002</v>
      </c>
      <c r="T78">
        <v>680.92606999999998</v>
      </c>
      <c r="U78">
        <f t="shared" si="17"/>
        <v>3.4046303499999997</v>
      </c>
    </row>
    <row r="79" spans="1:21" x14ac:dyDescent="0.3">
      <c r="A79">
        <v>4.05</v>
      </c>
      <c r="B79">
        <f t="shared" si="10"/>
        <v>810</v>
      </c>
      <c r="C79">
        <v>0.56499999999999995</v>
      </c>
      <c r="D79" s="1">
        <v>2.1287042647600174E-2</v>
      </c>
      <c r="E79">
        <f t="shared" si="11"/>
        <v>810</v>
      </c>
      <c r="F79">
        <f t="shared" si="12"/>
        <v>1.6787042647600173E-2</v>
      </c>
      <c r="I79">
        <f t="shared" si="9"/>
        <v>0.65121252272278063</v>
      </c>
      <c r="K79">
        <f t="shared" si="13"/>
        <v>0.66069720181867475</v>
      </c>
      <c r="L79">
        <f t="shared" si="14"/>
        <v>-0.51921337115733723</v>
      </c>
      <c r="N79">
        <v>806.12685999999997</v>
      </c>
      <c r="O79">
        <f t="shared" si="15"/>
        <v>4.0306343</v>
      </c>
      <c r="Q79">
        <v>767.97721999999999</v>
      </c>
      <c r="R79">
        <f t="shared" si="16"/>
        <v>3.8398860999999997</v>
      </c>
      <c r="T79">
        <v>690.02391999999998</v>
      </c>
      <c r="U79">
        <f t="shared" si="17"/>
        <v>3.4501195999999998</v>
      </c>
    </row>
    <row r="80" spans="1:21" x14ac:dyDescent="0.3">
      <c r="A80">
        <v>4.0999999999999996</v>
      </c>
      <c r="B80">
        <f t="shared" si="10"/>
        <v>819.99999999999989</v>
      </c>
      <c r="C80">
        <v>0.56299999999999994</v>
      </c>
      <c r="D80" s="1">
        <v>2.1569870412349701E-2</v>
      </c>
      <c r="E80">
        <f t="shared" si="11"/>
        <v>819.99999999999989</v>
      </c>
      <c r="F80">
        <f t="shared" si="12"/>
        <v>1.70698704123497E-2</v>
      </c>
      <c r="I80">
        <f t="shared" si="9"/>
        <v>0.65143646869063376</v>
      </c>
      <c r="K80">
        <f t="shared" si="13"/>
        <v>0.66104680573278662</v>
      </c>
      <c r="L80">
        <f t="shared" si="14"/>
        <v>-0.51886376724322536</v>
      </c>
      <c r="N80">
        <v>816.20870000000002</v>
      </c>
      <c r="O80">
        <f t="shared" si="15"/>
        <v>4.0810434999999998</v>
      </c>
      <c r="Q80">
        <v>777.62086999999997</v>
      </c>
      <c r="R80">
        <f t="shared" si="16"/>
        <v>3.8881043499999999</v>
      </c>
      <c r="T80">
        <v>698.94676000000004</v>
      </c>
      <c r="U80">
        <f t="shared" si="17"/>
        <v>3.4947338000000001</v>
      </c>
    </row>
    <row r="81" spans="1:21" x14ac:dyDescent="0.3">
      <c r="A81">
        <v>4.16</v>
      </c>
      <c r="B81">
        <f t="shared" si="10"/>
        <v>832</v>
      </c>
      <c r="C81">
        <v>0.56100000000000005</v>
      </c>
      <c r="D81" s="1">
        <v>2.1351464092731476E-2</v>
      </c>
      <c r="E81">
        <f t="shared" si="11"/>
        <v>832</v>
      </c>
      <c r="F81">
        <f t="shared" si="12"/>
        <v>1.6851464092731475E-2</v>
      </c>
      <c r="I81">
        <f t="shared" si="9"/>
        <v>0.64982209062576302</v>
      </c>
      <c r="K81">
        <f t="shared" si="13"/>
        <v>0.65927576198178539</v>
      </c>
      <c r="L81">
        <f t="shared" si="14"/>
        <v>-0.52063481099422659</v>
      </c>
      <c r="N81">
        <v>826.49423999999999</v>
      </c>
      <c r="O81">
        <f t="shared" si="15"/>
        <v>4.1324712000000003</v>
      </c>
      <c r="Q81">
        <v>787.65428999999995</v>
      </c>
      <c r="R81">
        <f t="shared" si="16"/>
        <v>3.9382714499999998</v>
      </c>
      <c r="T81">
        <v>707.69467999999995</v>
      </c>
      <c r="U81">
        <f t="shared" si="17"/>
        <v>3.5384733999999995</v>
      </c>
    </row>
    <row r="82" spans="1:21" x14ac:dyDescent="0.3">
      <c r="A82">
        <v>4.21</v>
      </c>
      <c r="B82">
        <f t="shared" si="10"/>
        <v>842</v>
      </c>
      <c r="C82">
        <v>0.55800000000000005</v>
      </c>
      <c r="D82" s="1">
        <v>2.2199295461177826E-2</v>
      </c>
      <c r="E82">
        <f t="shared" si="11"/>
        <v>842</v>
      </c>
      <c r="F82">
        <f t="shared" si="12"/>
        <v>1.7699295461177825E-2</v>
      </c>
      <c r="I82">
        <f t="shared" si="9"/>
        <v>0.65145903389155868</v>
      </c>
      <c r="K82">
        <f t="shared" si="13"/>
        <v>0.66133524075889594</v>
      </c>
      <c r="L82">
        <f t="shared" si="14"/>
        <v>-0.51857533221711605</v>
      </c>
      <c r="N82">
        <v>836.57608000000005</v>
      </c>
      <c r="O82">
        <f t="shared" si="15"/>
        <v>4.1828804000000002</v>
      </c>
      <c r="Q82">
        <v>797.298</v>
      </c>
      <c r="R82">
        <f t="shared" si="16"/>
        <v>3.9864899999999999</v>
      </c>
      <c r="T82">
        <v>716.44259999999997</v>
      </c>
      <c r="U82">
        <f t="shared" si="17"/>
        <v>3.5822129999999999</v>
      </c>
    </row>
    <row r="83" spans="1:21" x14ac:dyDescent="0.3">
      <c r="A83">
        <v>4.26</v>
      </c>
      <c r="B83">
        <f t="shared" si="10"/>
        <v>852</v>
      </c>
      <c r="C83">
        <v>0.55600000000000005</v>
      </c>
      <c r="D83" s="1">
        <v>2.1349307149648666E-2</v>
      </c>
      <c r="E83">
        <f t="shared" si="11"/>
        <v>852</v>
      </c>
      <c r="F83">
        <f t="shared" si="12"/>
        <v>1.6849307149648666E-2</v>
      </c>
      <c r="I83">
        <f t="shared" si="9"/>
        <v>0.64694804845750342</v>
      </c>
      <c r="K83">
        <f t="shared" si="13"/>
        <v>0.65631626323270809</v>
      </c>
      <c r="L83">
        <f t="shared" si="14"/>
        <v>-0.5235943097433039</v>
      </c>
      <c r="N83">
        <v>846.65791999999999</v>
      </c>
      <c r="O83">
        <f t="shared" si="15"/>
        <v>4.2332896</v>
      </c>
      <c r="Q83">
        <v>807.52616999999998</v>
      </c>
      <c r="R83">
        <f t="shared" si="16"/>
        <v>4.0376308500000002</v>
      </c>
      <c r="T83">
        <v>725.10302999999999</v>
      </c>
      <c r="U83">
        <f t="shared" si="17"/>
        <v>3.62551515</v>
      </c>
    </row>
    <row r="84" spans="1:21" x14ac:dyDescent="0.3">
      <c r="A84">
        <v>4.3099999999999996</v>
      </c>
      <c r="B84">
        <f t="shared" si="10"/>
        <v>861.99999999999989</v>
      </c>
      <c r="C84">
        <v>0.55400000000000005</v>
      </c>
      <c r="D84" s="1">
        <v>2.1212978288531303E-2</v>
      </c>
      <c r="E84">
        <f t="shared" si="11"/>
        <v>861.99999999999989</v>
      </c>
      <c r="F84">
        <f t="shared" si="12"/>
        <v>1.6712978288531303E-2</v>
      </c>
      <c r="I84">
        <f t="shared" si="9"/>
        <v>0.64542793642356999</v>
      </c>
      <c r="K84">
        <f t="shared" si="13"/>
        <v>0.65468692639541637</v>
      </c>
      <c r="L84">
        <f t="shared" si="14"/>
        <v>-0.52522364658059562</v>
      </c>
      <c r="N84">
        <v>857.04521999999997</v>
      </c>
      <c r="O84">
        <f t="shared" si="15"/>
        <v>4.2852261</v>
      </c>
      <c r="Q84">
        <v>817.85170000000005</v>
      </c>
      <c r="R84">
        <f t="shared" si="16"/>
        <v>4.0892585000000006</v>
      </c>
      <c r="T84">
        <v>733.93835999999999</v>
      </c>
      <c r="U84">
        <f t="shared" si="17"/>
        <v>3.6696917999999998</v>
      </c>
    </row>
    <row r="85" spans="1:21" x14ac:dyDescent="0.3">
      <c r="A85">
        <v>4.37</v>
      </c>
      <c r="B85">
        <f t="shared" si="10"/>
        <v>874</v>
      </c>
      <c r="C85">
        <v>0.55100000000000005</v>
      </c>
      <c r="D85" s="1">
        <v>2.2336233407258987E-2</v>
      </c>
      <c r="E85">
        <f t="shared" si="11"/>
        <v>874</v>
      </c>
      <c r="F85">
        <f t="shared" si="12"/>
        <v>1.7836233407258987E-2</v>
      </c>
      <c r="I85">
        <f t="shared" si="9"/>
        <v>0.64860933998972181</v>
      </c>
      <c r="K85">
        <f t="shared" si="13"/>
        <v>0.65843710459712157</v>
      </c>
      <c r="L85">
        <f t="shared" si="14"/>
        <v>-0.52147346837889041</v>
      </c>
      <c r="N85">
        <v>867.73807999999997</v>
      </c>
      <c r="O85">
        <f t="shared" si="15"/>
        <v>4.3386903999999999</v>
      </c>
      <c r="Q85">
        <v>828.07987000000003</v>
      </c>
      <c r="R85">
        <f t="shared" si="16"/>
        <v>4.14039935</v>
      </c>
      <c r="T85">
        <v>742.59879000000001</v>
      </c>
      <c r="U85">
        <f t="shared" si="17"/>
        <v>3.71299395</v>
      </c>
    </row>
    <row r="86" spans="1:21" x14ac:dyDescent="0.3">
      <c r="A86">
        <v>4.42</v>
      </c>
      <c r="B86">
        <f t="shared" si="10"/>
        <v>884</v>
      </c>
      <c r="C86">
        <v>0.54900000000000004</v>
      </c>
      <c r="D86" s="1">
        <v>2.0953355357050896E-2</v>
      </c>
      <c r="E86">
        <f t="shared" si="11"/>
        <v>884</v>
      </c>
      <c r="F86">
        <f t="shared" si="12"/>
        <v>1.6453355357050895E-2</v>
      </c>
      <c r="I86">
        <f t="shared" si="9"/>
        <v>0.64161383067816502</v>
      </c>
      <c r="K86">
        <f t="shared" si="13"/>
        <v>0.650646722769186</v>
      </c>
      <c r="L86">
        <f t="shared" si="14"/>
        <v>-0.52926385020682598</v>
      </c>
      <c r="N86">
        <v>877.81992000000002</v>
      </c>
      <c r="O86">
        <f t="shared" si="15"/>
        <v>4.3890995999999998</v>
      </c>
      <c r="Q86">
        <v>837.72357</v>
      </c>
      <c r="R86">
        <f t="shared" si="16"/>
        <v>4.18861785</v>
      </c>
      <c r="T86">
        <v>751.34670000000006</v>
      </c>
      <c r="U86">
        <f t="shared" si="17"/>
        <v>3.7567335000000002</v>
      </c>
    </row>
    <row r="87" spans="1:21" x14ac:dyDescent="0.3">
      <c r="A87">
        <v>4.47</v>
      </c>
      <c r="B87">
        <f t="shared" si="10"/>
        <v>894</v>
      </c>
      <c r="C87">
        <v>0.54600000000000004</v>
      </c>
      <c r="D87" s="1">
        <v>2.2049251943826675E-2</v>
      </c>
      <c r="E87">
        <f t="shared" si="11"/>
        <v>894</v>
      </c>
      <c r="F87">
        <f t="shared" si="12"/>
        <v>1.7549251943826675E-2</v>
      </c>
      <c r="I87">
        <f t="shared" si="9"/>
        <v>0.64456015618890528</v>
      </c>
      <c r="K87">
        <f t="shared" si="13"/>
        <v>0.65414204775023466</v>
      </c>
      <c r="L87">
        <f t="shared" si="14"/>
        <v>-0.52576852522577733</v>
      </c>
      <c r="N87">
        <v>887.90175999999997</v>
      </c>
      <c r="O87">
        <f t="shared" si="15"/>
        <v>4.4395087999999996</v>
      </c>
      <c r="Q87">
        <v>847.36728000000005</v>
      </c>
      <c r="R87">
        <f t="shared" si="16"/>
        <v>4.2368364000000005</v>
      </c>
      <c r="T87">
        <v>760.09463000000005</v>
      </c>
      <c r="U87">
        <f t="shared" si="17"/>
        <v>3.8004731500000002</v>
      </c>
    </row>
    <row r="88" spans="1:21" x14ac:dyDescent="0.3">
      <c r="A88">
        <v>4.53</v>
      </c>
      <c r="B88">
        <f t="shared" si="10"/>
        <v>906</v>
      </c>
      <c r="C88">
        <v>0.54400000000000004</v>
      </c>
      <c r="D88" s="1">
        <v>2.1715734153985977E-2</v>
      </c>
      <c r="E88">
        <f t="shared" si="11"/>
        <v>906</v>
      </c>
      <c r="F88">
        <f t="shared" si="12"/>
        <v>1.7215734153985977E-2</v>
      </c>
      <c r="I88">
        <f t="shared" si="9"/>
        <v>0.64237227571755651</v>
      </c>
      <c r="K88">
        <f t="shared" si="13"/>
        <v>0.65173763509732485</v>
      </c>
      <c r="L88">
        <f t="shared" si="14"/>
        <v>-0.52817293787868713</v>
      </c>
      <c r="N88">
        <v>898.18730000000005</v>
      </c>
      <c r="O88">
        <f t="shared" si="15"/>
        <v>4.4909365000000001</v>
      </c>
      <c r="Q88">
        <v>857.79021999999998</v>
      </c>
      <c r="R88">
        <f t="shared" si="16"/>
        <v>4.2889511000000002</v>
      </c>
      <c r="T88">
        <v>768.92994999999996</v>
      </c>
      <c r="U88">
        <f t="shared" si="17"/>
        <v>3.8446497499999999</v>
      </c>
    </row>
    <row r="89" spans="1:21" x14ac:dyDescent="0.3">
      <c r="A89">
        <v>4.58</v>
      </c>
      <c r="B89">
        <f t="shared" si="10"/>
        <v>916</v>
      </c>
      <c r="C89">
        <v>0.54200000000000004</v>
      </c>
      <c r="D89" s="1">
        <v>2.1696174517273903E-2</v>
      </c>
      <c r="E89">
        <f t="shared" si="11"/>
        <v>916</v>
      </c>
      <c r="F89">
        <f t="shared" si="12"/>
        <v>1.7196174517273902E-2</v>
      </c>
      <c r="I89">
        <f t="shared" si="9"/>
        <v>0.64136847928911456</v>
      </c>
      <c r="K89">
        <f t="shared" si="13"/>
        <v>0.65068880587747702</v>
      </c>
      <c r="L89">
        <f t="shared" si="14"/>
        <v>-0.52922176709853497</v>
      </c>
      <c r="N89">
        <v>909.18564000000003</v>
      </c>
      <c r="O89">
        <f t="shared" si="15"/>
        <v>4.5459282000000005</v>
      </c>
      <c r="Q89">
        <v>867.72621000000004</v>
      </c>
      <c r="R89">
        <f t="shared" si="16"/>
        <v>4.33863105</v>
      </c>
      <c r="T89">
        <v>778.02778000000001</v>
      </c>
      <c r="U89">
        <f t="shared" si="17"/>
        <v>3.8901389000000002</v>
      </c>
    </row>
    <row r="90" spans="1:21" x14ac:dyDescent="0.3">
      <c r="A90">
        <v>4.63</v>
      </c>
      <c r="B90">
        <f t="shared" si="10"/>
        <v>926</v>
      </c>
      <c r="C90">
        <v>0.53900000000000003</v>
      </c>
      <c r="D90" s="1">
        <v>2.1906765177845955E-2</v>
      </c>
      <c r="E90">
        <f t="shared" si="11"/>
        <v>926</v>
      </c>
      <c r="F90">
        <f t="shared" si="12"/>
        <v>1.7406765177845954E-2</v>
      </c>
      <c r="I90">
        <f t="shared" si="9"/>
        <v>0.64042832277342676</v>
      </c>
      <c r="K90">
        <f t="shared" si="13"/>
        <v>0.6498105692042857</v>
      </c>
      <c r="L90">
        <f t="shared" si="14"/>
        <v>-0.53010000377172628</v>
      </c>
      <c r="N90">
        <v>919.87851999999998</v>
      </c>
      <c r="O90">
        <f t="shared" si="15"/>
        <v>4.5993925999999998</v>
      </c>
      <c r="Q90">
        <v>877.75953000000004</v>
      </c>
      <c r="R90">
        <f t="shared" si="16"/>
        <v>4.3887976499999999</v>
      </c>
      <c r="T90">
        <v>787.21310000000005</v>
      </c>
      <c r="U90">
        <f t="shared" si="17"/>
        <v>3.9360655000000002</v>
      </c>
    </row>
    <row r="91" spans="1:21" x14ac:dyDescent="0.3">
      <c r="A91">
        <v>4.68</v>
      </c>
      <c r="B91">
        <f t="shared" si="10"/>
        <v>936</v>
      </c>
      <c r="C91">
        <v>0.53700000000000003</v>
      </c>
      <c r="D91" s="1">
        <v>2.1756090223789215E-2</v>
      </c>
      <c r="E91">
        <f t="shared" si="11"/>
        <v>936</v>
      </c>
      <c r="F91">
        <f t="shared" si="12"/>
        <v>1.7256090223789215E-2</v>
      </c>
      <c r="I91">
        <f t="shared" si="9"/>
        <v>0.63881850224733361</v>
      </c>
      <c r="K91">
        <f t="shared" si="13"/>
        <v>0.64808502269750845</v>
      </c>
      <c r="L91">
        <f t="shared" si="14"/>
        <v>-0.53182555027850353</v>
      </c>
      <c r="N91">
        <v>930.06209999999999</v>
      </c>
      <c r="O91">
        <f t="shared" si="15"/>
        <v>4.6503104999999998</v>
      </c>
      <c r="Q91">
        <v>887.69543999999996</v>
      </c>
      <c r="R91">
        <f t="shared" si="16"/>
        <v>4.4384771999999995</v>
      </c>
      <c r="T91">
        <v>795.96100999999999</v>
      </c>
      <c r="U91">
        <f t="shared" si="17"/>
        <v>3.97980505</v>
      </c>
    </row>
    <row r="92" spans="1:21" x14ac:dyDescent="0.3">
      <c r="A92">
        <v>4.7300000000000004</v>
      </c>
      <c r="B92">
        <f t="shared" si="10"/>
        <v>946.00000000000011</v>
      </c>
      <c r="C92">
        <v>0.53400000000000003</v>
      </c>
      <c r="D92" s="1">
        <v>2.2429488599300385E-2</v>
      </c>
      <c r="E92">
        <f t="shared" si="11"/>
        <v>946.00000000000011</v>
      </c>
      <c r="F92">
        <f t="shared" si="12"/>
        <v>1.7929488599300384E-2</v>
      </c>
      <c r="I92">
        <f t="shared" si="9"/>
        <v>0.64009148107469083</v>
      </c>
      <c r="K92">
        <f t="shared" si="13"/>
        <v>0.64966582798671724</v>
      </c>
      <c r="L92">
        <f t="shared" si="14"/>
        <v>-0.53024474498929475</v>
      </c>
      <c r="N92">
        <v>940.55125999999996</v>
      </c>
      <c r="O92">
        <f t="shared" si="15"/>
        <v>4.7027562999999999</v>
      </c>
      <c r="Q92">
        <v>897.53399000000002</v>
      </c>
      <c r="R92">
        <f t="shared" si="16"/>
        <v>4.4876699499999999</v>
      </c>
      <c r="T92">
        <v>804.79634999999996</v>
      </c>
      <c r="U92">
        <f t="shared" si="17"/>
        <v>4.0239817499999999</v>
      </c>
    </row>
    <row r="93" spans="1:21" x14ac:dyDescent="0.3">
      <c r="A93">
        <v>4.79</v>
      </c>
      <c r="B93">
        <f t="shared" si="10"/>
        <v>958</v>
      </c>
      <c r="C93">
        <v>0.53300000000000003</v>
      </c>
      <c r="D93" s="1">
        <v>2.15414147824049E-2</v>
      </c>
      <c r="E93">
        <f t="shared" si="11"/>
        <v>958</v>
      </c>
      <c r="F93">
        <f t="shared" si="12"/>
        <v>1.7041414782404899E-2</v>
      </c>
      <c r="I93">
        <f t="shared" si="9"/>
        <v>0.63618337680771953</v>
      </c>
      <c r="K93">
        <f t="shared" si="13"/>
        <v>0.64526645088674128</v>
      </c>
      <c r="L93">
        <f t="shared" si="14"/>
        <v>-0.5346441220892707</v>
      </c>
      <c r="N93">
        <v>952.16063999999994</v>
      </c>
      <c r="O93">
        <f t="shared" si="15"/>
        <v>4.7608031999999998</v>
      </c>
      <c r="Q93">
        <v>907.85950000000003</v>
      </c>
      <c r="R93">
        <f t="shared" si="16"/>
        <v>4.5392975</v>
      </c>
      <c r="T93">
        <v>814.24405999999999</v>
      </c>
      <c r="U93">
        <f t="shared" si="17"/>
        <v>4.0712203000000002</v>
      </c>
    </row>
    <row r="94" spans="1:21" x14ac:dyDescent="0.3">
      <c r="A94">
        <v>4.84</v>
      </c>
      <c r="B94">
        <f t="shared" si="10"/>
        <v>968</v>
      </c>
      <c r="C94">
        <v>0.53</v>
      </c>
      <c r="D94" s="1">
        <v>2.2523378953337669E-2</v>
      </c>
      <c r="E94">
        <f t="shared" si="11"/>
        <v>968</v>
      </c>
      <c r="F94">
        <f t="shared" si="12"/>
        <v>1.8023378953337669E-2</v>
      </c>
      <c r="I94">
        <f t="shared" si="9"/>
        <v>0.63901315413415438</v>
      </c>
      <c r="K94">
        <f t="shared" si="13"/>
        <v>0.64856554497942331</v>
      </c>
      <c r="L94">
        <f t="shared" si="14"/>
        <v>-0.53134502799658867</v>
      </c>
      <c r="N94">
        <v>962.75166000000002</v>
      </c>
      <c r="O94">
        <f t="shared" si="15"/>
        <v>4.8137582999999999</v>
      </c>
      <c r="Q94">
        <v>917.69807000000003</v>
      </c>
      <c r="R94">
        <f t="shared" si="16"/>
        <v>4.5884903499999998</v>
      </c>
      <c r="T94">
        <v>816.95599000000004</v>
      </c>
      <c r="U94">
        <f t="shared" si="17"/>
        <v>4.0847799500000006</v>
      </c>
    </row>
    <row r="95" spans="1:21" x14ac:dyDescent="0.3">
      <c r="A95">
        <v>4.8899999999999997</v>
      </c>
      <c r="B95">
        <f t="shared" si="10"/>
        <v>977.99999999999989</v>
      </c>
      <c r="C95">
        <v>0.52800000000000002</v>
      </c>
      <c r="D95" s="1">
        <v>2.1605027839541435E-2</v>
      </c>
      <c r="E95">
        <f t="shared" si="11"/>
        <v>977.99999999999989</v>
      </c>
      <c r="F95">
        <f t="shared" si="12"/>
        <v>1.7105027839541435E-2</v>
      </c>
      <c r="I95">
        <f t="shared" si="9"/>
        <v>0.63364858613535768</v>
      </c>
      <c r="K95">
        <f t="shared" si="13"/>
        <v>0.64268004083463559</v>
      </c>
      <c r="L95">
        <f t="shared" si="14"/>
        <v>-0.53723053214137639</v>
      </c>
      <c r="N95">
        <v>973.54638</v>
      </c>
      <c r="O95">
        <f t="shared" si="15"/>
        <v>4.8677318999999999</v>
      </c>
      <c r="Q95">
        <v>928.60807</v>
      </c>
      <c r="R95">
        <f t="shared" si="16"/>
        <v>4.6430403499999997</v>
      </c>
    </row>
    <row r="96" spans="1:21" x14ac:dyDescent="0.3">
      <c r="A96">
        <v>4.9400000000000004</v>
      </c>
      <c r="B96">
        <f t="shared" si="10"/>
        <v>988.00000000000011</v>
      </c>
      <c r="C96">
        <v>0.52600000000000002</v>
      </c>
      <c r="D96" s="1">
        <v>2.2359063848853111E-2</v>
      </c>
      <c r="E96">
        <f t="shared" si="11"/>
        <v>988.00000000000011</v>
      </c>
      <c r="F96">
        <f t="shared" si="12"/>
        <v>1.7859063848853111E-2</v>
      </c>
      <c r="I96">
        <f t="shared" si="9"/>
        <v>0.63645377541333437</v>
      </c>
      <c r="K96">
        <f t="shared" si="13"/>
        <v>0.64584764299783115</v>
      </c>
      <c r="L96">
        <f t="shared" si="14"/>
        <v>-0.53406292997818083</v>
      </c>
      <c r="N96">
        <v>984.03563999999994</v>
      </c>
      <c r="O96">
        <f t="shared" si="15"/>
        <v>4.9201781999999996</v>
      </c>
      <c r="Q96">
        <v>938.25176999999996</v>
      </c>
      <c r="R96">
        <f t="shared" si="16"/>
        <v>4.6912588499999996</v>
      </c>
    </row>
    <row r="97" spans="1:18" x14ac:dyDescent="0.3">
      <c r="A97">
        <v>4.99</v>
      </c>
      <c r="B97">
        <f t="shared" si="10"/>
        <v>998</v>
      </c>
      <c r="C97">
        <v>0.52400000000000002</v>
      </c>
      <c r="D97" s="1">
        <v>2.1708402782678604E-2</v>
      </c>
      <c r="E97">
        <f t="shared" si="11"/>
        <v>998</v>
      </c>
      <c r="F97">
        <f t="shared" si="12"/>
        <v>1.7208402782678604E-2</v>
      </c>
      <c r="I97">
        <f t="shared" si="9"/>
        <v>0.63232492988556621</v>
      </c>
      <c r="K97">
        <f t="shared" si="13"/>
        <v>0.6413421329436898</v>
      </c>
      <c r="L97">
        <f t="shared" si="14"/>
        <v>-0.53856844003232218</v>
      </c>
      <c r="N97">
        <v>994.62656000000004</v>
      </c>
      <c r="O97">
        <f t="shared" si="15"/>
        <v>4.9731328000000001</v>
      </c>
      <c r="Q97">
        <v>947.89545999999996</v>
      </c>
      <c r="R97">
        <f t="shared" si="16"/>
        <v>4.7394772999999999</v>
      </c>
    </row>
    <row r="98" spans="1:18" x14ac:dyDescent="0.3">
      <c r="A98">
        <v>5.05</v>
      </c>
      <c r="B98">
        <f t="shared" si="10"/>
        <v>1010</v>
      </c>
      <c r="C98">
        <v>0.52100000000000002</v>
      </c>
      <c r="D98" s="1">
        <v>2.2254021838307381E-2</v>
      </c>
      <c r="E98">
        <f t="shared" si="11"/>
        <v>1010</v>
      </c>
      <c r="F98">
        <f t="shared" si="12"/>
        <v>1.775402183830738E-2</v>
      </c>
      <c r="I98">
        <f t="shared" si="9"/>
        <v>0.63338281028345234</v>
      </c>
      <c r="K98">
        <f t="shared" si="13"/>
        <v>0.64263265566121053</v>
      </c>
      <c r="L98">
        <f t="shared" si="14"/>
        <v>-0.53727791731480146</v>
      </c>
      <c r="N98">
        <v>1005.93038</v>
      </c>
      <c r="O98">
        <f t="shared" si="15"/>
        <v>5.0296519000000002</v>
      </c>
      <c r="Q98">
        <v>957.92877999999996</v>
      </c>
      <c r="R98">
        <f t="shared" si="16"/>
        <v>4.7896438999999997</v>
      </c>
    </row>
    <row r="99" spans="1:18" x14ac:dyDescent="0.3">
      <c r="A99">
        <v>5.0999999999999996</v>
      </c>
      <c r="B99">
        <f t="shared" si="10"/>
        <v>1019.9999999999999</v>
      </c>
      <c r="C99">
        <v>0.51900000000000002</v>
      </c>
      <c r="D99" s="1">
        <v>2.2036757320165634E-2</v>
      </c>
      <c r="E99">
        <f t="shared" si="11"/>
        <v>1019.9999999999999</v>
      </c>
      <c r="F99">
        <f t="shared" si="12"/>
        <v>1.7536757320165634E-2</v>
      </c>
      <c r="I99">
        <f t="shared" si="9"/>
        <v>0.63138746233284471</v>
      </c>
      <c r="K99">
        <f t="shared" si="13"/>
        <v>0.64048903938201063</v>
      </c>
      <c r="L99">
        <f t="shared" si="14"/>
        <v>-0.53942153359400136</v>
      </c>
      <c r="N99">
        <v>1016.52138</v>
      </c>
      <c r="O99">
        <f t="shared" si="15"/>
        <v>5.0826069</v>
      </c>
      <c r="Q99">
        <v>968.25431000000003</v>
      </c>
      <c r="R99">
        <f t="shared" si="16"/>
        <v>4.8412715500000001</v>
      </c>
    </row>
    <row r="100" spans="1:18" x14ac:dyDescent="0.3">
      <c r="A100">
        <v>5.15</v>
      </c>
      <c r="B100">
        <f t="shared" si="10"/>
        <v>1030</v>
      </c>
      <c r="C100">
        <v>0.51700000000000002</v>
      </c>
      <c r="D100" s="1">
        <v>2.2387169301509857E-2</v>
      </c>
      <c r="E100">
        <f t="shared" si="11"/>
        <v>1030</v>
      </c>
      <c r="F100">
        <f t="shared" si="12"/>
        <v>1.7887169301509857E-2</v>
      </c>
      <c r="I100">
        <f t="shared" si="9"/>
        <v>0.63229392190277578</v>
      </c>
      <c r="K100">
        <f t="shared" si="13"/>
        <v>0.64154158843165643</v>
      </c>
      <c r="L100">
        <f t="shared" si="14"/>
        <v>-0.53836898454435556</v>
      </c>
      <c r="N100">
        <v>1027.31612</v>
      </c>
      <c r="O100">
        <f t="shared" si="15"/>
        <v>5.1365805999999994</v>
      </c>
      <c r="Q100">
        <v>978.48248000000001</v>
      </c>
      <c r="R100">
        <f t="shared" si="16"/>
        <v>4.8924124000000004</v>
      </c>
    </row>
    <row r="101" spans="1:18" x14ac:dyDescent="0.3">
      <c r="A101">
        <v>5.21</v>
      </c>
      <c r="B101">
        <f t="shared" si="10"/>
        <v>1042</v>
      </c>
      <c r="C101">
        <v>0.51400000000000001</v>
      </c>
      <c r="D101" s="1">
        <v>2.2003279998898506E-2</v>
      </c>
      <c r="E101">
        <f t="shared" si="11"/>
        <v>1042</v>
      </c>
      <c r="F101">
        <f t="shared" si="12"/>
        <v>1.7503279998898506E-2</v>
      </c>
      <c r="I101">
        <f t="shared" si="9"/>
        <v>0.62863708879426117</v>
      </c>
      <c r="K101">
        <f t="shared" si="13"/>
        <v>0.63763377471369498</v>
      </c>
      <c r="L101">
        <f t="shared" si="14"/>
        <v>-0.54227679826231701</v>
      </c>
      <c r="N101">
        <v>1037.4998000000001</v>
      </c>
      <c r="O101">
        <f t="shared" si="15"/>
        <v>5.1874989999999999</v>
      </c>
      <c r="Q101">
        <v>988.22361999999998</v>
      </c>
      <c r="R101">
        <f t="shared" si="16"/>
        <v>4.9411180999999997</v>
      </c>
    </row>
    <row r="102" spans="1:18" x14ac:dyDescent="0.3">
      <c r="A102">
        <v>5.26</v>
      </c>
      <c r="B102">
        <f t="shared" si="10"/>
        <v>1052</v>
      </c>
      <c r="C102">
        <v>0.51200000000000001</v>
      </c>
      <c r="D102" s="1">
        <v>2.2290784865617752E-2</v>
      </c>
      <c r="E102">
        <f t="shared" si="11"/>
        <v>1052</v>
      </c>
      <c r="F102">
        <f t="shared" si="12"/>
        <v>1.7790784865617752E-2</v>
      </c>
      <c r="I102">
        <f t="shared" si="9"/>
        <v>0.6292495283931494</v>
      </c>
      <c r="K102">
        <f t="shared" si="13"/>
        <v>0.6383584102443457</v>
      </c>
      <c r="L102">
        <f t="shared" si="14"/>
        <v>-0.54155216273166629</v>
      </c>
      <c r="N102">
        <v>1047.6833999999999</v>
      </c>
      <c r="O102">
        <f t="shared" si="15"/>
        <v>5.2384169999999992</v>
      </c>
      <c r="Q102">
        <v>997.96475999999996</v>
      </c>
      <c r="R102">
        <f t="shared" si="16"/>
        <v>4.9898237999999999</v>
      </c>
    </row>
    <row r="103" spans="1:18" x14ac:dyDescent="0.3">
      <c r="A103">
        <v>5.31</v>
      </c>
      <c r="B103">
        <f t="shared" si="10"/>
        <v>1062</v>
      </c>
      <c r="C103">
        <v>0.51</v>
      </c>
      <c r="D103" s="1">
        <v>2.2049127146601677E-2</v>
      </c>
      <c r="E103">
        <f t="shared" si="11"/>
        <v>1062</v>
      </c>
      <c r="F103">
        <f t="shared" si="12"/>
        <v>1.7549127146601676E-2</v>
      </c>
      <c r="I103">
        <f t="shared" si="9"/>
        <v>0.62708086514845496</v>
      </c>
      <c r="K103">
        <f t="shared" si="13"/>
        <v>0.63603091999322181</v>
      </c>
      <c r="L103">
        <f t="shared" si="14"/>
        <v>-0.54387965298279017</v>
      </c>
      <c r="N103">
        <v>1057.7653399999999</v>
      </c>
      <c r="O103">
        <f t="shared" si="15"/>
        <v>5.2888266999999995</v>
      </c>
      <c r="Q103">
        <v>1007.70588</v>
      </c>
      <c r="R103">
        <f t="shared" si="16"/>
        <v>5.0385293999999998</v>
      </c>
    </row>
    <row r="104" spans="1:18" x14ac:dyDescent="0.3">
      <c r="A104">
        <v>5.36</v>
      </c>
      <c r="B104">
        <f t="shared" si="10"/>
        <v>1072</v>
      </c>
      <c r="C104">
        <v>0.50800000000000001</v>
      </c>
      <c r="D104" s="1">
        <v>2.2027615457773209E-2</v>
      </c>
      <c r="E104">
        <f t="shared" si="11"/>
        <v>1072</v>
      </c>
      <c r="F104">
        <f t="shared" si="12"/>
        <v>1.7527615457773208E-2</v>
      </c>
      <c r="I104">
        <f t="shared" si="9"/>
        <v>0.62606801885366437</v>
      </c>
      <c r="K104">
        <f t="shared" si="13"/>
        <v>0.63497204750621317</v>
      </c>
      <c r="L104">
        <f t="shared" si="14"/>
        <v>-0.54493852546979882</v>
      </c>
      <c r="N104">
        <v>1069.3746000000001</v>
      </c>
      <c r="O104">
        <f t="shared" si="15"/>
        <v>5.3468730000000004</v>
      </c>
      <c r="Q104">
        <v>1017.73911</v>
      </c>
      <c r="R104">
        <f t="shared" si="16"/>
        <v>5.0886955499999997</v>
      </c>
    </row>
    <row r="105" spans="1:18" x14ac:dyDescent="0.3">
      <c r="A105">
        <v>5.41</v>
      </c>
      <c r="B105">
        <f t="shared" si="10"/>
        <v>1082</v>
      </c>
      <c r="C105">
        <v>0.50600000000000001</v>
      </c>
      <c r="D105" s="1">
        <v>2.1767960861325264E-2</v>
      </c>
      <c r="E105">
        <f t="shared" si="11"/>
        <v>1082</v>
      </c>
      <c r="F105">
        <f t="shared" si="12"/>
        <v>1.7267960861325263E-2</v>
      </c>
      <c r="I105">
        <f t="shared" si="9"/>
        <v>0.62376466825976973</v>
      </c>
      <c r="K105">
        <f t="shared" si="13"/>
        <v>0.63250225645560032</v>
      </c>
      <c r="L105">
        <f t="shared" si="14"/>
        <v>-0.54740831652041166</v>
      </c>
      <c r="N105">
        <v>1079.7620199999999</v>
      </c>
      <c r="O105">
        <f t="shared" si="15"/>
        <v>5.3988100999999995</v>
      </c>
      <c r="Q105">
        <v>1027.77253</v>
      </c>
      <c r="R105">
        <f t="shared" si="16"/>
        <v>5.1388626500000001</v>
      </c>
    </row>
    <row r="106" spans="1:18" x14ac:dyDescent="0.3">
      <c r="A106">
        <v>5.48</v>
      </c>
      <c r="B106">
        <f t="shared" si="10"/>
        <v>1096</v>
      </c>
      <c r="C106">
        <v>0.503</v>
      </c>
      <c r="D106" s="1">
        <v>2.2186625748872757E-2</v>
      </c>
      <c r="E106">
        <f t="shared" si="11"/>
        <v>1096</v>
      </c>
      <c r="F106">
        <f t="shared" si="12"/>
        <v>1.7686625748872756E-2</v>
      </c>
      <c r="I106">
        <f t="shared" si="9"/>
        <v>0.62458270910382274</v>
      </c>
      <c r="K106">
        <f t="shared" si="13"/>
        <v>0.63347908185550572</v>
      </c>
      <c r="L106">
        <f t="shared" si="14"/>
        <v>-0.54643149112050626</v>
      </c>
      <c r="N106">
        <v>1090.04756</v>
      </c>
      <c r="O106">
        <f t="shared" si="15"/>
        <v>5.4502378</v>
      </c>
      <c r="Q106">
        <v>1037.90319</v>
      </c>
      <c r="R106">
        <f t="shared" si="16"/>
        <v>5.1895159499999997</v>
      </c>
    </row>
    <row r="107" spans="1:18" x14ac:dyDescent="0.3">
      <c r="A107">
        <v>5.53</v>
      </c>
      <c r="B107">
        <f t="shared" si="10"/>
        <v>1106</v>
      </c>
      <c r="C107">
        <v>0.501</v>
      </c>
      <c r="D107" s="1">
        <v>2.234361320734024E-2</v>
      </c>
      <c r="E107">
        <f t="shared" si="11"/>
        <v>1106</v>
      </c>
      <c r="F107">
        <f t="shared" si="12"/>
        <v>1.784361320734024E-2</v>
      </c>
      <c r="I107">
        <f t="shared" si="9"/>
        <v>0.6245601810365915</v>
      </c>
      <c r="K107">
        <f t="shared" si="13"/>
        <v>0.63349983125346898</v>
      </c>
      <c r="L107">
        <f t="shared" si="14"/>
        <v>-0.546410741722543</v>
      </c>
      <c r="N107">
        <v>1100.3330000000001</v>
      </c>
      <c r="O107">
        <f t="shared" si="15"/>
        <v>5.501665</v>
      </c>
      <c r="Q107">
        <v>1047.5469900000001</v>
      </c>
      <c r="R107">
        <f t="shared" si="16"/>
        <v>5.2377349500000001</v>
      </c>
    </row>
    <row r="108" spans="1:18" x14ac:dyDescent="0.3">
      <c r="A108">
        <v>5.58</v>
      </c>
      <c r="B108">
        <f t="shared" si="10"/>
        <v>1116</v>
      </c>
      <c r="C108">
        <v>0.499</v>
      </c>
      <c r="D108" s="1">
        <v>2.194085530936718E-2</v>
      </c>
      <c r="E108">
        <f t="shared" si="11"/>
        <v>1116</v>
      </c>
      <c r="F108">
        <f t="shared" si="12"/>
        <v>1.7440855309367179E-2</v>
      </c>
      <c r="I108">
        <f t="shared" si="9"/>
        <v>0.62142997262626887</v>
      </c>
      <c r="K108">
        <f t="shared" si="13"/>
        <v>0.63013295942564307</v>
      </c>
      <c r="L108">
        <f t="shared" si="14"/>
        <v>-0.54977761355036892</v>
      </c>
      <c r="N108">
        <v>1111.53496</v>
      </c>
      <c r="O108">
        <f t="shared" si="15"/>
        <v>5.5576748</v>
      </c>
      <c r="Q108">
        <v>1057.1905999999999</v>
      </c>
      <c r="R108">
        <f t="shared" si="16"/>
        <v>5.2859529999999992</v>
      </c>
    </row>
    <row r="109" spans="1:18" x14ac:dyDescent="0.3">
      <c r="A109">
        <v>5.63</v>
      </c>
      <c r="B109">
        <f t="shared" si="10"/>
        <v>1126</v>
      </c>
      <c r="C109">
        <v>0.496</v>
      </c>
      <c r="D109" s="1">
        <v>2.266308106482029E-2</v>
      </c>
      <c r="E109">
        <f t="shared" si="11"/>
        <v>1126</v>
      </c>
      <c r="F109">
        <f t="shared" si="12"/>
        <v>1.8163081064820289E-2</v>
      </c>
      <c r="I109">
        <f t="shared" si="9"/>
        <v>0.62359314639493824</v>
      </c>
      <c r="K109">
        <f t="shared" si="13"/>
        <v>0.63260203460308906</v>
      </c>
      <c r="L109">
        <f t="shared" si="14"/>
        <v>-0.54730853837292293</v>
      </c>
      <c r="N109">
        <v>1122.12608</v>
      </c>
      <c r="O109">
        <f t="shared" si="15"/>
        <v>5.6106303999999998</v>
      </c>
      <c r="Q109">
        <v>1066.83429</v>
      </c>
      <c r="R109">
        <f t="shared" si="16"/>
        <v>5.3341714500000004</v>
      </c>
    </row>
    <row r="110" spans="1:18" x14ac:dyDescent="0.3">
      <c r="A110">
        <v>5.69</v>
      </c>
      <c r="B110">
        <f t="shared" si="10"/>
        <v>1138</v>
      </c>
      <c r="C110">
        <v>0.49399999999999999</v>
      </c>
      <c r="D110" s="1">
        <v>2.2642260417342186E-2</v>
      </c>
      <c r="E110">
        <f t="shared" si="11"/>
        <v>1138</v>
      </c>
      <c r="F110">
        <f t="shared" si="12"/>
        <v>1.8142260417342185E-2</v>
      </c>
      <c r="I110">
        <f t="shared" si="9"/>
        <v>0.62283446177467705</v>
      </c>
      <c r="K110">
        <f t="shared" si="13"/>
        <v>0.63179673842084405</v>
      </c>
      <c r="L110">
        <f t="shared" si="14"/>
        <v>-0.54811383455516793</v>
      </c>
      <c r="N110">
        <v>1132.3097600000001</v>
      </c>
      <c r="O110">
        <f t="shared" si="15"/>
        <v>5.6615488000000003</v>
      </c>
      <c r="Q110">
        <v>1076.6728599999999</v>
      </c>
      <c r="R110">
        <f t="shared" si="16"/>
        <v>5.3833642999999993</v>
      </c>
    </row>
    <row r="111" spans="1:18" x14ac:dyDescent="0.3">
      <c r="A111">
        <v>5.74</v>
      </c>
      <c r="B111">
        <f t="shared" si="10"/>
        <v>1148</v>
      </c>
      <c r="C111">
        <v>0.49199999999999999</v>
      </c>
      <c r="D111" s="1">
        <v>2.1456046029925346E-2</v>
      </c>
      <c r="E111">
        <f t="shared" si="11"/>
        <v>1148</v>
      </c>
      <c r="F111">
        <f t="shared" si="12"/>
        <v>1.6956046029925346E-2</v>
      </c>
      <c r="I111">
        <f t="shared" si="9"/>
        <v>0.61515770421177152</v>
      </c>
      <c r="K111">
        <f t="shared" si="13"/>
        <v>0.62350007885849479</v>
      </c>
      <c r="L111">
        <f t="shared" si="14"/>
        <v>-0.5564104941175172</v>
      </c>
      <c r="N111">
        <v>1143.00254</v>
      </c>
      <c r="O111">
        <f t="shared" si="15"/>
        <v>5.7150126999999999</v>
      </c>
      <c r="Q111">
        <v>1086.41398</v>
      </c>
      <c r="R111">
        <f t="shared" si="16"/>
        <v>5.4320699000000001</v>
      </c>
    </row>
    <row r="112" spans="1:18" x14ac:dyDescent="0.3">
      <c r="A112">
        <v>5.79</v>
      </c>
      <c r="B112">
        <f t="shared" si="10"/>
        <v>1158</v>
      </c>
      <c r="C112">
        <v>0.49</v>
      </c>
      <c r="D112" s="1">
        <v>2.2721694782376289E-2</v>
      </c>
      <c r="E112">
        <f t="shared" si="11"/>
        <v>1158</v>
      </c>
      <c r="F112">
        <f t="shared" si="12"/>
        <v>1.8221694782376289E-2</v>
      </c>
      <c r="I112">
        <f t="shared" si="9"/>
        <v>0.62155861278995872</v>
      </c>
      <c r="K112">
        <f t="shared" si="13"/>
        <v>0.63048724323332306</v>
      </c>
      <c r="L112">
        <f t="shared" si="14"/>
        <v>-0.54942332974268893</v>
      </c>
      <c r="N112">
        <v>1153.08448</v>
      </c>
      <c r="O112">
        <f t="shared" si="15"/>
        <v>5.7654224000000003</v>
      </c>
      <c r="Q112">
        <v>1096.0575899999999</v>
      </c>
      <c r="R112">
        <f t="shared" si="16"/>
        <v>5.4802879499999992</v>
      </c>
    </row>
    <row r="113" spans="1:18" x14ac:dyDescent="0.3">
      <c r="A113">
        <v>5.84</v>
      </c>
      <c r="B113">
        <f t="shared" si="10"/>
        <v>1168</v>
      </c>
      <c r="C113">
        <v>0.48799999999999999</v>
      </c>
      <c r="D113" s="1">
        <v>2.2836271673440933E-2</v>
      </c>
      <c r="E113">
        <f t="shared" si="11"/>
        <v>1168</v>
      </c>
      <c r="F113">
        <f t="shared" si="12"/>
        <v>1.8336271673440933E-2</v>
      </c>
      <c r="I113">
        <f t="shared" si="9"/>
        <v>0.62136382657289502</v>
      </c>
      <c r="K113">
        <f t="shared" si="13"/>
        <v>0.63031192714953421</v>
      </c>
      <c r="L113">
        <f t="shared" si="14"/>
        <v>-0.54959864582647777</v>
      </c>
      <c r="N113">
        <v>1164.2864199999999</v>
      </c>
      <c r="O113">
        <f t="shared" si="15"/>
        <v>5.8214320999999991</v>
      </c>
      <c r="Q113">
        <v>1106.5779600000001</v>
      </c>
      <c r="R113">
        <f t="shared" si="16"/>
        <v>5.5328898000000004</v>
      </c>
    </row>
    <row r="114" spans="1:18" x14ac:dyDescent="0.3">
      <c r="A114">
        <v>5.9</v>
      </c>
      <c r="B114">
        <f t="shared" si="10"/>
        <v>1180</v>
      </c>
      <c r="C114">
        <v>0.48499999999999999</v>
      </c>
      <c r="D114" s="1">
        <v>2.2560978308320045E-2</v>
      </c>
      <c r="E114">
        <f t="shared" si="11"/>
        <v>1180</v>
      </c>
      <c r="F114">
        <f t="shared" si="12"/>
        <v>1.8060978308320045E-2</v>
      </c>
      <c r="I114">
        <f t="shared" si="9"/>
        <v>0.61810977201908823</v>
      </c>
      <c r="K114">
        <f t="shared" si="13"/>
        <v>0.62686934649862347</v>
      </c>
      <c r="L114">
        <f t="shared" si="14"/>
        <v>-0.55304122647738851</v>
      </c>
      <c r="N114">
        <v>1174.77568</v>
      </c>
      <c r="O114">
        <f t="shared" si="15"/>
        <v>5.8738783999999997</v>
      </c>
      <c r="Q114">
        <v>1116.2217700000001</v>
      </c>
      <c r="R114">
        <f t="shared" si="16"/>
        <v>5.5811088500000006</v>
      </c>
    </row>
    <row r="115" spans="1:18" x14ac:dyDescent="0.3">
      <c r="A115">
        <v>5.95</v>
      </c>
      <c r="B115">
        <f t="shared" si="10"/>
        <v>1190</v>
      </c>
      <c r="C115">
        <v>0.48299999999999998</v>
      </c>
      <c r="D115" s="1">
        <v>2.2831900045275688E-2</v>
      </c>
      <c r="E115">
        <f t="shared" si="11"/>
        <v>1190</v>
      </c>
      <c r="F115">
        <f t="shared" si="12"/>
        <v>1.8331900045275688E-2</v>
      </c>
      <c r="I115">
        <f t="shared" si="9"/>
        <v>0.61884980526939037</v>
      </c>
      <c r="K115">
        <f t="shared" si="13"/>
        <v>0.6277041129912585</v>
      </c>
      <c r="L115">
        <f t="shared" si="14"/>
        <v>-0.55220645998475348</v>
      </c>
      <c r="N115">
        <v>1185.57032</v>
      </c>
      <c r="O115">
        <f t="shared" si="15"/>
        <v>5.9278516000000003</v>
      </c>
      <c r="Q115">
        <v>1126.06032</v>
      </c>
      <c r="R115">
        <f t="shared" si="16"/>
        <v>5.6303016000000001</v>
      </c>
    </row>
    <row r="116" spans="1:18" x14ac:dyDescent="0.3">
      <c r="A116">
        <v>6</v>
      </c>
      <c r="B116">
        <f t="shared" si="10"/>
        <v>1200</v>
      </c>
      <c r="C116">
        <v>0.48099999999999998</v>
      </c>
      <c r="D116" s="1">
        <v>2.2245129570364952E-2</v>
      </c>
      <c r="E116">
        <f t="shared" si="11"/>
        <v>1200</v>
      </c>
      <c r="F116">
        <f t="shared" si="12"/>
        <v>1.7745129570364952E-2</v>
      </c>
      <c r="I116">
        <f t="shared" si="9"/>
        <v>0.6144707774221897</v>
      </c>
      <c r="K116">
        <f t="shared" si="13"/>
        <v>0.62300618474553526</v>
      </c>
      <c r="L116">
        <f t="shared" si="14"/>
        <v>-0.55690438823047672</v>
      </c>
      <c r="N116">
        <v>1195.6520599999999</v>
      </c>
      <c r="O116">
        <f t="shared" si="15"/>
        <v>5.9782602999999996</v>
      </c>
      <c r="Q116">
        <v>1136.9703300000001</v>
      </c>
      <c r="R116">
        <f t="shared" si="16"/>
        <v>5.6848516500000006</v>
      </c>
    </row>
    <row r="117" spans="1:18" x14ac:dyDescent="0.3">
      <c r="A117">
        <v>6.05</v>
      </c>
      <c r="B117">
        <f t="shared" si="10"/>
        <v>1210</v>
      </c>
      <c r="C117">
        <v>0.47899999999999998</v>
      </c>
      <c r="D117" s="1">
        <v>2.2771291434764862E-2</v>
      </c>
      <c r="E117">
        <f t="shared" si="11"/>
        <v>1210</v>
      </c>
      <c r="F117">
        <f t="shared" si="12"/>
        <v>1.8271291434764862E-2</v>
      </c>
      <c r="I117">
        <f t="shared" si="9"/>
        <v>0.61676631318032737</v>
      </c>
      <c r="K117">
        <f t="shared" si="13"/>
        <v>0.62551826177757974</v>
      </c>
      <c r="L117">
        <f t="shared" si="14"/>
        <v>-0.55439231119843224</v>
      </c>
      <c r="N117">
        <v>1206.03946</v>
      </c>
      <c r="O117">
        <f t="shared" si="15"/>
        <v>6.0301973000000002</v>
      </c>
      <c r="Q117">
        <v>1146.9062200000001</v>
      </c>
      <c r="R117">
        <f t="shared" si="16"/>
        <v>5.7345311000000008</v>
      </c>
    </row>
    <row r="118" spans="1:18" x14ac:dyDescent="0.3">
      <c r="A118">
        <v>6.11</v>
      </c>
      <c r="B118">
        <f t="shared" si="10"/>
        <v>1222</v>
      </c>
      <c r="C118">
        <v>0.47699999999999998</v>
      </c>
      <c r="D118" s="1">
        <v>2.2821690887212753E-2</v>
      </c>
      <c r="E118">
        <f t="shared" si="11"/>
        <v>1222</v>
      </c>
      <c r="F118">
        <f t="shared" si="12"/>
        <v>1.8321690887212753E-2</v>
      </c>
      <c r="I118">
        <f t="shared" si="9"/>
        <v>0.61644053132086984</v>
      </c>
      <c r="K118">
        <f t="shared" si="13"/>
        <v>0.62517997787407031</v>
      </c>
      <c r="L118">
        <f t="shared" si="14"/>
        <v>-0.55473059510194167</v>
      </c>
      <c r="N118">
        <v>1216.2231400000001</v>
      </c>
      <c r="O118">
        <f t="shared" si="15"/>
        <v>6.0811157000000007</v>
      </c>
      <c r="Q118">
        <v>1156.5499299999999</v>
      </c>
      <c r="R118">
        <f t="shared" si="16"/>
        <v>5.7827496499999995</v>
      </c>
    </row>
    <row r="119" spans="1:18" x14ac:dyDescent="0.3">
      <c r="A119">
        <v>6.16</v>
      </c>
      <c r="B119">
        <f t="shared" si="10"/>
        <v>1232</v>
      </c>
      <c r="C119">
        <v>0.47399999999999998</v>
      </c>
      <c r="D119" s="1">
        <v>2.2332519292831421E-2</v>
      </c>
      <c r="E119">
        <f t="shared" si="11"/>
        <v>1232</v>
      </c>
      <c r="F119">
        <f t="shared" si="12"/>
        <v>1.783251929283142E-2</v>
      </c>
      <c r="I119">
        <f t="shared" si="9"/>
        <v>0.61156831884384155</v>
      </c>
      <c r="K119">
        <f t="shared" si="13"/>
        <v>0.62002093298864369</v>
      </c>
      <c r="L119">
        <f t="shared" si="14"/>
        <v>-0.55988963998736829</v>
      </c>
      <c r="N119">
        <v>1226.4067399999999</v>
      </c>
      <c r="O119">
        <f t="shared" si="15"/>
        <v>6.1320336999999991</v>
      </c>
      <c r="Q119">
        <v>1166.68076</v>
      </c>
      <c r="R119">
        <f t="shared" si="16"/>
        <v>5.8334038000000001</v>
      </c>
    </row>
    <row r="120" spans="1:18" x14ac:dyDescent="0.3">
      <c r="A120">
        <v>6.21</v>
      </c>
      <c r="B120">
        <f t="shared" si="10"/>
        <v>1242</v>
      </c>
      <c r="C120">
        <v>0.47299999999999998</v>
      </c>
      <c r="D120" s="1">
        <v>2.3083848878741264E-2</v>
      </c>
      <c r="E120">
        <f t="shared" si="11"/>
        <v>1242</v>
      </c>
      <c r="F120">
        <f t="shared" si="12"/>
        <v>1.8583848878741264E-2</v>
      </c>
      <c r="I120">
        <f t="shared" si="9"/>
        <v>0.61635070153698324</v>
      </c>
      <c r="K120">
        <f t="shared" si="13"/>
        <v>0.62514086205662789</v>
      </c>
      <c r="L120">
        <f t="shared" si="14"/>
        <v>-0.5547697109193841</v>
      </c>
      <c r="N120">
        <v>1236.4886799999999</v>
      </c>
      <c r="O120">
        <f t="shared" si="15"/>
        <v>6.1824433999999995</v>
      </c>
      <c r="Q120">
        <v>1176.4217100000001</v>
      </c>
      <c r="R120">
        <f t="shared" si="16"/>
        <v>5.8821085500000008</v>
      </c>
    </row>
    <row r="121" spans="1:18" x14ac:dyDescent="0.3">
      <c r="A121">
        <v>6.27</v>
      </c>
      <c r="B121">
        <f t="shared" si="10"/>
        <v>1254</v>
      </c>
      <c r="C121">
        <v>0.47</v>
      </c>
      <c r="D121" s="1">
        <v>2.2485846653580666E-2</v>
      </c>
      <c r="E121">
        <f t="shared" si="11"/>
        <v>1254</v>
      </c>
      <c r="F121">
        <f t="shared" si="12"/>
        <v>1.7985846653580665E-2</v>
      </c>
      <c r="I121">
        <f t="shared" si="9"/>
        <v>0.61098625851795074</v>
      </c>
      <c r="K121">
        <f t="shared" si="13"/>
        <v>0.61943960644513363</v>
      </c>
      <c r="L121">
        <f t="shared" si="14"/>
        <v>-0.56047096653087836</v>
      </c>
      <c r="N121">
        <v>1247.0796800000001</v>
      </c>
      <c r="O121">
        <f t="shared" si="15"/>
        <v>6.2353984000000002</v>
      </c>
      <c r="Q121">
        <v>1186.35779</v>
      </c>
      <c r="R121">
        <f t="shared" si="16"/>
        <v>5.9317889500000005</v>
      </c>
    </row>
    <row r="122" spans="1:18" x14ac:dyDescent="0.3">
      <c r="A122">
        <v>6.32</v>
      </c>
      <c r="B122">
        <f t="shared" si="10"/>
        <v>1264</v>
      </c>
      <c r="C122">
        <v>0.46800000000000003</v>
      </c>
      <c r="D122" s="1">
        <v>2.3159187287092209E-2</v>
      </c>
      <c r="E122">
        <f t="shared" si="11"/>
        <v>1264</v>
      </c>
      <c r="F122">
        <f t="shared" si="12"/>
        <v>1.8659187287092208E-2</v>
      </c>
      <c r="I122">
        <f t="shared" si="9"/>
        <v>0.61436606365442281</v>
      </c>
      <c r="K122">
        <f t="shared" si="13"/>
        <v>0.62309856330478197</v>
      </c>
      <c r="L122">
        <f t="shared" si="14"/>
        <v>-0.55681200967123001</v>
      </c>
      <c r="N122">
        <v>1257.3650399999999</v>
      </c>
      <c r="O122">
        <f t="shared" si="15"/>
        <v>6.2868251999999991</v>
      </c>
      <c r="Q122">
        <v>1196.0013100000001</v>
      </c>
      <c r="R122">
        <f t="shared" si="16"/>
        <v>5.9800065500000006</v>
      </c>
    </row>
    <row r="123" spans="1:18" x14ac:dyDescent="0.3">
      <c r="A123">
        <v>6.37</v>
      </c>
      <c r="B123">
        <f t="shared" si="10"/>
        <v>1274</v>
      </c>
      <c r="C123">
        <v>0.46600000000000003</v>
      </c>
      <c r="D123" s="1">
        <v>2.3081380873918533E-2</v>
      </c>
      <c r="E123">
        <f t="shared" si="11"/>
        <v>1274</v>
      </c>
      <c r="F123">
        <f t="shared" si="12"/>
        <v>1.8581380873918533E-2</v>
      </c>
      <c r="I123">
        <f t="shared" si="9"/>
        <v>0.61302839616686111</v>
      </c>
      <c r="K123">
        <f t="shared" si="13"/>
        <v>0.62168731965410717</v>
      </c>
      <c r="L123">
        <f t="shared" si="14"/>
        <v>-0.55822325332190481</v>
      </c>
      <c r="N123">
        <v>1267.54874</v>
      </c>
      <c r="O123">
        <f t="shared" si="15"/>
        <v>6.3377436999999999</v>
      </c>
      <c r="Q123">
        <v>1205.74254</v>
      </c>
      <c r="R123">
        <f t="shared" si="16"/>
        <v>6.0287126999999998</v>
      </c>
    </row>
    <row r="124" spans="1:18" x14ac:dyDescent="0.3">
      <c r="A124">
        <v>6.42</v>
      </c>
      <c r="B124">
        <f t="shared" si="10"/>
        <v>1284</v>
      </c>
      <c r="C124">
        <v>0.46400000000000002</v>
      </c>
      <c r="D124" s="1">
        <v>2.2287413477897644E-2</v>
      </c>
      <c r="E124">
        <f t="shared" si="11"/>
        <v>1284</v>
      </c>
      <c r="F124">
        <f t="shared" si="12"/>
        <v>1.7787413477897644E-2</v>
      </c>
      <c r="I124">
        <f t="shared" si="9"/>
        <v>0.60708519452810283</v>
      </c>
      <c r="K124">
        <f t="shared" si="13"/>
        <v>0.61533855438184737</v>
      </c>
      <c r="L124">
        <f t="shared" si="14"/>
        <v>-0.56457201859416462</v>
      </c>
      <c r="N124">
        <v>1277.93604</v>
      </c>
      <c r="O124">
        <f t="shared" si="15"/>
        <v>6.3896801999999999</v>
      </c>
      <c r="Q124">
        <v>1215.87318</v>
      </c>
      <c r="R124">
        <f t="shared" si="16"/>
        <v>6.0793659</v>
      </c>
    </row>
    <row r="125" spans="1:18" x14ac:dyDescent="0.3">
      <c r="A125">
        <v>6.47</v>
      </c>
      <c r="B125">
        <f t="shared" si="10"/>
        <v>1294</v>
      </c>
      <c r="C125">
        <v>0.46200000000000002</v>
      </c>
      <c r="D125" s="1">
        <v>2.303110808134079E-2</v>
      </c>
      <c r="E125">
        <f t="shared" si="11"/>
        <v>1294</v>
      </c>
      <c r="F125">
        <f t="shared" si="12"/>
        <v>1.8531108081340789E-2</v>
      </c>
      <c r="I125">
        <f t="shared" si="9"/>
        <v>0.61101126928627492</v>
      </c>
      <c r="K125">
        <f t="shared" si="13"/>
        <v>0.61957264121985434</v>
      </c>
      <c r="L125">
        <f t="shared" si="14"/>
        <v>-0.56033793175615765</v>
      </c>
      <c r="N125">
        <v>1288.6289999999999</v>
      </c>
      <c r="O125">
        <f t="shared" si="15"/>
        <v>6.4431449999999995</v>
      </c>
      <c r="Q125">
        <v>1225.80909</v>
      </c>
      <c r="R125">
        <f t="shared" si="16"/>
        <v>6.1290454499999996</v>
      </c>
    </row>
    <row r="126" spans="1:18" x14ac:dyDescent="0.3">
      <c r="A126">
        <v>6.53</v>
      </c>
      <c r="B126">
        <f t="shared" si="10"/>
        <v>1306</v>
      </c>
      <c r="C126">
        <v>0.46</v>
      </c>
      <c r="D126" s="1">
        <v>2.348831482231617E-2</v>
      </c>
      <c r="E126">
        <f t="shared" si="11"/>
        <v>1306</v>
      </c>
      <c r="F126">
        <f t="shared" si="12"/>
        <v>1.8988314822316169E-2</v>
      </c>
      <c r="I126">
        <f t="shared" si="9"/>
        <v>0.61337869578972459</v>
      </c>
      <c r="K126">
        <f t="shared" si="13"/>
        <v>0.62211332060799007</v>
      </c>
      <c r="L126">
        <f t="shared" si="14"/>
        <v>-0.55779725236802191</v>
      </c>
      <c r="N126">
        <v>1299.11816</v>
      </c>
      <c r="O126">
        <f t="shared" si="15"/>
        <v>6.4955907999999996</v>
      </c>
      <c r="Q126">
        <v>1236.03736</v>
      </c>
      <c r="R126">
        <f t="shared" si="16"/>
        <v>6.1801868000000004</v>
      </c>
    </row>
    <row r="127" spans="1:18" x14ac:dyDescent="0.3">
      <c r="A127">
        <v>6.58</v>
      </c>
      <c r="B127">
        <f t="shared" si="10"/>
        <v>1316</v>
      </c>
      <c r="C127">
        <v>0.45800000000000002</v>
      </c>
      <c r="D127" s="1">
        <v>2.2629233077168465E-2</v>
      </c>
      <c r="E127">
        <f t="shared" si="11"/>
        <v>1316</v>
      </c>
      <c r="F127">
        <f t="shared" si="12"/>
        <v>1.8129233077168464E-2</v>
      </c>
      <c r="I127">
        <f t="shared" si="9"/>
        <v>0.60690035364776851</v>
      </c>
      <c r="K127">
        <f t="shared" si="13"/>
        <v>0.61520354239711161</v>
      </c>
      <c r="L127">
        <f t="shared" si="14"/>
        <v>-0.56470703057890037</v>
      </c>
      <c r="N127">
        <v>1309.40362</v>
      </c>
      <c r="O127">
        <f t="shared" si="15"/>
        <v>6.5470180999999998</v>
      </c>
      <c r="Q127">
        <v>1246.16812</v>
      </c>
      <c r="R127">
        <f t="shared" si="16"/>
        <v>6.2308406000000005</v>
      </c>
    </row>
    <row r="128" spans="1:18" x14ac:dyDescent="0.3">
      <c r="A128">
        <v>6.63</v>
      </c>
      <c r="B128">
        <f t="shared" si="10"/>
        <v>1326</v>
      </c>
      <c r="C128">
        <v>0.45500000000000002</v>
      </c>
      <c r="D128" s="1">
        <v>2.3756466805934906E-2</v>
      </c>
      <c r="E128">
        <f t="shared" si="11"/>
        <v>1326</v>
      </c>
      <c r="F128">
        <f t="shared" si="12"/>
        <v>1.9256466805934905E-2</v>
      </c>
      <c r="I128">
        <f t="shared" si="9"/>
        <v>0.61250537492334844</v>
      </c>
      <c r="K128">
        <f t="shared" si="13"/>
        <v>0.62126706732004888</v>
      </c>
      <c r="L128">
        <f t="shared" si="14"/>
        <v>-0.5586435056559631</v>
      </c>
      <c r="N128">
        <v>1320.1983399999999</v>
      </c>
      <c r="O128">
        <f t="shared" si="15"/>
        <v>6.6009916999999998</v>
      </c>
      <c r="Q128">
        <v>1256.3962100000001</v>
      </c>
      <c r="R128">
        <f t="shared" si="16"/>
        <v>6.2819810500000006</v>
      </c>
    </row>
    <row r="129" spans="1:18" x14ac:dyDescent="0.3">
      <c r="A129">
        <v>6.68</v>
      </c>
      <c r="B129">
        <f t="shared" si="10"/>
        <v>1336</v>
      </c>
      <c r="C129">
        <v>0.45300000000000001</v>
      </c>
      <c r="D129" s="1">
        <v>2.2980403155088425E-2</v>
      </c>
      <c r="E129">
        <f t="shared" si="11"/>
        <v>1336</v>
      </c>
      <c r="F129">
        <f t="shared" si="12"/>
        <v>1.8480403155088424E-2</v>
      </c>
      <c r="I129">
        <f t="shared" si="9"/>
        <v>0.60650909307599066</v>
      </c>
      <c r="K129">
        <f t="shared" si="13"/>
        <v>0.61488071570524572</v>
      </c>
      <c r="L129">
        <f t="shared" si="14"/>
        <v>-0.56502985727076627</v>
      </c>
      <c r="N129">
        <v>1330.6875</v>
      </c>
      <c r="O129">
        <f t="shared" si="15"/>
        <v>6.6534374999999999</v>
      </c>
      <c r="Q129">
        <v>1266.3322900000001</v>
      </c>
      <c r="R129">
        <f t="shared" si="16"/>
        <v>6.3316614500000004</v>
      </c>
    </row>
    <row r="130" spans="1:18" x14ac:dyDescent="0.3">
      <c r="A130">
        <v>6.73</v>
      </c>
      <c r="B130">
        <f t="shared" si="10"/>
        <v>1346</v>
      </c>
      <c r="C130">
        <v>0.45100000000000001</v>
      </c>
      <c r="D130" s="1">
        <v>2.2842656821012497E-2</v>
      </c>
      <c r="E130">
        <f t="shared" si="11"/>
        <v>1346</v>
      </c>
      <c r="F130">
        <f t="shared" si="12"/>
        <v>1.8342656821012496E-2</v>
      </c>
      <c r="I130">
        <f t="shared" ref="I130:I193" si="18">C130+(D130*A130)</f>
        <v>0.60473108040541412</v>
      </c>
      <c r="K130">
        <f t="shared" si="13"/>
        <v>0.61300361863169073</v>
      </c>
      <c r="L130">
        <f t="shared" si="14"/>
        <v>-0.56690695434432126</v>
      </c>
      <c r="N130">
        <v>1341.1766600000001</v>
      </c>
      <c r="O130">
        <f t="shared" si="15"/>
        <v>6.7058833</v>
      </c>
      <c r="Q130">
        <v>1276.75514</v>
      </c>
      <c r="R130">
        <f t="shared" si="16"/>
        <v>6.3837757000000002</v>
      </c>
    </row>
    <row r="131" spans="1:18" x14ac:dyDescent="0.3">
      <c r="A131">
        <v>6.78</v>
      </c>
      <c r="B131">
        <f t="shared" ref="B131:B194" si="19">A131*200</f>
        <v>1356</v>
      </c>
      <c r="C131">
        <v>0.44900000000000001</v>
      </c>
      <c r="D131" s="1">
        <v>2.3348214104771614E-2</v>
      </c>
      <c r="E131">
        <f t="shared" ref="E131:E194" si="20">B131</f>
        <v>1356</v>
      </c>
      <c r="F131">
        <f t="shared" ref="F131:F194" si="21">D131-0.0045</f>
        <v>1.8848214104771614E-2</v>
      </c>
      <c r="I131">
        <f t="shared" si="18"/>
        <v>0.6073008916303515</v>
      </c>
      <c r="K131">
        <f t="shared" ref="K131:K194" si="22">I131+(F131*C131)</f>
        <v>0.61576373976339394</v>
      </c>
      <c r="L131">
        <f t="shared" ref="L131:L194" si="23">K131-$I$1</f>
        <v>-0.56414683321261805</v>
      </c>
      <c r="N131">
        <v>1352.48046</v>
      </c>
      <c r="O131">
        <f t="shared" ref="O131:O194" si="24">N131/200</f>
        <v>6.7624022999999998</v>
      </c>
      <c r="Q131">
        <v>1286.5936899999999</v>
      </c>
      <c r="R131">
        <f t="shared" ref="R131:R186" si="25">Q131/200</f>
        <v>6.4329684499999997</v>
      </c>
    </row>
    <row r="132" spans="1:18" x14ac:dyDescent="0.3">
      <c r="A132">
        <v>6.83</v>
      </c>
      <c r="B132">
        <f t="shared" si="19"/>
        <v>1366</v>
      </c>
      <c r="C132">
        <v>0.44700000000000001</v>
      </c>
      <c r="D132" s="1">
        <v>2.255835197865963E-2</v>
      </c>
      <c r="E132">
        <f t="shared" si="20"/>
        <v>1366</v>
      </c>
      <c r="F132">
        <f t="shared" si="21"/>
        <v>1.8058351978659629E-2</v>
      </c>
      <c r="I132">
        <f t="shared" si="18"/>
        <v>0.60107354401424529</v>
      </c>
      <c r="K132">
        <f t="shared" si="22"/>
        <v>0.60914562734870614</v>
      </c>
      <c r="L132">
        <f t="shared" si="23"/>
        <v>-0.57076494562730584</v>
      </c>
      <c r="N132">
        <v>1362.5623000000001</v>
      </c>
      <c r="O132">
        <f t="shared" si="24"/>
        <v>6.8128115000000005</v>
      </c>
      <c r="Q132">
        <v>1296.82179</v>
      </c>
      <c r="R132">
        <f t="shared" si="25"/>
        <v>6.4841089499999995</v>
      </c>
    </row>
    <row r="133" spans="1:18" x14ac:dyDescent="0.3">
      <c r="A133">
        <v>6.88</v>
      </c>
      <c r="B133">
        <f t="shared" si="19"/>
        <v>1376</v>
      </c>
      <c r="C133">
        <v>0.44500000000000001</v>
      </c>
      <c r="D133" s="1">
        <v>2.3122401908040047E-2</v>
      </c>
      <c r="E133">
        <f t="shared" si="20"/>
        <v>1376</v>
      </c>
      <c r="F133">
        <f t="shared" si="21"/>
        <v>1.8622401908040046E-2</v>
      </c>
      <c r="I133">
        <f t="shared" si="18"/>
        <v>0.60408212512731552</v>
      </c>
      <c r="K133">
        <f t="shared" si="22"/>
        <v>0.61236909397639339</v>
      </c>
      <c r="L133">
        <f t="shared" si="23"/>
        <v>-0.5675414789996186</v>
      </c>
      <c r="N133">
        <v>1372.7460000000001</v>
      </c>
      <c r="O133">
        <f t="shared" si="24"/>
        <v>6.8637300000000003</v>
      </c>
      <c r="Q133">
        <v>1306.46549</v>
      </c>
      <c r="R133">
        <f t="shared" si="25"/>
        <v>6.5323274500000004</v>
      </c>
    </row>
    <row r="134" spans="1:18" x14ac:dyDescent="0.3">
      <c r="A134">
        <v>6.94</v>
      </c>
      <c r="B134">
        <f t="shared" si="19"/>
        <v>1388</v>
      </c>
      <c r="C134">
        <v>0.443</v>
      </c>
      <c r="D134" s="1">
        <v>2.2912666201591492E-2</v>
      </c>
      <c r="E134">
        <f t="shared" si="20"/>
        <v>1388</v>
      </c>
      <c r="F134">
        <f t="shared" si="21"/>
        <v>1.8412666201591491E-2</v>
      </c>
      <c r="I134">
        <f t="shared" si="18"/>
        <v>0.60201390343904493</v>
      </c>
      <c r="K134">
        <f t="shared" si="22"/>
        <v>0.61017071456634997</v>
      </c>
      <c r="L134">
        <f t="shared" si="23"/>
        <v>-0.56973985840966201</v>
      </c>
      <c r="N134">
        <v>1382.92958</v>
      </c>
      <c r="O134">
        <f t="shared" si="24"/>
        <v>6.9146479000000003</v>
      </c>
      <c r="Q134">
        <v>1316.1091799999999</v>
      </c>
      <c r="R134">
        <f t="shared" si="25"/>
        <v>6.5805458999999997</v>
      </c>
    </row>
    <row r="135" spans="1:18" x14ac:dyDescent="0.3">
      <c r="A135">
        <v>6.99</v>
      </c>
      <c r="B135">
        <f t="shared" si="19"/>
        <v>1398</v>
      </c>
      <c r="C135">
        <v>0.441</v>
      </c>
      <c r="D135" s="1">
        <v>2.3176034912467003E-2</v>
      </c>
      <c r="E135">
        <f t="shared" si="20"/>
        <v>1398</v>
      </c>
      <c r="F135">
        <f t="shared" si="21"/>
        <v>1.8676034912467002E-2</v>
      </c>
      <c r="I135">
        <f t="shared" si="18"/>
        <v>0.60300048403814432</v>
      </c>
      <c r="K135">
        <f t="shared" si="22"/>
        <v>0.61123661543454222</v>
      </c>
      <c r="L135">
        <f t="shared" si="23"/>
        <v>-0.56867395754146977</v>
      </c>
      <c r="N135">
        <v>1393.3169</v>
      </c>
      <c r="O135">
        <f t="shared" si="24"/>
        <v>6.9665844999999997</v>
      </c>
      <c r="Q135">
        <v>1325.94785</v>
      </c>
      <c r="R135">
        <f t="shared" si="25"/>
        <v>6.6297392500000001</v>
      </c>
    </row>
    <row r="136" spans="1:18" x14ac:dyDescent="0.3">
      <c r="A136">
        <v>7.04</v>
      </c>
      <c r="B136">
        <f t="shared" si="19"/>
        <v>1408</v>
      </c>
      <c r="C136">
        <v>0.439</v>
      </c>
      <c r="D136" s="1">
        <v>2.2925321012735367E-2</v>
      </c>
      <c r="E136">
        <f t="shared" si="20"/>
        <v>1408</v>
      </c>
      <c r="F136">
        <f t="shared" si="21"/>
        <v>1.8425321012735366E-2</v>
      </c>
      <c r="I136">
        <f t="shared" si="18"/>
        <v>0.600394259929657</v>
      </c>
      <c r="K136">
        <f t="shared" si="22"/>
        <v>0.60848297585424782</v>
      </c>
      <c r="L136">
        <f t="shared" si="23"/>
        <v>-0.57142759712176416</v>
      </c>
      <c r="N136">
        <v>1403.6025400000001</v>
      </c>
      <c r="O136">
        <f t="shared" si="24"/>
        <v>7.0180127000000008</v>
      </c>
      <c r="Q136">
        <v>1335.5914600000001</v>
      </c>
      <c r="R136">
        <f t="shared" si="25"/>
        <v>6.6779573000000001</v>
      </c>
    </row>
    <row r="137" spans="1:18" x14ac:dyDescent="0.3">
      <c r="A137">
        <v>7.09</v>
      </c>
      <c r="B137">
        <f t="shared" si="19"/>
        <v>1418</v>
      </c>
      <c r="C137">
        <v>0.437</v>
      </c>
      <c r="D137" s="1">
        <v>2.3279450833797455E-2</v>
      </c>
      <c r="E137">
        <f t="shared" si="20"/>
        <v>1418</v>
      </c>
      <c r="F137">
        <f t="shared" si="21"/>
        <v>1.8779450833797454E-2</v>
      </c>
      <c r="I137">
        <f t="shared" si="18"/>
        <v>0.60205130641162397</v>
      </c>
      <c r="K137">
        <f t="shared" si="22"/>
        <v>0.61025792642599341</v>
      </c>
      <c r="L137">
        <f t="shared" si="23"/>
        <v>-0.56965264655001857</v>
      </c>
      <c r="N137">
        <v>1413.88798</v>
      </c>
      <c r="O137">
        <f t="shared" si="24"/>
        <v>7.0694398999999999</v>
      </c>
      <c r="Q137">
        <v>1345.33248</v>
      </c>
      <c r="R137">
        <f t="shared" si="25"/>
        <v>6.7266624000000004</v>
      </c>
    </row>
    <row r="138" spans="1:18" x14ac:dyDescent="0.3">
      <c r="A138">
        <v>7.15</v>
      </c>
      <c r="B138">
        <f t="shared" si="19"/>
        <v>1430</v>
      </c>
      <c r="C138">
        <v>0.434</v>
      </c>
      <c r="D138" s="1">
        <v>2.3136518895626068E-2</v>
      </c>
      <c r="E138">
        <f t="shared" si="20"/>
        <v>1430</v>
      </c>
      <c r="F138">
        <f t="shared" si="21"/>
        <v>1.8636518895626068E-2</v>
      </c>
      <c r="I138">
        <f t="shared" si="18"/>
        <v>0.59942611010372637</v>
      </c>
      <c r="K138">
        <f t="shared" si="22"/>
        <v>0.6075143593044281</v>
      </c>
      <c r="L138">
        <f t="shared" si="23"/>
        <v>-0.57239621367158389</v>
      </c>
      <c r="N138">
        <v>1424.17354</v>
      </c>
      <c r="O138">
        <f t="shared" si="24"/>
        <v>7.1208676999999998</v>
      </c>
      <c r="Q138">
        <v>1355.3659</v>
      </c>
      <c r="R138">
        <f t="shared" si="25"/>
        <v>6.7768294999999998</v>
      </c>
    </row>
    <row r="139" spans="1:18" x14ac:dyDescent="0.3">
      <c r="A139">
        <v>7.2</v>
      </c>
      <c r="B139">
        <f t="shared" si="19"/>
        <v>1440</v>
      </c>
      <c r="C139">
        <v>0.432</v>
      </c>
      <c r="D139" s="1">
        <v>2.3596091195940971E-2</v>
      </c>
      <c r="E139">
        <f t="shared" si="20"/>
        <v>1440</v>
      </c>
      <c r="F139">
        <f t="shared" si="21"/>
        <v>1.9096091195940971E-2</v>
      </c>
      <c r="I139">
        <f t="shared" si="18"/>
        <v>0.60189185661077493</v>
      </c>
      <c r="K139">
        <f t="shared" si="22"/>
        <v>0.61014136800742147</v>
      </c>
      <c r="L139">
        <f t="shared" si="23"/>
        <v>-0.56976920496859051</v>
      </c>
      <c r="N139">
        <v>1434.4589800000001</v>
      </c>
      <c r="O139">
        <f t="shared" si="24"/>
        <v>7.1722949000000007</v>
      </c>
      <c r="Q139">
        <v>1365.1070400000001</v>
      </c>
      <c r="R139">
        <f t="shared" si="25"/>
        <v>6.8255352000000009</v>
      </c>
    </row>
    <row r="140" spans="1:18" x14ac:dyDescent="0.3">
      <c r="A140">
        <v>7.25</v>
      </c>
      <c r="B140">
        <f t="shared" si="19"/>
        <v>1450</v>
      </c>
      <c r="C140">
        <v>0.43</v>
      </c>
      <c r="D140" s="1">
        <v>2.3165538907051086E-2</v>
      </c>
      <c r="E140">
        <f t="shared" si="20"/>
        <v>1450</v>
      </c>
      <c r="F140">
        <f t="shared" si="21"/>
        <v>1.8665538907051086E-2</v>
      </c>
      <c r="I140">
        <f t="shared" si="18"/>
        <v>0.59795015707612031</v>
      </c>
      <c r="K140">
        <f t="shared" si="22"/>
        <v>0.60597633880615231</v>
      </c>
      <c r="L140">
        <f t="shared" si="23"/>
        <v>-0.57393423416985967</v>
      </c>
      <c r="N140">
        <v>1444.8464799999999</v>
      </c>
      <c r="O140">
        <f t="shared" si="24"/>
        <v>7.2242324</v>
      </c>
      <c r="Q140">
        <v>1374.75074</v>
      </c>
      <c r="R140">
        <f t="shared" si="25"/>
        <v>6.8737537</v>
      </c>
    </row>
    <row r="141" spans="1:18" x14ac:dyDescent="0.3">
      <c r="A141">
        <v>7.31</v>
      </c>
      <c r="B141">
        <f t="shared" si="19"/>
        <v>1462</v>
      </c>
      <c r="C141">
        <v>0.42799999999999999</v>
      </c>
      <c r="D141" s="1">
        <v>2.4038000032305717E-2</v>
      </c>
      <c r="E141">
        <f t="shared" si="20"/>
        <v>1462</v>
      </c>
      <c r="F141">
        <f t="shared" si="21"/>
        <v>1.9538000032305717E-2</v>
      </c>
      <c r="I141">
        <f t="shared" si="18"/>
        <v>0.60371778023615474</v>
      </c>
      <c r="K141">
        <f t="shared" si="22"/>
        <v>0.61208004424998164</v>
      </c>
      <c r="L141">
        <f t="shared" si="23"/>
        <v>-0.56783052872603035</v>
      </c>
      <c r="N141">
        <v>1455.53926</v>
      </c>
      <c r="O141">
        <f t="shared" si="24"/>
        <v>7.2776962999999997</v>
      </c>
      <c r="Q141">
        <v>1384.3943400000001</v>
      </c>
      <c r="R141">
        <f t="shared" si="25"/>
        <v>6.9219717000000003</v>
      </c>
    </row>
    <row r="142" spans="1:18" x14ac:dyDescent="0.3">
      <c r="A142">
        <v>7.36</v>
      </c>
      <c r="B142">
        <f t="shared" si="19"/>
        <v>1472</v>
      </c>
      <c r="C142">
        <v>0.42599999999999999</v>
      </c>
      <c r="D142" s="1">
        <v>2.2874869406223297E-2</v>
      </c>
      <c r="E142">
        <f t="shared" si="20"/>
        <v>1472</v>
      </c>
      <c r="F142">
        <f t="shared" si="21"/>
        <v>1.8374869406223297E-2</v>
      </c>
      <c r="I142">
        <f t="shared" si="18"/>
        <v>0.59435903882980345</v>
      </c>
      <c r="K142">
        <f t="shared" si="22"/>
        <v>0.60218673319685456</v>
      </c>
      <c r="L142">
        <f t="shared" si="23"/>
        <v>-0.57772383977915742</v>
      </c>
      <c r="N142">
        <v>1465.6210000000001</v>
      </c>
      <c r="O142">
        <f t="shared" si="24"/>
        <v>7.3281050000000008</v>
      </c>
      <c r="Q142">
        <v>1394.0381400000001</v>
      </c>
      <c r="R142">
        <f t="shared" si="25"/>
        <v>6.9701907000000007</v>
      </c>
    </row>
    <row r="143" spans="1:18" x14ac:dyDescent="0.3">
      <c r="A143">
        <v>7.41</v>
      </c>
      <c r="B143">
        <f t="shared" si="19"/>
        <v>1482</v>
      </c>
      <c r="C143">
        <v>0.42399999999999999</v>
      </c>
      <c r="D143" s="1">
        <v>2.321753092110157E-2</v>
      </c>
      <c r="E143">
        <f t="shared" si="20"/>
        <v>1482</v>
      </c>
      <c r="F143">
        <f t="shared" si="21"/>
        <v>1.871753092110157E-2</v>
      </c>
      <c r="I143">
        <f t="shared" si="18"/>
        <v>0.59604190412536262</v>
      </c>
      <c r="K143">
        <f t="shared" si="22"/>
        <v>0.60397813723590965</v>
      </c>
      <c r="L143">
        <f t="shared" si="23"/>
        <v>-0.57593243574010233</v>
      </c>
      <c r="N143">
        <v>1475.80458</v>
      </c>
      <c r="O143">
        <f t="shared" si="24"/>
        <v>7.3790228999999998</v>
      </c>
      <c r="Q143">
        <v>1403.77918</v>
      </c>
      <c r="R143">
        <f t="shared" si="25"/>
        <v>7.0188959000000004</v>
      </c>
    </row>
    <row r="144" spans="1:18" x14ac:dyDescent="0.3">
      <c r="A144">
        <v>7.46</v>
      </c>
      <c r="B144">
        <f t="shared" si="19"/>
        <v>1492</v>
      </c>
      <c r="C144">
        <v>0.42199999999999999</v>
      </c>
      <c r="D144" s="1">
        <v>2.3349830880761147E-2</v>
      </c>
      <c r="E144">
        <f t="shared" si="20"/>
        <v>1492</v>
      </c>
      <c r="F144">
        <f t="shared" si="21"/>
        <v>1.8849830880761146E-2</v>
      </c>
      <c r="I144">
        <f t="shared" si="18"/>
        <v>0.59618973837047817</v>
      </c>
      <c r="K144">
        <f t="shared" si="22"/>
        <v>0.60414436700215934</v>
      </c>
      <c r="L144">
        <f t="shared" si="23"/>
        <v>-0.57576620597385264</v>
      </c>
      <c r="N144">
        <v>1486.29384</v>
      </c>
      <c r="O144">
        <f t="shared" si="24"/>
        <v>7.4314692000000004</v>
      </c>
      <c r="Q144">
        <v>1413.4227900000001</v>
      </c>
      <c r="R144">
        <f t="shared" si="25"/>
        <v>7.0671139500000004</v>
      </c>
    </row>
    <row r="145" spans="1:18" x14ac:dyDescent="0.3">
      <c r="A145">
        <v>7.52</v>
      </c>
      <c r="B145">
        <f t="shared" si="19"/>
        <v>1504</v>
      </c>
      <c r="C145">
        <v>0.42</v>
      </c>
      <c r="D145" s="1">
        <v>2.3089613765478134E-2</v>
      </c>
      <c r="E145">
        <f t="shared" si="20"/>
        <v>1504</v>
      </c>
      <c r="F145">
        <f t="shared" si="21"/>
        <v>1.8589613765478134E-2</v>
      </c>
      <c r="I145">
        <f t="shared" si="18"/>
        <v>0.59363389551639556</v>
      </c>
      <c r="K145">
        <f t="shared" si="22"/>
        <v>0.6014415332978964</v>
      </c>
      <c r="L145">
        <f t="shared" si="23"/>
        <v>-0.57846903967811558</v>
      </c>
      <c r="N145">
        <v>1496.8848599999999</v>
      </c>
      <c r="O145">
        <f t="shared" si="24"/>
        <v>7.4844242999999997</v>
      </c>
      <c r="Q145">
        <v>1424.0406700000001</v>
      </c>
      <c r="R145">
        <f t="shared" si="25"/>
        <v>7.1202033500000006</v>
      </c>
    </row>
    <row r="146" spans="1:18" x14ac:dyDescent="0.3">
      <c r="A146">
        <v>7.57</v>
      </c>
      <c r="B146">
        <f t="shared" si="19"/>
        <v>1514</v>
      </c>
      <c r="C146">
        <v>0.41799999999999998</v>
      </c>
      <c r="D146" s="1">
        <v>2.4445373564958572E-2</v>
      </c>
      <c r="E146">
        <f t="shared" si="20"/>
        <v>1514</v>
      </c>
      <c r="F146">
        <f t="shared" si="21"/>
        <v>1.9945373564958572E-2</v>
      </c>
      <c r="I146">
        <f t="shared" si="18"/>
        <v>0.60305147788673641</v>
      </c>
      <c r="K146">
        <f t="shared" si="22"/>
        <v>0.61138864403688908</v>
      </c>
      <c r="L146">
        <f t="shared" si="23"/>
        <v>-0.5685219289391229</v>
      </c>
      <c r="N146">
        <v>1506.9666</v>
      </c>
      <c r="O146">
        <f t="shared" si="24"/>
        <v>7.5348329999999999</v>
      </c>
      <c r="Q146">
        <v>1433.78181</v>
      </c>
      <c r="R146">
        <f t="shared" si="25"/>
        <v>7.1689090499999999</v>
      </c>
    </row>
    <row r="147" spans="1:18" x14ac:dyDescent="0.3">
      <c r="A147">
        <v>7.62</v>
      </c>
      <c r="B147">
        <f t="shared" si="19"/>
        <v>1524</v>
      </c>
      <c r="C147">
        <v>0.41599999999999998</v>
      </c>
      <c r="D147" s="1">
        <v>2.3071354255080223E-2</v>
      </c>
      <c r="E147">
        <f t="shared" si="20"/>
        <v>1524</v>
      </c>
      <c r="F147">
        <f t="shared" si="21"/>
        <v>1.8571354255080223E-2</v>
      </c>
      <c r="I147">
        <f t="shared" si="18"/>
        <v>0.59180371942371135</v>
      </c>
      <c r="K147">
        <f t="shared" si="22"/>
        <v>0.59952940279382472</v>
      </c>
      <c r="L147">
        <f t="shared" si="23"/>
        <v>-0.58038117018218727</v>
      </c>
      <c r="N147">
        <v>1517.76142</v>
      </c>
      <c r="O147">
        <f t="shared" si="24"/>
        <v>7.5888071000000004</v>
      </c>
      <c r="Q147">
        <v>1443.42561</v>
      </c>
      <c r="R147">
        <f t="shared" si="25"/>
        <v>7.2171280500000003</v>
      </c>
    </row>
    <row r="148" spans="1:18" x14ac:dyDescent="0.3">
      <c r="A148">
        <v>7.67</v>
      </c>
      <c r="B148">
        <f t="shared" si="19"/>
        <v>1534</v>
      </c>
      <c r="C148">
        <v>0.41299999999999998</v>
      </c>
      <c r="D148" s="1">
        <v>2.3792900145053864E-2</v>
      </c>
      <c r="E148">
        <f t="shared" si="20"/>
        <v>1534</v>
      </c>
      <c r="F148">
        <f t="shared" si="21"/>
        <v>1.9292900145053863E-2</v>
      </c>
      <c r="I148">
        <f t="shared" si="18"/>
        <v>0.59549154411256311</v>
      </c>
      <c r="K148">
        <f t="shared" si="22"/>
        <v>0.60345951187247038</v>
      </c>
      <c r="L148">
        <f t="shared" si="23"/>
        <v>-0.57645106110354161</v>
      </c>
      <c r="N148">
        <v>1528.5561600000001</v>
      </c>
      <c r="O148">
        <f t="shared" si="24"/>
        <v>7.6427808000000006</v>
      </c>
      <c r="Q148">
        <v>1453.8484599999999</v>
      </c>
      <c r="R148">
        <f t="shared" si="25"/>
        <v>7.2692422999999993</v>
      </c>
    </row>
    <row r="149" spans="1:18" x14ac:dyDescent="0.3">
      <c r="A149">
        <v>7.72</v>
      </c>
      <c r="B149">
        <f t="shared" si="19"/>
        <v>1544</v>
      </c>
      <c r="C149">
        <v>0.41099999999999998</v>
      </c>
      <c r="D149" s="1">
        <v>2.3416850715875626E-2</v>
      </c>
      <c r="E149">
        <f t="shared" si="20"/>
        <v>1544</v>
      </c>
      <c r="F149">
        <f t="shared" si="21"/>
        <v>1.8916850715875625E-2</v>
      </c>
      <c r="I149">
        <f t="shared" si="18"/>
        <v>0.5917780875265598</v>
      </c>
      <c r="K149">
        <f t="shared" si="22"/>
        <v>0.59955291317078474</v>
      </c>
      <c r="L149">
        <f t="shared" si="23"/>
        <v>-0.58035765980522724</v>
      </c>
      <c r="N149">
        <v>1538.8416999999999</v>
      </c>
      <c r="O149">
        <f t="shared" si="24"/>
        <v>7.6942084999999993</v>
      </c>
      <c r="Q149">
        <v>1463.49207</v>
      </c>
      <c r="R149">
        <f t="shared" si="25"/>
        <v>7.3174603500000002</v>
      </c>
    </row>
    <row r="150" spans="1:18" x14ac:dyDescent="0.3">
      <c r="A150">
        <v>7.77</v>
      </c>
      <c r="B150">
        <f t="shared" si="19"/>
        <v>1554</v>
      </c>
      <c r="C150">
        <v>0.40899999999999997</v>
      </c>
      <c r="D150" s="1">
        <v>2.3439330980181694E-2</v>
      </c>
      <c r="E150">
        <f t="shared" si="20"/>
        <v>1554</v>
      </c>
      <c r="F150">
        <f t="shared" si="21"/>
        <v>1.8939330980181694E-2</v>
      </c>
      <c r="I150">
        <f t="shared" si="18"/>
        <v>0.59112360171601175</v>
      </c>
      <c r="K150">
        <f t="shared" si="22"/>
        <v>0.59886978808690605</v>
      </c>
      <c r="L150">
        <f t="shared" si="23"/>
        <v>-0.58104078488910593</v>
      </c>
      <c r="N150">
        <v>1548.92344</v>
      </c>
      <c r="O150">
        <f t="shared" si="24"/>
        <v>7.7446172000000004</v>
      </c>
      <c r="Q150">
        <v>1473.52549</v>
      </c>
      <c r="R150">
        <f t="shared" si="25"/>
        <v>7.3676274499999996</v>
      </c>
    </row>
    <row r="151" spans="1:18" x14ac:dyDescent="0.3">
      <c r="A151">
        <v>7.82</v>
      </c>
      <c r="B151">
        <f t="shared" si="19"/>
        <v>1564</v>
      </c>
      <c r="C151">
        <v>0.40699999999999997</v>
      </c>
      <c r="D151" s="1">
        <v>2.3617656901478767E-2</v>
      </c>
      <c r="E151">
        <f t="shared" si="20"/>
        <v>1564</v>
      </c>
      <c r="F151">
        <f t="shared" si="21"/>
        <v>1.9117656901478767E-2</v>
      </c>
      <c r="I151">
        <f t="shared" si="18"/>
        <v>0.59169007696956388</v>
      </c>
      <c r="K151">
        <f t="shared" si="22"/>
        <v>0.59947096332846572</v>
      </c>
      <c r="L151">
        <f t="shared" si="23"/>
        <v>-0.58043960964754626</v>
      </c>
      <c r="N151">
        <v>1559.7181599999999</v>
      </c>
      <c r="O151">
        <f t="shared" si="24"/>
        <v>7.7985907999999995</v>
      </c>
      <c r="Q151">
        <v>1483.1692700000001</v>
      </c>
      <c r="R151">
        <f t="shared" si="25"/>
        <v>7.4158463500000007</v>
      </c>
    </row>
    <row r="152" spans="1:18" x14ac:dyDescent="0.3">
      <c r="A152">
        <v>7.87</v>
      </c>
      <c r="B152">
        <f t="shared" si="19"/>
        <v>1574</v>
      </c>
      <c r="C152">
        <v>0.40500000000000003</v>
      </c>
      <c r="D152" s="1">
        <v>2.4122841656208038E-2</v>
      </c>
      <c r="E152">
        <f t="shared" si="20"/>
        <v>1574</v>
      </c>
      <c r="F152">
        <f t="shared" si="21"/>
        <v>1.9622841656208038E-2</v>
      </c>
      <c r="I152">
        <f t="shared" si="18"/>
        <v>0.59484676383435731</v>
      </c>
      <c r="K152">
        <f t="shared" si="22"/>
        <v>0.60279401470512162</v>
      </c>
      <c r="L152">
        <f t="shared" si="23"/>
        <v>-0.57711655827089037</v>
      </c>
      <c r="N152">
        <v>1569.7999</v>
      </c>
      <c r="O152">
        <f t="shared" si="24"/>
        <v>7.8489994999999997</v>
      </c>
      <c r="Q152">
        <v>1493.00765</v>
      </c>
      <c r="R152">
        <f t="shared" si="25"/>
        <v>7.4650382500000001</v>
      </c>
    </row>
    <row r="153" spans="1:18" x14ac:dyDescent="0.3">
      <c r="A153">
        <v>7.92</v>
      </c>
      <c r="B153">
        <f t="shared" si="19"/>
        <v>1584</v>
      </c>
      <c r="C153">
        <v>0.40300000000000002</v>
      </c>
      <c r="D153" s="1">
        <v>2.3679986596107483E-2</v>
      </c>
      <c r="E153">
        <f t="shared" si="20"/>
        <v>1584</v>
      </c>
      <c r="F153">
        <f t="shared" si="21"/>
        <v>1.9179986596107482E-2</v>
      </c>
      <c r="I153">
        <f t="shared" si="18"/>
        <v>0.59054549384117128</v>
      </c>
      <c r="K153">
        <f t="shared" si="22"/>
        <v>0.59827502843940261</v>
      </c>
      <c r="L153">
        <f t="shared" si="23"/>
        <v>-0.58163554453660937</v>
      </c>
      <c r="N153">
        <v>1580.9001000000001</v>
      </c>
      <c r="O153">
        <f t="shared" si="24"/>
        <v>7.9045005000000002</v>
      </c>
      <c r="Q153">
        <v>1503.7228</v>
      </c>
      <c r="R153">
        <f t="shared" si="25"/>
        <v>7.5186140000000004</v>
      </c>
    </row>
    <row r="154" spans="1:18" x14ac:dyDescent="0.3">
      <c r="A154">
        <v>7.98</v>
      </c>
      <c r="B154">
        <f t="shared" si="19"/>
        <v>1596</v>
      </c>
      <c r="C154">
        <v>0.40100000000000002</v>
      </c>
      <c r="D154" s="1">
        <v>2.3782368749380112E-2</v>
      </c>
      <c r="E154">
        <f t="shared" si="20"/>
        <v>1596</v>
      </c>
      <c r="F154">
        <f t="shared" si="21"/>
        <v>1.9282368749380111E-2</v>
      </c>
      <c r="I154">
        <f t="shared" si="18"/>
        <v>0.5907833026200533</v>
      </c>
      <c r="K154">
        <f t="shared" si="22"/>
        <v>0.59851553248855471</v>
      </c>
      <c r="L154">
        <f t="shared" si="23"/>
        <v>-0.58139504048745727</v>
      </c>
      <c r="N154">
        <v>1590.9819399999999</v>
      </c>
      <c r="O154">
        <f t="shared" si="24"/>
        <v>7.9549096999999991</v>
      </c>
      <c r="Q154">
        <v>1513.5614499999999</v>
      </c>
      <c r="R154">
        <f t="shared" si="25"/>
        <v>7.5678072499999995</v>
      </c>
    </row>
    <row r="155" spans="1:18" x14ac:dyDescent="0.3">
      <c r="A155">
        <v>8.0299999999999994</v>
      </c>
      <c r="B155">
        <f t="shared" si="19"/>
        <v>1605.9999999999998</v>
      </c>
      <c r="C155">
        <v>0.39900000000000002</v>
      </c>
      <c r="D155" s="1">
        <v>2.3811902850866318E-2</v>
      </c>
      <c r="E155">
        <f t="shared" si="20"/>
        <v>1605.9999999999998</v>
      </c>
      <c r="F155">
        <f t="shared" si="21"/>
        <v>1.9311902850866317E-2</v>
      </c>
      <c r="I155">
        <f t="shared" si="18"/>
        <v>0.59020957989245648</v>
      </c>
      <c r="K155">
        <f t="shared" si="22"/>
        <v>0.59791502912995209</v>
      </c>
      <c r="L155">
        <f t="shared" si="23"/>
        <v>-0.58199554384605989</v>
      </c>
      <c r="N155">
        <v>1601.26748</v>
      </c>
      <c r="O155">
        <f t="shared" si="24"/>
        <v>8.0063373999999996</v>
      </c>
      <c r="Q155">
        <v>1523.20515</v>
      </c>
      <c r="R155">
        <f t="shared" si="25"/>
        <v>7.6160257500000004</v>
      </c>
    </row>
    <row r="156" spans="1:18" x14ac:dyDescent="0.3">
      <c r="A156">
        <v>8.08</v>
      </c>
      <c r="B156">
        <f t="shared" si="19"/>
        <v>1616</v>
      </c>
      <c r="C156">
        <v>0.39700000000000002</v>
      </c>
      <c r="D156" s="1">
        <v>2.3356638848781586E-2</v>
      </c>
      <c r="E156">
        <f t="shared" si="20"/>
        <v>1616</v>
      </c>
      <c r="F156">
        <f t="shared" si="21"/>
        <v>1.8856638848781585E-2</v>
      </c>
      <c r="I156">
        <f t="shared" si="18"/>
        <v>0.58572164189815523</v>
      </c>
      <c r="K156">
        <f t="shared" si="22"/>
        <v>0.5932077275211215</v>
      </c>
      <c r="L156">
        <f t="shared" si="23"/>
        <v>-0.58670284545489049</v>
      </c>
      <c r="N156">
        <v>1612.2659200000001</v>
      </c>
      <c r="O156">
        <f t="shared" si="24"/>
        <v>8.0613296000000005</v>
      </c>
      <c r="Q156">
        <v>1533.14104</v>
      </c>
      <c r="R156">
        <f t="shared" si="25"/>
        <v>7.6657051999999997</v>
      </c>
    </row>
    <row r="157" spans="1:18" x14ac:dyDescent="0.3">
      <c r="A157">
        <v>8.1300000000000008</v>
      </c>
      <c r="B157">
        <f t="shared" si="19"/>
        <v>1626.0000000000002</v>
      </c>
      <c r="C157">
        <v>0.39500000000000002</v>
      </c>
      <c r="D157" s="1">
        <v>2.3766256868839264E-2</v>
      </c>
      <c r="E157">
        <f t="shared" si="20"/>
        <v>1626.0000000000002</v>
      </c>
      <c r="F157">
        <f t="shared" si="21"/>
        <v>1.9266256868839263E-2</v>
      </c>
      <c r="I157">
        <f t="shared" si="18"/>
        <v>0.58821966834366324</v>
      </c>
      <c r="K157">
        <f t="shared" si="22"/>
        <v>0.59582983980685478</v>
      </c>
      <c r="L157">
        <f t="shared" si="23"/>
        <v>-0.58408073316915721</v>
      </c>
      <c r="N157">
        <v>1622.5513599999999</v>
      </c>
      <c r="O157">
        <f t="shared" si="24"/>
        <v>8.1127567999999997</v>
      </c>
      <c r="Q157">
        <v>1542.8820900000001</v>
      </c>
      <c r="R157">
        <f t="shared" si="25"/>
        <v>7.7144104499999999</v>
      </c>
    </row>
    <row r="158" spans="1:18" x14ac:dyDescent="0.3">
      <c r="A158">
        <v>8.18</v>
      </c>
      <c r="B158">
        <f t="shared" si="19"/>
        <v>1636</v>
      </c>
      <c r="C158">
        <v>0.39300000000000002</v>
      </c>
      <c r="D158" s="1">
        <v>2.3481503129005432E-2</v>
      </c>
      <c r="E158">
        <f t="shared" si="20"/>
        <v>1636</v>
      </c>
      <c r="F158">
        <f t="shared" si="21"/>
        <v>1.8981503129005432E-2</v>
      </c>
      <c r="I158">
        <f t="shared" si="18"/>
        <v>0.58507869559526449</v>
      </c>
      <c r="K158">
        <f t="shared" si="22"/>
        <v>0.59253842632496367</v>
      </c>
      <c r="L158">
        <f t="shared" si="23"/>
        <v>-0.58737214665104831</v>
      </c>
      <c r="N158">
        <v>1632.73506</v>
      </c>
      <c r="O158">
        <f t="shared" si="24"/>
        <v>8.1636752999999995</v>
      </c>
      <c r="Q158">
        <v>1552.72074</v>
      </c>
      <c r="R158">
        <f t="shared" si="25"/>
        <v>7.7636037</v>
      </c>
    </row>
    <row r="159" spans="1:18" x14ac:dyDescent="0.3">
      <c r="A159">
        <v>8.23</v>
      </c>
      <c r="B159">
        <f t="shared" si="19"/>
        <v>1646</v>
      </c>
      <c r="C159">
        <v>0.39</v>
      </c>
      <c r="D159" s="1">
        <v>2.421257458627224E-2</v>
      </c>
      <c r="E159">
        <f t="shared" si="20"/>
        <v>1646</v>
      </c>
      <c r="F159">
        <f t="shared" si="21"/>
        <v>1.9712574586272239E-2</v>
      </c>
      <c r="I159">
        <f t="shared" si="18"/>
        <v>0.58926948884502051</v>
      </c>
      <c r="K159">
        <f t="shared" si="22"/>
        <v>0.59695739293366668</v>
      </c>
      <c r="L159">
        <f t="shared" si="23"/>
        <v>-0.58295318004234531</v>
      </c>
      <c r="N159">
        <v>1643.4279200000001</v>
      </c>
      <c r="O159">
        <f t="shared" si="24"/>
        <v>8.2171396000000012</v>
      </c>
      <c r="Q159">
        <v>1562.5591899999999</v>
      </c>
      <c r="R159">
        <f t="shared" si="25"/>
        <v>7.8127959499999999</v>
      </c>
    </row>
    <row r="160" spans="1:18" x14ac:dyDescent="0.3">
      <c r="A160">
        <v>8.2799999999999994</v>
      </c>
      <c r="B160">
        <f t="shared" si="19"/>
        <v>1655.9999999999998</v>
      </c>
      <c r="C160">
        <v>0.38800000000000001</v>
      </c>
      <c r="D160" s="1">
        <v>2.3381641134619713E-2</v>
      </c>
      <c r="E160">
        <f t="shared" si="20"/>
        <v>1655.9999999999998</v>
      </c>
      <c r="F160">
        <f t="shared" si="21"/>
        <v>1.8881641134619712E-2</v>
      </c>
      <c r="I160">
        <f t="shared" si="18"/>
        <v>0.58159998859465123</v>
      </c>
      <c r="K160">
        <f t="shared" si="22"/>
        <v>0.58892606535488368</v>
      </c>
      <c r="L160">
        <f t="shared" si="23"/>
        <v>-0.59098450762112831</v>
      </c>
      <c r="N160">
        <v>1653.5097599999999</v>
      </c>
      <c r="O160">
        <f t="shared" si="24"/>
        <v>8.2675488000000001</v>
      </c>
      <c r="Q160">
        <v>1572.20299</v>
      </c>
      <c r="R160">
        <f t="shared" si="25"/>
        <v>7.8610149500000004</v>
      </c>
    </row>
    <row r="161" spans="1:18" x14ac:dyDescent="0.3">
      <c r="A161">
        <v>8.34</v>
      </c>
      <c r="B161">
        <f t="shared" si="19"/>
        <v>1668</v>
      </c>
      <c r="C161">
        <v>0.38600000000000001</v>
      </c>
      <c r="D161" s="1">
        <v>2.4179680272936821E-2</v>
      </c>
      <c r="E161">
        <f t="shared" si="20"/>
        <v>1668</v>
      </c>
      <c r="F161">
        <f t="shared" si="21"/>
        <v>1.967968027293682E-2</v>
      </c>
      <c r="I161">
        <f t="shared" si="18"/>
        <v>0.58765853347629315</v>
      </c>
      <c r="K161">
        <f t="shared" si="22"/>
        <v>0.59525489006164678</v>
      </c>
      <c r="L161">
        <f t="shared" si="23"/>
        <v>-0.5846556829143652</v>
      </c>
      <c r="N161">
        <v>1663.5916</v>
      </c>
      <c r="O161">
        <f t="shared" si="24"/>
        <v>8.3179579999999991</v>
      </c>
      <c r="Q161">
        <v>1582.0413699999999</v>
      </c>
      <c r="R161">
        <f t="shared" si="25"/>
        <v>7.9102068499999998</v>
      </c>
    </row>
    <row r="162" spans="1:18" x14ac:dyDescent="0.3">
      <c r="A162">
        <v>8.39</v>
      </c>
      <c r="B162">
        <f t="shared" si="19"/>
        <v>1678</v>
      </c>
      <c r="C162">
        <v>0.38400000000000001</v>
      </c>
      <c r="D162" s="1">
        <v>2.3598005995154381E-2</v>
      </c>
      <c r="E162">
        <f t="shared" si="20"/>
        <v>1678</v>
      </c>
      <c r="F162">
        <f t="shared" si="21"/>
        <v>1.909800599515438E-2</v>
      </c>
      <c r="I162">
        <f t="shared" si="18"/>
        <v>0.58198727029934527</v>
      </c>
      <c r="K162">
        <f t="shared" si="22"/>
        <v>0.58932090460148456</v>
      </c>
      <c r="L162">
        <f t="shared" si="23"/>
        <v>-0.59058966837452742</v>
      </c>
      <c r="N162">
        <v>1674.08086</v>
      </c>
      <c r="O162">
        <f t="shared" si="24"/>
        <v>8.3704043000000006</v>
      </c>
      <c r="Q162">
        <v>1592.46451</v>
      </c>
      <c r="R162">
        <f t="shared" si="25"/>
        <v>7.9623225499999997</v>
      </c>
    </row>
    <row r="163" spans="1:18" x14ac:dyDescent="0.3">
      <c r="A163">
        <v>8.44</v>
      </c>
      <c r="B163">
        <f t="shared" si="19"/>
        <v>1688</v>
      </c>
      <c r="C163">
        <v>0.38200000000000001</v>
      </c>
      <c r="D163" s="1">
        <v>2.405710332095623E-2</v>
      </c>
      <c r="E163">
        <f t="shared" si="20"/>
        <v>1688</v>
      </c>
      <c r="F163">
        <f t="shared" si="21"/>
        <v>1.955710332095623E-2</v>
      </c>
      <c r="I163">
        <f t="shared" si="18"/>
        <v>0.58504195202887055</v>
      </c>
      <c r="K163">
        <f t="shared" si="22"/>
        <v>0.59251276549747578</v>
      </c>
      <c r="L163">
        <f t="shared" si="23"/>
        <v>-0.5873978074785362</v>
      </c>
      <c r="N163">
        <v>1684.2644600000001</v>
      </c>
      <c r="O163">
        <f t="shared" si="24"/>
        <v>8.4213222999999999</v>
      </c>
      <c r="Q163">
        <v>1602.2057199999999</v>
      </c>
      <c r="R163">
        <f t="shared" si="25"/>
        <v>8.0110285999999995</v>
      </c>
    </row>
    <row r="164" spans="1:18" x14ac:dyDescent="0.3">
      <c r="A164">
        <v>8.49</v>
      </c>
      <c r="B164">
        <f t="shared" si="19"/>
        <v>1698</v>
      </c>
      <c r="C164">
        <v>0.38</v>
      </c>
      <c r="D164" s="1">
        <v>2.362007275223732E-2</v>
      </c>
      <c r="E164">
        <f t="shared" si="20"/>
        <v>1698</v>
      </c>
      <c r="F164">
        <f t="shared" si="21"/>
        <v>1.9120072752237319E-2</v>
      </c>
      <c r="I164">
        <f t="shared" si="18"/>
        <v>0.58053441766649483</v>
      </c>
      <c r="K164">
        <f t="shared" si="22"/>
        <v>0.58780004531234498</v>
      </c>
      <c r="L164">
        <f t="shared" si="23"/>
        <v>-0.59211052766366701</v>
      </c>
      <c r="N164">
        <v>1694.55</v>
      </c>
      <c r="O164">
        <f t="shared" si="24"/>
        <v>8.4727499999999996</v>
      </c>
      <c r="Q164">
        <v>1611.84924</v>
      </c>
      <c r="R164">
        <f t="shared" si="25"/>
        <v>8.0592462000000005</v>
      </c>
    </row>
    <row r="165" spans="1:18" x14ac:dyDescent="0.3">
      <c r="A165">
        <v>8.5500000000000007</v>
      </c>
      <c r="B165">
        <f t="shared" si="19"/>
        <v>1710.0000000000002</v>
      </c>
      <c r="C165">
        <v>0.378</v>
      </c>
      <c r="D165" s="1">
        <v>2.441132627427578E-2</v>
      </c>
      <c r="E165">
        <f t="shared" si="20"/>
        <v>1710.0000000000002</v>
      </c>
      <c r="F165">
        <f t="shared" si="21"/>
        <v>1.9911326274275779E-2</v>
      </c>
      <c r="I165">
        <f t="shared" si="18"/>
        <v>0.58671683964505794</v>
      </c>
      <c r="K165">
        <f t="shared" si="22"/>
        <v>0.59424332097673416</v>
      </c>
      <c r="L165">
        <f t="shared" si="23"/>
        <v>-0.58566725199927783</v>
      </c>
      <c r="N165">
        <v>1704.83554</v>
      </c>
      <c r="O165">
        <f t="shared" si="24"/>
        <v>8.524177700000001</v>
      </c>
      <c r="Q165">
        <v>1621.98</v>
      </c>
      <c r="R165">
        <f t="shared" si="25"/>
        <v>8.1098999999999997</v>
      </c>
    </row>
    <row r="166" spans="1:18" x14ac:dyDescent="0.3">
      <c r="A166">
        <v>8.6</v>
      </c>
      <c r="B166">
        <f t="shared" si="19"/>
        <v>1720</v>
      </c>
      <c r="C166">
        <v>0.375</v>
      </c>
      <c r="D166" s="1">
        <v>2.3775476962327957E-2</v>
      </c>
      <c r="E166">
        <f t="shared" si="20"/>
        <v>1720</v>
      </c>
      <c r="F166">
        <f t="shared" si="21"/>
        <v>1.9275476962327957E-2</v>
      </c>
      <c r="I166">
        <f t="shared" si="18"/>
        <v>0.57946910187602041</v>
      </c>
      <c r="K166">
        <f t="shared" si="22"/>
        <v>0.58669740573689344</v>
      </c>
      <c r="L166">
        <f t="shared" si="23"/>
        <v>-0.59321316723911854</v>
      </c>
      <c r="N166">
        <v>1715.3248000000001</v>
      </c>
      <c r="O166">
        <f t="shared" si="24"/>
        <v>8.5766240000000007</v>
      </c>
      <c r="Q166">
        <v>1632.3055999999999</v>
      </c>
      <c r="R166">
        <f t="shared" si="25"/>
        <v>8.1615279999999988</v>
      </c>
    </row>
    <row r="167" spans="1:18" x14ac:dyDescent="0.3">
      <c r="A167">
        <v>8.65</v>
      </c>
      <c r="B167">
        <f t="shared" si="19"/>
        <v>1730</v>
      </c>
      <c r="C167">
        <v>0.373</v>
      </c>
      <c r="D167" s="1">
        <v>2.4246145039796829E-2</v>
      </c>
      <c r="E167">
        <f t="shared" si="20"/>
        <v>1730</v>
      </c>
      <c r="F167">
        <f t="shared" si="21"/>
        <v>1.9746145039796829E-2</v>
      </c>
      <c r="I167">
        <f t="shared" si="18"/>
        <v>0.58272915459424257</v>
      </c>
      <c r="K167">
        <f t="shared" si="22"/>
        <v>0.59009446669408683</v>
      </c>
      <c r="L167">
        <f t="shared" si="23"/>
        <v>-0.58981610628192516</v>
      </c>
      <c r="N167">
        <v>1725.61016</v>
      </c>
      <c r="O167">
        <f t="shared" si="24"/>
        <v>8.6280508000000005</v>
      </c>
      <c r="Q167">
        <v>1642.04664</v>
      </c>
      <c r="R167">
        <f t="shared" si="25"/>
        <v>8.2102331999999993</v>
      </c>
    </row>
    <row r="168" spans="1:18" x14ac:dyDescent="0.3">
      <c r="A168">
        <v>8.7100000000000009</v>
      </c>
      <c r="B168">
        <f t="shared" si="19"/>
        <v>1742.0000000000002</v>
      </c>
      <c r="C168">
        <v>0.371</v>
      </c>
      <c r="D168" s="1">
        <v>2.3945005610585213E-2</v>
      </c>
      <c r="E168">
        <f t="shared" si="20"/>
        <v>1742.0000000000002</v>
      </c>
      <c r="F168">
        <f t="shared" si="21"/>
        <v>1.9445005610585212E-2</v>
      </c>
      <c r="I168">
        <f t="shared" si="18"/>
        <v>0.57956099886819723</v>
      </c>
      <c r="K168">
        <f t="shared" si="22"/>
        <v>0.58677509594972432</v>
      </c>
      <c r="L168">
        <f t="shared" si="23"/>
        <v>-0.59313547702628766</v>
      </c>
      <c r="N168">
        <v>1735.79376</v>
      </c>
      <c r="O168">
        <f t="shared" si="24"/>
        <v>8.6789687999999998</v>
      </c>
      <c r="Q168">
        <v>1651.7878599999999</v>
      </c>
      <c r="R168">
        <f t="shared" si="25"/>
        <v>8.2589392999999998</v>
      </c>
    </row>
    <row r="169" spans="1:18" x14ac:dyDescent="0.3">
      <c r="A169">
        <v>8.76</v>
      </c>
      <c r="B169">
        <f t="shared" si="19"/>
        <v>1752</v>
      </c>
      <c r="C169">
        <v>0.36899999999999999</v>
      </c>
      <c r="D169" s="1">
        <v>2.4068757891654968E-2</v>
      </c>
      <c r="E169">
        <f t="shared" si="20"/>
        <v>1752</v>
      </c>
      <c r="F169">
        <f t="shared" si="21"/>
        <v>1.9568757891654968E-2</v>
      </c>
      <c r="I169">
        <f t="shared" si="18"/>
        <v>0.57984231913089745</v>
      </c>
      <c r="K169">
        <f t="shared" si="22"/>
        <v>0.58706319079291813</v>
      </c>
      <c r="L169">
        <f t="shared" si="23"/>
        <v>-0.59284738218309385</v>
      </c>
      <c r="N169">
        <v>1746.2829999999999</v>
      </c>
      <c r="O169">
        <f t="shared" si="24"/>
        <v>8.7314150000000001</v>
      </c>
      <c r="Q169">
        <v>1661.7237700000001</v>
      </c>
      <c r="R169">
        <f t="shared" si="25"/>
        <v>8.3086188500000002</v>
      </c>
    </row>
    <row r="170" spans="1:18" x14ac:dyDescent="0.3">
      <c r="A170">
        <v>8.81</v>
      </c>
      <c r="B170">
        <f t="shared" si="19"/>
        <v>1762</v>
      </c>
      <c r="C170">
        <v>0.36699999999999999</v>
      </c>
      <c r="D170" s="1">
        <v>2.4400951340794563E-2</v>
      </c>
      <c r="E170">
        <f t="shared" si="20"/>
        <v>1762</v>
      </c>
      <c r="F170">
        <f t="shared" si="21"/>
        <v>1.9900951340794563E-2</v>
      </c>
      <c r="I170">
        <f t="shared" si="18"/>
        <v>0.58197238131240014</v>
      </c>
      <c r="K170">
        <f t="shared" si="22"/>
        <v>0.58927603045447174</v>
      </c>
      <c r="L170">
        <f t="shared" si="23"/>
        <v>-0.59063454252154024</v>
      </c>
      <c r="N170">
        <v>1756.4666</v>
      </c>
      <c r="O170">
        <f t="shared" si="24"/>
        <v>8.7823329999999995</v>
      </c>
      <c r="Q170">
        <v>1671.65966</v>
      </c>
      <c r="R170">
        <f t="shared" si="25"/>
        <v>8.3582982999999995</v>
      </c>
    </row>
    <row r="171" spans="1:18" x14ac:dyDescent="0.3">
      <c r="A171">
        <v>8.8699999999999992</v>
      </c>
      <c r="B171">
        <f t="shared" si="19"/>
        <v>1773.9999999999998</v>
      </c>
      <c r="C171">
        <v>0.36499999999999999</v>
      </c>
      <c r="D171" s="1">
        <v>2.4340275675058365E-2</v>
      </c>
      <c r="E171">
        <f t="shared" si="20"/>
        <v>1773.9999999999998</v>
      </c>
      <c r="F171">
        <f t="shared" si="21"/>
        <v>1.9840275675058364E-2</v>
      </c>
      <c r="I171">
        <f t="shared" si="18"/>
        <v>0.58089824523776767</v>
      </c>
      <c r="K171">
        <f t="shared" si="22"/>
        <v>0.58813994585916396</v>
      </c>
      <c r="L171">
        <f t="shared" si="23"/>
        <v>-0.59177062711684802</v>
      </c>
      <c r="N171">
        <v>1766.54844</v>
      </c>
      <c r="O171">
        <f t="shared" si="24"/>
        <v>8.8327422000000002</v>
      </c>
      <c r="Q171">
        <v>1681.4008699999999</v>
      </c>
      <c r="R171">
        <f t="shared" si="25"/>
        <v>8.4070043499999993</v>
      </c>
    </row>
    <row r="172" spans="1:18" x14ac:dyDescent="0.3">
      <c r="A172">
        <v>8.92</v>
      </c>
      <c r="B172">
        <f t="shared" si="19"/>
        <v>1784</v>
      </c>
      <c r="C172">
        <v>0.36199999999999999</v>
      </c>
      <c r="D172" s="1">
        <v>2.3765942081809044E-2</v>
      </c>
      <c r="E172">
        <f t="shared" si="20"/>
        <v>1784</v>
      </c>
      <c r="F172">
        <f t="shared" si="21"/>
        <v>1.9265942081809043E-2</v>
      </c>
      <c r="I172">
        <f t="shared" si="18"/>
        <v>0.57399220336973666</v>
      </c>
      <c r="K172">
        <f t="shared" si="22"/>
        <v>0.58096647440335158</v>
      </c>
      <c r="L172">
        <f t="shared" si="23"/>
        <v>-0.5989440985726604</v>
      </c>
      <c r="N172">
        <v>1776.6302800000001</v>
      </c>
      <c r="O172">
        <f t="shared" si="24"/>
        <v>8.8831514000000009</v>
      </c>
      <c r="Q172">
        <v>1691.2392500000001</v>
      </c>
      <c r="R172">
        <f t="shared" si="25"/>
        <v>8.4561962499999996</v>
      </c>
    </row>
    <row r="173" spans="1:18" x14ac:dyDescent="0.3">
      <c r="A173">
        <v>8.9700000000000006</v>
      </c>
      <c r="B173">
        <f t="shared" si="19"/>
        <v>1794.0000000000002</v>
      </c>
      <c r="C173">
        <v>0.36099999999999999</v>
      </c>
      <c r="D173" s="1">
        <v>2.4312430992722511E-2</v>
      </c>
      <c r="E173">
        <f t="shared" si="20"/>
        <v>1794.0000000000002</v>
      </c>
      <c r="F173">
        <f t="shared" si="21"/>
        <v>1.9812430992722511E-2</v>
      </c>
      <c r="I173">
        <f t="shared" si="18"/>
        <v>0.57908250600472089</v>
      </c>
      <c r="K173">
        <f t="shared" si="22"/>
        <v>0.58623479359309372</v>
      </c>
      <c r="L173">
        <f t="shared" si="23"/>
        <v>-0.59367577938291827</v>
      </c>
      <c r="N173">
        <v>1786.7121</v>
      </c>
      <c r="O173">
        <f t="shared" si="24"/>
        <v>8.9335605000000005</v>
      </c>
      <c r="Q173">
        <v>1700.8829599999999</v>
      </c>
      <c r="R173">
        <f t="shared" si="25"/>
        <v>8.5044147999999993</v>
      </c>
    </row>
    <row r="174" spans="1:18" x14ac:dyDescent="0.3">
      <c r="A174">
        <v>9.02</v>
      </c>
      <c r="B174">
        <f t="shared" si="19"/>
        <v>1804</v>
      </c>
      <c r="C174">
        <v>0.35799999999999998</v>
      </c>
      <c r="D174" s="1">
        <v>2.4244915693998337E-2</v>
      </c>
      <c r="E174">
        <f t="shared" si="20"/>
        <v>1804</v>
      </c>
      <c r="F174">
        <f t="shared" si="21"/>
        <v>1.9744915693998336E-2</v>
      </c>
      <c r="I174">
        <f t="shared" si="18"/>
        <v>0.576689139559865</v>
      </c>
      <c r="K174">
        <f t="shared" si="22"/>
        <v>0.58375781937831639</v>
      </c>
      <c r="L174">
        <f t="shared" si="23"/>
        <v>-0.59615275359769559</v>
      </c>
      <c r="N174">
        <v>1796.79394</v>
      </c>
      <c r="O174">
        <f t="shared" si="24"/>
        <v>8.9839696999999994</v>
      </c>
      <c r="Q174">
        <v>1710.7215100000001</v>
      </c>
      <c r="R174">
        <f t="shared" si="25"/>
        <v>8.5536075500000006</v>
      </c>
    </row>
    <row r="175" spans="1:18" x14ac:dyDescent="0.3">
      <c r="A175">
        <v>9.07</v>
      </c>
      <c r="B175">
        <f t="shared" si="19"/>
        <v>1814</v>
      </c>
      <c r="C175">
        <v>0.35599999999999998</v>
      </c>
      <c r="D175" s="1">
        <v>2.4329442530870438E-2</v>
      </c>
      <c r="E175">
        <f t="shared" si="20"/>
        <v>1814</v>
      </c>
      <c r="F175">
        <f t="shared" si="21"/>
        <v>1.9829442530870437E-2</v>
      </c>
      <c r="I175">
        <f t="shared" si="18"/>
        <v>0.57666804375499492</v>
      </c>
      <c r="K175">
        <f t="shared" si="22"/>
        <v>0.58372732529598481</v>
      </c>
      <c r="L175">
        <f t="shared" si="23"/>
        <v>-0.59618324768002717</v>
      </c>
      <c r="N175">
        <v>1807.3849600000001</v>
      </c>
      <c r="O175">
        <f t="shared" si="24"/>
        <v>9.0369248000000013</v>
      </c>
      <c r="Q175">
        <v>1720.4625599999999</v>
      </c>
      <c r="R175">
        <f t="shared" si="25"/>
        <v>8.6023128</v>
      </c>
    </row>
    <row r="176" spans="1:18" x14ac:dyDescent="0.3">
      <c r="A176">
        <v>9.1199999999999992</v>
      </c>
      <c r="B176">
        <f t="shared" si="19"/>
        <v>1823.9999999999998</v>
      </c>
      <c r="C176">
        <v>0.35399999999999998</v>
      </c>
      <c r="D176" s="1">
        <v>2.4736572057008743E-2</v>
      </c>
      <c r="E176">
        <f t="shared" si="20"/>
        <v>1823.9999999999998</v>
      </c>
      <c r="F176">
        <f t="shared" si="21"/>
        <v>2.0236572057008743E-2</v>
      </c>
      <c r="I176">
        <f t="shared" si="18"/>
        <v>0.57959753715991968</v>
      </c>
      <c r="K176">
        <f t="shared" si="22"/>
        <v>0.58676128366810076</v>
      </c>
      <c r="L176">
        <f t="shared" si="23"/>
        <v>-0.59314928930791122</v>
      </c>
      <c r="N176">
        <v>1817.4667999999999</v>
      </c>
      <c r="O176">
        <f t="shared" si="24"/>
        <v>9.0873340000000002</v>
      </c>
      <c r="Q176">
        <v>1730.1062400000001</v>
      </c>
      <c r="R176">
        <f t="shared" si="25"/>
        <v>8.6505311999999996</v>
      </c>
    </row>
    <row r="177" spans="1:18" x14ac:dyDescent="0.3">
      <c r="A177">
        <v>9.17</v>
      </c>
      <c r="B177">
        <f t="shared" si="19"/>
        <v>1834</v>
      </c>
      <c r="C177">
        <v>0.35199999999999998</v>
      </c>
      <c r="D177" s="1">
        <v>2.427547425031662E-2</v>
      </c>
      <c r="E177">
        <f t="shared" si="20"/>
        <v>1834</v>
      </c>
      <c r="F177">
        <f t="shared" si="21"/>
        <v>1.9775474250316619E-2</v>
      </c>
      <c r="I177">
        <f t="shared" si="18"/>
        <v>0.57460609887540337</v>
      </c>
      <c r="K177">
        <f t="shared" si="22"/>
        <v>0.58156706581151485</v>
      </c>
      <c r="L177">
        <f t="shared" si="23"/>
        <v>-0.59834350716449713</v>
      </c>
      <c r="N177">
        <v>1828.36348</v>
      </c>
      <c r="O177">
        <f t="shared" si="24"/>
        <v>9.1418174000000008</v>
      </c>
      <c r="Q177">
        <v>1740.04215</v>
      </c>
      <c r="R177">
        <f t="shared" si="25"/>
        <v>8.7002107500000001</v>
      </c>
    </row>
    <row r="178" spans="1:18" x14ac:dyDescent="0.3">
      <c r="A178">
        <v>9.2200000000000006</v>
      </c>
      <c r="B178">
        <f t="shared" si="19"/>
        <v>1844.0000000000002</v>
      </c>
      <c r="C178">
        <v>0.35</v>
      </c>
      <c r="D178" s="1">
        <v>2.4188827723264694E-2</v>
      </c>
      <c r="E178">
        <f t="shared" si="20"/>
        <v>1844.0000000000002</v>
      </c>
      <c r="F178">
        <f t="shared" si="21"/>
        <v>1.9688827723264694E-2</v>
      </c>
      <c r="I178">
        <f t="shared" si="18"/>
        <v>0.57302099160850051</v>
      </c>
      <c r="K178">
        <f t="shared" si="22"/>
        <v>0.57991208131164318</v>
      </c>
      <c r="L178">
        <f t="shared" si="23"/>
        <v>-0.5999984916643688</v>
      </c>
      <c r="N178">
        <v>1838.5468800000001</v>
      </c>
      <c r="O178">
        <f t="shared" si="24"/>
        <v>9.1927344000000009</v>
      </c>
      <c r="Q178">
        <v>1750.4650899999999</v>
      </c>
      <c r="R178">
        <f t="shared" si="25"/>
        <v>8.752325449999999</v>
      </c>
    </row>
    <row r="179" spans="1:18" x14ac:dyDescent="0.3">
      <c r="A179">
        <v>9.2799999999999994</v>
      </c>
      <c r="B179">
        <f t="shared" si="19"/>
        <v>1855.9999999999998</v>
      </c>
      <c r="C179">
        <v>0.34799999999999998</v>
      </c>
      <c r="D179" s="1">
        <v>2.4591587483882904E-2</v>
      </c>
      <c r="E179">
        <f t="shared" si="20"/>
        <v>1855.9999999999998</v>
      </c>
      <c r="F179">
        <f t="shared" si="21"/>
        <v>2.0091587483882904E-2</v>
      </c>
      <c r="I179">
        <f t="shared" si="18"/>
        <v>0.57620993185043334</v>
      </c>
      <c r="K179">
        <f t="shared" si="22"/>
        <v>0.5832018042948246</v>
      </c>
      <c r="L179">
        <f t="shared" si="23"/>
        <v>-0.59670876868118738</v>
      </c>
      <c r="N179">
        <v>1849.0361399999999</v>
      </c>
      <c r="O179">
        <f t="shared" si="24"/>
        <v>9.2451806999999988</v>
      </c>
      <c r="Q179">
        <v>1760.69336</v>
      </c>
      <c r="R179">
        <f t="shared" si="25"/>
        <v>8.8034668000000007</v>
      </c>
    </row>
    <row r="180" spans="1:18" x14ac:dyDescent="0.3">
      <c r="A180">
        <v>9.33</v>
      </c>
      <c r="B180">
        <f t="shared" si="19"/>
        <v>1866</v>
      </c>
      <c r="C180">
        <v>0.34599999999999997</v>
      </c>
      <c r="D180" s="1">
        <v>2.4872282519936562E-2</v>
      </c>
      <c r="E180">
        <f t="shared" si="20"/>
        <v>1866</v>
      </c>
      <c r="F180">
        <f t="shared" si="21"/>
        <v>2.0372282519936561E-2</v>
      </c>
      <c r="I180">
        <f t="shared" si="18"/>
        <v>0.57805839591100816</v>
      </c>
      <c r="K180">
        <f t="shared" si="22"/>
        <v>0.58510720566290619</v>
      </c>
      <c r="L180">
        <f t="shared" si="23"/>
        <v>-0.59480336731310579</v>
      </c>
      <c r="N180">
        <v>1859.11796</v>
      </c>
      <c r="O180">
        <f t="shared" si="24"/>
        <v>9.2955898000000001</v>
      </c>
      <c r="Q180">
        <v>1770.82412</v>
      </c>
      <c r="R180">
        <f t="shared" si="25"/>
        <v>8.8541205999999999</v>
      </c>
    </row>
    <row r="181" spans="1:18" x14ac:dyDescent="0.3">
      <c r="A181">
        <v>9.3800000000000008</v>
      </c>
      <c r="B181">
        <f t="shared" si="19"/>
        <v>1876.0000000000002</v>
      </c>
      <c r="C181">
        <v>0.34300000000000003</v>
      </c>
      <c r="D181" s="1">
        <v>2.4994742125272751E-2</v>
      </c>
      <c r="E181">
        <f t="shared" si="20"/>
        <v>1876.0000000000002</v>
      </c>
      <c r="F181">
        <f t="shared" si="21"/>
        <v>2.049474212527275E-2</v>
      </c>
      <c r="I181">
        <f t="shared" si="18"/>
        <v>0.57745068113505849</v>
      </c>
      <c r="K181">
        <f t="shared" si="22"/>
        <v>0.58448037768402705</v>
      </c>
      <c r="L181">
        <f t="shared" si="23"/>
        <v>-0.59543019529198493</v>
      </c>
      <c r="N181">
        <v>1870.1164000000001</v>
      </c>
      <c r="O181">
        <f t="shared" si="24"/>
        <v>9.3505820000000011</v>
      </c>
      <c r="Q181">
        <v>1780.85735</v>
      </c>
      <c r="R181">
        <f t="shared" si="25"/>
        <v>8.9042867500000007</v>
      </c>
    </row>
    <row r="182" spans="1:18" x14ac:dyDescent="0.3">
      <c r="A182">
        <v>9.43</v>
      </c>
      <c r="B182">
        <f t="shared" si="19"/>
        <v>1886</v>
      </c>
      <c r="C182">
        <v>0.34100000000000003</v>
      </c>
      <c r="D182" s="1">
        <v>2.505173347890377E-2</v>
      </c>
      <c r="E182">
        <f t="shared" si="20"/>
        <v>1886</v>
      </c>
      <c r="F182">
        <f t="shared" si="21"/>
        <v>2.055173347890377E-2</v>
      </c>
      <c r="I182">
        <f t="shared" si="18"/>
        <v>0.5772378467060626</v>
      </c>
      <c r="K182">
        <f t="shared" si="22"/>
        <v>0.58424598782236881</v>
      </c>
      <c r="L182">
        <f t="shared" si="23"/>
        <v>-0.59566458515364318</v>
      </c>
      <c r="N182">
        <v>1880.60546</v>
      </c>
      <c r="O182">
        <f t="shared" si="24"/>
        <v>9.4030272999999998</v>
      </c>
      <c r="Q182">
        <v>1791.08563</v>
      </c>
      <c r="R182">
        <f t="shared" si="25"/>
        <v>8.9554281499999995</v>
      </c>
    </row>
    <row r="183" spans="1:18" x14ac:dyDescent="0.3">
      <c r="A183">
        <v>9.48</v>
      </c>
      <c r="B183">
        <f t="shared" si="19"/>
        <v>1896</v>
      </c>
      <c r="C183">
        <v>0.33900000000000002</v>
      </c>
      <c r="D183" s="1">
        <v>2.4565804749727249E-2</v>
      </c>
      <c r="E183">
        <f t="shared" si="20"/>
        <v>1896</v>
      </c>
      <c r="F183">
        <f t="shared" si="21"/>
        <v>2.0065804749727249E-2</v>
      </c>
      <c r="I183">
        <f t="shared" si="18"/>
        <v>0.57188382902741441</v>
      </c>
      <c r="K183">
        <f t="shared" si="22"/>
        <v>0.57868613683757197</v>
      </c>
      <c r="L183">
        <f t="shared" si="23"/>
        <v>-0.60122443613844001</v>
      </c>
      <c r="N183">
        <v>1890.99296</v>
      </c>
      <c r="O183">
        <f t="shared" si="24"/>
        <v>9.4549648000000008</v>
      </c>
      <c r="Q183">
        <v>1800.7293199999999</v>
      </c>
      <c r="R183">
        <f t="shared" si="25"/>
        <v>9.0036465999999997</v>
      </c>
    </row>
    <row r="184" spans="1:18" x14ac:dyDescent="0.3">
      <c r="A184">
        <v>9.5299999999999994</v>
      </c>
      <c r="B184">
        <f t="shared" si="19"/>
        <v>1905.9999999999998</v>
      </c>
      <c r="C184">
        <v>0.33700000000000002</v>
      </c>
      <c r="D184" s="1">
        <v>2.4296250194311142E-2</v>
      </c>
      <c r="E184">
        <f t="shared" si="20"/>
        <v>1905.9999999999998</v>
      </c>
      <c r="F184">
        <f t="shared" si="21"/>
        <v>1.9796250194311141E-2</v>
      </c>
      <c r="I184">
        <f t="shared" si="18"/>
        <v>0.56854326435178515</v>
      </c>
      <c r="K184">
        <f t="shared" si="22"/>
        <v>0.57521460066726804</v>
      </c>
      <c r="L184">
        <f t="shared" si="23"/>
        <v>-0.60469597230874395</v>
      </c>
      <c r="N184">
        <v>1901.0748000000001</v>
      </c>
      <c r="O184">
        <f t="shared" si="24"/>
        <v>9.5053739999999998</v>
      </c>
      <c r="Q184">
        <v>1810.6652300000001</v>
      </c>
      <c r="R184">
        <f t="shared" si="25"/>
        <v>9.0533261500000002</v>
      </c>
    </row>
    <row r="185" spans="1:18" x14ac:dyDescent="0.3">
      <c r="A185">
        <v>9.58</v>
      </c>
      <c r="B185">
        <f t="shared" si="19"/>
        <v>1916</v>
      </c>
      <c r="C185">
        <v>0.33500000000000002</v>
      </c>
      <c r="D185" s="1">
        <v>2.4016488343477249E-2</v>
      </c>
      <c r="E185">
        <f t="shared" si="20"/>
        <v>1916</v>
      </c>
      <c r="F185">
        <f t="shared" si="21"/>
        <v>1.9516488343477249E-2</v>
      </c>
      <c r="I185">
        <f t="shared" si="18"/>
        <v>0.56507795833051211</v>
      </c>
      <c r="K185">
        <f t="shared" si="22"/>
        <v>0.57161598192557694</v>
      </c>
      <c r="L185">
        <f t="shared" si="23"/>
        <v>-0.60829459105043504</v>
      </c>
      <c r="N185">
        <v>1911.1566399999999</v>
      </c>
      <c r="O185">
        <f t="shared" si="24"/>
        <v>9.5557832000000005</v>
      </c>
      <c r="Q185">
        <v>1820.40644</v>
      </c>
      <c r="R185">
        <f t="shared" si="25"/>
        <v>9.1020322</v>
      </c>
    </row>
    <row r="186" spans="1:18" x14ac:dyDescent="0.3">
      <c r="A186">
        <v>9.6300000000000008</v>
      </c>
      <c r="B186">
        <f t="shared" si="19"/>
        <v>1926.0000000000002</v>
      </c>
      <c r="C186">
        <v>0.33300000000000002</v>
      </c>
      <c r="D186" s="1">
        <v>2.4950046092271805E-2</v>
      </c>
      <c r="E186">
        <f t="shared" si="20"/>
        <v>1926.0000000000002</v>
      </c>
      <c r="F186">
        <f t="shared" si="21"/>
        <v>2.0450046092271804E-2</v>
      </c>
      <c r="I186">
        <f t="shared" si="18"/>
        <v>0.57326894386857752</v>
      </c>
      <c r="K186">
        <f t="shared" si="22"/>
        <v>0.58007880921730404</v>
      </c>
      <c r="L186">
        <f t="shared" si="23"/>
        <v>-0.59983176375870795</v>
      </c>
      <c r="N186">
        <v>1921.74746</v>
      </c>
      <c r="O186">
        <f t="shared" si="24"/>
        <v>9.6087372999999996</v>
      </c>
      <c r="Q186">
        <v>1830.43967</v>
      </c>
      <c r="R186">
        <f t="shared" si="25"/>
        <v>9.152198349999999</v>
      </c>
    </row>
    <row r="187" spans="1:18" x14ac:dyDescent="0.3">
      <c r="A187">
        <v>9.69</v>
      </c>
      <c r="B187">
        <f t="shared" si="19"/>
        <v>1938</v>
      </c>
      <c r="C187">
        <v>0.33</v>
      </c>
      <c r="D187" s="1">
        <v>2.4746935814619064E-2</v>
      </c>
      <c r="E187">
        <f t="shared" si="20"/>
        <v>1938</v>
      </c>
      <c r="F187">
        <f t="shared" si="21"/>
        <v>2.0246935814619064E-2</v>
      </c>
      <c r="I187">
        <f t="shared" si="18"/>
        <v>0.56979780804365876</v>
      </c>
      <c r="K187">
        <f t="shared" si="22"/>
        <v>0.576479296862483</v>
      </c>
      <c r="L187">
        <f t="shared" si="23"/>
        <v>-0.60343127611352898</v>
      </c>
      <c r="N187">
        <v>1931.9312600000001</v>
      </c>
      <c r="O187">
        <f t="shared" si="24"/>
        <v>9.6596563</v>
      </c>
    </row>
    <row r="188" spans="1:18" x14ac:dyDescent="0.3">
      <c r="A188">
        <v>9.74</v>
      </c>
      <c r="B188">
        <f t="shared" si="19"/>
        <v>1948</v>
      </c>
      <c r="C188">
        <v>0.32800000000000001</v>
      </c>
      <c r="D188" s="1">
        <v>2.47977115213871E-2</v>
      </c>
      <c r="E188">
        <f t="shared" si="20"/>
        <v>1948</v>
      </c>
      <c r="F188">
        <f t="shared" si="21"/>
        <v>2.02977115213871E-2</v>
      </c>
      <c r="I188">
        <f t="shared" si="18"/>
        <v>0.56952971021831034</v>
      </c>
      <c r="K188">
        <f t="shared" si="22"/>
        <v>0.57618735959732525</v>
      </c>
      <c r="L188">
        <f t="shared" si="23"/>
        <v>-0.60372321337868673</v>
      </c>
      <c r="N188">
        <v>1942.4203199999999</v>
      </c>
      <c r="O188">
        <f t="shared" si="24"/>
        <v>9.7121016000000004</v>
      </c>
    </row>
    <row r="189" spans="1:18" x14ac:dyDescent="0.3">
      <c r="A189">
        <v>9.7899999999999991</v>
      </c>
      <c r="B189">
        <f t="shared" si="19"/>
        <v>1957.9999999999998</v>
      </c>
      <c r="C189">
        <v>0.32700000000000001</v>
      </c>
      <c r="D189" s="1">
        <v>2.4553913623094559E-2</v>
      </c>
      <c r="E189">
        <f t="shared" si="20"/>
        <v>1957.9999999999998</v>
      </c>
      <c r="F189">
        <f t="shared" si="21"/>
        <v>2.0053913623094558E-2</v>
      </c>
      <c r="I189">
        <f t="shared" si="18"/>
        <v>0.56738281437009574</v>
      </c>
      <c r="K189">
        <f t="shared" si="22"/>
        <v>0.57394044412484768</v>
      </c>
      <c r="L189">
        <f t="shared" si="23"/>
        <v>-0.6059701288511643</v>
      </c>
      <c r="N189">
        <v>1952.70606</v>
      </c>
      <c r="O189">
        <f t="shared" si="24"/>
        <v>9.7635302999999993</v>
      </c>
    </row>
    <row r="190" spans="1:18" x14ac:dyDescent="0.3">
      <c r="A190">
        <v>9.84</v>
      </c>
      <c r="B190">
        <f t="shared" si="19"/>
        <v>1968</v>
      </c>
      <c r="C190">
        <v>0.32400000000000001</v>
      </c>
      <c r="D190" s="1">
        <v>2.4869997054338455E-2</v>
      </c>
      <c r="E190">
        <f t="shared" si="20"/>
        <v>1968</v>
      </c>
      <c r="F190">
        <f t="shared" si="21"/>
        <v>2.0369997054338455E-2</v>
      </c>
      <c r="I190">
        <f t="shared" si="18"/>
        <v>0.56872077101469043</v>
      </c>
      <c r="K190">
        <f t="shared" si="22"/>
        <v>0.57532065006029609</v>
      </c>
      <c r="L190">
        <f t="shared" si="23"/>
        <v>-0.60458992291571589</v>
      </c>
      <c r="N190">
        <v>1962.8894600000001</v>
      </c>
      <c r="O190">
        <f t="shared" si="24"/>
        <v>9.8144473000000012</v>
      </c>
    </row>
    <row r="191" spans="1:18" x14ac:dyDescent="0.3">
      <c r="A191">
        <v>9.9</v>
      </c>
      <c r="B191">
        <f t="shared" si="19"/>
        <v>1980</v>
      </c>
      <c r="C191">
        <v>0.32200000000000001</v>
      </c>
      <c r="D191" s="1">
        <v>2.4348245933651924E-2</v>
      </c>
      <c r="E191">
        <f t="shared" si="20"/>
        <v>1980</v>
      </c>
      <c r="F191">
        <f t="shared" si="21"/>
        <v>1.9848245933651924E-2</v>
      </c>
      <c r="I191">
        <f t="shared" si="18"/>
        <v>0.56304763474315411</v>
      </c>
      <c r="K191">
        <f t="shared" si="22"/>
        <v>0.56943876993379006</v>
      </c>
      <c r="L191">
        <f t="shared" si="23"/>
        <v>-0.61047180304222193</v>
      </c>
      <c r="N191">
        <v>1973.0732399999999</v>
      </c>
      <c r="O191">
        <f t="shared" si="24"/>
        <v>9.8653662000000004</v>
      </c>
    </row>
    <row r="192" spans="1:18" x14ac:dyDescent="0.3">
      <c r="A192">
        <v>9.9499999999999993</v>
      </c>
      <c r="B192">
        <f t="shared" si="19"/>
        <v>1989.9999999999998</v>
      </c>
      <c r="C192">
        <v>0.32</v>
      </c>
      <c r="D192" s="1">
        <v>2.5444960221648216E-2</v>
      </c>
      <c r="E192">
        <f t="shared" si="20"/>
        <v>1989.9999999999998</v>
      </c>
      <c r="F192">
        <f t="shared" si="21"/>
        <v>2.0944960221648216E-2</v>
      </c>
      <c r="I192">
        <f t="shared" si="18"/>
        <v>0.57317735420539973</v>
      </c>
      <c r="K192">
        <f t="shared" si="22"/>
        <v>0.57987974147632715</v>
      </c>
      <c r="L192">
        <f t="shared" si="23"/>
        <v>-0.60003083149968484</v>
      </c>
      <c r="N192">
        <v>1983.25684</v>
      </c>
      <c r="O192">
        <f t="shared" si="24"/>
        <v>9.9162841999999998</v>
      </c>
    </row>
    <row r="193" spans="1:15" x14ac:dyDescent="0.3">
      <c r="A193">
        <v>10</v>
      </c>
      <c r="B193">
        <f t="shared" si="19"/>
        <v>2000</v>
      </c>
      <c r="C193">
        <v>0.317</v>
      </c>
      <c r="D193" s="1">
        <v>2.464304119348526E-2</v>
      </c>
      <c r="E193">
        <f t="shared" si="20"/>
        <v>2000</v>
      </c>
      <c r="F193">
        <f t="shared" si="21"/>
        <v>2.0143041193485259E-2</v>
      </c>
      <c r="I193">
        <f t="shared" si="18"/>
        <v>0.56343041193485255</v>
      </c>
      <c r="K193">
        <f t="shared" si="22"/>
        <v>0.56981575599318735</v>
      </c>
      <c r="L193">
        <f t="shared" si="23"/>
        <v>-0.61009481698282464</v>
      </c>
      <c r="N193">
        <v>1993.6443400000001</v>
      </c>
      <c r="O193">
        <f t="shared" si="24"/>
        <v>9.9682217000000009</v>
      </c>
    </row>
    <row r="194" spans="1:15" x14ac:dyDescent="0.3">
      <c r="A194">
        <v>10</v>
      </c>
      <c r="B194">
        <f t="shared" si="19"/>
        <v>2000</v>
      </c>
      <c r="C194">
        <v>0.315</v>
      </c>
      <c r="D194" s="1">
        <v>2.4760615080595016E-2</v>
      </c>
      <c r="E194">
        <f t="shared" si="20"/>
        <v>2000</v>
      </c>
      <c r="F194">
        <f t="shared" si="21"/>
        <v>2.0260615080595016E-2</v>
      </c>
      <c r="I194">
        <f t="shared" ref="I194:I223" si="26">C194+(D194*A194)</f>
        <v>0.56260615080595011</v>
      </c>
      <c r="K194">
        <f t="shared" si="22"/>
        <v>0.56898824455633756</v>
      </c>
      <c r="L194">
        <f t="shared" si="23"/>
        <v>-0.61092232841967442</v>
      </c>
      <c r="N194">
        <v>2004.2352000000001</v>
      </c>
      <c r="O194">
        <f t="shared" si="24"/>
        <v>10.021176000000001</v>
      </c>
    </row>
    <row r="195" spans="1:15" x14ac:dyDescent="0.3">
      <c r="A195">
        <v>10.1</v>
      </c>
      <c r="B195">
        <f t="shared" ref="B195:B223" si="27">A195*200</f>
        <v>2020</v>
      </c>
      <c r="C195">
        <v>0.313</v>
      </c>
      <c r="D195" s="1">
        <v>2.4760615080595016E-2</v>
      </c>
      <c r="E195">
        <f t="shared" ref="E195:E223" si="28">B195</f>
        <v>2020</v>
      </c>
      <c r="F195">
        <f t="shared" ref="F195" si="29">D195-0.0045</f>
        <v>2.0260615080595016E-2</v>
      </c>
      <c r="I195">
        <f t="shared" si="26"/>
        <v>0.56308221231400968</v>
      </c>
      <c r="K195">
        <f t="shared" ref="K195:K223" si="30">I195+(F195*C195)</f>
        <v>0.56942378483423595</v>
      </c>
      <c r="L195">
        <f t="shared" ref="L195:L223" si="31">K195-$I$1</f>
        <v>-0.61048678814177604</v>
      </c>
      <c r="N195">
        <v>2014.4190000000001</v>
      </c>
      <c r="O195">
        <f t="shared" ref="O195:O232" si="32">N195/200</f>
        <v>10.072095000000001</v>
      </c>
    </row>
    <row r="196" spans="1:15" x14ac:dyDescent="0.3">
      <c r="A196">
        <v>10.199999999999999</v>
      </c>
      <c r="B196">
        <f t="shared" si="27"/>
        <v>2039.9999999999998</v>
      </c>
      <c r="C196">
        <v>0.311</v>
      </c>
      <c r="D196" s="1">
        <v>2.4E-2</v>
      </c>
      <c r="E196">
        <f t="shared" si="28"/>
        <v>2039.9999999999998</v>
      </c>
      <c r="F196">
        <v>2.0369997054338455E-2</v>
      </c>
      <c r="I196">
        <f t="shared" si="26"/>
        <v>0.55579999999999996</v>
      </c>
      <c r="K196">
        <f t="shared" si="30"/>
        <v>0.56213506908389921</v>
      </c>
      <c r="L196">
        <f t="shared" si="31"/>
        <v>-0.61777550389211278</v>
      </c>
      <c r="N196">
        <v>2024.6025999999999</v>
      </c>
      <c r="O196">
        <f t="shared" si="32"/>
        <v>10.123013</v>
      </c>
    </row>
    <row r="197" spans="1:15" x14ac:dyDescent="0.3">
      <c r="A197">
        <v>10.199999999999999</v>
      </c>
      <c r="B197">
        <f t="shared" si="27"/>
        <v>2039.9999999999998</v>
      </c>
      <c r="C197">
        <v>0.309</v>
      </c>
      <c r="D197" s="1">
        <v>2.4E-2</v>
      </c>
      <c r="E197">
        <f t="shared" si="28"/>
        <v>2039.9999999999998</v>
      </c>
      <c r="F197">
        <v>1.9848245933651924E-2</v>
      </c>
      <c r="I197">
        <f t="shared" si="26"/>
        <v>0.55379999999999996</v>
      </c>
      <c r="K197">
        <f t="shared" si="30"/>
        <v>0.55993310799349838</v>
      </c>
      <c r="L197">
        <f t="shared" si="31"/>
        <v>-0.6199774649825136</v>
      </c>
      <c r="N197">
        <v>2035.0917999999999</v>
      </c>
      <c r="O197">
        <f t="shared" si="32"/>
        <v>10.175459</v>
      </c>
    </row>
    <row r="198" spans="1:15" x14ac:dyDescent="0.3">
      <c r="A198">
        <v>10.3</v>
      </c>
      <c r="B198">
        <f t="shared" si="27"/>
        <v>2060</v>
      </c>
      <c r="C198">
        <v>0.30599999999999999</v>
      </c>
      <c r="D198" s="1">
        <v>2.4E-2</v>
      </c>
      <c r="E198">
        <f t="shared" si="28"/>
        <v>2060</v>
      </c>
      <c r="F198">
        <v>2.0944960221648216E-2</v>
      </c>
      <c r="I198">
        <f t="shared" si="26"/>
        <v>0.55320000000000003</v>
      </c>
      <c r="K198">
        <f t="shared" si="30"/>
        <v>0.55960915782782439</v>
      </c>
      <c r="L198">
        <f t="shared" si="31"/>
        <v>-0.6203014151481876</v>
      </c>
      <c r="N198">
        <v>2045.1733999999999</v>
      </c>
      <c r="O198">
        <f t="shared" si="32"/>
        <v>10.225866999999999</v>
      </c>
    </row>
    <row r="199" spans="1:15" x14ac:dyDescent="0.3">
      <c r="A199">
        <v>10.3</v>
      </c>
      <c r="B199">
        <f t="shared" si="27"/>
        <v>2060</v>
      </c>
      <c r="C199">
        <v>0.30399999999999999</v>
      </c>
      <c r="D199" s="1">
        <v>2.4E-2</v>
      </c>
      <c r="E199">
        <f t="shared" si="28"/>
        <v>2060</v>
      </c>
      <c r="F199">
        <v>2.0143041193485259E-2</v>
      </c>
      <c r="I199">
        <f t="shared" si="26"/>
        <v>0.55120000000000002</v>
      </c>
      <c r="K199">
        <f t="shared" si="30"/>
        <v>0.55732348452281955</v>
      </c>
      <c r="L199">
        <f t="shared" si="31"/>
        <v>-0.62258708845319244</v>
      </c>
      <c r="N199">
        <v>2056.0700000000002</v>
      </c>
      <c r="O199">
        <f t="shared" si="32"/>
        <v>10.28035</v>
      </c>
    </row>
    <row r="200" spans="1:15" x14ac:dyDescent="0.3">
      <c r="A200">
        <v>10.4</v>
      </c>
      <c r="B200">
        <f t="shared" si="27"/>
        <v>2080</v>
      </c>
      <c r="C200">
        <v>0.30099999999999999</v>
      </c>
      <c r="D200" s="1">
        <v>2.4E-2</v>
      </c>
      <c r="E200">
        <f t="shared" si="28"/>
        <v>2080</v>
      </c>
      <c r="F200">
        <v>1.9744915693998336E-2</v>
      </c>
      <c r="I200">
        <f t="shared" si="26"/>
        <v>0.55059999999999998</v>
      </c>
      <c r="K200">
        <f t="shared" si="30"/>
        <v>0.55654321962389353</v>
      </c>
      <c r="L200">
        <f t="shared" si="31"/>
        <v>-0.62336735335211846</v>
      </c>
      <c r="N200">
        <v>2066.1518000000001</v>
      </c>
      <c r="O200">
        <f t="shared" si="32"/>
        <v>10.330759</v>
      </c>
    </row>
    <row r="201" spans="1:15" x14ac:dyDescent="0.3">
      <c r="A201">
        <v>10.4</v>
      </c>
      <c r="B201">
        <f t="shared" si="27"/>
        <v>2080</v>
      </c>
      <c r="C201">
        <v>0.29899999999999999</v>
      </c>
      <c r="D201" s="1">
        <v>2.4E-2</v>
      </c>
      <c r="E201">
        <f t="shared" si="28"/>
        <v>2080</v>
      </c>
      <c r="F201">
        <v>1.9829442530870437E-2</v>
      </c>
      <c r="I201">
        <f t="shared" si="26"/>
        <v>0.54859999999999998</v>
      </c>
      <c r="K201">
        <f t="shared" si="30"/>
        <v>0.55452900331673027</v>
      </c>
      <c r="L201">
        <f t="shared" si="31"/>
        <v>-0.62538156965928171</v>
      </c>
      <c r="N201">
        <v>2076.2338</v>
      </c>
      <c r="O201">
        <f t="shared" si="32"/>
        <v>10.381169</v>
      </c>
    </row>
    <row r="202" spans="1:15" x14ac:dyDescent="0.3">
      <c r="A202">
        <v>10.5</v>
      </c>
      <c r="B202">
        <f t="shared" si="27"/>
        <v>2100</v>
      </c>
      <c r="C202">
        <v>0.29699999999999999</v>
      </c>
      <c r="D202" s="1">
        <v>2.4E-2</v>
      </c>
      <c r="E202">
        <f t="shared" si="28"/>
        <v>2100</v>
      </c>
      <c r="F202">
        <v>2.0236572057008743E-2</v>
      </c>
      <c r="I202">
        <f t="shared" si="26"/>
        <v>0.54899999999999993</v>
      </c>
      <c r="K202">
        <f t="shared" si="30"/>
        <v>0.5550102619009315</v>
      </c>
      <c r="L202">
        <f t="shared" si="31"/>
        <v>-0.62490031107508048</v>
      </c>
      <c r="N202">
        <v>2086.5194000000001</v>
      </c>
      <c r="O202">
        <f t="shared" si="32"/>
        <v>10.432597000000001</v>
      </c>
    </row>
    <row r="203" spans="1:15" x14ac:dyDescent="0.3">
      <c r="A203">
        <v>10.5</v>
      </c>
      <c r="B203">
        <f t="shared" si="27"/>
        <v>2100</v>
      </c>
      <c r="C203">
        <v>0.29499999999999998</v>
      </c>
      <c r="D203" s="1">
        <v>2.4E-2</v>
      </c>
      <c r="E203">
        <f t="shared" si="28"/>
        <v>2100</v>
      </c>
      <c r="F203">
        <v>1.9775474250316619E-2</v>
      </c>
      <c r="I203">
        <f t="shared" si="26"/>
        <v>0.54699999999999993</v>
      </c>
      <c r="K203">
        <f t="shared" si="30"/>
        <v>0.55283376490384328</v>
      </c>
      <c r="L203">
        <f t="shared" si="31"/>
        <v>-0.6270768080721687</v>
      </c>
      <c r="N203">
        <v>2097.1102000000001</v>
      </c>
      <c r="O203">
        <f t="shared" si="32"/>
        <v>10.485551000000001</v>
      </c>
    </row>
    <row r="204" spans="1:15" x14ac:dyDescent="0.3">
      <c r="A204">
        <v>10.6</v>
      </c>
      <c r="B204">
        <f t="shared" si="27"/>
        <v>2120</v>
      </c>
      <c r="C204">
        <v>0.29299999999999998</v>
      </c>
      <c r="D204" s="1">
        <v>2.4E-2</v>
      </c>
      <c r="E204">
        <f t="shared" si="28"/>
        <v>2120</v>
      </c>
      <c r="F204">
        <v>1.9688827723264694E-2</v>
      </c>
      <c r="I204">
        <f t="shared" si="26"/>
        <v>0.5474</v>
      </c>
      <c r="K204">
        <f t="shared" si="30"/>
        <v>0.55316882652291655</v>
      </c>
      <c r="L204">
        <f t="shared" si="31"/>
        <v>-0.62674174645309544</v>
      </c>
      <c r="N204">
        <v>2107.2939999999999</v>
      </c>
      <c r="O204">
        <f t="shared" si="32"/>
        <v>10.53647</v>
      </c>
    </row>
    <row r="205" spans="1:15" x14ac:dyDescent="0.3">
      <c r="A205">
        <v>10.6</v>
      </c>
      <c r="B205">
        <f t="shared" si="27"/>
        <v>2120</v>
      </c>
      <c r="C205">
        <v>0.29099999999999998</v>
      </c>
      <c r="D205" s="1">
        <v>2.4E-2</v>
      </c>
      <c r="E205">
        <f t="shared" si="28"/>
        <v>2120</v>
      </c>
      <c r="F205">
        <v>2.0091587483882904E-2</v>
      </c>
      <c r="I205">
        <f t="shared" si="26"/>
        <v>0.5454</v>
      </c>
      <c r="K205">
        <f t="shared" si="30"/>
        <v>0.55124665195780997</v>
      </c>
      <c r="L205">
        <f t="shared" si="31"/>
        <v>-0.62866392101820201</v>
      </c>
      <c r="N205">
        <v>2117.4776000000002</v>
      </c>
      <c r="O205">
        <f t="shared" si="32"/>
        <v>10.587388000000001</v>
      </c>
    </row>
    <row r="206" spans="1:15" x14ac:dyDescent="0.3">
      <c r="A206">
        <v>10.7</v>
      </c>
      <c r="B206">
        <f t="shared" si="27"/>
        <v>2140</v>
      </c>
      <c r="C206">
        <v>0.28799999999999998</v>
      </c>
      <c r="D206" s="1">
        <v>2.4E-2</v>
      </c>
      <c r="E206">
        <f t="shared" si="28"/>
        <v>2140</v>
      </c>
      <c r="F206">
        <v>2.0372282519936561E-2</v>
      </c>
      <c r="I206">
        <f t="shared" si="26"/>
        <v>0.54479999999999995</v>
      </c>
      <c r="K206">
        <f t="shared" si="30"/>
        <v>0.55066721736574165</v>
      </c>
      <c r="L206">
        <f t="shared" si="31"/>
        <v>-0.62924335561027034</v>
      </c>
      <c r="N206">
        <v>2127.6614</v>
      </c>
      <c r="O206">
        <f t="shared" si="32"/>
        <v>10.638306999999999</v>
      </c>
    </row>
    <row r="207" spans="1:15" x14ac:dyDescent="0.3">
      <c r="A207">
        <v>10.7</v>
      </c>
      <c r="B207">
        <f t="shared" si="27"/>
        <v>2140</v>
      </c>
      <c r="C207">
        <v>0.28599999999999998</v>
      </c>
      <c r="D207" s="1">
        <v>2.4E-2</v>
      </c>
      <c r="E207">
        <f t="shared" si="28"/>
        <v>2140</v>
      </c>
      <c r="F207">
        <v>2.0065804749727249E-2</v>
      </c>
      <c r="I207">
        <f t="shared" si="26"/>
        <v>0.54279999999999995</v>
      </c>
      <c r="K207">
        <f t="shared" si="30"/>
        <v>0.54853882015842192</v>
      </c>
      <c r="L207">
        <f t="shared" si="31"/>
        <v>-0.63137175281759006</v>
      </c>
      <c r="N207">
        <v>2138.6596</v>
      </c>
      <c r="O207">
        <f t="shared" si="32"/>
        <v>10.693298</v>
      </c>
    </row>
    <row r="208" spans="1:15" x14ac:dyDescent="0.3">
      <c r="A208">
        <v>10.8</v>
      </c>
      <c r="B208">
        <f t="shared" si="27"/>
        <v>2160</v>
      </c>
      <c r="C208">
        <v>0.28399999999999997</v>
      </c>
      <c r="D208" s="1">
        <v>2.4E-2</v>
      </c>
      <c r="E208">
        <f t="shared" si="28"/>
        <v>2160</v>
      </c>
      <c r="F208">
        <v>1.9796250194311141E-2</v>
      </c>
      <c r="I208">
        <f t="shared" si="26"/>
        <v>0.54320000000000002</v>
      </c>
      <c r="K208">
        <f t="shared" si="30"/>
        <v>0.5488221350551844</v>
      </c>
      <c r="L208">
        <f t="shared" si="31"/>
        <v>-0.63108843792082758</v>
      </c>
      <c r="N208">
        <v>2149.3524000000002</v>
      </c>
      <c r="O208">
        <f t="shared" si="32"/>
        <v>10.746762</v>
      </c>
    </row>
    <row r="209" spans="1:15" x14ac:dyDescent="0.3">
      <c r="A209">
        <v>10.8</v>
      </c>
      <c r="B209">
        <f t="shared" si="27"/>
        <v>2160</v>
      </c>
      <c r="C209">
        <v>0.28199999999999997</v>
      </c>
      <c r="D209" s="1">
        <v>2.4E-2</v>
      </c>
      <c r="E209">
        <f t="shared" si="28"/>
        <v>2160</v>
      </c>
      <c r="F209">
        <v>1.9516488343477249E-2</v>
      </c>
      <c r="I209">
        <f t="shared" si="26"/>
        <v>0.54120000000000001</v>
      </c>
      <c r="K209">
        <f t="shared" si="30"/>
        <v>0.54670364971286056</v>
      </c>
      <c r="L209">
        <f t="shared" si="31"/>
        <v>-0.63320692326315142</v>
      </c>
      <c r="N209">
        <v>2159.4342000000001</v>
      </c>
      <c r="O209">
        <f t="shared" si="32"/>
        <v>10.797171000000001</v>
      </c>
    </row>
    <row r="210" spans="1:15" x14ac:dyDescent="0.3">
      <c r="A210">
        <v>10.9</v>
      </c>
      <c r="B210">
        <f t="shared" si="27"/>
        <v>2180</v>
      </c>
      <c r="C210">
        <v>0.27900000000000003</v>
      </c>
      <c r="D210" s="1">
        <v>2.4E-2</v>
      </c>
      <c r="E210">
        <f t="shared" si="28"/>
        <v>2180</v>
      </c>
      <c r="F210">
        <v>2.0450046092271804E-2</v>
      </c>
      <c r="I210">
        <f t="shared" si="26"/>
        <v>0.54059999999999997</v>
      </c>
      <c r="K210">
        <f t="shared" si="30"/>
        <v>0.54630556285974385</v>
      </c>
      <c r="L210">
        <f t="shared" si="31"/>
        <v>-0.63360501011626813</v>
      </c>
      <c r="N210">
        <v>2170.0252</v>
      </c>
      <c r="O210">
        <f t="shared" si="32"/>
        <v>10.850125999999999</v>
      </c>
    </row>
    <row r="211" spans="1:15" x14ac:dyDescent="0.3">
      <c r="A211">
        <v>10.9</v>
      </c>
      <c r="B211">
        <f t="shared" si="27"/>
        <v>2180</v>
      </c>
      <c r="C211">
        <v>0.27700000000000002</v>
      </c>
      <c r="D211" s="1">
        <v>2.4E-2</v>
      </c>
      <c r="E211">
        <f t="shared" si="28"/>
        <v>2180</v>
      </c>
      <c r="F211">
        <v>2.0246935814619064E-2</v>
      </c>
      <c r="I211">
        <f t="shared" si="26"/>
        <v>0.53859999999999997</v>
      </c>
      <c r="K211">
        <f t="shared" si="30"/>
        <v>0.5442084012206494</v>
      </c>
      <c r="L211">
        <f t="shared" si="31"/>
        <v>-0.63570217175536259</v>
      </c>
      <c r="N211">
        <v>2180.107</v>
      </c>
      <c r="O211">
        <f t="shared" si="32"/>
        <v>10.900535</v>
      </c>
    </row>
    <row r="212" spans="1:15" x14ac:dyDescent="0.3">
      <c r="A212">
        <v>11</v>
      </c>
      <c r="B212">
        <f t="shared" si="27"/>
        <v>2200</v>
      </c>
      <c r="C212">
        <v>0.27500000000000002</v>
      </c>
      <c r="D212" s="1">
        <v>2.4E-2</v>
      </c>
      <c r="E212">
        <f t="shared" si="28"/>
        <v>2200</v>
      </c>
      <c r="F212">
        <v>2.02977115213871E-2</v>
      </c>
      <c r="I212">
        <f t="shared" si="26"/>
        <v>0.53900000000000003</v>
      </c>
      <c r="K212">
        <f t="shared" si="30"/>
        <v>0.54458187066838148</v>
      </c>
      <c r="L212">
        <f t="shared" si="31"/>
        <v>-0.6353287023076305</v>
      </c>
      <c r="N212">
        <v>2190.6981999999998</v>
      </c>
      <c r="O212">
        <f t="shared" si="32"/>
        <v>10.953491</v>
      </c>
    </row>
    <row r="213" spans="1:15" x14ac:dyDescent="0.3">
      <c r="A213">
        <v>11</v>
      </c>
      <c r="B213">
        <f t="shared" si="27"/>
        <v>2200</v>
      </c>
      <c r="C213">
        <v>0.27200000000000002</v>
      </c>
      <c r="D213" s="1">
        <v>2.4E-2</v>
      </c>
      <c r="E213">
        <f t="shared" si="28"/>
        <v>2200</v>
      </c>
      <c r="F213">
        <v>2.0944960221648216E-2</v>
      </c>
      <c r="I213">
        <f t="shared" si="26"/>
        <v>0.53600000000000003</v>
      </c>
      <c r="K213">
        <f t="shared" si="30"/>
        <v>0.54169702918028839</v>
      </c>
      <c r="L213">
        <f t="shared" si="31"/>
        <v>-0.63821354379572359</v>
      </c>
      <c r="N213">
        <v>2200.7800000000002</v>
      </c>
      <c r="O213">
        <f t="shared" si="32"/>
        <v>11.003900000000002</v>
      </c>
    </row>
    <row r="214" spans="1:15" x14ac:dyDescent="0.3">
      <c r="A214">
        <v>11.1</v>
      </c>
      <c r="B214">
        <f t="shared" si="27"/>
        <v>2220</v>
      </c>
      <c r="C214">
        <v>0.27</v>
      </c>
      <c r="D214" s="1">
        <v>2.4E-2</v>
      </c>
      <c r="E214">
        <f t="shared" si="28"/>
        <v>2220</v>
      </c>
      <c r="F214">
        <v>2.0143041193485259E-2</v>
      </c>
      <c r="I214">
        <f t="shared" si="26"/>
        <v>0.53639999999999999</v>
      </c>
      <c r="K214">
        <f t="shared" si="30"/>
        <v>0.54183862112224102</v>
      </c>
      <c r="L214">
        <f t="shared" si="31"/>
        <v>-0.63807195185377097</v>
      </c>
      <c r="N214">
        <v>2211.0654</v>
      </c>
      <c r="O214">
        <f t="shared" si="32"/>
        <v>11.055327</v>
      </c>
    </row>
    <row r="215" spans="1:15" x14ac:dyDescent="0.3">
      <c r="A215">
        <v>11.1</v>
      </c>
      <c r="B215">
        <f t="shared" si="27"/>
        <v>2220</v>
      </c>
      <c r="C215">
        <v>0.26800000000000002</v>
      </c>
      <c r="D215" s="1">
        <v>2.4E-2</v>
      </c>
      <c r="E215">
        <f t="shared" si="28"/>
        <v>2220</v>
      </c>
      <c r="F215">
        <v>1.9744915693998336E-2</v>
      </c>
      <c r="I215">
        <f t="shared" si="26"/>
        <v>0.53439999999999999</v>
      </c>
      <c r="K215">
        <f t="shared" si="30"/>
        <v>0.53969163740599158</v>
      </c>
      <c r="L215">
        <f t="shared" si="31"/>
        <v>-0.64021893557002041</v>
      </c>
      <c r="N215">
        <v>2221.1469999999999</v>
      </c>
      <c r="O215">
        <f t="shared" si="32"/>
        <v>11.105734999999999</v>
      </c>
    </row>
    <row r="216" spans="1:15" x14ac:dyDescent="0.3">
      <c r="A216">
        <v>11.2</v>
      </c>
      <c r="B216">
        <f t="shared" si="27"/>
        <v>2240</v>
      </c>
      <c r="C216">
        <v>0.26500000000000001</v>
      </c>
      <c r="D216" s="1">
        <v>2.4E-2</v>
      </c>
      <c r="E216">
        <f t="shared" si="28"/>
        <v>2240</v>
      </c>
      <c r="F216">
        <v>1.9829442530870437E-2</v>
      </c>
      <c r="I216">
        <f t="shared" si="26"/>
        <v>0.53380000000000005</v>
      </c>
      <c r="K216">
        <f t="shared" si="30"/>
        <v>0.5390548022706807</v>
      </c>
      <c r="L216">
        <f t="shared" si="31"/>
        <v>-0.64085577070533128</v>
      </c>
      <c r="N216">
        <v>2231.6363999999999</v>
      </c>
      <c r="O216">
        <f t="shared" si="32"/>
        <v>11.158182</v>
      </c>
    </row>
    <row r="217" spans="1:15" x14ac:dyDescent="0.3">
      <c r="A217">
        <v>11.2</v>
      </c>
      <c r="B217">
        <f t="shared" si="27"/>
        <v>2240</v>
      </c>
      <c r="C217">
        <v>0.26300000000000001</v>
      </c>
      <c r="D217" s="1">
        <v>2.4E-2</v>
      </c>
      <c r="E217">
        <f t="shared" si="28"/>
        <v>2240</v>
      </c>
      <c r="F217">
        <v>2.0236572057008743E-2</v>
      </c>
      <c r="I217">
        <f t="shared" si="26"/>
        <v>0.53180000000000005</v>
      </c>
      <c r="K217">
        <f t="shared" si="30"/>
        <v>0.53712221845099339</v>
      </c>
      <c r="L217">
        <f t="shared" si="31"/>
        <v>-0.64278835452501859</v>
      </c>
      <c r="N217">
        <v>2241.8200000000002</v>
      </c>
      <c r="O217">
        <f t="shared" si="32"/>
        <v>11.209100000000001</v>
      </c>
    </row>
    <row r="218" spans="1:15" x14ac:dyDescent="0.3">
      <c r="A218">
        <v>11.3</v>
      </c>
      <c r="B218">
        <f t="shared" si="27"/>
        <v>2260</v>
      </c>
      <c r="C218">
        <v>0.26100000000000001</v>
      </c>
      <c r="D218" s="1">
        <v>2.4E-2</v>
      </c>
      <c r="E218">
        <f t="shared" si="28"/>
        <v>2260</v>
      </c>
      <c r="F218">
        <v>1.9775474250316619E-2</v>
      </c>
      <c r="I218">
        <f t="shared" si="26"/>
        <v>0.53220000000000001</v>
      </c>
      <c r="K218">
        <f t="shared" si="30"/>
        <v>0.53736139877933264</v>
      </c>
      <c r="L218">
        <f t="shared" si="31"/>
        <v>-0.64254917419667934</v>
      </c>
      <c r="N218">
        <v>2252.3092000000001</v>
      </c>
      <c r="O218">
        <f t="shared" si="32"/>
        <v>11.261546000000001</v>
      </c>
    </row>
    <row r="219" spans="1:15" x14ac:dyDescent="0.3">
      <c r="A219">
        <v>11.4</v>
      </c>
      <c r="B219">
        <f t="shared" si="27"/>
        <v>2280</v>
      </c>
      <c r="C219">
        <v>0.25900000000000001</v>
      </c>
      <c r="D219" s="1">
        <v>2.4E-2</v>
      </c>
      <c r="E219">
        <f t="shared" si="28"/>
        <v>2280</v>
      </c>
      <c r="F219">
        <v>1.9688827723264694E-2</v>
      </c>
      <c r="I219">
        <f t="shared" si="26"/>
        <v>0.53259999999999996</v>
      </c>
      <c r="K219">
        <f t="shared" si="30"/>
        <v>0.53769940638032554</v>
      </c>
      <c r="L219">
        <f t="shared" si="31"/>
        <v>-0.64221116659568644</v>
      </c>
      <c r="N219">
        <v>2262.4929999999999</v>
      </c>
      <c r="O219">
        <f t="shared" si="32"/>
        <v>11.312465</v>
      </c>
    </row>
    <row r="220" spans="1:15" x14ac:dyDescent="0.3">
      <c r="A220">
        <v>11.4</v>
      </c>
      <c r="B220">
        <f t="shared" si="27"/>
        <v>2280</v>
      </c>
      <c r="C220">
        <v>0.25600000000000001</v>
      </c>
      <c r="D220" s="1">
        <v>2.4E-2</v>
      </c>
      <c r="E220">
        <f t="shared" si="28"/>
        <v>2280</v>
      </c>
      <c r="F220">
        <v>2.0091587483882904E-2</v>
      </c>
      <c r="I220">
        <f t="shared" si="26"/>
        <v>0.52960000000000007</v>
      </c>
      <c r="K220">
        <f t="shared" si="30"/>
        <v>0.53474344639587412</v>
      </c>
      <c r="L220">
        <f t="shared" si="31"/>
        <v>-0.64516712658013786</v>
      </c>
      <c r="N220">
        <v>2272.982</v>
      </c>
      <c r="O220">
        <f t="shared" si="32"/>
        <v>11.36491</v>
      </c>
    </row>
    <row r="221" spans="1:15" x14ac:dyDescent="0.3">
      <c r="A221">
        <v>11.5</v>
      </c>
      <c r="B221">
        <f t="shared" si="27"/>
        <v>2300</v>
      </c>
      <c r="C221">
        <v>0.254</v>
      </c>
      <c r="D221" s="1">
        <v>2.4E-2</v>
      </c>
      <c r="E221">
        <f t="shared" si="28"/>
        <v>2300</v>
      </c>
      <c r="F221">
        <v>2.0944960221648216E-2</v>
      </c>
      <c r="I221">
        <f t="shared" si="26"/>
        <v>0.53</v>
      </c>
      <c r="K221">
        <f t="shared" si="30"/>
        <v>0.53532001989629863</v>
      </c>
      <c r="L221">
        <f t="shared" si="31"/>
        <v>-0.64459055307971336</v>
      </c>
      <c r="N221">
        <v>2283.1658000000002</v>
      </c>
      <c r="O221">
        <f t="shared" si="32"/>
        <v>11.415829</v>
      </c>
    </row>
    <row r="222" spans="1:15" x14ac:dyDescent="0.3">
      <c r="A222">
        <v>11.5</v>
      </c>
      <c r="B222">
        <f t="shared" si="27"/>
        <v>2300</v>
      </c>
      <c r="C222">
        <v>0.252</v>
      </c>
      <c r="D222" s="1">
        <v>2.4E-2</v>
      </c>
      <c r="E222">
        <f t="shared" si="28"/>
        <v>2300</v>
      </c>
      <c r="F222">
        <v>2.0143041193485259E-2</v>
      </c>
      <c r="I222">
        <f t="shared" si="26"/>
        <v>0.52800000000000002</v>
      </c>
      <c r="K222">
        <f t="shared" si="30"/>
        <v>0.53307604638075834</v>
      </c>
      <c r="L222">
        <f t="shared" si="31"/>
        <v>-0.64683452659525364</v>
      </c>
      <c r="N222">
        <v>2293.4512</v>
      </c>
      <c r="O222">
        <f t="shared" si="32"/>
        <v>11.467255999999999</v>
      </c>
    </row>
    <row r="223" spans="1:15" x14ac:dyDescent="0.3">
      <c r="A223">
        <v>11.5</v>
      </c>
      <c r="B223">
        <f t="shared" si="27"/>
        <v>2300</v>
      </c>
      <c r="C223">
        <v>0.252</v>
      </c>
      <c r="D223" s="1">
        <v>2.4E-2</v>
      </c>
      <c r="E223">
        <f t="shared" si="28"/>
        <v>2300</v>
      </c>
      <c r="F223">
        <v>1.9744915693998336E-2</v>
      </c>
      <c r="I223">
        <f t="shared" si="26"/>
        <v>0.52800000000000002</v>
      </c>
      <c r="K223">
        <f t="shared" si="30"/>
        <v>0.53297571875488758</v>
      </c>
      <c r="L223">
        <f t="shared" si="31"/>
        <v>-0.6469348542211244</v>
      </c>
      <c r="N223">
        <v>2303.5331999999999</v>
      </c>
      <c r="O223">
        <f t="shared" si="32"/>
        <v>11.517665999999998</v>
      </c>
    </row>
    <row r="224" spans="1:15" x14ac:dyDescent="0.3">
      <c r="N224">
        <v>2314.1242000000002</v>
      </c>
      <c r="O224">
        <f t="shared" si="32"/>
        <v>11.570621000000001</v>
      </c>
    </row>
    <row r="225" spans="14:15" x14ac:dyDescent="0.3">
      <c r="N225">
        <v>2325.4281999999998</v>
      </c>
      <c r="O225">
        <f t="shared" si="32"/>
        <v>11.627141</v>
      </c>
    </row>
    <row r="226" spans="14:15" x14ac:dyDescent="0.3">
      <c r="N226">
        <v>2335.8152</v>
      </c>
      <c r="O226">
        <f t="shared" si="32"/>
        <v>11.679076</v>
      </c>
    </row>
    <row r="227" spans="14:15" x14ac:dyDescent="0.3">
      <c r="N227">
        <v>2345.9987999999998</v>
      </c>
      <c r="O227">
        <f t="shared" si="32"/>
        <v>11.729994</v>
      </c>
    </row>
    <row r="228" spans="14:15" x14ac:dyDescent="0.3">
      <c r="N228">
        <v>2356.7937999999999</v>
      </c>
      <c r="O228">
        <f t="shared" si="32"/>
        <v>11.783968999999999</v>
      </c>
    </row>
    <row r="229" spans="14:15" x14ac:dyDescent="0.3">
      <c r="N229">
        <v>2366.8755999999998</v>
      </c>
      <c r="O229">
        <f t="shared" si="32"/>
        <v>11.834377999999999</v>
      </c>
    </row>
    <row r="230" spans="14:15" x14ac:dyDescent="0.3">
      <c r="N230">
        <v>2377.0594000000001</v>
      </c>
      <c r="O230">
        <f t="shared" si="32"/>
        <v>11.885297000000001</v>
      </c>
    </row>
    <row r="231" spans="14:15" x14ac:dyDescent="0.3">
      <c r="N231">
        <v>2387.1410000000001</v>
      </c>
      <c r="O231">
        <f t="shared" si="32"/>
        <v>11.935705</v>
      </c>
    </row>
    <row r="232" spans="14:15" x14ac:dyDescent="0.3">
      <c r="N232">
        <v>2394.0659999999998</v>
      </c>
      <c r="O232">
        <f t="shared" si="32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2026-04-20T05:24:05Z</dcterms:modified>
</cp:coreProperties>
</file>