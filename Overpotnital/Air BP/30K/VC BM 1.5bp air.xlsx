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C11442A7-4BF5-490E-89E8-7754DAE30AAC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<sst xmlns="http://schemas.openxmlformats.org/spreadsheetml/2006/main" count="40" uniqueCount="36">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</sst>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45" zoomScale="55" zoomScaleNormal="55" workbookViewId="0">
      <selection activeCell="AB261" sqref="AB26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-0.29493000000000003</v>
      </c>
      <c r="AC3" t="s">
        <v>30</v>
      </c>
    </row>
    <row r="4" spans="1:29" x14ac:dyDescent="0.3">
      <c r="A4">
        <v>0.10557965</v>
      </c>
      <c r="B4">
        <v>0.86487999999999998</v>
      </c>
      <c r="C4">
        <f>A4*B4</f>
        <v>9.1313727691999996E-2</v>
      </c>
      <c r="D4">
        <v>1.5800000000000002E-2</v>
      </c>
      <c r="E4">
        <v>4.1920000000000004E-3</v>
      </c>
      <c r="F4">
        <f>A4*200</f>
        <v>21.115929999999999</v>
      </c>
      <c r="G4">
        <f>-B4</f>
        <v>-0.86487999999999998</v>
      </c>
      <c r="H4">
        <f t="shared" ref="H4" si="0">-C4*200</f>
        <v>-18.262745538400001</v>
      </c>
      <c r="I4">
        <v>1</v>
      </c>
      <c r="J4">
        <f>LN(F4/1000)</f>
        <v>-3.8577275470480465</v>
      </c>
      <c r="K4">
        <f>((-G4)-$N$2)</f>
        <v>-0.35684515177521747</v>
      </c>
      <c r="L4">
        <v>1</v>
      </c>
      <c r="M4">
        <f>-1*($S$4+($S$5*J4))</f>
        <v>0.32675065254831798</v>
      </c>
      <c r="N4">
        <f>D4*A4</f>
        <v>1.6681584700000002E-3</v>
      </c>
      <c r="O4">
        <f>E4*A4</f>
        <v>4.4258989280000001E-4</v>
      </c>
      <c r="P4">
        <f>-K4-M4-N4-O4</f>
        <v>2.7983750864099495E-2</v>
      </c>
      <c r="R4" s="2" t="s">
        <v>16</v>
      </c>
      <c r="S4">
        <v>-0.48268</v>
      </c>
      <c r="V4">
        <v>-6</v>
      </c>
      <c r="W4">
        <f>V4*$S$5+$S$4</f>
        <v>-0.24016000000000001</v>
      </c>
      <c r="Y4">
        <v>0</v>
      </c>
      <c r="Z4">
        <f>$AB$4*Y4+$AB$3</f>
        <v>-0.29493000000000003</v>
      </c>
      <c r="AB4">
        <v>7.33704</v>
      </c>
      <c r="AC4" t="s">
        <v>31</v>
      </c>
    </row>
    <row r="5" spans="1:29" x14ac:dyDescent="0.3">
      <c r="A5">
        <v>0.20143385</v>
      </c>
      <c r="B5">
        <v>0.83857999999999999</v>
      </c>
      <c r="C5">
        <f t="shared" ref="C5:C68" si="1">A5*B5</f>
        <v>0.16891839793300001</v>
      </c>
      <c r="D5">
        <v>1.5800000000000002E-2</v>
      </c>
      <c r="E5">
        <v>4.1920000000000004E-3</v>
      </c>
      <c r="F5">
        <f t="shared" ref="F5:F68" si="2">A5*200</f>
        <v>40.286769999999997</v>
      </c>
      <c r="G5">
        <f t="shared" ref="G5:G68" si="3">-B5</f>
        <v>-0.83857999999999999</v>
      </c>
      <c r="H5">
        <f t="shared" ref="H5:H68" si="4">-C5*200</f>
        <v>-33.783679586600002</v>
      </c>
      <c r="I5">
        <v>1</v>
      </c>
      <c r="J5">
        <f t="shared" ref="J5:J68" si="5">LN(F5/1000)</f>
        <v>-3.2117321517689406</v>
      </c>
      <c r="K5">
        <f t="shared" ref="K5:K68" si="6">((-G5)-$N$2)</f>
        <v>-0.38314515177521746</v>
      </c>
      <c r="L5">
        <v>1</v>
      </c>
      <c r="M5">
        <f t="shared" ref="M5:M68" si="7">-1*($S$4+($S$5*J5))</f>
        <v>0.35286178642549942</v>
      </c>
      <c r="N5">
        <f t="shared" ref="N5:N6" si="8">D5*A5</f>
        <v>3.1826548300000002E-3</v>
      </c>
      <c r="O5">
        <f>E5*A5</f>
        <v>8.4441069920000006E-4</v>
      </c>
      <c r="P5">
        <f>-K5-M5-N5-O5</f>
        <v>2.6256299820518039E-2</v>
      </c>
      <c r="R5" s="2" t="s">
        <v>17</v>
      </c>
      <c r="S5">
        <v>-4.0419999999999998E-2</v>
      </c>
      <c r="V5">
        <v>-5.9</v>
      </c>
      <c r="W5">
        <f t="shared" ref="W5:W68" si="9">V5*$S$5+$S$4</f>
        <v>-0.244202</v>
      </c>
      <c r="Y5">
        <v>0.01</v>
      </c>
      <c r="Z5">
        <f t="shared" ref="Z5:Z31" si="10">$AB$4*Y5+$AB$3</f>
        <v>-0.22155960000000002</v>
      </c>
    </row>
    <row r="6" spans="1:29" x14ac:dyDescent="0.3">
      <c r="A6">
        <v>0.30089159999999998</v>
      </c>
      <c r="B6">
        <v>0.82050000000000001</v>
      </c>
      <c r="C6">
        <f t="shared" si="1"/>
        <v>0.24688155779999998</v>
      </c>
      <c r="D6">
        <v>1.5800000000000002E-2</v>
      </c>
      <c r="E6">
        <v>4.1920000000000004E-3</v>
      </c>
      <c r="F6">
        <f t="shared" si="2"/>
        <v>60.178319999999999</v>
      </c>
      <c r="G6">
        <f t="shared" si="3"/>
        <v>-0.82050000000000001</v>
      </c>
      <c r="H6">
        <f t="shared" si="4"/>
        <v>-49.376311559999998</v>
      </c>
      <c r="I6">
        <v>1</v>
      </c>
      <c r="J6">
        <f t="shared" si="5"/>
        <v>-2.8104431244211501</v>
      </c>
      <c r="K6">
        <f t="shared" si="6"/>
        <v>-0.40122515177521745</v>
      </c>
      <c r="L6">
        <v>1</v>
      </c>
      <c r="M6">
        <f t="shared" si="7"/>
        <v>0.3690818889108971</v>
      </c>
      <c r="N6">
        <f t="shared" si="8"/>
        <v>4.7540872800000003E-3</v>
      </c>
      <c r="O6">
        <f t="shared" ref="O6:O69" si="11">E6*A6</f>
        <v>1.2613375872E-3</v>
      </c>
      <c r="P6">
        <f t="shared" ref="P6:P69" si="12">-K6-M6-N6-O6</f>
        <v>2.6127837997120346E-2</v>
      </c>
      <c r="V6">
        <v>-5.8</v>
      </c>
      <c r="W6">
        <f t="shared" si="9"/>
        <v>-0.24824400000000002</v>
      </c>
      <c r="Y6">
        <v>0.02</v>
      </c>
      <c r="Z6">
        <f t="shared" si="10"/>
        <v>-0.14818920000000002</v>
      </c>
      <c r="AB6" t="s">
        <v>32</v>
      </c>
    </row>
    <row r="7" spans="1:29" x14ac:dyDescent="0.3">
      <c r="A7">
        <v>0.40034934999999999</v>
      </c>
      <c r="B7">
        <v>0.80606999999999995</v>
      </c>
      <c r="C7">
        <f t="shared" si="1"/>
        <v>0.32270960055449999</v>
      </c>
      <c r="D7">
        <v>1.5800000000000002E-2</v>
      </c>
      <c r="E7">
        <v>4.1920000000000004E-3</v>
      </c>
      <c r="F7">
        <f t="shared" si="2"/>
        <v>80.069869999999995</v>
      </c>
      <c r="G7">
        <f t="shared" si="3"/>
        <v>-0.80606999999999995</v>
      </c>
      <c r="H7">
        <f t="shared" si="4"/>
        <v>-64.541920110899994</v>
      </c>
      <c r="I7">
        <v>1</v>
      </c>
      <c r="J7">
        <f t="shared" si="5"/>
        <v>-2.5248556504782806</v>
      </c>
      <c r="K7">
        <f t="shared" si="6"/>
        <v>-0.4156551517752175</v>
      </c>
      <c r="L7">
        <v>1</v>
      </c>
      <c r="M7">
        <f t="shared" si="7"/>
        <v>0.3806253346076679</v>
      </c>
      <c r="N7">
        <f t="shared" ref="N7:N70" si="13">D7*A7</f>
        <v>6.3255197300000005E-3</v>
      </c>
      <c r="O7">
        <f t="shared" si="11"/>
        <v>1.6782644752000001E-3</v>
      </c>
      <c r="P7">
        <f t="shared" si="12"/>
        <v>2.7026032962349605E-2</v>
      </c>
      <c r="V7">
        <v>-5.7</v>
      </c>
      <c r="W7">
        <f t="shared" si="9"/>
        <v>-0.25228600000000001</v>
      </c>
      <c r="Y7">
        <v>0.03</v>
      </c>
      <c r="Z7">
        <f t="shared" si="10"/>
        <v>-7.4818800000000046E-2</v>
      </c>
      <c r="AB7" t="s">
        <v>33</v>
      </c>
      <c r="AC7">
        <f>-AB3/AB4</f>
        <v>4.0197409309476302E-2</v>
      </c>
    </row>
    <row r="8" spans="1:29" x14ac:dyDescent="0.3">
      <c r="A8">
        <v>0.49908639999999999</v>
      </c>
      <c r="B8">
        <v>0.79369999999999996</v>
      </c>
      <c r="C8">
        <f t="shared" si="1"/>
        <v>0.39612487567999999</v>
      </c>
      <c r="D8">
        <v>1.5800000000000002E-2</v>
      </c>
      <c r="E8">
        <v>4.1920000000000004E-3</v>
      </c>
      <c r="F8">
        <f t="shared" si="2"/>
        <v>99.817279999999997</v>
      </c>
      <c r="G8">
        <f t="shared" si="3"/>
        <v>-0.79369999999999996</v>
      </c>
      <c r="H8">
        <f t="shared" si="4"/>
        <v>-79.224975135999998</v>
      </c>
      <c r="I8">
        <v>1</v>
      </c>
      <c r="J8">
        <f t="shared" si="5"/>
        <v>-2.3044139643602231</v>
      </c>
      <c r="K8">
        <f t="shared" si="6"/>
        <v>-0.42802515177521749</v>
      </c>
      <c r="L8">
        <v>1</v>
      </c>
      <c r="M8">
        <f t="shared" si="7"/>
        <v>0.38953558756055978</v>
      </c>
      <c r="N8">
        <f t="shared" si="13"/>
        <v>7.8855651200000001E-3</v>
      </c>
      <c r="O8">
        <f t="shared" si="11"/>
        <v>2.0921701888000003E-3</v>
      </c>
      <c r="P8">
        <f t="shared" si="12"/>
        <v>2.8511828905857711E-2</v>
      </c>
      <c r="V8">
        <v>-5.6</v>
      </c>
      <c r="W8">
        <f t="shared" si="9"/>
        <v>-0.256328</v>
      </c>
      <c r="Y8">
        <v>0.04</v>
      </c>
      <c r="Z8">
        <f t="shared" si="10"/>
        <v>-1.4484000000000163E-3</v>
      </c>
    </row>
    <row r="9" spans="1:29" x14ac:dyDescent="0.3">
      <c r="A9">
        <v>0.59998560000000001</v>
      </c>
      <c r="B9">
        <v>0.78271000000000002</v>
      </c>
      <c r="C9">
        <f t="shared" si="1"/>
        <v>0.46961472897600004</v>
      </c>
      <c r="D9">
        <v>1.5800000000000002E-2</v>
      </c>
      <c r="E9">
        <v>4.1920000000000004E-3</v>
      </c>
      <c r="F9">
        <f t="shared" si="2"/>
        <v>119.99712</v>
      </c>
      <c r="G9">
        <f t="shared" si="3"/>
        <v>-0.78271000000000002</v>
      </c>
      <c r="H9">
        <f t="shared" si="4"/>
        <v>-93.922945795200008</v>
      </c>
      <c r="I9">
        <v>1</v>
      </c>
      <c r="J9">
        <f t="shared" si="5"/>
        <v>-2.1202875364880955</v>
      </c>
      <c r="K9">
        <f t="shared" si="6"/>
        <v>-0.43901515177521744</v>
      </c>
      <c r="L9">
        <v>1</v>
      </c>
      <c r="M9">
        <f t="shared" si="7"/>
        <v>0.3969779777751512</v>
      </c>
      <c r="N9">
        <f t="shared" si="13"/>
        <v>9.4797724800000007E-3</v>
      </c>
      <c r="O9">
        <f t="shared" si="11"/>
        <v>2.5151396352000002E-3</v>
      </c>
      <c r="P9">
        <f t="shared" si="12"/>
        <v>3.0042261884866233E-2</v>
      </c>
      <c r="V9">
        <v>-5.5</v>
      </c>
      <c r="W9">
        <f t="shared" si="9"/>
        <v>-0.26036999999999999</v>
      </c>
      <c r="Y9">
        <v>0.05</v>
      </c>
      <c r="Z9">
        <f t="shared" si="10"/>
        <v>7.1921999999999986E-2</v>
      </c>
      <c r="AB9" t="s">
        <v>35</v>
      </c>
      <c r="AC9">
        <v>3.8800000000000001E-2</v>
      </c>
    </row>
    <row r="10" spans="1:29" x14ac:dyDescent="0.3">
      <c r="A10">
        <v>0.69728120000000005</v>
      </c>
      <c r="B10">
        <v>0.77254</v>
      </c>
      <c r="C10">
        <f t="shared" si="1"/>
        <v>0.53867761824800009</v>
      </c>
      <c r="D10">
        <v>1.5800000000000002E-2</v>
      </c>
      <c r="E10">
        <v>4.1920000000000004E-3</v>
      </c>
      <c r="F10">
        <f t="shared" si="2"/>
        <v>139.45624000000001</v>
      </c>
      <c r="G10">
        <f t="shared" si="3"/>
        <v>-0.77254</v>
      </c>
      <c r="H10">
        <f t="shared" si="4"/>
        <v>-107.73552364960001</v>
      </c>
      <c r="I10">
        <v>1</v>
      </c>
      <c r="J10">
        <f t="shared" si="5"/>
        <v>-1.9700044186885399</v>
      </c>
      <c r="K10">
        <f t="shared" si="6"/>
        <v>-0.44918515177521745</v>
      </c>
      <c r="L10">
        <v>1</v>
      </c>
      <c r="M10">
        <f t="shared" si="7"/>
        <v>0.40305242139660924</v>
      </c>
      <c r="N10">
        <f t="shared" si="13"/>
        <v>1.1017042960000003E-2</v>
      </c>
      <c r="O10">
        <f t="shared" si="11"/>
        <v>2.9230027904000003E-3</v>
      </c>
      <c r="P10">
        <f t="shared" si="12"/>
        <v>3.2192684628208207E-2</v>
      </c>
      <c r="V10">
        <v>-5.4</v>
      </c>
      <c r="W10">
        <f t="shared" si="9"/>
        <v>-0.26441199999999998</v>
      </c>
      <c r="Y10">
        <v>0.06</v>
      </c>
      <c r="Z10">
        <f t="shared" si="10"/>
        <v>0.14529239999999993</v>
      </c>
    </row>
    <row r="11" spans="1:29" x14ac:dyDescent="0.3">
      <c r="A11">
        <v>0.79745964999999996</v>
      </c>
      <c r="B11">
        <v>0.7631</v>
      </c>
      <c r="C11">
        <f t="shared" si="1"/>
        <v>0.608541458915</v>
      </c>
      <c r="D11">
        <v>1.5800000000000002E-2</v>
      </c>
      <c r="E11">
        <v>4.1920000000000004E-3</v>
      </c>
      <c r="F11">
        <f t="shared" si="2"/>
        <v>159.49193</v>
      </c>
      <c r="G11">
        <f t="shared" si="3"/>
        <v>-0.7631</v>
      </c>
      <c r="H11">
        <f t="shared" si="4"/>
        <v>-121.70829178299999</v>
      </c>
      <c r="I11">
        <v>1</v>
      </c>
      <c r="J11">
        <f t="shared" si="5"/>
        <v>-1.8357619536485241</v>
      </c>
      <c r="K11">
        <f t="shared" si="6"/>
        <v>-0.45862515177521745</v>
      </c>
      <c r="L11">
        <v>1</v>
      </c>
      <c r="M11">
        <f t="shared" si="7"/>
        <v>0.40847850183352663</v>
      </c>
      <c r="N11">
        <f t="shared" si="13"/>
        <v>1.2599862470000001E-2</v>
      </c>
      <c r="O11">
        <f t="shared" si="11"/>
        <v>3.3429508528000002E-3</v>
      </c>
      <c r="P11">
        <f t="shared" si="12"/>
        <v>3.4203836618890822E-2</v>
      </c>
      <c r="V11">
        <v>-5.3</v>
      </c>
      <c r="W11">
        <f t="shared" si="9"/>
        <v>-0.26845400000000003</v>
      </c>
      <c r="Y11">
        <v>7.0000000000000007E-2</v>
      </c>
      <c r="Z11">
        <f t="shared" si="10"/>
        <v>0.21866280000000005</v>
      </c>
      <c r="AB11" t="s">
        <v>34</v>
      </c>
      <c r="AC11">
        <f>AC7-AC9</f>
        <v>1.397409309476301E-3</v>
      </c>
    </row>
    <row r="12" spans="1:29" x14ac:dyDescent="0.3">
      <c r="A12">
        <v>0.89619669999999996</v>
      </c>
      <c r="B12">
        <v>0.75421000000000005</v>
      </c>
      <c r="C12">
        <f t="shared" si="1"/>
        <v>0.67592051310699997</v>
      </c>
      <c r="D12">
        <v>1.5800000000000002E-2</v>
      </c>
      <c r="E12">
        <v>4.1920000000000004E-3</v>
      </c>
      <c r="F12">
        <f t="shared" si="2"/>
        <v>179.23934</v>
      </c>
      <c r="G12">
        <f t="shared" si="3"/>
        <v>-0.75421000000000005</v>
      </c>
      <c r="H12">
        <f t="shared" si="4"/>
        <v>-135.1841026214</v>
      </c>
      <c r="I12">
        <v>1</v>
      </c>
      <c r="J12">
        <f t="shared" si="5"/>
        <v>-1.7190332712847658</v>
      </c>
      <c r="K12">
        <f t="shared" si="6"/>
        <v>-0.46751515177521741</v>
      </c>
      <c r="L12">
        <v>1</v>
      </c>
      <c r="M12">
        <f t="shared" si="7"/>
        <v>0.41319667517466974</v>
      </c>
      <c r="N12">
        <f t="shared" si="13"/>
        <v>1.4159907860000001E-2</v>
      </c>
      <c r="O12">
        <f t="shared" si="11"/>
        <v>3.7568565664000001E-3</v>
      </c>
      <c r="P12">
        <f t="shared" si="12"/>
        <v>3.6401712174147671E-2</v>
      </c>
      <c r="V12">
        <v>-5.2</v>
      </c>
      <c r="W12">
        <f t="shared" si="9"/>
        <v>-0.27249600000000002</v>
      </c>
      <c r="Y12">
        <v>0.08</v>
      </c>
      <c r="Z12">
        <f t="shared" si="10"/>
        <v>0.29203319999999999</v>
      </c>
      <c r="AC12">
        <f>AC11*3</f>
        <v>4.192227928428903E-3</v>
      </c>
    </row>
    <row r="13" spans="1:29" x14ac:dyDescent="0.3">
      <c r="A13">
        <v>0.99493370000000003</v>
      </c>
      <c r="B13">
        <v>0.74573999999999996</v>
      </c>
      <c r="C13">
        <f t="shared" si="1"/>
        <v>0.74196185743800003</v>
      </c>
      <c r="D13">
        <v>1.5800000000000002E-2</v>
      </c>
      <c r="E13">
        <v>4.1920000000000004E-3</v>
      </c>
      <c r="F13">
        <f t="shared" si="2"/>
        <v>198.98674</v>
      </c>
      <c r="G13">
        <f t="shared" si="3"/>
        <v>-0.74573999999999996</v>
      </c>
      <c r="H13">
        <f t="shared" si="4"/>
        <v>-148.3923714876</v>
      </c>
      <c r="I13">
        <v>1</v>
      </c>
      <c r="J13">
        <f t="shared" si="5"/>
        <v>-1.6145170896435619</v>
      </c>
      <c r="K13">
        <f t="shared" si="6"/>
        <v>-0.4759851517752175</v>
      </c>
      <c r="L13">
        <v>1</v>
      </c>
      <c r="M13">
        <f t="shared" si="7"/>
        <v>0.41742121923660724</v>
      </c>
      <c r="N13">
        <f t="shared" si="13"/>
        <v>1.5719952460000002E-2</v>
      </c>
      <c r="O13">
        <f t="shared" si="11"/>
        <v>4.1707620704000007E-3</v>
      </c>
      <c r="P13">
        <f t="shared" si="12"/>
        <v>3.8673218008210247E-2</v>
      </c>
      <c r="V13">
        <v>-5.0999999999999996</v>
      </c>
      <c r="W13">
        <f t="shared" si="9"/>
        <v>-0.27653800000000006</v>
      </c>
      <c r="Y13">
        <v>0.09</v>
      </c>
      <c r="Z13">
        <f t="shared" si="10"/>
        <v>0.36540359999999994</v>
      </c>
    </row>
    <row r="14" spans="1:29" x14ac:dyDescent="0.3">
      <c r="A14">
        <v>1.0958329500000001</v>
      </c>
      <c r="B14">
        <v>0.73753000000000002</v>
      </c>
      <c r="C14">
        <f t="shared" si="1"/>
        <v>0.8082096756135001</v>
      </c>
      <c r="D14">
        <v>1.5800000000000002E-2</v>
      </c>
      <c r="E14">
        <v>4.1920000000000004E-3</v>
      </c>
      <c r="F14">
        <f t="shared" si="2"/>
        <v>219.16659000000004</v>
      </c>
      <c r="G14">
        <f t="shared" si="3"/>
        <v>-0.73753000000000002</v>
      </c>
      <c r="H14">
        <f t="shared" si="4"/>
        <v>-161.64193512270003</v>
      </c>
      <c r="I14">
        <v>1</v>
      </c>
      <c r="J14">
        <f t="shared" si="5"/>
        <v>-1.517923153408274</v>
      </c>
      <c r="K14">
        <f t="shared" si="6"/>
        <v>-0.48419515177521744</v>
      </c>
      <c r="L14">
        <v>1</v>
      </c>
      <c r="M14">
        <f t="shared" si="7"/>
        <v>0.42132554613923756</v>
      </c>
      <c r="N14">
        <f t="shared" si="13"/>
        <v>1.7314160610000004E-2</v>
      </c>
      <c r="O14">
        <f t="shared" si="11"/>
        <v>4.5937317264000011E-3</v>
      </c>
      <c r="P14">
        <f t="shared" si="12"/>
        <v>4.0961713299579872E-2</v>
      </c>
      <c r="V14">
        <v>-5</v>
      </c>
      <c r="W14">
        <f t="shared" si="9"/>
        <v>-0.28058</v>
      </c>
      <c r="Y14">
        <v>0.1</v>
      </c>
      <c r="Z14">
        <f t="shared" si="10"/>
        <v>0.438774</v>
      </c>
    </row>
    <row r="15" spans="1:29" x14ac:dyDescent="0.3">
      <c r="A15">
        <v>1.1960113999999999</v>
      </c>
      <c r="B15">
        <v>0.72960999999999998</v>
      </c>
      <c r="C15">
        <f t="shared" si="1"/>
        <v>0.87262187755399989</v>
      </c>
      <c r="D15">
        <v>1.5800000000000002E-2</v>
      </c>
      <c r="E15">
        <v>4.1920000000000004E-3</v>
      </c>
      <c r="F15">
        <f t="shared" si="2"/>
        <v>239.20228</v>
      </c>
      <c r="G15">
        <f t="shared" si="3"/>
        <v>-0.72960999999999998</v>
      </c>
      <c r="H15">
        <f t="shared" si="4"/>
        <v>-174.52437551079998</v>
      </c>
      <c r="I15">
        <v>1</v>
      </c>
      <c r="J15">
        <f t="shared" si="5"/>
        <v>-1.4304457251785123</v>
      </c>
      <c r="K15">
        <f t="shared" si="6"/>
        <v>-0.49211515177521747</v>
      </c>
      <c r="L15">
        <v>1</v>
      </c>
      <c r="M15">
        <f t="shared" si="7"/>
        <v>0.42486138378828453</v>
      </c>
      <c r="N15">
        <f t="shared" si="13"/>
        <v>1.889698012E-2</v>
      </c>
      <c r="O15">
        <f t="shared" si="11"/>
        <v>5.0136797888000002E-3</v>
      </c>
      <c r="P15">
        <f t="shared" si="12"/>
        <v>4.3343108078132943E-2</v>
      </c>
      <c r="V15">
        <v>-4.9000000000000004</v>
      </c>
      <c r="W15">
        <f t="shared" si="9"/>
        <v>-0.28462199999999999</v>
      </c>
      <c r="Y15">
        <v>0.11</v>
      </c>
      <c r="Z15">
        <f t="shared" si="10"/>
        <v>0.51214439999999994</v>
      </c>
    </row>
    <row r="16" spans="1:29" x14ac:dyDescent="0.3">
      <c r="A16">
        <v>1.2947484499999999</v>
      </c>
      <c r="B16">
        <v>0.72192999999999996</v>
      </c>
      <c r="C16">
        <f t="shared" si="1"/>
        <v>0.93471774850849987</v>
      </c>
      <c r="D16">
        <v>1.5800000000000002E-2</v>
      </c>
      <c r="E16">
        <v>4.1920000000000004E-3</v>
      </c>
      <c r="F16">
        <f t="shared" si="2"/>
        <v>258.94968999999998</v>
      </c>
      <c r="G16">
        <f t="shared" si="3"/>
        <v>-0.72192999999999996</v>
      </c>
      <c r="H16">
        <f t="shared" si="4"/>
        <v>-186.94354970169996</v>
      </c>
      <c r="I16">
        <v>1</v>
      </c>
      <c r="J16">
        <f t="shared" si="5"/>
        <v>-1.3511214832552587</v>
      </c>
      <c r="K16">
        <f t="shared" si="6"/>
        <v>-0.49979515177521749</v>
      </c>
      <c r="L16">
        <v>1</v>
      </c>
      <c r="M16">
        <f t="shared" si="7"/>
        <v>0.42806766964682241</v>
      </c>
      <c r="N16">
        <f t="shared" si="13"/>
        <v>2.0457025510000001E-2</v>
      </c>
      <c r="O16">
        <f t="shared" si="11"/>
        <v>5.4275855024000005E-3</v>
      </c>
      <c r="P16">
        <f t="shared" si="12"/>
        <v>4.5842871115995075E-2</v>
      </c>
      <c r="V16">
        <v>-4.8</v>
      </c>
      <c r="W16">
        <f t="shared" si="9"/>
        <v>-0.28866400000000003</v>
      </c>
      <c r="Y16">
        <v>0.12</v>
      </c>
      <c r="Z16">
        <f t="shared" si="10"/>
        <v>0.58551479999999989</v>
      </c>
    </row>
    <row r="17" spans="1:26" x14ac:dyDescent="0.3">
      <c r="A17">
        <v>1.39420615</v>
      </c>
      <c r="B17">
        <v>0.71440000000000003</v>
      </c>
      <c r="C17">
        <f t="shared" si="1"/>
        <v>0.99602087356000002</v>
      </c>
      <c r="D17">
        <v>1.5800000000000002E-2</v>
      </c>
      <c r="E17">
        <v>4.1920000000000004E-3</v>
      </c>
      <c r="F17">
        <f t="shared" si="2"/>
        <v>278.84123</v>
      </c>
      <c r="G17">
        <f t="shared" si="3"/>
        <v>-0.71440000000000003</v>
      </c>
      <c r="H17">
        <f t="shared" si="4"/>
        <v>-199.204174712</v>
      </c>
      <c r="I17">
        <v>1</v>
      </c>
      <c r="J17">
        <f t="shared" si="5"/>
        <v>-1.2771127272418363</v>
      </c>
      <c r="K17">
        <f t="shared" si="6"/>
        <v>-0.50732515177521742</v>
      </c>
      <c r="L17">
        <v>1</v>
      </c>
      <c r="M17">
        <f t="shared" si="7"/>
        <v>0.43105910356488497</v>
      </c>
      <c r="N17">
        <f t="shared" si="13"/>
        <v>2.2028457170000001E-2</v>
      </c>
      <c r="O17">
        <f t="shared" si="11"/>
        <v>5.8445121808000005E-3</v>
      </c>
      <c r="P17">
        <f t="shared" si="12"/>
        <v>4.8393078859532444E-2</v>
      </c>
      <c r="V17">
        <v>-4.7</v>
      </c>
      <c r="W17">
        <f t="shared" si="9"/>
        <v>-0.29270600000000002</v>
      </c>
      <c r="Y17">
        <v>0.13</v>
      </c>
      <c r="Z17">
        <f t="shared" si="10"/>
        <v>0.65888520000000006</v>
      </c>
    </row>
    <row r="18" spans="1:26" x14ac:dyDescent="0.3">
      <c r="A18">
        <v>1.4922225499999999</v>
      </c>
      <c r="B18">
        <v>0.70711999999999997</v>
      </c>
      <c r="C18">
        <f t="shared" si="1"/>
        <v>1.055180409556</v>
      </c>
      <c r="D18">
        <v>1.5800000000000002E-2</v>
      </c>
      <c r="E18">
        <v>4.1920000000000004E-3</v>
      </c>
      <c r="F18">
        <f t="shared" si="2"/>
        <v>298.44450999999998</v>
      </c>
      <c r="G18">
        <f t="shared" si="3"/>
        <v>-0.70711999999999997</v>
      </c>
      <c r="H18">
        <f t="shared" si="4"/>
        <v>-211.0360819112</v>
      </c>
      <c r="I18">
        <v>1</v>
      </c>
      <c r="J18">
        <f t="shared" si="5"/>
        <v>-1.2091712595777144</v>
      </c>
      <c r="K18">
        <f t="shared" si="6"/>
        <v>-0.51460515177521748</v>
      </c>
      <c r="L18">
        <v>1</v>
      </c>
      <c r="M18">
        <f t="shared" si="7"/>
        <v>0.4338052976878688</v>
      </c>
      <c r="N18">
        <f t="shared" si="13"/>
        <v>2.3577116290000002E-2</v>
      </c>
      <c r="O18">
        <f t="shared" si="11"/>
        <v>6.2553969296000001E-3</v>
      </c>
      <c r="P18">
        <f t="shared" si="12"/>
        <v>5.0967340867748685E-2</v>
      </c>
      <c r="V18">
        <v>-4.5999999999999996</v>
      </c>
      <c r="W18">
        <f t="shared" si="9"/>
        <v>-0.29674800000000001</v>
      </c>
      <c r="Y18">
        <v>0.14000000000000001</v>
      </c>
      <c r="Z18">
        <f t="shared" si="10"/>
        <v>0.73225560000000012</v>
      </c>
    </row>
    <row r="19" spans="1:26" x14ac:dyDescent="0.3">
      <c r="A19">
        <v>1.5945631499999999</v>
      </c>
      <c r="B19">
        <v>0.69994000000000001</v>
      </c>
      <c r="C19">
        <f t="shared" si="1"/>
        <v>1.1160985312109999</v>
      </c>
      <c r="D19">
        <v>1.5800000000000002E-2</v>
      </c>
      <c r="E19">
        <v>4.1920000000000004E-3</v>
      </c>
      <c r="F19">
        <f t="shared" si="2"/>
        <v>318.91262999999998</v>
      </c>
      <c r="G19">
        <f t="shared" si="3"/>
        <v>-0.69994000000000001</v>
      </c>
      <c r="H19">
        <f t="shared" si="4"/>
        <v>-223.21970624219998</v>
      </c>
      <c r="I19">
        <v>1</v>
      </c>
      <c r="J19">
        <f t="shared" si="5"/>
        <v>-1.1428381008585626</v>
      </c>
      <c r="K19">
        <f t="shared" si="6"/>
        <v>-0.52178515177521745</v>
      </c>
      <c r="L19">
        <v>1</v>
      </c>
      <c r="M19">
        <f t="shared" si="7"/>
        <v>0.43648648396329692</v>
      </c>
      <c r="N19">
        <f t="shared" si="13"/>
        <v>2.519409777E-2</v>
      </c>
      <c r="O19">
        <f t="shared" si="11"/>
        <v>6.6844087248000006E-3</v>
      </c>
      <c r="P19">
        <f t="shared" si="12"/>
        <v>5.3420161317120525E-2</v>
      </c>
      <c r="V19">
        <v>-4.5000000000000098</v>
      </c>
      <c r="W19">
        <f t="shared" si="9"/>
        <v>-0.30078999999999961</v>
      </c>
      <c r="Y19">
        <v>0.15</v>
      </c>
      <c r="Z19">
        <f t="shared" si="10"/>
        <v>0.80562599999999984</v>
      </c>
    </row>
    <row r="20" spans="1:26" x14ac:dyDescent="0.3">
      <c r="A20">
        <v>1.6954622499999998</v>
      </c>
      <c r="B20">
        <v>0.69282999999999995</v>
      </c>
      <c r="C20">
        <f t="shared" si="1"/>
        <v>1.1746671106674997</v>
      </c>
      <c r="D20">
        <v>1.5800000000000002E-2</v>
      </c>
      <c r="E20">
        <v>4.1920000000000004E-3</v>
      </c>
      <c r="F20">
        <f t="shared" si="2"/>
        <v>339.09244999999999</v>
      </c>
      <c r="G20">
        <f t="shared" si="3"/>
        <v>-0.69282999999999995</v>
      </c>
      <c r="H20">
        <f t="shared" si="4"/>
        <v>-234.93342213349996</v>
      </c>
      <c r="I20">
        <v>1</v>
      </c>
      <c r="J20">
        <f t="shared" si="5"/>
        <v>-1.0814824949170465</v>
      </c>
      <c r="K20">
        <f t="shared" si="6"/>
        <v>-0.52889515177521751</v>
      </c>
      <c r="L20">
        <v>1</v>
      </c>
      <c r="M20">
        <f t="shared" si="7"/>
        <v>0.43896647755545298</v>
      </c>
      <c r="N20">
        <f t="shared" si="13"/>
        <v>2.678830355E-2</v>
      </c>
      <c r="O20">
        <f t="shared" si="11"/>
        <v>7.1073777520000003E-3</v>
      </c>
      <c r="P20">
        <f t="shared" si="12"/>
        <v>5.6032992917764521E-2</v>
      </c>
      <c r="V20">
        <v>-4.4000000000000101</v>
      </c>
      <c r="W20">
        <f t="shared" si="9"/>
        <v>-0.3048319999999996</v>
      </c>
      <c r="Y20">
        <v>0.16</v>
      </c>
      <c r="Z20">
        <f t="shared" si="10"/>
        <v>0.87899640000000001</v>
      </c>
    </row>
    <row r="21" spans="1:26" x14ac:dyDescent="0.3">
      <c r="A21">
        <v>1.7949200999999999</v>
      </c>
      <c r="B21">
        <v>0.68589</v>
      </c>
      <c r="C21">
        <f t="shared" si="1"/>
        <v>1.231117747389</v>
      </c>
      <c r="D21">
        <v>1.5800000000000002E-2</v>
      </c>
      <c r="E21">
        <v>4.1920000000000004E-3</v>
      </c>
      <c r="F21">
        <f t="shared" si="2"/>
        <v>358.98401999999999</v>
      </c>
      <c r="G21">
        <f t="shared" si="3"/>
        <v>-0.68589</v>
      </c>
      <c r="H21">
        <f t="shared" si="4"/>
        <v>-246.22354947780002</v>
      </c>
      <c r="I21">
        <v>1</v>
      </c>
      <c r="J21">
        <f t="shared" si="5"/>
        <v>-1.0244774040193896</v>
      </c>
      <c r="K21">
        <f t="shared" si="6"/>
        <v>-0.53583515177521746</v>
      </c>
      <c r="L21">
        <v>1</v>
      </c>
      <c r="M21">
        <f t="shared" si="7"/>
        <v>0.44127062332953626</v>
      </c>
      <c r="N21">
        <f t="shared" si="13"/>
        <v>2.8359737580000002E-2</v>
      </c>
      <c r="O21">
        <f t="shared" si="11"/>
        <v>7.5243050592000002E-3</v>
      </c>
      <c r="P21">
        <f t="shared" si="12"/>
        <v>5.8680485806481192E-2</v>
      </c>
      <c r="V21">
        <v>-4.3000000000000096</v>
      </c>
      <c r="W21">
        <f t="shared" si="9"/>
        <v>-0.30887399999999965</v>
      </c>
      <c r="Y21">
        <v>0.17</v>
      </c>
      <c r="Z21">
        <f t="shared" si="10"/>
        <v>0.95236679999999996</v>
      </c>
    </row>
    <row r="22" spans="1:26" x14ac:dyDescent="0.3">
      <c r="A22">
        <v>1.8936571</v>
      </c>
      <c r="B22">
        <v>0.67913000000000001</v>
      </c>
      <c r="C22">
        <f t="shared" si="1"/>
        <v>1.286039346323</v>
      </c>
      <c r="D22">
        <v>1.5800000000000002E-2</v>
      </c>
      <c r="E22">
        <v>4.1920000000000004E-3</v>
      </c>
      <c r="F22">
        <f t="shared" si="2"/>
        <v>378.73142000000001</v>
      </c>
      <c r="G22">
        <f t="shared" si="3"/>
        <v>-0.67913000000000001</v>
      </c>
      <c r="H22">
        <f t="shared" si="4"/>
        <v>-257.20786926459999</v>
      </c>
      <c r="I22">
        <v>1</v>
      </c>
      <c r="J22">
        <f t="shared" si="5"/>
        <v>-0.97092797946745868</v>
      </c>
      <c r="K22">
        <f t="shared" si="6"/>
        <v>-0.54259515177521744</v>
      </c>
      <c r="L22">
        <v>1</v>
      </c>
      <c r="M22">
        <f t="shared" si="7"/>
        <v>0.44343509106992529</v>
      </c>
      <c r="N22">
        <f t="shared" si="13"/>
        <v>2.9919782180000003E-2</v>
      </c>
      <c r="O22">
        <f t="shared" si="11"/>
        <v>7.9382105631999999E-3</v>
      </c>
      <c r="P22">
        <f t="shared" si="12"/>
        <v>6.1302067962092144E-2</v>
      </c>
      <c r="V22">
        <v>-4.2000000000000099</v>
      </c>
      <c r="W22">
        <f t="shared" si="9"/>
        <v>-0.31291599999999964</v>
      </c>
      <c r="Y22">
        <v>0.18</v>
      </c>
      <c r="Z22">
        <f t="shared" si="10"/>
        <v>1.0257372</v>
      </c>
    </row>
    <row r="23" spans="1:26" x14ac:dyDescent="0.3">
      <c r="A23">
        <v>1.9923940999999998</v>
      </c>
      <c r="B23">
        <v>0.67242000000000002</v>
      </c>
      <c r="C23">
        <f t="shared" si="1"/>
        <v>1.339725640722</v>
      </c>
      <c r="D23">
        <v>1.5800000000000002E-2</v>
      </c>
      <c r="E23">
        <v>4.1920000000000004E-3</v>
      </c>
      <c r="F23">
        <f t="shared" si="2"/>
        <v>398.47881999999998</v>
      </c>
      <c r="G23">
        <f t="shared" si="3"/>
        <v>-0.67242000000000002</v>
      </c>
      <c r="H23">
        <f t="shared" si="4"/>
        <v>-267.94512814439997</v>
      </c>
      <c r="I23">
        <v>1</v>
      </c>
      <c r="J23">
        <f t="shared" si="5"/>
        <v>-0.92010093147425409</v>
      </c>
      <c r="K23">
        <f t="shared" si="6"/>
        <v>-0.54930515177521744</v>
      </c>
      <c r="L23">
        <v>1</v>
      </c>
      <c r="M23">
        <f t="shared" si="7"/>
        <v>0.44548952034981065</v>
      </c>
      <c r="N23">
        <f t="shared" si="13"/>
        <v>3.1479826779999998E-2</v>
      </c>
      <c r="O23">
        <f t="shared" si="11"/>
        <v>8.3521160672000005E-3</v>
      </c>
      <c r="P23">
        <f t="shared" si="12"/>
        <v>6.3983688578206785E-2</v>
      </c>
      <c r="V23">
        <v>-4.1000000000000103</v>
      </c>
      <c r="W23">
        <f t="shared" si="9"/>
        <v>-0.31695799999999963</v>
      </c>
      <c r="Y23">
        <v>0.19</v>
      </c>
      <c r="Z23">
        <f t="shared" si="10"/>
        <v>1.0991076</v>
      </c>
    </row>
    <row r="24" spans="1:26" x14ac:dyDescent="0.3">
      <c r="A24">
        <v>2.0932931999999997</v>
      </c>
      <c r="B24">
        <v>0.66593000000000002</v>
      </c>
      <c r="C24">
        <f t="shared" si="1"/>
        <v>1.3939867406759998</v>
      </c>
      <c r="D24">
        <v>1.5800000000000002E-2</v>
      </c>
      <c r="E24">
        <v>4.1920000000000004E-3</v>
      </c>
      <c r="F24">
        <f t="shared" si="2"/>
        <v>418.65863999999993</v>
      </c>
      <c r="G24">
        <f t="shared" si="3"/>
        <v>-0.66593000000000002</v>
      </c>
      <c r="H24">
        <f t="shared" si="4"/>
        <v>-278.79734813519997</v>
      </c>
      <c r="I24">
        <v>1</v>
      </c>
      <c r="J24">
        <f t="shared" si="5"/>
        <v>-0.87069939278040986</v>
      </c>
      <c r="K24">
        <f t="shared" si="6"/>
        <v>-0.55579515177521743</v>
      </c>
      <c r="L24">
        <v>1</v>
      </c>
      <c r="M24">
        <f t="shared" si="7"/>
        <v>0.44748633054381581</v>
      </c>
      <c r="N24">
        <f t="shared" si="13"/>
        <v>3.3074032560000001E-2</v>
      </c>
      <c r="O24">
        <f t="shared" si="11"/>
        <v>8.7750850944000001E-3</v>
      </c>
      <c r="P24">
        <f t="shared" si="12"/>
        <v>6.6459703577001622E-2</v>
      </c>
      <c r="V24">
        <v>-4.0000000000000098</v>
      </c>
      <c r="W24">
        <f t="shared" si="9"/>
        <v>-0.32099999999999962</v>
      </c>
      <c r="Y24">
        <v>0.2</v>
      </c>
      <c r="Z24">
        <f t="shared" si="10"/>
        <v>1.1724779999999999</v>
      </c>
    </row>
    <row r="25" spans="1:26" x14ac:dyDescent="0.3">
      <c r="A25">
        <v>2.1927509499999998</v>
      </c>
      <c r="B25">
        <v>0.65939000000000003</v>
      </c>
      <c r="C25">
        <f t="shared" si="1"/>
        <v>1.4458780489204999</v>
      </c>
      <c r="D25">
        <v>1.5800000000000002E-2</v>
      </c>
      <c r="E25">
        <v>4.1920000000000004E-3</v>
      </c>
      <c r="F25">
        <f t="shared" si="2"/>
        <v>438.55018999999993</v>
      </c>
      <c r="G25">
        <f t="shared" si="3"/>
        <v>-0.65939000000000003</v>
      </c>
      <c r="H25">
        <f t="shared" si="4"/>
        <v>-289.17560978409995</v>
      </c>
      <c r="I25">
        <v>1</v>
      </c>
      <c r="J25">
        <f t="shared" si="5"/>
        <v>-0.82428101533891629</v>
      </c>
      <c r="K25">
        <f t="shared" si="6"/>
        <v>-0.56233515177521742</v>
      </c>
      <c r="L25">
        <v>1</v>
      </c>
      <c r="M25">
        <f t="shared" si="7"/>
        <v>0.44936256136000102</v>
      </c>
      <c r="N25">
        <f t="shared" si="13"/>
        <v>3.4645465010000001E-2</v>
      </c>
      <c r="O25">
        <f t="shared" si="11"/>
        <v>9.1920119823999998E-3</v>
      </c>
      <c r="P25">
        <f t="shared" si="12"/>
        <v>6.9135113422816405E-2</v>
      </c>
      <c r="V25">
        <v>-3.9000000000000101</v>
      </c>
      <c r="W25">
        <f t="shared" si="9"/>
        <v>-0.32504199999999961</v>
      </c>
      <c r="Y25">
        <v>0.21</v>
      </c>
      <c r="Z25">
        <f t="shared" si="10"/>
        <v>1.2458483999999999</v>
      </c>
    </row>
    <row r="26" spans="1:26" x14ac:dyDescent="0.3">
      <c r="A26">
        <v>2.2943709000000001</v>
      </c>
      <c r="B26">
        <v>0.65297000000000005</v>
      </c>
      <c r="C26">
        <f t="shared" si="1"/>
        <v>1.4981553665730001</v>
      </c>
      <c r="D26">
        <v>1.5800000000000002E-2</v>
      </c>
      <c r="E26">
        <v>4.1920000000000004E-3</v>
      </c>
      <c r="F26">
        <f t="shared" si="2"/>
        <v>458.87418000000002</v>
      </c>
      <c r="G26">
        <f t="shared" si="3"/>
        <v>-0.65297000000000005</v>
      </c>
      <c r="H26">
        <f t="shared" si="4"/>
        <v>-299.63107331460003</v>
      </c>
      <c r="I26">
        <v>1</v>
      </c>
      <c r="J26">
        <f t="shared" si="5"/>
        <v>-0.77897922414576004</v>
      </c>
      <c r="K26">
        <f t="shared" si="6"/>
        <v>-0.5687551517752174</v>
      </c>
      <c r="L26">
        <v>1</v>
      </c>
      <c r="M26">
        <f t="shared" si="7"/>
        <v>0.4511936597600284</v>
      </c>
      <c r="N26">
        <f t="shared" si="13"/>
        <v>3.6251060220000006E-2</v>
      </c>
      <c r="O26">
        <f t="shared" si="11"/>
        <v>9.6180028128000014E-3</v>
      </c>
      <c r="P26">
        <f t="shared" si="12"/>
        <v>7.1692428982389006E-2</v>
      </c>
      <c r="V26">
        <v>-3.80000000000001</v>
      </c>
      <c r="W26">
        <f t="shared" si="9"/>
        <v>-0.3290839999999996</v>
      </c>
      <c r="Y26">
        <v>0.22</v>
      </c>
      <c r="Z26">
        <f t="shared" si="10"/>
        <v>1.3192187999999998</v>
      </c>
    </row>
    <row r="27" spans="1:26" x14ac:dyDescent="0.3">
      <c r="A27">
        <v>2.3909459000000002</v>
      </c>
      <c r="B27">
        <v>0.64670000000000005</v>
      </c>
      <c r="C27">
        <f t="shared" si="1"/>
        <v>1.5462247135300002</v>
      </c>
      <c r="D27">
        <v>1.5800000000000002E-2</v>
      </c>
      <c r="E27">
        <v>4.1920000000000004E-3</v>
      </c>
      <c r="F27">
        <f t="shared" si="2"/>
        <v>478.18918000000002</v>
      </c>
      <c r="G27">
        <f t="shared" si="3"/>
        <v>-0.64670000000000005</v>
      </c>
      <c r="H27">
        <f t="shared" si="4"/>
        <v>-309.24494270600007</v>
      </c>
      <c r="I27">
        <v>1</v>
      </c>
      <c r="J27">
        <f t="shared" si="5"/>
        <v>-0.73774885072999807</v>
      </c>
      <c r="K27">
        <f t="shared" si="6"/>
        <v>-0.5750251517752174</v>
      </c>
      <c r="L27">
        <v>1</v>
      </c>
      <c r="M27">
        <f t="shared" si="7"/>
        <v>0.45286019145349349</v>
      </c>
      <c r="N27">
        <f t="shared" si="13"/>
        <v>3.7776945220000004E-2</v>
      </c>
      <c r="O27">
        <f t="shared" si="11"/>
        <v>1.0022845212800002E-2</v>
      </c>
      <c r="P27">
        <f t="shared" si="12"/>
        <v>7.4365169888923915E-2</v>
      </c>
      <c r="V27">
        <v>-3.7000000000000099</v>
      </c>
      <c r="W27">
        <f t="shared" si="9"/>
        <v>-0.33312599999999959</v>
      </c>
      <c r="Y27">
        <v>0.23</v>
      </c>
      <c r="Z27">
        <f t="shared" si="10"/>
        <v>1.3925892000000002</v>
      </c>
    </row>
    <row r="28" spans="1:26" x14ac:dyDescent="0.3">
      <c r="A28">
        <v>2.4896829</v>
      </c>
      <c r="B28">
        <v>0.64039999999999997</v>
      </c>
      <c r="C28">
        <f t="shared" si="1"/>
        <v>1.5943929291599999</v>
      </c>
      <c r="D28">
        <v>1.5800000000000002E-2</v>
      </c>
      <c r="E28">
        <v>4.1920000000000004E-3</v>
      </c>
      <c r="F28">
        <f t="shared" si="2"/>
        <v>497.93657999999999</v>
      </c>
      <c r="G28">
        <f t="shared" si="3"/>
        <v>-0.64039999999999997</v>
      </c>
      <c r="H28">
        <f t="shared" si="4"/>
        <v>-318.878585832</v>
      </c>
      <c r="I28">
        <v>1</v>
      </c>
      <c r="J28">
        <f t="shared" si="5"/>
        <v>-0.69728255946469753</v>
      </c>
      <c r="K28">
        <f t="shared" si="6"/>
        <v>-0.58132515177521749</v>
      </c>
      <c r="L28">
        <v>1</v>
      </c>
      <c r="M28">
        <f t="shared" si="7"/>
        <v>0.45449583894643691</v>
      </c>
      <c r="N28">
        <f t="shared" si="13"/>
        <v>3.9336989820000001E-2</v>
      </c>
      <c r="O28">
        <f t="shared" si="11"/>
        <v>1.0436750716800001E-2</v>
      </c>
      <c r="P28">
        <f t="shared" si="12"/>
        <v>7.7055572291980567E-2</v>
      </c>
      <c r="V28">
        <v>-3.6000000000000099</v>
      </c>
      <c r="W28">
        <f t="shared" si="9"/>
        <v>-0.33716799999999958</v>
      </c>
      <c r="Y28">
        <v>0.24</v>
      </c>
      <c r="Z28">
        <f t="shared" si="10"/>
        <v>1.4659595999999997</v>
      </c>
    </row>
    <row r="29" spans="1:26" x14ac:dyDescent="0.3">
      <c r="A29">
        <v>2.5905821500000004</v>
      </c>
      <c r="B29">
        <v>0.63426000000000005</v>
      </c>
      <c r="C29">
        <f t="shared" si="1"/>
        <v>1.6431026344590003</v>
      </c>
      <c r="D29">
        <v>1.5800000000000002E-2</v>
      </c>
      <c r="E29">
        <v>4.1920000000000004E-3</v>
      </c>
      <c r="F29">
        <f t="shared" si="2"/>
        <v>518.11643000000004</v>
      </c>
      <c r="G29">
        <f t="shared" si="3"/>
        <v>-0.63426000000000005</v>
      </c>
      <c r="H29">
        <f t="shared" si="4"/>
        <v>-328.62052689180007</v>
      </c>
      <c r="I29">
        <v>1</v>
      </c>
      <c r="J29">
        <f t="shared" si="5"/>
        <v>-0.65755529363950427</v>
      </c>
      <c r="K29">
        <f t="shared" si="6"/>
        <v>-0.58746515177521741</v>
      </c>
      <c r="L29">
        <v>1</v>
      </c>
      <c r="M29">
        <f t="shared" si="7"/>
        <v>0.45610161503109126</v>
      </c>
      <c r="N29">
        <f t="shared" si="13"/>
        <v>4.0931197970000006E-2</v>
      </c>
      <c r="O29">
        <f t="shared" si="11"/>
        <v>1.0859720372800002E-2</v>
      </c>
      <c r="P29">
        <f t="shared" si="12"/>
        <v>7.9572618401326151E-2</v>
      </c>
      <c r="V29">
        <v>-3.5000000000000102</v>
      </c>
      <c r="W29">
        <f t="shared" si="9"/>
        <v>-0.34120999999999957</v>
      </c>
      <c r="Y29">
        <v>0.25</v>
      </c>
      <c r="Z29">
        <f t="shared" si="10"/>
        <v>1.5393300000000001</v>
      </c>
    </row>
    <row r="30" spans="1:26" x14ac:dyDescent="0.3">
      <c r="A30">
        <v>2.6907605999999999</v>
      </c>
      <c r="B30">
        <v>0.62817999999999996</v>
      </c>
      <c r="C30">
        <f t="shared" si="1"/>
        <v>1.6902819937079998</v>
      </c>
      <c r="D30">
        <v>1.5800000000000002E-2</v>
      </c>
      <c r="E30">
        <v>4.1920000000000004E-3</v>
      </c>
      <c r="F30">
        <f t="shared" si="2"/>
        <v>538.15211999999997</v>
      </c>
      <c r="G30">
        <f t="shared" si="3"/>
        <v>-0.62817999999999996</v>
      </c>
      <c r="H30">
        <f t="shared" si="4"/>
        <v>-338.05639874159993</v>
      </c>
      <c r="I30">
        <v>1</v>
      </c>
      <c r="J30">
        <f t="shared" si="5"/>
        <v>-0.6196140078574951</v>
      </c>
      <c r="K30">
        <f t="shared" si="6"/>
        <v>-0.59354515177521749</v>
      </c>
      <c r="L30">
        <v>1</v>
      </c>
      <c r="M30">
        <f t="shared" si="7"/>
        <v>0.45763520180240003</v>
      </c>
      <c r="N30">
        <f t="shared" si="13"/>
        <v>4.2514017480000006E-2</v>
      </c>
      <c r="O30">
        <f t="shared" si="11"/>
        <v>1.1279668435200001E-2</v>
      </c>
      <c r="P30">
        <f t="shared" si="12"/>
        <v>8.2116264057617461E-2</v>
      </c>
      <c r="V30">
        <v>-3.4000000000000101</v>
      </c>
      <c r="W30">
        <f t="shared" si="9"/>
        <v>-0.34525199999999956</v>
      </c>
      <c r="Y30">
        <v>0.26</v>
      </c>
      <c r="Z30">
        <f t="shared" si="10"/>
        <v>1.6127004</v>
      </c>
    </row>
    <row r="31" spans="1:26" x14ac:dyDescent="0.3">
      <c r="A31">
        <v>2.7894976000000002</v>
      </c>
      <c r="B31">
        <v>0.62209000000000003</v>
      </c>
      <c r="C31">
        <f t="shared" si="1"/>
        <v>1.7353185619840001</v>
      </c>
      <c r="D31">
        <v>1.5800000000000002E-2</v>
      </c>
      <c r="E31">
        <v>4.1920000000000004E-3</v>
      </c>
      <c r="F31">
        <f t="shared" si="2"/>
        <v>557.89952000000005</v>
      </c>
      <c r="G31">
        <f t="shared" si="3"/>
        <v>-0.62209000000000003</v>
      </c>
      <c r="H31">
        <f t="shared" si="4"/>
        <v>-347.06371239680004</v>
      </c>
      <c r="I31">
        <v>1</v>
      </c>
      <c r="J31">
        <f t="shared" si="5"/>
        <v>-0.58357640450026615</v>
      </c>
      <c r="K31">
        <f t="shared" si="6"/>
        <v>-0.59963515177521742</v>
      </c>
      <c r="L31">
        <v>1</v>
      </c>
      <c r="M31">
        <f t="shared" si="7"/>
        <v>0.45909184173009926</v>
      </c>
      <c r="N31">
        <f t="shared" si="13"/>
        <v>4.4074062080000011E-2</v>
      </c>
      <c r="O31">
        <f t="shared" si="11"/>
        <v>1.1693573939200003E-2</v>
      </c>
      <c r="P31">
        <f t="shared" si="12"/>
        <v>8.4775674025918152E-2</v>
      </c>
      <c r="V31">
        <v>-3.30000000000001</v>
      </c>
      <c r="W31">
        <f t="shared" si="9"/>
        <v>-0.3492939999999996</v>
      </c>
      <c r="Y31">
        <v>0.27</v>
      </c>
      <c r="Z31">
        <f t="shared" si="10"/>
        <v>1.6860708</v>
      </c>
    </row>
    <row r="32" spans="1:26" x14ac:dyDescent="0.3">
      <c r="A32">
        <v>2.8896761</v>
      </c>
      <c r="B32">
        <v>0.61604999999999999</v>
      </c>
      <c r="C32">
        <f t="shared" si="1"/>
        <v>1.780184961405</v>
      </c>
      <c r="D32">
        <v>1.5800000000000002E-2</v>
      </c>
      <c r="E32">
        <v>4.1920000000000004E-3</v>
      </c>
      <c r="F32">
        <f t="shared" si="2"/>
        <v>577.93521999999996</v>
      </c>
      <c r="G32">
        <f t="shared" si="3"/>
        <v>-0.61604999999999999</v>
      </c>
      <c r="H32">
        <f t="shared" si="4"/>
        <v>-356.03699228099998</v>
      </c>
      <c r="I32">
        <v>1</v>
      </c>
      <c r="J32">
        <f t="shared" si="5"/>
        <v>-0.54829349271532524</v>
      </c>
      <c r="K32">
        <f t="shared" si="6"/>
        <v>-0.60567515177521747</v>
      </c>
      <c r="L32">
        <v>1</v>
      </c>
      <c r="M32">
        <f t="shared" si="7"/>
        <v>0.46051797702444658</v>
      </c>
      <c r="N32">
        <f t="shared" si="13"/>
        <v>4.5656882380000006E-2</v>
      </c>
      <c r="O32">
        <f t="shared" si="11"/>
        <v>1.2113522211200002E-2</v>
      </c>
      <c r="P32">
        <f t="shared" si="12"/>
        <v>8.7386770159570873E-2</v>
      </c>
      <c r="V32">
        <v>-3.2000000000000099</v>
      </c>
      <c r="W32">
        <f t="shared" si="9"/>
        <v>-0.35333599999999959</v>
      </c>
    </row>
    <row r="33" spans="1:23" x14ac:dyDescent="0.3">
      <c r="A33">
        <v>2.98913385</v>
      </c>
      <c r="B33">
        <v>0.61002999999999996</v>
      </c>
      <c r="C33">
        <f t="shared" si="1"/>
        <v>1.8234613225154999</v>
      </c>
      <c r="D33">
        <v>1.5800000000000002E-2</v>
      </c>
      <c r="E33">
        <v>4.1920000000000004E-3</v>
      </c>
      <c r="F33">
        <f t="shared" si="2"/>
        <v>597.82677000000001</v>
      </c>
      <c r="G33">
        <f t="shared" si="3"/>
        <v>-0.61002999999999996</v>
      </c>
      <c r="H33">
        <f t="shared" si="4"/>
        <v>-364.69226450309998</v>
      </c>
      <c r="I33">
        <v>1</v>
      </c>
      <c r="J33">
        <f t="shared" si="5"/>
        <v>-0.51445424927176742</v>
      </c>
      <c r="K33">
        <f t="shared" si="6"/>
        <v>-0.61169515177521749</v>
      </c>
      <c r="L33">
        <v>1</v>
      </c>
      <c r="M33">
        <f t="shared" si="7"/>
        <v>0.46188575924443515</v>
      </c>
      <c r="N33">
        <f t="shared" si="13"/>
        <v>4.7228314830000007E-2</v>
      </c>
      <c r="O33">
        <f t="shared" si="11"/>
        <v>1.2530449099200001E-2</v>
      </c>
      <c r="P33">
        <f t="shared" si="12"/>
        <v>9.0050628601582333E-2</v>
      </c>
      <c r="V33">
        <v>-3.1000000000000099</v>
      </c>
      <c r="W33">
        <f t="shared" si="9"/>
        <v>-0.35737799999999964</v>
      </c>
    </row>
    <row r="34" spans="1:23" x14ac:dyDescent="0.3">
      <c r="A34">
        <v>3.0900330500000002</v>
      </c>
      <c r="B34">
        <v>0.60409000000000002</v>
      </c>
      <c r="C34">
        <f t="shared" si="1"/>
        <v>1.8666580651745002</v>
      </c>
      <c r="D34">
        <v>1.5800000000000002E-2</v>
      </c>
      <c r="E34">
        <v>4.1920000000000004E-3</v>
      </c>
      <c r="F34">
        <f t="shared" si="2"/>
        <v>618.00661000000002</v>
      </c>
      <c r="G34">
        <f t="shared" si="3"/>
        <v>-0.60409000000000002</v>
      </c>
      <c r="H34">
        <f t="shared" si="4"/>
        <v>-373.33161303490004</v>
      </c>
      <c r="I34">
        <v>1</v>
      </c>
      <c r="J34">
        <f t="shared" si="5"/>
        <v>-0.48125612578876559</v>
      </c>
      <c r="K34">
        <f t="shared" si="6"/>
        <v>-0.61763515177521744</v>
      </c>
      <c r="L34">
        <v>1</v>
      </c>
      <c r="M34">
        <f t="shared" si="7"/>
        <v>0.46322762739561807</v>
      </c>
      <c r="N34">
        <f t="shared" si="13"/>
        <v>4.8822522190000009E-2</v>
      </c>
      <c r="O34">
        <f t="shared" si="11"/>
        <v>1.2953418545600002E-2</v>
      </c>
      <c r="P34">
        <f t="shared" si="12"/>
        <v>9.2631583643999357E-2</v>
      </c>
      <c r="V34">
        <v>-3.0000000000000102</v>
      </c>
      <c r="W34">
        <f t="shared" si="9"/>
        <v>-0.36141999999999957</v>
      </c>
    </row>
    <row r="35" spans="1:23" x14ac:dyDescent="0.3">
      <c r="A35">
        <v>3.1902115500000003</v>
      </c>
      <c r="B35">
        <v>0.59821000000000002</v>
      </c>
      <c r="C35">
        <f t="shared" si="1"/>
        <v>1.9084164513255002</v>
      </c>
      <c r="D35">
        <v>1.5800000000000002E-2</v>
      </c>
      <c r="E35">
        <v>4.1920000000000004E-3</v>
      </c>
      <c r="F35">
        <f t="shared" si="2"/>
        <v>638.04231000000004</v>
      </c>
      <c r="G35">
        <f t="shared" si="3"/>
        <v>-0.59821000000000002</v>
      </c>
      <c r="H35">
        <f t="shared" si="4"/>
        <v>-381.68329026510003</v>
      </c>
      <c r="I35">
        <v>1</v>
      </c>
      <c r="J35">
        <f t="shared" si="5"/>
        <v>-0.44935068122177657</v>
      </c>
      <c r="K35">
        <f t="shared" si="6"/>
        <v>-0.62351515177521744</v>
      </c>
      <c r="L35">
        <v>1</v>
      </c>
      <c r="M35">
        <f t="shared" si="7"/>
        <v>0.46451724546501577</v>
      </c>
      <c r="N35">
        <f t="shared" si="13"/>
        <v>5.0405342490000012E-2</v>
      </c>
      <c r="O35">
        <f t="shared" si="11"/>
        <v>1.3373366817600003E-2</v>
      </c>
      <c r="P35">
        <f t="shared" si="12"/>
        <v>9.521919700260166E-2</v>
      </c>
      <c r="V35">
        <v>-2.9000000000000101</v>
      </c>
      <c r="W35">
        <f t="shared" si="9"/>
        <v>-0.36546199999999962</v>
      </c>
    </row>
    <row r="36" spans="1:23" x14ac:dyDescent="0.3">
      <c r="A36">
        <v>3.2896692999999999</v>
      </c>
      <c r="B36">
        <v>0.59236999999999995</v>
      </c>
      <c r="C36">
        <f t="shared" si="1"/>
        <v>1.9487014032409997</v>
      </c>
      <c r="D36">
        <v>1.5800000000000002E-2</v>
      </c>
      <c r="E36">
        <v>4.1920000000000004E-3</v>
      </c>
      <c r="F36">
        <f t="shared" si="2"/>
        <v>657.93385999999998</v>
      </c>
      <c r="G36">
        <f t="shared" si="3"/>
        <v>-0.59236999999999995</v>
      </c>
      <c r="H36">
        <f t="shared" si="4"/>
        <v>-389.74028064819993</v>
      </c>
      <c r="I36">
        <v>1</v>
      </c>
      <c r="J36">
        <f t="shared" si="5"/>
        <v>-0.41865086942628887</v>
      </c>
      <c r="K36">
        <f t="shared" si="6"/>
        <v>-0.6293551517752175</v>
      </c>
      <c r="L36">
        <v>1</v>
      </c>
      <c r="M36">
        <f t="shared" si="7"/>
        <v>0.46575813185778941</v>
      </c>
      <c r="N36">
        <f t="shared" si="13"/>
        <v>5.1976774940000005E-2</v>
      </c>
      <c r="O36">
        <f t="shared" si="11"/>
        <v>1.3790293705600001E-2</v>
      </c>
      <c r="P36">
        <f t="shared" si="12"/>
        <v>9.7829951271828086E-2</v>
      </c>
      <c r="V36">
        <v>-2.80000000000001</v>
      </c>
      <c r="W36">
        <f t="shared" si="9"/>
        <v>-0.36950399999999961</v>
      </c>
    </row>
    <row r="37" spans="1:23" x14ac:dyDescent="0.3">
      <c r="A37">
        <v>3.3898475000000001</v>
      </c>
      <c r="B37">
        <v>0.58650999999999998</v>
      </c>
      <c r="C37">
        <f t="shared" si="1"/>
        <v>1.988179457225</v>
      </c>
      <c r="D37">
        <v>1.5800000000000002E-2</v>
      </c>
      <c r="E37">
        <v>4.1920000000000004E-3</v>
      </c>
      <c r="F37">
        <f t="shared" si="2"/>
        <v>677.96950000000004</v>
      </c>
      <c r="G37">
        <f t="shared" si="3"/>
        <v>-0.58650999999999998</v>
      </c>
      <c r="H37">
        <f t="shared" si="4"/>
        <v>-397.63589144500003</v>
      </c>
      <c r="I37">
        <v>1</v>
      </c>
      <c r="J37">
        <f t="shared" si="5"/>
        <v>-0.38865297730434567</v>
      </c>
      <c r="K37">
        <f t="shared" si="6"/>
        <v>-0.63521515177521748</v>
      </c>
      <c r="L37">
        <v>1</v>
      </c>
      <c r="M37">
        <f t="shared" si="7"/>
        <v>0.46697064665735832</v>
      </c>
      <c r="N37">
        <f t="shared" si="13"/>
        <v>5.3559590500000004E-2</v>
      </c>
      <c r="O37">
        <f t="shared" si="11"/>
        <v>1.4210240720000001E-2</v>
      </c>
      <c r="P37">
        <f t="shared" si="12"/>
        <v>0.10047467389785915</v>
      </c>
      <c r="V37">
        <v>-2.7000000000000099</v>
      </c>
      <c r="W37">
        <f t="shared" si="9"/>
        <v>-0.3735459999999996</v>
      </c>
    </row>
    <row r="38" spans="1:23" x14ac:dyDescent="0.3">
      <c r="A38">
        <v>3.4885847499999998</v>
      </c>
      <c r="B38">
        <v>0.58067000000000002</v>
      </c>
      <c r="C38">
        <f t="shared" si="1"/>
        <v>2.0257165067825</v>
      </c>
      <c r="D38">
        <v>1.5800000000000002E-2</v>
      </c>
      <c r="E38">
        <v>4.1920000000000004E-3</v>
      </c>
      <c r="F38">
        <f t="shared" si="2"/>
        <v>697.71695</v>
      </c>
      <c r="G38">
        <f t="shared" si="3"/>
        <v>-0.58067000000000002</v>
      </c>
      <c r="H38">
        <f t="shared" si="4"/>
        <v>-405.14330135649999</v>
      </c>
      <c r="I38">
        <v>1</v>
      </c>
      <c r="J38">
        <f t="shared" si="5"/>
        <v>-0.35994177422282725</v>
      </c>
      <c r="K38">
        <f t="shared" si="6"/>
        <v>-0.64105515177521744</v>
      </c>
      <c r="L38">
        <v>1</v>
      </c>
      <c r="M38">
        <f t="shared" si="7"/>
        <v>0.46813115348591333</v>
      </c>
      <c r="N38">
        <f t="shared" si="13"/>
        <v>5.5119639050000002E-2</v>
      </c>
      <c r="O38">
        <f t="shared" si="11"/>
        <v>1.4624147272000001E-2</v>
      </c>
      <c r="P38">
        <f t="shared" si="12"/>
        <v>0.10318021196730411</v>
      </c>
      <c r="V38">
        <v>-2.6000000000000099</v>
      </c>
      <c r="W38">
        <f t="shared" si="9"/>
        <v>-0.37758799999999959</v>
      </c>
    </row>
    <row r="39" spans="1:23" x14ac:dyDescent="0.3">
      <c r="A39">
        <v>3.58876325</v>
      </c>
      <c r="B39">
        <v>0.57481000000000004</v>
      </c>
      <c r="C39">
        <f t="shared" si="1"/>
        <v>2.0628570037325002</v>
      </c>
      <c r="D39">
        <v>1.5800000000000002E-2</v>
      </c>
      <c r="E39">
        <v>4.1920000000000004E-3</v>
      </c>
      <c r="F39">
        <f t="shared" si="2"/>
        <v>717.75265000000002</v>
      </c>
      <c r="G39">
        <f t="shared" si="3"/>
        <v>-0.57481000000000004</v>
      </c>
      <c r="H39">
        <f t="shared" si="4"/>
        <v>-412.57140074650005</v>
      </c>
      <c r="I39">
        <v>1</v>
      </c>
      <c r="J39">
        <f t="shared" si="5"/>
        <v>-0.33163026789443223</v>
      </c>
      <c r="K39">
        <f t="shared" si="6"/>
        <v>-0.64691515177521741</v>
      </c>
      <c r="L39">
        <v>1</v>
      </c>
      <c r="M39">
        <f t="shared" si="7"/>
        <v>0.46927550457170703</v>
      </c>
      <c r="N39">
        <f t="shared" si="13"/>
        <v>5.6702459350000005E-2</v>
      </c>
      <c r="O39">
        <f t="shared" si="11"/>
        <v>1.5044095544000002E-2</v>
      </c>
      <c r="P39">
        <f t="shared" si="12"/>
        <v>0.10589309230951037</v>
      </c>
      <c r="V39">
        <v>-2.5000000000000102</v>
      </c>
      <c r="W39">
        <f t="shared" si="9"/>
        <v>-0.38162999999999958</v>
      </c>
    </row>
    <row r="40" spans="1:23" x14ac:dyDescent="0.3">
      <c r="A40">
        <v>3.688221</v>
      </c>
      <c r="B40">
        <v>0.56899999999999995</v>
      </c>
      <c r="C40">
        <f t="shared" si="1"/>
        <v>2.0985977489999996</v>
      </c>
      <c r="D40">
        <v>1.5800000000000002E-2</v>
      </c>
      <c r="E40">
        <v>4.1920000000000004E-3</v>
      </c>
      <c r="F40">
        <f t="shared" si="2"/>
        <v>737.64419999999996</v>
      </c>
      <c r="G40">
        <f t="shared" si="3"/>
        <v>-0.56899999999999995</v>
      </c>
      <c r="H40">
        <f t="shared" si="4"/>
        <v>-419.71954979999992</v>
      </c>
      <c r="I40">
        <v>1</v>
      </c>
      <c r="J40">
        <f t="shared" si="5"/>
        <v>-0.30429368445703775</v>
      </c>
      <c r="K40">
        <f t="shared" si="6"/>
        <v>-0.6527251517752175</v>
      </c>
      <c r="L40">
        <v>1</v>
      </c>
      <c r="M40">
        <f t="shared" si="7"/>
        <v>0.47038044927424655</v>
      </c>
      <c r="N40">
        <f t="shared" si="13"/>
        <v>5.8273891800000005E-2</v>
      </c>
      <c r="O40">
        <f t="shared" si="11"/>
        <v>1.5461022432000001E-2</v>
      </c>
      <c r="P40">
        <f t="shared" si="12"/>
        <v>0.10860978826897096</v>
      </c>
      <c r="V40">
        <v>-2.4000000000000101</v>
      </c>
      <c r="W40">
        <f t="shared" si="9"/>
        <v>-0.38567199999999957</v>
      </c>
    </row>
    <row r="41" spans="1:23" x14ac:dyDescent="0.3">
      <c r="A41">
        <v>3.7876787000000003</v>
      </c>
      <c r="B41">
        <v>0.56320999999999999</v>
      </c>
      <c r="C41">
        <f t="shared" si="1"/>
        <v>2.1332585206270003</v>
      </c>
      <c r="D41">
        <v>1.5800000000000002E-2</v>
      </c>
      <c r="E41">
        <v>4.1920000000000004E-3</v>
      </c>
      <c r="F41">
        <f t="shared" si="2"/>
        <v>757.53574000000003</v>
      </c>
      <c r="G41">
        <f t="shared" si="3"/>
        <v>-0.56320999999999999</v>
      </c>
      <c r="H41">
        <f t="shared" si="4"/>
        <v>-426.65170412540004</v>
      </c>
      <c r="I41">
        <v>1</v>
      </c>
      <c r="J41">
        <f t="shared" si="5"/>
        <v>-0.27768456119347384</v>
      </c>
      <c r="K41">
        <f t="shared" si="6"/>
        <v>-0.65851515177521747</v>
      </c>
      <c r="L41">
        <v>1</v>
      </c>
      <c r="M41">
        <f t="shared" si="7"/>
        <v>0.4714559900365598</v>
      </c>
      <c r="N41">
        <f t="shared" si="13"/>
        <v>5.9845323460000009E-2</v>
      </c>
      <c r="O41">
        <f t="shared" si="11"/>
        <v>1.5877949110400004E-2</v>
      </c>
      <c r="P41">
        <f t="shared" si="12"/>
        <v>0.11133588916825765</v>
      </c>
      <c r="V41">
        <v>-2.30000000000001</v>
      </c>
      <c r="W41">
        <f t="shared" si="9"/>
        <v>-0.38971399999999962</v>
      </c>
    </row>
    <row r="42" spans="1:23" x14ac:dyDescent="0.3">
      <c r="A42">
        <v>3.8885777000000004</v>
      </c>
      <c r="B42">
        <v>0.55747000000000002</v>
      </c>
      <c r="C42">
        <f t="shared" si="1"/>
        <v>2.1677654104190003</v>
      </c>
      <c r="D42">
        <v>1.5800000000000002E-2</v>
      </c>
      <c r="E42">
        <v>4.1920000000000004E-3</v>
      </c>
      <c r="F42">
        <f t="shared" si="2"/>
        <v>777.71554000000003</v>
      </c>
      <c r="G42">
        <f t="shared" si="3"/>
        <v>-0.55747000000000002</v>
      </c>
      <c r="H42">
        <f t="shared" si="4"/>
        <v>-433.55308208380006</v>
      </c>
      <c r="I42">
        <v>1</v>
      </c>
      <c r="J42">
        <f t="shared" si="5"/>
        <v>-0.25139445148267708</v>
      </c>
      <c r="K42">
        <f t="shared" si="6"/>
        <v>-0.66425515177521743</v>
      </c>
      <c r="L42">
        <v>1</v>
      </c>
      <c r="M42">
        <f t="shared" si="7"/>
        <v>0.47251863627107021</v>
      </c>
      <c r="N42">
        <f t="shared" si="13"/>
        <v>6.1439527660000014E-2</v>
      </c>
      <c r="O42">
        <f t="shared" si="11"/>
        <v>1.6300917718400004E-2</v>
      </c>
      <c r="P42">
        <f t="shared" si="12"/>
        <v>0.1139960701257472</v>
      </c>
      <c r="V42">
        <v>-2.2000000000000099</v>
      </c>
      <c r="W42">
        <f t="shared" si="9"/>
        <v>-0.39375599999999961</v>
      </c>
    </row>
    <row r="43" spans="1:23" x14ac:dyDescent="0.3">
      <c r="A43">
        <v>3.98731495</v>
      </c>
      <c r="B43">
        <v>0.55178000000000005</v>
      </c>
      <c r="C43">
        <f t="shared" si="1"/>
        <v>2.2001206431110001</v>
      </c>
      <c r="D43">
        <v>1.5800000000000002E-2</v>
      </c>
      <c r="E43">
        <v>4.1920000000000004E-3</v>
      </c>
      <c r="F43">
        <f t="shared" si="2"/>
        <v>797.46298999999999</v>
      </c>
      <c r="G43">
        <f t="shared" si="3"/>
        <v>-0.55178000000000005</v>
      </c>
      <c r="H43">
        <f t="shared" si="4"/>
        <v>-440.02412862220001</v>
      </c>
      <c r="I43">
        <v>1</v>
      </c>
      <c r="J43">
        <f t="shared" si="5"/>
        <v>-0.22631985292351084</v>
      </c>
      <c r="K43">
        <f t="shared" si="6"/>
        <v>-0.66994515177521741</v>
      </c>
      <c r="L43">
        <v>1</v>
      </c>
      <c r="M43">
        <f t="shared" si="7"/>
        <v>0.47353215154483169</v>
      </c>
      <c r="N43">
        <f t="shared" si="13"/>
        <v>6.2999576210000005E-2</v>
      </c>
      <c r="O43">
        <f t="shared" si="11"/>
        <v>1.6714824270400001E-2</v>
      </c>
      <c r="P43">
        <f t="shared" si="12"/>
        <v>0.1166985997499857</v>
      </c>
      <c r="V43">
        <v>-2.1000000000000099</v>
      </c>
      <c r="W43">
        <f t="shared" si="9"/>
        <v>-0.3977979999999996</v>
      </c>
    </row>
    <row r="44" spans="1:23" x14ac:dyDescent="0.3">
      <c r="A44">
        <v>4.0860519499999999</v>
      </c>
      <c r="B44">
        <v>0.54595000000000005</v>
      </c>
      <c r="C44">
        <f t="shared" si="1"/>
        <v>2.2307800621025002</v>
      </c>
      <c r="D44">
        <v>1.5800000000000002E-2</v>
      </c>
      <c r="E44">
        <v>4.1920000000000004E-3</v>
      </c>
      <c r="F44">
        <f t="shared" si="2"/>
        <v>817.21038999999996</v>
      </c>
      <c r="G44">
        <f t="shared" si="3"/>
        <v>-0.54595000000000005</v>
      </c>
      <c r="H44">
        <f t="shared" si="4"/>
        <v>-446.15601242050002</v>
      </c>
      <c r="I44">
        <v>1</v>
      </c>
      <c r="J44">
        <f t="shared" si="5"/>
        <v>-0.20185870197363026</v>
      </c>
      <c r="K44">
        <f t="shared" si="6"/>
        <v>-0.67577515177521741</v>
      </c>
      <c r="L44">
        <v>1</v>
      </c>
      <c r="M44">
        <f t="shared" si="7"/>
        <v>0.47452087126622589</v>
      </c>
      <c r="N44">
        <f t="shared" si="13"/>
        <v>6.455962081000001E-2</v>
      </c>
      <c r="O44">
        <f t="shared" si="11"/>
        <v>1.7128729774400001E-2</v>
      </c>
      <c r="P44">
        <f t="shared" si="12"/>
        <v>0.11956592992459153</v>
      </c>
      <c r="V44">
        <v>-2.0000000000000102</v>
      </c>
      <c r="W44">
        <f t="shared" si="9"/>
        <v>-0.40183999999999959</v>
      </c>
    </row>
    <row r="45" spans="1:23" x14ac:dyDescent="0.3">
      <c r="A45">
        <v>4.1840681999999996</v>
      </c>
      <c r="B45">
        <v>0.54003000000000001</v>
      </c>
      <c r="C45">
        <f t="shared" si="1"/>
        <v>2.2595223500459998</v>
      </c>
      <c r="D45">
        <v>1.5800000000000002E-2</v>
      </c>
      <c r="E45">
        <v>4.1920000000000004E-3</v>
      </c>
      <c r="F45">
        <f t="shared" si="2"/>
        <v>836.81363999999996</v>
      </c>
      <c r="G45">
        <f t="shared" si="3"/>
        <v>-0.54003000000000001</v>
      </c>
      <c r="H45">
        <f t="shared" si="4"/>
        <v>-451.90447000919994</v>
      </c>
      <c r="I45">
        <v>1</v>
      </c>
      <c r="J45">
        <f t="shared" si="5"/>
        <v>-0.17815388561312079</v>
      </c>
      <c r="K45">
        <f t="shared" si="6"/>
        <v>-0.68169515177521744</v>
      </c>
      <c r="L45">
        <v>1</v>
      </c>
      <c r="M45">
        <f t="shared" si="7"/>
        <v>0.47547901994351766</v>
      </c>
      <c r="N45">
        <f t="shared" si="13"/>
        <v>6.6108277559999998E-2</v>
      </c>
      <c r="O45">
        <f t="shared" si="11"/>
        <v>1.7539613894400001E-2</v>
      </c>
      <c r="P45">
        <f t="shared" si="12"/>
        <v>0.1225682403772998</v>
      </c>
      <c r="V45">
        <v>-1.9000000000000099</v>
      </c>
      <c r="W45">
        <f t="shared" si="9"/>
        <v>-0.40588199999999963</v>
      </c>
    </row>
    <row r="46" spans="1:23" x14ac:dyDescent="0.3">
      <c r="A46">
        <v>4.2849674000000002</v>
      </c>
      <c r="B46">
        <v>0.53415000000000001</v>
      </c>
      <c r="C46">
        <f t="shared" si="1"/>
        <v>2.2888153367100004</v>
      </c>
      <c r="D46">
        <v>1.5800000000000002E-2</v>
      </c>
      <c r="E46">
        <v>4.1920000000000004E-3</v>
      </c>
      <c r="F46">
        <f t="shared" si="2"/>
        <v>856.99348000000009</v>
      </c>
      <c r="G46">
        <f t="shared" si="3"/>
        <v>-0.53415000000000001</v>
      </c>
      <c r="H46">
        <f t="shared" si="4"/>
        <v>-457.76306734200006</v>
      </c>
      <c r="I46">
        <v>1</v>
      </c>
      <c r="J46">
        <f t="shared" si="5"/>
        <v>-0.15432496834795342</v>
      </c>
      <c r="K46">
        <f t="shared" si="6"/>
        <v>-0.68757515177521744</v>
      </c>
      <c r="L46">
        <v>1</v>
      </c>
      <c r="M46">
        <f t="shared" si="7"/>
        <v>0.47644218477937572</v>
      </c>
      <c r="N46">
        <f t="shared" si="13"/>
        <v>6.7702484920000014E-2</v>
      </c>
      <c r="O46">
        <f t="shared" si="11"/>
        <v>1.7962583340800004E-2</v>
      </c>
      <c r="P46">
        <f t="shared" si="12"/>
        <v>0.12546789873504169</v>
      </c>
      <c r="V46">
        <v>-1.80000000000001</v>
      </c>
      <c r="W46">
        <f t="shared" si="9"/>
        <v>-0.40992399999999962</v>
      </c>
    </row>
    <row r="47" spans="1:23" x14ac:dyDescent="0.3">
      <c r="A47">
        <v>4.3837046500000003</v>
      </c>
      <c r="B47">
        <v>0.52825</v>
      </c>
      <c r="C47">
        <f t="shared" si="1"/>
        <v>2.3156919813625003</v>
      </c>
      <c r="D47">
        <v>1.5800000000000002E-2</v>
      </c>
      <c r="E47">
        <v>4.1920000000000004E-3</v>
      </c>
      <c r="F47">
        <f t="shared" si="2"/>
        <v>876.74093000000005</v>
      </c>
      <c r="G47">
        <f t="shared" si="3"/>
        <v>-0.52825</v>
      </c>
      <c r="H47">
        <f t="shared" si="4"/>
        <v>-463.13839627250007</v>
      </c>
      <c r="I47">
        <v>1</v>
      </c>
      <c r="J47">
        <f t="shared" si="5"/>
        <v>-0.13154373503959685</v>
      </c>
      <c r="K47">
        <f t="shared" si="6"/>
        <v>-0.69347515177521746</v>
      </c>
      <c r="L47">
        <v>1</v>
      </c>
      <c r="M47">
        <f t="shared" si="7"/>
        <v>0.47736300222969952</v>
      </c>
      <c r="N47">
        <f t="shared" si="13"/>
        <v>6.9262533470000012E-2</v>
      </c>
      <c r="O47">
        <f t="shared" si="11"/>
        <v>1.8376489892800003E-2</v>
      </c>
      <c r="P47">
        <f t="shared" si="12"/>
        <v>0.12847312618271794</v>
      </c>
      <c r="V47">
        <v>-1.7000000000000199</v>
      </c>
      <c r="W47">
        <f t="shared" si="9"/>
        <v>-0.41396599999999917</v>
      </c>
    </row>
    <row r="48" spans="1:23" x14ac:dyDescent="0.3">
      <c r="A48">
        <v>4.4838829000000002</v>
      </c>
      <c r="B48">
        <v>0.52234000000000003</v>
      </c>
      <c r="C48">
        <f t="shared" si="1"/>
        <v>2.3421113939860003</v>
      </c>
      <c r="D48">
        <v>1.5800000000000002E-2</v>
      </c>
      <c r="E48">
        <v>4.1920000000000004E-3</v>
      </c>
      <c r="F48">
        <f t="shared" si="2"/>
        <v>896.77658000000008</v>
      </c>
      <c r="G48">
        <f t="shared" si="3"/>
        <v>-0.52234000000000003</v>
      </c>
      <c r="H48">
        <f t="shared" si="4"/>
        <v>-468.42227879720008</v>
      </c>
      <c r="I48">
        <v>1</v>
      </c>
      <c r="J48">
        <f t="shared" si="5"/>
        <v>-0.10894852264101654</v>
      </c>
      <c r="K48">
        <f t="shared" si="6"/>
        <v>-0.69938515177521743</v>
      </c>
      <c r="L48">
        <v>1</v>
      </c>
      <c r="M48">
        <f t="shared" si="7"/>
        <v>0.47827630071485011</v>
      </c>
      <c r="N48">
        <f t="shared" si="13"/>
        <v>7.0845349820000014E-2</v>
      </c>
      <c r="O48">
        <f t="shared" si="11"/>
        <v>1.8796437116800003E-2</v>
      </c>
      <c r="P48">
        <f t="shared" si="12"/>
        <v>0.13146706412356729</v>
      </c>
      <c r="V48">
        <v>-1.6000000000000201</v>
      </c>
      <c r="W48">
        <f t="shared" si="9"/>
        <v>-0.41800799999999916</v>
      </c>
    </row>
    <row r="49" spans="1:23" x14ac:dyDescent="0.3">
      <c r="A49">
        <v>4.5840616000000001</v>
      </c>
      <c r="B49">
        <v>0.51651999999999998</v>
      </c>
      <c r="C49">
        <f t="shared" si="1"/>
        <v>2.367759497632</v>
      </c>
      <c r="D49">
        <v>1.5800000000000002E-2</v>
      </c>
      <c r="E49">
        <v>4.1920000000000004E-3</v>
      </c>
      <c r="F49">
        <f t="shared" si="2"/>
        <v>916.81232</v>
      </c>
      <c r="G49">
        <f t="shared" si="3"/>
        <v>-0.51651999999999998</v>
      </c>
      <c r="H49">
        <f t="shared" si="4"/>
        <v>-473.55189952640001</v>
      </c>
      <c r="I49">
        <v>1</v>
      </c>
      <c r="J49">
        <f t="shared" si="5"/>
        <v>-8.6852495066576427E-2</v>
      </c>
      <c r="K49">
        <f t="shared" si="6"/>
        <v>-0.70520515177521748</v>
      </c>
      <c r="L49">
        <v>1</v>
      </c>
      <c r="M49">
        <f t="shared" si="7"/>
        <v>0.479169422149409</v>
      </c>
      <c r="N49">
        <f t="shared" si="13"/>
        <v>7.2428173280000008E-2</v>
      </c>
      <c r="O49">
        <f t="shared" si="11"/>
        <v>1.9216386227200004E-2</v>
      </c>
      <c r="P49">
        <f t="shared" si="12"/>
        <v>0.13439117011860846</v>
      </c>
      <c r="V49">
        <v>-1.50000000000002</v>
      </c>
      <c r="W49">
        <f t="shared" si="9"/>
        <v>-0.4220499999999992</v>
      </c>
    </row>
    <row r="50" spans="1:23" x14ac:dyDescent="0.3">
      <c r="A50">
        <v>4.68423985</v>
      </c>
      <c r="B50">
        <v>0.51036000000000004</v>
      </c>
      <c r="C50">
        <f t="shared" si="1"/>
        <v>2.3906486498460002</v>
      </c>
      <c r="D50">
        <v>1.5800000000000002E-2</v>
      </c>
      <c r="E50">
        <v>4.1920000000000004E-3</v>
      </c>
      <c r="F50">
        <f t="shared" si="2"/>
        <v>936.84797000000003</v>
      </c>
      <c r="G50">
        <f t="shared" si="3"/>
        <v>-0.51036000000000004</v>
      </c>
      <c r="H50">
        <f t="shared" si="4"/>
        <v>-478.12972996920007</v>
      </c>
      <c r="I50">
        <v>1</v>
      </c>
      <c r="J50">
        <f t="shared" si="5"/>
        <v>-6.523426177563578E-2</v>
      </c>
      <c r="K50">
        <f t="shared" si="6"/>
        <v>-0.71136515177521742</v>
      </c>
      <c r="L50">
        <v>1</v>
      </c>
      <c r="M50">
        <f t="shared" si="7"/>
        <v>0.4800432311390288</v>
      </c>
      <c r="N50">
        <f t="shared" si="13"/>
        <v>7.401098963000001E-2</v>
      </c>
      <c r="O50">
        <f t="shared" si="11"/>
        <v>1.9636333451200003E-2</v>
      </c>
      <c r="P50">
        <f t="shared" si="12"/>
        <v>0.13767459755498859</v>
      </c>
      <c r="V50">
        <v>-1.4000000000000199</v>
      </c>
      <c r="W50">
        <f t="shared" si="9"/>
        <v>-0.42609199999999919</v>
      </c>
    </row>
    <row r="51" spans="1:23" x14ac:dyDescent="0.3">
      <c r="A51">
        <v>4.7836976</v>
      </c>
      <c r="B51">
        <v>0.50410999999999995</v>
      </c>
      <c r="C51">
        <f t="shared" si="1"/>
        <v>2.4115097971359996</v>
      </c>
      <c r="D51">
        <v>1.5800000000000002E-2</v>
      </c>
      <c r="E51">
        <v>4.1920000000000004E-3</v>
      </c>
      <c r="F51">
        <f t="shared" si="2"/>
        <v>956.73951999999997</v>
      </c>
      <c r="G51">
        <f t="shared" si="3"/>
        <v>-0.50410999999999995</v>
      </c>
      <c r="H51">
        <f t="shared" si="4"/>
        <v>-482.3019594271999</v>
      </c>
      <c r="I51">
        <v>1</v>
      </c>
      <c r="J51">
        <f t="shared" si="5"/>
        <v>-4.4224108485991585E-2</v>
      </c>
      <c r="K51">
        <f t="shared" si="6"/>
        <v>-0.71761515177521751</v>
      </c>
      <c r="L51">
        <v>1</v>
      </c>
      <c r="M51">
        <f t="shared" si="7"/>
        <v>0.48089246153499621</v>
      </c>
      <c r="N51">
        <f t="shared" si="13"/>
        <v>7.5582422080000003E-2</v>
      </c>
      <c r="O51">
        <f t="shared" si="11"/>
        <v>2.0053260339200001E-2</v>
      </c>
      <c r="P51">
        <f t="shared" si="12"/>
        <v>0.14108700782102132</v>
      </c>
      <c r="V51">
        <v>-1.30000000000002</v>
      </c>
      <c r="W51">
        <f t="shared" si="9"/>
        <v>-0.43013399999999918</v>
      </c>
    </row>
    <row r="52" spans="1:23" x14ac:dyDescent="0.3">
      <c r="A52">
        <v>4.8838758499999999</v>
      </c>
      <c r="B52">
        <v>0.49814999999999998</v>
      </c>
      <c r="C52">
        <f t="shared" si="1"/>
        <v>2.4329027546774999</v>
      </c>
      <c r="D52">
        <v>1.5800000000000002E-2</v>
      </c>
      <c r="E52">
        <v>4.1920000000000004E-3</v>
      </c>
      <c r="F52">
        <f t="shared" si="2"/>
        <v>976.77517</v>
      </c>
      <c r="G52">
        <f t="shared" si="3"/>
        <v>-0.49814999999999998</v>
      </c>
      <c r="H52">
        <f t="shared" si="4"/>
        <v>-486.58055093550001</v>
      </c>
      <c r="I52">
        <v>1</v>
      </c>
      <c r="J52">
        <f t="shared" si="5"/>
        <v>-2.3498776246648853E-2</v>
      </c>
      <c r="K52">
        <f t="shared" si="6"/>
        <v>-0.72357515177521747</v>
      </c>
      <c r="L52">
        <v>1</v>
      </c>
      <c r="M52">
        <f t="shared" si="7"/>
        <v>0.48173017946411045</v>
      </c>
      <c r="N52">
        <f t="shared" si="13"/>
        <v>7.7165238430000005E-2</v>
      </c>
      <c r="O52">
        <f t="shared" si="11"/>
        <v>2.0473207563200001E-2</v>
      </c>
      <c r="P52">
        <f t="shared" si="12"/>
        <v>0.14420652631790701</v>
      </c>
      <c r="V52">
        <v>-1.2000000000000199</v>
      </c>
      <c r="W52">
        <f t="shared" si="9"/>
        <v>-0.43417599999999917</v>
      </c>
    </row>
    <row r="53" spans="1:23" x14ac:dyDescent="0.3">
      <c r="A53">
        <v>4.9833335999999999</v>
      </c>
      <c r="B53">
        <v>0.49203999999999998</v>
      </c>
      <c r="C53">
        <f t="shared" si="1"/>
        <v>2.451999464544</v>
      </c>
      <c r="D53">
        <v>1.5800000000000002E-2</v>
      </c>
      <c r="E53">
        <v>4.1920000000000004E-3</v>
      </c>
      <c r="F53">
        <f t="shared" si="2"/>
        <v>996.66671999999994</v>
      </c>
      <c r="G53">
        <f t="shared" si="3"/>
        <v>-0.49203999999999998</v>
      </c>
      <c r="H53">
        <f t="shared" si="4"/>
        <v>-490.39989290879998</v>
      </c>
      <c r="I53">
        <v>1</v>
      </c>
      <c r="J53">
        <f t="shared" si="5"/>
        <v>-3.3388477538104839E-3</v>
      </c>
      <c r="K53">
        <f t="shared" si="6"/>
        <v>-0.72968515177521742</v>
      </c>
      <c r="L53">
        <v>1</v>
      </c>
      <c r="M53">
        <f t="shared" si="7"/>
        <v>0.48254504377379098</v>
      </c>
      <c r="N53">
        <f t="shared" si="13"/>
        <v>7.8736670880000012E-2</v>
      </c>
      <c r="O53">
        <f t="shared" si="11"/>
        <v>2.0890134451200002E-2</v>
      </c>
      <c r="P53">
        <f t="shared" si="12"/>
        <v>0.14751330267022641</v>
      </c>
      <c r="V53">
        <v>-1.1000000000000201</v>
      </c>
      <c r="W53">
        <f t="shared" si="9"/>
        <v>-0.43821799999999922</v>
      </c>
    </row>
    <row r="54" spans="1:23" x14ac:dyDescent="0.3">
      <c r="A54">
        <v>5.0827917999999999</v>
      </c>
      <c r="B54">
        <v>0.48579</v>
      </c>
      <c r="C54">
        <f t="shared" si="1"/>
        <v>2.4691694285220001</v>
      </c>
      <c r="D54">
        <v>1.5800000000000002E-2</v>
      </c>
      <c r="E54">
        <v>4.1920000000000004E-3</v>
      </c>
      <c r="F54">
        <f t="shared" si="2"/>
        <v>1016.55836</v>
      </c>
      <c r="G54">
        <f t="shared" si="3"/>
        <v>-0.48579</v>
      </c>
      <c r="H54">
        <f t="shared" si="4"/>
        <v>-493.83388570440002</v>
      </c>
      <c r="I54">
        <v>1</v>
      </c>
      <c r="J54">
        <f t="shared" si="5"/>
        <v>1.6422765128823732E-2</v>
      </c>
      <c r="K54">
        <f t="shared" si="6"/>
        <v>-0.73593515177521751</v>
      </c>
      <c r="L54">
        <v>1</v>
      </c>
      <c r="M54">
        <f t="shared" si="7"/>
        <v>0.48334380816650707</v>
      </c>
      <c r="N54">
        <f t="shared" si="13"/>
        <v>8.0308110440000011E-2</v>
      </c>
      <c r="O54">
        <f t="shared" si="11"/>
        <v>2.1307063225600002E-2</v>
      </c>
      <c r="P54">
        <f t="shared" si="12"/>
        <v>0.15097616994311042</v>
      </c>
      <c r="V54">
        <v>-1.00000000000002</v>
      </c>
      <c r="W54">
        <f t="shared" si="9"/>
        <v>-0.44225999999999921</v>
      </c>
    </row>
    <row r="55" spans="1:23" x14ac:dyDescent="0.3">
      <c r="A55">
        <v>5.1829700499999998</v>
      </c>
      <c r="B55">
        <v>0.47936000000000001</v>
      </c>
      <c r="C55">
        <f t="shared" si="1"/>
        <v>2.484508523168</v>
      </c>
      <c r="D55">
        <v>1.5800000000000002E-2</v>
      </c>
      <c r="E55">
        <v>4.1920000000000004E-3</v>
      </c>
      <c r="F55">
        <f t="shared" si="2"/>
        <v>1036.59401</v>
      </c>
      <c r="G55">
        <f t="shared" si="3"/>
        <v>-0.47936000000000001</v>
      </c>
      <c r="H55">
        <f t="shared" si="4"/>
        <v>-496.90170463359999</v>
      </c>
      <c r="I55">
        <v>1</v>
      </c>
      <c r="J55">
        <f t="shared" si="5"/>
        <v>3.594034825011707E-2</v>
      </c>
      <c r="K55">
        <f t="shared" si="6"/>
        <v>-0.74236515177521745</v>
      </c>
      <c r="L55">
        <v>1</v>
      </c>
      <c r="M55">
        <f t="shared" si="7"/>
        <v>0.48413270887626975</v>
      </c>
      <c r="N55">
        <f t="shared" si="13"/>
        <v>8.1890926789999999E-2</v>
      </c>
      <c r="O55">
        <f t="shared" si="11"/>
        <v>2.1727010449600001E-2</v>
      </c>
      <c r="P55">
        <f t="shared" si="12"/>
        <v>0.1546145056593477</v>
      </c>
      <c r="V55">
        <v>-0.90000000000002001</v>
      </c>
      <c r="W55">
        <f t="shared" si="9"/>
        <v>-0.4463019999999992</v>
      </c>
    </row>
    <row r="56" spans="1:23" x14ac:dyDescent="0.3">
      <c r="A56">
        <v>5.2831483000000006</v>
      </c>
      <c r="B56">
        <v>0.47289999999999999</v>
      </c>
      <c r="C56">
        <f t="shared" si="1"/>
        <v>2.4984008310700001</v>
      </c>
      <c r="D56">
        <v>1.5800000000000002E-2</v>
      </c>
      <c r="E56">
        <v>4.1920000000000004E-3</v>
      </c>
      <c r="F56">
        <f t="shared" si="2"/>
        <v>1056.6296600000001</v>
      </c>
      <c r="G56">
        <f t="shared" si="3"/>
        <v>-0.47289999999999999</v>
      </c>
      <c r="H56">
        <f t="shared" si="4"/>
        <v>-499.680166214</v>
      </c>
      <c r="I56">
        <v>1</v>
      </c>
      <c r="J56">
        <f t="shared" si="5"/>
        <v>5.5084276525773218E-2</v>
      </c>
      <c r="K56">
        <f t="shared" si="6"/>
        <v>-0.74882515177521747</v>
      </c>
      <c r="L56">
        <v>1</v>
      </c>
      <c r="M56">
        <f t="shared" si="7"/>
        <v>0.48490650645717176</v>
      </c>
      <c r="N56">
        <f t="shared" si="13"/>
        <v>8.3473743140000015E-2</v>
      </c>
      <c r="O56">
        <f t="shared" si="11"/>
        <v>2.2146957673600004E-2</v>
      </c>
      <c r="P56">
        <f t="shared" si="12"/>
        <v>0.1582979445044457</v>
      </c>
      <c r="V56">
        <v>-0.80000000000002003</v>
      </c>
      <c r="W56">
        <f t="shared" si="9"/>
        <v>-0.45034399999999919</v>
      </c>
    </row>
    <row r="57" spans="1:23" x14ac:dyDescent="0.3">
      <c r="A57">
        <v>5.3818855499999998</v>
      </c>
      <c r="B57">
        <v>0.46636</v>
      </c>
      <c r="C57">
        <f t="shared" si="1"/>
        <v>2.5098961450979997</v>
      </c>
      <c r="D57">
        <v>1.5800000000000002E-2</v>
      </c>
      <c r="E57">
        <v>4.1920000000000004E-3</v>
      </c>
      <c r="F57">
        <f t="shared" si="2"/>
        <v>1076.3771099999999</v>
      </c>
      <c r="G57">
        <f t="shared" si="3"/>
        <v>-0.46636</v>
      </c>
      <c r="H57">
        <f t="shared" si="4"/>
        <v>-501.97922901959993</v>
      </c>
      <c r="I57">
        <v>1</v>
      </c>
      <c r="J57">
        <f t="shared" si="5"/>
        <v>7.3600874315629283E-2</v>
      </c>
      <c r="K57">
        <f t="shared" si="6"/>
        <v>-0.75536515177521746</v>
      </c>
      <c r="L57">
        <v>1</v>
      </c>
      <c r="M57">
        <f t="shared" si="7"/>
        <v>0.48565494733983772</v>
      </c>
      <c r="N57">
        <f t="shared" si="13"/>
        <v>8.5033791689999999E-2</v>
      </c>
      <c r="O57">
        <f t="shared" si="11"/>
        <v>2.25608642256E-2</v>
      </c>
      <c r="P57">
        <f t="shared" si="12"/>
        <v>0.16211554851977975</v>
      </c>
      <c r="V57">
        <v>-0.70000000000002005</v>
      </c>
      <c r="W57">
        <f t="shared" si="9"/>
        <v>-0.45438599999999918</v>
      </c>
    </row>
    <row r="58" spans="1:23" x14ac:dyDescent="0.3">
      <c r="A58">
        <v>5.4806227500000002</v>
      </c>
      <c r="B58">
        <v>0.45973000000000003</v>
      </c>
      <c r="C58">
        <f t="shared" si="1"/>
        <v>2.5196066968575002</v>
      </c>
      <c r="D58">
        <v>1.5800000000000002E-2</v>
      </c>
      <c r="E58">
        <v>4.1920000000000004E-3</v>
      </c>
      <c r="F58">
        <f t="shared" si="2"/>
        <v>1096.12455</v>
      </c>
      <c r="G58">
        <f t="shared" si="3"/>
        <v>-0.45973000000000003</v>
      </c>
      <c r="H58">
        <f t="shared" si="4"/>
        <v>-503.92133937150004</v>
      </c>
      <c r="I58">
        <v>1</v>
      </c>
      <c r="J58">
        <f t="shared" si="5"/>
        <v>9.1780822580179056E-2</v>
      </c>
      <c r="K58">
        <f t="shared" si="6"/>
        <v>-0.76199515177521748</v>
      </c>
      <c r="L58">
        <v>1</v>
      </c>
      <c r="M58">
        <f t="shared" si="7"/>
        <v>0.48638978084869083</v>
      </c>
      <c r="N58">
        <f t="shared" si="13"/>
        <v>8.6593839450000015E-2</v>
      </c>
      <c r="O58">
        <f t="shared" si="11"/>
        <v>2.2974770568000003E-2</v>
      </c>
      <c r="P58">
        <f t="shared" si="12"/>
        <v>0.16603676090852662</v>
      </c>
      <c r="V58">
        <v>-0.60000000000001996</v>
      </c>
      <c r="W58">
        <f t="shared" si="9"/>
        <v>-0.45842799999999917</v>
      </c>
    </row>
    <row r="59" spans="1:23" x14ac:dyDescent="0.3">
      <c r="A59">
        <v>5.5808010000000001</v>
      </c>
      <c r="B59">
        <v>0.45318999999999998</v>
      </c>
      <c r="C59">
        <f t="shared" si="1"/>
        <v>2.5291632051900002</v>
      </c>
      <c r="D59">
        <v>1.5800000000000002E-2</v>
      </c>
      <c r="E59">
        <v>4.1920000000000004E-3</v>
      </c>
      <c r="F59">
        <f t="shared" si="2"/>
        <v>1116.1602</v>
      </c>
      <c r="G59">
        <f t="shared" si="3"/>
        <v>-0.45318999999999998</v>
      </c>
      <c r="H59">
        <f t="shared" si="4"/>
        <v>-505.83264103800002</v>
      </c>
      <c r="I59">
        <v>1</v>
      </c>
      <c r="J59">
        <f t="shared" si="5"/>
        <v>0.10989440204413208</v>
      </c>
      <c r="K59">
        <f t="shared" si="6"/>
        <v>-0.76853515177521747</v>
      </c>
      <c r="L59">
        <v>1</v>
      </c>
      <c r="M59">
        <f t="shared" si="7"/>
        <v>0.48712193173062379</v>
      </c>
      <c r="N59">
        <f t="shared" si="13"/>
        <v>8.8176655800000017E-2</v>
      </c>
      <c r="O59">
        <f t="shared" si="11"/>
        <v>2.3394717792000003E-2</v>
      </c>
      <c r="P59">
        <f t="shared" si="12"/>
        <v>0.16984184645259368</v>
      </c>
      <c r="V59">
        <v>-0.50000000000001998</v>
      </c>
      <c r="W59">
        <f t="shared" si="9"/>
        <v>-0.46246999999999922</v>
      </c>
    </row>
    <row r="60" spans="1:23" x14ac:dyDescent="0.3">
      <c r="A60">
        <v>5.6817002500000005</v>
      </c>
      <c r="B60">
        <v>0.44639000000000001</v>
      </c>
      <c r="C60">
        <f t="shared" si="1"/>
        <v>2.5362541745975005</v>
      </c>
      <c r="D60">
        <v>1.5800000000000002E-2</v>
      </c>
      <c r="E60">
        <v>4.1920000000000004E-3</v>
      </c>
      <c r="F60">
        <f t="shared" si="2"/>
        <v>1136.34005</v>
      </c>
      <c r="G60">
        <f t="shared" si="3"/>
        <v>-0.44639000000000001</v>
      </c>
      <c r="H60">
        <f t="shared" si="4"/>
        <v>-507.25083491950011</v>
      </c>
      <c r="I60">
        <v>1</v>
      </c>
      <c r="J60">
        <f t="shared" si="5"/>
        <v>0.12781261529447618</v>
      </c>
      <c r="K60">
        <f t="shared" si="6"/>
        <v>-0.77533515177521739</v>
      </c>
      <c r="L60">
        <v>1</v>
      </c>
      <c r="M60">
        <f t="shared" si="7"/>
        <v>0.48784618591020273</v>
      </c>
      <c r="N60">
        <f t="shared" si="13"/>
        <v>8.9770863950000016E-2</v>
      </c>
      <c r="O60">
        <f t="shared" si="11"/>
        <v>2.3817687448000006E-2</v>
      </c>
      <c r="P60">
        <f t="shared" si="12"/>
        <v>0.17390041446701465</v>
      </c>
      <c r="V60">
        <v>-0.40000000000002001</v>
      </c>
      <c r="W60">
        <f t="shared" si="9"/>
        <v>-0.46651199999999921</v>
      </c>
    </row>
    <row r="61" spans="1:23" x14ac:dyDescent="0.3">
      <c r="A61">
        <v>5.7789959999999994</v>
      </c>
      <c r="B61">
        <v>0.43924999999999997</v>
      </c>
      <c r="C61">
        <f t="shared" si="1"/>
        <v>2.5384239929999994</v>
      </c>
      <c r="D61">
        <v>1.5800000000000002E-2</v>
      </c>
      <c r="E61">
        <v>4.1920000000000004E-3</v>
      </c>
      <c r="F61">
        <f t="shared" si="2"/>
        <v>1155.7991999999999</v>
      </c>
      <c r="G61">
        <f t="shared" si="3"/>
        <v>-0.43924999999999997</v>
      </c>
      <c r="H61">
        <f t="shared" si="4"/>
        <v>-507.68479859999991</v>
      </c>
      <c r="I61">
        <v>1</v>
      </c>
      <c r="J61">
        <f t="shared" si="5"/>
        <v>0.14479205274002735</v>
      </c>
      <c r="K61">
        <f t="shared" si="6"/>
        <v>-0.78247515177521754</v>
      </c>
      <c r="L61">
        <v>1</v>
      </c>
      <c r="M61">
        <f t="shared" si="7"/>
        <v>0.48853249477175192</v>
      </c>
      <c r="N61">
        <f t="shared" si="13"/>
        <v>9.1308136799999995E-2</v>
      </c>
      <c r="O61">
        <f t="shared" si="11"/>
        <v>2.4225551232E-2</v>
      </c>
      <c r="P61">
        <f t="shared" si="12"/>
        <v>0.17840896897146563</v>
      </c>
      <c r="V61">
        <v>-0.30000000000001997</v>
      </c>
      <c r="W61">
        <f t="shared" si="9"/>
        <v>-0.4705539999999992</v>
      </c>
    </row>
    <row r="62" spans="1:23" x14ac:dyDescent="0.3">
      <c r="A62">
        <v>5.8806156999999999</v>
      </c>
      <c r="B62">
        <v>0.43237999999999999</v>
      </c>
      <c r="C62">
        <f t="shared" si="1"/>
        <v>2.5426606163659997</v>
      </c>
      <c r="D62">
        <v>1.5800000000000002E-2</v>
      </c>
      <c r="E62">
        <v>4.1920000000000004E-3</v>
      </c>
      <c r="F62">
        <f t="shared" si="2"/>
        <v>1176.1231399999999</v>
      </c>
      <c r="G62">
        <f t="shared" si="3"/>
        <v>-0.43237999999999999</v>
      </c>
      <c r="H62">
        <f t="shared" si="4"/>
        <v>-508.53212327319994</v>
      </c>
      <c r="I62">
        <v>1</v>
      </c>
      <c r="J62">
        <f t="shared" si="5"/>
        <v>0.16222355487898679</v>
      </c>
      <c r="K62">
        <f t="shared" si="6"/>
        <v>-0.78934515177521747</v>
      </c>
      <c r="L62">
        <v>1</v>
      </c>
      <c r="M62">
        <f t="shared" si="7"/>
        <v>0.48923707608820866</v>
      </c>
      <c r="N62">
        <f t="shared" si="13"/>
        <v>9.2913728060000006E-2</v>
      </c>
      <c r="O62">
        <f t="shared" si="11"/>
        <v>2.4651541014400001E-2</v>
      </c>
      <c r="P62">
        <f t="shared" si="12"/>
        <v>0.1825428066126088</v>
      </c>
      <c r="V62">
        <v>-0.20000000000002</v>
      </c>
      <c r="W62">
        <f t="shared" si="9"/>
        <v>-0.47459599999999919</v>
      </c>
    </row>
    <row r="63" spans="1:23" x14ac:dyDescent="0.3">
      <c r="A63">
        <v>5.9800734499999999</v>
      </c>
      <c r="B63">
        <v>0.42537000000000003</v>
      </c>
      <c r="C63">
        <f t="shared" si="1"/>
        <v>2.5437438434265003</v>
      </c>
      <c r="D63">
        <v>1.5800000000000002E-2</v>
      </c>
      <c r="E63">
        <v>4.1920000000000004E-3</v>
      </c>
      <c r="F63">
        <f t="shared" si="2"/>
        <v>1196.01469</v>
      </c>
      <c r="G63">
        <f t="shared" si="3"/>
        <v>-0.42537000000000003</v>
      </c>
      <c r="H63">
        <f t="shared" si="4"/>
        <v>-508.74876868530004</v>
      </c>
      <c r="I63">
        <v>1</v>
      </c>
      <c r="J63">
        <f t="shared" si="5"/>
        <v>0.17899493806170497</v>
      </c>
      <c r="K63">
        <f t="shared" si="6"/>
        <v>-0.79635515177521743</v>
      </c>
      <c r="L63">
        <v>1</v>
      </c>
      <c r="M63">
        <f t="shared" si="7"/>
        <v>0.48991497539645412</v>
      </c>
      <c r="N63">
        <f t="shared" si="13"/>
        <v>9.4485160510000013E-2</v>
      </c>
      <c r="O63">
        <f t="shared" si="11"/>
        <v>2.5068467902400002E-2</v>
      </c>
      <c r="P63">
        <f t="shared" si="12"/>
        <v>0.18688654796636331</v>
      </c>
      <c r="V63">
        <v>-0.10000000000002</v>
      </c>
      <c r="W63">
        <f t="shared" si="9"/>
        <v>-0.47863799999999918</v>
      </c>
    </row>
    <row r="64" spans="1:23" x14ac:dyDescent="0.3">
      <c r="A64">
        <v>6.0788107</v>
      </c>
      <c r="B64">
        <v>0.41839999999999999</v>
      </c>
      <c r="C64">
        <f t="shared" si="1"/>
        <v>2.54337439688</v>
      </c>
      <c r="D64">
        <v>1.5800000000000002E-2</v>
      </c>
      <c r="E64">
        <v>4.1920000000000004E-3</v>
      </c>
      <c r="F64">
        <f t="shared" si="2"/>
        <v>1215.76214</v>
      </c>
      <c r="G64">
        <f t="shared" si="3"/>
        <v>-0.41839999999999999</v>
      </c>
      <c r="H64">
        <f t="shared" si="4"/>
        <v>-508.67487937599998</v>
      </c>
      <c r="I64">
        <v>1</v>
      </c>
      <c r="J64">
        <f t="shared" si="5"/>
        <v>0.19537115585749559</v>
      </c>
      <c r="K64">
        <f t="shared" si="6"/>
        <v>-0.80332515177521746</v>
      </c>
      <c r="L64">
        <v>1</v>
      </c>
      <c r="M64">
        <f t="shared" si="7"/>
        <v>0.49057690211975996</v>
      </c>
      <c r="N64">
        <f t="shared" si="13"/>
        <v>9.6045209060000011E-2</v>
      </c>
      <c r="O64">
        <f t="shared" si="11"/>
        <v>2.5482374454400002E-2</v>
      </c>
      <c r="P64">
        <f t="shared" si="12"/>
        <v>0.19122066614105748</v>
      </c>
      <c r="V64">
        <v>-2.0428103653102899E-14</v>
      </c>
      <c r="W64">
        <f t="shared" si="9"/>
        <v>-0.48267999999999917</v>
      </c>
    </row>
    <row r="65" spans="1:23" x14ac:dyDescent="0.3">
      <c r="A65">
        <v>6.1797099000000006</v>
      </c>
      <c r="B65">
        <v>0.41081000000000001</v>
      </c>
      <c r="C65">
        <f t="shared" si="1"/>
        <v>2.5386866240190002</v>
      </c>
      <c r="D65">
        <v>1.5800000000000002E-2</v>
      </c>
      <c r="E65">
        <v>4.1920000000000004E-3</v>
      </c>
      <c r="F65">
        <f t="shared" si="2"/>
        <v>1235.9419800000001</v>
      </c>
      <c r="G65">
        <f t="shared" si="3"/>
        <v>-0.41081000000000001</v>
      </c>
      <c r="H65">
        <f t="shared" si="4"/>
        <v>-507.73732480380005</v>
      </c>
      <c r="I65">
        <v>1</v>
      </c>
      <c r="J65">
        <f t="shared" si="5"/>
        <v>0.21183341618612789</v>
      </c>
      <c r="K65">
        <f t="shared" si="6"/>
        <v>-0.81091515177521745</v>
      </c>
      <c r="L65">
        <v>1</v>
      </c>
      <c r="M65">
        <f t="shared" si="7"/>
        <v>0.49124230668224328</v>
      </c>
      <c r="N65">
        <f t="shared" si="13"/>
        <v>9.7639416420000014E-2</v>
      </c>
      <c r="O65">
        <f t="shared" si="11"/>
        <v>2.5905343900800005E-2</v>
      </c>
      <c r="P65">
        <f t="shared" si="12"/>
        <v>0.19612808477217414</v>
      </c>
      <c r="V65">
        <v>9.9999999999980105E-2</v>
      </c>
      <c r="W65">
        <f t="shared" si="9"/>
        <v>-0.48672199999999921</v>
      </c>
    </row>
    <row r="66" spans="1:23" x14ac:dyDescent="0.3">
      <c r="A66">
        <v>6.2784466499999994</v>
      </c>
      <c r="B66">
        <v>0.40312999999999999</v>
      </c>
      <c r="C66">
        <f t="shared" si="1"/>
        <v>2.5310301980144998</v>
      </c>
      <c r="D66">
        <v>1.5800000000000002E-2</v>
      </c>
      <c r="E66">
        <v>4.1920000000000004E-3</v>
      </c>
      <c r="F66">
        <f t="shared" si="2"/>
        <v>1255.6893299999999</v>
      </c>
      <c r="G66">
        <f t="shared" si="3"/>
        <v>-0.40312999999999999</v>
      </c>
      <c r="H66">
        <f t="shared" si="4"/>
        <v>-506.20603960289998</v>
      </c>
      <c r="I66">
        <v>1</v>
      </c>
      <c r="J66">
        <f t="shared" si="5"/>
        <v>0.22768468872415068</v>
      </c>
      <c r="K66">
        <f t="shared" si="6"/>
        <v>-0.81859515177521747</v>
      </c>
      <c r="L66">
        <v>1</v>
      </c>
      <c r="M66">
        <f t="shared" si="7"/>
        <v>0.49188301511823018</v>
      </c>
      <c r="N66">
        <f t="shared" si="13"/>
        <v>9.9199457069999997E-2</v>
      </c>
      <c r="O66">
        <f t="shared" si="11"/>
        <v>2.6319248356799999E-2</v>
      </c>
      <c r="P66">
        <f t="shared" si="12"/>
        <v>0.20119343123018729</v>
      </c>
      <c r="V66">
        <v>0.19999999999998</v>
      </c>
      <c r="W66">
        <f t="shared" si="9"/>
        <v>-0.4907639999999992</v>
      </c>
    </row>
    <row r="67" spans="1:23" x14ac:dyDescent="0.3">
      <c r="A67">
        <v>6.3786253999999998</v>
      </c>
      <c r="B67">
        <v>0.39541999999999999</v>
      </c>
      <c r="C67">
        <f t="shared" si="1"/>
        <v>2.5222360556679999</v>
      </c>
      <c r="D67">
        <v>1.5800000000000002E-2</v>
      </c>
      <c r="E67">
        <v>4.1920000000000004E-3</v>
      </c>
      <c r="F67">
        <f t="shared" si="2"/>
        <v>1275.7250799999999</v>
      </c>
      <c r="G67">
        <f t="shared" si="3"/>
        <v>-0.39541999999999999</v>
      </c>
      <c r="H67">
        <f t="shared" si="4"/>
        <v>-504.44721113359998</v>
      </c>
      <c r="I67">
        <v>1</v>
      </c>
      <c r="J67">
        <f t="shared" si="5"/>
        <v>0.24351470716347859</v>
      </c>
      <c r="K67">
        <f t="shared" si="6"/>
        <v>-0.82630515177521746</v>
      </c>
      <c r="L67">
        <v>1</v>
      </c>
      <c r="M67">
        <f t="shared" si="7"/>
        <v>0.49252286446354782</v>
      </c>
      <c r="N67">
        <f t="shared" si="13"/>
        <v>0.10078228132</v>
      </c>
      <c r="O67">
        <f t="shared" si="11"/>
        <v>2.6739197676800001E-2</v>
      </c>
      <c r="P67">
        <f t="shared" si="12"/>
        <v>0.20626080831486965</v>
      </c>
      <c r="V67">
        <v>0.29999999999998</v>
      </c>
      <c r="W67">
        <f t="shared" si="9"/>
        <v>-0.49480599999999919</v>
      </c>
    </row>
    <row r="68" spans="1:23" x14ac:dyDescent="0.3">
      <c r="A68">
        <v>6.4780831499999998</v>
      </c>
      <c r="B68">
        <v>0.38786999999999999</v>
      </c>
      <c r="C68">
        <f t="shared" si="1"/>
        <v>2.5126541113904999</v>
      </c>
      <c r="D68">
        <v>1.5800000000000002E-2</v>
      </c>
      <c r="E68">
        <v>4.1920000000000004E-3</v>
      </c>
      <c r="F68">
        <f t="shared" si="2"/>
        <v>1295.61663</v>
      </c>
      <c r="G68">
        <f t="shared" si="3"/>
        <v>-0.38786999999999999</v>
      </c>
      <c r="H68">
        <f t="shared" si="4"/>
        <v>-502.5308222781</v>
      </c>
      <c r="I68">
        <v>1</v>
      </c>
      <c r="J68">
        <f t="shared" si="5"/>
        <v>0.25898674398443489</v>
      </c>
      <c r="K68">
        <f t="shared" si="6"/>
        <v>-0.83385515177521752</v>
      </c>
      <c r="L68">
        <v>1</v>
      </c>
      <c r="M68">
        <f t="shared" si="7"/>
        <v>0.49314824419185088</v>
      </c>
      <c r="N68">
        <f t="shared" si="13"/>
        <v>0.10235371377000001</v>
      </c>
      <c r="O68">
        <f t="shared" si="11"/>
        <v>2.7156124564800002E-2</v>
      </c>
      <c r="P68">
        <f t="shared" si="12"/>
        <v>0.21119706924856663</v>
      </c>
      <c r="V68">
        <v>0.39999999999997998</v>
      </c>
      <c r="W68">
        <f t="shared" si="9"/>
        <v>-0.49884799999999918</v>
      </c>
    </row>
    <row r="69" spans="1:23" x14ac:dyDescent="0.3">
      <c r="A69">
        <v>6.5768199000000003</v>
      </c>
      <c r="B69">
        <v>0.38055</v>
      </c>
      <c r="C69">
        <f t="shared" ref="C69:C132" si="14">A69*B69</f>
        <v>2.5028088129450001</v>
      </c>
      <c r="D69">
        <v>1.5800000000000002E-2</v>
      </c>
      <c r="E69">
        <v>4.1920000000000004E-3</v>
      </c>
      <c r="F69">
        <f t="shared" ref="F69:F132" si="15">A69*200</f>
        <v>1315.3639800000001</v>
      </c>
      <c r="G69">
        <f t="shared" ref="G69:G132" si="16">-B69</f>
        <v>-0.38055</v>
      </c>
      <c r="H69">
        <f t="shared" ref="H69:H132" si="17">-C69*200</f>
        <v>-500.56176258900001</v>
      </c>
      <c r="I69">
        <v>1</v>
      </c>
      <c r="J69">
        <f t="shared" ref="J69:J132" si="18">LN(F69/1000)</f>
        <v>0.27411341820472568</v>
      </c>
      <c r="K69">
        <f t="shared" ref="K69:K132" si="19">((-G69)-$N$2)</f>
        <v>-0.84117515177521751</v>
      </c>
      <c r="L69">
        <v>1</v>
      </c>
      <c r="M69">
        <f t="shared" ref="M69:M132" si="20">-1*($S$4+($S$5*J69))</f>
        <v>0.493759664363835</v>
      </c>
      <c r="N69">
        <f t="shared" si="13"/>
        <v>0.10391375442000002</v>
      </c>
      <c r="O69">
        <f t="shared" si="11"/>
        <v>2.7570029020800003E-2</v>
      </c>
      <c r="P69">
        <f t="shared" si="12"/>
        <v>0.21593170397058251</v>
      </c>
      <c r="V69">
        <v>0.49999999999998002</v>
      </c>
      <c r="W69">
        <f t="shared" ref="W69:W132" si="21">V69*$S$5+$S$4</f>
        <v>-0.50288999999999917</v>
      </c>
    </row>
    <row r="70" spans="1:23" x14ac:dyDescent="0.3">
      <c r="A70">
        <v>6.6762776499999994</v>
      </c>
      <c r="B70">
        <v>0.37212000000000001</v>
      </c>
      <c r="C70">
        <f t="shared" si="14"/>
        <v>2.4843764391179999</v>
      </c>
      <c r="D70">
        <v>1.5800000000000002E-2</v>
      </c>
      <c r="E70">
        <v>4.1920000000000004E-3</v>
      </c>
      <c r="F70">
        <f t="shared" si="15"/>
        <v>1335.2555299999999</v>
      </c>
      <c r="G70">
        <f t="shared" si="16"/>
        <v>-0.37212000000000001</v>
      </c>
      <c r="H70">
        <f t="shared" si="17"/>
        <v>-496.87528782359999</v>
      </c>
      <c r="I70">
        <v>1</v>
      </c>
      <c r="J70">
        <f t="shared" si="18"/>
        <v>0.28912268177569328</v>
      </c>
      <c r="K70">
        <f t="shared" si="19"/>
        <v>-0.84960515177521745</v>
      </c>
      <c r="L70">
        <v>1</v>
      </c>
      <c r="M70">
        <f t="shared" si="20"/>
        <v>0.49436633879737352</v>
      </c>
      <c r="N70">
        <f t="shared" si="13"/>
        <v>0.10548518687</v>
      </c>
      <c r="O70">
        <f t="shared" ref="O70:O133" si="22">E70*A70</f>
        <v>2.7986955908800001E-2</v>
      </c>
      <c r="P70">
        <f t="shared" ref="P70:P133" si="23">-K70-M70-N70-O70</f>
        <v>0.22176667019904395</v>
      </c>
      <c r="V70">
        <v>0.59999999999997999</v>
      </c>
      <c r="W70">
        <f t="shared" si="21"/>
        <v>-0.50693199999999916</v>
      </c>
    </row>
    <row r="71" spans="1:23" x14ac:dyDescent="0.3">
      <c r="A71">
        <v>6.7778978500000004</v>
      </c>
      <c r="B71">
        <v>0.36338999999999999</v>
      </c>
      <c r="C71">
        <f t="shared" si="14"/>
        <v>2.4630202997115003</v>
      </c>
      <c r="D71">
        <v>1.5800000000000002E-2</v>
      </c>
      <c r="E71">
        <v>4.1920000000000004E-3</v>
      </c>
      <c r="F71">
        <f t="shared" si="15"/>
        <v>1355.5795700000001</v>
      </c>
      <c r="G71">
        <f t="shared" si="16"/>
        <v>-0.36338999999999999</v>
      </c>
      <c r="H71">
        <f t="shared" si="17"/>
        <v>-492.60405994230007</v>
      </c>
      <c r="I71">
        <v>1</v>
      </c>
      <c r="J71">
        <f t="shared" si="18"/>
        <v>0.3042290898198432</v>
      </c>
      <c r="K71">
        <f t="shared" si="19"/>
        <v>-0.85833515177521746</v>
      </c>
      <c r="L71">
        <v>1</v>
      </c>
      <c r="M71">
        <f t="shared" si="20"/>
        <v>0.49497693981051805</v>
      </c>
      <c r="N71">
        <f t="shared" ref="N71:N134" si="24">D71*A71</f>
        <v>0.10709078603000002</v>
      </c>
      <c r="O71">
        <f t="shared" si="22"/>
        <v>2.8412947787200004E-2</v>
      </c>
      <c r="P71">
        <f t="shared" si="23"/>
        <v>0.22785447814749943</v>
      </c>
      <c r="V71">
        <v>0.69999999999997997</v>
      </c>
      <c r="W71">
        <f t="shared" si="21"/>
        <v>-0.51097399999999915</v>
      </c>
    </row>
    <row r="72" spans="1:23" x14ac:dyDescent="0.3">
      <c r="A72">
        <v>6.8759141000000001</v>
      </c>
      <c r="B72">
        <v>0.35492000000000001</v>
      </c>
      <c r="C72">
        <f t="shared" si="14"/>
        <v>2.4403994323720002</v>
      </c>
      <c r="D72">
        <v>1.5800000000000002E-2</v>
      </c>
      <c r="E72">
        <v>4.1920000000000004E-3</v>
      </c>
      <c r="F72">
        <f t="shared" si="15"/>
        <v>1375.18282</v>
      </c>
      <c r="G72">
        <f t="shared" si="16"/>
        <v>-0.35492000000000001</v>
      </c>
      <c r="H72">
        <f t="shared" si="17"/>
        <v>-488.07988647440004</v>
      </c>
      <c r="I72">
        <v>1</v>
      </c>
      <c r="J72">
        <f t="shared" si="18"/>
        <v>0.31858668228013726</v>
      </c>
      <c r="K72">
        <f t="shared" si="19"/>
        <v>-0.86680515177521744</v>
      </c>
      <c r="L72">
        <v>1</v>
      </c>
      <c r="M72">
        <f t="shared" si="20"/>
        <v>0.49555727369776315</v>
      </c>
      <c r="N72">
        <f t="shared" si="24"/>
        <v>0.10863944278000001</v>
      </c>
      <c r="O72">
        <f t="shared" si="22"/>
        <v>2.8823831907200004E-2</v>
      </c>
      <c r="P72">
        <f t="shared" si="23"/>
        <v>0.23378460339025425</v>
      </c>
      <c r="V72">
        <v>0.79999999999997995</v>
      </c>
      <c r="W72">
        <f t="shared" si="21"/>
        <v>-0.51501599999999914</v>
      </c>
    </row>
    <row r="73" spans="1:23" x14ac:dyDescent="0.3">
      <c r="A73">
        <v>6.9768132999999999</v>
      </c>
      <c r="B73">
        <v>0.34661999999999998</v>
      </c>
      <c r="C73">
        <f t="shared" si="14"/>
        <v>2.4183030260459999</v>
      </c>
      <c r="D73">
        <v>1.5800000000000002E-2</v>
      </c>
      <c r="E73">
        <v>4.1920000000000004E-3</v>
      </c>
      <c r="F73">
        <f t="shared" si="15"/>
        <v>1395.36266</v>
      </c>
      <c r="G73">
        <f t="shared" si="16"/>
        <v>-0.34661999999999998</v>
      </c>
      <c r="H73">
        <f t="shared" si="17"/>
        <v>-483.66060520919996</v>
      </c>
      <c r="I73">
        <v>1</v>
      </c>
      <c r="J73">
        <f t="shared" si="18"/>
        <v>0.3331543528128042</v>
      </c>
      <c r="K73">
        <f t="shared" si="19"/>
        <v>-0.87510515177521753</v>
      </c>
      <c r="L73">
        <v>1</v>
      </c>
      <c r="M73">
        <f t="shared" si="20"/>
        <v>0.49614609894069356</v>
      </c>
      <c r="N73">
        <f t="shared" si="24"/>
        <v>0.11023365014000001</v>
      </c>
      <c r="O73">
        <f t="shared" si="22"/>
        <v>2.9246801353600003E-2</v>
      </c>
      <c r="P73">
        <f t="shared" si="23"/>
        <v>0.23947860134092394</v>
      </c>
      <c r="V73">
        <v>0.89999999999998004</v>
      </c>
      <c r="W73">
        <f t="shared" si="21"/>
        <v>-0.51905799999999913</v>
      </c>
    </row>
    <row r="74" spans="1:23" x14ac:dyDescent="0.3">
      <c r="A74">
        <v>7.0755501000000001</v>
      </c>
      <c r="B74">
        <v>0.33774999999999999</v>
      </c>
      <c r="C74">
        <f t="shared" si="14"/>
        <v>2.3897670462749998</v>
      </c>
      <c r="D74">
        <v>1.5800000000000002E-2</v>
      </c>
      <c r="E74">
        <v>4.1920000000000004E-3</v>
      </c>
      <c r="F74">
        <f t="shared" si="15"/>
        <v>1415.1100200000001</v>
      </c>
      <c r="G74">
        <f t="shared" si="16"/>
        <v>-0.33774999999999999</v>
      </c>
      <c r="H74">
        <f t="shared" si="17"/>
        <v>-477.95340925499994</v>
      </c>
      <c r="I74">
        <v>1</v>
      </c>
      <c r="J74">
        <f t="shared" si="18"/>
        <v>0.347207280722797</v>
      </c>
      <c r="K74">
        <f t="shared" si="19"/>
        <v>-0.88397515177521746</v>
      </c>
      <c r="L74">
        <v>1</v>
      </c>
      <c r="M74">
        <f t="shared" si="20"/>
        <v>0.49671411828681544</v>
      </c>
      <c r="N74">
        <f t="shared" si="24"/>
        <v>0.11179369158000001</v>
      </c>
      <c r="O74">
        <f t="shared" si="22"/>
        <v>2.9660706019200005E-2</v>
      </c>
      <c r="P74">
        <f t="shared" si="23"/>
        <v>0.24580663588920199</v>
      </c>
      <c r="V74">
        <v>0.99999999999998002</v>
      </c>
      <c r="W74">
        <f t="shared" si="21"/>
        <v>-0.52309999999999923</v>
      </c>
    </row>
    <row r="75" spans="1:23" x14ac:dyDescent="0.3">
      <c r="A75">
        <v>7.1750077999999995</v>
      </c>
      <c r="B75">
        <v>0.32816000000000001</v>
      </c>
      <c r="C75">
        <f t="shared" si="14"/>
        <v>2.3545505596480001</v>
      </c>
      <c r="D75">
        <v>1.5800000000000002E-2</v>
      </c>
      <c r="E75">
        <v>4.1920000000000004E-3</v>
      </c>
      <c r="F75">
        <f t="shared" si="15"/>
        <v>1435.0015599999999</v>
      </c>
      <c r="G75">
        <f t="shared" si="16"/>
        <v>-0.32816000000000001</v>
      </c>
      <c r="H75">
        <f t="shared" si="17"/>
        <v>-470.91011192960002</v>
      </c>
      <c r="I75">
        <v>1</v>
      </c>
      <c r="J75">
        <f t="shared" si="18"/>
        <v>0.3611659363190074</v>
      </c>
      <c r="K75">
        <f t="shared" si="19"/>
        <v>-0.89356515177521745</v>
      </c>
      <c r="L75">
        <v>1</v>
      </c>
      <c r="M75">
        <f t="shared" si="20"/>
        <v>0.49727832714601428</v>
      </c>
      <c r="N75">
        <f t="shared" si="24"/>
        <v>0.11336512324</v>
      </c>
      <c r="O75">
        <f t="shared" si="22"/>
        <v>3.0077632697600002E-2</v>
      </c>
      <c r="P75">
        <f t="shared" si="23"/>
        <v>0.25284406869160314</v>
      </c>
      <c r="V75">
        <v>1.0999999999999699</v>
      </c>
      <c r="W75">
        <f t="shared" si="21"/>
        <v>-0.52714199999999878</v>
      </c>
    </row>
    <row r="76" spans="1:23" x14ac:dyDescent="0.3">
      <c r="A76">
        <v>7.2751865499999999</v>
      </c>
      <c r="B76">
        <v>0.31852999999999998</v>
      </c>
      <c r="C76">
        <f t="shared" si="14"/>
        <v>2.3173651717714998</v>
      </c>
      <c r="D76">
        <v>1.5800000000000002E-2</v>
      </c>
      <c r="E76">
        <v>4.1920000000000004E-3</v>
      </c>
      <c r="F76">
        <f t="shared" si="15"/>
        <v>1455.0373099999999</v>
      </c>
      <c r="G76">
        <f t="shared" si="16"/>
        <v>-0.31852999999999998</v>
      </c>
      <c r="H76">
        <f t="shared" si="17"/>
        <v>-463.47303435429995</v>
      </c>
      <c r="I76">
        <v>1</v>
      </c>
      <c r="J76">
        <f t="shared" si="18"/>
        <v>0.37503154290637358</v>
      </c>
      <c r="K76">
        <f t="shared" si="19"/>
        <v>-0.90319515177521748</v>
      </c>
      <c r="L76">
        <v>1</v>
      </c>
      <c r="M76">
        <f t="shared" si="20"/>
        <v>0.49783877496427564</v>
      </c>
      <c r="N76">
        <f t="shared" si="24"/>
        <v>0.11494794749000001</v>
      </c>
      <c r="O76">
        <f t="shared" si="22"/>
        <v>3.0497582017600004E-2</v>
      </c>
      <c r="P76">
        <f t="shared" si="23"/>
        <v>0.2599108473033418</v>
      </c>
      <c r="V76">
        <v>1.19999999999997</v>
      </c>
      <c r="W76">
        <f t="shared" si="21"/>
        <v>-0.53118399999999877</v>
      </c>
    </row>
    <row r="77" spans="1:23" x14ac:dyDescent="0.3">
      <c r="A77">
        <v>7.3739233000000004</v>
      </c>
      <c r="B77">
        <v>0.30923</v>
      </c>
      <c r="C77">
        <f t="shared" si="14"/>
        <v>2.2802383020590002</v>
      </c>
      <c r="D77">
        <v>1.5800000000000002E-2</v>
      </c>
      <c r="E77">
        <v>4.1920000000000004E-3</v>
      </c>
      <c r="F77">
        <f t="shared" si="15"/>
        <v>1474.78466</v>
      </c>
      <c r="G77">
        <f t="shared" si="16"/>
        <v>-0.30923</v>
      </c>
      <c r="H77">
        <f t="shared" si="17"/>
        <v>-456.04766041180005</v>
      </c>
      <c r="I77">
        <v>1</v>
      </c>
      <c r="J77">
        <f t="shared" si="18"/>
        <v>0.3885119859133967</v>
      </c>
      <c r="K77">
        <f t="shared" si="19"/>
        <v>-0.91249515177521745</v>
      </c>
      <c r="L77">
        <v>1</v>
      </c>
      <c r="M77">
        <f t="shared" si="20"/>
        <v>0.4983836544706195</v>
      </c>
      <c r="N77">
        <f t="shared" si="24"/>
        <v>0.11650798814000002</v>
      </c>
      <c r="O77">
        <f t="shared" si="22"/>
        <v>3.0911486473600005E-2</v>
      </c>
      <c r="P77">
        <f t="shared" si="23"/>
        <v>0.26669202269099795</v>
      </c>
      <c r="V77">
        <v>1.2999999999999701</v>
      </c>
      <c r="W77">
        <f t="shared" si="21"/>
        <v>-0.53522599999999876</v>
      </c>
    </row>
    <row r="78" spans="1:23" x14ac:dyDescent="0.3">
      <c r="A78">
        <v>7.4748225000000001</v>
      </c>
      <c r="B78">
        <v>0.29959000000000002</v>
      </c>
      <c r="C78">
        <f t="shared" si="14"/>
        <v>2.2393820727750002</v>
      </c>
      <c r="D78">
        <v>1.5800000000000002E-2</v>
      </c>
      <c r="E78">
        <v>4.1920000000000004E-3</v>
      </c>
      <c r="F78">
        <f t="shared" si="15"/>
        <v>1494.9645</v>
      </c>
      <c r="G78">
        <f t="shared" si="16"/>
        <v>-0.29959000000000002</v>
      </c>
      <c r="H78">
        <f t="shared" si="17"/>
        <v>-447.87641455500005</v>
      </c>
      <c r="I78">
        <v>1</v>
      </c>
      <c r="J78">
        <f t="shared" si="18"/>
        <v>0.40210246074131534</v>
      </c>
      <c r="K78">
        <f t="shared" si="19"/>
        <v>-0.92213515177521743</v>
      </c>
      <c r="L78">
        <v>1</v>
      </c>
      <c r="M78">
        <f t="shared" si="20"/>
        <v>0.49893298146316395</v>
      </c>
      <c r="N78">
        <f t="shared" si="24"/>
        <v>0.11810219550000002</v>
      </c>
      <c r="O78">
        <f t="shared" si="22"/>
        <v>3.1334455920000004E-2</v>
      </c>
      <c r="P78">
        <f t="shared" si="23"/>
        <v>0.27376551889205347</v>
      </c>
      <c r="V78">
        <v>1.3999999999999699</v>
      </c>
      <c r="W78">
        <f t="shared" si="21"/>
        <v>-0.53926799999999875</v>
      </c>
    </row>
    <row r="79" spans="1:23" x14ac:dyDescent="0.3">
      <c r="A79">
        <v>7.5742802500000002</v>
      </c>
      <c r="B79">
        <v>0.28866000000000003</v>
      </c>
      <c r="C79">
        <f t="shared" si="14"/>
        <v>2.1863917369650001</v>
      </c>
      <c r="D79">
        <v>1.5800000000000002E-2</v>
      </c>
      <c r="E79">
        <v>4.1920000000000004E-3</v>
      </c>
      <c r="F79">
        <f t="shared" si="15"/>
        <v>1514.8560500000001</v>
      </c>
      <c r="G79">
        <f t="shared" si="16"/>
        <v>-0.28866000000000003</v>
      </c>
      <c r="H79">
        <f t="shared" si="17"/>
        <v>-437.27834739300005</v>
      </c>
      <c r="I79">
        <v>1</v>
      </c>
      <c r="J79">
        <f t="shared" si="18"/>
        <v>0.41532041794532865</v>
      </c>
      <c r="K79">
        <f t="shared" si="19"/>
        <v>-0.93306515177521743</v>
      </c>
      <c r="L79">
        <v>1</v>
      </c>
      <c r="M79">
        <f t="shared" si="20"/>
        <v>0.49946725129335018</v>
      </c>
      <c r="N79">
        <f t="shared" si="24"/>
        <v>0.11967362795000001</v>
      </c>
      <c r="O79">
        <f t="shared" si="22"/>
        <v>3.1751382808000002E-2</v>
      </c>
      <c r="P79">
        <f t="shared" si="23"/>
        <v>0.28217288972386723</v>
      </c>
      <c r="V79">
        <v>1.49999999999997</v>
      </c>
      <c r="W79">
        <f t="shared" si="21"/>
        <v>-0.54330999999999874</v>
      </c>
    </row>
    <row r="80" spans="1:23" x14ac:dyDescent="0.3">
      <c r="A80">
        <v>7.6730174999999994</v>
      </c>
      <c r="B80">
        <v>0.27756999999999998</v>
      </c>
      <c r="C80">
        <f t="shared" si="14"/>
        <v>2.1297994674749998</v>
      </c>
      <c r="D80">
        <v>1.5800000000000002E-2</v>
      </c>
      <c r="E80">
        <v>4.1920000000000004E-3</v>
      </c>
      <c r="F80">
        <f t="shared" si="15"/>
        <v>1534.6034999999999</v>
      </c>
      <c r="G80">
        <f t="shared" si="16"/>
        <v>-0.27756999999999998</v>
      </c>
      <c r="H80">
        <f t="shared" si="17"/>
        <v>-425.95989349499996</v>
      </c>
      <c r="I80">
        <v>1</v>
      </c>
      <c r="J80">
        <f t="shared" si="18"/>
        <v>0.42827204148344578</v>
      </c>
      <c r="K80">
        <f t="shared" si="19"/>
        <v>-0.94415515177521747</v>
      </c>
      <c r="L80">
        <v>1</v>
      </c>
      <c r="M80">
        <f t="shared" si="20"/>
        <v>0.4999907559167609</v>
      </c>
      <c r="N80">
        <f t="shared" si="24"/>
        <v>0.1212336765</v>
      </c>
      <c r="O80">
        <f t="shared" si="22"/>
        <v>3.2165289360000002E-2</v>
      </c>
      <c r="P80">
        <f t="shared" si="23"/>
        <v>0.29076542999845656</v>
      </c>
      <c r="V80">
        <v>1.5999999999999699</v>
      </c>
      <c r="W80">
        <f t="shared" si="21"/>
        <v>-0.54735199999999873</v>
      </c>
    </row>
    <row r="81" spans="1:23" x14ac:dyDescent="0.3">
      <c r="A81">
        <v>7.7731957500000002</v>
      </c>
      <c r="B81">
        <v>0.26571</v>
      </c>
      <c r="C81">
        <f t="shared" si="14"/>
        <v>2.0654158427325</v>
      </c>
      <c r="D81">
        <v>1.5800000000000002E-2</v>
      </c>
      <c r="E81">
        <v>4.1920000000000004E-3</v>
      </c>
      <c r="F81">
        <f t="shared" si="15"/>
        <v>1554.63915</v>
      </c>
      <c r="G81">
        <f t="shared" si="16"/>
        <v>-0.26571</v>
      </c>
      <c r="H81">
        <f t="shared" si="17"/>
        <v>-413.08316854650002</v>
      </c>
      <c r="I81">
        <v>1</v>
      </c>
      <c r="J81">
        <f t="shared" si="18"/>
        <v>0.44124346082378846</v>
      </c>
      <c r="K81">
        <f t="shared" si="19"/>
        <v>-0.95601515177521745</v>
      </c>
      <c r="L81">
        <v>1</v>
      </c>
      <c r="M81">
        <f t="shared" si="20"/>
        <v>0.50051506068649754</v>
      </c>
      <c r="N81">
        <f t="shared" si="24"/>
        <v>0.12281649285000001</v>
      </c>
      <c r="O81">
        <f t="shared" si="22"/>
        <v>3.2585236584000005E-2</v>
      </c>
      <c r="P81">
        <f t="shared" si="23"/>
        <v>0.30009836165471993</v>
      </c>
      <c r="V81">
        <v>1.69999999999997</v>
      </c>
      <c r="W81">
        <f t="shared" si="21"/>
        <v>-0.55139399999999883</v>
      </c>
    </row>
    <row r="82" spans="1:23" x14ac:dyDescent="0.3">
      <c r="A82">
        <v>7.8726535000000002</v>
      </c>
      <c r="B82">
        <v>0.25363999999999998</v>
      </c>
      <c r="C82">
        <f t="shared" si="14"/>
        <v>1.9968198337399998</v>
      </c>
      <c r="D82">
        <v>1.5800000000000002E-2</v>
      </c>
      <c r="E82">
        <v>4.1920000000000004E-3</v>
      </c>
      <c r="F82">
        <f t="shared" si="15"/>
        <v>1574.5307</v>
      </c>
      <c r="G82">
        <f t="shared" si="16"/>
        <v>-0.25363999999999998</v>
      </c>
      <c r="H82">
        <f t="shared" si="17"/>
        <v>-399.36396674799994</v>
      </c>
      <c r="I82">
        <v>1</v>
      </c>
      <c r="J82">
        <f t="shared" si="18"/>
        <v>0.45395725962226757</v>
      </c>
      <c r="K82">
        <f t="shared" si="19"/>
        <v>-0.96808515177521748</v>
      </c>
      <c r="L82">
        <v>1</v>
      </c>
      <c r="M82">
        <f t="shared" si="20"/>
        <v>0.50102895243393208</v>
      </c>
      <c r="N82">
        <f t="shared" si="24"/>
        <v>0.12438792530000002</v>
      </c>
      <c r="O82">
        <f t="shared" si="22"/>
        <v>3.3002163472000003E-2</v>
      </c>
      <c r="P82">
        <f t="shared" si="23"/>
        <v>0.30966611056928534</v>
      </c>
      <c r="V82">
        <v>1.7999999999999701</v>
      </c>
      <c r="W82">
        <f t="shared" si="21"/>
        <v>-0.55543599999999882</v>
      </c>
    </row>
    <row r="83" spans="1:23" x14ac:dyDescent="0.3">
      <c r="A83">
        <v>7.9713906999999997</v>
      </c>
      <c r="B83">
        <v>0.24915000000000001</v>
      </c>
      <c r="C83">
        <f t="shared" si="14"/>
        <v>1.9860719929049999</v>
      </c>
      <c r="D83">
        <v>1.5800000000000002E-2</v>
      </c>
      <c r="E83">
        <v>4.1920000000000004E-3</v>
      </c>
      <c r="F83">
        <f t="shared" si="15"/>
        <v>1594.2781399999999</v>
      </c>
      <c r="G83">
        <f t="shared" si="16"/>
        <v>-0.24915000000000001</v>
      </c>
      <c r="H83">
        <f t="shared" si="17"/>
        <v>-397.21439858099995</v>
      </c>
      <c r="I83">
        <v>1</v>
      </c>
      <c r="J83">
        <f t="shared" si="18"/>
        <v>0.46642105699050862</v>
      </c>
      <c r="K83">
        <f t="shared" si="19"/>
        <v>-0.97257515177521747</v>
      </c>
      <c r="L83">
        <v>1</v>
      </c>
      <c r="M83">
        <f t="shared" si="20"/>
        <v>0.50153273912355634</v>
      </c>
      <c r="N83">
        <f t="shared" si="24"/>
        <v>0.12594797306</v>
      </c>
      <c r="O83">
        <f t="shared" si="22"/>
        <v>3.3416069814400005E-2</v>
      </c>
      <c r="P83">
        <f t="shared" si="23"/>
        <v>0.31167836977726115</v>
      </c>
      <c r="V83">
        <v>1.8999999999999699</v>
      </c>
      <c r="W83">
        <f t="shared" si="21"/>
        <v>-0.55947799999999881</v>
      </c>
    </row>
    <row r="84" spans="1:23" x14ac:dyDescent="0.3">
      <c r="C84">
        <f t="shared" si="14"/>
        <v>0</v>
      </c>
      <c r="D84">
        <v>1.5800000000000002E-2</v>
      </c>
      <c r="E84">
        <v>4.1920000000000004E-3</v>
      </c>
      <c r="F84">
        <f t="shared" si="15"/>
        <v>0</v>
      </c>
      <c r="G84">
        <f t="shared" si="16"/>
        <v>0</v>
      </c>
      <c r="H84">
        <f t="shared" si="17"/>
        <v>0</v>
      </c>
      <c r="I84">
        <v>1</v>
      </c>
      <c r="J84" t="e">
        <f t="shared" si="18"/>
        <v>#NUM!</v>
      </c>
      <c r="K84">
        <f t="shared" si="19"/>
        <v>-1.2217251517752175</v>
      </c>
      <c r="L84">
        <v>1</v>
      </c>
      <c r="M84" t="e">
        <f t="shared" si="20"/>
        <v>#NUM!</v>
      </c>
      <c r="N84">
        <f t="shared" si="24"/>
        <v>0</v>
      </c>
      <c r="O84">
        <f t="shared" si="22"/>
        <v>0</v>
      </c>
      <c r="P84" t="e">
        <f t="shared" si="23"/>
        <v>#NUM!</v>
      </c>
      <c r="V84">
        <v>1.99999999999997</v>
      </c>
      <c r="W84">
        <f t="shared" si="21"/>
        <v>-0.5635199999999988</v>
      </c>
    </row>
    <row r="85" spans="1:23" x14ac:dyDescent="0.3">
      <c r="C85">
        <f t="shared" si="14"/>
        <v>0</v>
      </c>
      <c r="D85">
        <v>1.5800000000000002E-2</v>
      </c>
      <c r="E85">
        <v>4.1920000000000004E-3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-1.2217251517752175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-0.56756199999999879</v>
      </c>
    </row>
    <row r="86" spans="1:23" x14ac:dyDescent="0.3">
      <c r="C86">
        <f t="shared" si="14"/>
        <v>0</v>
      </c>
      <c r="D86">
        <v>1.5800000000000002E-2</v>
      </c>
      <c r="E86">
        <v>4.1920000000000004E-3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-1.2217251517752175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-0.57160399999999878</v>
      </c>
    </row>
    <row r="87" spans="1:23" x14ac:dyDescent="0.3">
      <c r="C87">
        <f t="shared" si="14"/>
        <v>0</v>
      </c>
      <c r="D87">
        <v>1.5800000000000002E-2</v>
      </c>
      <c r="E87">
        <v>4.1920000000000004E-3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-1.2217251517752175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-0.57564599999999877</v>
      </c>
    </row>
    <row r="88" spans="1:23" x14ac:dyDescent="0.3">
      <c r="C88">
        <f t="shared" si="14"/>
        <v>0</v>
      </c>
      <c r="D88">
        <v>1.5800000000000002E-2</v>
      </c>
      <c r="E88">
        <v>4.1920000000000004E-3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-1.2217251517752175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-0.57968799999999876</v>
      </c>
    </row>
    <row r="89" spans="1:23" x14ac:dyDescent="0.3">
      <c r="C89">
        <f t="shared" si="14"/>
        <v>0</v>
      </c>
      <c r="D89">
        <v>1.5800000000000002E-2</v>
      </c>
      <c r="E89">
        <v>4.1920000000000004E-3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-1.2217251517752175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-0.58372999999999875</v>
      </c>
    </row>
    <row r="90" spans="1:23" x14ac:dyDescent="0.3">
      <c r="C90">
        <f t="shared" si="14"/>
        <v>0</v>
      </c>
      <c r="D90">
        <v>1.5800000000000002E-2</v>
      </c>
      <c r="E90">
        <v>4.1920000000000004E-3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-1.2217251517752175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-0.58777199999999874</v>
      </c>
    </row>
    <row r="91" spans="1:23" x14ac:dyDescent="0.3">
      <c r="C91">
        <f t="shared" si="14"/>
        <v>0</v>
      </c>
      <c r="D91">
        <v>1.5800000000000002E-2</v>
      </c>
      <c r="E91">
        <v>4.1920000000000004E-3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-1.2217251517752175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-0.59181399999999873</v>
      </c>
    </row>
    <row r="92" spans="1:23" x14ac:dyDescent="0.3">
      <c r="C92">
        <f t="shared" si="14"/>
        <v>0</v>
      </c>
      <c r="D92">
        <v>1.5800000000000002E-2</v>
      </c>
      <c r="E92">
        <v>4.1920000000000004E-3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-1.2217251517752175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-0.59585599999999883</v>
      </c>
    </row>
    <row r="93" spans="1:23" x14ac:dyDescent="0.3">
      <c r="C93">
        <f t="shared" si="14"/>
        <v>0</v>
      </c>
      <c r="D93">
        <v>1.5800000000000002E-2</v>
      </c>
      <c r="E93">
        <v>4.1920000000000004E-3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-1.2217251517752175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-0.59989799999999882</v>
      </c>
    </row>
    <row r="94" spans="1:23" x14ac:dyDescent="0.3">
      <c r="C94">
        <f t="shared" si="14"/>
        <v>0</v>
      </c>
      <c r="D94">
        <v>1.5800000000000002E-2</v>
      </c>
      <c r="E94">
        <v>4.1920000000000004E-3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-1.2217251517752175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-0.60393999999999881</v>
      </c>
    </row>
    <row r="95" spans="1:23" x14ac:dyDescent="0.3">
      <c r="C95">
        <f t="shared" si="14"/>
        <v>0</v>
      </c>
      <c r="D95">
        <v>1.5800000000000002E-2</v>
      </c>
      <c r="E95">
        <v>4.1920000000000004E-3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-1.2217251517752175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-0.6079819999999988</v>
      </c>
    </row>
    <row r="96" spans="1:23" x14ac:dyDescent="0.3">
      <c r="C96">
        <f t="shared" si="14"/>
        <v>0</v>
      </c>
      <c r="D96">
        <v>1.5800000000000002E-2</v>
      </c>
      <c r="E96">
        <v>4.1920000000000004E-3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-1.2217251517752175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-0.61202399999999879</v>
      </c>
    </row>
    <row r="97" spans="3:23" x14ac:dyDescent="0.3">
      <c r="C97">
        <f t="shared" si="14"/>
        <v>0</v>
      </c>
      <c r="D97">
        <v>1.5800000000000002E-2</v>
      </c>
      <c r="E97">
        <v>4.1920000000000004E-3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-1.2217251517752175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-0.61606599999999878</v>
      </c>
    </row>
    <row r="98" spans="3:23" x14ac:dyDescent="0.3">
      <c r="C98">
        <f t="shared" si="14"/>
        <v>0</v>
      </c>
      <c r="D98">
        <v>1.5800000000000002E-2</v>
      </c>
      <c r="E98">
        <v>4.1920000000000004E-3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-1.2217251517752175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-0.62010799999999877</v>
      </c>
    </row>
    <row r="99" spans="3:23" x14ac:dyDescent="0.3">
      <c r="C99">
        <f t="shared" si="14"/>
        <v>0</v>
      </c>
      <c r="D99">
        <v>1.5800000000000002E-2</v>
      </c>
      <c r="E99">
        <v>4.1920000000000004E-3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-0.62414999999999876</v>
      </c>
    </row>
    <row r="100" spans="3:23" x14ac:dyDescent="0.3">
      <c r="C100">
        <f t="shared" si="14"/>
        <v>0</v>
      </c>
      <c r="D100">
        <v>1.5800000000000002E-2</v>
      </c>
      <c r="E100">
        <v>4.1920000000000004E-3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-0.62819199999999875</v>
      </c>
    </row>
    <row r="101" spans="3:23" x14ac:dyDescent="0.3">
      <c r="C101">
        <f t="shared" si="14"/>
        <v>0</v>
      </c>
      <c r="D101">
        <v>1.5800000000000002E-2</v>
      </c>
      <c r="E101">
        <v>4.1920000000000004E-3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-0.63223399999999874</v>
      </c>
    </row>
    <row r="102" spans="3:23" x14ac:dyDescent="0.3">
      <c r="C102">
        <f t="shared" si="14"/>
        <v>0</v>
      </c>
      <c r="D102">
        <v>1.5800000000000002E-2</v>
      </c>
      <c r="E102">
        <v>4.1920000000000004E-3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-0.63627599999999873</v>
      </c>
    </row>
    <row r="103" spans="3:23" x14ac:dyDescent="0.3">
      <c r="C103">
        <f t="shared" si="14"/>
        <v>0</v>
      </c>
      <c r="D103">
        <v>1.5800000000000002E-2</v>
      </c>
      <c r="E103">
        <v>4.1920000000000004E-3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-0.64031799999999839</v>
      </c>
    </row>
    <row r="104" spans="3:23" x14ac:dyDescent="0.3">
      <c r="C104">
        <f t="shared" si="14"/>
        <v>0</v>
      </c>
      <c r="D104">
        <v>1.5800000000000002E-2</v>
      </c>
      <c r="E104">
        <v>4.1920000000000004E-3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-0.64435999999999838</v>
      </c>
    </row>
    <row r="105" spans="3:23" x14ac:dyDescent="0.3">
      <c r="C105">
        <f t="shared" si="14"/>
        <v>0</v>
      </c>
      <c r="D105">
        <v>1.5800000000000002E-2</v>
      </c>
      <c r="E105">
        <v>4.1920000000000004E-3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-0.64840199999999992</v>
      </c>
    </row>
    <row r="106" spans="3:23" x14ac:dyDescent="0.3">
      <c r="C106">
        <f t="shared" si="14"/>
        <v>0</v>
      </c>
      <c r="D106">
        <v>1.5800000000000002E-2</v>
      </c>
      <c r="E106">
        <v>4.1920000000000004E-3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-0.65244400000000002</v>
      </c>
    </row>
    <row r="107" spans="3:23" x14ac:dyDescent="0.3">
      <c r="C107">
        <f t="shared" si="14"/>
        <v>0</v>
      </c>
      <c r="D107">
        <v>1.5800000000000002E-2</v>
      </c>
      <c r="E107">
        <v>4.1920000000000004E-3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-0.65648600000000001</v>
      </c>
    </row>
    <row r="108" spans="3:23" x14ac:dyDescent="0.3">
      <c r="C108">
        <f t="shared" si="14"/>
        <v>0</v>
      </c>
      <c r="D108">
        <v>1.5800000000000002E-2</v>
      </c>
      <c r="E108">
        <v>4.1920000000000004E-3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-0.660528</v>
      </c>
    </row>
    <row r="109" spans="3:23" x14ac:dyDescent="0.3">
      <c r="C109">
        <f t="shared" si="14"/>
        <v>0</v>
      </c>
      <c r="D109">
        <v>1.5800000000000002E-2</v>
      </c>
      <c r="E109">
        <v>4.1920000000000004E-3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-0.66456999999999999</v>
      </c>
    </row>
    <row r="110" spans="3:23" x14ac:dyDescent="0.3">
      <c r="C110">
        <f t="shared" si="14"/>
        <v>0</v>
      </c>
      <c r="D110">
        <v>1.5800000000000002E-2</v>
      </c>
      <c r="E110">
        <v>4.1920000000000004E-3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-0.66861199999999998</v>
      </c>
    </row>
    <row r="111" spans="3:23" x14ac:dyDescent="0.3">
      <c r="C111">
        <f t="shared" si="14"/>
        <v>0</v>
      </c>
      <c r="D111">
        <v>1.5800000000000002E-2</v>
      </c>
      <c r="E111">
        <v>4.1920000000000004E-3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-0.67265399999999997</v>
      </c>
    </row>
    <row r="112" spans="3:23" x14ac:dyDescent="0.3">
      <c r="C112">
        <f t="shared" si="14"/>
        <v>0</v>
      </c>
      <c r="D112">
        <v>1.5800000000000002E-2</v>
      </c>
      <c r="E112">
        <v>4.1920000000000004E-3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-0.67669599999999996</v>
      </c>
    </row>
    <row r="113" spans="3:23" x14ac:dyDescent="0.3">
      <c r="C113">
        <f t="shared" si="14"/>
        <v>0</v>
      </c>
      <c r="D113">
        <v>1.5800000000000002E-2</v>
      </c>
      <c r="E113">
        <v>4.1920000000000004E-3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-0.68073800000000007</v>
      </c>
    </row>
    <row r="114" spans="3:23" x14ac:dyDescent="0.3">
      <c r="C114">
        <f t="shared" si="14"/>
        <v>0</v>
      </c>
      <c r="D114">
        <v>1.5800000000000002E-2</v>
      </c>
      <c r="E114">
        <v>4.1920000000000004E-3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-0.68477999999999994</v>
      </c>
    </row>
    <row r="115" spans="3:23" x14ac:dyDescent="0.3">
      <c r="C115">
        <f t="shared" si="14"/>
        <v>0</v>
      </c>
      <c r="D115">
        <v>1.5800000000000002E-2</v>
      </c>
      <c r="E115">
        <v>4.1920000000000004E-3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-0.68882199999999993</v>
      </c>
    </row>
    <row r="116" spans="3:23" x14ac:dyDescent="0.3">
      <c r="C116">
        <f t="shared" si="14"/>
        <v>0</v>
      </c>
      <c r="D116">
        <v>1.5800000000000002E-2</v>
      </c>
      <c r="E116">
        <v>4.1920000000000004E-3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-0.69286399999999992</v>
      </c>
    </row>
    <row r="117" spans="3:23" x14ac:dyDescent="0.3">
      <c r="C117">
        <f t="shared" si="14"/>
        <v>0</v>
      </c>
      <c r="D117">
        <v>1.5800000000000002E-2</v>
      </c>
      <c r="E117">
        <v>4.1920000000000004E-3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-0.69690600000000003</v>
      </c>
    </row>
    <row r="118" spans="3:23" x14ac:dyDescent="0.3">
      <c r="C118">
        <f t="shared" si="14"/>
        <v>0</v>
      </c>
      <c r="D118">
        <v>1.5800000000000002E-2</v>
      </c>
      <c r="E118">
        <v>4.1920000000000004E-3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-0.70094800000000002</v>
      </c>
    </row>
    <row r="119" spans="3:23" x14ac:dyDescent="0.3">
      <c r="C119">
        <f t="shared" si="14"/>
        <v>0</v>
      </c>
      <c r="D119">
        <v>1.5800000000000002E-2</v>
      </c>
      <c r="E119">
        <v>4.1920000000000004E-3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-0.70499000000000001</v>
      </c>
    </row>
    <row r="120" spans="3:23" x14ac:dyDescent="0.3">
      <c r="C120">
        <f t="shared" si="14"/>
        <v>0</v>
      </c>
      <c r="D120">
        <v>1.5800000000000002E-2</v>
      </c>
      <c r="E120">
        <v>4.1920000000000004E-3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-0.709032</v>
      </c>
    </row>
    <row r="121" spans="3:23" x14ac:dyDescent="0.3">
      <c r="C121">
        <f t="shared" si="14"/>
        <v>0</v>
      </c>
      <c r="D121">
        <v>1.5800000000000002E-2</v>
      </c>
      <c r="E121">
        <v>4.1920000000000004E-3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-0.71307399999999999</v>
      </c>
    </row>
    <row r="122" spans="3:23" x14ac:dyDescent="0.3">
      <c r="C122">
        <f t="shared" si="14"/>
        <v>0</v>
      </c>
      <c r="D122">
        <v>1.5800000000000002E-2</v>
      </c>
      <c r="E122">
        <v>4.1920000000000004E-3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-0.71711599999999998</v>
      </c>
    </row>
    <row r="123" spans="3:23" x14ac:dyDescent="0.3">
      <c r="C123">
        <f t="shared" si="14"/>
        <v>0</v>
      </c>
      <c r="D123">
        <v>1.5800000000000002E-2</v>
      </c>
      <c r="E123">
        <v>4.1920000000000004E-3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-0.72115799999999997</v>
      </c>
    </row>
    <row r="124" spans="3:23" x14ac:dyDescent="0.3">
      <c r="C124">
        <f t="shared" si="14"/>
        <v>0</v>
      </c>
      <c r="D124">
        <v>1.5800000000000002E-2</v>
      </c>
      <c r="E124">
        <v>4.1920000000000004E-3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-0.72519999999999996</v>
      </c>
    </row>
    <row r="125" spans="3:23" x14ac:dyDescent="0.3">
      <c r="C125">
        <f t="shared" si="14"/>
        <v>0</v>
      </c>
      <c r="D125">
        <v>1.5800000000000002E-2</v>
      </c>
      <c r="E125">
        <v>4.1920000000000004E-3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-0.72924199999999995</v>
      </c>
    </row>
    <row r="126" spans="3:23" x14ac:dyDescent="0.3">
      <c r="C126">
        <f t="shared" si="14"/>
        <v>0</v>
      </c>
      <c r="D126">
        <v>1.5800000000000002E-2</v>
      </c>
      <c r="E126">
        <v>4.1920000000000004E-3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-0.73328400000000005</v>
      </c>
    </row>
    <row r="127" spans="3:23" x14ac:dyDescent="0.3">
      <c r="C127">
        <f t="shared" si="14"/>
        <v>0</v>
      </c>
      <c r="D127">
        <v>1.5800000000000002E-2</v>
      </c>
      <c r="E127">
        <v>4.1920000000000004E-3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-0.73732599999999993</v>
      </c>
    </row>
    <row r="128" spans="3:23" x14ac:dyDescent="0.3">
      <c r="C128">
        <f t="shared" si="14"/>
        <v>0</v>
      </c>
      <c r="D128">
        <v>1.5800000000000002E-2</v>
      </c>
      <c r="E128">
        <v>4.1920000000000004E-3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-0.74136800000000003</v>
      </c>
    </row>
    <row r="129" spans="3:23" x14ac:dyDescent="0.3">
      <c r="C129">
        <f t="shared" si="14"/>
        <v>0</v>
      </c>
      <c r="D129">
        <v>1.5800000000000002E-2</v>
      </c>
      <c r="E129">
        <v>4.1920000000000004E-3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-0.74540999999999991</v>
      </c>
    </row>
    <row r="130" spans="3:23" x14ac:dyDescent="0.3">
      <c r="C130">
        <f t="shared" si="14"/>
        <v>0</v>
      </c>
      <c r="D130">
        <v>1.5800000000000002E-2</v>
      </c>
      <c r="E130">
        <v>4.1920000000000004E-3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-0.74945200000000001</v>
      </c>
    </row>
    <row r="131" spans="3:23" x14ac:dyDescent="0.3">
      <c r="C131">
        <f t="shared" si="14"/>
        <v>0</v>
      </c>
      <c r="D131">
        <v>1.5800000000000002E-2</v>
      </c>
      <c r="E131">
        <v>4.1920000000000004E-3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-0.753494</v>
      </c>
    </row>
    <row r="132" spans="3:23" x14ac:dyDescent="0.3">
      <c r="C132">
        <f t="shared" si="14"/>
        <v>0</v>
      </c>
      <c r="D132">
        <v>1.5800000000000002E-2</v>
      </c>
      <c r="E132">
        <v>4.1920000000000004E-3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-0.75753599999999999</v>
      </c>
    </row>
    <row r="133" spans="3:23" x14ac:dyDescent="0.3">
      <c r="C133">
        <f t="shared" ref="C133:C196" si="25">A133*B133</f>
        <v>0</v>
      </c>
      <c r="D133">
        <v>1.5800000000000002E-2</v>
      </c>
      <c r="E133">
        <v>4.1920000000000004E-3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-0.76157799999999998</v>
      </c>
    </row>
    <row r="134" spans="3:23" x14ac:dyDescent="0.3">
      <c r="C134">
        <f t="shared" si="25"/>
        <v>0</v>
      </c>
      <c r="D134">
        <v>1.5800000000000002E-2</v>
      </c>
      <c r="E134">
        <v>4.1920000000000004E-3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-0.76561999999999997</v>
      </c>
    </row>
    <row r="135" spans="3:23" x14ac:dyDescent="0.3">
      <c r="C135">
        <f t="shared" si="25"/>
        <v>0</v>
      </c>
      <c r="D135">
        <v>1.5800000000000002E-2</v>
      </c>
      <c r="E135">
        <v>4.1920000000000004E-3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-0.76966199999999996</v>
      </c>
    </row>
    <row r="136" spans="3:23" x14ac:dyDescent="0.3">
      <c r="C136">
        <f t="shared" si="25"/>
        <v>0</v>
      </c>
      <c r="D136">
        <v>1.5800000000000002E-2</v>
      </c>
      <c r="E136">
        <v>4.1920000000000004E-3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-0.77370399999999995</v>
      </c>
    </row>
    <row r="137" spans="3:23" x14ac:dyDescent="0.3">
      <c r="C137">
        <f t="shared" si="25"/>
        <v>0</v>
      </c>
      <c r="D137">
        <v>1.5800000000000002E-2</v>
      </c>
      <c r="E137">
        <v>4.1920000000000004E-3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-0.77774600000000005</v>
      </c>
    </row>
    <row r="138" spans="3:23" x14ac:dyDescent="0.3">
      <c r="C138">
        <f t="shared" si="25"/>
        <v>0</v>
      </c>
      <c r="D138">
        <v>1.5800000000000002E-2</v>
      </c>
      <c r="E138">
        <v>4.1920000000000004E-3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-0.78178799999999993</v>
      </c>
    </row>
    <row r="139" spans="3:23" x14ac:dyDescent="0.3">
      <c r="C139">
        <f t="shared" si="25"/>
        <v>0</v>
      </c>
      <c r="D139">
        <v>1.5800000000000002E-2</v>
      </c>
      <c r="E139">
        <v>4.1920000000000004E-3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-0.78583000000000003</v>
      </c>
    </row>
    <row r="140" spans="3:23" x14ac:dyDescent="0.3">
      <c r="C140">
        <f t="shared" si="25"/>
        <v>0</v>
      </c>
      <c r="D140">
        <v>1.5800000000000002E-2</v>
      </c>
      <c r="E140">
        <v>4.1920000000000004E-3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1.5800000000000002E-2</v>
      </c>
      <c r="E141">
        <v>4.1920000000000004E-3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1.5800000000000002E-2</v>
      </c>
      <c r="E142">
        <v>4.1920000000000004E-3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1.5800000000000002E-2</v>
      </c>
      <c r="E143">
        <v>4.1920000000000004E-3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1.5800000000000002E-2</v>
      </c>
      <c r="E144">
        <v>4.1920000000000004E-3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1.5800000000000002E-2</v>
      </c>
      <c r="E145">
        <v>4.1920000000000004E-3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1.5800000000000002E-2</v>
      </c>
      <c r="E146">
        <v>4.1920000000000004E-3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1.5800000000000002E-2</v>
      </c>
      <c r="E147">
        <v>4.1920000000000004E-3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1.5800000000000002E-2</v>
      </c>
      <c r="E148">
        <v>4.1920000000000004E-3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1.5800000000000002E-2</v>
      </c>
      <c r="E149">
        <v>4.1920000000000004E-3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1.5800000000000002E-2</v>
      </c>
      <c r="E150">
        <v>4.1920000000000004E-3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1.5800000000000002E-2</v>
      </c>
      <c r="E151">
        <v>4.1920000000000004E-3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1.5800000000000002E-2</v>
      </c>
      <c r="E152">
        <v>4.1920000000000004E-3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1.5800000000000002E-2</v>
      </c>
      <c r="E153">
        <v>4.1920000000000004E-3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1.5800000000000002E-2</v>
      </c>
      <c r="E154">
        <v>4.1920000000000004E-3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1.5800000000000002E-2</v>
      </c>
      <c r="E155">
        <v>4.1920000000000004E-3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1.5800000000000002E-2</v>
      </c>
      <c r="E156">
        <v>4.1920000000000004E-3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1.5800000000000002E-2</v>
      </c>
      <c r="E157">
        <v>4.1920000000000004E-3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1.5800000000000002E-2</v>
      </c>
      <c r="E158">
        <v>4.1920000000000004E-3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1.5800000000000002E-2</v>
      </c>
      <c r="E159">
        <v>4.1920000000000004E-3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1.5800000000000002E-2</v>
      </c>
      <c r="E160">
        <v>4.1920000000000004E-3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1.5800000000000002E-2</v>
      </c>
      <c r="E161">
        <v>4.1920000000000004E-3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1.5800000000000002E-2</v>
      </c>
      <c r="E162">
        <v>4.1920000000000004E-3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1.5800000000000002E-2</v>
      </c>
      <c r="E163">
        <v>4.1920000000000004E-3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1.5800000000000002E-2</v>
      </c>
      <c r="E164">
        <v>4.1920000000000004E-3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1.5800000000000002E-2</v>
      </c>
      <c r="E165">
        <v>4.1920000000000004E-3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1.5800000000000002E-2</v>
      </c>
      <c r="E166">
        <v>4.1920000000000004E-3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1.5800000000000002E-2</v>
      </c>
      <c r="E167">
        <v>4.1920000000000004E-3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1.5800000000000002E-2</v>
      </c>
      <c r="E168">
        <v>4.1920000000000004E-3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1.5800000000000002E-2</v>
      </c>
      <c r="E169">
        <v>4.1920000000000004E-3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1.5800000000000002E-2</v>
      </c>
      <c r="E170">
        <v>4.1920000000000004E-3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1.5800000000000002E-2</v>
      </c>
      <c r="E171">
        <v>4.1920000000000004E-3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1.5800000000000002E-2</v>
      </c>
      <c r="E172">
        <v>4.1920000000000004E-3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1.5800000000000002E-2</v>
      </c>
      <c r="E173">
        <v>4.1920000000000004E-3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1.5800000000000002E-2</v>
      </c>
      <c r="E174">
        <v>4.1920000000000004E-3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1.5800000000000002E-2</v>
      </c>
      <c r="E175">
        <v>4.1920000000000004E-3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1.5800000000000002E-2</v>
      </c>
      <c r="E176">
        <v>4.1920000000000004E-3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1.5800000000000002E-2</v>
      </c>
      <c r="E177">
        <v>4.1920000000000004E-3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1.5800000000000002E-2</v>
      </c>
      <c r="E178">
        <v>4.1920000000000004E-3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1.5800000000000002E-2</v>
      </c>
      <c r="E179">
        <v>4.1920000000000004E-3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1.5800000000000002E-2</v>
      </c>
      <c r="E180">
        <v>4.1920000000000004E-3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1.5800000000000002E-2</v>
      </c>
      <c r="E181">
        <v>4.1920000000000004E-3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1.5800000000000002E-2</v>
      </c>
      <c r="E182">
        <v>4.1920000000000004E-3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1.5800000000000002E-2</v>
      </c>
      <c r="E183">
        <v>4.1920000000000004E-3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1.5800000000000002E-2</v>
      </c>
      <c r="E184">
        <v>4.1920000000000004E-3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1.5800000000000002E-2</v>
      </c>
      <c r="E185">
        <v>4.1920000000000004E-3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1.5800000000000002E-2</v>
      </c>
      <c r="E186">
        <v>4.1920000000000004E-3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1.5800000000000002E-2</v>
      </c>
      <c r="E187">
        <v>4.1920000000000004E-3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1.5800000000000002E-2</v>
      </c>
      <c r="E188">
        <v>4.1920000000000004E-3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1.5800000000000002E-2</v>
      </c>
      <c r="E189">
        <v>4.1920000000000004E-3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1.5800000000000002E-2</v>
      </c>
      <c r="E190">
        <v>4.1920000000000004E-3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1.5800000000000002E-2</v>
      </c>
      <c r="E191">
        <v>4.1920000000000004E-3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1.5800000000000002E-2</v>
      </c>
      <c r="E192">
        <v>4.1920000000000004E-3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1.5800000000000002E-2</v>
      </c>
      <c r="E193">
        <v>4.1920000000000004E-3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1.5800000000000002E-2</v>
      </c>
      <c r="E194">
        <v>4.1920000000000004E-3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1.5800000000000002E-2</v>
      </c>
      <c r="E195">
        <v>4.1920000000000004E-3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1.5800000000000002E-2</v>
      </c>
      <c r="E196">
        <v>4.1920000000000004E-3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1.5800000000000002E-2</v>
      </c>
      <c r="E197">
        <v>4.1920000000000004E-3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1.5800000000000002E-2</v>
      </c>
      <c r="E198">
        <v>4.1920000000000004E-3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1.5800000000000002E-2</v>
      </c>
      <c r="E199">
        <v>4.1920000000000004E-3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1.5800000000000002E-2</v>
      </c>
      <c r="E200">
        <v>4.1920000000000004E-3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1.5800000000000002E-2</v>
      </c>
      <c r="E201">
        <v>4.1920000000000004E-3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1.5800000000000002E-2</v>
      </c>
      <c r="E202">
        <v>4.1920000000000004E-3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1.5800000000000002E-2</v>
      </c>
      <c r="E203">
        <v>4.1920000000000004E-3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1.5800000000000002E-2</v>
      </c>
      <c r="E204">
        <v>4.1920000000000004E-3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1.5800000000000002E-2</v>
      </c>
      <c r="E205">
        <v>4.1920000000000004E-3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1.5800000000000002E-2</v>
      </c>
      <c r="E206">
        <v>4.1920000000000004E-3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1.5800000000000002E-2</v>
      </c>
      <c r="E207">
        <v>4.1920000000000004E-3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1.5800000000000002E-2</v>
      </c>
      <c r="E208">
        <v>4.1920000000000004E-3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1.5800000000000002E-2</v>
      </c>
      <c r="E209">
        <v>4.1920000000000004E-3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1.5800000000000002E-2</v>
      </c>
      <c r="E210">
        <v>4.1920000000000004E-3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1.5800000000000002E-2</v>
      </c>
      <c r="E211">
        <v>4.1920000000000004E-3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1.5800000000000002E-2</v>
      </c>
      <c r="E212">
        <v>4.1920000000000004E-3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1.5800000000000002E-2</v>
      </c>
      <c r="E213">
        <v>4.1920000000000004E-3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1.5800000000000002E-2</v>
      </c>
      <c r="E214">
        <v>4.1920000000000004E-3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1.5800000000000002E-2</v>
      </c>
      <c r="E215">
        <v>4.1920000000000004E-3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1.5800000000000002E-2</v>
      </c>
      <c r="E216">
        <v>4.1920000000000004E-3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1.5800000000000002E-2</v>
      </c>
      <c r="E217">
        <v>4.1920000000000004E-3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1.5800000000000002E-2</v>
      </c>
      <c r="E218">
        <v>4.1920000000000004E-3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1.5800000000000002E-2</v>
      </c>
      <c r="E219">
        <v>4.1920000000000004E-3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1.5800000000000002E-2</v>
      </c>
      <c r="E220">
        <v>4.1920000000000004E-3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1.5800000000000002E-2</v>
      </c>
      <c r="E221">
        <v>4.1920000000000004E-3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1.5800000000000002E-2</v>
      </c>
      <c r="E222">
        <v>4.1920000000000004E-3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1.5800000000000002E-2</v>
      </c>
      <c r="E223">
        <v>4.1920000000000004E-3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1.5800000000000002E-2</v>
      </c>
      <c r="E224">
        <v>4.1920000000000004E-3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1.5800000000000002E-2</v>
      </c>
      <c r="E225">
        <v>4.1920000000000004E-3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1.5800000000000002E-2</v>
      </c>
      <c r="E226">
        <v>4.1920000000000004E-3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1.5800000000000002E-2</v>
      </c>
      <c r="E227">
        <v>4.1920000000000004E-3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1.5800000000000002E-2</v>
      </c>
      <c r="E228">
        <v>4.1920000000000004E-3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1.5800000000000002E-2</v>
      </c>
      <c r="E229">
        <v>4.1920000000000004E-3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1.5800000000000002E-2</v>
      </c>
      <c r="E230">
        <v>4.1920000000000004E-3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1.5800000000000002E-2</v>
      </c>
      <c r="E231">
        <v>4.1920000000000004E-3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1.5800000000000002E-2</v>
      </c>
      <c r="E232">
        <v>4.1920000000000004E-3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1.5800000000000002E-2</v>
      </c>
      <c r="E233">
        <v>4.1920000000000004E-3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1.5800000000000002E-2</v>
      </c>
      <c r="E234">
        <v>4.1920000000000004E-3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1.5800000000000002E-2</v>
      </c>
      <c r="E235">
        <v>4.1920000000000004E-3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1.5800000000000002E-2</v>
      </c>
      <c r="E236">
        <v>4.1920000000000004E-3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1.5800000000000002E-2</v>
      </c>
      <c r="E237">
        <v>4.1920000000000004E-3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1.5800000000000002E-2</v>
      </c>
      <c r="E238">
        <v>4.1920000000000004E-3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1.5800000000000002E-2</v>
      </c>
      <c r="E239">
        <v>4.1920000000000004E-3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1.5800000000000002E-2</v>
      </c>
      <c r="E240">
        <v>4.1920000000000004E-3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1.5800000000000002E-2</v>
      </c>
      <c r="E241">
        <v>4.1920000000000004E-3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1.5800000000000002E-2</v>
      </c>
      <c r="E242">
        <v>4.1920000000000004E-3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1.5800000000000002E-2</v>
      </c>
      <c r="E243">
        <v>4.1920000000000004E-3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1.5800000000000002E-2</v>
      </c>
      <c r="E244">
        <v>4.1920000000000004E-3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1.5800000000000002E-2</v>
      </c>
      <c r="E245">
        <v>4.1920000000000004E-3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1.5800000000000002E-2</v>
      </c>
      <c r="E246">
        <v>4.1920000000000004E-3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1.5800000000000002E-2</v>
      </c>
      <c r="E247">
        <v>4.1920000000000004E-3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1.5800000000000002E-2</v>
      </c>
      <c r="E248">
        <v>4.1920000000000004E-3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1.5800000000000002E-2</v>
      </c>
      <c r="E249">
        <v>4.1920000000000004E-3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1.5800000000000002E-2</v>
      </c>
      <c r="E250">
        <v>4.1920000000000004E-3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1.5800000000000002E-2</v>
      </c>
      <c r="E251">
        <v>4.1920000000000004E-3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1.5800000000000002E-2</v>
      </c>
      <c r="E252">
        <v>4.1920000000000004E-3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1.5800000000000002E-2</v>
      </c>
      <c r="E253">
        <v>4.1920000000000004E-3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1.5800000000000002E-2</v>
      </c>
      <c r="E254">
        <v>4.1920000000000004E-3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1.5800000000000002E-2</v>
      </c>
      <c r="E255">
        <v>4.1920000000000004E-3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1.5800000000000002E-2</v>
      </c>
      <c r="E256">
        <v>4.1920000000000004E-3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1.5800000000000002E-2</v>
      </c>
      <c r="E257">
        <v>4.1920000000000004E-3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1.5800000000000002E-2</v>
      </c>
      <c r="E258">
        <v>4.1920000000000004E-3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1.5800000000000002E-2</v>
      </c>
      <c r="E259">
        <v>4.1920000000000004E-3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1.5800000000000002E-2</v>
      </c>
      <c r="E260">
        <v>4.1920000000000004E-3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1.5800000000000002E-2</v>
      </c>
      <c r="E261">
        <v>4.1920000000000004E-3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1.5800000000000002E-2</v>
      </c>
      <c r="E262">
        <v>4.1920000000000004E-3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1.5800000000000002E-2</v>
      </c>
      <c r="E263">
        <v>4.1920000000000004E-3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1.5800000000000002E-2</v>
      </c>
      <c r="E264">
        <v>4.1920000000000004E-3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1.5800000000000002E-2</v>
      </c>
      <c r="E265">
        <v>4.1920000000000004E-3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1.5800000000000002E-2</v>
      </c>
      <c r="E266">
        <v>4.1920000000000004E-3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1.5800000000000002E-2</v>
      </c>
      <c r="E267">
        <v>4.1920000000000004E-3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1.5800000000000002E-2</v>
      </c>
      <c r="E268">
        <v>4.1920000000000004E-3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1.5800000000000002E-2</v>
      </c>
      <c r="E269">
        <v>4.1920000000000004E-3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1.5800000000000002E-2</v>
      </c>
      <c r="E270">
        <v>4.1920000000000004E-3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1.5800000000000002E-2</v>
      </c>
      <c r="E271">
        <v>4.1920000000000004E-3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1.5800000000000002E-2</v>
      </c>
      <c r="E272">
        <v>4.1920000000000004E-3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1.5800000000000002E-2</v>
      </c>
      <c r="E273">
        <v>4.1920000000000004E-3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1.5800000000000002E-2</v>
      </c>
      <c r="E274">
        <v>4.1920000000000004E-3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1.5800000000000002E-2</v>
      </c>
      <c r="E275">
        <v>4.1920000000000004E-3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1.5800000000000002E-2</v>
      </c>
      <c r="E276">
        <v>4.1920000000000004E-3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1.5800000000000002E-2</v>
      </c>
      <c r="E277">
        <v>4.1920000000000004E-3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1.5800000000000002E-2</v>
      </c>
      <c r="E278">
        <v>4.1920000000000004E-3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1.5800000000000002E-2</v>
      </c>
      <c r="E279">
        <v>4.1920000000000004E-3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1.5800000000000002E-2</v>
      </c>
      <c r="E280">
        <v>4.1920000000000004E-3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1.5800000000000002E-2</v>
      </c>
      <c r="E281">
        <v>4.1920000000000004E-3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1.5800000000000002E-2</v>
      </c>
      <c r="E282">
        <v>4.1920000000000004E-3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1.5800000000000002E-2</v>
      </c>
      <c r="E283">
        <v>4.1920000000000004E-3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1.5800000000000002E-2</v>
      </c>
      <c r="E284">
        <v>4.1920000000000004E-3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1.5800000000000002E-2</v>
      </c>
      <c r="E285">
        <v>4.1920000000000004E-3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1.5800000000000002E-2</v>
      </c>
      <c r="E286">
        <v>4.1920000000000004E-3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1.5800000000000002E-2</v>
      </c>
      <c r="E287">
        <v>4.1920000000000004E-3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1.5800000000000002E-2</v>
      </c>
      <c r="E288">
        <v>4.1920000000000004E-3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1.5800000000000002E-2</v>
      </c>
      <c r="E289">
        <v>4.1920000000000004E-3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1.5800000000000002E-2</v>
      </c>
      <c r="E290">
        <v>4.1920000000000004E-3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1.5800000000000002E-2</v>
      </c>
      <c r="E291">
        <v>4.1920000000000004E-3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1.5800000000000002E-2</v>
      </c>
      <c r="E292">
        <v>4.1920000000000004E-3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1.5800000000000002E-2</v>
      </c>
      <c r="E293">
        <v>4.1920000000000004E-3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1.5800000000000002E-2</v>
      </c>
      <c r="E294">
        <v>4.1920000000000004E-3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1.5800000000000002E-2</v>
      </c>
      <c r="E295">
        <v>4.1920000000000004E-3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1.5800000000000002E-2</v>
      </c>
      <c r="E296">
        <v>4.1920000000000004E-3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1.5800000000000002E-2</v>
      </c>
      <c r="E297">
        <v>4.1920000000000004E-3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1.5800000000000002E-2</v>
      </c>
      <c r="E298">
        <v>4.1920000000000004E-3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1.5800000000000002E-2</v>
      </c>
      <c r="E299">
        <v>4.1920000000000004E-3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1.5800000000000002E-2</v>
      </c>
      <c r="E300">
        <v>4.1920000000000004E-3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1.5800000000000002E-2</v>
      </c>
      <c r="E301">
        <v>4.1920000000000004E-3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1.5800000000000002E-2</v>
      </c>
      <c r="E302">
        <v>4.1920000000000004E-3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1.5800000000000002E-2</v>
      </c>
      <c r="E303">
        <v>4.1920000000000004E-3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2026-04-20T06:33:45Z</dcterms:modified>
</cp:coreProperties>
</file>