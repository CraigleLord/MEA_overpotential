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KAIST MASc 2021\Laboratory Work\Protocol\overpotential calculation\For paper SI\Overpotnital\Air BP\30K\"/>
    </mc:Choice>
  </mc:AlternateContent>
  <xr:revisionPtr revIDLastSave="0" documentId="13_ncr:1_{71032426-0498-4532-991A-162CD699E2AF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3" sheetId="4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4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" i="3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35" i="1" l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L177" i="3" l="1"/>
  <c r="L192" i="3"/>
  <c r="L188" i="3"/>
  <c r="L157" i="3"/>
  <c r="L195" i="3"/>
  <c r="L187" i="3"/>
  <c r="L179" i="3"/>
  <c r="L175" i="3"/>
  <c r="L171" i="3"/>
  <c r="L163" i="3"/>
  <c r="L159" i="3"/>
  <c r="L155" i="3"/>
  <c r="L151" i="3"/>
  <c r="L147" i="3"/>
  <c r="L143" i="3"/>
  <c r="L139" i="3"/>
  <c r="L135" i="3"/>
  <c r="L131" i="3"/>
  <c r="L127" i="3"/>
  <c r="L123" i="3"/>
  <c r="L119" i="3"/>
  <c r="L185" i="3"/>
  <c r="L189" i="3"/>
  <c r="L169" i="3"/>
  <c r="L161" i="3"/>
  <c r="L153" i="3"/>
  <c r="L145" i="3"/>
  <c r="L137" i="3"/>
  <c r="L125" i="3"/>
  <c r="L121" i="3"/>
  <c r="L193" i="3"/>
  <c r="L129" i="3"/>
  <c r="L173" i="3"/>
  <c r="L141" i="3"/>
  <c r="L191" i="3"/>
  <c r="L183" i="3"/>
  <c r="L167" i="3"/>
  <c r="L194" i="3"/>
  <c r="L190" i="3"/>
  <c r="L186" i="3"/>
  <c r="L182" i="3"/>
  <c r="L178" i="3"/>
  <c r="L174" i="3"/>
  <c r="L170" i="3"/>
  <c r="L166" i="3"/>
  <c r="L162" i="3"/>
  <c r="L158" i="3"/>
  <c r="L154" i="3"/>
  <c r="L150" i="3"/>
  <c r="L146" i="3"/>
  <c r="L142" i="3"/>
  <c r="L138" i="3"/>
  <c r="L134" i="3"/>
  <c r="L130" i="3"/>
  <c r="L126" i="3"/>
  <c r="L122" i="3"/>
  <c r="L118" i="3"/>
  <c r="L114" i="3"/>
  <c r="L110" i="3"/>
  <c r="L106" i="3"/>
  <c r="L102" i="3"/>
  <c r="L98" i="3"/>
  <c r="L94" i="3"/>
  <c r="L90" i="3"/>
  <c r="L86" i="3"/>
  <c r="L82" i="3"/>
  <c r="L78" i="3"/>
  <c r="L74" i="3"/>
  <c r="L70" i="3"/>
  <c r="L66" i="3"/>
  <c r="L62" i="3"/>
  <c r="L58" i="3"/>
  <c r="L54" i="3"/>
  <c r="L50" i="3"/>
  <c r="L46" i="3"/>
  <c r="L42" i="3"/>
  <c r="L38" i="3"/>
  <c r="L34" i="3"/>
  <c r="L30" i="3"/>
  <c r="L26" i="3"/>
  <c r="L22" i="3"/>
  <c r="L18" i="3"/>
  <c r="L14" i="3"/>
  <c r="L10" i="3"/>
  <c r="L6" i="3"/>
  <c r="L181" i="3"/>
  <c r="L165" i="3"/>
  <c r="L149" i="3"/>
  <c r="L133" i="3"/>
  <c r="L117" i="3"/>
  <c r="L113" i="3"/>
  <c r="L109" i="3"/>
  <c r="L105" i="3"/>
  <c r="L101" i="3"/>
  <c r="L97" i="3"/>
  <c r="L93" i="3"/>
  <c r="L89" i="3"/>
  <c r="L85" i="3"/>
  <c r="L81" i="3"/>
  <c r="L77" i="3"/>
  <c r="L73" i="3"/>
  <c r="L69" i="3"/>
  <c r="L65" i="3"/>
  <c r="L61" i="3"/>
  <c r="L57" i="3"/>
  <c r="L53" i="3"/>
  <c r="L49" i="3"/>
  <c r="L45" i="3"/>
  <c r="L41" i="3"/>
  <c r="L37" i="3"/>
  <c r="L33" i="3"/>
  <c r="L29" i="3"/>
  <c r="L25" i="3"/>
  <c r="L21" i="3"/>
  <c r="L17" i="3"/>
  <c r="L13" i="3"/>
  <c r="L9" i="3"/>
  <c r="L5" i="3"/>
  <c r="L184" i="3"/>
  <c r="L176" i="3"/>
  <c r="L172" i="3"/>
  <c r="L168" i="3"/>
  <c r="L160" i="3"/>
  <c r="L156" i="3"/>
  <c r="L152" i="3"/>
  <c r="L115" i="3"/>
  <c r="L111" i="3"/>
  <c r="L107" i="3"/>
  <c r="L103" i="3"/>
  <c r="L99" i="3"/>
  <c r="L95" i="3"/>
  <c r="L91" i="3"/>
  <c r="L87" i="3"/>
  <c r="L83" i="3"/>
  <c r="L79" i="3"/>
  <c r="L75" i="3"/>
  <c r="L71" i="3"/>
  <c r="L67" i="3"/>
  <c r="L63" i="3"/>
  <c r="L59" i="3"/>
  <c r="L55" i="3"/>
  <c r="L51" i="3"/>
  <c r="L47" i="3"/>
  <c r="L43" i="3"/>
  <c r="L39" i="3"/>
  <c r="L35" i="3"/>
  <c r="L31" i="3"/>
  <c r="L27" i="3"/>
  <c r="L23" i="3"/>
  <c r="L19" i="3"/>
  <c r="L15" i="3"/>
  <c r="L11" i="3"/>
  <c r="L7" i="3"/>
  <c r="L3" i="3"/>
  <c r="L2" i="3"/>
  <c r="L180" i="3"/>
  <c r="L164" i="3"/>
  <c r="L148" i="3"/>
  <c r="L144" i="3"/>
  <c r="L140" i="3"/>
  <c r="L136" i="3"/>
  <c r="L132" i="3"/>
  <c r="L128" i="3"/>
  <c r="L124" i="3"/>
  <c r="L120" i="3"/>
  <c r="L116" i="3"/>
  <c r="L112" i="3"/>
  <c r="L108" i="3"/>
  <c r="L104" i="3"/>
  <c r="L100" i="3"/>
  <c r="L96" i="3"/>
  <c r="L92" i="3"/>
  <c r="L88" i="3"/>
  <c r="L84" i="3"/>
  <c r="L80" i="3"/>
  <c r="L76" i="3"/>
  <c r="L72" i="3"/>
  <c r="L68" i="3"/>
  <c r="L64" i="3"/>
  <c r="L60" i="3"/>
  <c r="L56" i="3"/>
  <c r="L52" i="3"/>
  <c r="L48" i="3"/>
  <c r="L44" i="3"/>
  <c r="L40" i="3"/>
  <c r="L36" i="3"/>
  <c r="L32" i="3"/>
  <c r="L28" i="3"/>
  <c r="L24" i="3"/>
  <c r="L20" i="3"/>
  <c r="L16" i="3"/>
  <c r="L12" i="3"/>
  <c r="L8" i="3"/>
  <c r="L4" i="3"/>
  <c r="L218" i="3"/>
  <c r="L222" i="3"/>
  <c r="L198" i="3"/>
  <c r="L221" i="3"/>
  <c r="L217" i="3"/>
  <c r="L213" i="3"/>
  <c r="L209" i="3"/>
  <c r="L201" i="3"/>
  <c r="L197" i="3"/>
  <c r="L220" i="3"/>
  <c r="L216" i="3"/>
  <c r="L212" i="3"/>
  <c r="L223" i="3"/>
  <c r="L219" i="3"/>
  <c r="L215" i="3"/>
  <c r="L211" i="3"/>
  <c r="L207" i="3"/>
  <c r="L203" i="3"/>
  <c r="L214" i="3"/>
  <c r="L210" i="3"/>
  <c r="L206" i="3"/>
  <c r="L205" i="3"/>
  <c r="L208" i="3"/>
  <c r="L204" i="3"/>
  <c r="L202" i="3"/>
  <c r="L200" i="3"/>
  <c r="L196" i="3"/>
  <c r="L199" i="3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K288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J212" i="1"/>
  <c r="M212" i="1" s="1"/>
  <c r="G212" i="1"/>
  <c r="K212" i="1" s="1"/>
  <c r="C213" i="1"/>
  <c r="H213" i="1" s="1"/>
  <c r="J213" i="1"/>
  <c r="M213" i="1" s="1"/>
  <c r="G213" i="1"/>
  <c r="K213" i="1" s="1"/>
  <c r="C214" i="1"/>
  <c r="H214" i="1" s="1"/>
  <c r="J214" i="1"/>
  <c r="M214" i="1" s="1"/>
  <c r="G214" i="1"/>
  <c r="K214" i="1" s="1"/>
  <c r="C215" i="1"/>
  <c r="H215" i="1" s="1"/>
  <c r="J215" i="1"/>
  <c r="M215" i="1" s="1"/>
  <c r="G215" i="1"/>
  <c r="K215" i="1" s="1"/>
  <c r="C216" i="1"/>
  <c r="H216" i="1" s="1"/>
  <c r="J216" i="1"/>
  <c r="M216" i="1" s="1"/>
  <c r="G216" i="1"/>
  <c r="K216" i="1" s="1"/>
  <c r="C217" i="1"/>
  <c r="H217" i="1" s="1"/>
  <c r="J217" i="1"/>
  <c r="M217" i="1" s="1"/>
  <c r="G217" i="1"/>
  <c r="K217" i="1" s="1"/>
  <c r="C218" i="1"/>
  <c r="H218" i="1" s="1"/>
  <c r="J218" i="1"/>
  <c r="M218" i="1" s="1"/>
  <c r="G218" i="1"/>
  <c r="K218" i="1" s="1"/>
  <c r="C219" i="1"/>
  <c r="H219" i="1" s="1"/>
  <c r="J219" i="1"/>
  <c r="M219" i="1" s="1"/>
  <c r="G219" i="1"/>
  <c r="K219" i="1" s="1"/>
  <c r="C220" i="1"/>
  <c r="H220" i="1" s="1"/>
  <c r="J220" i="1"/>
  <c r="M220" i="1" s="1"/>
  <c r="G220" i="1"/>
  <c r="K220" i="1" s="1"/>
  <c r="C221" i="1"/>
  <c r="H221" i="1" s="1"/>
  <c r="J221" i="1"/>
  <c r="M221" i="1" s="1"/>
  <c r="G221" i="1"/>
  <c r="K221" i="1" s="1"/>
  <c r="C222" i="1"/>
  <c r="H222" i="1" s="1"/>
  <c r="J222" i="1"/>
  <c r="M222" i="1" s="1"/>
  <c r="G222" i="1"/>
  <c r="K222" i="1" s="1"/>
  <c r="C223" i="1"/>
  <c r="H223" i="1" s="1"/>
  <c r="J223" i="1"/>
  <c r="M223" i="1" s="1"/>
  <c r="G223" i="1"/>
  <c r="K223" i="1" s="1"/>
  <c r="C224" i="1"/>
  <c r="H224" i="1" s="1"/>
  <c r="J224" i="1"/>
  <c r="M224" i="1" s="1"/>
  <c r="G224" i="1"/>
  <c r="K224" i="1" s="1"/>
  <c r="C225" i="1"/>
  <c r="H225" i="1" s="1"/>
  <c r="J225" i="1"/>
  <c r="M225" i="1" s="1"/>
  <c r="G225" i="1"/>
  <c r="K225" i="1" s="1"/>
  <c r="C226" i="1"/>
  <c r="H226" i="1" s="1"/>
  <c r="J226" i="1"/>
  <c r="M226" i="1" s="1"/>
  <c r="G226" i="1"/>
  <c r="K226" i="1" s="1"/>
  <c r="C227" i="1"/>
  <c r="H227" i="1" s="1"/>
  <c r="J227" i="1"/>
  <c r="M227" i="1" s="1"/>
  <c r="G227" i="1"/>
  <c r="K227" i="1" s="1"/>
  <c r="C228" i="1"/>
  <c r="H228" i="1" s="1"/>
  <c r="J228" i="1"/>
  <c r="M228" i="1" s="1"/>
  <c r="G228" i="1"/>
  <c r="K228" i="1" s="1"/>
  <c r="C229" i="1"/>
  <c r="H229" i="1" s="1"/>
  <c r="J229" i="1"/>
  <c r="M229" i="1" s="1"/>
  <c r="G229" i="1"/>
  <c r="K229" i="1" s="1"/>
  <c r="C230" i="1"/>
  <c r="H230" i="1" s="1"/>
  <c r="J230" i="1"/>
  <c r="M230" i="1" s="1"/>
  <c r="G230" i="1"/>
  <c r="K230" i="1" s="1"/>
  <c r="C231" i="1"/>
  <c r="H231" i="1" s="1"/>
  <c r="J231" i="1"/>
  <c r="M231" i="1" s="1"/>
  <c r="G231" i="1"/>
  <c r="K231" i="1" s="1"/>
  <c r="C232" i="1"/>
  <c r="H232" i="1" s="1"/>
  <c r="J232" i="1"/>
  <c r="M232" i="1" s="1"/>
  <c r="G232" i="1"/>
  <c r="K232" i="1" s="1"/>
  <c r="C233" i="1"/>
  <c r="H233" i="1" s="1"/>
  <c r="J233" i="1"/>
  <c r="M233" i="1" s="1"/>
  <c r="G233" i="1"/>
  <c r="K233" i="1" s="1"/>
  <c r="C234" i="1"/>
  <c r="H234" i="1" s="1"/>
  <c r="J234" i="1"/>
  <c r="M234" i="1" s="1"/>
  <c r="G234" i="1"/>
  <c r="K234" i="1" s="1"/>
  <c r="C235" i="1"/>
  <c r="H235" i="1" s="1"/>
  <c r="G235" i="1"/>
  <c r="K235" i="1" s="1"/>
  <c r="C236" i="1"/>
  <c r="H236" i="1" s="1"/>
  <c r="G236" i="1"/>
  <c r="K236" i="1" s="1"/>
  <c r="C237" i="1"/>
  <c r="H237" i="1" s="1"/>
  <c r="G237" i="1"/>
  <c r="K237" i="1" s="1"/>
  <c r="C238" i="1"/>
  <c r="H238" i="1" s="1"/>
  <c r="G238" i="1"/>
  <c r="K238" i="1" s="1"/>
  <c r="C239" i="1"/>
  <c r="H239" i="1" s="1"/>
  <c r="G239" i="1"/>
  <c r="K239" i="1" s="1"/>
  <c r="C240" i="1"/>
  <c r="H240" i="1" s="1"/>
  <c r="G240" i="1"/>
  <c r="K240" i="1" s="1"/>
  <c r="C241" i="1"/>
  <c r="H241" i="1" s="1"/>
  <c r="G241" i="1"/>
  <c r="K241" i="1" s="1"/>
  <c r="C242" i="1"/>
  <c r="H242" i="1" s="1"/>
  <c r="G242" i="1"/>
  <c r="K242" i="1" s="1"/>
  <c r="C243" i="1"/>
  <c r="H243" i="1" s="1"/>
  <c r="G243" i="1"/>
  <c r="K243" i="1" s="1"/>
  <c r="C244" i="1"/>
  <c r="H244" i="1" s="1"/>
  <c r="G244" i="1"/>
  <c r="K244" i="1" s="1"/>
  <c r="C245" i="1"/>
  <c r="H245" i="1" s="1"/>
  <c r="G245" i="1"/>
  <c r="K245" i="1" s="1"/>
  <c r="C246" i="1"/>
  <c r="H246" i="1" s="1"/>
  <c r="G246" i="1"/>
  <c r="K246" i="1" s="1"/>
  <c r="C247" i="1"/>
  <c r="H247" i="1" s="1"/>
  <c r="G247" i="1"/>
  <c r="K247" i="1" s="1"/>
  <c r="C248" i="1"/>
  <c r="H248" i="1" s="1"/>
  <c r="G248" i="1"/>
  <c r="K248" i="1" s="1"/>
  <c r="C249" i="1"/>
  <c r="H249" i="1" s="1"/>
  <c r="G249" i="1"/>
  <c r="K249" i="1" s="1"/>
  <c r="C250" i="1"/>
  <c r="H250" i="1" s="1"/>
  <c r="G250" i="1"/>
  <c r="K250" i="1" s="1"/>
  <c r="C251" i="1"/>
  <c r="H251" i="1" s="1"/>
  <c r="G251" i="1"/>
  <c r="K251" i="1" s="1"/>
  <c r="C252" i="1"/>
  <c r="H252" i="1" s="1"/>
  <c r="G252" i="1"/>
  <c r="K252" i="1" s="1"/>
  <c r="C253" i="1"/>
  <c r="H253" i="1" s="1"/>
  <c r="G253" i="1"/>
  <c r="K253" i="1" s="1"/>
  <c r="C254" i="1"/>
  <c r="H254" i="1" s="1"/>
  <c r="G254" i="1"/>
  <c r="K254" i="1" s="1"/>
  <c r="C255" i="1"/>
  <c r="H255" i="1" s="1"/>
  <c r="G255" i="1"/>
  <c r="K255" i="1" s="1"/>
  <c r="C256" i="1"/>
  <c r="H256" i="1" s="1"/>
  <c r="G256" i="1"/>
  <c r="K256" i="1" s="1"/>
  <c r="C257" i="1"/>
  <c r="H257" i="1" s="1"/>
  <c r="G257" i="1"/>
  <c r="K257" i="1" s="1"/>
  <c r="C258" i="1"/>
  <c r="H258" i="1" s="1"/>
  <c r="G258" i="1"/>
  <c r="K258" i="1" s="1"/>
  <c r="C259" i="1"/>
  <c r="H259" i="1" s="1"/>
  <c r="G259" i="1"/>
  <c r="K259" i="1" s="1"/>
  <c r="C260" i="1"/>
  <c r="H260" i="1" s="1"/>
  <c r="G260" i="1"/>
  <c r="K260" i="1" s="1"/>
  <c r="C261" i="1"/>
  <c r="H261" i="1" s="1"/>
  <c r="G261" i="1"/>
  <c r="K261" i="1" s="1"/>
  <c r="C262" i="1"/>
  <c r="H262" i="1" s="1"/>
  <c r="G262" i="1"/>
  <c r="K262" i="1" s="1"/>
  <c r="C263" i="1"/>
  <c r="H263" i="1" s="1"/>
  <c r="G263" i="1"/>
  <c r="K263" i="1" s="1"/>
  <c r="C264" i="1"/>
  <c r="H264" i="1" s="1"/>
  <c r="G264" i="1"/>
  <c r="K264" i="1" s="1"/>
  <c r="C265" i="1"/>
  <c r="H265" i="1" s="1"/>
  <c r="G265" i="1"/>
  <c r="K265" i="1" s="1"/>
  <c r="C266" i="1"/>
  <c r="H266" i="1" s="1"/>
  <c r="G266" i="1"/>
  <c r="K266" i="1" s="1"/>
  <c r="C267" i="1"/>
  <c r="H267" i="1" s="1"/>
  <c r="G267" i="1"/>
  <c r="K267" i="1" s="1"/>
  <c r="C268" i="1"/>
  <c r="H268" i="1" s="1"/>
  <c r="G268" i="1"/>
  <c r="K268" i="1" s="1"/>
  <c r="C269" i="1"/>
  <c r="H269" i="1" s="1"/>
  <c r="G269" i="1"/>
  <c r="K269" i="1" s="1"/>
  <c r="C270" i="1"/>
  <c r="H270" i="1" s="1"/>
  <c r="G270" i="1"/>
  <c r="K270" i="1" s="1"/>
  <c r="C271" i="1"/>
  <c r="H271" i="1" s="1"/>
  <c r="G271" i="1"/>
  <c r="K271" i="1" s="1"/>
  <c r="C272" i="1"/>
  <c r="H272" i="1" s="1"/>
  <c r="G272" i="1"/>
  <c r="K272" i="1" s="1"/>
  <c r="C273" i="1"/>
  <c r="H273" i="1" s="1"/>
  <c r="G273" i="1"/>
  <c r="K273" i="1" s="1"/>
  <c r="C274" i="1"/>
  <c r="H274" i="1" s="1"/>
  <c r="G274" i="1"/>
  <c r="K274" i="1" s="1"/>
  <c r="C275" i="1"/>
  <c r="H275" i="1" s="1"/>
  <c r="G275" i="1"/>
  <c r="K275" i="1" s="1"/>
  <c r="C276" i="1"/>
  <c r="H276" i="1" s="1"/>
  <c r="G276" i="1"/>
  <c r="K276" i="1" s="1"/>
  <c r="C277" i="1"/>
  <c r="H277" i="1" s="1"/>
  <c r="G277" i="1"/>
  <c r="K277" i="1" s="1"/>
  <c r="C278" i="1"/>
  <c r="H278" i="1" s="1"/>
  <c r="G278" i="1"/>
  <c r="K278" i="1" s="1"/>
  <c r="C279" i="1"/>
  <c r="H279" i="1" s="1"/>
  <c r="G279" i="1"/>
  <c r="K279" i="1" s="1"/>
  <c r="C280" i="1"/>
  <c r="H280" i="1" s="1"/>
  <c r="G280" i="1"/>
  <c r="K280" i="1" s="1"/>
  <c r="C281" i="1"/>
  <c r="H281" i="1" s="1"/>
  <c r="G281" i="1"/>
  <c r="K281" i="1" s="1"/>
  <c r="C282" i="1"/>
  <c r="H282" i="1" s="1"/>
  <c r="G282" i="1"/>
  <c r="K282" i="1" s="1"/>
  <c r="C283" i="1"/>
  <c r="H283" i="1" s="1"/>
  <c r="G283" i="1"/>
  <c r="K283" i="1" s="1"/>
  <c r="C284" i="1"/>
  <c r="H284" i="1" s="1"/>
  <c r="G284" i="1"/>
  <c r="K284" i="1" s="1"/>
  <c r="C285" i="1"/>
  <c r="H285" i="1" s="1"/>
  <c r="G285" i="1"/>
  <c r="K285" i="1" s="1"/>
  <c r="C286" i="1"/>
  <c r="H286" i="1" s="1"/>
  <c r="G286" i="1"/>
  <c r="K286" i="1" s="1"/>
  <c r="C287" i="1"/>
  <c r="H287" i="1" s="1"/>
  <c r="G287" i="1"/>
  <c r="K287" i="1" s="1"/>
  <c r="C288" i="1"/>
  <c r="H288" i="1" s="1"/>
  <c r="G288" i="1"/>
  <c r="C289" i="1"/>
  <c r="H289" i="1" s="1"/>
  <c r="G289" i="1"/>
  <c r="K289" i="1" s="1"/>
  <c r="C290" i="1"/>
  <c r="H290" i="1" s="1"/>
  <c r="G290" i="1"/>
  <c r="K290" i="1" s="1"/>
  <c r="C291" i="1"/>
  <c r="H291" i="1" s="1"/>
  <c r="G291" i="1"/>
  <c r="K291" i="1" s="1"/>
  <c r="C292" i="1"/>
  <c r="H292" i="1" s="1"/>
  <c r="G292" i="1"/>
  <c r="K292" i="1" s="1"/>
  <c r="C293" i="1"/>
  <c r="H293" i="1" s="1"/>
  <c r="G293" i="1"/>
  <c r="K293" i="1" s="1"/>
  <c r="C294" i="1"/>
  <c r="H294" i="1" s="1"/>
  <c r="G294" i="1"/>
  <c r="K294" i="1" s="1"/>
  <c r="C295" i="1"/>
  <c r="H295" i="1" s="1"/>
  <c r="G295" i="1"/>
  <c r="K295" i="1" s="1"/>
  <c r="C296" i="1"/>
  <c r="H296" i="1" s="1"/>
  <c r="G296" i="1"/>
  <c r="K296" i="1" s="1"/>
  <c r="C297" i="1"/>
  <c r="H297" i="1" s="1"/>
  <c r="G297" i="1"/>
  <c r="K297" i="1" s="1"/>
  <c r="C298" i="1"/>
  <c r="H298" i="1" s="1"/>
  <c r="G298" i="1"/>
  <c r="K298" i="1" s="1"/>
  <c r="C299" i="1"/>
  <c r="H299" i="1" s="1"/>
  <c r="G299" i="1"/>
  <c r="K299" i="1" s="1"/>
  <c r="C300" i="1"/>
  <c r="H300" i="1" s="1"/>
  <c r="G300" i="1"/>
  <c r="K300" i="1" s="1"/>
  <c r="C301" i="1"/>
  <c r="H301" i="1" s="1"/>
  <c r="G301" i="1"/>
  <c r="K301" i="1" s="1"/>
  <c r="C302" i="1"/>
  <c r="H302" i="1" s="1"/>
  <c r="G302" i="1"/>
  <c r="K302" i="1" s="1"/>
  <c r="C303" i="1"/>
  <c r="H303" i="1" s="1"/>
  <c r="G303" i="1"/>
  <c r="K303" i="1" s="1"/>
  <c r="P293" i="1" l="1"/>
  <c r="R225" i="1"/>
  <c r="P290" i="1"/>
  <c r="P298" i="1"/>
  <c r="P300" i="1"/>
  <c r="P292" i="1"/>
  <c r="P284" i="1"/>
  <c r="P276" i="1"/>
  <c r="P268" i="1"/>
  <c r="P260" i="1"/>
  <c r="P253" i="1"/>
  <c r="P252" i="1"/>
  <c r="P244" i="1"/>
  <c r="P236" i="1"/>
  <c r="P213" i="1"/>
  <c r="P242" i="1"/>
  <c r="P272" i="1"/>
  <c r="P248" i="1"/>
  <c r="P273" i="1"/>
  <c r="P269" i="1"/>
  <c r="P261" i="1"/>
  <c r="P232" i="1"/>
  <c r="P226" i="1"/>
  <c r="P218" i="1"/>
  <c r="P282" i="1"/>
  <c r="P274" i="1"/>
  <c r="P266" i="1"/>
  <c r="P258" i="1"/>
  <c r="P250" i="1"/>
  <c r="P234" i="1"/>
  <c r="P237" i="1"/>
  <c r="P224" i="1"/>
  <c r="P221" i="1"/>
  <c r="P220" i="1"/>
  <c r="P219" i="1"/>
  <c r="P296" i="1"/>
  <c r="P288" i="1"/>
  <c r="P280" i="1"/>
  <c r="P264" i="1"/>
  <c r="P256" i="1"/>
  <c r="P240" i="1"/>
  <c r="P216" i="1"/>
  <c r="P303" i="1"/>
  <c r="P302" i="1"/>
  <c r="P295" i="1"/>
  <c r="P294" i="1"/>
  <c r="P287" i="1"/>
  <c r="P286" i="1"/>
  <c r="P278" i="1"/>
  <c r="P271" i="1"/>
  <c r="P270" i="1"/>
  <c r="P263" i="1"/>
  <c r="P262" i="1"/>
  <c r="P255" i="1"/>
  <c r="P254" i="1"/>
  <c r="P247" i="1"/>
  <c r="P246" i="1"/>
  <c r="P239" i="1"/>
  <c r="P238" i="1"/>
  <c r="P231" i="1"/>
  <c r="P230" i="1"/>
  <c r="P223" i="1"/>
  <c r="P222" i="1"/>
  <c r="P214" i="1"/>
  <c r="P279" i="1"/>
  <c r="P228" i="1"/>
  <c r="P212" i="1"/>
  <c r="P215" i="1"/>
  <c r="P245" i="1"/>
  <c r="P301" i="1"/>
  <c r="P285" i="1"/>
  <c r="P277" i="1"/>
  <c r="P229" i="1"/>
  <c r="P299" i="1"/>
  <c r="P291" i="1"/>
  <c r="P283" i="1"/>
  <c r="P275" i="1"/>
  <c r="P267" i="1"/>
  <c r="P259" i="1"/>
  <c r="P251" i="1"/>
  <c r="P243" i="1"/>
  <c r="P235" i="1"/>
  <c r="P227" i="1"/>
  <c r="P297" i="1"/>
  <c r="P289" i="1"/>
  <c r="P281" i="1"/>
  <c r="P265" i="1"/>
  <c r="P257" i="1"/>
  <c r="P249" i="1"/>
  <c r="P241" i="1"/>
  <c r="P233" i="1"/>
  <c r="P225" i="1"/>
  <c r="P217" i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J188" i="1"/>
  <c r="M188" i="1" s="1"/>
  <c r="G188" i="1"/>
  <c r="K188" i="1" s="1"/>
  <c r="J189" i="1"/>
  <c r="M189" i="1" s="1"/>
  <c r="G189" i="1"/>
  <c r="K189" i="1" s="1"/>
  <c r="J190" i="1"/>
  <c r="M190" i="1" s="1"/>
  <c r="G190" i="1"/>
  <c r="K190" i="1" s="1"/>
  <c r="J191" i="1"/>
  <c r="M191" i="1" s="1"/>
  <c r="G191" i="1"/>
  <c r="K191" i="1" s="1"/>
  <c r="J192" i="1"/>
  <c r="M192" i="1" s="1"/>
  <c r="G192" i="1"/>
  <c r="K192" i="1" s="1"/>
  <c r="J193" i="1"/>
  <c r="M193" i="1" s="1"/>
  <c r="G193" i="1"/>
  <c r="K193" i="1" s="1"/>
  <c r="J194" i="1"/>
  <c r="M194" i="1" s="1"/>
  <c r="G194" i="1"/>
  <c r="K194" i="1" s="1"/>
  <c r="J195" i="1"/>
  <c r="M195" i="1" s="1"/>
  <c r="G195" i="1"/>
  <c r="K195" i="1" s="1"/>
  <c r="J196" i="1"/>
  <c r="M196" i="1" s="1"/>
  <c r="G196" i="1"/>
  <c r="K196" i="1" s="1"/>
  <c r="J197" i="1"/>
  <c r="M197" i="1" s="1"/>
  <c r="G197" i="1"/>
  <c r="K197" i="1" s="1"/>
  <c r="J198" i="1"/>
  <c r="M198" i="1" s="1"/>
  <c r="G198" i="1"/>
  <c r="K198" i="1" s="1"/>
  <c r="J199" i="1"/>
  <c r="M199" i="1" s="1"/>
  <c r="G199" i="1"/>
  <c r="K199" i="1" s="1"/>
  <c r="J200" i="1"/>
  <c r="M200" i="1" s="1"/>
  <c r="G200" i="1"/>
  <c r="K200" i="1" s="1"/>
  <c r="J201" i="1"/>
  <c r="M201" i="1" s="1"/>
  <c r="G201" i="1"/>
  <c r="K201" i="1" s="1"/>
  <c r="J202" i="1"/>
  <c r="M202" i="1" s="1"/>
  <c r="G202" i="1"/>
  <c r="K202" i="1" s="1"/>
  <c r="J203" i="1"/>
  <c r="M203" i="1" s="1"/>
  <c r="G203" i="1"/>
  <c r="K203" i="1" s="1"/>
  <c r="J204" i="1"/>
  <c r="M204" i="1" s="1"/>
  <c r="G204" i="1"/>
  <c r="K204" i="1" s="1"/>
  <c r="J205" i="1"/>
  <c r="M205" i="1" s="1"/>
  <c r="G205" i="1"/>
  <c r="K205" i="1" s="1"/>
  <c r="J206" i="1"/>
  <c r="M206" i="1" s="1"/>
  <c r="G206" i="1"/>
  <c r="K206" i="1" s="1"/>
  <c r="J207" i="1"/>
  <c r="M207" i="1" s="1"/>
  <c r="G207" i="1"/>
  <c r="K207" i="1" s="1"/>
  <c r="J208" i="1"/>
  <c r="M208" i="1" s="1"/>
  <c r="G208" i="1"/>
  <c r="K208" i="1" s="1"/>
  <c r="J209" i="1"/>
  <c r="M209" i="1" s="1"/>
  <c r="G209" i="1"/>
  <c r="K209" i="1" s="1"/>
  <c r="J210" i="1"/>
  <c r="M210" i="1" s="1"/>
  <c r="G210" i="1"/>
  <c r="K210" i="1" s="1"/>
  <c r="J211" i="1"/>
  <c r="M211" i="1" s="1"/>
  <c r="G211" i="1"/>
  <c r="K211" i="1" s="1"/>
  <c r="J5" i="1"/>
  <c r="M5" i="1" s="1"/>
  <c r="G5" i="1"/>
  <c r="K5" i="1" s="1"/>
  <c r="J6" i="1"/>
  <c r="M6" i="1" s="1"/>
  <c r="G6" i="1"/>
  <c r="K6" i="1" s="1"/>
  <c r="J7" i="1"/>
  <c r="M7" i="1" s="1"/>
  <c r="G7" i="1"/>
  <c r="K7" i="1" s="1"/>
  <c r="J8" i="1"/>
  <c r="M8" i="1" s="1"/>
  <c r="G8" i="1"/>
  <c r="K8" i="1" s="1"/>
  <c r="J9" i="1"/>
  <c r="M9" i="1" s="1"/>
  <c r="G9" i="1"/>
  <c r="K9" i="1" s="1"/>
  <c r="J10" i="1"/>
  <c r="M10" i="1" s="1"/>
  <c r="G10" i="1"/>
  <c r="K10" i="1" s="1"/>
  <c r="J11" i="1"/>
  <c r="M11" i="1" s="1"/>
  <c r="G11" i="1"/>
  <c r="K11" i="1" s="1"/>
  <c r="J12" i="1"/>
  <c r="M12" i="1" s="1"/>
  <c r="G12" i="1"/>
  <c r="K12" i="1" s="1"/>
  <c r="J13" i="1"/>
  <c r="M13" i="1" s="1"/>
  <c r="G13" i="1"/>
  <c r="K13" i="1" s="1"/>
  <c r="J14" i="1"/>
  <c r="M14" i="1" s="1"/>
  <c r="G14" i="1"/>
  <c r="K14" i="1" s="1"/>
  <c r="J15" i="1"/>
  <c r="M15" i="1" s="1"/>
  <c r="G15" i="1"/>
  <c r="K15" i="1" s="1"/>
  <c r="J16" i="1"/>
  <c r="M16" i="1" s="1"/>
  <c r="G16" i="1"/>
  <c r="K16" i="1" s="1"/>
  <c r="J17" i="1"/>
  <c r="M17" i="1" s="1"/>
  <c r="G17" i="1"/>
  <c r="K17" i="1" s="1"/>
  <c r="J18" i="1"/>
  <c r="M18" i="1" s="1"/>
  <c r="G18" i="1"/>
  <c r="K18" i="1" s="1"/>
  <c r="J19" i="1"/>
  <c r="M19" i="1" s="1"/>
  <c r="G19" i="1"/>
  <c r="K19" i="1" s="1"/>
  <c r="J20" i="1"/>
  <c r="M20" i="1" s="1"/>
  <c r="G20" i="1"/>
  <c r="K20" i="1" s="1"/>
  <c r="J21" i="1"/>
  <c r="M21" i="1" s="1"/>
  <c r="G21" i="1"/>
  <c r="K21" i="1" s="1"/>
  <c r="J22" i="1"/>
  <c r="M22" i="1" s="1"/>
  <c r="G22" i="1"/>
  <c r="K22" i="1" s="1"/>
  <c r="J23" i="1"/>
  <c r="M23" i="1" s="1"/>
  <c r="G23" i="1"/>
  <c r="K23" i="1" s="1"/>
  <c r="J24" i="1"/>
  <c r="M24" i="1" s="1"/>
  <c r="G24" i="1"/>
  <c r="K24" i="1" s="1"/>
  <c r="J25" i="1"/>
  <c r="M25" i="1" s="1"/>
  <c r="G25" i="1"/>
  <c r="K25" i="1" s="1"/>
  <c r="J26" i="1"/>
  <c r="M26" i="1" s="1"/>
  <c r="G26" i="1"/>
  <c r="K26" i="1" s="1"/>
  <c r="J27" i="1"/>
  <c r="M27" i="1" s="1"/>
  <c r="G27" i="1"/>
  <c r="K27" i="1" s="1"/>
  <c r="J28" i="1"/>
  <c r="M28" i="1" s="1"/>
  <c r="G28" i="1"/>
  <c r="K28" i="1" s="1"/>
  <c r="J29" i="1"/>
  <c r="M29" i="1" s="1"/>
  <c r="G29" i="1"/>
  <c r="K29" i="1" s="1"/>
  <c r="J30" i="1"/>
  <c r="M30" i="1" s="1"/>
  <c r="G30" i="1"/>
  <c r="K30" i="1" s="1"/>
  <c r="J31" i="1"/>
  <c r="M31" i="1" s="1"/>
  <c r="G31" i="1"/>
  <c r="K31" i="1" s="1"/>
  <c r="J32" i="1"/>
  <c r="M32" i="1" s="1"/>
  <c r="G32" i="1"/>
  <c r="K32" i="1" s="1"/>
  <c r="J33" i="1"/>
  <c r="M33" i="1" s="1"/>
  <c r="G33" i="1"/>
  <c r="K33" i="1" s="1"/>
  <c r="J34" i="1"/>
  <c r="M34" i="1" s="1"/>
  <c r="G34" i="1"/>
  <c r="K34" i="1" s="1"/>
  <c r="J35" i="1"/>
  <c r="M35" i="1" s="1"/>
  <c r="G35" i="1"/>
  <c r="K35" i="1" s="1"/>
  <c r="J36" i="1"/>
  <c r="M36" i="1" s="1"/>
  <c r="G36" i="1"/>
  <c r="K36" i="1" s="1"/>
  <c r="J37" i="1"/>
  <c r="M37" i="1" s="1"/>
  <c r="G37" i="1"/>
  <c r="K37" i="1" s="1"/>
  <c r="J38" i="1"/>
  <c r="M38" i="1" s="1"/>
  <c r="G38" i="1"/>
  <c r="K38" i="1" s="1"/>
  <c r="J39" i="1"/>
  <c r="M39" i="1" s="1"/>
  <c r="G39" i="1"/>
  <c r="K39" i="1" s="1"/>
  <c r="J40" i="1"/>
  <c r="M40" i="1" s="1"/>
  <c r="G40" i="1"/>
  <c r="K40" i="1" s="1"/>
  <c r="J41" i="1"/>
  <c r="M41" i="1" s="1"/>
  <c r="G41" i="1"/>
  <c r="K41" i="1" s="1"/>
  <c r="J42" i="1"/>
  <c r="M42" i="1" s="1"/>
  <c r="G42" i="1"/>
  <c r="K42" i="1" s="1"/>
  <c r="J43" i="1"/>
  <c r="M43" i="1" s="1"/>
  <c r="G43" i="1"/>
  <c r="K43" i="1" s="1"/>
  <c r="J44" i="1"/>
  <c r="M44" i="1" s="1"/>
  <c r="G44" i="1"/>
  <c r="K44" i="1" s="1"/>
  <c r="J45" i="1"/>
  <c r="M45" i="1" s="1"/>
  <c r="G45" i="1"/>
  <c r="K45" i="1" s="1"/>
  <c r="J46" i="1"/>
  <c r="M46" i="1" s="1"/>
  <c r="G46" i="1"/>
  <c r="K46" i="1" s="1"/>
  <c r="J47" i="1"/>
  <c r="M47" i="1" s="1"/>
  <c r="G47" i="1"/>
  <c r="K47" i="1" s="1"/>
  <c r="J48" i="1"/>
  <c r="M48" i="1" s="1"/>
  <c r="G48" i="1"/>
  <c r="K48" i="1" s="1"/>
  <c r="J49" i="1"/>
  <c r="M49" i="1" s="1"/>
  <c r="G49" i="1"/>
  <c r="K49" i="1" s="1"/>
  <c r="J50" i="1"/>
  <c r="M50" i="1" s="1"/>
  <c r="G50" i="1"/>
  <c r="K50" i="1" s="1"/>
  <c r="J51" i="1"/>
  <c r="M51" i="1" s="1"/>
  <c r="G51" i="1"/>
  <c r="K51" i="1" s="1"/>
  <c r="J52" i="1"/>
  <c r="M52" i="1" s="1"/>
  <c r="G52" i="1"/>
  <c r="K52" i="1" s="1"/>
  <c r="J53" i="1"/>
  <c r="M53" i="1" s="1"/>
  <c r="G53" i="1"/>
  <c r="K53" i="1" s="1"/>
  <c r="J54" i="1"/>
  <c r="M54" i="1" s="1"/>
  <c r="G54" i="1"/>
  <c r="K54" i="1" s="1"/>
  <c r="J55" i="1"/>
  <c r="M55" i="1" s="1"/>
  <c r="G55" i="1"/>
  <c r="K55" i="1" s="1"/>
  <c r="J56" i="1"/>
  <c r="M56" i="1" s="1"/>
  <c r="G56" i="1"/>
  <c r="K56" i="1" s="1"/>
  <c r="J57" i="1"/>
  <c r="M57" i="1" s="1"/>
  <c r="G57" i="1"/>
  <c r="K57" i="1" s="1"/>
  <c r="J58" i="1"/>
  <c r="M58" i="1" s="1"/>
  <c r="G58" i="1"/>
  <c r="K58" i="1" s="1"/>
  <c r="J59" i="1"/>
  <c r="M59" i="1" s="1"/>
  <c r="G59" i="1"/>
  <c r="K59" i="1" s="1"/>
  <c r="J60" i="1"/>
  <c r="M60" i="1" s="1"/>
  <c r="G60" i="1"/>
  <c r="K60" i="1" s="1"/>
  <c r="J61" i="1"/>
  <c r="M61" i="1" s="1"/>
  <c r="G61" i="1"/>
  <c r="K61" i="1" s="1"/>
  <c r="J62" i="1"/>
  <c r="M62" i="1" s="1"/>
  <c r="G62" i="1"/>
  <c r="K62" i="1" s="1"/>
  <c r="J63" i="1"/>
  <c r="M63" i="1" s="1"/>
  <c r="G63" i="1"/>
  <c r="K63" i="1" s="1"/>
  <c r="J64" i="1"/>
  <c r="M64" i="1" s="1"/>
  <c r="G64" i="1"/>
  <c r="K64" i="1" s="1"/>
  <c r="J65" i="1"/>
  <c r="M65" i="1" s="1"/>
  <c r="G65" i="1"/>
  <c r="K65" i="1" s="1"/>
  <c r="J66" i="1"/>
  <c r="M66" i="1" s="1"/>
  <c r="G66" i="1"/>
  <c r="K66" i="1" s="1"/>
  <c r="J67" i="1"/>
  <c r="M67" i="1" s="1"/>
  <c r="G67" i="1"/>
  <c r="K67" i="1" s="1"/>
  <c r="J68" i="1"/>
  <c r="M68" i="1" s="1"/>
  <c r="G68" i="1"/>
  <c r="K68" i="1" s="1"/>
  <c r="J69" i="1"/>
  <c r="M69" i="1" s="1"/>
  <c r="G69" i="1"/>
  <c r="K69" i="1" s="1"/>
  <c r="J70" i="1"/>
  <c r="M70" i="1" s="1"/>
  <c r="G70" i="1"/>
  <c r="K70" i="1" s="1"/>
  <c r="J71" i="1"/>
  <c r="M71" i="1" s="1"/>
  <c r="G71" i="1"/>
  <c r="K71" i="1" s="1"/>
  <c r="J72" i="1"/>
  <c r="M72" i="1" s="1"/>
  <c r="G72" i="1"/>
  <c r="K72" i="1" s="1"/>
  <c r="J73" i="1"/>
  <c r="M73" i="1" s="1"/>
  <c r="G73" i="1"/>
  <c r="K73" i="1" s="1"/>
  <c r="J74" i="1"/>
  <c r="M74" i="1" s="1"/>
  <c r="G74" i="1"/>
  <c r="K74" i="1" s="1"/>
  <c r="J75" i="1"/>
  <c r="M75" i="1" s="1"/>
  <c r="G75" i="1"/>
  <c r="K75" i="1" s="1"/>
  <c r="J76" i="1"/>
  <c r="M76" i="1" s="1"/>
  <c r="G76" i="1"/>
  <c r="K76" i="1" s="1"/>
  <c r="J77" i="1"/>
  <c r="M77" i="1" s="1"/>
  <c r="G77" i="1"/>
  <c r="K77" i="1" s="1"/>
  <c r="J78" i="1"/>
  <c r="M78" i="1" s="1"/>
  <c r="G78" i="1"/>
  <c r="K78" i="1" s="1"/>
  <c r="J79" i="1"/>
  <c r="M79" i="1" s="1"/>
  <c r="G79" i="1"/>
  <c r="K79" i="1" s="1"/>
  <c r="J80" i="1"/>
  <c r="M80" i="1" s="1"/>
  <c r="G80" i="1"/>
  <c r="K80" i="1" s="1"/>
  <c r="J81" i="1"/>
  <c r="M81" i="1" s="1"/>
  <c r="G81" i="1"/>
  <c r="K81" i="1" s="1"/>
  <c r="J82" i="1"/>
  <c r="M82" i="1" s="1"/>
  <c r="G82" i="1"/>
  <c r="K82" i="1" s="1"/>
  <c r="J83" i="1"/>
  <c r="M83" i="1" s="1"/>
  <c r="G83" i="1"/>
  <c r="K83" i="1" s="1"/>
  <c r="J84" i="1"/>
  <c r="M84" i="1" s="1"/>
  <c r="G84" i="1"/>
  <c r="K84" i="1" s="1"/>
  <c r="J85" i="1"/>
  <c r="M85" i="1" s="1"/>
  <c r="G85" i="1"/>
  <c r="K85" i="1" s="1"/>
  <c r="J86" i="1"/>
  <c r="M86" i="1" s="1"/>
  <c r="G86" i="1"/>
  <c r="K86" i="1" s="1"/>
  <c r="J87" i="1"/>
  <c r="M87" i="1" s="1"/>
  <c r="G87" i="1"/>
  <c r="K87" i="1" s="1"/>
  <c r="J88" i="1"/>
  <c r="M88" i="1" s="1"/>
  <c r="G88" i="1"/>
  <c r="K88" i="1" s="1"/>
  <c r="J89" i="1"/>
  <c r="M89" i="1" s="1"/>
  <c r="G89" i="1"/>
  <c r="K89" i="1" s="1"/>
  <c r="J90" i="1"/>
  <c r="M90" i="1" s="1"/>
  <c r="G90" i="1"/>
  <c r="K90" i="1" s="1"/>
  <c r="J91" i="1"/>
  <c r="M91" i="1" s="1"/>
  <c r="G91" i="1"/>
  <c r="K91" i="1" s="1"/>
  <c r="J92" i="1"/>
  <c r="M92" i="1" s="1"/>
  <c r="G92" i="1"/>
  <c r="K92" i="1" s="1"/>
  <c r="J93" i="1"/>
  <c r="M93" i="1" s="1"/>
  <c r="G93" i="1"/>
  <c r="K93" i="1" s="1"/>
  <c r="J94" i="1"/>
  <c r="M94" i="1" s="1"/>
  <c r="G94" i="1"/>
  <c r="K94" i="1" s="1"/>
  <c r="J95" i="1"/>
  <c r="M95" i="1" s="1"/>
  <c r="G95" i="1"/>
  <c r="K95" i="1" s="1"/>
  <c r="J96" i="1"/>
  <c r="M96" i="1" s="1"/>
  <c r="G96" i="1"/>
  <c r="K96" i="1" s="1"/>
  <c r="J97" i="1"/>
  <c r="M97" i="1" s="1"/>
  <c r="G97" i="1"/>
  <c r="K97" i="1" s="1"/>
  <c r="J98" i="1"/>
  <c r="M98" i="1" s="1"/>
  <c r="G98" i="1"/>
  <c r="K98" i="1" s="1"/>
  <c r="J99" i="1"/>
  <c r="M99" i="1" s="1"/>
  <c r="G99" i="1"/>
  <c r="K99" i="1" s="1"/>
  <c r="J100" i="1"/>
  <c r="M100" i="1" s="1"/>
  <c r="G100" i="1"/>
  <c r="K100" i="1" s="1"/>
  <c r="J101" i="1"/>
  <c r="M101" i="1" s="1"/>
  <c r="G101" i="1"/>
  <c r="K101" i="1" s="1"/>
  <c r="J102" i="1"/>
  <c r="M102" i="1" s="1"/>
  <c r="G102" i="1"/>
  <c r="K102" i="1" s="1"/>
  <c r="J103" i="1"/>
  <c r="M103" i="1" s="1"/>
  <c r="G103" i="1"/>
  <c r="K103" i="1" s="1"/>
  <c r="J104" i="1"/>
  <c r="M104" i="1" s="1"/>
  <c r="G104" i="1"/>
  <c r="K104" i="1" s="1"/>
  <c r="J105" i="1"/>
  <c r="M105" i="1" s="1"/>
  <c r="G105" i="1"/>
  <c r="K105" i="1" s="1"/>
  <c r="J106" i="1"/>
  <c r="M106" i="1" s="1"/>
  <c r="G106" i="1"/>
  <c r="K106" i="1" s="1"/>
  <c r="J107" i="1"/>
  <c r="M107" i="1" s="1"/>
  <c r="G107" i="1"/>
  <c r="K107" i="1" s="1"/>
  <c r="J108" i="1"/>
  <c r="M108" i="1" s="1"/>
  <c r="G108" i="1"/>
  <c r="K108" i="1" s="1"/>
  <c r="J109" i="1"/>
  <c r="M109" i="1" s="1"/>
  <c r="G109" i="1"/>
  <c r="K109" i="1" s="1"/>
  <c r="J110" i="1"/>
  <c r="M110" i="1" s="1"/>
  <c r="G110" i="1"/>
  <c r="K110" i="1" s="1"/>
  <c r="J111" i="1"/>
  <c r="M111" i="1" s="1"/>
  <c r="G111" i="1"/>
  <c r="K111" i="1" s="1"/>
  <c r="J112" i="1"/>
  <c r="M112" i="1" s="1"/>
  <c r="G112" i="1"/>
  <c r="K112" i="1" s="1"/>
  <c r="J113" i="1"/>
  <c r="M113" i="1" s="1"/>
  <c r="G113" i="1"/>
  <c r="K113" i="1" s="1"/>
  <c r="J114" i="1"/>
  <c r="M114" i="1" s="1"/>
  <c r="G114" i="1"/>
  <c r="K114" i="1" s="1"/>
  <c r="J115" i="1"/>
  <c r="M115" i="1" s="1"/>
  <c r="G115" i="1"/>
  <c r="K115" i="1" s="1"/>
  <c r="J116" i="1"/>
  <c r="M116" i="1" s="1"/>
  <c r="G116" i="1"/>
  <c r="K116" i="1" s="1"/>
  <c r="J117" i="1"/>
  <c r="M117" i="1" s="1"/>
  <c r="G117" i="1"/>
  <c r="K117" i="1" s="1"/>
  <c r="J118" i="1"/>
  <c r="M118" i="1" s="1"/>
  <c r="G118" i="1"/>
  <c r="K118" i="1" s="1"/>
  <c r="J119" i="1"/>
  <c r="M119" i="1" s="1"/>
  <c r="G119" i="1"/>
  <c r="K119" i="1" s="1"/>
  <c r="J120" i="1"/>
  <c r="M120" i="1" s="1"/>
  <c r="G120" i="1"/>
  <c r="K120" i="1" s="1"/>
  <c r="J121" i="1"/>
  <c r="M121" i="1" s="1"/>
  <c r="G121" i="1"/>
  <c r="K121" i="1" s="1"/>
  <c r="J122" i="1"/>
  <c r="M122" i="1" s="1"/>
  <c r="G122" i="1"/>
  <c r="K122" i="1" s="1"/>
  <c r="J123" i="1"/>
  <c r="M123" i="1" s="1"/>
  <c r="G123" i="1"/>
  <c r="K123" i="1" s="1"/>
  <c r="J124" i="1"/>
  <c r="M124" i="1" s="1"/>
  <c r="G124" i="1"/>
  <c r="K124" i="1" s="1"/>
  <c r="J125" i="1"/>
  <c r="M125" i="1" s="1"/>
  <c r="G125" i="1"/>
  <c r="K125" i="1" s="1"/>
  <c r="J126" i="1"/>
  <c r="M126" i="1" s="1"/>
  <c r="G126" i="1"/>
  <c r="K126" i="1" s="1"/>
  <c r="J127" i="1"/>
  <c r="M127" i="1" s="1"/>
  <c r="G127" i="1"/>
  <c r="K127" i="1" s="1"/>
  <c r="J128" i="1"/>
  <c r="M128" i="1" s="1"/>
  <c r="G128" i="1"/>
  <c r="K128" i="1" s="1"/>
  <c r="J129" i="1"/>
  <c r="M129" i="1" s="1"/>
  <c r="G129" i="1"/>
  <c r="K129" i="1" s="1"/>
  <c r="J130" i="1"/>
  <c r="M130" i="1" s="1"/>
  <c r="G130" i="1"/>
  <c r="K130" i="1" s="1"/>
  <c r="J131" i="1"/>
  <c r="M131" i="1" s="1"/>
  <c r="G131" i="1"/>
  <c r="K131" i="1" s="1"/>
  <c r="J132" i="1"/>
  <c r="M132" i="1" s="1"/>
  <c r="G132" i="1"/>
  <c r="K132" i="1" s="1"/>
  <c r="J133" i="1"/>
  <c r="M133" i="1" s="1"/>
  <c r="G133" i="1"/>
  <c r="K133" i="1" s="1"/>
  <c r="J134" i="1"/>
  <c r="M134" i="1" s="1"/>
  <c r="G134" i="1"/>
  <c r="K134" i="1" s="1"/>
  <c r="J135" i="1"/>
  <c r="M135" i="1" s="1"/>
  <c r="G135" i="1"/>
  <c r="K135" i="1" s="1"/>
  <c r="J136" i="1"/>
  <c r="M136" i="1" s="1"/>
  <c r="G136" i="1"/>
  <c r="K136" i="1" s="1"/>
  <c r="J137" i="1"/>
  <c r="M137" i="1" s="1"/>
  <c r="G137" i="1"/>
  <c r="K137" i="1" s="1"/>
  <c r="J138" i="1"/>
  <c r="M138" i="1" s="1"/>
  <c r="G138" i="1"/>
  <c r="K138" i="1" s="1"/>
  <c r="J139" i="1"/>
  <c r="M139" i="1" s="1"/>
  <c r="G139" i="1"/>
  <c r="K139" i="1" s="1"/>
  <c r="J140" i="1"/>
  <c r="M140" i="1" s="1"/>
  <c r="G140" i="1"/>
  <c r="K140" i="1" s="1"/>
  <c r="J141" i="1"/>
  <c r="M141" i="1" s="1"/>
  <c r="G141" i="1"/>
  <c r="K141" i="1" s="1"/>
  <c r="J142" i="1"/>
  <c r="M142" i="1" s="1"/>
  <c r="G142" i="1"/>
  <c r="K142" i="1" s="1"/>
  <c r="J143" i="1"/>
  <c r="M143" i="1" s="1"/>
  <c r="G143" i="1"/>
  <c r="K143" i="1" s="1"/>
  <c r="J144" i="1"/>
  <c r="M144" i="1" s="1"/>
  <c r="G144" i="1"/>
  <c r="K144" i="1" s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J145" i="1"/>
  <c r="M145" i="1" s="1"/>
  <c r="G145" i="1"/>
  <c r="K145" i="1" s="1"/>
  <c r="J146" i="1"/>
  <c r="M146" i="1" s="1"/>
  <c r="G146" i="1"/>
  <c r="K146" i="1" s="1"/>
  <c r="J147" i="1"/>
  <c r="M147" i="1" s="1"/>
  <c r="G147" i="1"/>
  <c r="K147" i="1" s="1"/>
  <c r="J148" i="1"/>
  <c r="M148" i="1" s="1"/>
  <c r="G148" i="1"/>
  <c r="K148" i="1" s="1"/>
  <c r="J149" i="1"/>
  <c r="M149" i="1" s="1"/>
  <c r="G149" i="1"/>
  <c r="K149" i="1" s="1"/>
  <c r="J150" i="1"/>
  <c r="M150" i="1" s="1"/>
  <c r="G150" i="1"/>
  <c r="K150" i="1" s="1"/>
  <c r="J151" i="1"/>
  <c r="M151" i="1" s="1"/>
  <c r="G151" i="1"/>
  <c r="K151" i="1" s="1"/>
  <c r="J152" i="1"/>
  <c r="M152" i="1" s="1"/>
  <c r="G152" i="1"/>
  <c r="K152" i="1" s="1"/>
  <c r="J153" i="1"/>
  <c r="M153" i="1" s="1"/>
  <c r="G153" i="1"/>
  <c r="K153" i="1" s="1"/>
  <c r="J154" i="1"/>
  <c r="M154" i="1" s="1"/>
  <c r="G154" i="1"/>
  <c r="K154" i="1" s="1"/>
  <c r="J155" i="1"/>
  <c r="M155" i="1" s="1"/>
  <c r="G155" i="1"/>
  <c r="K155" i="1" s="1"/>
  <c r="J156" i="1"/>
  <c r="M156" i="1" s="1"/>
  <c r="G156" i="1"/>
  <c r="K156" i="1" s="1"/>
  <c r="J157" i="1"/>
  <c r="M157" i="1" s="1"/>
  <c r="G157" i="1"/>
  <c r="K157" i="1" s="1"/>
  <c r="J158" i="1"/>
  <c r="M158" i="1" s="1"/>
  <c r="G158" i="1"/>
  <c r="K158" i="1" s="1"/>
  <c r="J159" i="1"/>
  <c r="M159" i="1" s="1"/>
  <c r="G159" i="1"/>
  <c r="K159" i="1" s="1"/>
  <c r="J160" i="1"/>
  <c r="M160" i="1" s="1"/>
  <c r="G160" i="1"/>
  <c r="K160" i="1" s="1"/>
  <c r="J161" i="1"/>
  <c r="M161" i="1" s="1"/>
  <c r="G161" i="1"/>
  <c r="K161" i="1" s="1"/>
  <c r="J162" i="1"/>
  <c r="M162" i="1" s="1"/>
  <c r="G162" i="1"/>
  <c r="K162" i="1" s="1"/>
  <c r="J163" i="1"/>
  <c r="M163" i="1" s="1"/>
  <c r="G163" i="1"/>
  <c r="K163" i="1" s="1"/>
  <c r="J164" i="1"/>
  <c r="M164" i="1" s="1"/>
  <c r="G164" i="1"/>
  <c r="K164" i="1" s="1"/>
  <c r="J165" i="1"/>
  <c r="M165" i="1" s="1"/>
  <c r="G165" i="1"/>
  <c r="K165" i="1" s="1"/>
  <c r="J166" i="1"/>
  <c r="M166" i="1" s="1"/>
  <c r="G166" i="1"/>
  <c r="K166" i="1" s="1"/>
  <c r="J167" i="1"/>
  <c r="M167" i="1" s="1"/>
  <c r="G167" i="1"/>
  <c r="K167" i="1" s="1"/>
  <c r="J168" i="1"/>
  <c r="M168" i="1" s="1"/>
  <c r="G168" i="1"/>
  <c r="K168" i="1" s="1"/>
  <c r="J169" i="1"/>
  <c r="M169" i="1" s="1"/>
  <c r="G169" i="1"/>
  <c r="K169" i="1" s="1"/>
  <c r="J170" i="1"/>
  <c r="M170" i="1" s="1"/>
  <c r="G170" i="1"/>
  <c r="K170" i="1" s="1"/>
  <c r="J171" i="1"/>
  <c r="M171" i="1" s="1"/>
  <c r="G171" i="1"/>
  <c r="K171" i="1" s="1"/>
  <c r="J172" i="1"/>
  <c r="M172" i="1" s="1"/>
  <c r="G172" i="1"/>
  <c r="K172" i="1" s="1"/>
  <c r="J173" i="1"/>
  <c r="M173" i="1" s="1"/>
  <c r="G173" i="1"/>
  <c r="K173" i="1" s="1"/>
  <c r="J174" i="1"/>
  <c r="M174" i="1" s="1"/>
  <c r="G174" i="1"/>
  <c r="K174" i="1" s="1"/>
  <c r="J175" i="1"/>
  <c r="M175" i="1" s="1"/>
  <c r="G175" i="1"/>
  <c r="K175" i="1" s="1"/>
  <c r="J176" i="1"/>
  <c r="M176" i="1" s="1"/>
  <c r="G176" i="1"/>
  <c r="K176" i="1" s="1"/>
  <c r="J177" i="1"/>
  <c r="M177" i="1" s="1"/>
  <c r="G177" i="1"/>
  <c r="K177" i="1" s="1"/>
  <c r="J178" i="1"/>
  <c r="M178" i="1" s="1"/>
  <c r="G178" i="1"/>
  <c r="K178" i="1" s="1"/>
  <c r="J179" i="1"/>
  <c r="M179" i="1" s="1"/>
  <c r="G179" i="1"/>
  <c r="K179" i="1" s="1"/>
  <c r="J180" i="1"/>
  <c r="M180" i="1" s="1"/>
  <c r="G180" i="1"/>
  <c r="K180" i="1" s="1"/>
  <c r="J181" i="1"/>
  <c r="M181" i="1" s="1"/>
  <c r="G181" i="1"/>
  <c r="K181" i="1" s="1"/>
  <c r="J182" i="1"/>
  <c r="M182" i="1" s="1"/>
  <c r="G182" i="1"/>
  <c r="K182" i="1" s="1"/>
  <c r="J183" i="1"/>
  <c r="M183" i="1" s="1"/>
  <c r="G183" i="1"/>
  <c r="K183" i="1" s="1"/>
  <c r="J184" i="1"/>
  <c r="M184" i="1" s="1"/>
  <c r="G184" i="1"/>
  <c r="K184" i="1" s="1"/>
  <c r="J185" i="1"/>
  <c r="M185" i="1" s="1"/>
  <c r="G185" i="1"/>
  <c r="K185" i="1" s="1"/>
  <c r="J186" i="1"/>
  <c r="M186" i="1" s="1"/>
  <c r="G186" i="1"/>
  <c r="K186" i="1" s="1"/>
  <c r="J187" i="1"/>
  <c r="M187" i="1" s="1"/>
  <c r="G187" i="1"/>
  <c r="K187" i="1" s="1"/>
  <c r="P209" i="1" l="1"/>
  <c r="P205" i="1"/>
  <c r="P201" i="1"/>
  <c r="P197" i="1"/>
  <c r="P193" i="1"/>
  <c r="P189" i="1"/>
  <c r="P202" i="1"/>
  <c r="P210" i="1"/>
  <c r="P206" i="1"/>
  <c r="P198" i="1"/>
  <c r="P190" i="1"/>
  <c r="P188" i="1"/>
  <c r="P194" i="1"/>
  <c r="P211" i="1"/>
  <c r="P207" i="1"/>
  <c r="P203" i="1"/>
  <c r="P199" i="1"/>
  <c r="P195" i="1"/>
  <c r="P191" i="1"/>
  <c r="P208" i="1"/>
  <c r="P204" i="1"/>
  <c r="P200" i="1"/>
  <c r="P196" i="1"/>
  <c r="P192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P146" i="1" l="1"/>
  <c r="P148" i="1"/>
  <c r="P150" i="1"/>
  <c r="P152" i="1"/>
  <c r="P154" i="1"/>
  <c r="P156" i="1"/>
  <c r="P158" i="1"/>
  <c r="P160" i="1"/>
  <c r="P162" i="1"/>
  <c r="P164" i="1"/>
  <c r="P166" i="1"/>
  <c r="P168" i="1"/>
  <c r="P170" i="1"/>
  <c r="P172" i="1"/>
  <c r="P174" i="1"/>
  <c r="P176" i="1"/>
  <c r="P178" i="1"/>
  <c r="P180" i="1"/>
  <c r="P182" i="1"/>
  <c r="P184" i="1"/>
  <c r="P186" i="1"/>
  <c r="P149" i="1"/>
  <c r="P157" i="1"/>
  <c r="P165" i="1"/>
  <c r="P173" i="1"/>
  <c r="P181" i="1"/>
  <c r="P151" i="1"/>
  <c r="P159" i="1"/>
  <c r="P167" i="1"/>
  <c r="P175" i="1"/>
  <c r="P183" i="1"/>
  <c r="P145" i="1"/>
  <c r="P153" i="1"/>
  <c r="P161" i="1"/>
  <c r="P169" i="1"/>
  <c r="P177" i="1"/>
  <c r="P185" i="1"/>
  <c r="P147" i="1"/>
  <c r="P155" i="1"/>
  <c r="P163" i="1"/>
  <c r="P171" i="1"/>
  <c r="P179" i="1"/>
  <c r="P187" i="1"/>
  <c r="J4" i="1" l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<sst xmlns="http://schemas.openxmlformats.org/spreadsheetml/2006/main" count="40" uniqueCount="36">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</sst>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b/>
      <sz val="11"/>
      <color theme="1"/>
      <name val="Calibri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1" fontId="0" fillId="0" borderId="0" xfId="0" applyNumberForma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A99" zoomScale="85" zoomScaleNormal="85" workbookViewId="0">
      <selection activeCell="F116" sqref="F116"/>
    </sheetView>
  </sheetViews>
  <sheetFormatPr defaultRowHeight="15"/>
  <cols>
    <col min="10" max="10" width="12.28515625" customWidth="1"/>
    <col min="11" max="11" width="13.5703125" bestFit="1" customWidth="1"/>
    <col min="28" max="28" width="14" bestFit="1" customWidth="1"/>
  </cols>
  <sheetData>
    <row r="1" spans="1:29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27</v>
      </c>
    </row>
    <row r="3" spans="1:29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-0.44789000000000001</v>
      </c>
      <c r="AC3" t="s">
        <v>30</v>
      </c>
    </row>
    <row r="4" spans="1:29">
      <c r="A4" s="5">
        <v>4.8553499999999999E-2</v>
      </c>
      <c r="B4" s="5">
        <v>0.92030999999999996</v>
      </c>
      <c r="C4">
        <f>A4*B4</f>
        <v>4.4684271584999997E-2</v>
      </c>
      <c r="D4">
        <v>1.6E-2</v>
      </c>
      <c r="E4">
        <v>3.5999999999999999E-3</v>
      </c>
      <c r="F4">
        <f>A4*200</f>
        <v>9.7106999999999992</v>
      </c>
      <c r="G4">
        <f>-B4</f>
        <v>-0.92030999999999996</v>
      </c>
      <c r="H4">
        <f t="shared" ref="H4" si="0">-C4*200</f>
        <v>-8.9368543169999999</v>
      </c>
      <c r="I4">
        <v>1</v>
      </c>
      <c r="J4">
        <f>LN(F4/1000)</f>
        <v>-4.6345269086490894</v>
      </c>
      <c r="K4">
        <f>((-G4)-$N$2)</f>
        <v>-0.30141515177521749</v>
      </c>
      <c r="L4">
        <v>1</v>
      </c>
      <c r="M4">
        <f>-1*($S$4+($S$5*J4))</f>
        <v>0.322584676720025</v>
      </c>
      <c r="N4">
        <f>D4*A4</f>
        <v>7.7685600000000003E-4</v>
      </c>
      <c r="O4">
        <f>E4*A4</f>
        <v>1.7479259999999999E-4</v>
      </c>
      <c r="P4">
        <f>-K4-M4-N4-O4</f>
        <v>-2.2121173544807506E-2</v>
      </c>
      <c r="R4" s="2" t="s">
        <v>16</v>
      </c>
      <c r="S4">
        <v>-0.628</v>
      </c>
      <c r="V4">
        <v>-6</v>
      </c>
      <c r="W4">
        <f>V4*$S$5+$S$4</f>
        <v>-0.23260000000000003</v>
      </c>
      <c r="Y4">
        <v>0</v>
      </c>
      <c r="Z4">
        <f>$AB$4*Y4+$AB$3</f>
        <v>-0.44789000000000001</v>
      </c>
      <c r="AB4">
        <v>12.781650000000001</v>
      </c>
      <c r="AC4" t="s">
        <v>31</v>
      </c>
    </row>
    <row r="5" spans="1:29">
      <c r="A5" s="5">
        <v>0.10518325000000001</v>
      </c>
      <c r="B5" s="5">
        <v>0.85694000000000004</v>
      </c>
      <c r="C5">
        <f t="shared" ref="C5:C68" si="1">A5*B5</f>
        <v>9.0135734255000002E-2</v>
      </c>
      <c r="D5">
        <v>1.6E-2</v>
      </c>
      <c r="E5">
        <v>3.5999999999999999E-3</v>
      </c>
      <c r="F5">
        <f t="shared" ref="F5:F68" si="2">A5*200</f>
        <v>21.036650000000002</v>
      </c>
      <c r="G5">
        <f t="shared" ref="G5:G68" si="3">-B5</f>
        <v>-0.85694000000000004</v>
      </c>
      <c r="H5">
        <f t="shared" ref="H5:H68" si="4">-C5*200</f>
        <v>-18.027146851000001</v>
      </c>
      <c r="I5">
        <v>1</v>
      </c>
      <c r="J5">
        <f t="shared" ref="J5:J68" si="5">LN(F5/1000)</f>
        <v>-3.8614891243218818</v>
      </c>
      <c r="K5">
        <f t="shared" ref="K5:K68" si="6">((-G5)-$N$2)</f>
        <v>-0.36478515177521742</v>
      </c>
      <c r="L5">
        <v>1</v>
      </c>
      <c r="M5">
        <f t="shared" ref="M5:M68" si="7">-1*($S$4+($S$5*J5))</f>
        <v>0.37352786670718796</v>
      </c>
      <c r="N5">
        <f t="shared" ref="N5:N6" si="8">D5*A5</f>
        <v>1.682932E-3</v>
      </c>
      <c r="O5">
        <f>E5*A5</f>
        <v>3.7865970000000002E-4</v>
      </c>
      <c r="P5">
        <f>-K5-M5-N5-O5</f>
        <v>-1.0804306631970542E-2</v>
      </c>
      <c r="R5" s="2" t="s">
        <v>17</v>
      </c>
      <c r="S5">
        <v>-6.59E-2</v>
      </c>
      <c r="V5">
        <v>-5.9</v>
      </c>
      <c r="W5">
        <f t="shared" ref="W5:W68" si="9">V5*$S$5+$S$4</f>
        <v>-0.23918999999999996</v>
      </c>
      <c r="Y5">
        <v>0.01</v>
      </c>
      <c r="Z5">
        <f t="shared" ref="Z5:Z31" si="10">$AB$4*Y5+$AB$3</f>
        <v>-0.32007350000000001</v>
      </c>
    </row>
    <row r="6" spans="1:29">
      <c r="A6" s="5">
        <v>0.16181294999999998</v>
      </c>
      <c r="B6" s="5">
        <v>0.81859999999999999</v>
      </c>
      <c r="C6">
        <f t="shared" si="1"/>
        <v>0.13246008087</v>
      </c>
      <c r="D6">
        <v>1.6E-2</v>
      </c>
      <c r="E6">
        <v>3.5999999999999999E-3</v>
      </c>
      <c r="F6">
        <f t="shared" si="2"/>
        <v>32.362589999999997</v>
      </c>
      <c r="G6">
        <f t="shared" si="3"/>
        <v>-0.81859999999999999</v>
      </c>
      <c r="H6">
        <f t="shared" si="4"/>
        <v>-26.492016174</v>
      </c>
      <c r="I6">
        <v>1</v>
      </c>
      <c r="J6">
        <f t="shared" si="5"/>
        <v>-3.4307521529118246</v>
      </c>
      <c r="K6">
        <f t="shared" si="6"/>
        <v>-0.40312515177521746</v>
      </c>
      <c r="L6">
        <v>1</v>
      </c>
      <c r="M6">
        <f t="shared" si="7"/>
        <v>0.40191343312311079</v>
      </c>
      <c r="N6">
        <f t="shared" si="8"/>
        <v>2.5890071999999996E-3</v>
      </c>
      <c r="O6">
        <f t="shared" ref="O6:O69" si="11">E6*A6</f>
        <v>5.8252661999999989E-4</v>
      </c>
      <c r="P6">
        <f t="shared" ref="P6:P69" si="12">-K6-M6-N6-O6</f>
        <v>-1.9598151678933248E-3</v>
      </c>
      <c r="V6">
        <v>-5.8</v>
      </c>
      <c r="W6">
        <f t="shared" si="9"/>
        <v>-0.24578</v>
      </c>
      <c r="Y6">
        <v>0.02</v>
      </c>
      <c r="Z6">
        <f t="shared" si="10"/>
        <v>-0.19225700000000001</v>
      </c>
      <c r="AB6" t="s">
        <v>32</v>
      </c>
    </row>
    <row r="7" spans="1:29">
      <c r="A7" s="5">
        <v>0.21844270000000002</v>
      </c>
      <c r="B7" s="5">
        <v>0.79978000000000005</v>
      </c>
      <c r="C7">
        <f t="shared" si="1"/>
        <v>0.17470610260600003</v>
      </c>
      <c r="D7">
        <v>1.6E-2</v>
      </c>
      <c r="E7">
        <v>3.5999999999999999E-3</v>
      </c>
      <c r="F7">
        <f t="shared" si="2"/>
        <v>43.688540000000003</v>
      </c>
      <c r="G7">
        <f t="shared" si="3"/>
        <v>-0.79978000000000005</v>
      </c>
      <c r="H7">
        <f t="shared" si="4"/>
        <v>-34.941220521200009</v>
      </c>
      <c r="I7">
        <v>1</v>
      </c>
      <c r="J7">
        <f t="shared" si="5"/>
        <v>-3.1306694538351154</v>
      </c>
      <c r="K7">
        <f t="shared" si="6"/>
        <v>-0.42194515177521741</v>
      </c>
      <c r="L7">
        <v>1</v>
      </c>
      <c r="M7">
        <f t="shared" si="7"/>
        <v>0.42168888299226592</v>
      </c>
      <c r="N7">
        <f t="shared" ref="N7:N70" si="13">D7*A7</f>
        <v>3.4950832000000005E-3</v>
      </c>
      <c r="O7">
        <f t="shared" si="11"/>
        <v>7.8639372000000008E-4</v>
      </c>
      <c r="P7">
        <f t="shared" si="12"/>
        <v>-4.0252081370485155E-3</v>
      </c>
      <c r="V7">
        <v>-5.7</v>
      </c>
      <c r="W7">
        <f t="shared" si="9"/>
        <v>-0.25236999999999998</v>
      </c>
      <c r="Y7">
        <v>0.03</v>
      </c>
      <c r="Z7">
        <f t="shared" si="10"/>
        <v>-6.4440500000000012E-2</v>
      </c>
      <c r="AB7" t="s">
        <v>33</v>
      </c>
      <c r="AC7">
        <f>-AB3/AB4</f>
        <v>3.5041641728571819E-2</v>
      </c>
    </row>
    <row r="8" spans="1:29">
      <c r="A8" s="5">
        <v>0.27621645</v>
      </c>
      <c r="B8" s="5">
        <v>0.78383999999999998</v>
      </c>
      <c r="C8">
        <f t="shared" si="1"/>
        <v>0.216509502168</v>
      </c>
      <c r="D8">
        <v>1.6E-2</v>
      </c>
      <c r="E8">
        <v>3.5999999999999999E-3</v>
      </c>
      <c r="F8">
        <f t="shared" si="2"/>
        <v>55.243290000000002</v>
      </c>
      <c r="G8">
        <f t="shared" si="3"/>
        <v>-0.78383999999999998</v>
      </c>
      <c r="H8">
        <f t="shared" si="4"/>
        <v>-43.301900433599997</v>
      </c>
      <c r="I8">
        <v>1</v>
      </c>
      <c r="J8">
        <f t="shared" si="5"/>
        <v>-2.8960083939234771</v>
      </c>
      <c r="K8">
        <f t="shared" si="6"/>
        <v>-0.43788515177521747</v>
      </c>
      <c r="L8">
        <v>1</v>
      </c>
      <c r="M8">
        <f t="shared" si="7"/>
        <v>0.43715304684044287</v>
      </c>
      <c r="N8">
        <f t="shared" si="13"/>
        <v>4.4194632000000003E-3</v>
      </c>
      <c r="O8">
        <f t="shared" si="11"/>
        <v>9.9437922000000008E-4</v>
      </c>
      <c r="P8">
        <f t="shared" si="12"/>
        <v>-4.6817374852253981E-3</v>
      </c>
      <c r="V8">
        <v>-5.6</v>
      </c>
      <c r="W8">
        <f t="shared" si="9"/>
        <v>-0.25896000000000002</v>
      </c>
      <c r="Y8">
        <v>0.04</v>
      </c>
      <c r="Z8">
        <f t="shared" si="10"/>
        <v>6.3375999999999988E-2</v>
      </c>
    </row>
    <row r="9" spans="1:29">
      <c r="A9" s="5">
        <v>0.33284619999999998</v>
      </c>
      <c r="B9" s="5">
        <v>0.77212999999999998</v>
      </c>
      <c r="C9">
        <f t="shared" si="1"/>
        <v>0.25700053640599996</v>
      </c>
      <c r="D9">
        <v>1.6E-2</v>
      </c>
      <c r="E9">
        <v>3.5999999999999999E-3</v>
      </c>
      <c r="F9">
        <f t="shared" si="2"/>
        <v>66.569239999999994</v>
      </c>
      <c r="G9">
        <f t="shared" si="3"/>
        <v>-0.77212999999999998</v>
      </c>
      <c r="H9">
        <f t="shared" si="4"/>
        <v>-51.400107281199993</v>
      </c>
      <c r="I9">
        <v>1</v>
      </c>
      <c r="J9">
        <f t="shared" si="5"/>
        <v>-2.7095126699886976</v>
      </c>
      <c r="K9">
        <f t="shared" si="6"/>
        <v>-0.44959515177521747</v>
      </c>
      <c r="L9">
        <v>1</v>
      </c>
      <c r="M9">
        <f t="shared" si="7"/>
        <v>0.44944311504774481</v>
      </c>
      <c r="N9">
        <f t="shared" si="13"/>
        <v>5.3255391999999999E-3</v>
      </c>
      <c r="O9">
        <f t="shared" si="11"/>
        <v>1.1982463199999998E-3</v>
      </c>
      <c r="P9">
        <f t="shared" si="12"/>
        <v>-6.3717487925273398E-3</v>
      </c>
      <c r="V9">
        <v>-5.5</v>
      </c>
      <c r="W9">
        <f t="shared" si="9"/>
        <v>-0.26555000000000001</v>
      </c>
      <c r="Y9">
        <v>0.05</v>
      </c>
      <c r="Z9">
        <f t="shared" si="10"/>
        <v>0.1911925000000001</v>
      </c>
      <c r="AB9" t="s">
        <v>35</v>
      </c>
      <c r="AC9">
        <v>3.4079999999999999E-2</v>
      </c>
    </row>
    <row r="10" spans="1:29">
      <c r="A10" s="5">
        <v>0.391764</v>
      </c>
      <c r="B10" s="5">
        <v>0.76114999999999999</v>
      </c>
      <c r="C10">
        <f t="shared" si="1"/>
        <v>0.2981911686</v>
      </c>
      <c r="D10">
        <v>1.6E-2</v>
      </c>
      <c r="E10">
        <v>3.5999999999999999E-3</v>
      </c>
      <c r="F10">
        <f t="shared" si="2"/>
        <v>78.352800000000002</v>
      </c>
      <c r="G10">
        <f t="shared" si="3"/>
        <v>-0.76114999999999999</v>
      </c>
      <c r="H10">
        <f t="shared" si="4"/>
        <v>-59.638233720000002</v>
      </c>
      <c r="I10">
        <v>1</v>
      </c>
      <c r="J10">
        <f t="shared" si="5"/>
        <v>-2.5465335737414438</v>
      </c>
      <c r="K10">
        <f t="shared" si="6"/>
        <v>-0.46057515177521746</v>
      </c>
      <c r="L10">
        <v>1</v>
      </c>
      <c r="M10">
        <f t="shared" si="7"/>
        <v>0.46018343749043888</v>
      </c>
      <c r="N10">
        <f t="shared" si="13"/>
        <v>6.2682240000000002E-3</v>
      </c>
      <c r="O10">
        <f t="shared" si="11"/>
        <v>1.4103504E-3</v>
      </c>
      <c r="P10">
        <f t="shared" si="12"/>
        <v>-7.2868601152214236E-3</v>
      </c>
      <c r="V10">
        <v>-5.4</v>
      </c>
      <c r="W10">
        <f t="shared" si="9"/>
        <v>-0.27213999999999999</v>
      </c>
      <c r="Y10">
        <v>0.06</v>
      </c>
      <c r="Z10">
        <f t="shared" si="10"/>
        <v>0.31900899999999999</v>
      </c>
    </row>
    <row r="11" spans="1:29">
      <c r="A11" s="5">
        <v>0.44839370000000001</v>
      </c>
      <c r="B11" s="5">
        <v>0.75148999999999999</v>
      </c>
      <c r="C11">
        <f t="shared" si="1"/>
        <v>0.33696338161299999</v>
      </c>
      <c r="D11">
        <v>1.6E-2</v>
      </c>
      <c r="E11">
        <v>3.5999999999999999E-3</v>
      </c>
      <c r="F11">
        <f t="shared" si="2"/>
        <v>89.678740000000005</v>
      </c>
      <c r="G11">
        <f t="shared" si="3"/>
        <v>-0.75148999999999999</v>
      </c>
      <c r="H11">
        <f t="shared" si="4"/>
        <v>-67.392676322599996</v>
      </c>
      <c r="I11">
        <v>1</v>
      </c>
      <c r="J11">
        <f t="shared" si="5"/>
        <v>-2.4115215502723308</v>
      </c>
      <c r="K11">
        <f t="shared" si="6"/>
        <v>-0.47023515177521746</v>
      </c>
      <c r="L11">
        <v>1</v>
      </c>
      <c r="M11">
        <f t="shared" si="7"/>
        <v>0.4690807298370534</v>
      </c>
      <c r="N11">
        <f t="shared" si="13"/>
        <v>7.1742992000000004E-3</v>
      </c>
      <c r="O11">
        <f t="shared" si="11"/>
        <v>1.6142173200000001E-3</v>
      </c>
      <c r="P11">
        <f t="shared" si="12"/>
        <v>-7.6340945818359372E-3</v>
      </c>
      <c r="V11">
        <v>-5.3</v>
      </c>
      <c r="W11">
        <f t="shared" si="9"/>
        <v>-0.27873000000000003</v>
      </c>
      <c r="Y11">
        <v>7.0000000000000007E-2</v>
      </c>
      <c r="Z11">
        <f t="shared" si="10"/>
        <v>0.4468255000000001</v>
      </c>
      <c r="AB11" t="s">
        <v>34</v>
      </c>
      <c r="AC11">
        <f>AC7-AC9</f>
        <v>9.6164172857182012E-4</v>
      </c>
    </row>
    <row r="12" spans="1:29">
      <c r="A12" s="5">
        <v>0.50731150000000003</v>
      </c>
      <c r="B12" s="5">
        <v>0.74275000000000002</v>
      </c>
      <c r="C12">
        <f t="shared" si="1"/>
        <v>0.37680561662500001</v>
      </c>
      <c r="D12">
        <v>1.6E-2</v>
      </c>
      <c r="E12">
        <v>3.5999999999999999E-3</v>
      </c>
      <c r="F12">
        <f t="shared" si="2"/>
        <v>101.4623</v>
      </c>
      <c r="G12">
        <f t="shared" si="3"/>
        <v>-0.74275000000000002</v>
      </c>
      <c r="H12">
        <f t="shared" si="4"/>
        <v>-75.361123324999994</v>
      </c>
      <c r="I12">
        <v>1</v>
      </c>
      <c r="J12">
        <f t="shared" si="5"/>
        <v>-2.2880679780684008</v>
      </c>
      <c r="K12">
        <f t="shared" si="6"/>
        <v>-0.47897515177521743</v>
      </c>
      <c r="L12">
        <v>1</v>
      </c>
      <c r="M12">
        <f t="shared" si="7"/>
        <v>0.47721632024529237</v>
      </c>
      <c r="N12">
        <f t="shared" si="13"/>
        <v>8.1169840000000007E-3</v>
      </c>
      <c r="O12">
        <f t="shared" si="11"/>
        <v>1.8263214E-3</v>
      </c>
      <c r="P12">
        <f t="shared" si="12"/>
        <v>-8.1844738700749368E-3</v>
      </c>
      <c r="V12">
        <v>-5.2</v>
      </c>
      <c r="W12">
        <f t="shared" si="9"/>
        <v>-0.28531999999999996</v>
      </c>
      <c r="Y12">
        <v>0.08</v>
      </c>
      <c r="Z12">
        <f t="shared" si="10"/>
        <v>0.57464199999999999</v>
      </c>
      <c r="AC12">
        <f>AC11*3</f>
        <v>2.8849251857154604E-3</v>
      </c>
    </row>
    <row r="13" spans="1:29">
      <c r="A13" s="5">
        <v>0.56394120000000003</v>
      </c>
      <c r="B13" s="5">
        <v>0.73451999999999995</v>
      </c>
      <c r="C13">
        <f t="shared" si="1"/>
        <v>0.41422609022399998</v>
      </c>
      <c r="D13">
        <v>1.6E-2</v>
      </c>
      <c r="E13">
        <v>3.5999999999999999E-3</v>
      </c>
      <c r="F13">
        <f t="shared" si="2"/>
        <v>112.78824</v>
      </c>
      <c r="G13">
        <f t="shared" si="3"/>
        <v>-0.73451999999999995</v>
      </c>
      <c r="H13">
        <f t="shared" si="4"/>
        <v>-82.845218044799992</v>
      </c>
      <c r="I13">
        <v>1</v>
      </c>
      <c r="J13">
        <f t="shared" si="5"/>
        <v>-2.1822432006722909</v>
      </c>
      <c r="K13">
        <f t="shared" si="6"/>
        <v>-0.4872051517752175</v>
      </c>
      <c r="L13">
        <v>1</v>
      </c>
      <c r="M13">
        <f t="shared" si="7"/>
        <v>0.48419017307569601</v>
      </c>
      <c r="N13">
        <f t="shared" si="13"/>
        <v>9.0230592000000009E-3</v>
      </c>
      <c r="O13">
        <f t="shared" si="11"/>
        <v>2.0301883200000001E-3</v>
      </c>
      <c r="P13">
        <f t="shared" si="12"/>
        <v>-8.0382688204785023E-3</v>
      </c>
      <c r="V13">
        <v>-5.0999999999999996</v>
      </c>
      <c r="W13">
        <f t="shared" si="9"/>
        <v>-0.29191</v>
      </c>
      <c r="Y13">
        <v>0.09</v>
      </c>
      <c r="Z13">
        <f t="shared" si="10"/>
        <v>0.70245849999999999</v>
      </c>
    </row>
    <row r="14" spans="1:29">
      <c r="A14" s="5">
        <v>0.621143</v>
      </c>
      <c r="B14" s="5">
        <v>0.72696000000000005</v>
      </c>
      <c r="C14">
        <f t="shared" si="1"/>
        <v>0.45154611528000005</v>
      </c>
      <c r="D14">
        <v>1.6E-2</v>
      </c>
      <c r="E14">
        <v>3.5999999999999999E-3</v>
      </c>
      <c r="F14">
        <f t="shared" si="2"/>
        <v>124.2286</v>
      </c>
      <c r="G14">
        <f t="shared" si="3"/>
        <v>-0.72696000000000005</v>
      </c>
      <c r="H14">
        <f t="shared" si="4"/>
        <v>-90.309223056000008</v>
      </c>
      <c r="I14">
        <v>1</v>
      </c>
      <c r="J14">
        <f t="shared" si="5"/>
        <v>-2.0856318622396768</v>
      </c>
      <c r="K14">
        <f t="shared" si="6"/>
        <v>-0.4947651517752174</v>
      </c>
      <c r="L14">
        <v>1</v>
      </c>
      <c r="M14">
        <f t="shared" si="7"/>
        <v>0.49055686027840528</v>
      </c>
      <c r="N14">
        <f t="shared" si="13"/>
        <v>9.938288E-3</v>
      </c>
      <c r="O14">
        <f t="shared" si="11"/>
        <v>2.2361147999999998E-3</v>
      </c>
      <c r="P14">
        <f t="shared" si="12"/>
        <v>-7.9661113031878773E-3</v>
      </c>
      <c r="V14">
        <v>-5</v>
      </c>
      <c r="W14">
        <f t="shared" si="9"/>
        <v>-0.29849999999999999</v>
      </c>
      <c r="Y14">
        <v>0.1</v>
      </c>
      <c r="Z14">
        <f t="shared" si="10"/>
        <v>0.83027500000000021</v>
      </c>
    </row>
    <row r="15" spans="1:29">
      <c r="A15" s="5">
        <v>0.67777270000000001</v>
      </c>
      <c r="B15" s="5">
        <v>0.71991000000000005</v>
      </c>
      <c r="C15">
        <f t="shared" si="1"/>
        <v>0.48793534445700004</v>
      </c>
      <c r="D15">
        <v>1.6E-2</v>
      </c>
      <c r="E15">
        <v>3.5999999999999999E-3</v>
      </c>
      <c r="F15">
        <f t="shared" si="2"/>
        <v>135.55454</v>
      </c>
      <c r="G15">
        <f t="shared" si="3"/>
        <v>-0.71991000000000005</v>
      </c>
      <c r="H15">
        <f t="shared" si="4"/>
        <v>-97.587068891400008</v>
      </c>
      <c r="I15">
        <v>1</v>
      </c>
      <c r="J15">
        <f t="shared" si="5"/>
        <v>-1.9983812104223966</v>
      </c>
      <c r="K15">
        <f t="shared" si="6"/>
        <v>-0.50181515177521741</v>
      </c>
      <c r="L15">
        <v>1</v>
      </c>
      <c r="M15">
        <f t="shared" si="7"/>
        <v>0.4963066782331641</v>
      </c>
      <c r="N15">
        <f t="shared" si="13"/>
        <v>1.08443632E-2</v>
      </c>
      <c r="O15">
        <f t="shared" si="11"/>
        <v>2.4399817200000001E-3</v>
      </c>
      <c r="P15">
        <f t="shared" si="12"/>
        <v>-7.7758713779466949E-3</v>
      </c>
      <c r="V15">
        <v>-4.9000000000000004</v>
      </c>
      <c r="W15">
        <f t="shared" si="9"/>
        <v>-0.30508999999999997</v>
      </c>
      <c r="Y15">
        <v>0.11</v>
      </c>
      <c r="Z15">
        <f t="shared" si="10"/>
        <v>0.95809149999999998</v>
      </c>
    </row>
    <row r="16" spans="1:29">
      <c r="A16" s="5">
        <v>0.73554649999999999</v>
      </c>
      <c r="B16" s="5">
        <v>0.71358999999999995</v>
      </c>
      <c r="C16">
        <f t="shared" si="1"/>
        <v>0.52487862693499998</v>
      </c>
      <c r="D16">
        <v>1.6E-2</v>
      </c>
      <c r="E16">
        <v>3.5999999999999999E-3</v>
      </c>
      <c r="F16">
        <f t="shared" si="2"/>
        <v>147.10929999999999</v>
      </c>
      <c r="G16">
        <f t="shared" si="3"/>
        <v>-0.71358999999999995</v>
      </c>
      <c r="H16">
        <f t="shared" si="4"/>
        <v>-104.975725387</v>
      </c>
      <c r="I16">
        <v>1</v>
      </c>
      <c r="J16">
        <f t="shared" si="5"/>
        <v>-1.9165794310754338</v>
      </c>
      <c r="K16">
        <f t="shared" si="6"/>
        <v>-0.50813515177521751</v>
      </c>
      <c r="L16">
        <v>1</v>
      </c>
      <c r="M16">
        <f t="shared" si="7"/>
        <v>0.50169741549212887</v>
      </c>
      <c r="N16">
        <f t="shared" si="13"/>
        <v>1.1768743999999999E-2</v>
      </c>
      <c r="O16">
        <f t="shared" si="11"/>
        <v>2.6479673999999999E-3</v>
      </c>
      <c r="P16">
        <f t="shared" si="12"/>
        <v>-7.9789751169113635E-3</v>
      </c>
      <c r="V16">
        <v>-4.8</v>
      </c>
      <c r="W16">
        <f t="shared" si="9"/>
        <v>-0.31168000000000001</v>
      </c>
      <c r="Y16">
        <v>0.12</v>
      </c>
      <c r="Z16">
        <f t="shared" si="10"/>
        <v>1.0859079999999999</v>
      </c>
    </row>
    <row r="17" spans="1:26">
      <c r="A17" s="5">
        <v>0.79274825000000004</v>
      </c>
      <c r="B17" s="5">
        <v>0.70716000000000001</v>
      </c>
      <c r="C17">
        <f t="shared" si="1"/>
        <v>0.56059985246999999</v>
      </c>
      <c r="D17">
        <v>1.6E-2</v>
      </c>
      <c r="E17">
        <v>3.5999999999999999E-3</v>
      </c>
      <c r="F17">
        <f t="shared" si="2"/>
        <v>158.54965000000001</v>
      </c>
      <c r="G17">
        <f t="shared" si="3"/>
        <v>-0.70716000000000001</v>
      </c>
      <c r="H17">
        <f t="shared" si="4"/>
        <v>-112.119970494</v>
      </c>
      <c r="I17">
        <v>1</v>
      </c>
      <c r="J17">
        <f t="shared" si="5"/>
        <v>-1.8416874855057359</v>
      </c>
      <c r="K17">
        <f t="shared" si="6"/>
        <v>-0.51456515177521744</v>
      </c>
      <c r="L17">
        <v>1</v>
      </c>
      <c r="M17">
        <f t="shared" si="7"/>
        <v>0.50663279470517197</v>
      </c>
      <c r="N17">
        <f t="shared" si="13"/>
        <v>1.2683972000000002E-2</v>
      </c>
      <c r="O17">
        <f t="shared" si="11"/>
        <v>2.8538936999999999E-3</v>
      </c>
      <c r="P17">
        <f t="shared" si="12"/>
        <v>-7.6055086299545317E-3</v>
      </c>
      <c r="V17">
        <v>-4.7</v>
      </c>
      <c r="W17">
        <f t="shared" si="9"/>
        <v>-0.31827</v>
      </c>
      <c r="Y17">
        <v>0.13</v>
      </c>
      <c r="Z17">
        <f t="shared" si="10"/>
        <v>1.2137245000000001</v>
      </c>
    </row>
    <row r="18" spans="1:26">
      <c r="A18" s="5">
        <v>0.85109399999999991</v>
      </c>
      <c r="B18" s="5">
        <v>0.70079999999999998</v>
      </c>
      <c r="C18">
        <f t="shared" si="1"/>
        <v>0.59644667519999994</v>
      </c>
      <c r="D18">
        <v>1.6E-2</v>
      </c>
      <c r="E18">
        <v>3.5999999999999999E-3</v>
      </c>
      <c r="F18">
        <f t="shared" si="2"/>
        <v>170.21879999999999</v>
      </c>
      <c r="G18">
        <f t="shared" si="3"/>
        <v>-0.70079999999999998</v>
      </c>
      <c r="H18">
        <f t="shared" si="4"/>
        <v>-119.28933503999998</v>
      </c>
      <c r="I18">
        <v>1</v>
      </c>
      <c r="J18">
        <f t="shared" si="5"/>
        <v>-1.7706706106585592</v>
      </c>
      <c r="K18">
        <f t="shared" si="6"/>
        <v>-0.52092515177521748</v>
      </c>
      <c r="L18">
        <v>1</v>
      </c>
      <c r="M18">
        <f t="shared" si="7"/>
        <v>0.51131280675760094</v>
      </c>
      <c r="N18">
        <f t="shared" si="13"/>
        <v>1.3617503999999999E-2</v>
      </c>
      <c r="O18">
        <f t="shared" si="11"/>
        <v>3.0639383999999997E-3</v>
      </c>
      <c r="P18">
        <f t="shared" si="12"/>
        <v>-7.0690973823834572E-3</v>
      </c>
      <c r="V18">
        <v>-4.5999999999999996</v>
      </c>
      <c r="W18">
        <f t="shared" si="9"/>
        <v>-0.32486000000000004</v>
      </c>
      <c r="Y18">
        <v>0.14000000000000001</v>
      </c>
      <c r="Z18">
        <f t="shared" si="10"/>
        <v>1.3415410000000003</v>
      </c>
    </row>
    <row r="19" spans="1:26">
      <c r="A19" s="5">
        <v>0.91172790000000004</v>
      </c>
      <c r="B19" s="5">
        <v>0.69494</v>
      </c>
      <c r="C19">
        <f t="shared" si="1"/>
        <v>0.63359618682600005</v>
      </c>
      <c r="D19">
        <v>1.6E-2</v>
      </c>
      <c r="E19">
        <v>3.5999999999999999E-3</v>
      </c>
      <c r="F19">
        <f t="shared" si="2"/>
        <v>182.34558000000001</v>
      </c>
      <c r="G19">
        <f t="shared" si="3"/>
        <v>-0.69494</v>
      </c>
      <c r="H19">
        <f t="shared" si="4"/>
        <v>-126.71923736520002</v>
      </c>
      <c r="I19">
        <v>1</v>
      </c>
      <c r="J19">
        <f t="shared" si="5"/>
        <v>-1.7018516011218501</v>
      </c>
      <c r="K19">
        <f t="shared" si="6"/>
        <v>-0.52678515177521745</v>
      </c>
      <c r="L19">
        <v>1</v>
      </c>
      <c r="M19">
        <f t="shared" si="7"/>
        <v>0.51584797948607009</v>
      </c>
      <c r="N19">
        <f t="shared" si="13"/>
        <v>1.4587646400000001E-2</v>
      </c>
      <c r="O19">
        <f t="shared" si="11"/>
        <v>3.2822204400000002E-3</v>
      </c>
      <c r="P19">
        <f t="shared" si="12"/>
        <v>-6.932694550852634E-3</v>
      </c>
      <c r="V19">
        <v>-4.5000000000000098</v>
      </c>
      <c r="W19">
        <f t="shared" si="9"/>
        <v>-0.33144999999999936</v>
      </c>
      <c r="Y19">
        <v>0.15</v>
      </c>
      <c r="Z19">
        <f t="shared" si="10"/>
        <v>1.4693575000000001</v>
      </c>
    </row>
    <row r="20" spans="1:26">
      <c r="A20" s="5">
        <v>0.96892955000000003</v>
      </c>
      <c r="B20" s="5">
        <v>0.68984000000000001</v>
      </c>
      <c r="C20">
        <f t="shared" si="1"/>
        <v>0.668406360772</v>
      </c>
      <c r="D20">
        <v>1.6E-2</v>
      </c>
      <c r="E20">
        <v>3.5999999999999999E-3</v>
      </c>
      <c r="F20">
        <f t="shared" si="2"/>
        <v>193.78591</v>
      </c>
      <c r="G20">
        <f t="shared" si="3"/>
        <v>-0.68984000000000001</v>
      </c>
      <c r="H20">
        <f t="shared" si="4"/>
        <v>-133.68127215440001</v>
      </c>
      <c r="I20">
        <v>1</v>
      </c>
      <c r="J20">
        <f t="shared" si="5"/>
        <v>-1.6410012859868914</v>
      </c>
      <c r="K20">
        <f t="shared" si="6"/>
        <v>-0.53188515177521745</v>
      </c>
      <c r="L20">
        <v>1</v>
      </c>
      <c r="M20">
        <f t="shared" si="7"/>
        <v>0.51985801525346387</v>
      </c>
      <c r="N20">
        <f t="shared" si="13"/>
        <v>1.5502872800000001E-2</v>
      </c>
      <c r="O20">
        <f t="shared" si="11"/>
        <v>3.4881463799999999E-3</v>
      </c>
      <c r="P20">
        <f t="shared" si="12"/>
        <v>-6.963882658246422E-3</v>
      </c>
      <c r="V20">
        <v>-4.4000000000000101</v>
      </c>
      <c r="W20">
        <f t="shared" si="9"/>
        <v>-0.33803999999999934</v>
      </c>
      <c r="Y20">
        <v>0.16</v>
      </c>
      <c r="Z20">
        <f t="shared" si="10"/>
        <v>1.5971739999999999</v>
      </c>
    </row>
    <row r="21" spans="1:26">
      <c r="A21" s="5">
        <v>1.02613135</v>
      </c>
      <c r="B21" s="5">
        <v>0.68374999999999997</v>
      </c>
      <c r="C21">
        <f t="shared" si="1"/>
        <v>0.70161731056249999</v>
      </c>
      <c r="D21">
        <v>1.6E-2</v>
      </c>
      <c r="E21">
        <v>3.5999999999999999E-3</v>
      </c>
      <c r="F21">
        <f t="shared" si="2"/>
        <v>205.22627</v>
      </c>
      <c r="G21">
        <f t="shared" si="3"/>
        <v>-0.68374999999999997</v>
      </c>
      <c r="H21">
        <f t="shared" si="4"/>
        <v>-140.32346211250001</v>
      </c>
      <c r="I21">
        <v>1</v>
      </c>
      <c r="J21">
        <f t="shared" si="5"/>
        <v>-1.583642152437073</v>
      </c>
      <c r="K21">
        <f t="shared" si="6"/>
        <v>-0.53797515177521749</v>
      </c>
      <c r="L21">
        <v>1</v>
      </c>
      <c r="M21">
        <f t="shared" si="7"/>
        <v>0.52363798215439694</v>
      </c>
      <c r="N21">
        <f t="shared" si="13"/>
        <v>1.6418101600000002E-2</v>
      </c>
      <c r="O21">
        <f t="shared" si="11"/>
        <v>3.6940728600000001E-3</v>
      </c>
      <c r="P21">
        <f t="shared" si="12"/>
        <v>-5.7750048391794571E-3</v>
      </c>
      <c r="V21">
        <v>-4.3000000000000096</v>
      </c>
      <c r="W21">
        <f t="shared" si="9"/>
        <v>-0.34462999999999938</v>
      </c>
      <c r="Y21">
        <v>0.17</v>
      </c>
      <c r="Z21">
        <f t="shared" si="10"/>
        <v>1.7249905000000001</v>
      </c>
    </row>
    <row r="22" spans="1:26">
      <c r="A22" s="5">
        <v>1.0839051499999999</v>
      </c>
      <c r="B22" s="5">
        <v>0.67867</v>
      </c>
      <c r="C22">
        <f t="shared" si="1"/>
        <v>0.73561390815049987</v>
      </c>
      <c r="D22">
        <v>1.6E-2</v>
      </c>
      <c r="E22">
        <v>3.5999999999999999E-3</v>
      </c>
      <c r="F22">
        <f t="shared" si="2"/>
        <v>216.78102999999999</v>
      </c>
      <c r="G22">
        <f t="shared" si="3"/>
        <v>-0.67867</v>
      </c>
      <c r="H22">
        <f t="shared" si="4"/>
        <v>-147.12278163009998</v>
      </c>
      <c r="I22">
        <v>1</v>
      </c>
      <c r="J22">
        <f t="shared" si="5"/>
        <v>-1.5288675132449943</v>
      </c>
      <c r="K22">
        <f t="shared" si="6"/>
        <v>-0.54305515177521746</v>
      </c>
      <c r="L22">
        <v>1</v>
      </c>
      <c r="M22">
        <f t="shared" si="7"/>
        <v>0.52724763087715487</v>
      </c>
      <c r="N22">
        <f t="shared" si="13"/>
        <v>1.7342482399999998E-2</v>
      </c>
      <c r="O22">
        <f t="shared" si="11"/>
        <v>3.9020585399999995E-3</v>
      </c>
      <c r="P22">
        <f t="shared" si="12"/>
        <v>-5.4370200419374091E-3</v>
      </c>
      <c r="V22">
        <v>-4.2000000000000099</v>
      </c>
      <c r="W22">
        <f t="shared" si="9"/>
        <v>-0.35121999999999937</v>
      </c>
      <c r="Y22">
        <v>0.18</v>
      </c>
      <c r="Z22">
        <f t="shared" si="10"/>
        <v>1.8528069999999999</v>
      </c>
    </row>
    <row r="23" spans="1:26">
      <c r="A23" s="5">
        <v>1.1411068500000001</v>
      </c>
      <c r="B23" s="5">
        <v>0.67371000000000003</v>
      </c>
      <c r="C23">
        <f t="shared" si="1"/>
        <v>0.76877509591350013</v>
      </c>
      <c r="D23">
        <v>1.6E-2</v>
      </c>
      <c r="E23">
        <v>3.5999999999999999E-3</v>
      </c>
      <c r="F23">
        <f t="shared" si="2"/>
        <v>228.22137000000004</v>
      </c>
      <c r="G23">
        <f t="shared" si="3"/>
        <v>-0.67371000000000003</v>
      </c>
      <c r="H23">
        <f t="shared" si="4"/>
        <v>-153.75501918270004</v>
      </c>
      <c r="I23">
        <v>1</v>
      </c>
      <c r="J23">
        <f t="shared" si="5"/>
        <v>-1.4774392000140399</v>
      </c>
      <c r="K23">
        <f t="shared" si="6"/>
        <v>-0.54801515177521742</v>
      </c>
      <c r="L23">
        <v>1</v>
      </c>
      <c r="M23">
        <f t="shared" si="7"/>
        <v>0.53063675671907473</v>
      </c>
      <c r="N23">
        <f t="shared" si="13"/>
        <v>1.8257709600000002E-2</v>
      </c>
      <c r="O23">
        <f t="shared" si="11"/>
        <v>4.1079846600000003E-3</v>
      </c>
      <c r="P23">
        <f t="shared" si="12"/>
        <v>-4.9872992038573092E-3</v>
      </c>
      <c r="V23">
        <v>-4.1000000000000103</v>
      </c>
      <c r="W23">
        <f t="shared" si="9"/>
        <v>-0.3578099999999993</v>
      </c>
      <c r="Y23">
        <v>0.19</v>
      </c>
      <c r="Z23">
        <f t="shared" si="10"/>
        <v>1.9806235000000001</v>
      </c>
    </row>
    <row r="24" spans="1:26">
      <c r="A24" s="5">
        <v>1.19773665</v>
      </c>
      <c r="B24" s="5">
        <v>0.66837999999999997</v>
      </c>
      <c r="C24">
        <f t="shared" si="1"/>
        <v>0.80054322212699991</v>
      </c>
      <c r="D24">
        <v>1.6E-2</v>
      </c>
      <c r="E24">
        <v>3.5999999999999999E-3</v>
      </c>
      <c r="F24">
        <f t="shared" si="2"/>
        <v>239.54732999999999</v>
      </c>
      <c r="G24">
        <f t="shared" si="3"/>
        <v>-0.66837999999999997</v>
      </c>
      <c r="H24">
        <f t="shared" si="4"/>
        <v>-160.10864442539997</v>
      </c>
      <c r="I24">
        <v>1</v>
      </c>
      <c r="J24">
        <f t="shared" si="5"/>
        <v>-1.4290042616136818</v>
      </c>
      <c r="K24">
        <f t="shared" si="6"/>
        <v>-0.55334515177521748</v>
      </c>
      <c r="L24">
        <v>1</v>
      </c>
      <c r="M24">
        <f t="shared" si="7"/>
        <v>0.5338286191596584</v>
      </c>
      <c r="N24">
        <f t="shared" si="13"/>
        <v>1.91637864E-2</v>
      </c>
      <c r="O24">
        <f t="shared" si="11"/>
        <v>4.3118519399999999E-3</v>
      </c>
      <c r="P24">
        <f t="shared" si="12"/>
        <v>-3.9591057244409214E-3</v>
      </c>
      <c r="V24">
        <v>-4.0000000000000098</v>
      </c>
      <c r="W24">
        <f t="shared" si="9"/>
        <v>-0.36439999999999934</v>
      </c>
      <c r="Y24">
        <v>0.2</v>
      </c>
      <c r="Z24">
        <f t="shared" si="10"/>
        <v>2.1084400000000003</v>
      </c>
    </row>
    <row r="25" spans="1:26">
      <c r="A25" s="5">
        <v>1.2555103999999999</v>
      </c>
      <c r="B25" s="5">
        <v>0.66371999999999998</v>
      </c>
      <c r="C25">
        <f t="shared" si="1"/>
        <v>0.83330736268799988</v>
      </c>
      <c r="D25">
        <v>1.6E-2</v>
      </c>
      <c r="E25">
        <v>3.5999999999999999E-3</v>
      </c>
      <c r="F25">
        <f t="shared" si="2"/>
        <v>251.10207999999997</v>
      </c>
      <c r="G25">
        <f t="shared" si="3"/>
        <v>-0.66371999999999998</v>
      </c>
      <c r="H25">
        <f t="shared" si="4"/>
        <v>-166.66147253759996</v>
      </c>
      <c r="I25">
        <v>1</v>
      </c>
      <c r="J25">
        <f t="shared" si="5"/>
        <v>-1.3818957293005367</v>
      </c>
      <c r="K25">
        <f t="shared" si="6"/>
        <v>-0.55800515177521748</v>
      </c>
      <c r="L25">
        <v>1</v>
      </c>
      <c r="M25">
        <f t="shared" si="7"/>
        <v>0.53693307143909463</v>
      </c>
      <c r="N25">
        <f t="shared" si="13"/>
        <v>2.0088166399999999E-2</v>
      </c>
      <c r="O25">
        <f t="shared" si="11"/>
        <v>4.5198374399999996E-3</v>
      </c>
      <c r="P25">
        <f t="shared" si="12"/>
        <v>-3.5359235038771543E-3</v>
      </c>
      <c r="V25">
        <v>-3.9000000000000101</v>
      </c>
      <c r="W25">
        <f t="shared" si="9"/>
        <v>-0.37098999999999932</v>
      </c>
      <c r="Y25">
        <v>0.21</v>
      </c>
      <c r="Z25">
        <f t="shared" si="10"/>
        <v>2.2362565000000001</v>
      </c>
    </row>
    <row r="26" spans="1:26">
      <c r="A26" s="5">
        <v>1.3155722000000001</v>
      </c>
      <c r="B26" s="5">
        <v>0.65947</v>
      </c>
      <c r="C26">
        <f t="shared" si="1"/>
        <v>0.86758039873400006</v>
      </c>
      <c r="D26">
        <v>1.6E-2</v>
      </c>
      <c r="E26">
        <v>3.5999999999999999E-3</v>
      </c>
      <c r="F26">
        <f t="shared" si="2"/>
        <v>263.11444</v>
      </c>
      <c r="G26">
        <f t="shared" si="3"/>
        <v>-0.65947</v>
      </c>
      <c r="H26">
        <f t="shared" si="4"/>
        <v>-173.51607974680002</v>
      </c>
      <c r="I26">
        <v>1</v>
      </c>
      <c r="J26">
        <f t="shared" si="5"/>
        <v>-1.3351662083674694</v>
      </c>
      <c r="K26">
        <f t="shared" si="6"/>
        <v>-0.56225515177521745</v>
      </c>
      <c r="L26">
        <v>1</v>
      </c>
      <c r="M26">
        <f t="shared" si="7"/>
        <v>0.5400125468685838</v>
      </c>
      <c r="N26">
        <f t="shared" si="13"/>
        <v>2.1049155200000003E-2</v>
      </c>
      <c r="O26">
        <f t="shared" si="11"/>
        <v>4.7360599200000006E-3</v>
      </c>
      <c r="P26">
        <f t="shared" si="12"/>
        <v>-3.542610213366347E-3</v>
      </c>
      <c r="V26">
        <v>-3.80000000000001</v>
      </c>
      <c r="W26">
        <f t="shared" si="9"/>
        <v>-0.37757999999999936</v>
      </c>
      <c r="Y26">
        <v>0.22</v>
      </c>
      <c r="Z26">
        <f t="shared" si="10"/>
        <v>2.3640729999999999</v>
      </c>
    </row>
    <row r="27" spans="1:26">
      <c r="A27" s="5">
        <v>1.3762061000000001</v>
      </c>
      <c r="B27" s="5">
        <v>0.65422999999999998</v>
      </c>
      <c r="C27">
        <f t="shared" si="1"/>
        <v>0.90035531680300007</v>
      </c>
      <c r="D27">
        <v>1.6E-2</v>
      </c>
      <c r="E27">
        <v>3.5999999999999999E-3</v>
      </c>
      <c r="F27">
        <f t="shared" si="2"/>
        <v>275.24122</v>
      </c>
      <c r="G27">
        <f t="shared" si="3"/>
        <v>-0.65422999999999998</v>
      </c>
      <c r="H27">
        <f t="shared" si="4"/>
        <v>-180.07106336060002</v>
      </c>
      <c r="I27">
        <v>1</v>
      </c>
      <c r="J27">
        <f t="shared" si="5"/>
        <v>-1.2901074021624046</v>
      </c>
      <c r="K27">
        <f t="shared" si="6"/>
        <v>-0.56749515177521748</v>
      </c>
      <c r="L27">
        <v>1</v>
      </c>
      <c r="M27">
        <f t="shared" si="7"/>
        <v>0.54298192219749752</v>
      </c>
      <c r="N27">
        <f t="shared" si="13"/>
        <v>2.2019297600000001E-2</v>
      </c>
      <c r="O27">
        <f t="shared" si="11"/>
        <v>4.9543419600000006E-3</v>
      </c>
      <c r="P27">
        <f t="shared" si="12"/>
        <v>-2.4604099822800492E-3</v>
      </c>
      <c r="V27">
        <v>-3.7000000000000099</v>
      </c>
      <c r="W27">
        <f t="shared" si="9"/>
        <v>-0.38416999999999935</v>
      </c>
      <c r="Y27">
        <v>0.23</v>
      </c>
      <c r="Z27">
        <f t="shared" si="10"/>
        <v>2.4918895000000001</v>
      </c>
    </row>
    <row r="28" spans="1:26">
      <c r="A28" s="5">
        <v>1.4385560499999999</v>
      </c>
      <c r="B28" s="5">
        <v>0.64949999999999997</v>
      </c>
      <c r="C28">
        <f t="shared" si="1"/>
        <v>0.93434215447499991</v>
      </c>
      <c r="D28">
        <v>1.6E-2</v>
      </c>
      <c r="E28">
        <v>3.5999999999999999E-3</v>
      </c>
      <c r="F28">
        <f t="shared" si="2"/>
        <v>287.71120999999999</v>
      </c>
      <c r="G28">
        <f t="shared" si="3"/>
        <v>-0.64949999999999997</v>
      </c>
      <c r="H28">
        <f t="shared" si="4"/>
        <v>-186.86843089499999</v>
      </c>
      <c r="I28">
        <v>1</v>
      </c>
      <c r="J28">
        <f t="shared" si="5"/>
        <v>-1.2457980449849013</v>
      </c>
      <c r="K28">
        <f t="shared" si="6"/>
        <v>-0.57222515177521749</v>
      </c>
      <c r="L28">
        <v>1</v>
      </c>
      <c r="M28">
        <f t="shared" si="7"/>
        <v>0.54590190883549505</v>
      </c>
      <c r="N28">
        <f t="shared" si="13"/>
        <v>2.3016896799999999E-2</v>
      </c>
      <c r="O28">
        <f t="shared" si="11"/>
        <v>5.1788017799999997E-3</v>
      </c>
      <c r="P28">
        <f t="shared" si="12"/>
        <v>-1.872455640277563E-3</v>
      </c>
      <c r="V28">
        <v>-3.6000000000000099</v>
      </c>
      <c r="W28">
        <f t="shared" si="9"/>
        <v>-0.39075999999999933</v>
      </c>
      <c r="Y28">
        <v>0.24</v>
      </c>
      <c r="Z28">
        <f t="shared" si="10"/>
        <v>2.6197059999999999</v>
      </c>
    </row>
    <row r="29" spans="1:26">
      <c r="A29" s="5">
        <v>1.4951858499999999</v>
      </c>
      <c r="B29" s="5">
        <v>0.64483999999999997</v>
      </c>
      <c r="C29">
        <f t="shared" si="1"/>
        <v>0.96415564351399996</v>
      </c>
      <c r="D29">
        <v>1.6E-2</v>
      </c>
      <c r="E29">
        <v>3.5999999999999999E-3</v>
      </c>
      <c r="F29">
        <f t="shared" si="2"/>
        <v>299.03717</v>
      </c>
      <c r="G29">
        <f t="shared" si="3"/>
        <v>-0.64483999999999997</v>
      </c>
      <c r="H29">
        <f t="shared" si="4"/>
        <v>-192.83112870279999</v>
      </c>
      <c r="I29">
        <v>1</v>
      </c>
      <c r="J29">
        <f t="shared" si="5"/>
        <v>-1.207187398936572</v>
      </c>
      <c r="K29">
        <f t="shared" si="6"/>
        <v>-0.57688515177521749</v>
      </c>
      <c r="L29">
        <v>1</v>
      </c>
      <c r="M29">
        <f t="shared" si="7"/>
        <v>0.54844635041007994</v>
      </c>
      <c r="N29">
        <f t="shared" si="13"/>
        <v>2.3922973599999998E-2</v>
      </c>
      <c r="O29">
        <f t="shared" si="11"/>
        <v>5.3826690599999994E-3</v>
      </c>
      <c r="P29">
        <f t="shared" si="12"/>
        <v>-8.668412948624523E-4</v>
      </c>
      <c r="V29">
        <v>-3.5000000000000102</v>
      </c>
      <c r="W29">
        <f t="shared" si="9"/>
        <v>-0.39734999999999931</v>
      </c>
      <c r="Y29">
        <v>0.25</v>
      </c>
      <c r="Z29">
        <f t="shared" si="10"/>
        <v>2.7475225000000001</v>
      </c>
    </row>
    <row r="30" spans="1:26">
      <c r="A30" s="5">
        <v>1.5529596000000001</v>
      </c>
      <c r="B30" s="5">
        <v>0.64043000000000005</v>
      </c>
      <c r="C30">
        <f t="shared" si="1"/>
        <v>0.9945619166280002</v>
      </c>
      <c r="D30">
        <v>1.6E-2</v>
      </c>
      <c r="E30">
        <v>3.5999999999999999E-3</v>
      </c>
      <c r="F30">
        <f t="shared" si="2"/>
        <v>310.59192000000002</v>
      </c>
      <c r="G30">
        <f t="shared" si="3"/>
        <v>-0.64043000000000005</v>
      </c>
      <c r="H30">
        <f t="shared" si="4"/>
        <v>-198.91238332560005</v>
      </c>
      <c r="I30">
        <v>1</v>
      </c>
      <c r="J30">
        <f t="shared" si="5"/>
        <v>-1.1692753827720546</v>
      </c>
      <c r="K30">
        <f t="shared" si="6"/>
        <v>-0.5812951517752174</v>
      </c>
      <c r="L30">
        <v>1</v>
      </c>
      <c r="M30">
        <f t="shared" si="7"/>
        <v>0.55094475227532158</v>
      </c>
      <c r="N30">
        <f t="shared" si="13"/>
        <v>2.4847353600000004E-2</v>
      </c>
      <c r="O30">
        <f t="shared" si="11"/>
        <v>5.59065456E-3</v>
      </c>
      <c r="P30">
        <f t="shared" si="12"/>
        <v>-8.7608660104184291E-5</v>
      </c>
      <c r="V30">
        <v>-3.4000000000000101</v>
      </c>
      <c r="W30">
        <f t="shared" si="9"/>
        <v>-0.4039399999999993</v>
      </c>
      <c r="Y30">
        <v>0.26</v>
      </c>
      <c r="Z30">
        <f t="shared" si="10"/>
        <v>2.8753390000000003</v>
      </c>
    </row>
    <row r="31" spans="1:26">
      <c r="A31" s="5">
        <v>1.6107333499999998</v>
      </c>
      <c r="B31" s="5">
        <v>0.63629000000000002</v>
      </c>
      <c r="C31">
        <f t="shared" si="1"/>
        <v>1.0248935232715</v>
      </c>
      <c r="D31">
        <v>1.6E-2</v>
      </c>
      <c r="E31">
        <v>3.5999999999999999E-3</v>
      </c>
      <c r="F31">
        <f t="shared" si="2"/>
        <v>322.14666999999997</v>
      </c>
      <c r="G31">
        <f t="shared" si="3"/>
        <v>-0.63629000000000002</v>
      </c>
      <c r="H31">
        <f t="shared" si="4"/>
        <v>-204.9787046543</v>
      </c>
      <c r="I31">
        <v>1</v>
      </c>
      <c r="J31">
        <f t="shared" si="5"/>
        <v>-1.1327483402505383</v>
      </c>
      <c r="K31">
        <f t="shared" si="6"/>
        <v>-0.58543515177521743</v>
      </c>
      <c r="L31">
        <v>1</v>
      </c>
      <c r="M31">
        <f t="shared" si="7"/>
        <v>0.5533518843774895</v>
      </c>
      <c r="N31">
        <f t="shared" si="13"/>
        <v>2.5771733599999999E-2</v>
      </c>
      <c r="O31">
        <f t="shared" si="11"/>
        <v>5.7986400599999996E-3</v>
      </c>
      <c r="P31">
        <f t="shared" si="12"/>
        <v>5.1289373772793381E-4</v>
      </c>
      <c r="V31">
        <v>-3.30000000000001</v>
      </c>
      <c r="W31">
        <f t="shared" si="9"/>
        <v>-0.41052999999999934</v>
      </c>
      <c r="Y31">
        <v>0.27</v>
      </c>
      <c r="Z31">
        <f t="shared" si="10"/>
        <v>3.0031555000000005</v>
      </c>
    </row>
    <row r="32" spans="1:26">
      <c r="A32" s="5">
        <v>1.66793495</v>
      </c>
      <c r="B32" s="5">
        <v>0.63219999999999998</v>
      </c>
      <c r="C32">
        <f t="shared" si="1"/>
        <v>1.05446847539</v>
      </c>
      <c r="D32">
        <v>1.6E-2</v>
      </c>
      <c r="E32">
        <v>3.5999999999999999E-3</v>
      </c>
      <c r="F32">
        <f t="shared" si="2"/>
        <v>333.58699000000001</v>
      </c>
      <c r="G32">
        <f t="shared" si="3"/>
        <v>-0.63219999999999998</v>
      </c>
      <c r="H32">
        <f t="shared" si="4"/>
        <v>-210.89369507800001</v>
      </c>
      <c r="I32">
        <v>1</v>
      </c>
      <c r="J32">
        <f t="shared" si="5"/>
        <v>-1.0978516080589775</v>
      </c>
      <c r="K32">
        <f t="shared" si="6"/>
        <v>-0.58952515177521747</v>
      </c>
      <c r="L32">
        <v>1</v>
      </c>
      <c r="M32">
        <f t="shared" si="7"/>
        <v>0.55565157902891338</v>
      </c>
      <c r="N32">
        <f t="shared" si="13"/>
        <v>2.6686959200000002E-2</v>
      </c>
      <c r="O32">
        <f t="shared" si="11"/>
        <v>6.0045658200000001E-3</v>
      </c>
      <c r="P32">
        <f t="shared" si="12"/>
        <v>1.1820477263040901E-3</v>
      </c>
      <c r="V32">
        <v>-3.2000000000000099</v>
      </c>
      <c r="W32">
        <f t="shared" si="9"/>
        <v>-0.41711999999999938</v>
      </c>
    </row>
    <row r="33" spans="1:23">
      <c r="A33" s="5">
        <v>1.7274248000000001</v>
      </c>
      <c r="B33" s="5">
        <v>0.62770000000000004</v>
      </c>
      <c r="C33">
        <f t="shared" si="1"/>
        <v>1.0843045469600001</v>
      </c>
      <c r="D33">
        <v>1.6E-2</v>
      </c>
      <c r="E33">
        <v>3.5999999999999999E-3</v>
      </c>
      <c r="F33">
        <f t="shared" si="2"/>
        <v>345.48496</v>
      </c>
      <c r="G33">
        <f t="shared" si="3"/>
        <v>-0.62770000000000004</v>
      </c>
      <c r="H33">
        <f t="shared" si="4"/>
        <v>-216.86090939200002</v>
      </c>
      <c r="I33">
        <v>1</v>
      </c>
      <c r="J33">
        <f t="shared" si="5"/>
        <v>-1.0628061678362459</v>
      </c>
      <c r="K33">
        <f t="shared" si="6"/>
        <v>-0.59402515177521742</v>
      </c>
      <c r="L33">
        <v>1</v>
      </c>
      <c r="M33">
        <f t="shared" si="7"/>
        <v>0.55796107353959146</v>
      </c>
      <c r="N33">
        <f t="shared" si="13"/>
        <v>2.76387968E-2</v>
      </c>
      <c r="O33">
        <f t="shared" si="11"/>
        <v>6.2187292799999998E-3</v>
      </c>
      <c r="P33">
        <f t="shared" si="12"/>
        <v>2.2065521556259623E-3</v>
      </c>
      <c r="V33">
        <v>-3.1000000000000099</v>
      </c>
      <c r="W33">
        <f t="shared" si="9"/>
        <v>-0.42370999999999936</v>
      </c>
    </row>
    <row r="34" spans="1:23">
      <c r="A34" s="5">
        <v>1.7846264999999999</v>
      </c>
      <c r="B34" s="5">
        <v>0.62373999999999996</v>
      </c>
      <c r="C34">
        <f t="shared" si="1"/>
        <v>1.1131429331099998</v>
      </c>
      <c r="D34">
        <v>1.6E-2</v>
      </c>
      <c r="E34">
        <v>3.5999999999999999E-3</v>
      </c>
      <c r="F34">
        <f t="shared" si="2"/>
        <v>356.92529999999999</v>
      </c>
      <c r="G34">
        <f t="shared" si="3"/>
        <v>-0.62373999999999996</v>
      </c>
      <c r="H34">
        <f t="shared" si="4"/>
        <v>-222.62858662199994</v>
      </c>
      <c r="I34">
        <v>1</v>
      </c>
      <c r="J34">
        <f t="shared" si="5"/>
        <v>-1.0302287627944937</v>
      </c>
      <c r="K34">
        <f t="shared" si="6"/>
        <v>-0.59798515177521749</v>
      </c>
      <c r="L34">
        <v>1</v>
      </c>
      <c r="M34">
        <f t="shared" si="7"/>
        <v>0.56010792453184288</v>
      </c>
      <c r="N34">
        <f t="shared" si="13"/>
        <v>2.8554023999999997E-2</v>
      </c>
      <c r="O34">
        <f t="shared" si="11"/>
        <v>6.4246553999999997E-3</v>
      </c>
      <c r="P34">
        <f t="shared" si="12"/>
        <v>2.8985478433746145E-3</v>
      </c>
      <c r="V34">
        <v>-3.0000000000000102</v>
      </c>
      <c r="W34">
        <f t="shared" si="9"/>
        <v>-0.43029999999999935</v>
      </c>
    </row>
    <row r="35" spans="1:23">
      <c r="A35" s="5">
        <v>1.8429723999999998</v>
      </c>
      <c r="B35" s="5">
        <v>0.61992000000000003</v>
      </c>
      <c r="C35">
        <f t="shared" si="1"/>
        <v>1.142495450208</v>
      </c>
      <c r="D35">
        <v>1.6E-2</v>
      </c>
      <c r="E35">
        <v>3.5999999999999999E-3</v>
      </c>
      <c r="F35">
        <f t="shared" si="2"/>
        <v>368.59447999999998</v>
      </c>
      <c r="G35">
        <f t="shared" si="3"/>
        <v>-0.61992000000000003</v>
      </c>
      <c r="H35">
        <f t="shared" si="4"/>
        <v>-228.4990900416</v>
      </c>
      <c r="I35">
        <v>1</v>
      </c>
      <c r="J35">
        <f t="shared" si="5"/>
        <v>-0.99805820944183743</v>
      </c>
      <c r="K35">
        <f t="shared" si="6"/>
        <v>-0.60180515177521743</v>
      </c>
      <c r="L35">
        <v>1</v>
      </c>
      <c r="M35">
        <f t="shared" si="7"/>
        <v>0.56222796399778296</v>
      </c>
      <c r="N35">
        <f t="shared" si="13"/>
        <v>2.9487558399999999E-2</v>
      </c>
      <c r="O35">
        <f t="shared" si="11"/>
        <v>6.6347006399999995E-3</v>
      </c>
      <c r="P35">
        <f t="shared" si="12"/>
        <v>3.4549287374344654E-3</v>
      </c>
      <c r="V35">
        <v>-2.9000000000000101</v>
      </c>
      <c r="W35">
        <f t="shared" si="9"/>
        <v>-0.43688999999999933</v>
      </c>
    </row>
    <row r="36" spans="1:23">
      <c r="A36" s="5">
        <v>1.90017415</v>
      </c>
      <c r="B36" s="5">
        <v>0.61555000000000004</v>
      </c>
      <c r="C36">
        <f t="shared" si="1"/>
        <v>1.1696521980325001</v>
      </c>
      <c r="D36">
        <v>1.6E-2</v>
      </c>
      <c r="E36">
        <v>3.5999999999999999E-3</v>
      </c>
      <c r="F36">
        <f t="shared" si="2"/>
        <v>380.03483</v>
      </c>
      <c r="G36">
        <f t="shared" si="3"/>
        <v>-0.61555000000000004</v>
      </c>
      <c r="H36">
        <f t="shared" si="4"/>
        <v>-233.93043960650002</v>
      </c>
      <c r="I36">
        <v>1</v>
      </c>
      <c r="J36">
        <f t="shared" si="5"/>
        <v>-0.96749237256729692</v>
      </c>
      <c r="K36">
        <f t="shared" si="6"/>
        <v>-0.60617515177521741</v>
      </c>
      <c r="L36">
        <v>1</v>
      </c>
      <c r="M36">
        <f t="shared" si="7"/>
        <v>0.56424225264781513</v>
      </c>
      <c r="N36">
        <f t="shared" si="13"/>
        <v>3.0402786399999999E-2</v>
      </c>
      <c r="O36">
        <f t="shared" si="11"/>
        <v>6.8406269399999995E-3</v>
      </c>
      <c r="P36">
        <f t="shared" si="12"/>
        <v>4.6894857874022798E-3</v>
      </c>
      <c r="V36">
        <v>-2.80000000000001</v>
      </c>
      <c r="W36">
        <f t="shared" si="9"/>
        <v>-0.44347999999999932</v>
      </c>
    </row>
    <row r="37" spans="1:23">
      <c r="A37" s="5">
        <v>1.9596638999999998</v>
      </c>
      <c r="B37" s="5">
        <v>0.61168</v>
      </c>
      <c r="C37">
        <f t="shared" si="1"/>
        <v>1.198687214352</v>
      </c>
      <c r="D37">
        <v>1.6E-2</v>
      </c>
      <c r="E37">
        <v>3.5999999999999999E-3</v>
      </c>
      <c r="F37">
        <f t="shared" si="2"/>
        <v>391.93277999999998</v>
      </c>
      <c r="G37">
        <f t="shared" si="3"/>
        <v>-0.61168</v>
      </c>
      <c r="H37">
        <f t="shared" si="4"/>
        <v>-239.7374428704</v>
      </c>
      <c r="I37">
        <v>1</v>
      </c>
      <c r="J37">
        <f t="shared" si="5"/>
        <v>-0.93666493348781754</v>
      </c>
      <c r="K37">
        <f t="shared" si="6"/>
        <v>-0.61004515177521745</v>
      </c>
      <c r="L37">
        <v>1</v>
      </c>
      <c r="M37">
        <f t="shared" si="7"/>
        <v>0.56627378088315283</v>
      </c>
      <c r="N37">
        <f t="shared" si="13"/>
        <v>3.1354622399999997E-2</v>
      </c>
      <c r="O37">
        <f t="shared" si="11"/>
        <v>7.054790039999999E-3</v>
      </c>
      <c r="P37">
        <f t="shared" si="12"/>
        <v>5.3619584520646245E-3</v>
      </c>
      <c r="V37">
        <v>-2.7000000000000099</v>
      </c>
      <c r="W37">
        <f t="shared" si="9"/>
        <v>-0.45006999999999936</v>
      </c>
    </row>
    <row r="38" spans="1:23">
      <c r="A38" s="5">
        <v>2.0180095499999999</v>
      </c>
      <c r="B38" s="5">
        <v>0.60767000000000004</v>
      </c>
      <c r="C38">
        <f t="shared" si="1"/>
        <v>1.2262838632485</v>
      </c>
      <c r="D38">
        <v>1.6E-2</v>
      </c>
      <c r="E38">
        <v>3.5999999999999999E-3</v>
      </c>
      <c r="F38">
        <f t="shared" si="2"/>
        <v>403.60190999999998</v>
      </c>
      <c r="G38">
        <f t="shared" si="3"/>
        <v>-0.60767000000000004</v>
      </c>
      <c r="H38">
        <f t="shared" si="4"/>
        <v>-245.2567726497</v>
      </c>
      <c r="I38">
        <v>1</v>
      </c>
      <c r="J38">
        <f t="shared" si="5"/>
        <v>-0.907326258105556</v>
      </c>
      <c r="K38">
        <f t="shared" si="6"/>
        <v>-0.61405515177521741</v>
      </c>
      <c r="L38">
        <v>1</v>
      </c>
      <c r="M38">
        <f t="shared" si="7"/>
        <v>0.56820719959084387</v>
      </c>
      <c r="N38">
        <f t="shared" si="13"/>
        <v>3.2288152799999997E-2</v>
      </c>
      <c r="O38">
        <f t="shared" si="11"/>
        <v>7.2648343799999997E-3</v>
      </c>
      <c r="P38">
        <f t="shared" si="12"/>
        <v>6.2949650043735445E-3</v>
      </c>
      <c r="V38">
        <v>-2.6000000000000099</v>
      </c>
      <c r="W38">
        <f t="shared" si="9"/>
        <v>-0.45665999999999934</v>
      </c>
    </row>
    <row r="39" spans="1:23">
      <c r="A39" s="5">
        <v>2.0752115</v>
      </c>
      <c r="B39" s="5">
        <v>0.60426999999999997</v>
      </c>
      <c r="C39">
        <f t="shared" si="1"/>
        <v>1.2539880531049998</v>
      </c>
      <c r="D39">
        <v>1.6E-2</v>
      </c>
      <c r="E39">
        <v>3.5999999999999999E-3</v>
      </c>
      <c r="F39">
        <f t="shared" si="2"/>
        <v>415.04230000000001</v>
      </c>
      <c r="G39">
        <f t="shared" si="3"/>
        <v>-0.60426999999999997</v>
      </c>
      <c r="H39">
        <f t="shared" si="4"/>
        <v>-250.79761062099996</v>
      </c>
      <c r="I39">
        <v>1</v>
      </c>
      <c r="J39">
        <f t="shared" si="5"/>
        <v>-0.87937483623487145</v>
      </c>
      <c r="K39">
        <f t="shared" si="6"/>
        <v>-0.61745515177521748</v>
      </c>
      <c r="L39">
        <v>1</v>
      </c>
      <c r="M39">
        <f t="shared" si="7"/>
        <v>0.57004919829212197</v>
      </c>
      <c r="N39">
        <f t="shared" si="13"/>
        <v>3.3203384000000002E-2</v>
      </c>
      <c r="O39">
        <f t="shared" si="11"/>
        <v>7.4707613999999995E-3</v>
      </c>
      <c r="P39">
        <f t="shared" si="12"/>
        <v>6.7318080830955068E-3</v>
      </c>
      <c r="V39">
        <v>-2.5000000000000102</v>
      </c>
      <c r="W39">
        <f t="shared" si="9"/>
        <v>-0.46324999999999933</v>
      </c>
    </row>
    <row r="40" spans="1:23">
      <c r="A40" s="5">
        <v>2.1318412000000002</v>
      </c>
      <c r="B40" s="5">
        <v>0.60050999999999999</v>
      </c>
      <c r="C40">
        <f t="shared" si="1"/>
        <v>1.2801919590120001</v>
      </c>
      <c r="D40">
        <v>1.6E-2</v>
      </c>
      <c r="E40">
        <v>3.5999999999999999E-3</v>
      </c>
      <c r="F40">
        <f t="shared" si="2"/>
        <v>426.36824000000001</v>
      </c>
      <c r="G40">
        <f t="shared" si="3"/>
        <v>-0.60050999999999999</v>
      </c>
      <c r="H40">
        <f t="shared" si="4"/>
        <v>-256.03839180240004</v>
      </c>
      <c r="I40">
        <v>1</v>
      </c>
      <c r="J40">
        <f t="shared" si="5"/>
        <v>-0.85245189295710988</v>
      </c>
      <c r="K40">
        <f t="shared" si="6"/>
        <v>-0.62121515177521747</v>
      </c>
      <c r="L40">
        <v>1</v>
      </c>
      <c r="M40">
        <f t="shared" si="7"/>
        <v>0.57182342025412647</v>
      </c>
      <c r="N40">
        <f t="shared" si="13"/>
        <v>3.4109459200000004E-2</v>
      </c>
      <c r="O40">
        <f t="shared" si="11"/>
        <v>7.6746283200000006E-3</v>
      </c>
      <c r="P40">
        <f t="shared" si="12"/>
        <v>7.607644001090993E-3</v>
      </c>
      <c r="V40">
        <v>-2.4000000000000101</v>
      </c>
      <c r="W40">
        <f t="shared" si="9"/>
        <v>-0.46983999999999937</v>
      </c>
    </row>
    <row r="41" spans="1:23">
      <c r="A41" s="5">
        <v>2.1884708499999999</v>
      </c>
      <c r="B41" s="5">
        <v>0.59699000000000002</v>
      </c>
      <c r="C41">
        <f t="shared" si="1"/>
        <v>1.3064952127414999</v>
      </c>
      <c r="D41">
        <v>1.6E-2</v>
      </c>
      <c r="E41">
        <v>3.5999999999999999E-3</v>
      </c>
      <c r="F41">
        <f t="shared" si="2"/>
        <v>437.69416999999999</v>
      </c>
      <c r="G41">
        <f t="shared" si="3"/>
        <v>-0.59699000000000002</v>
      </c>
      <c r="H41">
        <f t="shared" si="4"/>
        <v>-261.29904254830001</v>
      </c>
      <c r="I41">
        <v>1</v>
      </c>
      <c r="J41">
        <f t="shared" si="5"/>
        <v>-0.82623485449930856</v>
      </c>
      <c r="K41">
        <f t="shared" si="6"/>
        <v>-0.62473515177521743</v>
      </c>
      <c r="L41">
        <v>1</v>
      </c>
      <c r="M41">
        <f t="shared" si="7"/>
        <v>0.57355112308849554</v>
      </c>
      <c r="N41">
        <f t="shared" si="13"/>
        <v>3.5015533599999996E-2</v>
      </c>
      <c r="O41">
        <f t="shared" si="11"/>
        <v>7.878495059999999E-3</v>
      </c>
      <c r="P41">
        <f t="shared" si="12"/>
        <v>8.2900000267218995E-3</v>
      </c>
      <c r="V41">
        <v>-2.30000000000001</v>
      </c>
      <c r="W41">
        <f t="shared" si="9"/>
        <v>-0.47642999999999935</v>
      </c>
    </row>
    <row r="42" spans="1:23">
      <c r="A42" s="5">
        <v>2.2462445999999998</v>
      </c>
      <c r="B42" s="5">
        <v>0.59294999999999998</v>
      </c>
      <c r="C42">
        <f t="shared" si="1"/>
        <v>1.3319107355699999</v>
      </c>
      <c r="D42">
        <v>1.6E-2</v>
      </c>
      <c r="E42">
        <v>3.5999999999999999E-3</v>
      </c>
      <c r="F42">
        <f t="shared" si="2"/>
        <v>449.24891999999994</v>
      </c>
      <c r="G42">
        <f t="shared" si="3"/>
        <v>-0.59294999999999998</v>
      </c>
      <c r="H42">
        <f t="shared" si="4"/>
        <v>-266.38214711399996</v>
      </c>
      <c r="I42">
        <v>1</v>
      </c>
      <c r="J42">
        <f t="shared" si="5"/>
        <v>-0.80017815732803621</v>
      </c>
      <c r="K42">
        <f t="shared" si="6"/>
        <v>-0.62877515177521748</v>
      </c>
      <c r="L42">
        <v>1</v>
      </c>
      <c r="M42">
        <f t="shared" si="7"/>
        <v>0.57526825943208237</v>
      </c>
      <c r="N42">
        <f t="shared" si="13"/>
        <v>3.5939913599999998E-2</v>
      </c>
      <c r="O42">
        <f t="shared" si="11"/>
        <v>8.0864805599999996E-3</v>
      </c>
      <c r="P42">
        <f t="shared" si="12"/>
        <v>9.4804981831351064E-3</v>
      </c>
      <c r="V42">
        <v>-2.2000000000000099</v>
      </c>
      <c r="W42">
        <f t="shared" si="9"/>
        <v>-0.48301999999999934</v>
      </c>
    </row>
    <row r="43" spans="1:23">
      <c r="A43" s="5">
        <v>2.3057345000000002</v>
      </c>
      <c r="B43" s="5">
        <v>0.58960999999999997</v>
      </c>
      <c r="C43">
        <f t="shared" si="1"/>
        <v>1.3594841185450002</v>
      </c>
      <c r="D43">
        <v>1.6E-2</v>
      </c>
      <c r="E43">
        <v>3.5999999999999999E-3</v>
      </c>
      <c r="F43">
        <f t="shared" si="2"/>
        <v>461.14690000000007</v>
      </c>
      <c r="G43">
        <f t="shared" si="3"/>
        <v>-0.58960999999999997</v>
      </c>
      <c r="H43">
        <f t="shared" si="4"/>
        <v>-271.89682370900005</v>
      </c>
      <c r="I43">
        <v>1</v>
      </c>
      <c r="J43">
        <f t="shared" si="5"/>
        <v>-0.7740386316476271</v>
      </c>
      <c r="K43">
        <f t="shared" si="6"/>
        <v>-0.63211515177521749</v>
      </c>
      <c r="L43">
        <v>1</v>
      </c>
      <c r="M43">
        <f t="shared" si="7"/>
        <v>0.57699085417442142</v>
      </c>
      <c r="N43">
        <f t="shared" si="13"/>
        <v>3.6891752000000007E-2</v>
      </c>
      <c r="O43">
        <f t="shared" si="11"/>
        <v>8.3006442000000003E-3</v>
      </c>
      <c r="P43">
        <f t="shared" si="12"/>
        <v>9.9319014007960612E-3</v>
      </c>
      <c r="V43">
        <v>-2.1000000000000099</v>
      </c>
      <c r="W43">
        <f t="shared" si="9"/>
        <v>-0.48960999999999932</v>
      </c>
    </row>
    <row r="44" spans="1:23">
      <c r="A44" s="5">
        <v>2.3675125000000001</v>
      </c>
      <c r="B44" s="5">
        <v>0.58594000000000002</v>
      </c>
      <c r="C44">
        <f t="shared" si="1"/>
        <v>1.3872202742500002</v>
      </c>
      <c r="D44">
        <v>1.6E-2</v>
      </c>
      <c r="E44">
        <v>3.5999999999999999E-3</v>
      </c>
      <c r="F44">
        <f t="shared" si="2"/>
        <v>473.50250000000005</v>
      </c>
      <c r="G44">
        <f t="shared" si="3"/>
        <v>-0.58594000000000002</v>
      </c>
      <c r="H44">
        <f t="shared" si="4"/>
        <v>-277.44405485000004</v>
      </c>
      <c r="I44">
        <v>1</v>
      </c>
      <c r="J44">
        <f t="shared" si="5"/>
        <v>-0.74759808653889692</v>
      </c>
      <c r="K44">
        <f t="shared" si="6"/>
        <v>-0.63578515177521744</v>
      </c>
      <c r="L44">
        <v>1</v>
      </c>
      <c r="M44">
        <f t="shared" si="7"/>
        <v>0.57873328609708674</v>
      </c>
      <c r="N44">
        <f t="shared" si="13"/>
        <v>3.7880200000000003E-2</v>
      </c>
      <c r="O44">
        <f t="shared" si="11"/>
        <v>8.5230449999999999E-3</v>
      </c>
      <c r="P44">
        <f t="shared" si="12"/>
        <v>1.0648620678130695E-2</v>
      </c>
      <c r="V44">
        <v>-2.0000000000000102</v>
      </c>
      <c r="W44">
        <f t="shared" si="9"/>
        <v>-0.49619999999999931</v>
      </c>
    </row>
    <row r="45" spans="1:23">
      <c r="A45" s="5">
        <v>2.4241423000000002</v>
      </c>
      <c r="B45" s="5">
        <v>0.58204</v>
      </c>
      <c r="C45">
        <f t="shared" si="1"/>
        <v>1.4109477842920002</v>
      </c>
      <c r="D45">
        <v>1.6E-2</v>
      </c>
      <c r="E45">
        <v>3.5999999999999999E-3</v>
      </c>
      <c r="F45">
        <f t="shared" si="2"/>
        <v>484.82846000000006</v>
      </c>
      <c r="G45">
        <f t="shared" si="3"/>
        <v>-0.58204</v>
      </c>
      <c r="H45">
        <f t="shared" si="4"/>
        <v>-282.18955685840001</v>
      </c>
      <c r="I45">
        <v>1</v>
      </c>
      <c r="J45">
        <f t="shared" si="5"/>
        <v>-0.72396014132961894</v>
      </c>
      <c r="K45">
        <f t="shared" si="6"/>
        <v>-0.63968515177521745</v>
      </c>
      <c r="L45">
        <v>1</v>
      </c>
      <c r="M45">
        <f t="shared" si="7"/>
        <v>0.58029102668637811</v>
      </c>
      <c r="N45">
        <f t="shared" si="13"/>
        <v>3.8786276800000005E-2</v>
      </c>
      <c r="O45">
        <f t="shared" si="11"/>
        <v>8.7269122800000005E-3</v>
      </c>
      <c r="P45">
        <f t="shared" si="12"/>
        <v>1.1880936008839339E-2</v>
      </c>
      <c r="V45">
        <v>-1.9000000000000099</v>
      </c>
      <c r="W45">
        <f t="shared" si="9"/>
        <v>-0.5027899999999994</v>
      </c>
    </row>
    <row r="46" spans="1:23">
      <c r="A46" s="5">
        <v>2.4813439000000002</v>
      </c>
      <c r="B46" s="5">
        <v>0.57865</v>
      </c>
      <c r="C46">
        <f t="shared" si="1"/>
        <v>1.4358296477350001</v>
      </c>
      <c r="D46">
        <v>1.6E-2</v>
      </c>
      <c r="E46">
        <v>3.5999999999999999E-3</v>
      </c>
      <c r="F46">
        <f t="shared" si="2"/>
        <v>496.26878000000005</v>
      </c>
      <c r="G46">
        <f t="shared" si="3"/>
        <v>-0.57865</v>
      </c>
      <c r="H46">
        <f t="shared" si="4"/>
        <v>-287.16592954700002</v>
      </c>
      <c r="I46">
        <v>1</v>
      </c>
      <c r="J46">
        <f t="shared" si="5"/>
        <v>-0.70063760386808094</v>
      </c>
      <c r="K46">
        <f t="shared" si="6"/>
        <v>-0.64307515177521746</v>
      </c>
      <c r="L46">
        <v>1</v>
      </c>
      <c r="M46">
        <f t="shared" si="7"/>
        <v>0.58182798190509344</v>
      </c>
      <c r="N46">
        <f t="shared" si="13"/>
        <v>3.9701502400000005E-2</v>
      </c>
      <c r="O46">
        <f t="shared" si="11"/>
        <v>8.9328380400000001E-3</v>
      </c>
      <c r="P46">
        <f t="shared" si="12"/>
        <v>1.2612829430124014E-2</v>
      </c>
      <c r="V46">
        <v>-1.80000000000001</v>
      </c>
      <c r="W46">
        <f t="shared" si="9"/>
        <v>-0.50937999999999939</v>
      </c>
    </row>
    <row r="47" spans="1:23">
      <c r="A47" s="5">
        <v>2.5385458000000001</v>
      </c>
      <c r="B47" s="5">
        <v>0.57532000000000005</v>
      </c>
      <c r="C47">
        <f t="shared" si="1"/>
        <v>1.4604761696560002</v>
      </c>
      <c r="D47">
        <v>1.6E-2</v>
      </c>
      <c r="E47">
        <v>3.5999999999999999E-3</v>
      </c>
      <c r="F47">
        <f t="shared" si="2"/>
        <v>507.70916</v>
      </c>
      <c r="G47">
        <f t="shared" si="3"/>
        <v>-0.57532000000000005</v>
      </c>
      <c r="H47">
        <f t="shared" si="4"/>
        <v>-292.09523393120003</v>
      </c>
      <c r="I47">
        <v>1</v>
      </c>
      <c r="J47">
        <f t="shared" si="5"/>
        <v>-0.67784651504066962</v>
      </c>
      <c r="K47">
        <f t="shared" si="6"/>
        <v>-0.6464051517752174</v>
      </c>
      <c r="L47">
        <v>1</v>
      </c>
      <c r="M47">
        <f t="shared" si="7"/>
        <v>0.58332991465881989</v>
      </c>
      <c r="N47">
        <f t="shared" si="13"/>
        <v>4.0616732799999999E-2</v>
      </c>
      <c r="O47">
        <f t="shared" si="11"/>
        <v>9.1387648800000006E-3</v>
      </c>
      <c r="P47">
        <f t="shared" si="12"/>
        <v>1.3319739436397509E-2</v>
      </c>
      <c r="V47">
        <v>-1.7000000000000199</v>
      </c>
      <c r="W47">
        <f t="shared" si="9"/>
        <v>-0.51596999999999871</v>
      </c>
    </row>
    <row r="48" spans="1:23">
      <c r="A48" s="5">
        <v>2.59917965</v>
      </c>
      <c r="B48" s="5">
        <v>0.57172000000000001</v>
      </c>
      <c r="C48">
        <f t="shared" si="1"/>
        <v>1.486002989498</v>
      </c>
      <c r="D48">
        <v>1.6E-2</v>
      </c>
      <c r="E48">
        <v>3.5999999999999999E-3</v>
      </c>
      <c r="F48">
        <f t="shared" si="2"/>
        <v>519.83592999999996</v>
      </c>
      <c r="G48">
        <f t="shared" si="3"/>
        <v>-0.57172000000000001</v>
      </c>
      <c r="H48">
        <f t="shared" si="4"/>
        <v>-297.20059789959998</v>
      </c>
      <c r="I48">
        <v>1</v>
      </c>
      <c r="J48">
        <f t="shared" si="5"/>
        <v>-0.65424203642409851</v>
      </c>
      <c r="K48">
        <f t="shared" si="6"/>
        <v>-0.65000515177521745</v>
      </c>
      <c r="L48">
        <v>1</v>
      </c>
      <c r="M48">
        <f t="shared" si="7"/>
        <v>0.58488544979965196</v>
      </c>
      <c r="N48">
        <f t="shared" si="13"/>
        <v>4.1586874400000001E-2</v>
      </c>
      <c r="O48">
        <f t="shared" si="11"/>
        <v>9.3570467399999996E-3</v>
      </c>
      <c r="P48">
        <f t="shared" si="12"/>
        <v>1.4175780835565491E-2</v>
      </c>
      <c r="V48">
        <v>-1.6000000000000201</v>
      </c>
      <c r="W48">
        <f t="shared" si="9"/>
        <v>-0.52255999999999869</v>
      </c>
    </row>
    <row r="49" spans="1:23">
      <c r="A49" s="5">
        <v>2.6598133499999999</v>
      </c>
      <c r="B49" s="5">
        <v>0.56796999999999997</v>
      </c>
      <c r="C49">
        <f t="shared" si="1"/>
        <v>1.5106941883994998</v>
      </c>
      <c r="D49">
        <v>1.6E-2</v>
      </c>
      <c r="E49">
        <v>3.5999999999999999E-3</v>
      </c>
      <c r="F49">
        <f t="shared" si="2"/>
        <v>531.96267</v>
      </c>
      <c r="G49">
        <f t="shared" si="3"/>
        <v>-0.56796999999999997</v>
      </c>
      <c r="H49">
        <f t="shared" si="4"/>
        <v>-302.13883767989995</v>
      </c>
      <c r="I49">
        <v>1</v>
      </c>
      <c r="J49">
        <f t="shared" si="5"/>
        <v>-0.63118196127539661</v>
      </c>
      <c r="K49">
        <f t="shared" si="6"/>
        <v>-0.65375515177521748</v>
      </c>
      <c r="L49">
        <v>1</v>
      </c>
      <c r="M49">
        <f t="shared" si="7"/>
        <v>0.5864051087519514</v>
      </c>
      <c r="N49">
        <f t="shared" si="13"/>
        <v>4.2557013599999999E-2</v>
      </c>
      <c r="O49">
        <f t="shared" si="11"/>
        <v>9.575328059999999E-3</v>
      </c>
      <c r="P49">
        <f t="shared" si="12"/>
        <v>1.5217701363266084E-2</v>
      </c>
      <c r="V49">
        <v>-1.50000000000002</v>
      </c>
      <c r="W49">
        <f t="shared" si="9"/>
        <v>-0.52914999999999868</v>
      </c>
    </row>
    <row r="50" spans="1:23">
      <c r="A50" s="5">
        <v>2.7164429000000001</v>
      </c>
      <c r="B50" s="5">
        <v>0.56445999999999996</v>
      </c>
      <c r="C50">
        <f t="shared" si="1"/>
        <v>1.5333233593339999</v>
      </c>
      <c r="D50">
        <v>1.6E-2</v>
      </c>
      <c r="E50">
        <v>3.5999999999999999E-3</v>
      </c>
      <c r="F50">
        <f t="shared" si="2"/>
        <v>543.28858000000002</v>
      </c>
      <c r="G50">
        <f t="shared" si="3"/>
        <v>-0.56445999999999996</v>
      </c>
      <c r="H50">
        <f t="shared" si="4"/>
        <v>-306.66467186679995</v>
      </c>
      <c r="I50">
        <v>1</v>
      </c>
      <c r="J50">
        <f t="shared" si="5"/>
        <v>-0.61011464534003623</v>
      </c>
      <c r="K50">
        <f t="shared" si="6"/>
        <v>-0.65726515177521749</v>
      </c>
      <c r="L50">
        <v>1</v>
      </c>
      <c r="M50">
        <f t="shared" si="7"/>
        <v>0.58779344487209162</v>
      </c>
      <c r="N50">
        <f t="shared" si="13"/>
        <v>4.3463086400000003E-2</v>
      </c>
      <c r="O50">
        <f t="shared" si="11"/>
        <v>9.7791944399999997E-3</v>
      </c>
      <c r="P50">
        <f t="shared" si="12"/>
        <v>1.6229426063125871E-2</v>
      </c>
      <c r="V50">
        <v>-1.4000000000000199</v>
      </c>
      <c r="W50">
        <f t="shared" si="9"/>
        <v>-0.53573999999999866</v>
      </c>
    </row>
    <row r="51" spans="1:23">
      <c r="A51" s="5">
        <v>2.7742169000000003</v>
      </c>
      <c r="B51" s="5">
        <v>0.56111999999999995</v>
      </c>
      <c r="C51">
        <f t="shared" si="1"/>
        <v>1.5566685869280001</v>
      </c>
      <c r="D51">
        <v>1.6E-2</v>
      </c>
      <c r="E51">
        <v>3.5999999999999999E-3</v>
      </c>
      <c r="F51">
        <f t="shared" si="2"/>
        <v>554.84338000000002</v>
      </c>
      <c r="G51">
        <f t="shared" si="3"/>
        <v>-0.56111999999999995</v>
      </c>
      <c r="H51">
        <f t="shared" si="4"/>
        <v>-311.33371738560004</v>
      </c>
      <c r="I51">
        <v>1</v>
      </c>
      <c r="J51">
        <f t="shared" si="5"/>
        <v>-0.5890694032593049</v>
      </c>
      <c r="K51">
        <f t="shared" si="6"/>
        <v>-0.6606051517752175</v>
      </c>
      <c r="L51">
        <v>1</v>
      </c>
      <c r="M51">
        <f t="shared" si="7"/>
        <v>0.58918032632521178</v>
      </c>
      <c r="N51">
        <f t="shared" si="13"/>
        <v>4.4387470400000004E-2</v>
      </c>
      <c r="O51">
        <f t="shared" si="11"/>
        <v>9.9871808400000001E-3</v>
      </c>
      <c r="P51">
        <f t="shared" si="12"/>
        <v>1.7050174210005722E-2</v>
      </c>
      <c r="V51">
        <v>-1.30000000000002</v>
      </c>
      <c r="W51">
        <f t="shared" si="9"/>
        <v>-0.54232999999999865</v>
      </c>
    </row>
    <row r="52" spans="1:23">
      <c r="A52" s="5">
        <v>2.8308467000000004</v>
      </c>
      <c r="B52" s="5">
        <v>0.55774000000000001</v>
      </c>
      <c r="C52">
        <f t="shared" si="1"/>
        <v>1.5788764384580003</v>
      </c>
      <c r="D52">
        <v>1.6E-2</v>
      </c>
      <c r="E52">
        <v>3.5999999999999999E-3</v>
      </c>
      <c r="F52">
        <f t="shared" si="2"/>
        <v>566.16934000000003</v>
      </c>
      <c r="G52">
        <f t="shared" si="3"/>
        <v>-0.55774000000000001</v>
      </c>
      <c r="H52">
        <f t="shared" si="4"/>
        <v>-315.77528769160006</v>
      </c>
      <c r="I52">
        <v>1</v>
      </c>
      <c r="J52">
        <f t="shared" si="5"/>
        <v>-0.568862058247391</v>
      </c>
      <c r="K52">
        <f t="shared" si="6"/>
        <v>-0.66398515177521744</v>
      </c>
      <c r="L52">
        <v>1</v>
      </c>
      <c r="M52">
        <f t="shared" si="7"/>
        <v>0.59051199036149693</v>
      </c>
      <c r="N52">
        <f t="shared" si="13"/>
        <v>4.5293547200000006E-2</v>
      </c>
      <c r="O52">
        <f t="shared" si="11"/>
        <v>1.0191048120000001E-2</v>
      </c>
      <c r="P52">
        <f t="shared" si="12"/>
        <v>1.7988566093720505E-2</v>
      </c>
      <c r="V52">
        <v>-1.2000000000000199</v>
      </c>
      <c r="W52">
        <f t="shared" si="9"/>
        <v>-0.54891999999999874</v>
      </c>
    </row>
    <row r="53" spans="1:23">
      <c r="A53" s="5">
        <v>2.8909086999999998</v>
      </c>
      <c r="B53" s="5">
        <v>0.55425999999999997</v>
      </c>
      <c r="C53">
        <f t="shared" si="1"/>
        <v>1.6023150560619999</v>
      </c>
      <c r="D53">
        <v>1.6E-2</v>
      </c>
      <c r="E53">
        <v>3.5999999999999999E-3</v>
      </c>
      <c r="F53">
        <f t="shared" si="2"/>
        <v>578.18173999999999</v>
      </c>
      <c r="G53">
        <f t="shared" si="3"/>
        <v>-0.55425999999999997</v>
      </c>
      <c r="H53">
        <f t="shared" si="4"/>
        <v>-320.46301121239998</v>
      </c>
      <c r="I53">
        <v>1</v>
      </c>
      <c r="J53">
        <f t="shared" si="5"/>
        <v>-0.54786703066647469</v>
      </c>
      <c r="K53">
        <f t="shared" si="6"/>
        <v>-0.66746515177521748</v>
      </c>
      <c r="L53">
        <v>1</v>
      </c>
      <c r="M53">
        <f t="shared" si="7"/>
        <v>0.59189556267907928</v>
      </c>
      <c r="N53">
        <f t="shared" si="13"/>
        <v>4.62545392E-2</v>
      </c>
      <c r="O53">
        <f t="shared" si="11"/>
        <v>1.040727132E-2</v>
      </c>
      <c r="P53">
        <f t="shared" si="12"/>
        <v>1.89077785761382E-2</v>
      </c>
      <c r="V53">
        <v>-1.1000000000000201</v>
      </c>
      <c r="W53">
        <f t="shared" si="9"/>
        <v>-0.55550999999999873</v>
      </c>
    </row>
    <row r="54" spans="1:23">
      <c r="A54" s="5">
        <v>2.9481103000000002</v>
      </c>
      <c r="B54" s="5">
        <v>0.55079</v>
      </c>
      <c r="C54">
        <f t="shared" si="1"/>
        <v>1.6237896721370002</v>
      </c>
      <c r="D54">
        <v>1.6E-2</v>
      </c>
      <c r="E54">
        <v>3.5999999999999999E-3</v>
      </c>
      <c r="F54">
        <f t="shared" si="2"/>
        <v>589.62206000000003</v>
      </c>
      <c r="G54">
        <f t="shared" si="3"/>
        <v>-0.55079</v>
      </c>
      <c r="H54">
        <f t="shared" si="4"/>
        <v>-324.75793442740002</v>
      </c>
      <c r="I54">
        <v>1</v>
      </c>
      <c r="J54">
        <f t="shared" si="5"/>
        <v>-0.52827352361019753</v>
      </c>
      <c r="K54">
        <f t="shared" si="6"/>
        <v>-0.67093515177521745</v>
      </c>
      <c r="L54">
        <v>1</v>
      </c>
      <c r="M54">
        <f t="shared" si="7"/>
        <v>0.59318677479408799</v>
      </c>
      <c r="N54">
        <f t="shared" si="13"/>
        <v>4.7169764800000007E-2</v>
      </c>
      <c r="O54">
        <f t="shared" si="11"/>
        <v>1.0613197080000001E-2</v>
      </c>
      <c r="P54">
        <f t="shared" si="12"/>
        <v>1.9965415101129456E-2</v>
      </c>
      <c r="V54">
        <v>-1.00000000000002</v>
      </c>
      <c r="W54">
        <f t="shared" si="9"/>
        <v>-0.56209999999999871</v>
      </c>
    </row>
    <row r="55" spans="1:23">
      <c r="A55" s="5">
        <v>3.00531215</v>
      </c>
      <c r="B55" s="5">
        <v>0.54752000000000001</v>
      </c>
      <c r="C55">
        <f t="shared" si="1"/>
        <v>1.6454685083680001</v>
      </c>
      <c r="D55">
        <v>1.6E-2</v>
      </c>
      <c r="E55">
        <v>3.5999999999999999E-3</v>
      </c>
      <c r="F55">
        <f t="shared" si="2"/>
        <v>601.06242999999995</v>
      </c>
      <c r="G55">
        <f t="shared" si="3"/>
        <v>-0.54752000000000001</v>
      </c>
      <c r="H55">
        <f t="shared" si="4"/>
        <v>-329.09370167360004</v>
      </c>
      <c r="I55">
        <v>1</v>
      </c>
      <c r="J55">
        <f t="shared" si="5"/>
        <v>-0.5090564729698781</v>
      </c>
      <c r="K55">
        <f t="shared" si="6"/>
        <v>-0.67420515177521745</v>
      </c>
      <c r="L55">
        <v>1</v>
      </c>
      <c r="M55">
        <f t="shared" si="7"/>
        <v>0.59445317843128498</v>
      </c>
      <c r="N55">
        <f t="shared" si="13"/>
        <v>4.8084994399999997E-2</v>
      </c>
      <c r="O55">
        <f t="shared" si="11"/>
        <v>1.0819123739999999E-2</v>
      </c>
      <c r="P55">
        <f t="shared" si="12"/>
        <v>2.0847855203932474E-2</v>
      </c>
      <c r="V55">
        <v>-0.90000000000002001</v>
      </c>
      <c r="W55">
        <f t="shared" si="9"/>
        <v>-0.5686899999999987</v>
      </c>
    </row>
    <row r="56" spans="1:23">
      <c r="A56" s="5">
        <v>3.0659459500000001</v>
      </c>
      <c r="B56" s="5">
        <v>0.54430000000000001</v>
      </c>
      <c r="C56">
        <f t="shared" si="1"/>
        <v>1.6687943805850001</v>
      </c>
      <c r="D56">
        <v>1.6E-2</v>
      </c>
      <c r="E56">
        <v>3.5999999999999999E-3</v>
      </c>
      <c r="F56">
        <f t="shared" si="2"/>
        <v>613.18919000000005</v>
      </c>
      <c r="G56">
        <f t="shared" si="3"/>
        <v>-0.54430000000000001</v>
      </c>
      <c r="H56">
        <f t="shared" si="4"/>
        <v>-333.758876117</v>
      </c>
      <c r="I56">
        <v>1</v>
      </c>
      <c r="J56">
        <f t="shared" si="5"/>
        <v>-0.48908176097222245</v>
      </c>
      <c r="K56">
        <f t="shared" si="6"/>
        <v>-0.67742515177521745</v>
      </c>
      <c r="L56">
        <v>1</v>
      </c>
      <c r="M56">
        <f t="shared" si="7"/>
        <v>0.59576951195193051</v>
      </c>
      <c r="N56">
        <f t="shared" si="13"/>
        <v>4.9055135200000002E-2</v>
      </c>
      <c r="O56">
        <f t="shared" si="11"/>
        <v>1.103740542E-2</v>
      </c>
      <c r="P56">
        <f t="shared" si="12"/>
        <v>2.1563099203286938E-2</v>
      </c>
      <c r="V56">
        <v>-0.80000000000002003</v>
      </c>
      <c r="W56">
        <f t="shared" si="9"/>
        <v>-0.57527999999999868</v>
      </c>
    </row>
    <row r="57" spans="1:23">
      <c r="A57" s="5">
        <v>3.1271516000000004</v>
      </c>
      <c r="B57" s="5">
        <v>0.54069</v>
      </c>
      <c r="C57">
        <f t="shared" si="1"/>
        <v>1.6908195986040002</v>
      </c>
      <c r="D57">
        <v>1.6E-2</v>
      </c>
      <c r="E57">
        <v>3.5999999999999999E-3</v>
      </c>
      <c r="F57">
        <f t="shared" si="2"/>
        <v>625.43032000000005</v>
      </c>
      <c r="G57">
        <f t="shared" si="3"/>
        <v>-0.54069</v>
      </c>
      <c r="H57">
        <f t="shared" si="4"/>
        <v>-338.16391972080004</v>
      </c>
      <c r="I57">
        <v>1</v>
      </c>
      <c r="J57">
        <f t="shared" si="5"/>
        <v>-0.46931535416138254</v>
      </c>
      <c r="K57">
        <f t="shared" si="6"/>
        <v>-0.68103515177521745</v>
      </c>
      <c r="L57">
        <v>1</v>
      </c>
      <c r="M57">
        <f t="shared" si="7"/>
        <v>0.59707211816076489</v>
      </c>
      <c r="N57">
        <f t="shared" si="13"/>
        <v>5.0034425600000008E-2</v>
      </c>
      <c r="O57">
        <f t="shared" si="11"/>
        <v>1.1257745760000002E-2</v>
      </c>
      <c r="P57">
        <f t="shared" si="12"/>
        <v>2.2670862254452556E-2</v>
      </c>
      <c r="V57">
        <v>-0.70000000000002005</v>
      </c>
      <c r="W57">
        <f t="shared" si="9"/>
        <v>-0.58186999999999867</v>
      </c>
    </row>
    <row r="58" spans="1:23">
      <c r="A58" s="5">
        <v>3.1837813999999995</v>
      </c>
      <c r="B58" s="5">
        <v>0.53734999999999999</v>
      </c>
      <c r="C58">
        <f t="shared" si="1"/>
        <v>1.7108049352899997</v>
      </c>
      <c r="D58">
        <v>1.6E-2</v>
      </c>
      <c r="E58">
        <v>3.5999999999999999E-3</v>
      </c>
      <c r="F58">
        <f t="shared" si="2"/>
        <v>636.75627999999995</v>
      </c>
      <c r="G58">
        <f t="shared" si="3"/>
        <v>-0.53734999999999999</v>
      </c>
      <c r="H58">
        <f t="shared" si="4"/>
        <v>-342.16098705799993</v>
      </c>
      <c r="I58">
        <v>1</v>
      </c>
      <c r="J58">
        <f t="shared" si="5"/>
        <v>-0.45136830258777422</v>
      </c>
      <c r="K58">
        <f t="shared" si="6"/>
        <v>-0.68437515177521746</v>
      </c>
      <c r="L58">
        <v>1</v>
      </c>
      <c r="M58">
        <f t="shared" si="7"/>
        <v>0.59825482885946568</v>
      </c>
      <c r="N58">
        <f t="shared" si="13"/>
        <v>5.0940502399999997E-2</v>
      </c>
      <c r="O58">
        <f t="shared" si="11"/>
        <v>1.1461613039999999E-2</v>
      </c>
      <c r="P58">
        <f t="shared" si="12"/>
        <v>2.3718207475751783E-2</v>
      </c>
      <c r="V58">
        <v>-0.60000000000001996</v>
      </c>
      <c r="W58">
        <f t="shared" si="9"/>
        <v>-0.58845999999999865</v>
      </c>
    </row>
    <row r="59" spans="1:23">
      <c r="A59" s="5">
        <v>3.2409832999999999</v>
      </c>
      <c r="B59" s="5">
        <v>0.53413999999999995</v>
      </c>
      <c r="C59">
        <f t="shared" si="1"/>
        <v>1.7311388198619997</v>
      </c>
      <c r="D59">
        <v>1.6E-2</v>
      </c>
      <c r="E59">
        <v>3.5999999999999999E-3</v>
      </c>
      <c r="F59">
        <f t="shared" si="2"/>
        <v>648.19665999999995</v>
      </c>
      <c r="G59">
        <f t="shared" si="3"/>
        <v>-0.53413999999999995</v>
      </c>
      <c r="H59">
        <f t="shared" si="4"/>
        <v>-346.22776397239994</v>
      </c>
      <c r="I59">
        <v>1</v>
      </c>
      <c r="J59">
        <f t="shared" si="5"/>
        <v>-0.43356114101860416</v>
      </c>
      <c r="K59">
        <f t="shared" si="6"/>
        <v>-0.68758515177521751</v>
      </c>
      <c r="L59">
        <v>1</v>
      </c>
      <c r="M59">
        <f t="shared" si="7"/>
        <v>0.59942832080687403</v>
      </c>
      <c r="N59">
        <f t="shared" si="13"/>
        <v>5.1855732799999998E-2</v>
      </c>
      <c r="O59">
        <f t="shared" si="11"/>
        <v>1.1667539879999999E-2</v>
      </c>
      <c r="P59">
        <f t="shared" si="12"/>
        <v>2.4633558288343481E-2</v>
      </c>
      <c r="V59">
        <v>-0.50000000000001998</v>
      </c>
      <c r="W59">
        <f t="shared" si="9"/>
        <v>-0.59504999999999864</v>
      </c>
    </row>
    <row r="60" spans="1:23">
      <c r="A60" s="5">
        <v>3.2993288999999999</v>
      </c>
      <c r="B60" s="5">
        <v>0.53081999999999996</v>
      </c>
      <c r="C60">
        <f t="shared" si="1"/>
        <v>1.7513497666979998</v>
      </c>
      <c r="D60">
        <v>1.6E-2</v>
      </c>
      <c r="E60">
        <v>3.5999999999999999E-3</v>
      </c>
      <c r="F60">
        <f t="shared" si="2"/>
        <v>659.86577999999997</v>
      </c>
      <c r="G60">
        <f t="shared" si="3"/>
        <v>-0.53081999999999996</v>
      </c>
      <c r="H60">
        <f t="shared" si="4"/>
        <v>-350.26995333959997</v>
      </c>
      <c r="I60">
        <v>1</v>
      </c>
      <c r="J60">
        <f t="shared" si="5"/>
        <v>-0.41571882827921774</v>
      </c>
      <c r="K60">
        <f t="shared" si="6"/>
        <v>-0.6909051517752175</v>
      </c>
      <c r="L60">
        <v>1</v>
      </c>
      <c r="M60">
        <f t="shared" si="7"/>
        <v>0.6006041292163995</v>
      </c>
      <c r="N60">
        <f t="shared" si="13"/>
        <v>5.2789262400000002E-2</v>
      </c>
      <c r="O60">
        <f t="shared" si="11"/>
        <v>1.187758404E-2</v>
      </c>
      <c r="P60">
        <f t="shared" si="12"/>
        <v>2.5634176118817999E-2</v>
      </c>
      <c r="V60">
        <v>-0.40000000000002001</v>
      </c>
      <c r="W60">
        <f t="shared" si="9"/>
        <v>-0.60163999999999873</v>
      </c>
    </row>
    <row r="61" spans="1:23">
      <c r="A61" s="5">
        <v>3.3559587</v>
      </c>
      <c r="B61" s="5">
        <v>0.52783999999999998</v>
      </c>
      <c r="C61">
        <f t="shared" si="1"/>
        <v>1.7714092402079999</v>
      </c>
      <c r="D61">
        <v>1.6E-2</v>
      </c>
      <c r="E61">
        <v>3.5999999999999999E-3</v>
      </c>
      <c r="F61">
        <f t="shared" si="2"/>
        <v>671.19173999999998</v>
      </c>
      <c r="G61">
        <f t="shared" si="3"/>
        <v>-0.52783999999999998</v>
      </c>
      <c r="H61">
        <f t="shared" si="4"/>
        <v>-354.28184804159997</v>
      </c>
      <c r="I61">
        <v>1</v>
      </c>
      <c r="J61">
        <f t="shared" si="5"/>
        <v>-0.39870043022190804</v>
      </c>
      <c r="K61">
        <f t="shared" si="6"/>
        <v>-0.69388515177521748</v>
      </c>
      <c r="L61">
        <v>1</v>
      </c>
      <c r="M61">
        <f t="shared" si="7"/>
        <v>0.60172564164837627</v>
      </c>
      <c r="N61">
        <f t="shared" si="13"/>
        <v>5.3695339199999997E-2</v>
      </c>
      <c r="O61">
        <f t="shared" si="11"/>
        <v>1.2081451319999999E-2</v>
      </c>
      <c r="P61">
        <f t="shared" si="12"/>
        <v>2.6382719606841208E-2</v>
      </c>
      <c r="V61">
        <v>-0.30000000000001997</v>
      </c>
      <c r="W61">
        <f t="shared" si="9"/>
        <v>-0.60822999999999872</v>
      </c>
    </row>
    <row r="62" spans="1:23">
      <c r="A62" s="5">
        <v>3.4137324499999999</v>
      </c>
      <c r="B62" s="5">
        <v>0.52471000000000001</v>
      </c>
      <c r="C62">
        <f t="shared" si="1"/>
        <v>1.7912195538394999</v>
      </c>
      <c r="D62">
        <v>1.6E-2</v>
      </c>
      <c r="E62">
        <v>3.5999999999999999E-3</v>
      </c>
      <c r="F62">
        <f t="shared" si="2"/>
        <v>682.74648999999999</v>
      </c>
      <c r="G62">
        <f t="shared" si="3"/>
        <v>-0.52471000000000001</v>
      </c>
      <c r="H62">
        <f t="shared" si="4"/>
        <v>-358.24391076789999</v>
      </c>
      <c r="I62">
        <v>1</v>
      </c>
      <c r="J62">
        <f t="shared" si="5"/>
        <v>-0.38163165961553974</v>
      </c>
      <c r="K62">
        <f t="shared" si="6"/>
        <v>-0.69701515177521745</v>
      </c>
      <c r="L62">
        <v>1</v>
      </c>
      <c r="M62">
        <f t="shared" si="7"/>
        <v>0.60285047363133593</v>
      </c>
      <c r="N62">
        <f t="shared" si="13"/>
        <v>5.46197192E-2</v>
      </c>
      <c r="O62">
        <f t="shared" si="11"/>
        <v>1.2289436819999999E-2</v>
      </c>
      <c r="P62">
        <f t="shared" si="12"/>
        <v>2.725552212388152E-2</v>
      </c>
      <c r="V62">
        <v>-0.20000000000002</v>
      </c>
      <c r="W62">
        <f t="shared" si="9"/>
        <v>-0.6148199999999987</v>
      </c>
    </row>
    <row r="63" spans="1:23">
      <c r="A63" s="5">
        <v>3.4715061999999999</v>
      </c>
      <c r="B63" s="5">
        <v>0.52144000000000001</v>
      </c>
      <c r="C63">
        <f t="shared" si="1"/>
        <v>1.810182192928</v>
      </c>
      <c r="D63">
        <v>1.6E-2</v>
      </c>
      <c r="E63">
        <v>3.5999999999999999E-3</v>
      </c>
      <c r="F63">
        <f t="shared" si="2"/>
        <v>694.30124000000001</v>
      </c>
      <c r="G63">
        <f t="shared" si="3"/>
        <v>-0.52144000000000001</v>
      </c>
      <c r="H63">
        <f t="shared" si="4"/>
        <v>-362.03643858559997</v>
      </c>
      <c r="I63">
        <v>1</v>
      </c>
      <c r="J63">
        <f t="shared" si="5"/>
        <v>-0.36484934925302209</v>
      </c>
      <c r="K63">
        <f t="shared" si="6"/>
        <v>-0.70028515177521744</v>
      </c>
      <c r="L63">
        <v>1</v>
      </c>
      <c r="M63">
        <f t="shared" si="7"/>
        <v>0.60395642788422588</v>
      </c>
      <c r="N63">
        <f t="shared" si="13"/>
        <v>5.5544099200000002E-2</v>
      </c>
      <c r="O63">
        <f t="shared" si="11"/>
        <v>1.249742232E-2</v>
      </c>
      <c r="P63">
        <f t="shared" si="12"/>
        <v>2.8287202370991561E-2</v>
      </c>
      <c r="V63">
        <v>-0.10000000000002</v>
      </c>
      <c r="W63">
        <f t="shared" si="9"/>
        <v>-0.62140999999999869</v>
      </c>
    </row>
    <row r="64" spans="1:23">
      <c r="A64" s="5">
        <v>3.528708</v>
      </c>
      <c r="B64" s="5">
        <v>0.51817999999999997</v>
      </c>
      <c r="C64">
        <f t="shared" si="1"/>
        <v>1.82850591144</v>
      </c>
      <c r="D64">
        <v>1.6E-2</v>
      </c>
      <c r="E64">
        <v>3.5999999999999999E-3</v>
      </c>
      <c r="F64">
        <f t="shared" si="2"/>
        <v>705.74159999999995</v>
      </c>
      <c r="G64">
        <f t="shared" si="3"/>
        <v>-0.51817999999999997</v>
      </c>
      <c r="H64">
        <f t="shared" si="4"/>
        <v>-365.70118228799998</v>
      </c>
      <c r="I64">
        <v>1</v>
      </c>
      <c r="J64">
        <f t="shared" si="5"/>
        <v>-0.34850611415103894</v>
      </c>
      <c r="K64">
        <f t="shared" si="6"/>
        <v>-0.70354515177521748</v>
      </c>
      <c r="L64">
        <v>1</v>
      </c>
      <c r="M64">
        <f t="shared" si="7"/>
        <v>0.60503344707744655</v>
      </c>
      <c r="N64">
        <f t="shared" si="13"/>
        <v>5.6459328000000003E-2</v>
      </c>
      <c r="O64">
        <f t="shared" si="11"/>
        <v>1.27033488E-2</v>
      </c>
      <c r="P64">
        <f t="shared" si="12"/>
        <v>2.9349027897770927E-2</v>
      </c>
      <c r="V64">
        <v>-2.0428103653102899E-14</v>
      </c>
      <c r="W64">
        <f t="shared" si="9"/>
        <v>-0.62799999999999867</v>
      </c>
    </row>
    <row r="65" spans="1:23">
      <c r="A65" s="5">
        <v>3.5864815499999998</v>
      </c>
      <c r="B65" s="5">
        <v>0.51473999999999998</v>
      </c>
      <c r="C65">
        <f t="shared" si="1"/>
        <v>1.8461055130469999</v>
      </c>
      <c r="D65">
        <v>1.6E-2</v>
      </c>
      <c r="E65">
        <v>3.5999999999999999E-3</v>
      </c>
      <c r="F65">
        <f t="shared" si="2"/>
        <v>717.29630999999995</v>
      </c>
      <c r="G65">
        <f t="shared" si="3"/>
        <v>-0.51473999999999998</v>
      </c>
      <c r="H65">
        <f t="shared" si="4"/>
        <v>-369.22110260939996</v>
      </c>
      <c r="I65">
        <v>1</v>
      </c>
      <c r="J65">
        <f t="shared" si="5"/>
        <v>-0.3322662601540719</v>
      </c>
      <c r="K65">
        <f t="shared" si="6"/>
        <v>-0.70698515177521748</v>
      </c>
      <c r="L65">
        <v>1</v>
      </c>
      <c r="M65">
        <f t="shared" si="7"/>
        <v>0.60610365345584671</v>
      </c>
      <c r="N65">
        <f t="shared" si="13"/>
        <v>5.7383704799999997E-2</v>
      </c>
      <c r="O65">
        <f t="shared" si="11"/>
        <v>1.2911333579999998E-2</v>
      </c>
      <c r="P65">
        <f t="shared" si="12"/>
        <v>3.0586459939370772E-2</v>
      </c>
      <c r="V65">
        <v>9.9999999999980105E-2</v>
      </c>
      <c r="W65">
        <f t="shared" si="9"/>
        <v>-0.63458999999999866</v>
      </c>
    </row>
    <row r="66" spans="1:23">
      <c r="A66" s="5">
        <v>3.6465432</v>
      </c>
      <c r="B66" s="5">
        <v>0.51173999999999997</v>
      </c>
      <c r="C66">
        <f t="shared" si="1"/>
        <v>1.8660820171679999</v>
      </c>
      <c r="D66">
        <v>1.6E-2</v>
      </c>
      <c r="E66">
        <v>3.5999999999999999E-3</v>
      </c>
      <c r="F66">
        <f t="shared" si="2"/>
        <v>729.30863999999997</v>
      </c>
      <c r="G66">
        <f t="shared" si="3"/>
        <v>-0.51173999999999997</v>
      </c>
      <c r="H66">
        <f t="shared" si="4"/>
        <v>-373.21640343359996</v>
      </c>
      <c r="I66">
        <v>1</v>
      </c>
      <c r="J66">
        <f t="shared" si="5"/>
        <v>-0.31565826208557174</v>
      </c>
      <c r="K66">
        <f t="shared" si="6"/>
        <v>-0.70998515177521748</v>
      </c>
      <c r="L66">
        <v>1</v>
      </c>
      <c r="M66">
        <f t="shared" si="7"/>
        <v>0.60719812052856081</v>
      </c>
      <c r="N66">
        <f t="shared" si="13"/>
        <v>5.83446912E-2</v>
      </c>
      <c r="O66">
        <f t="shared" si="11"/>
        <v>1.3127555519999999E-2</v>
      </c>
      <c r="P66">
        <f t="shared" si="12"/>
        <v>3.1314784526656668E-2</v>
      </c>
      <c r="V66">
        <v>0.19999999999998</v>
      </c>
      <c r="W66">
        <f t="shared" si="9"/>
        <v>-0.64117999999999864</v>
      </c>
    </row>
    <row r="67" spans="1:23">
      <c r="A67" s="5">
        <v>3.7043171999999998</v>
      </c>
      <c r="B67" s="5">
        <v>0.50858000000000003</v>
      </c>
      <c r="C67">
        <f t="shared" si="1"/>
        <v>1.883941641576</v>
      </c>
      <c r="D67">
        <v>1.6E-2</v>
      </c>
      <c r="E67">
        <v>3.5999999999999999E-3</v>
      </c>
      <c r="F67">
        <f t="shared" si="2"/>
        <v>740.86343999999997</v>
      </c>
      <c r="G67">
        <f t="shared" si="3"/>
        <v>-0.50858000000000003</v>
      </c>
      <c r="H67">
        <f t="shared" si="4"/>
        <v>-376.78832831519998</v>
      </c>
      <c r="I67">
        <v>1</v>
      </c>
      <c r="J67">
        <f t="shared" si="5"/>
        <v>-0.29993896216779076</v>
      </c>
      <c r="K67">
        <f t="shared" si="6"/>
        <v>-0.71314515177521742</v>
      </c>
      <c r="L67">
        <v>1</v>
      </c>
      <c r="M67">
        <f t="shared" si="7"/>
        <v>0.60823402239314261</v>
      </c>
      <c r="N67">
        <f t="shared" si="13"/>
        <v>5.92690752E-2</v>
      </c>
      <c r="O67">
        <f t="shared" si="11"/>
        <v>1.3335541919999999E-2</v>
      </c>
      <c r="P67">
        <f t="shared" si="12"/>
        <v>3.2306512262074809E-2</v>
      </c>
      <c r="V67">
        <v>0.29999999999998</v>
      </c>
      <c r="W67">
        <f t="shared" si="9"/>
        <v>-0.64776999999999874</v>
      </c>
    </row>
    <row r="68" spans="1:23">
      <c r="A68" s="5">
        <v>3.7615188000000002</v>
      </c>
      <c r="B68" s="5">
        <v>0.50522999999999996</v>
      </c>
      <c r="C68">
        <f t="shared" si="1"/>
        <v>1.9004321433239999</v>
      </c>
      <c r="D68">
        <v>1.6E-2</v>
      </c>
      <c r="E68">
        <v>3.5999999999999999E-3</v>
      </c>
      <c r="F68">
        <f t="shared" si="2"/>
        <v>752.30376000000001</v>
      </c>
      <c r="G68">
        <f t="shared" si="3"/>
        <v>-0.50522999999999996</v>
      </c>
      <c r="H68">
        <f t="shared" si="4"/>
        <v>-380.0864286648</v>
      </c>
      <c r="I68">
        <v>1</v>
      </c>
      <c r="J68">
        <f t="shared" si="5"/>
        <v>-0.28461510042233662</v>
      </c>
      <c r="K68">
        <f t="shared" si="6"/>
        <v>-0.7164951517752175</v>
      </c>
      <c r="L68">
        <v>1</v>
      </c>
      <c r="M68">
        <f t="shared" si="7"/>
        <v>0.60924386488216797</v>
      </c>
      <c r="N68">
        <f t="shared" si="13"/>
        <v>6.0184300800000007E-2</v>
      </c>
      <c r="O68">
        <f t="shared" si="11"/>
        <v>1.354146768E-2</v>
      </c>
      <c r="P68">
        <f t="shared" si="12"/>
        <v>3.3525518413049515E-2</v>
      </c>
      <c r="V68">
        <v>0.39999999999997998</v>
      </c>
      <c r="W68">
        <f t="shared" si="9"/>
        <v>-0.65435999999999872</v>
      </c>
    </row>
    <row r="69" spans="1:23">
      <c r="A69" s="5">
        <v>3.8192925500000001</v>
      </c>
      <c r="B69" s="5">
        <v>0.50249999999999995</v>
      </c>
      <c r="C69">
        <f t="shared" ref="C69:C132" si="14">A69*B69</f>
        <v>1.9191945063749998</v>
      </c>
      <c r="D69">
        <v>1.6E-2</v>
      </c>
      <c r="E69">
        <v>3.5999999999999999E-3</v>
      </c>
      <c r="F69">
        <f t="shared" ref="F69:F132" si="15">A69*200</f>
        <v>763.85851000000002</v>
      </c>
      <c r="G69">
        <f t="shared" ref="G69:G132" si="16">-B69</f>
        <v>-0.50249999999999995</v>
      </c>
      <c r="H69">
        <f t="shared" ref="H69:H132" si="17">-C69*200</f>
        <v>-383.83890127499996</v>
      </c>
      <c r="I69">
        <v>1</v>
      </c>
      <c r="J69">
        <f t="shared" ref="J69:J132" si="18">LN(F69/1000)</f>
        <v>-0.26937270330165386</v>
      </c>
      <c r="K69">
        <f t="shared" ref="K69:K132" si="19">((-G69)-$N$2)</f>
        <v>-0.71922515177521751</v>
      </c>
      <c r="L69">
        <v>1</v>
      </c>
      <c r="M69">
        <f t="shared" ref="M69:M132" si="20">-1*($S$4+($S$5*J69))</f>
        <v>0.61024833885242102</v>
      </c>
      <c r="N69">
        <f t="shared" si="13"/>
        <v>6.1108680800000002E-2</v>
      </c>
      <c r="O69">
        <f t="shared" si="11"/>
        <v>1.3749453179999999E-2</v>
      </c>
      <c r="P69">
        <f t="shared" si="12"/>
        <v>3.4118678942796479E-2</v>
      </c>
      <c r="V69">
        <v>0.49999999999998002</v>
      </c>
      <c r="W69">
        <f t="shared" ref="W69:W132" si="21">V69*$S$5+$S$4</f>
        <v>-0.66094999999999871</v>
      </c>
    </row>
    <row r="70" spans="1:23">
      <c r="A70" s="5">
        <v>3.8770665000000002</v>
      </c>
      <c r="B70" s="5">
        <v>0.49902999999999997</v>
      </c>
      <c r="C70">
        <f t="shared" si="14"/>
        <v>1.9347724954950001</v>
      </c>
      <c r="D70">
        <v>1.6E-2</v>
      </c>
      <c r="E70">
        <v>3.5999999999999999E-3</v>
      </c>
      <c r="F70">
        <f t="shared" si="15"/>
        <v>775.41330000000005</v>
      </c>
      <c r="G70">
        <f t="shared" si="16"/>
        <v>-0.49902999999999997</v>
      </c>
      <c r="H70">
        <f t="shared" si="17"/>
        <v>-386.95449909900003</v>
      </c>
      <c r="I70">
        <v>1</v>
      </c>
      <c r="J70">
        <f t="shared" si="18"/>
        <v>-0.25435910145495794</v>
      </c>
      <c r="K70">
        <f t="shared" si="19"/>
        <v>-0.72269515177521748</v>
      </c>
      <c r="L70">
        <v>1</v>
      </c>
      <c r="M70">
        <f t="shared" si="20"/>
        <v>0.61123773521411828</v>
      </c>
      <c r="N70">
        <f t="shared" si="13"/>
        <v>6.2033064000000006E-2</v>
      </c>
      <c r="O70">
        <f t="shared" ref="O70:O133" si="22">E70*A70</f>
        <v>1.39574394E-2</v>
      </c>
      <c r="P70">
        <f t="shared" ref="P70:P133" si="23">-K70-M70-N70-O70</f>
        <v>3.5466913161099192E-2</v>
      </c>
      <c r="V70">
        <v>0.59999999999997999</v>
      </c>
      <c r="W70">
        <f t="shared" si="21"/>
        <v>-0.66753999999999869</v>
      </c>
    </row>
    <row r="71" spans="1:23">
      <c r="A71" s="5">
        <v>3.9354124000000001</v>
      </c>
      <c r="B71" s="5">
        <v>0.49598999999999999</v>
      </c>
      <c r="C71">
        <f t="shared" si="14"/>
        <v>1.951925196276</v>
      </c>
      <c r="D71">
        <v>1.6E-2</v>
      </c>
      <c r="E71">
        <v>3.5999999999999999E-3</v>
      </c>
      <c r="F71">
        <f t="shared" si="15"/>
        <v>787.08248000000003</v>
      </c>
      <c r="G71">
        <f t="shared" si="16"/>
        <v>-0.49598999999999999</v>
      </c>
      <c r="H71">
        <f t="shared" si="17"/>
        <v>-390.38503925520001</v>
      </c>
      <c r="I71">
        <v>1</v>
      </c>
      <c r="J71">
        <f t="shared" si="18"/>
        <v>-0.23942223300663443</v>
      </c>
      <c r="K71">
        <f t="shared" si="19"/>
        <v>-0.72573515177521752</v>
      </c>
      <c r="L71">
        <v>1</v>
      </c>
      <c r="M71">
        <f t="shared" si="20"/>
        <v>0.6122220748448628</v>
      </c>
      <c r="N71">
        <f t="shared" ref="N71:N134" si="24">D71*A71</f>
        <v>6.2966598400000004E-2</v>
      </c>
      <c r="O71">
        <f t="shared" si="22"/>
        <v>1.416748464E-2</v>
      </c>
      <c r="P71">
        <f t="shared" si="23"/>
        <v>3.6378993890354726E-2</v>
      </c>
      <c r="V71">
        <v>0.69999999999997997</v>
      </c>
      <c r="W71">
        <f t="shared" si="21"/>
        <v>-0.67412999999999867</v>
      </c>
    </row>
    <row r="72" spans="1:23">
      <c r="A72" s="5">
        <v>3.9943299000000003</v>
      </c>
      <c r="B72" s="5">
        <v>0.49287999999999998</v>
      </c>
      <c r="C72">
        <f t="shared" si="14"/>
        <v>1.9687253211120002</v>
      </c>
      <c r="D72">
        <v>1.6E-2</v>
      </c>
      <c r="E72">
        <v>3.5999999999999999E-3</v>
      </c>
      <c r="F72">
        <f t="shared" si="15"/>
        <v>798.86598000000004</v>
      </c>
      <c r="G72">
        <f t="shared" si="16"/>
        <v>-0.49287999999999998</v>
      </c>
      <c r="H72">
        <f t="shared" si="17"/>
        <v>-393.74506422240006</v>
      </c>
      <c r="I72">
        <v>1</v>
      </c>
      <c r="J72">
        <f t="shared" si="18"/>
        <v>-0.22456208195323044</v>
      </c>
      <c r="K72">
        <f t="shared" si="19"/>
        <v>-0.72884515177521747</v>
      </c>
      <c r="L72">
        <v>1</v>
      </c>
      <c r="M72">
        <f t="shared" si="20"/>
        <v>0.61320135879928217</v>
      </c>
      <c r="N72">
        <f t="shared" si="24"/>
        <v>6.3909278400000005E-2</v>
      </c>
      <c r="O72">
        <f t="shared" si="22"/>
        <v>1.437958764E-2</v>
      </c>
      <c r="P72">
        <f t="shared" si="23"/>
        <v>3.7354926935935298E-2</v>
      </c>
      <c r="V72">
        <v>0.79999999999997995</v>
      </c>
      <c r="W72">
        <f t="shared" si="21"/>
        <v>-0.68071999999999866</v>
      </c>
    </row>
    <row r="73" spans="1:23">
      <c r="A73" s="5">
        <v>4.0526757</v>
      </c>
      <c r="B73" s="5">
        <v>0.48987999999999998</v>
      </c>
      <c r="C73">
        <f t="shared" si="14"/>
        <v>1.9853247719159999</v>
      </c>
      <c r="D73">
        <v>1.6E-2</v>
      </c>
      <c r="E73">
        <v>3.5999999999999999E-3</v>
      </c>
      <c r="F73">
        <f t="shared" si="15"/>
        <v>810.53513999999996</v>
      </c>
      <c r="G73">
        <f t="shared" si="16"/>
        <v>-0.48987999999999998</v>
      </c>
      <c r="H73">
        <f t="shared" si="17"/>
        <v>-397.06495438319996</v>
      </c>
      <c r="I73">
        <v>1</v>
      </c>
      <c r="J73">
        <f t="shared" si="18"/>
        <v>-0.21006058279313317</v>
      </c>
      <c r="K73">
        <f t="shared" si="19"/>
        <v>-0.73184515177521747</v>
      </c>
      <c r="L73">
        <v>1</v>
      </c>
      <c r="M73">
        <f t="shared" si="20"/>
        <v>0.61415700759393255</v>
      </c>
      <c r="N73">
        <f t="shared" si="24"/>
        <v>6.4842811200000003E-2</v>
      </c>
      <c r="O73">
        <f t="shared" si="22"/>
        <v>1.458963252E-2</v>
      </c>
      <c r="P73">
        <f t="shared" si="23"/>
        <v>3.8255700461284924E-2</v>
      </c>
      <c r="V73">
        <v>0.89999999999998004</v>
      </c>
      <c r="W73">
        <f t="shared" si="21"/>
        <v>-0.68730999999999864</v>
      </c>
    </row>
    <row r="74" spans="1:23">
      <c r="A74" s="5">
        <v>4.1093054999999996</v>
      </c>
      <c r="B74" s="5">
        <v>0.48641000000000001</v>
      </c>
      <c r="C74">
        <f t="shared" si="14"/>
        <v>1.9988072882549999</v>
      </c>
      <c r="D74">
        <v>1.6E-2</v>
      </c>
      <c r="E74">
        <v>3.5999999999999999E-3</v>
      </c>
      <c r="F74">
        <f t="shared" si="15"/>
        <v>821.86109999999996</v>
      </c>
      <c r="G74">
        <f t="shared" si="16"/>
        <v>-0.48641000000000001</v>
      </c>
      <c r="H74">
        <f t="shared" si="17"/>
        <v>-399.761457651</v>
      </c>
      <c r="I74">
        <v>1</v>
      </c>
      <c r="J74">
        <f t="shared" si="18"/>
        <v>-0.19618387630655493</v>
      </c>
      <c r="K74">
        <f t="shared" si="19"/>
        <v>-0.73531515177521745</v>
      </c>
      <c r="L74">
        <v>1</v>
      </c>
      <c r="M74">
        <f t="shared" si="20"/>
        <v>0.61507148255139799</v>
      </c>
      <c r="N74">
        <f t="shared" si="24"/>
        <v>6.5748887999999991E-2</v>
      </c>
      <c r="O74">
        <f t="shared" si="22"/>
        <v>1.4793499799999998E-2</v>
      </c>
      <c r="P74">
        <f t="shared" si="23"/>
        <v>3.9701281423819471E-2</v>
      </c>
      <c r="V74">
        <v>0.99999999999998002</v>
      </c>
      <c r="W74">
        <f t="shared" si="21"/>
        <v>-0.69389999999999863</v>
      </c>
    </row>
    <row r="75" spans="1:23">
      <c r="A75" s="5">
        <v>4.1670794500000001</v>
      </c>
      <c r="B75" s="5">
        <v>0.48353000000000002</v>
      </c>
      <c r="C75">
        <f t="shared" si="14"/>
        <v>2.0149079264585001</v>
      </c>
      <c r="D75">
        <v>1.6E-2</v>
      </c>
      <c r="E75">
        <v>3.5999999999999999E-3</v>
      </c>
      <c r="F75">
        <f t="shared" si="15"/>
        <v>833.41588999999999</v>
      </c>
      <c r="G75">
        <f t="shared" si="16"/>
        <v>-0.48353000000000002</v>
      </c>
      <c r="H75">
        <f t="shared" si="17"/>
        <v>-402.98158529170001</v>
      </c>
      <c r="I75">
        <v>1</v>
      </c>
      <c r="J75">
        <f t="shared" si="18"/>
        <v>-0.18222249370086493</v>
      </c>
      <c r="K75">
        <f t="shared" si="19"/>
        <v>-0.73819515177521744</v>
      </c>
      <c r="L75">
        <v>1</v>
      </c>
      <c r="M75">
        <f t="shared" si="20"/>
        <v>0.61599153766511305</v>
      </c>
      <c r="N75">
        <f t="shared" si="24"/>
        <v>6.6673271200000009E-2</v>
      </c>
      <c r="O75">
        <f t="shared" si="22"/>
        <v>1.500148602E-2</v>
      </c>
      <c r="P75">
        <f t="shared" si="23"/>
        <v>4.0528856890104381E-2</v>
      </c>
      <c r="V75">
        <v>1.0999999999999699</v>
      </c>
      <c r="W75">
        <f t="shared" si="21"/>
        <v>-0.70048999999999806</v>
      </c>
    </row>
    <row r="76" spans="1:23">
      <c r="A76" s="5">
        <v>4.2242812000000001</v>
      </c>
      <c r="B76" s="5">
        <v>0.48009000000000002</v>
      </c>
      <c r="C76">
        <f t="shared" si="14"/>
        <v>2.0280351613080003</v>
      </c>
      <c r="D76">
        <v>1.6E-2</v>
      </c>
      <c r="E76">
        <v>3.5999999999999999E-3</v>
      </c>
      <c r="F76">
        <f t="shared" si="15"/>
        <v>844.85624000000007</v>
      </c>
      <c r="G76">
        <f t="shared" si="16"/>
        <v>-0.48009000000000002</v>
      </c>
      <c r="H76">
        <f t="shared" si="17"/>
        <v>-405.60703226160007</v>
      </c>
      <c r="I76">
        <v>1</v>
      </c>
      <c r="J76">
        <f t="shared" si="18"/>
        <v>-0.16858879627625825</v>
      </c>
      <c r="K76">
        <f t="shared" si="19"/>
        <v>-0.74163515177521744</v>
      </c>
      <c r="L76">
        <v>1</v>
      </c>
      <c r="M76">
        <f t="shared" si="20"/>
        <v>0.6168899983253946</v>
      </c>
      <c r="N76">
        <f t="shared" si="24"/>
        <v>6.7588499199999999E-2</v>
      </c>
      <c r="O76">
        <f t="shared" si="22"/>
        <v>1.520741232E-2</v>
      </c>
      <c r="P76">
        <f t="shared" si="23"/>
        <v>4.1949241929822842E-2</v>
      </c>
      <c r="V76">
        <v>1.19999999999997</v>
      </c>
      <c r="W76">
        <f t="shared" si="21"/>
        <v>-0.70707999999999804</v>
      </c>
    </row>
    <row r="77" spans="1:23">
      <c r="A77" s="5">
        <v>4.2814828</v>
      </c>
      <c r="B77" s="5">
        <v>0.47733999999999999</v>
      </c>
      <c r="C77">
        <f t="shared" si="14"/>
        <v>2.0437229997520001</v>
      </c>
      <c r="D77">
        <v>1.6E-2</v>
      </c>
      <c r="E77">
        <v>3.5999999999999999E-3</v>
      </c>
      <c r="F77">
        <f t="shared" si="15"/>
        <v>856.29656</v>
      </c>
      <c r="G77">
        <f t="shared" si="16"/>
        <v>-0.47733999999999999</v>
      </c>
      <c r="H77">
        <f t="shared" si="17"/>
        <v>-408.74459995040002</v>
      </c>
      <c r="I77">
        <v>1</v>
      </c>
      <c r="J77">
        <f t="shared" si="18"/>
        <v>-0.15513851424172229</v>
      </c>
      <c r="K77">
        <f t="shared" si="19"/>
        <v>-0.74438515177521747</v>
      </c>
      <c r="L77">
        <v>1</v>
      </c>
      <c r="M77">
        <f t="shared" si="20"/>
        <v>0.6177763719114705</v>
      </c>
      <c r="N77">
        <f t="shared" si="24"/>
        <v>6.8503724799999999E-2</v>
      </c>
      <c r="O77">
        <f t="shared" si="22"/>
        <v>1.541333808E-2</v>
      </c>
      <c r="P77">
        <f t="shared" si="23"/>
        <v>4.269171698374697E-2</v>
      </c>
      <c r="V77">
        <v>1.2999999999999701</v>
      </c>
      <c r="W77">
        <f t="shared" si="21"/>
        <v>-0.71366999999999803</v>
      </c>
    </row>
    <row r="78" spans="1:23">
      <c r="A78" s="5">
        <v>4.3386846000000006</v>
      </c>
      <c r="B78" s="5">
        <v>0.47402</v>
      </c>
      <c r="C78">
        <f t="shared" si="14"/>
        <v>2.0566232740920003</v>
      </c>
      <c r="D78">
        <v>1.6E-2</v>
      </c>
      <c r="E78">
        <v>3.5999999999999999E-3</v>
      </c>
      <c r="F78">
        <f t="shared" si="15"/>
        <v>867.73692000000005</v>
      </c>
      <c r="G78">
        <f t="shared" si="16"/>
        <v>-0.47402</v>
      </c>
      <c r="H78">
        <f t="shared" si="17"/>
        <v>-411.32465481840006</v>
      </c>
      <c r="I78">
        <v>1</v>
      </c>
      <c r="J78">
        <f t="shared" si="18"/>
        <v>-0.14186669781970718</v>
      </c>
      <c r="K78">
        <f t="shared" si="19"/>
        <v>-0.74770515177521746</v>
      </c>
      <c r="L78">
        <v>1</v>
      </c>
      <c r="M78">
        <f t="shared" si="20"/>
        <v>0.61865098461368129</v>
      </c>
      <c r="N78">
        <f t="shared" si="24"/>
        <v>6.9418953600000013E-2</v>
      </c>
      <c r="O78">
        <f t="shared" si="22"/>
        <v>1.5619264560000002E-2</v>
      </c>
      <c r="P78">
        <f t="shared" si="23"/>
        <v>4.4015949001536159E-2</v>
      </c>
      <c r="V78">
        <v>1.3999999999999699</v>
      </c>
      <c r="W78">
        <f t="shared" si="21"/>
        <v>-0.72025999999999801</v>
      </c>
    </row>
    <row r="79" spans="1:23">
      <c r="A79" s="5">
        <v>4.3964583499999996</v>
      </c>
      <c r="B79" s="5">
        <v>0.47110000000000002</v>
      </c>
      <c r="C79">
        <f t="shared" si="14"/>
        <v>2.0711715286849999</v>
      </c>
      <c r="D79">
        <v>1.6E-2</v>
      </c>
      <c r="E79">
        <v>3.5999999999999999E-3</v>
      </c>
      <c r="F79">
        <f t="shared" si="15"/>
        <v>879.29166999999995</v>
      </c>
      <c r="G79">
        <f t="shared" si="16"/>
        <v>-0.47110000000000002</v>
      </c>
      <c r="H79">
        <f t="shared" si="17"/>
        <v>-414.234305737</v>
      </c>
      <c r="I79">
        <v>1</v>
      </c>
      <c r="J79">
        <f t="shared" si="18"/>
        <v>-0.12863861608683963</v>
      </c>
      <c r="K79">
        <f t="shared" si="19"/>
        <v>-0.75062515177521738</v>
      </c>
      <c r="L79">
        <v>1</v>
      </c>
      <c r="M79">
        <f t="shared" si="20"/>
        <v>0.61952271519987723</v>
      </c>
      <c r="N79">
        <f t="shared" si="24"/>
        <v>7.0343333600000002E-2</v>
      </c>
      <c r="O79">
        <f t="shared" si="22"/>
        <v>1.5827250059999999E-2</v>
      </c>
      <c r="P79">
        <f t="shared" si="23"/>
        <v>4.4931852915340152E-2</v>
      </c>
      <c r="V79">
        <v>1.49999999999997</v>
      </c>
      <c r="W79">
        <f t="shared" si="21"/>
        <v>-0.726849999999998</v>
      </c>
    </row>
    <row r="80" spans="1:23">
      <c r="A80" s="5">
        <v>4.4548039499999996</v>
      </c>
      <c r="B80" s="5">
        <v>0.46781</v>
      </c>
      <c r="C80">
        <f t="shared" si="14"/>
        <v>2.0840018358495001</v>
      </c>
      <c r="D80">
        <v>1.6E-2</v>
      </c>
      <c r="E80">
        <v>3.5999999999999999E-3</v>
      </c>
      <c r="F80">
        <f t="shared" si="15"/>
        <v>890.96078999999997</v>
      </c>
      <c r="G80">
        <f t="shared" si="16"/>
        <v>-0.46781</v>
      </c>
      <c r="H80">
        <f t="shared" si="17"/>
        <v>-416.80036716990003</v>
      </c>
      <c r="I80">
        <v>1</v>
      </c>
      <c r="J80">
        <f t="shared" si="18"/>
        <v>-0.11545485921365926</v>
      </c>
      <c r="K80">
        <f t="shared" si="19"/>
        <v>-0.7539151517752174</v>
      </c>
      <c r="L80">
        <v>1</v>
      </c>
      <c r="M80">
        <f t="shared" si="20"/>
        <v>0.62039152477781989</v>
      </c>
      <c r="N80">
        <f t="shared" si="24"/>
        <v>7.1276863199999999E-2</v>
      </c>
      <c r="O80">
        <f t="shared" si="22"/>
        <v>1.6037294219999998E-2</v>
      </c>
      <c r="P80">
        <f t="shared" si="23"/>
        <v>4.6209469577397508E-2</v>
      </c>
      <c r="V80">
        <v>1.5999999999999699</v>
      </c>
      <c r="W80">
        <f t="shared" si="21"/>
        <v>-0.73343999999999798</v>
      </c>
    </row>
    <row r="81" spans="1:23">
      <c r="A81" s="5">
        <v>4.5114337000000004</v>
      </c>
      <c r="B81" s="5">
        <v>0.46487000000000001</v>
      </c>
      <c r="C81">
        <f t="shared" si="14"/>
        <v>2.0972301841190002</v>
      </c>
      <c r="D81">
        <v>1.6E-2</v>
      </c>
      <c r="E81">
        <v>3.5999999999999999E-3</v>
      </c>
      <c r="F81">
        <f t="shared" si="15"/>
        <v>902.28674000000012</v>
      </c>
      <c r="G81">
        <f t="shared" si="16"/>
        <v>-0.46487000000000001</v>
      </c>
      <c r="H81">
        <f t="shared" si="17"/>
        <v>-419.44603682380006</v>
      </c>
      <c r="I81">
        <v>1</v>
      </c>
      <c r="J81">
        <f t="shared" si="18"/>
        <v>-0.10282291586712355</v>
      </c>
      <c r="K81">
        <f t="shared" si="19"/>
        <v>-0.75685515177521745</v>
      </c>
      <c r="L81">
        <v>1</v>
      </c>
      <c r="M81">
        <f t="shared" si="20"/>
        <v>0.62122396984435657</v>
      </c>
      <c r="N81">
        <f t="shared" si="24"/>
        <v>7.2182939200000004E-2</v>
      </c>
      <c r="O81">
        <f t="shared" si="22"/>
        <v>1.6241161320000003E-2</v>
      </c>
      <c r="P81">
        <f t="shared" si="23"/>
        <v>4.7207081410860871E-2</v>
      </c>
      <c r="V81">
        <v>1.69999999999997</v>
      </c>
      <c r="W81">
        <f t="shared" si="21"/>
        <v>-0.74002999999999797</v>
      </c>
    </row>
    <row r="82" spans="1:23">
      <c r="A82" s="5">
        <v>4.5720679000000004</v>
      </c>
      <c r="B82" s="5">
        <v>0.46184999999999998</v>
      </c>
      <c r="C82">
        <f t="shared" si="14"/>
        <v>2.1116095596150002</v>
      </c>
      <c r="D82">
        <v>1.6E-2</v>
      </c>
      <c r="E82">
        <v>3.5999999999999999E-3</v>
      </c>
      <c r="F82">
        <f t="shared" si="15"/>
        <v>914.41358000000014</v>
      </c>
      <c r="G82">
        <f t="shared" si="16"/>
        <v>-0.46184999999999998</v>
      </c>
      <c r="H82">
        <f t="shared" si="17"/>
        <v>-422.32191192300002</v>
      </c>
      <c r="I82">
        <v>1</v>
      </c>
      <c r="J82">
        <f t="shared" si="18"/>
        <v>-8.9472315343223544E-2</v>
      </c>
      <c r="K82">
        <f t="shared" si="19"/>
        <v>-0.75987515177521747</v>
      </c>
      <c r="L82">
        <v>1</v>
      </c>
      <c r="M82">
        <f t="shared" si="20"/>
        <v>0.62210377441888154</v>
      </c>
      <c r="N82">
        <f t="shared" si="24"/>
        <v>7.3153086400000011E-2</v>
      </c>
      <c r="O82">
        <f t="shared" si="22"/>
        <v>1.6459444440000002E-2</v>
      </c>
      <c r="P82">
        <f t="shared" si="23"/>
        <v>4.8158846516335924E-2</v>
      </c>
      <c r="V82">
        <v>1.7999999999999701</v>
      </c>
      <c r="W82">
        <f t="shared" si="21"/>
        <v>-0.74661999999999806</v>
      </c>
    </row>
    <row r="83" spans="1:23">
      <c r="A83" s="5">
        <v>4.6298415000000004</v>
      </c>
      <c r="B83" s="5">
        <v>0.45852999999999999</v>
      </c>
      <c r="C83">
        <f t="shared" si="14"/>
        <v>2.1229212229950001</v>
      </c>
      <c r="D83">
        <v>1.6E-2</v>
      </c>
      <c r="E83">
        <v>3.5999999999999999E-3</v>
      </c>
      <c r="F83">
        <f t="shared" si="15"/>
        <v>925.96830000000011</v>
      </c>
      <c r="G83">
        <f t="shared" si="16"/>
        <v>-0.45852999999999999</v>
      </c>
      <c r="H83">
        <f t="shared" si="17"/>
        <v>-424.58424459900004</v>
      </c>
      <c r="I83">
        <v>1</v>
      </c>
      <c r="J83">
        <f t="shared" si="18"/>
        <v>-7.691527818326814E-2</v>
      </c>
      <c r="K83">
        <f t="shared" si="19"/>
        <v>-0.76319515177521746</v>
      </c>
      <c r="L83">
        <v>1</v>
      </c>
      <c r="M83">
        <f t="shared" si="20"/>
        <v>0.62293128316772262</v>
      </c>
      <c r="N83">
        <f t="shared" si="24"/>
        <v>7.407746400000001E-2</v>
      </c>
      <c r="O83">
        <f t="shared" si="22"/>
        <v>1.6667429399999999E-2</v>
      </c>
      <c r="P83">
        <f t="shared" si="23"/>
        <v>4.9518975207494834E-2</v>
      </c>
      <c r="V83">
        <v>1.8999999999999699</v>
      </c>
      <c r="W83">
        <f t="shared" si="21"/>
        <v>-0.75320999999999805</v>
      </c>
    </row>
    <row r="84" spans="1:23">
      <c r="A84" s="5">
        <v>4.6899040999999997</v>
      </c>
      <c r="B84" s="5">
        <v>0.45544000000000001</v>
      </c>
      <c r="C84">
        <f t="shared" si="14"/>
        <v>2.1359699233039997</v>
      </c>
      <c r="D84">
        <v>1.6E-2</v>
      </c>
      <c r="E84">
        <v>3.5999999999999999E-3</v>
      </c>
      <c r="F84">
        <f t="shared" si="15"/>
        <v>937.98081999999999</v>
      </c>
      <c r="G84">
        <f t="shared" si="16"/>
        <v>-0.45544000000000001</v>
      </c>
      <c r="H84">
        <f t="shared" si="17"/>
        <v>-427.19398466079997</v>
      </c>
      <c r="I84">
        <v>1</v>
      </c>
      <c r="J84">
        <f t="shared" si="18"/>
        <v>-6.402577794616468E-2</v>
      </c>
      <c r="K84">
        <f t="shared" si="19"/>
        <v>-0.76628515177521739</v>
      </c>
      <c r="L84">
        <v>1</v>
      </c>
      <c r="M84">
        <f t="shared" si="20"/>
        <v>0.62378070123334772</v>
      </c>
      <c r="N84">
        <f t="shared" si="24"/>
        <v>7.5038465599999993E-2</v>
      </c>
      <c r="O84">
        <f t="shared" si="22"/>
        <v>1.6883654759999998E-2</v>
      </c>
      <c r="P84">
        <f t="shared" si="23"/>
        <v>5.0582330181869674E-2</v>
      </c>
      <c r="V84">
        <v>1.99999999999997</v>
      </c>
      <c r="W84">
        <f t="shared" si="21"/>
        <v>-0.75979999999999803</v>
      </c>
    </row>
    <row r="85" spans="1:23">
      <c r="A85" s="5">
        <v>4.7465339000000002</v>
      </c>
      <c r="B85" s="5">
        <v>0.45244000000000001</v>
      </c>
      <c r="C85">
        <f t="shared" si="14"/>
        <v>2.1475217977160002</v>
      </c>
      <c r="D85">
        <v>1.6E-2</v>
      </c>
      <c r="E85">
        <v>3.5999999999999999E-3</v>
      </c>
      <c r="F85">
        <f t="shared" si="15"/>
        <v>949.30678</v>
      </c>
      <c r="G85">
        <f t="shared" si="16"/>
        <v>-0.45244000000000001</v>
      </c>
      <c r="H85">
        <f t="shared" si="17"/>
        <v>-429.50435954320005</v>
      </c>
      <c r="I85">
        <v>1</v>
      </c>
      <c r="J85">
        <f t="shared" si="18"/>
        <v>-5.2023266015180203E-2</v>
      </c>
      <c r="K85">
        <f t="shared" si="19"/>
        <v>-0.7692851517752175</v>
      </c>
      <c r="L85">
        <v>1</v>
      </c>
      <c r="M85">
        <f t="shared" si="20"/>
        <v>0.62457166676959963</v>
      </c>
      <c r="N85">
        <f t="shared" si="24"/>
        <v>7.5944542400000009E-2</v>
      </c>
      <c r="O85">
        <f t="shared" si="22"/>
        <v>1.7087522040000001E-2</v>
      </c>
      <c r="P85">
        <f t="shared" si="23"/>
        <v>5.1681420565617864E-2</v>
      </c>
      <c r="V85">
        <v>2.0999999999999699</v>
      </c>
      <c r="W85">
        <f t="shared" si="21"/>
        <v>-0.76638999999999802</v>
      </c>
    </row>
    <row r="86" spans="1:23">
      <c r="A86" s="5">
        <v>4.8043067500000003</v>
      </c>
      <c r="B86" s="5">
        <v>0.44927</v>
      </c>
      <c r="C86">
        <f t="shared" si="14"/>
        <v>2.1584308935725001</v>
      </c>
      <c r="D86">
        <v>1.6E-2</v>
      </c>
      <c r="E86">
        <v>3.5999999999999999E-3</v>
      </c>
      <c r="F86">
        <f t="shared" si="15"/>
        <v>960.86135000000002</v>
      </c>
      <c r="G86">
        <f t="shared" si="16"/>
        <v>-0.44927</v>
      </c>
      <c r="H86">
        <f t="shared" si="17"/>
        <v>-431.68617871449999</v>
      </c>
      <c r="I86">
        <v>1</v>
      </c>
      <c r="J86">
        <f t="shared" si="18"/>
        <v>-3.9925157215747679E-2</v>
      </c>
      <c r="K86">
        <f t="shared" si="19"/>
        <v>-0.7724551517752174</v>
      </c>
      <c r="L86">
        <v>1</v>
      </c>
      <c r="M86">
        <f t="shared" si="20"/>
        <v>0.62536893213948219</v>
      </c>
      <c r="N86">
        <f t="shared" si="24"/>
        <v>7.6868908E-2</v>
      </c>
      <c r="O86">
        <f t="shared" si="22"/>
        <v>1.72955043E-2</v>
      </c>
      <c r="P86">
        <f t="shared" si="23"/>
        <v>5.2921807335735205E-2</v>
      </c>
      <c r="V86">
        <v>2.19999999999997</v>
      </c>
      <c r="W86">
        <f t="shared" si="21"/>
        <v>-0.772979999999998</v>
      </c>
    </row>
    <row r="87" spans="1:23">
      <c r="A87" s="5">
        <v>4.8615086999999999</v>
      </c>
      <c r="B87" s="5">
        <v>0.44629000000000002</v>
      </c>
      <c r="C87">
        <f t="shared" si="14"/>
        <v>2.1696427177230002</v>
      </c>
      <c r="D87">
        <v>1.6E-2</v>
      </c>
      <c r="E87">
        <v>3.5999999999999999E-3</v>
      </c>
      <c r="F87">
        <f t="shared" si="15"/>
        <v>972.30174</v>
      </c>
      <c r="G87">
        <f t="shared" si="16"/>
        <v>-0.44629000000000002</v>
      </c>
      <c r="H87">
        <f t="shared" si="17"/>
        <v>-433.92854354460002</v>
      </c>
      <c r="I87">
        <v>1</v>
      </c>
      <c r="J87">
        <f t="shared" si="18"/>
        <v>-2.8089090597006896E-2</v>
      </c>
      <c r="K87">
        <f t="shared" si="19"/>
        <v>-0.77543515177521738</v>
      </c>
      <c r="L87">
        <v>1</v>
      </c>
      <c r="M87">
        <f t="shared" si="20"/>
        <v>0.62614892892965723</v>
      </c>
      <c r="N87">
        <f t="shared" si="24"/>
        <v>7.7784139200000005E-2</v>
      </c>
      <c r="O87">
        <f t="shared" si="22"/>
        <v>1.750143132E-2</v>
      </c>
      <c r="P87">
        <f t="shared" si="23"/>
        <v>5.4000652325560144E-2</v>
      </c>
      <c r="V87">
        <v>2.2999999999999701</v>
      </c>
      <c r="W87">
        <f t="shared" si="21"/>
        <v>-0.7795699999999981</v>
      </c>
    </row>
    <row r="88" spans="1:23">
      <c r="A88" s="5">
        <v>4.9215711500000001</v>
      </c>
      <c r="B88" s="5">
        <v>0.44313999999999998</v>
      </c>
      <c r="C88">
        <f t="shared" si="14"/>
        <v>2.1809450394110002</v>
      </c>
      <c r="D88">
        <v>1.6E-2</v>
      </c>
      <c r="E88">
        <v>3.5999999999999999E-3</v>
      </c>
      <c r="F88">
        <f t="shared" si="15"/>
        <v>984.31423000000007</v>
      </c>
      <c r="G88">
        <f t="shared" si="16"/>
        <v>-0.44313999999999998</v>
      </c>
      <c r="H88">
        <f t="shared" si="17"/>
        <v>-436.18900788220003</v>
      </c>
      <c r="I88">
        <v>1</v>
      </c>
      <c r="J88">
        <f t="shared" si="18"/>
        <v>-1.5810093476972747E-2</v>
      </c>
      <c r="K88">
        <f t="shared" si="19"/>
        <v>-0.77858515177521748</v>
      </c>
      <c r="L88">
        <v>1</v>
      </c>
      <c r="M88">
        <f t="shared" si="20"/>
        <v>0.62695811483986752</v>
      </c>
      <c r="N88">
        <f t="shared" si="24"/>
        <v>7.8745138399999998E-2</v>
      </c>
      <c r="O88">
        <f t="shared" si="22"/>
        <v>1.7717656139999999E-2</v>
      </c>
      <c r="P88">
        <f t="shared" si="23"/>
        <v>5.5164242395349963E-2</v>
      </c>
      <c r="V88">
        <v>2.3999999999999702</v>
      </c>
      <c r="W88">
        <f t="shared" si="21"/>
        <v>-0.78615999999999797</v>
      </c>
    </row>
    <row r="89" spans="1:23">
      <c r="A89" s="5">
        <v>4.9787724999999998</v>
      </c>
      <c r="B89" s="5">
        <v>0.43981999999999999</v>
      </c>
      <c r="C89">
        <f t="shared" si="14"/>
        <v>2.1897637209499998</v>
      </c>
      <c r="D89">
        <v>1.6E-2</v>
      </c>
      <c r="E89">
        <v>3.5999999999999999E-3</v>
      </c>
      <c r="F89">
        <f t="shared" si="15"/>
        <v>995.75450000000001</v>
      </c>
      <c r="G89">
        <f t="shared" si="16"/>
        <v>-0.43981999999999999</v>
      </c>
      <c r="H89">
        <f t="shared" si="17"/>
        <v>-437.95274418999998</v>
      </c>
      <c r="I89">
        <v>1</v>
      </c>
      <c r="J89">
        <f t="shared" si="18"/>
        <v>-4.2545377239668718E-3</v>
      </c>
      <c r="K89">
        <f t="shared" si="19"/>
        <v>-0.78190515177521747</v>
      </c>
      <c r="L89">
        <v>1</v>
      </c>
      <c r="M89">
        <f t="shared" si="20"/>
        <v>0.62771962596399056</v>
      </c>
      <c r="N89">
        <f t="shared" si="24"/>
        <v>7.966036E-2</v>
      </c>
      <c r="O89">
        <f t="shared" si="22"/>
        <v>1.7923580999999997E-2</v>
      </c>
      <c r="P89">
        <f t="shared" si="23"/>
        <v>5.6601584811226915E-2</v>
      </c>
      <c r="V89">
        <v>2.4999999999999698</v>
      </c>
      <c r="W89">
        <f t="shared" si="21"/>
        <v>-0.79274999999999807</v>
      </c>
    </row>
    <row r="90" spans="1:23">
      <c r="A90" s="5">
        <v>5.0371180999999998</v>
      </c>
      <c r="B90" s="5">
        <v>0.43667</v>
      </c>
      <c r="C90">
        <f t="shared" si="14"/>
        <v>2.199558360727</v>
      </c>
      <c r="D90">
        <v>1.6E-2</v>
      </c>
      <c r="E90">
        <v>3.5999999999999999E-3</v>
      </c>
      <c r="F90">
        <f t="shared" si="15"/>
        <v>1007.4236199999999</v>
      </c>
      <c r="G90">
        <f t="shared" si="16"/>
        <v>-0.43667</v>
      </c>
      <c r="H90">
        <f t="shared" si="17"/>
        <v>-439.91167214539996</v>
      </c>
      <c r="I90">
        <v>1</v>
      </c>
      <c r="J90">
        <f t="shared" si="18"/>
        <v>7.3962005504783768E-3</v>
      </c>
      <c r="K90">
        <f t="shared" si="19"/>
        <v>-0.78505515177521745</v>
      </c>
      <c r="L90">
        <v>1</v>
      </c>
      <c r="M90">
        <f t="shared" si="20"/>
        <v>0.62848740961627658</v>
      </c>
      <c r="N90">
        <f t="shared" si="24"/>
        <v>8.0593889599999996E-2</v>
      </c>
      <c r="O90">
        <f t="shared" si="22"/>
        <v>1.813362516E-2</v>
      </c>
      <c r="P90">
        <f t="shared" si="23"/>
        <v>5.7840227398940874E-2</v>
      </c>
      <c r="V90">
        <v>2.5999999999999699</v>
      </c>
      <c r="W90">
        <f t="shared" si="21"/>
        <v>-0.79933999999999805</v>
      </c>
    </row>
    <row r="91" spans="1:23">
      <c r="A91" s="5">
        <v>5.0937479000000003</v>
      </c>
      <c r="B91" s="5">
        <v>0.43370999999999998</v>
      </c>
      <c r="C91">
        <f t="shared" si="14"/>
        <v>2.2092094017090003</v>
      </c>
      <c r="D91">
        <v>1.6E-2</v>
      </c>
      <c r="E91">
        <v>3.5999999999999999E-3</v>
      </c>
      <c r="F91">
        <f t="shared" si="15"/>
        <v>1018.74958</v>
      </c>
      <c r="G91">
        <f t="shared" si="16"/>
        <v>-0.43370999999999998</v>
      </c>
      <c r="H91">
        <f t="shared" si="17"/>
        <v>-441.84188034180005</v>
      </c>
      <c r="I91">
        <v>1</v>
      </c>
      <c r="J91">
        <f t="shared" si="18"/>
        <v>1.8575973302911712E-2</v>
      </c>
      <c r="K91">
        <f t="shared" si="19"/>
        <v>-0.78801515177521742</v>
      </c>
      <c r="L91">
        <v>1</v>
      </c>
      <c r="M91">
        <f t="shared" si="20"/>
        <v>0.62922415664066189</v>
      </c>
      <c r="N91">
        <f t="shared" si="24"/>
        <v>8.1499966400000012E-2</v>
      </c>
      <c r="O91">
        <f t="shared" si="22"/>
        <v>1.8337492440000002E-2</v>
      </c>
      <c r="P91">
        <f t="shared" si="23"/>
        <v>5.8953536294555506E-2</v>
      </c>
      <c r="V91">
        <v>2.69999999999997</v>
      </c>
      <c r="W91">
        <f t="shared" si="21"/>
        <v>-0.80592999999999804</v>
      </c>
    </row>
    <row r="92" spans="1:23">
      <c r="A92" s="5">
        <v>5.15094925</v>
      </c>
      <c r="B92" s="5">
        <v>0.43058000000000002</v>
      </c>
      <c r="C92">
        <f t="shared" si="14"/>
        <v>2.2178957280650002</v>
      </c>
      <c r="D92">
        <v>1.6E-2</v>
      </c>
      <c r="E92">
        <v>3.5999999999999999E-3</v>
      </c>
      <c r="F92">
        <f t="shared" si="15"/>
        <v>1030.18985</v>
      </c>
      <c r="G92">
        <f t="shared" si="16"/>
        <v>-0.43058000000000002</v>
      </c>
      <c r="H92">
        <f t="shared" si="17"/>
        <v>-443.57914561300004</v>
      </c>
      <c r="I92">
        <v>1</v>
      </c>
      <c r="J92">
        <f t="shared" si="18"/>
        <v>2.9743105644978177E-2</v>
      </c>
      <c r="K92">
        <f t="shared" si="19"/>
        <v>-0.79114515177521749</v>
      </c>
      <c r="L92">
        <v>1</v>
      </c>
      <c r="M92">
        <f t="shared" si="20"/>
        <v>0.6299600706620041</v>
      </c>
      <c r="N92">
        <f t="shared" si="24"/>
        <v>8.2415188E-2</v>
      </c>
      <c r="O92">
        <f t="shared" si="22"/>
        <v>1.85434173E-2</v>
      </c>
      <c r="P92">
        <f t="shared" si="23"/>
        <v>6.0226475813213387E-2</v>
      </c>
      <c r="V92">
        <v>2.7999999999999701</v>
      </c>
      <c r="W92">
        <f t="shared" si="21"/>
        <v>-0.81251999999999802</v>
      </c>
    </row>
    <row r="93" spans="1:23">
      <c r="A93" s="5">
        <v>5.2110117000000002</v>
      </c>
      <c r="B93" s="5">
        <v>0.42738999999999999</v>
      </c>
      <c r="C93">
        <f t="shared" si="14"/>
        <v>2.2271342904630003</v>
      </c>
      <c r="D93">
        <v>1.6E-2</v>
      </c>
      <c r="E93">
        <v>3.5999999999999999E-3</v>
      </c>
      <c r="F93">
        <f t="shared" si="15"/>
        <v>1042.20234</v>
      </c>
      <c r="G93">
        <f t="shared" si="16"/>
        <v>-0.42738999999999999</v>
      </c>
      <c r="H93">
        <f t="shared" si="17"/>
        <v>-445.42685809260007</v>
      </c>
      <c r="I93">
        <v>1</v>
      </c>
      <c r="J93">
        <f t="shared" si="18"/>
        <v>4.133610874088841E-2</v>
      </c>
      <c r="K93">
        <f t="shared" si="19"/>
        <v>-0.79433515177521752</v>
      </c>
      <c r="L93">
        <v>1</v>
      </c>
      <c r="M93">
        <f t="shared" si="20"/>
        <v>0.63072404956602457</v>
      </c>
      <c r="N93">
        <f t="shared" si="24"/>
        <v>8.3376187200000007E-2</v>
      </c>
      <c r="O93">
        <f t="shared" si="22"/>
        <v>1.875964212E-2</v>
      </c>
      <c r="P93">
        <f t="shared" si="23"/>
        <v>6.1475272889192939E-2</v>
      </c>
      <c r="V93">
        <v>2.8999999999999702</v>
      </c>
      <c r="W93">
        <f t="shared" si="21"/>
        <v>-0.81910999999999801</v>
      </c>
    </row>
    <row r="94" spans="1:23">
      <c r="A94" s="5">
        <v>5.2676409499999997</v>
      </c>
      <c r="B94" s="5">
        <v>0.42421999999999999</v>
      </c>
      <c r="C94">
        <f t="shared" si="14"/>
        <v>2.2346386438089998</v>
      </c>
      <c r="D94">
        <v>1.6E-2</v>
      </c>
      <c r="E94">
        <v>3.5999999999999999E-3</v>
      </c>
      <c r="F94">
        <f t="shared" si="15"/>
        <v>1053.52819</v>
      </c>
      <c r="G94">
        <f t="shared" si="16"/>
        <v>-0.42421999999999999</v>
      </c>
      <c r="H94">
        <f t="shared" si="17"/>
        <v>-446.92772876179998</v>
      </c>
      <c r="I94">
        <v>1</v>
      </c>
      <c r="J94">
        <f t="shared" si="18"/>
        <v>5.2144712328406354E-2</v>
      </c>
      <c r="K94">
        <f t="shared" si="19"/>
        <v>-0.79750515177521741</v>
      </c>
      <c r="L94">
        <v>1</v>
      </c>
      <c r="M94">
        <f t="shared" si="20"/>
        <v>0.63143633654244202</v>
      </c>
      <c r="N94">
        <f t="shared" si="24"/>
        <v>8.4282255200000003E-2</v>
      </c>
      <c r="O94">
        <f t="shared" si="22"/>
        <v>1.8963507419999998E-2</v>
      </c>
      <c r="P94">
        <f t="shared" si="23"/>
        <v>6.282305261277539E-2</v>
      </c>
      <c r="V94">
        <v>2.9999999999999698</v>
      </c>
      <c r="W94">
        <f t="shared" si="21"/>
        <v>-0.82569999999999799</v>
      </c>
    </row>
    <row r="95" spans="1:23">
      <c r="A95" s="5">
        <v>5.3248429000000002</v>
      </c>
      <c r="B95" s="5">
        <v>0.42093999999999998</v>
      </c>
      <c r="C95">
        <f t="shared" si="14"/>
        <v>2.2414393703259998</v>
      </c>
      <c r="D95">
        <v>1.6E-2</v>
      </c>
      <c r="E95">
        <v>3.5999999999999999E-3</v>
      </c>
      <c r="F95">
        <f t="shared" si="15"/>
        <v>1064.96858</v>
      </c>
      <c r="G95">
        <f t="shared" si="16"/>
        <v>-0.42093999999999998</v>
      </c>
      <c r="H95">
        <f t="shared" si="17"/>
        <v>-448.28787406519996</v>
      </c>
      <c r="I95">
        <v>1</v>
      </c>
      <c r="J95">
        <f t="shared" si="18"/>
        <v>6.2945296378767723E-2</v>
      </c>
      <c r="K95">
        <f t="shared" si="19"/>
        <v>-0.80078515177521747</v>
      </c>
      <c r="L95">
        <v>1</v>
      </c>
      <c r="M95">
        <f t="shared" si="20"/>
        <v>0.63214809503136082</v>
      </c>
      <c r="N95">
        <f t="shared" si="24"/>
        <v>8.5197486400000008E-2</v>
      </c>
      <c r="O95">
        <f t="shared" si="22"/>
        <v>1.9169434440000001E-2</v>
      </c>
      <c r="P95">
        <f t="shared" si="23"/>
        <v>6.4270135903856634E-2</v>
      </c>
      <c r="V95">
        <v>3.0999999999999699</v>
      </c>
      <c r="W95">
        <f t="shared" si="21"/>
        <v>-0.83228999999999798</v>
      </c>
    </row>
    <row r="96" spans="1:23">
      <c r="A96" s="5">
        <v>5.3837610500000004</v>
      </c>
      <c r="B96" s="5">
        <v>0.41776999999999997</v>
      </c>
      <c r="C96">
        <f t="shared" si="14"/>
        <v>2.2491738538585002</v>
      </c>
      <c r="D96">
        <v>1.6E-2</v>
      </c>
      <c r="E96">
        <v>3.5999999999999999E-3</v>
      </c>
      <c r="F96">
        <f t="shared" si="15"/>
        <v>1076.7522100000001</v>
      </c>
      <c r="G96">
        <f t="shared" si="16"/>
        <v>-0.41776999999999997</v>
      </c>
      <c r="H96">
        <f t="shared" si="17"/>
        <v>-449.83477077170005</v>
      </c>
      <c r="I96">
        <v>1</v>
      </c>
      <c r="J96">
        <f t="shared" si="18"/>
        <v>7.3949297422695612E-2</v>
      </c>
      <c r="K96">
        <f t="shared" si="19"/>
        <v>-0.80395515177521748</v>
      </c>
      <c r="L96">
        <v>1</v>
      </c>
      <c r="M96">
        <f t="shared" si="20"/>
        <v>0.63287325870015565</v>
      </c>
      <c r="N96">
        <f t="shared" si="24"/>
        <v>8.614017680000001E-2</v>
      </c>
      <c r="O96">
        <f t="shared" si="22"/>
        <v>1.9381539780000002E-2</v>
      </c>
      <c r="P96">
        <f t="shared" si="23"/>
        <v>6.5560176495061823E-2</v>
      </c>
      <c r="V96">
        <v>3.19999999999997</v>
      </c>
      <c r="W96">
        <f t="shared" si="21"/>
        <v>-0.83887999999999807</v>
      </c>
    </row>
    <row r="97" spans="1:23">
      <c r="A97" s="5">
        <v>5.4409624499999998</v>
      </c>
      <c r="B97" s="5">
        <v>0.41464000000000001</v>
      </c>
      <c r="C97">
        <f t="shared" si="14"/>
        <v>2.2560406702679998</v>
      </c>
      <c r="D97">
        <v>1.6E-2</v>
      </c>
      <c r="E97">
        <v>3.5999999999999999E-3</v>
      </c>
      <c r="F97">
        <f t="shared" si="15"/>
        <v>1088.1924899999999</v>
      </c>
      <c r="G97">
        <f t="shared" si="16"/>
        <v>-0.41464000000000001</v>
      </c>
      <c r="H97">
        <f t="shared" si="17"/>
        <v>-451.20813405359996</v>
      </c>
      <c r="I97">
        <v>1</v>
      </c>
      <c r="J97">
        <f t="shared" si="18"/>
        <v>8.4518053740966576E-2</v>
      </c>
      <c r="K97">
        <f t="shared" si="19"/>
        <v>-0.80708515177521745</v>
      </c>
      <c r="L97">
        <v>1</v>
      </c>
      <c r="M97">
        <f t="shared" si="20"/>
        <v>0.63356973974152975</v>
      </c>
      <c r="N97">
        <f t="shared" si="24"/>
        <v>8.7055399199999994E-2</v>
      </c>
      <c r="O97">
        <f t="shared" si="22"/>
        <v>1.9587464819999997E-2</v>
      </c>
      <c r="P97">
        <f t="shared" si="23"/>
        <v>6.6872548013687708E-2</v>
      </c>
      <c r="V97">
        <v>3.2999999999999701</v>
      </c>
      <c r="W97">
        <f t="shared" si="21"/>
        <v>-0.84546999999999806</v>
      </c>
    </row>
    <row r="98" spans="1:23">
      <c r="A98" s="5">
        <v>5.4987364999999997</v>
      </c>
      <c r="B98" s="5">
        <v>0.41167999999999999</v>
      </c>
      <c r="C98">
        <f t="shared" si="14"/>
        <v>2.26371984232</v>
      </c>
      <c r="D98">
        <v>1.6E-2</v>
      </c>
      <c r="E98">
        <v>3.5999999999999999E-3</v>
      </c>
      <c r="F98">
        <f t="shared" si="15"/>
        <v>1099.7473</v>
      </c>
      <c r="G98">
        <f t="shared" si="16"/>
        <v>-0.41167999999999999</v>
      </c>
      <c r="H98">
        <f t="shared" si="17"/>
        <v>-452.74396846399998</v>
      </c>
      <c r="I98">
        <v>1</v>
      </c>
      <c r="J98">
        <f t="shared" si="18"/>
        <v>9.50804261402457E-2</v>
      </c>
      <c r="K98">
        <f t="shared" si="19"/>
        <v>-0.81004515177521741</v>
      </c>
      <c r="L98">
        <v>1</v>
      </c>
      <c r="M98">
        <f t="shared" si="20"/>
        <v>0.63426580008264222</v>
      </c>
      <c r="N98">
        <f t="shared" si="24"/>
        <v>8.7979783999999991E-2</v>
      </c>
      <c r="O98">
        <f t="shared" si="22"/>
        <v>1.9795451399999997E-2</v>
      </c>
      <c r="P98">
        <f t="shared" si="23"/>
        <v>6.8004116292575204E-2</v>
      </c>
      <c r="V98">
        <v>3.3999999999999702</v>
      </c>
      <c r="W98">
        <f t="shared" si="21"/>
        <v>-0.85205999999999804</v>
      </c>
    </row>
    <row r="99" spans="1:23">
      <c r="A99" s="5">
        <v>5.5559378000000006</v>
      </c>
      <c r="B99" s="5">
        <v>0.40849000000000002</v>
      </c>
      <c r="C99">
        <f t="shared" si="14"/>
        <v>2.2695450319220005</v>
      </c>
      <c r="D99">
        <v>1.6E-2</v>
      </c>
      <c r="E99">
        <v>3.5999999999999999E-3</v>
      </c>
      <c r="F99">
        <f t="shared" si="15"/>
        <v>1111.1875600000001</v>
      </c>
      <c r="G99">
        <f t="shared" si="16"/>
        <v>-0.40849000000000002</v>
      </c>
      <c r="H99">
        <f t="shared" si="17"/>
        <v>-453.90900638440013</v>
      </c>
      <c r="I99">
        <v>1</v>
      </c>
      <c r="J99">
        <f t="shared" si="18"/>
        <v>0.10542931729093973</v>
      </c>
      <c r="K99">
        <f t="shared" si="19"/>
        <v>-0.81323515177521744</v>
      </c>
      <c r="L99">
        <v>1</v>
      </c>
      <c r="M99">
        <f t="shared" si="20"/>
        <v>0.63494779200947293</v>
      </c>
      <c r="N99">
        <f t="shared" si="24"/>
        <v>8.889500480000001E-2</v>
      </c>
      <c r="O99">
        <f t="shared" si="22"/>
        <v>2.0001376080000001E-2</v>
      </c>
      <c r="P99">
        <f t="shared" si="23"/>
        <v>6.9390978885744498E-2</v>
      </c>
      <c r="V99">
        <v>3.4999999999999698</v>
      </c>
      <c r="W99">
        <f t="shared" si="21"/>
        <v>-0.85864999999999803</v>
      </c>
    </row>
    <row r="100" spans="1:23">
      <c r="A100" s="5">
        <v>5.6131397500000002</v>
      </c>
      <c r="B100" s="5">
        <v>0.40522999999999998</v>
      </c>
      <c r="C100">
        <f t="shared" si="14"/>
        <v>2.2746126208924999</v>
      </c>
      <c r="D100">
        <v>1.6E-2</v>
      </c>
      <c r="E100">
        <v>3.5999999999999999E-3</v>
      </c>
      <c r="F100">
        <f t="shared" si="15"/>
        <v>1122.6279500000001</v>
      </c>
      <c r="G100">
        <f t="shared" si="16"/>
        <v>-0.40522999999999998</v>
      </c>
      <c r="H100">
        <f t="shared" si="17"/>
        <v>-454.9225241785</v>
      </c>
      <c r="I100">
        <v>1</v>
      </c>
      <c r="J100">
        <f t="shared" si="18"/>
        <v>0.11567232077526032</v>
      </c>
      <c r="K100">
        <f t="shared" si="19"/>
        <v>-0.81649515177521748</v>
      </c>
      <c r="L100">
        <v>1</v>
      </c>
      <c r="M100">
        <f t="shared" si="20"/>
        <v>0.63562280593908971</v>
      </c>
      <c r="N100">
        <f t="shared" si="24"/>
        <v>8.9810236000000002E-2</v>
      </c>
      <c r="O100">
        <f t="shared" si="22"/>
        <v>2.0207303100000001E-2</v>
      </c>
      <c r="P100">
        <f t="shared" si="23"/>
        <v>7.0854806736127762E-2</v>
      </c>
      <c r="V100">
        <v>3.5999999999999699</v>
      </c>
      <c r="W100">
        <f t="shared" si="21"/>
        <v>-0.86523999999999801</v>
      </c>
    </row>
    <row r="101" spans="1:23">
      <c r="A101" s="5">
        <v>5.6709131500000005</v>
      </c>
      <c r="B101" s="5">
        <v>0.40253</v>
      </c>
      <c r="C101">
        <f t="shared" si="14"/>
        <v>2.2827126702695004</v>
      </c>
      <c r="D101">
        <v>1.6E-2</v>
      </c>
      <c r="E101">
        <v>3.5999999999999999E-3</v>
      </c>
      <c r="F101">
        <f t="shared" si="15"/>
        <v>1134.18263</v>
      </c>
      <c r="G101">
        <f t="shared" si="16"/>
        <v>-0.40253</v>
      </c>
      <c r="H101">
        <f t="shared" si="17"/>
        <v>-456.54253405390011</v>
      </c>
      <c r="I101">
        <v>1</v>
      </c>
      <c r="J101">
        <f t="shared" si="18"/>
        <v>0.12591224172121673</v>
      </c>
      <c r="K101">
        <f t="shared" si="19"/>
        <v>-0.8191951517752174</v>
      </c>
      <c r="L101">
        <v>1</v>
      </c>
      <c r="M101">
        <f t="shared" si="20"/>
        <v>0.63629761672942819</v>
      </c>
      <c r="N101">
        <f t="shared" si="24"/>
        <v>9.0734610400000013E-2</v>
      </c>
      <c r="O101">
        <f t="shared" si="22"/>
        <v>2.0415287340000001E-2</v>
      </c>
      <c r="P101">
        <f t="shared" si="23"/>
        <v>7.1747637305789189E-2</v>
      </c>
      <c r="V101">
        <v>3.69999999999997</v>
      </c>
      <c r="W101">
        <f t="shared" si="21"/>
        <v>-0.871829999999998</v>
      </c>
    </row>
    <row r="102" spans="1:23">
      <c r="A102" s="5">
        <v>5.7292586999999999</v>
      </c>
      <c r="B102" s="5">
        <v>0.39912999999999998</v>
      </c>
      <c r="C102">
        <f t="shared" si="14"/>
        <v>2.2867190249310001</v>
      </c>
      <c r="D102">
        <v>1.6E-2</v>
      </c>
      <c r="E102">
        <v>3.5999999999999999E-3</v>
      </c>
      <c r="F102">
        <f t="shared" si="15"/>
        <v>1145.8517400000001</v>
      </c>
      <c r="G102">
        <f t="shared" si="16"/>
        <v>-0.39912999999999998</v>
      </c>
      <c r="H102">
        <f t="shared" si="17"/>
        <v>-457.34380498620004</v>
      </c>
      <c r="I102">
        <v>1</v>
      </c>
      <c r="J102">
        <f t="shared" si="18"/>
        <v>0.13614823819555544</v>
      </c>
      <c r="K102">
        <f t="shared" si="19"/>
        <v>-0.82259515177521747</v>
      </c>
      <c r="L102">
        <v>1</v>
      </c>
      <c r="M102">
        <f t="shared" si="20"/>
        <v>0.63697216889708708</v>
      </c>
      <c r="N102">
        <f t="shared" si="24"/>
        <v>9.1668139199999998E-2</v>
      </c>
      <c r="O102">
        <f t="shared" si="22"/>
        <v>2.0625331319999999E-2</v>
      </c>
      <c r="P102">
        <f t="shared" si="23"/>
        <v>7.33295123581304E-2</v>
      </c>
      <c r="V102">
        <v>3.7999999999999701</v>
      </c>
      <c r="W102">
        <f t="shared" si="21"/>
        <v>-0.87841999999999798</v>
      </c>
    </row>
    <row r="103" spans="1:23">
      <c r="A103" s="5">
        <v>5.7870333500000006</v>
      </c>
      <c r="B103" s="5">
        <v>0.39610000000000001</v>
      </c>
      <c r="C103">
        <f t="shared" si="14"/>
        <v>2.2922439099350003</v>
      </c>
      <c r="D103">
        <v>1.6E-2</v>
      </c>
      <c r="E103">
        <v>3.5999999999999999E-3</v>
      </c>
      <c r="F103">
        <f t="shared" si="15"/>
        <v>1157.4066700000001</v>
      </c>
      <c r="G103">
        <f t="shared" si="16"/>
        <v>-0.39610000000000001</v>
      </c>
      <c r="H103">
        <f t="shared" si="17"/>
        <v>-458.44878198700007</v>
      </c>
      <c r="I103">
        <v>1</v>
      </c>
      <c r="J103">
        <f t="shared" si="18"/>
        <v>0.14618187305787855</v>
      </c>
      <c r="K103">
        <f t="shared" si="19"/>
        <v>-0.82562515177521745</v>
      </c>
      <c r="L103">
        <v>1</v>
      </c>
      <c r="M103">
        <f t="shared" si="20"/>
        <v>0.6376333854345142</v>
      </c>
      <c r="N103">
        <f t="shared" si="24"/>
        <v>9.2592533600000013E-2</v>
      </c>
      <c r="O103">
        <f t="shared" si="22"/>
        <v>2.083332006E-2</v>
      </c>
      <c r="P103">
        <f t="shared" si="23"/>
        <v>7.4565912680703228E-2</v>
      </c>
      <c r="V103">
        <v>3.8999999999999599</v>
      </c>
      <c r="W103">
        <f t="shared" si="21"/>
        <v>-0.88500999999999741</v>
      </c>
    </row>
    <row r="104" spans="1:23">
      <c r="A104" s="5">
        <v>5.8448067500000001</v>
      </c>
      <c r="B104" s="5">
        <v>0.39246999999999999</v>
      </c>
      <c r="C104">
        <f t="shared" si="14"/>
        <v>2.2939113051724997</v>
      </c>
      <c r="D104">
        <v>1.6E-2</v>
      </c>
      <c r="E104">
        <v>3.5999999999999999E-3</v>
      </c>
      <c r="F104">
        <f t="shared" si="15"/>
        <v>1168.96135</v>
      </c>
      <c r="G104">
        <f t="shared" si="16"/>
        <v>-0.39246999999999999</v>
      </c>
      <c r="H104">
        <f t="shared" si="17"/>
        <v>-458.78226103449992</v>
      </c>
      <c r="I104">
        <v>1</v>
      </c>
      <c r="J104">
        <f t="shared" si="18"/>
        <v>0.15611561949682112</v>
      </c>
      <c r="K104">
        <f t="shared" si="19"/>
        <v>-0.82925515177521747</v>
      </c>
      <c r="L104">
        <v>1</v>
      </c>
      <c r="M104">
        <f t="shared" si="20"/>
        <v>0.63828801932484047</v>
      </c>
      <c r="N104">
        <f t="shared" si="24"/>
        <v>9.351690800000001E-2</v>
      </c>
      <c r="O104">
        <f t="shared" si="22"/>
        <v>2.1041304300000001E-2</v>
      </c>
      <c r="P104">
        <f t="shared" si="23"/>
        <v>7.640892015037698E-2</v>
      </c>
      <c r="V104">
        <v>3.99999999999996</v>
      </c>
      <c r="W104">
        <f t="shared" si="21"/>
        <v>-0.89159999999999739</v>
      </c>
    </row>
    <row r="105" spans="1:23">
      <c r="A105" s="5">
        <v>5.9014365499999997</v>
      </c>
      <c r="B105" s="5">
        <v>0.38940000000000002</v>
      </c>
      <c r="C105">
        <f t="shared" si="14"/>
        <v>2.2980193925700001</v>
      </c>
      <c r="D105">
        <v>1.6E-2</v>
      </c>
      <c r="E105">
        <v>3.5999999999999999E-3</v>
      </c>
      <c r="F105">
        <f t="shared" si="15"/>
        <v>1180.2873099999999</v>
      </c>
      <c r="G105">
        <f t="shared" si="16"/>
        <v>-0.38940000000000002</v>
      </c>
      <c r="H105">
        <f t="shared" si="17"/>
        <v>-459.60387851400003</v>
      </c>
      <c r="I105">
        <v>1</v>
      </c>
      <c r="J105">
        <f t="shared" si="18"/>
        <v>0.16575789189123347</v>
      </c>
      <c r="K105">
        <f t="shared" si="19"/>
        <v>-0.83232515177521749</v>
      </c>
      <c r="L105">
        <v>1</v>
      </c>
      <c r="M105">
        <f t="shared" si="20"/>
        <v>0.63892344507563226</v>
      </c>
      <c r="N105">
        <f t="shared" si="24"/>
        <v>9.4422984799999998E-2</v>
      </c>
      <c r="O105">
        <f t="shared" si="22"/>
        <v>2.124517158E-2</v>
      </c>
      <c r="P105">
        <f t="shared" si="23"/>
        <v>7.7733550319585232E-2</v>
      </c>
      <c r="V105">
        <v>4.0999999999999996</v>
      </c>
      <c r="W105">
        <f t="shared" si="21"/>
        <v>-0.89819000000000004</v>
      </c>
    </row>
    <row r="106" spans="1:23">
      <c r="A106" s="5">
        <v>5.9592100000000006</v>
      </c>
      <c r="B106" s="5">
        <v>0.38621</v>
      </c>
      <c r="C106">
        <f t="shared" si="14"/>
        <v>2.3015064941000003</v>
      </c>
      <c r="D106">
        <v>1.6E-2</v>
      </c>
      <c r="E106">
        <v>3.5999999999999999E-3</v>
      </c>
      <c r="F106">
        <f t="shared" si="15"/>
        <v>1191.8420000000001</v>
      </c>
      <c r="G106">
        <f t="shared" si="16"/>
        <v>-0.38621</v>
      </c>
      <c r="H106">
        <f t="shared" si="17"/>
        <v>-460.30129882000006</v>
      </c>
      <c r="I106">
        <v>1</v>
      </c>
      <c r="J106">
        <f t="shared" si="18"/>
        <v>0.1755000095220155</v>
      </c>
      <c r="K106">
        <f t="shared" si="19"/>
        <v>-0.83551515177521751</v>
      </c>
      <c r="L106">
        <v>1</v>
      </c>
      <c r="M106">
        <f t="shared" si="20"/>
        <v>0.63956545062750081</v>
      </c>
      <c r="N106">
        <f t="shared" si="24"/>
        <v>9.5347360000000006E-2</v>
      </c>
      <c r="O106">
        <f t="shared" si="22"/>
        <v>2.1453156000000001E-2</v>
      </c>
      <c r="P106">
        <f t="shared" si="23"/>
        <v>7.9149185147716697E-2</v>
      </c>
      <c r="V106">
        <v>4.2</v>
      </c>
      <c r="W106">
        <f t="shared" si="21"/>
        <v>-0.90478000000000003</v>
      </c>
    </row>
    <row r="107" spans="1:23">
      <c r="A107" s="5">
        <v>6.0164119000000005</v>
      </c>
      <c r="B107" s="5">
        <v>0.38306000000000001</v>
      </c>
      <c r="C107">
        <f t="shared" si="14"/>
        <v>2.3046467424140005</v>
      </c>
      <c r="D107">
        <v>1.6E-2</v>
      </c>
      <c r="E107">
        <v>3.5999999999999999E-3</v>
      </c>
      <c r="F107">
        <f t="shared" si="15"/>
        <v>1203.2823800000001</v>
      </c>
      <c r="G107">
        <f t="shared" si="16"/>
        <v>-0.38306000000000001</v>
      </c>
      <c r="H107">
        <f t="shared" si="17"/>
        <v>-460.92934848280009</v>
      </c>
      <c r="I107">
        <v>1</v>
      </c>
      <c r="J107">
        <f t="shared" si="18"/>
        <v>0.18505313928986433</v>
      </c>
      <c r="K107">
        <f t="shared" si="19"/>
        <v>-0.8386651517752175</v>
      </c>
      <c r="L107">
        <v>1</v>
      </c>
      <c r="M107">
        <f t="shared" si="20"/>
        <v>0.64019500187920209</v>
      </c>
      <c r="N107">
        <f t="shared" si="24"/>
        <v>9.6262590400000014E-2</v>
      </c>
      <c r="O107">
        <f t="shared" si="22"/>
        <v>2.165908284E-2</v>
      </c>
      <c r="P107">
        <f t="shared" si="23"/>
        <v>8.0548476656015403E-2</v>
      </c>
      <c r="V107">
        <v>4.3</v>
      </c>
      <c r="W107">
        <f t="shared" si="21"/>
        <v>-0.91137000000000001</v>
      </c>
    </row>
    <row r="108" spans="1:23">
      <c r="A108" s="5">
        <v>6.0741858999999998</v>
      </c>
      <c r="B108" s="5">
        <v>0.37941000000000003</v>
      </c>
      <c r="C108">
        <f t="shared" si="14"/>
        <v>2.3046068723190003</v>
      </c>
      <c r="D108">
        <v>1.6E-2</v>
      </c>
      <c r="E108">
        <v>3.5999999999999999E-3</v>
      </c>
      <c r="F108">
        <f t="shared" si="15"/>
        <v>1214.83718</v>
      </c>
      <c r="G108">
        <f t="shared" si="16"/>
        <v>-0.37941000000000003</v>
      </c>
      <c r="H108">
        <f t="shared" si="17"/>
        <v>-460.92137446380008</v>
      </c>
      <c r="I108">
        <v>1</v>
      </c>
      <c r="J108">
        <f t="shared" si="18"/>
        <v>0.19461005958215388</v>
      </c>
      <c r="K108">
        <f t="shared" si="19"/>
        <v>-0.84231515177521743</v>
      </c>
      <c r="L108">
        <v>1</v>
      </c>
      <c r="M108">
        <f t="shared" si="20"/>
        <v>0.64082480292646393</v>
      </c>
      <c r="N108">
        <f t="shared" si="24"/>
        <v>9.7186974400000001E-2</v>
      </c>
      <c r="O108">
        <f t="shared" si="22"/>
        <v>2.1867069239999998E-2</v>
      </c>
      <c r="P108">
        <f t="shared" si="23"/>
        <v>8.2436305208753502E-2</v>
      </c>
      <c r="V108">
        <v>4.4000000000000004</v>
      </c>
      <c r="W108">
        <f t="shared" si="21"/>
        <v>-0.91796000000000011</v>
      </c>
    </row>
    <row r="109" spans="1:23">
      <c r="A109" s="5">
        <v>6.1348200499999992</v>
      </c>
      <c r="B109" s="5">
        <v>0.37619000000000002</v>
      </c>
      <c r="C109">
        <f t="shared" si="14"/>
        <v>2.3078579546094997</v>
      </c>
      <c r="D109">
        <v>1.6E-2</v>
      </c>
      <c r="E109">
        <v>3.5999999999999999E-3</v>
      </c>
      <c r="F109">
        <f t="shared" si="15"/>
        <v>1226.9640099999999</v>
      </c>
      <c r="G109">
        <f t="shared" si="16"/>
        <v>-0.37619000000000002</v>
      </c>
      <c r="H109">
        <f t="shared" si="17"/>
        <v>-461.57159092189994</v>
      </c>
      <c r="I109">
        <v>1</v>
      </c>
      <c r="J109">
        <f t="shared" si="18"/>
        <v>0.20454283359525</v>
      </c>
      <c r="K109">
        <f t="shared" si="19"/>
        <v>-0.84553515177521743</v>
      </c>
      <c r="L109">
        <v>1</v>
      </c>
      <c r="M109">
        <f t="shared" si="20"/>
        <v>0.64147937273392697</v>
      </c>
      <c r="N109">
        <f t="shared" si="24"/>
        <v>9.8157120799999983E-2</v>
      </c>
      <c r="O109">
        <f t="shared" si="22"/>
        <v>2.2085352179999997E-2</v>
      </c>
      <c r="P109">
        <f t="shared" si="23"/>
        <v>8.3813306061290477E-2</v>
      </c>
      <c r="V109">
        <v>4.5</v>
      </c>
      <c r="W109">
        <f t="shared" si="21"/>
        <v>-0.92454999999999998</v>
      </c>
    </row>
    <row r="110" spans="1:23">
      <c r="A110" s="5">
        <v>6.1914493000000004</v>
      </c>
      <c r="B110" s="5">
        <v>0.37307000000000001</v>
      </c>
      <c r="C110">
        <f t="shared" si="14"/>
        <v>2.3098439903510002</v>
      </c>
      <c r="D110">
        <v>1.6E-2</v>
      </c>
      <c r="E110">
        <v>3.5999999999999999E-3</v>
      </c>
      <c r="F110">
        <f t="shared" si="15"/>
        <v>1238.2898600000001</v>
      </c>
      <c r="G110">
        <f t="shared" si="16"/>
        <v>-0.37307000000000001</v>
      </c>
      <c r="H110">
        <f t="shared" si="17"/>
        <v>-461.96879807020002</v>
      </c>
      <c r="I110">
        <v>1</v>
      </c>
      <c r="J110">
        <f t="shared" si="18"/>
        <v>0.21373128255966478</v>
      </c>
      <c r="K110">
        <f t="shared" si="19"/>
        <v>-0.84865515177521744</v>
      </c>
      <c r="L110">
        <v>1</v>
      </c>
      <c r="M110">
        <f t="shared" si="20"/>
        <v>0.64208489152068193</v>
      </c>
      <c r="N110">
        <f t="shared" si="24"/>
        <v>9.9063188800000007E-2</v>
      </c>
      <c r="O110">
        <f t="shared" si="22"/>
        <v>2.2289217480000002E-2</v>
      </c>
      <c r="P110">
        <f t="shared" si="23"/>
        <v>8.5217853974535504E-2</v>
      </c>
      <c r="V110">
        <v>4.5999999999999996</v>
      </c>
      <c r="W110">
        <f t="shared" si="21"/>
        <v>-0.93113999999999997</v>
      </c>
    </row>
    <row r="111" spans="1:23">
      <c r="A111" s="5">
        <v>6.2560871499999999</v>
      </c>
      <c r="B111" s="5">
        <v>0.36929000000000001</v>
      </c>
      <c r="C111">
        <f t="shared" si="14"/>
        <v>2.3103104236235001</v>
      </c>
      <c r="D111">
        <v>1.6E-2</v>
      </c>
      <c r="E111">
        <v>3.5999999999999999E-3</v>
      </c>
      <c r="F111">
        <f t="shared" si="15"/>
        <v>1251.2174299999999</v>
      </c>
      <c r="G111">
        <f t="shared" si="16"/>
        <v>-0.36929000000000001</v>
      </c>
      <c r="H111">
        <f t="shared" si="17"/>
        <v>-462.06208472470001</v>
      </c>
      <c r="I111">
        <v>1</v>
      </c>
      <c r="J111">
        <f t="shared" si="18"/>
        <v>0.22411702133847766</v>
      </c>
      <c r="K111">
        <f t="shared" si="19"/>
        <v>-0.85243515177521745</v>
      </c>
      <c r="L111">
        <v>1</v>
      </c>
      <c r="M111">
        <f t="shared" si="20"/>
        <v>0.64276931170620566</v>
      </c>
      <c r="N111">
        <f t="shared" si="24"/>
        <v>0.1000973944</v>
      </c>
      <c r="O111">
        <f t="shared" si="22"/>
        <v>2.252191374E-2</v>
      </c>
      <c r="P111">
        <f t="shared" si="23"/>
        <v>8.7046531929011794E-2</v>
      </c>
      <c r="V111">
        <v>4.7</v>
      </c>
      <c r="W111">
        <f t="shared" si="21"/>
        <v>-0.93772999999999995</v>
      </c>
    </row>
    <row r="112" spans="1:23">
      <c r="A112" s="5">
        <v>6.3127167999999996</v>
      </c>
      <c r="B112" s="5">
        <v>0.36554999999999999</v>
      </c>
      <c r="C112">
        <f t="shared" si="14"/>
        <v>2.3076136262399998</v>
      </c>
      <c r="D112">
        <v>1.6E-2</v>
      </c>
      <c r="E112">
        <v>3.5999999999999999E-3</v>
      </c>
      <c r="F112">
        <f t="shared" si="15"/>
        <v>1262.5433599999999</v>
      </c>
      <c r="G112">
        <f t="shared" si="16"/>
        <v>-0.36554999999999999</v>
      </c>
      <c r="H112">
        <f t="shared" si="17"/>
        <v>-461.52272524799997</v>
      </c>
      <c r="I112">
        <v>1</v>
      </c>
      <c r="J112">
        <f t="shared" si="18"/>
        <v>0.23312822613207257</v>
      </c>
      <c r="K112">
        <f t="shared" si="19"/>
        <v>-0.85617515177521741</v>
      </c>
      <c r="L112">
        <v>1</v>
      </c>
      <c r="M112">
        <f t="shared" si="20"/>
        <v>0.64336315010210354</v>
      </c>
      <c r="N112">
        <f t="shared" si="24"/>
        <v>0.1010034688</v>
      </c>
      <c r="O112">
        <f t="shared" si="22"/>
        <v>2.2725780479999999E-2</v>
      </c>
      <c r="P112">
        <f t="shared" si="23"/>
        <v>8.9082752393113876E-2</v>
      </c>
      <c r="V112">
        <v>4.8</v>
      </c>
      <c r="W112">
        <f t="shared" si="21"/>
        <v>-0.94432000000000005</v>
      </c>
    </row>
    <row r="113" spans="1:23">
      <c r="A113">
        <v>6.3704909000000001</v>
      </c>
      <c r="B113">
        <v>0.36260999999999999</v>
      </c>
      <c r="C113">
        <f t="shared" si="14"/>
        <v>2.3100037052490001</v>
      </c>
      <c r="D113">
        <v>1.6E-2</v>
      </c>
      <c r="E113">
        <v>3.5999999999999999E-3</v>
      </c>
      <c r="F113">
        <f t="shared" si="15"/>
        <v>1274.09818</v>
      </c>
      <c r="G113">
        <f t="shared" si="16"/>
        <v>-0.36260999999999999</v>
      </c>
      <c r="H113">
        <f t="shared" si="17"/>
        <v>-462.00074104980001</v>
      </c>
      <c r="I113">
        <v>1</v>
      </c>
      <c r="J113">
        <f t="shared" si="18"/>
        <v>0.24223861854487325</v>
      </c>
      <c r="K113">
        <f t="shared" si="19"/>
        <v>-0.85911515177521747</v>
      </c>
      <c r="L113">
        <v>1</v>
      </c>
      <c r="M113">
        <f t="shared" si="20"/>
        <v>0.64396352496210718</v>
      </c>
      <c r="N113">
        <f t="shared" si="24"/>
        <v>0.1019278544</v>
      </c>
      <c r="O113">
        <f t="shared" si="22"/>
        <v>2.293376724E-2</v>
      </c>
      <c r="P113">
        <f t="shared" si="23"/>
        <v>9.0290005173110283E-2</v>
      </c>
      <c r="V113">
        <v>4.9000000000000004</v>
      </c>
      <c r="W113">
        <f t="shared" si="21"/>
        <v>-0.95091000000000003</v>
      </c>
    </row>
    <row r="114" spans="1:23">
      <c r="A114">
        <v>6.4288364500000004</v>
      </c>
      <c r="B114">
        <v>0.35891000000000001</v>
      </c>
      <c r="C114">
        <f t="shared" si="14"/>
        <v>2.3073736902695003</v>
      </c>
      <c r="D114">
        <v>1.6E-2</v>
      </c>
      <c r="E114">
        <v>3.5999999999999999E-3</v>
      </c>
      <c r="F114">
        <f t="shared" si="15"/>
        <v>1285.76729</v>
      </c>
      <c r="G114">
        <f t="shared" si="16"/>
        <v>-0.35891000000000001</v>
      </c>
      <c r="H114">
        <f t="shared" si="17"/>
        <v>-461.47473805390007</v>
      </c>
      <c r="I114">
        <v>1</v>
      </c>
      <c r="J114">
        <f t="shared" si="18"/>
        <v>0.2513556529867117</v>
      </c>
      <c r="K114">
        <f t="shared" si="19"/>
        <v>-0.86281515177521739</v>
      </c>
      <c r="L114">
        <v>1</v>
      </c>
      <c r="M114">
        <f t="shared" si="20"/>
        <v>0.64456433753182429</v>
      </c>
      <c r="N114">
        <f t="shared" si="24"/>
        <v>0.1028613832</v>
      </c>
      <c r="O114">
        <f t="shared" si="22"/>
        <v>2.3143811220000001E-2</v>
      </c>
      <c r="P114">
        <f t="shared" si="23"/>
        <v>9.2245619823393091E-2</v>
      </c>
      <c r="V114">
        <v>5</v>
      </c>
      <c r="W114">
        <f t="shared" si="21"/>
        <v>-0.95750000000000002</v>
      </c>
    </row>
    <row r="115" spans="1:23">
      <c r="A115">
        <v>6.4877542000000004</v>
      </c>
      <c r="B115">
        <v>0.35564000000000001</v>
      </c>
      <c r="C115">
        <f t="shared" si="14"/>
        <v>2.3073049036880002</v>
      </c>
      <c r="D115">
        <v>1.6E-2</v>
      </c>
      <c r="E115">
        <v>3.5999999999999999E-3</v>
      </c>
      <c r="F115">
        <f t="shared" si="15"/>
        <v>1297.5508400000001</v>
      </c>
      <c r="G115">
        <f t="shared" si="16"/>
        <v>-0.35564000000000001</v>
      </c>
      <c r="H115">
        <f t="shared" si="17"/>
        <v>-461.46098073760004</v>
      </c>
      <c r="I115">
        <v>1</v>
      </c>
      <c r="J115">
        <f t="shared" si="18"/>
        <v>0.26047851833458735</v>
      </c>
      <c r="K115">
        <f t="shared" si="19"/>
        <v>-0.8660851517752175</v>
      </c>
      <c r="L115">
        <v>1</v>
      </c>
      <c r="M115">
        <f t="shared" si="20"/>
        <v>0.6451655343582493</v>
      </c>
      <c r="N115">
        <f t="shared" si="24"/>
        <v>0.1038040672</v>
      </c>
      <c r="O115">
        <f t="shared" si="22"/>
        <v>2.3355915120000001E-2</v>
      </c>
      <c r="P115">
        <f t="shared" si="23"/>
        <v>9.3759635096968191E-2</v>
      </c>
      <c r="V115">
        <v>5.0999999999999996</v>
      </c>
      <c r="W115">
        <f t="shared" si="21"/>
        <v>-0.96409</v>
      </c>
    </row>
    <row r="116" spans="1:23">
      <c r="A116">
        <v>6.5449565500000002</v>
      </c>
      <c r="B116">
        <v>0.35239999999999999</v>
      </c>
      <c r="C116">
        <f t="shared" si="14"/>
        <v>2.3064426882200002</v>
      </c>
      <c r="D116">
        <v>1.6E-2</v>
      </c>
      <c r="E116">
        <v>3.5999999999999999E-3</v>
      </c>
      <c r="F116">
        <f t="shared" si="15"/>
        <v>1308.9913100000001</v>
      </c>
      <c r="G116">
        <f t="shared" si="16"/>
        <v>-0.35239999999999999</v>
      </c>
      <c r="H116">
        <f t="shared" si="17"/>
        <v>-461.28853764400003</v>
      </c>
      <c r="I116">
        <v>1</v>
      </c>
      <c r="J116">
        <f t="shared" si="18"/>
        <v>0.2692568482502648</v>
      </c>
      <c r="K116">
        <f t="shared" si="19"/>
        <v>-0.86932515177521741</v>
      </c>
      <c r="L116">
        <v>1</v>
      </c>
      <c r="M116">
        <f t="shared" si="20"/>
        <v>0.64574402629969241</v>
      </c>
      <c r="N116">
        <f t="shared" si="24"/>
        <v>0.10471930480000001</v>
      </c>
      <c r="O116">
        <f t="shared" si="22"/>
        <v>2.3561843579999998E-2</v>
      </c>
      <c r="P116">
        <f t="shared" si="23"/>
        <v>9.5299977095524985E-2</v>
      </c>
      <c r="V116">
        <v>5.2</v>
      </c>
      <c r="W116">
        <f t="shared" si="21"/>
        <v>-0.97067999999999999</v>
      </c>
    </row>
    <row r="117" spans="1:23">
      <c r="A117">
        <v>6.6021579499999996</v>
      </c>
      <c r="B117">
        <v>0.34842000000000001</v>
      </c>
      <c r="C117">
        <f t="shared" si="14"/>
        <v>2.3003238729389999</v>
      </c>
      <c r="D117">
        <v>1.6E-2</v>
      </c>
      <c r="E117">
        <v>3.5999999999999999E-3</v>
      </c>
      <c r="F117">
        <f t="shared" si="15"/>
        <v>1320.4315899999999</v>
      </c>
      <c r="G117">
        <f t="shared" si="16"/>
        <v>-0.34842000000000001</v>
      </c>
      <c r="H117">
        <f t="shared" si="17"/>
        <v>-460.0647745878</v>
      </c>
      <c r="I117">
        <v>1</v>
      </c>
      <c r="J117">
        <f t="shared" si="18"/>
        <v>0.27795864527902553</v>
      </c>
      <c r="K117">
        <f t="shared" si="19"/>
        <v>-0.8733051517752175</v>
      </c>
      <c r="L117">
        <v>1</v>
      </c>
      <c r="M117">
        <f t="shared" si="20"/>
        <v>0.64631747472388779</v>
      </c>
      <c r="N117">
        <f t="shared" si="24"/>
        <v>0.10563452719999999</v>
      </c>
      <c r="O117">
        <f t="shared" si="22"/>
        <v>2.3767768619999997E-2</v>
      </c>
      <c r="P117">
        <f t="shared" si="23"/>
        <v>9.7585381231329732E-2</v>
      </c>
      <c r="V117">
        <v>5.3</v>
      </c>
      <c r="W117">
        <f t="shared" si="21"/>
        <v>-0.97726999999999997</v>
      </c>
    </row>
    <row r="118" spans="1:23">
      <c r="A118">
        <v>6.6610756499999999</v>
      </c>
      <c r="B118">
        <v>0.34508</v>
      </c>
      <c r="C118">
        <f t="shared" si="14"/>
        <v>2.2986039853019999</v>
      </c>
      <c r="D118">
        <v>1.6E-2</v>
      </c>
      <c r="E118">
        <v>3.5999999999999999E-3</v>
      </c>
      <c r="F118">
        <f t="shared" si="15"/>
        <v>1332.21513</v>
      </c>
      <c r="G118">
        <f t="shared" si="16"/>
        <v>-0.34508</v>
      </c>
      <c r="H118">
        <f t="shared" si="17"/>
        <v>-459.7207970604</v>
      </c>
      <c r="I118">
        <v>1</v>
      </c>
      <c r="J118">
        <f t="shared" si="18"/>
        <v>0.28684306808603061</v>
      </c>
      <c r="K118">
        <f t="shared" si="19"/>
        <v>-0.8766451517752174</v>
      </c>
      <c r="L118">
        <v>1</v>
      </c>
      <c r="M118">
        <f t="shared" si="20"/>
        <v>0.64690295818686938</v>
      </c>
      <c r="N118">
        <f t="shared" si="24"/>
        <v>0.1065772104</v>
      </c>
      <c r="O118">
        <f t="shared" si="22"/>
        <v>2.397987234E-2</v>
      </c>
      <c r="P118">
        <f t="shared" si="23"/>
        <v>9.9185110848348024E-2</v>
      </c>
      <c r="V118">
        <v>5.4</v>
      </c>
      <c r="W118">
        <f t="shared" si="21"/>
        <v>-0.98385999999999996</v>
      </c>
    </row>
    <row r="119" spans="1:23">
      <c r="A119">
        <v>6.7177054499999995</v>
      </c>
      <c r="B119">
        <v>0.34125</v>
      </c>
      <c r="C119">
        <f t="shared" si="14"/>
        <v>2.2924169848124998</v>
      </c>
      <c r="D119">
        <v>1.6E-2</v>
      </c>
      <c r="E119">
        <v>3.5999999999999999E-3</v>
      </c>
      <c r="F119">
        <f t="shared" si="15"/>
        <v>1343.5410899999999</v>
      </c>
      <c r="G119">
        <f t="shared" si="16"/>
        <v>-0.34125</v>
      </c>
      <c r="H119">
        <f t="shared" si="17"/>
        <v>-458.48339696249997</v>
      </c>
      <c r="I119">
        <v>1</v>
      </c>
      <c r="J119">
        <f t="shared" si="18"/>
        <v>0.29530873290047138</v>
      </c>
      <c r="K119">
        <f t="shared" si="19"/>
        <v>-0.8804751517752174</v>
      </c>
      <c r="L119">
        <v>1</v>
      </c>
      <c r="M119">
        <f t="shared" si="20"/>
        <v>0.64746084549814109</v>
      </c>
      <c r="N119">
        <f t="shared" si="24"/>
        <v>0.1074832872</v>
      </c>
      <c r="O119">
        <f t="shared" si="22"/>
        <v>2.4183739619999998E-2</v>
      </c>
      <c r="P119">
        <f t="shared" si="23"/>
        <v>0.10134727945707631</v>
      </c>
      <c r="V119">
        <v>5.5</v>
      </c>
      <c r="W119">
        <f t="shared" si="21"/>
        <v>-0.99045000000000005</v>
      </c>
    </row>
    <row r="120" spans="1:23">
      <c r="A120">
        <v>6.7806273999999993</v>
      </c>
      <c r="B120">
        <v>0.33795999999999998</v>
      </c>
      <c r="C120">
        <f t="shared" si="14"/>
        <v>2.2915808361039995</v>
      </c>
      <c r="D120">
        <v>1.6E-2</v>
      </c>
      <c r="E120">
        <v>3.5999999999999999E-3</v>
      </c>
      <c r="F120">
        <f t="shared" si="15"/>
        <v>1356.1254799999999</v>
      </c>
      <c r="G120">
        <f t="shared" si="16"/>
        <v>-0.33795999999999998</v>
      </c>
      <c r="H120">
        <f t="shared" si="17"/>
        <v>-458.31616722079991</v>
      </c>
      <c r="I120">
        <v>1</v>
      </c>
      <c r="J120">
        <f t="shared" si="18"/>
        <v>0.30463172211008782</v>
      </c>
      <c r="K120">
        <f t="shared" si="19"/>
        <v>-0.88376515177521742</v>
      </c>
      <c r="L120">
        <v>1</v>
      </c>
      <c r="M120">
        <f t="shared" si="20"/>
        <v>0.64807523048705484</v>
      </c>
      <c r="N120">
        <f t="shared" si="24"/>
        <v>0.10849003839999999</v>
      </c>
      <c r="O120">
        <f t="shared" si="22"/>
        <v>2.4410258639999998E-2</v>
      </c>
      <c r="P120">
        <f t="shared" si="23"/>
        <v>0.10278962424816258</v>
      </c>
      <c r="V120">
        <v>5.6</v>
      </c>
      <c r="W120">
        <f t="shared" si="21"/>
        <v>-0.99703999999999993</v>
      </c>
    </row>
    <row r="121" spans="1:23">
      <c r="A121">
        <v>6.8378287999999996</v>
      </c>
      <c r="B121">
        <v>0.33429999999999999</v>
      </c>
      <c r="C121">
        <f t="shared" si="14"/>
        <v>2.2858861678399998</v>
      </c>
      <c r="D121">
        <v>1.6E-2</v>
      </c>
      <c r="E121">
        <v>3.5999999999999999E-3</v>
      </c>
      <c r="F121">
        <f t="shared" si="15"/>
        <v>1367.56576</v>
      </c>
      <c r="G121">
        <f t="shared" si="16"/>
        <v>-0.33429999999999999</v>
      </c>
      <c r="H121">
        <f t="shared" si="17"/>
        <v>-457.17723356799996</v>
      </c>
      <c r="I121">
        <v>1</v>
      </c>
      <c r="J121">
        <f t="shared" si="18"/>
        <v>0.31303234190919144</v>
      </c>
      <c r="K121">
        <f t="shared" si="19"/>
        <v>-0.88742515177521741</v>
      </c>
      <c r="L121">
        <v>1</v>
      </c>
      <c r="M121">
        <f t="shared" si="20"/>
        <v>0.6486288313318157</v>
      </c>
      <c r="N121">
        <f t="shared" si="24"/>
        <v>0.1094052608</v>
      </c>
      <c r="O121">
        <f t="shared" si="22"/>
        <v>2.4616183679999997E-2</v>
      </c>
      <c r="P121">
        <f t="shared" si="23"/>
        <v>0.1047748759634017</v>
      </c>
      <c r="V121">
        <v>5.7</v>
      </c>
      <c r="W121">
        <f t="shared" si="21"/>
        <v>-1.00363</v>
      </c>
    </row>
    <row r="122" spans="1:23">
      <c r="A122">
        <v>6.8944591500000003</v>
      </c>
      <c r="B122">
        <v>0.33038000000000001</v>
      </c>
      <c r="C122">
        <f t="shared" si="14"/>
        <v>2.2777914139770004</v>
      </c>
      <c r="D122">
        <v>1.6E-2</v>
      </c>
      <c r="E122">
        <v>3.5999999999999999E-3</v>
      </c>
      <c r="F122">
        <f t="shared" si="15"/>
        <v>1378.89183</v>
      </c>
      <c r="G122">
        <f t="shared" si="16"/>
        <v>-0.33038000000000001</v>
      </c>
      <c r="H122">
        <f t="shared" si="17"/>
        <v>-455.55828279540009</v>
      </c>
      <c r="I122">
        <v>1</v>
      </c>
      <c r="J122">
        <f t="shared" si="18"/>
        <v>0.32128015483531414</v>
      </c>
      <c r="K122">
        <f t="shared" si="19"/>
        <v>-0.89134515177521745</v>
      </c>
      <c r="L122">
        <v>1</v>
      </c>
      <c r="M122">
        <f t="shared" si="20"/>
        <v>0.64917236220364716</v>
      </c>
      <c r="N122">
        <f t="shared" si="24"/>
        <v>0.11031134640000001</v>
      </c>
      <c r="O122">
        <f t="shared" si="22"/>
        <v>2.482005294E-2</v>
      </c>
      <c r="P122">
        <f t="shared" si="23"/>
        <v>0.10704139023157028</v>
      </c>
      <c r="V122">
        <v>5.8</v>
      </c>
      <c r="W122">
        <f t="shared" si="21"/>
        <v>-1.0102199999999999</v>
      </c>
    </row>
    <row r="123" spans="1:23">
      <c r="A123">
        <v>6.9545205000000001</v>
      </c>
      <c r="B123">
        <v>0.32689000000000001</v>
      </c>
      <c r="C123">
        <f t="shared" si="14"/>
        <v>2.273363206245</v>
      </c>
      <c r="D123">
        <v>1.6E-2</v>
      </c>
      <c r="E123">
        <v>3.5999999999999999E-3</v>
      </c>
      <c r="F123">
        <f t="shared" si="15"/>
        <v>1390.9041</v>
      </c>
      <c r="G123">
        <f t="shared" si="16"/>
        <v>-0.32689000000000001</v>
      </c>
      <c r="H123">
        <f t="shared" si="17"/>
        <v>-454.67264124899998</v>
      </c>
      <c r="I123">
        <v>1</v>
      </c>
      <c r="J123">
        <f t="shared" si="18"/>
        <v>0.32995396735828736</v>
      </c>
      <c r="K123">
        <f t="shared" si="19"/>
        <v>-0.89483515177521744</v>
      </c>
      <c r="L123">
        <v>1</v>
      </c>
      <c r="M123">
        <f t="shared" si="20"/>
        <v>0.64974396644891119</v>
      </c>
      <c r="N123">
        <f t="shared" si="24"/>
        <v>0.111272328</v>
      </c>
      <c r="O123">
        <f t="shared" si="22"/>
        <v>2.5036273799999998E-2</v>
      </c>
      <c r="P123">
        <f t="shared" si="23"/>
        <v>0.10878258352630625</v>
      </c>
      <c r="V123">
        <v>5.9</v>
      </c>
      <c r="W123">
        <f t="shared" si="21"/>
        <v>-1.01681</v>
      </c>
    </row>
    <row r="124" spans="1:23">
      <c r="A124">
        <v>7.0140103499999995</v>
      </c>
      <c r="B124">
        <v>0.32291999999999998</v>
      </c>
      <c r="C124">
        <f t="shared" si="14"/>
        <v>2.2649642222219999</v>
      </c>
      <c r="D124">
        <v>1.6E-2</v>
      </c>
      <c r="E124">
        <v>3.5999999999999999E-3</v>
      </c>
      <c r="F124">
        <f t="shared" si="15"/>
        <v>1402.80207</v>
      </c>
      <c r="G124">
        <f t="shared" si="16"/>
        <v>-0.32291999999999998</v>
      </c>
      <c r="H124">
        <f t="shared" si="17"/>
        <v>-452.99284444439996</v>
      </c>
      <c r="I124">
        <v>1</v>
      </c>
      <c r="J124">
        <f t="shared" si="18"/>
        <v>0.33847171490298539</v>
      </c>
      <c r="K124">
        <f t="shared" si="19"/>
        <v>-0.89880515177521747</v>
      </c>
      <c r="L124">
        <v>1</v>
      </c>
      <c r="M124">
        <f t="shared" si="20"/>
        <v>0.65030528601210669</v>
      </c>
      <c r="N124">
        <f t="shared" si="24"/>
        <v>0.11222416559999999</v>
      </c>
      <c r="O124">
        <f t="shared" si="22"/>
        <v>2.5250437259999998E-2</v>
      </c>
      <c r="P124">
        <f t="shared" si="23"/>
        <v>0.11102526290311081</v>
      </c>
      <c r="V124">
        <v>6</v>
      </c>
      <c r="W124">
        <f t="shared" si="21"/>
        <v>-1.0234000000000001</v>
      </c>
    </row>
    <row r="125" spans="1:23">
      <c r="A125">
        <v>7.0780756</v>
      </c>
      <c r="B125">
        <v>0.31894</v>
      </c>
      <c r="C125">
        <f t="shared" si="14"/>
        <v>2.257481431864</v>
      </c>
      <c r="D125">
        <v>1.6E-2</v>
      </c>
      <c r="E125">
        <v>3.5999999999999999E-3</v>
      </c>
      <c r="F125">
        <f t="shared" si="15"/>
        <v>1415.6151199999999</v>
      </c>
      <c r="G125">
        <f t="shared" si="16"/>
        <v>-0.31894</v>
      </c>
      <c r="H125">
        <f t="shared" si="17"/>
        <v>-451.4962863728</v>
      </c>
      <c r="I125">
        <v>1</v>
      </c>
      <c r="J125">
        <f t="shared" si="18"/>
        <v>0.34756415041545857</v>
      </c>
      <c r="K125">
        <f t="shared" si="19"/>
        <v>-0.90278515177521745</v>
      </c>
      <c r="L125">
        <v>1</v>
      </c>
      <c r="M125">
        <f t="shared" si="20"/>
        <v>0.65090447751237868</v>
      </c>
      <c r="N125">
        <f t="shared" si="24"/>
        <v>0.1132492096</v>
      </c>
      <c r="O125">
        <f t="shared" si="22"/>
        <v>2.548107216E-2</v>
      </c>
      <c r="P125">
        <f t="shared" si="23"/>
        <v>0.11315039250283876</v>
      </c>
      <c r="V125">
        <v>6.1</v>
      </c>
      <c r="W125">
        <f t="shared" si="21"/>
        <v>-1.02999</v>
      </c>
    </row>
    <row r="126" spans="1:23">
      <c r="A126">
        <v>7.1347058500000005</v>
      </c>
      <c r="B126">
        <v>0.31501000000000001</v>
      </c>
      <c r="C126">
        <f t="shared" si="14"/>
        <v>2.2475036898085001</v>
      </c>
      <c r="D126">
        <v>1.6E-2</v>
      </c>
      <c r="E126">
        <v>3.5999999999999999E-3</v>
      </c>
      <c r="F126">
        <f t="shared" si="15"/>
        <v>1426.9411700000001</v>
      </c>
      <c r="G126">
        <f t="shared" si="16"/>
        <v>-0.31501000000000001</v>
      </c>
      <c r="H126">
        <f t="shared" si="17"/>
        <v>-449.5007379617</v>
      </c>
      <c r="I126">
        <v>1</v>
      </c>
      <c r="J126">
        <f t="shared" si="18"/>
        <v>0.35553311129588627</v>
      </c>
      <c r="K126">
        <f t="shared" si="19"/>
        <v>-0.90671515177521744</v>
      </c>
      <c r="L126">
        <v>1</v>
      </c>
      <c r="M126">
        <f t="shared" si="20"/>
        <v>0.65142963203439885</v>
      </c>
      <c r="N126">
        <f t="shared" si="24"/>
        <v>0.11415529360000001</v>
      </c>
      <c r="O126">
        <f t="shared" si="22"/>
        <v>2.5684941060000001E-2</v>
      </c>
      <c r="P126">
        <f t="shared" si="23"/>
        <v>0.11544528508081858</v>
      </c>
      <c r="V126">
        <v>6.2</v>
      </c>
      <c r="W126">
        <f t="shared" si="21"/>
        <v>-1.0365800000000001</v>
      </c>
    </row>
    <row r="127" spans="1:23">
      <c r="A127">
        <v>7.1947678499999999</v>
      </c>
      <c r="B127">
        <v>0.31076999999999999</v>
      </c>
      <c r="C127">
        <f t="shared" si="14"/>
        <v>2.2359180047444998</v>
      </c>
      <c r="D127">
        <v>1.6E-2</v>
      </c>
      <c r="E127">
        <v>3.5999999999999999E-3</v>
      </c>
      <c r="F127">
        <f t="shared" si="15"/>
        <v>1438.9535699999999</v>
      </c>
      <c r="G127">
        <f t="shared" si="16"/>
        <v>-0.31076999999999999</v>
      </c>
      <c r="H127">
        <f t="shared" si="17"/>
        <v>-447.18360094889994</v>
      </c>
      <c r="I127">
        <v>1</v>
      </c>
      <c r="J127">
        <f t="shared" si="18"/>
        <v>0.36391616192256293</v>
      </c>
      <c r="K127">
        <f t="shared" si="19"/>
        <v>-0.91095515177521746</v>
      </c>
      <c r="L127">
        <v>1</v>
      </c>
      <c r="M127">
        <f t="shared" si="20"/>
        <v>0.65198207507069694</v>
      </c>
      <c r="N127">
        <f t="shared" si="24"/>
        <v>0.11511628560000001</v>
      </c>
      <c r="O127">
        <f t="shared" si="22"/>
        <v>2.5901164259999998E-2</v>
      </c>
      <c r="P127">
        <f t="shared" si="23"/>
        <v>0.11795562684452052</v>
      </c>
      <c r="V127">
        <v>6.3</v>
      </c>
      <c r="W127">
        <f t="shared" si="21"/>
        <v>-1.0431699999999999</v>
      </c>
    </row>
    <row r="128" spans="1:23">
      <c r="A128">
        <v>7.2548292000000005</v>
      </c>
      <c r="B128">
        <v>0.30724000000000001</v>
      </c>
      <c r="C128">
        <f t="shared" si="14"/>
        <v>2.228973723408</v>
      </c>
      <c r="D128">
        <v>1.6E-2</v>
      </c>
      <c r="E128">
        <v>3.5999999999999999E-3</v>
      </c>
      <c r="F128">
        <f t="shared" si="15"/>
        <v>1450.9658400000001</v>
      </c>
      <c r="G128">
        <f t="shared" si="16"/>
        <v>-0.30724000000000001</v>
      </c>
      <c r="H128">
        <f t="shared" si="17"/>
        <v>-445.79474468160004</v>
      </c>
      <c r="I128">
        <v>1</v>
      </c>
      <c r="J128">
        <f t="shared" si="18"/>
        <v>0.37222943124036217</v>
      </c>
      <c r="K128">
        <f t="shared" si="19"/>
        <v>-0.9144851517752175</v>
      </c>
      <c r="L128">
        <v>1</v>
      </c>
      <c r="M128">
        <f t="shared" si="20"/>
        <v>0.65252991951873984</v>
      </c>
      <c r="N128">
        <f t="shared" si="24"/>
        <v>0.11607726720000001</v>
      </c>
      <c r="O128">
        <f t="shared" si="22"/>
        <v>2.6117385120000003E-2</v>
      </c>
      <c r="P128">
        <f t="shared" si="23"/>
        <v>0.11976057993647765</v>
      </c>
      <c r="V128">
        <v>6.4</v>
      </c>
      <c r="W128">
        <f t="shared" si="21"/>
        <v>-1.04976</v>
      </c>
    </row>
    <row r="129" spans="1:23">
      <c r="A129">
        <v>7.3120311500000001</v>
      </c>
      <c r="B129">
        <v>0.30275000000000002</v>
      </c>
      <c r="C129">
        <f t="shared" si="14"/>
        <v>2.2137174306625003</v>
      </c>
      <c r="D129">
        <v>1.6E-2</v>
      </c>
      <c r="E129">
        <v>3.5999999999999999E-3</v>
      </c>
      <c r="F129">
        <f t="shared" si="15"/>
        <v>1462.4062300000001</v>
      </c>
      <c r="G129">
        <f t="shared" si="16"/>
        <v>-0.30275000000000002</v>
      </c>
      <c r="H129">
        <f t="shared" si="17"/>
        <v>-442.74348613250004</v>
      </c>
      <c r="I129">
        <v>1</v>
      </c>
      <c r="J129">
        <f t="shared" si="18"/>
        <v>0.38008318182902434</v>
      </c>
      <c r="K129">
        <f t="shared" si="19"/>
        <v>-0.91897515177521738</v>
      </c>
      <c r="L129">
        <v>1</v>
      </c>
      <c r="M129">
        <f t="shared" si="20"/>
        <v>0.65304748168253268</v>
      </c>
      <c r="N129">
        <f t="shared" si="24"/>
        <v>0.11699249840000001</v>
      </c>
      <c r="O129">
        <f t="shared" si="22"/>
        <v>2.6323312139999999E-2</v>
      </c>
      <c r="P129">
        <f t="shared" si="23"/>
        <v>0.12261185955268469</v>
      </c>
      <c r="V129">
        <v>6.5</v>
      </c>
      <c r="W129">
        <f t="shared" si="21"/>
        <v>-1.0563500000000001</v>
      </c>
    </row>
    <row r="130" spans="1:23">
      <c r="A130">
        <v>7.3709493999999998</v>
      </c>
      <c r="B130">
        <v>0.29901</v>
      </c>
      <c r="C130">
        <f t="shared" si="14"/>
        <v>2.2039875800940001</v>
      </c>
      <c r="D130">
        <v>1.6E-2</v>
      </c>
      <c r="E130">
        <v>3.5999999999999999E-3</v>
      </c>
      <c r="F130">
        <f t="shared" si="15"/>
        <v>1474.1898799999999</v>
      </c>
      <c r="G130">
        <f t="shared" si="16"/>
        <v>-0.29901</v>
      </c>
      <c r="H130">
        <f t="shared" si="17"/>
        <v>-440.79751601880002</v>
      </c>
      <c r="I130">
        <v>1</v>
      </c>
      <c r="J130">
        <f t="shared" si="18"/>
        <v>0.38810860500929084</v>
      </c>
      <c r="K130">
        <f t="shared" si="19"/>
        <v>-0.92271515177521746</v>
      </c>
      <c r="L130">
        <v>1</v>
      </c>
      <c r="M130">
        <f t="shared" si="20"/>
        <v>0.6535763570701123</v>
      </c>
      <c r="N130">
        <f t="shared" si="24"/>
        <v>0.1179351904</v>
      </c>
      <c r="O130">
        <f t="shared" si="22"/>
        <v>2.6535417839999999E-2</v>
      </c>
      <c r="P130">
        <f t="shared" si="23"/>
        <v>0.12466818646510516</v>
      </c>
      <c r="V130">
        <v>6.6</v>
      </c>
      <c r="W130">
        <f t="shared" si="21"/>
        <v>-1.06294</v>
      </c>
    </row>
    <row r="131" spans="1:23">
      <c r="A131">
        <v>7.4287228000000001</v>
      </c>
      <c r="B131">
        <v>0.29502</v>
      </c>
      <c r="C131">
        <f t="shared" si="14"/>
        <v>2.1916218004560002</v>
      </c>
      <c r="D131">
        <v>1.6E-2</v>
      </c>
      <c r="E131">
        <v>3.5999999999999999E-3</v>
      </c>
      <c r="F131">
        <f t="shared" si="15"/>
        <v>1485.7445600000001</v>
      </c>
      <c r="G131">
        <f t="shared" si="16"/>
        <v>-0.29502</v>
      </c>
      <c r="H131">
        <f t="shared" si="17"/>
        <v>-438.32436009120005</v>
      </c>
      <c r="I131">
        <v>1</v>
      </c>
      <c r="J131">
        <f t="shared" si="18"/>
        <v>0.39591603380748397</v>
      </c>
      <c r="K131">
        <f t="shared" si="19"/>
        <v>-0.9267051517752174</v>
      </c>
      <c r="L131">
        <v>1</v>
      </c>
      <c r="M131">
        <f t="shared" si="20"/>
        <v>0.65409086662791316</v>
      </c>
      <c r="N131">
        <f t="shared" si="24"/>
        <v>0.1188595648</v>
      </c>
      <c r="O131">
        <f t="shared" si="22"/>
        <v>2.6743402079999999E-2</v>
      </c>
      <c r="P131">
        <f t="shared" si="23"/>
        <v>0.12701131826730425</v>
      </c>
      <c r="V131">
        <v>6.7</v>
      </c>
      <c r="W131">
        <f t="shared" si="21"/>
        <v>-1.0695300000000001</v>
      </c>
    </row>
    <row r="132" spans="1:23">
      <c r="A132">
        <v>7.4927890999999995</v>
      </c>
      <c r="B132">
        <v>0.29092000000000001</v>
      </c>
      <c r="C132">
        <f t="shared" si="14"/>
        <v>2.1798022049719998</v>
      </c>
      <c r="D132">
        <v>1.6E-2</v>
      </c>
      <c r="E132">
        <v>3.5999999999999999E-3</v>
      </c>
      <c r="F132">
        <f t="shared" si="15"/>
        <v>1498.55782</v>
      </c>
      <c r="G132">
        <f t="shared" si="16"/>
        <v>-0.29092000000000001</v>
      </c>
      <c r="H132">
        <f t="shared" si="17"/>
        <v>-435.96044099439996</v>
      </c>
      <c r="I132">
        <v>1</v>
      </c>
      <c r="J132">
        <f t="shared" si="18"/>
        <v>0.40450319228210779</v>
      </c>
      <c r="K132">
        <f t="shared" si="19"/>
        <v>-0.93080515177521739</v>
      </c>
      <c r="L132">
        <v>1</v>
      </c>
      <c r="M132">
        <f t="shared" si="20"/>
        <v>0.65465676037139087</v>
      </c>
      <c r="N132">
        <f t="shared" si="24"/>
        <v>0.11988462559999999</v>
      </c>
      <c r="O132">
        <f t="shared" si="22"/>
        <v>2.6974040759999998E-2</v>
      </c>
      <c r="P132">
        <f t="shared" si="23"/>
        <v>0.12928972504382652</v>
      </c>
      <c r="V132">
        <v>6.8</v>
      </c>
      <c r="W132">
        <f t="shared" si="21"/>
        <v>-1.07612</v>
      </c>
    </row>
    <row r="133" spans="1:23">
      <c r="A133">
        <v>7.5568543500000001</v>
      </c>
      <c r="B133">
        <v>0.28632999999999997</v>
      </c>
      <c r="C133">
        <f t="shared" ref="C133:C196" si="25">A133*B133</f>
        <v>2.1637541060354999</v>
      </c>
      <c r="D133">
        <v>1.6E-2</v>
      </c>
      <c r="E133">
        <v>3.5999999999999999E-3</v>
      </c>
      <c r="F133">
        <f t="shared" ref="F133:F196" si="26">A133*200</f>
        <v>1511.37087</v>
      </c>
      <c r="G133">
        <f t="shared" ref="G133:G144" si="27">-B133</f>
        <v>-0.28632999999999997</v>
      </c>
      <c r="H133">
        <f t="shared" ref="H133:H196" si="28">-C133*200</f>
        <v>-432.75082120709999</v>
      </c>
      <c r="I133">
        <v>1</v>
      </c>
      <c r="J133">
        <f t="shared" ref="J133:J196" si="29">LN(F133/1000)</f>
        <v>0.41301709989750712</v>
      </c>
      <c r="K133">
        <f t="shared" ref="K133:K187" si="30">((-G133)-$N$2)</f>
        <v>-0.93539515177521748</v>
      </c>
      <c r="L133">
        <v>1</v>
      </c>
      <c r="M133">
        <f t="shared" ref="M133:M196" si="31">-1*($S$4+($S$5*J133))</f>
        <v>0.6552178268832457</v>
      </c>
      <c r="N133">
        <f t="shared" si="24"/>
        <v>0.12090966960000001</v>
      </c>
      <c r="O133">
        <f t="shared" si="22"/>
        <v>2.720467566E-2</v>
      </c>
      <c r="P133">
        <f t="shared" si="23"/>
        <v>0.13206297963197178</v>
      </c>
      <c r="V133">
        <v>6.9</v>
      </c>
      <c r="W133">
        <f t="shared" ref="W133:W139" si="32">V133*$S$5+$S$4</f>
        <v>-1.0827100000000001</v>
      </c>
    </row>
    <row r="134" spans="1:23">
      <c r="A134">
        <v>7.6140567499999996</v>
      </c>
      <c r="B134">
        <v>0.28192</v>
      </c>
      <c r="C134">
        <f t="shared" si="25"/>
        <v>2.14655487896</v>
      </c>
      <c r="D134">
        <v>1.6E-2</v>
      </c>
      <c r="E134">
        <v>3.5999999999999999E-3</v>
      </c>
      <c r="F134">
        <f t="shared" si="26"/>
        <v>1522.8113499999999</v>
      </c>
      <c r="G134">
        <f t="shared" si="27"/>
        <v>-0.28192</v>
      </c>
      <c r="H134">
        <f t="shared" si="28"/>
        <v>-429.31097579200002</v>
      </c>
      <c r="I134">
        <v>1</v>
      </c>
      <c r="J134">
        <f t="shared" si="29"/>
        <v>0.42055819887379015</v>
      </c>
      <c r="K134">
        <f t="shared" si="30"/>
        <v>-0.93980515177521751</v>
      </c>
      <c r="L134">
        <v>1</v>
      </c>
      <c r="M134">
        <f t="shared" si="31"/>
        <v>0.65571478530578275</v>
      </c>
      <c r="N134">
        <f t="shared" si="24"/>
        <v>0.121824908</v>
      </c>
      <c r="O134">
        <f t="shared" ref="O134:O144" si="33">E134*A134</f>
        <v>2.7410604299999999E-2</v>
      </c>
      <c r="P134">
        <f t="shared" ref="P134:P144" si="34">-K134-M134-N134-O134</f>
        <v>0.13485485416943474</v>
      </c>
      <c r="V134">
        <v>7</v>
      </c>
      <c r="W134">
        <f t="shared" si="32"/>
        <v>-1.0892999999999999</v>
      </c>
    </row>
    <row r="135" spans="1:23">
      <c r="A135">
        <v>7.6706865000000004</v>
      </c>
      <c r="B135">
        <v>0.27773999999999999</v>
      </c>
      <c r="C135">
        <f t="shared" si="25"/>
        <v>2.1304564685099998</v>
      </c>
      <c r="D135">
        <v>1.6E-2</v>
      </c>
      <c r="E135">
        <v>3.5999999999999999E-3</v>
      </c>
      <c r="F135">
        <f t="shared" si="26"/>
        <v>1534.1373000000001</v>
      </c>
      <c r="G135">
        <f t="shared" si="27"/>
        <v>-0.27773999999999999</v>
      </c>
      <c r="H135">
        <f t="shared" si="28"/>
        <v>-426.09129370199997</v>
      </c>
      <c r="I135">
        <v>1</v>
      </c>
      <c r="J135">
        <f t="shared" si="29"/>
        <v>0.42796820350300341</v>
      </c>
      <c r="K135">
        <f t="shared" si="30"/>
        <v>-0.94398515177521747</v>
      </c>
      <c r="L135">
        <v>1</v>
      </c>
      <c r="M135">
        <f t="shared" si="31"/>
        <v>0.65620310461084796</v>
      </c>
      <c r="N135">
        <f t="shared" ref="N135:N144" si="35">D135*A135</f>
        <v>0.12273098400000002</v>
      </c>
      <c r="O135">
        <f t="shared" si="33"/>
        <v>2.76144714E-2</v>
      </c>
      <c r="P135">
        <f t="shared" si="34"/>
        <v>0.13743659176436948</v>
      </c>
      <c r="V135">
        <v>7.1</v>
      </c>
      <c r="W135">
        <f t="shared" si="32"/>
        <v>-1.09589</v>
      </c>
    </row>
    <row r="136" spans="1:23">
      <c r="A136">
        <v>7.7273163</v>
      </c>
      <c r="B136">
        <v>0.27334999999999998</v>
      </c>
      <c r="C136">
        <f t="shared" si="25"/>
        <v>2.112261910605</v>
      </c>
      <c r="D136">
        <v>1.6E-2</v>
      </c>
      <c r="E136">
        <v>3.5999999999999999E-3</v>
      </c>
      <c r="F136">
        <f t="shared" si="26"/>
        <v>1545.46326</v>
      </c>
      <c r="G136">
        <f t="shared" si="27"/>
        <v>-0.27334999999999998</v>
      </c>
      <c r="H136">
        <f t="shared" si="28"/>
        <v>-422.45238212100003</v>
      </c>
      <c r="I136">
        <v>1</v>
      </c>
      <c r="J136">
        <f t="shared" si="29"/>
        <v>0.43532371006547682</v>
      </c>
      <c r="K136">
        <f t="shared" si="30"/>
        <v>-0.94837515177521747</v>
      </c>
      <c r="L136">
        <v>1</v>
      </c>
      <c r="M136">
        <f t="shared" si="31"/>
        <v>0.65668783249331497</v>
      </c>
      <c r="N136">
        <f t="shared" si="35"/>
        <v>0.1236370608</v>
      </c>
      <c r="O136">
        <f t="shared" si="33"/>
        <v>2.7818338679999999E-2</v>
      </c>
      <c r="P136">
        <f t="shared" si="34"/>
        <v>0.1402319198019025</v>
      </c>
      <c r="V136">
        <v>7.2</v>
      </c>
      <c r="W136">
        <f t="shared" si="32"/>
        <v>-1.1024799999999999</v>
      </c>
    </row>
    <row r="137" spans="1:23">
      <c r="A137">
        <v>7.7862346000000002</v>
      </c>
      <c r="B137" s="1">
        <v>0.26949000000000001</v>
      </c>
      <c r="C137">
        <f t="shared" si="25"/>
        <v>2.0983123623540001</v>
      </c>
      <c r="D137">
        <v>1.6E-2</v>
      </c>
      <c r="E137">
        <v>3.5999999999999999E-3</v>
      </c>
      <c r="F137">
        <f t="shared" si="26"/>
        <v>1557.24692</v>
      </c>
      <c r="G137">
        <f t="shared" si="27"/>
        <v>-0.26949000000000001</v>
      </c>
      <c r="H137">
        <f t="shared" si="28"/>
        <v>-419.66247247080003</v>
      </c>
      <c r="I137">
        <v>1</v>
      </c>
      <c r="J137">
        <f t="shared" si="29"/>
        <v>0.44291946730460091</v>
      </c>
      <c r="K137">
        <f t="shared" si="30"/>
        <v>-0.95223515177521745</v>
      </c>
      <c r="L137">
        <v>1</v>
      </c>
      <c r="M137">
        <f t="shared" si="31"/>
        <v>0.65718839289537323</v>
      </c>
      <c r="N137">
        <f t="shared" si="35"/>
        <v>0.12457975360000001</v>
      </c>
      <c r="O137">
        <f t="shared" si="33"/>
        <v>2.8030444559999999E-2</v>
      </c>
      <c r="P137">
        <f t="shared" si="34"/>
        <v>0.1424365607198442</v>
      </c>
      <c r="V137">
        <v>7.3</v>
      </c>
      <c r="W137">
        <f t="shared" si="32"/>
        <v>-1.10907</v>
      </c>
    </row>
    <row r="138" spans="1:23">
      <c r="A138">
        <v>7.8434348499999995</v>
      </c>
      <c r="B138" s="1">
        <v>0.26502999999999999</v>
      </c>
      <c r="C138">
        <f t="shared" si="25"/>
        <v>2.0787455382954998</v>
      </c>
      <c r="D138">
        <v>1.6E-2</v>
      </c>
      <c r="E138">
        <v>3.5999999999999999E-3</v>
      </c>
      <c r="F138">
        <f t="shared" si="26"/>
        <v>1568.68697</v>
      </c>
      <c r="G138">
        <f t="shared" si="27"/>
        <v>-0.26502999999999999</v>
      </c>
      <c r="H138">
        <f t="shared" si="28"/>
        <v>-415.74910765909993</v>
      </c>
      <c r="I138">
        <v>1</v>
      </c>
      <c r="J138">
        <f t="shared" si="29"/>
        <v>0.45023894460472413</v>
      </c>
      <c r="K138">
        <f t="shared" si="30"/>
        <v>-0.95669515177521747</v>
      </c>
      <c r="L138">
        <v>1</v>
      </c>
      <c r="M138">
        <f t="shared" si="31"/>
        <v>0.65767074644945134</v>
      </c>
      <c r="N138">
        <f t="shared" si="35"/>
        <v>0.12549495759999998</v>
      </c>
      <c r="O138">
        <f t="shared" si="33"/>
        <v>2.8236365459999996E-2</v>
      </c>
      <c r="P138">
        <f t="shared" si="34"/>
        <v>0.14529308226576615</v>
      </c>
      <c r="V138">
        <v>7.4</v>
      </c>
      <c r="W138">
        <f t="shared" si="32"/>
        <v>-1.1156600000000001</v>
      </c>
    </row>
    <row r="139" spans="1:23">
      <c r="A139">
        <v>7.9012093999999999</v>
      </c>
      <c r="B139" s="1">
        <v>0.26079000000000002</v>
      </c>
      <c r="C139">
        <f t="shared" si="25"/>
        <v>2.0605563994260003</v>
      </c>
      <c r="D139">
        <v>1.6E-2</v>
      </c>
      <c r="E139">
        <v>3.5999999999999999E-3</v>
      </c>
      <c r="F139">
        <f t="shared" si="26"/>
        <v>1580.24188</v>
      </c>
      <c r="G139">
        <f t="shared" si="27"/>
        <v>-0.26079000000000002</v>
      </c>
      <c r="H139">
        <f t="shared" si="28"/>
        <v>-412.11127988520008</v>
      </c>
      <c r="I139">
        <v>1</v>
      </c>
      <c r="J139">
        <f t="shared" si="29"/>
        <v>0.45757792392960528</v>
      </c>
      <c r="K139">
        <f t="shared" si="30"/>
        <v>-0.96093515177521738</v>
      </c>
      <c r="L139">
        <v>1</v>
      </c>
      <c r="M139">
        <f t="shared" si="31"/>
        <v>0.65815438518696101</v>
      </c>
      <c r="N139">
        <f t="shared" si="35"/>
        <v>0.12641935039999999</v>
      </c>
      <c r="O139">
        <f t="shared" si="33"/>
        <v>2.8444353839999999E-2</v>
      </c>
      <c r="P139">
        <f t="shared" si="34"/>
        <v>0.14791706234825638</v>
      </c>
      <c r="V139">
        <v>7.5</v>
      </c>
      <c r="W139">
        <f t="shared" si="32"/>
        <v>-1.12225</v>
      </c>
    </row>
    <row r="140" spans="1:23">
      <c r="A140">
        <v>7.9589833499999996</v>
      </c>
      <c r="B140" s="1">
        <v>0.25638</v>
      </c>
      <c r="C140">
        <f t="shared" si="25"/>
        <v>2.0405241512729999</v>
      </c>
      <c r="D140">
        <v>1.6E-2</v>
      </c>
      <c r="E140">
        <v>3.5999999999999999E-3</v>
      </c>
      <c r="F140">
        <f t="shared" si="26"/>
        <v>1591.7966699999999</v>
      </c>
      <c r="G140">
        <f t="shared" si="27"/>
        <v>-0.25638</v>
      </c>
      <c r="H140">
        <f t="shared" si="28"/>
        <v>-408.10483025459996</v>
      </c>
      <c r="I140">
        <v>1</v>
      </c>
      <c r="J140">
        <f t="shared" si="29"/>
        <v>0.46486335941607049</v>
      </c>
      <c r="K140">
        <f t="shared" si="30"/>
        <v>-0.9653451517752174</v>
      </c>
      <c r="L140">
        <v>1</v>
      </c>
      <c r="M140">
        <f t="shared" si="31"/>
        <v>0.65863449538551899</v>
      </c>
      <c r="N140">
        <f t="shared" si="35"/>
        <v>0.12734373360000001</v>
      </c>
      <c r="O140">
        <f t="shared" si="33"/>
        <v>2.8652340059999996E-2</v>
      </c>
      <c r="P140">
        <f t="shared" si="34"/>
        <v>0.1507145827296984</v>
      </c>
    </row>
    <row r="141" spans="1:23">
      <c r="A141">
        <v>8.0190447999999996</v>
      </c>
      <c r="B141" s="1">
        <v>0.25162000000000001</v>
      </c>
      <c r="C141">
        <f t="shared" si="25"/>
        <v>2.0177520525760002</v>
      </c>
      <c r="D141">
        <v>1.6E-2</v>
      </c>
      <c r="E141">
        <v>3.5999999999999999E-3</v>
      </c>
      <c r="F141">
        <f t="shared" si="26"/>
        <v>1603.8089599999998</v>
      </c>
      <c r="G141">
        <f t="shared" si="27"/>
        <v>-0.25162000000000001</v>
      </c>
      <c r="H141">
        <f t="shared" si="28"/>
        <v>-403.55041051520004</v>
      </c>
      <c r="I141">
        <v>1</v>
      </c>
      <c r="J141">
        <f t="shared" si="29"/>
        <v>0.4723814001066981</v>
      </c>
      <c r="K141">
        <f t="shared" si="30"/>
        <v>-0.9701051517752175</v>
      </c>
      <c r="L141">
        <v>1</v>
      </c>
      <c r="M141">
        <f t="shared" si="31"/>
        <v>0.65912993426703137</v>
      </c>
      <c r="N141">
        <f t="shared" si="35"/>
        <v>0.1283047168</v>
      </c>
      <c r="O141">
        <f t="shared" si="33"/>
        <v>2.8868561279999996E-2</v>
      </c>
      <c r="P141">
        <f t="shared" si="34"/>
        <v>0.15380193942818615</v>
      </c>
    </row>
    <row r="142" spans="1:23">
      <c r="A142">
        <v>8.0184721000000003</v>
      </c>
      <c r="B142" s="1">
        <v>0.25134000000000001</v>
      </c>
      <c r="C142">
        <f t="shared" si="25"/>
        <v>2.015362777614</v>
      </c>
      <c r="D142">
        <v>1.6E-2</v>
      </c>
      <c r="E142">
        <v>3.5999999999999999E-3</v>
      </c>
      <c r="F142">
        <f t="shared" si="26"/>
        <v>1603.69442</v>
      </c>
      <c r="G142">
        <f t="shared" si="27"/>
        <v>-0.25134000000000001</v>
      </c>
      <c r="H142">
        <f t="shared" si="28"/>
        <v>-403.07255552279997</v>
      </c>
      <c r="I142">
        <v>1</v>
      </c>
      <c r="J142">
        <f t="shared" si="29"/>
        <v>0.47230998007280967</v>
      </c>
      <c r="K142">
        <f t="shared" si="30"/>
        <v>-0.97038515177521745</v>
      </c>
      <c r="L142">
        <v>1</v>
      </c>
      <c r="M142">
        <f t="shared" si="31"/>
        <v>0.65912522768679815</v>
      </c>
      <c r="N142">
        <f t="shared" si="35"/>
        <v>0.1282955536</v>
      </c>
      <c r="O142">
        <f t="shared" si="33"/>
        <v>2.8866499560000002E-2</v>
      </c>
      <c r="P142">
        <f t="shared" si="34"/>
        <v>0.15409787092841928</v>
      </c>
    </row>
    <row r="143" spans="1:23">
      <c r="C143">
        <f t="shared" si="25"/>
        <v>0</v>
      </c>
      <c r="D143">
        <v>1.6E-2</v>
      </c>
      <c r="E143">
        <v>3.5999999999999999E-3</v>
      </c>
      <c r="F143">
        <f t="shared" si="26"/>
        <v>0</v>
      </c>
      <c r="G143">
        <f t="shared" si="27"/>
        <v>0</v>
      </c>
      <c r="H143">
        <f t="shared" si="28"/>
        <v>0</v>
      </c>
      <c r="I143">
        <v>1</v>
      </c>
      <c r="J143" t="e">
        <f t="shared" si="29"/>
        <v>#NUM!</v>
      </c>
      <c r="K143">
        <f t="shared" si="30"/>
        <v>-1.2217251517752175</v>
      </c>
      <c r="L143">
        <v>1</v>
      </c>
      <c r="M143" t="e">
        <f t="shared" si="31"/>
        <v>#NUM!</v>
      </c>
      <c r="N143">
        <f t="shared" si="35"/>
        <v>0</v>
      </c>
      <c r="O143">
        <f t="shared" si="33"/>
        <v>0</v>
      </c>
      <c r="P143" t="e">
        <f t="shared" si="34"/>
        <v>#NUM!</v>
      </c>
    </row>
    <row r="144" spans="1:23">
      <c r="C144">
        <f t="shared" si="25"/>
        <v>0</v>
      </c>
      <c r="D144">
        <v>1.6E-2</v>
      </c>
      <c r="E144">
        <v>3.5999999999999999E-3</v>
      </c>
      <c r="F144">
        <f t="shared" si="26"/>
        <v>0</v>
      </c>
      <c r="G144">
        <f t="shared" si="27"/>
        <v>0</v>
      </c>
      <c r="H144">
        <f t="shared" si="28"/>
        <v>0</v>
      </c>
      <c r="I144">
        <v>1</v>
      </c>
      <c r="J144" t="e">
        <f t="shared" si="29"/>
        <v>#NUM!</v>
      </c>
      <c r="K144">
        <f t="shared" si="30"/>
        <v>-1.2217251517752175</v>
      </c>
      <c r="L144">
        <v>1</v>
      </c>
      <c r="M144" t="e">
        <f t="shared" si="31"/>
        <v>#NUM!</v>
      </c>
      <c r="N144">
        <f t="shared" si="35"/>
        <v>0</v>
      </c>
      <c r="O144">
        <f t="shared" si="33"/>
        <v>0</v>
      </c>
      <c r="P144" t="e">
        <f t="shared" si="34"/>
        <v>#NUM!</v>
      </c>
    </row>
    <row r="145" spans="3:16">
      <c r="C145">
        <f t="shared" si="25"/>
        <v>0</v>
      </c>
      <c r="D145">
        <v>1.6E-2</v>
      </c>
      <c r="E145">
        <v>3.5999999999999999E-3</v>
      </c>
      <c r="F145">
        <f t="shared" si="26"/>
        <v>0</v>
      </c>
      <c r="G145">
        <f t="shared" ref="G145:G187" si="36">-B145</f>
        <v>0</v>
      </c>
      <c r="H145">
        <f t="shared" si="28"/>
        <v>0</v>
      </c>
      <c r="I145">
        <v>1</v>
      </c>
      <c r="J145" t="e">
        <f t="shared" si="29"/>
        <v>#NUM!</v>
      </c>
      <c r="K145">
        <f t="shared" si="30"/>
        <v>-1.2217251517752175</v>
      </c>
      <c r="L145">
        <v>1</v>
      </c>
      <c r="M145" t="e">
        <f t="shared" si="31"/>
        <v>#NUM!</v>
      </c>
      <c r="N145">
        <f t="shared" ref="N145:N187" si="37">D145*A145</f>
        <v>0</v>
      </c>
      <c r="O145">
        <f t="shared" ref="O145:O187" si="38">E145*A145</f>
        <v>0</v>
      </c>
      <c r="P145" t="e">
        <f t="shared" ref="P145:P187" si="39">-K145-M145-N145-O145</f>
        <v>#NUM!</v>
      </c>
    </row>
    <row r="146" spans="3:16">
      <c r="C146">
        <f t="shared" si="25"/>
        <v>0</v>
      </c>
      <c r="D146">
        <v>1.6E-2</v>
      </c>
      <c r="E146">
        <v>3.5999999999999999E-3</v>
      </c>
      <c r="F146">
        <f t="shared" si="26"/>
        <v>0</v>
      </c>
      <c r="G146">
        <f t="shared" si="36"/>
        <v>0</v>
      </c>
      <c r="H146">
        <f t="shared" si="28"/>
        <v>0</v>
      </c>
      <c r="I146">
        <v>1</v>
      </c>
      <c r="J146" t="e">
        <f t="shared" si="29"/>
        <v>#NUM!</v>
      </c>
      <c r="K146">
        <f t="shared" si="30"/>
        <v>-1.2217251517752175</v>
      </c>
      <c r="L146">
        <v>1</v>
      </c>
      <c r="M146" t="e">
        <f t="shared" si="31"/>
        <v>#NUM!</v>
      </c>
      <c r="N146">
        <f t="shared" si="37"/>
        <v>0</v>
      </c>
      <c r="O146">
        <f t="shared" si="38"/>
        <v>0</v>
      </c>
      <c r="P146" t="e">
        <f t="shared" si="39"/>
        <v>#NUM!</v>
      </c>
    </row>
    <row r="147" spans="3:16">
      <c r="C147">
        <f t="shared" si="25"/>
        <v>0</v>
      </c>
      <c r="D147">
        <v>1.6E-2</v>
      </c>
      <c r="E147">
        <v>3.5999999999999999E-3</v>
      </c>
      <c r="F147">
        <f t="shared" si="26"/>
        <v>0</v>
      </c>
      <c r="G147">
        <f t="shared" si="36"/>
        <v>0</v>
      </c>
      <c r="H147">
        <f t="shared" si="28"/>
        <v>0</v>
      </c>
      <c r="I147">
        <v>1</v>
      </c>
      <c r="J147" t="e">
        <f t="shared" si="29"/>
        <v>#NUM!</v>
      </c>
      <c r="K147">
        <f t="shared" si="30"/>
        <v>-1.2217251517752175</v>
      </c>
      <c r="L147">
        <v>1</v>
      </c>
      <c r="M147" t="e">
        <f t="shared" si="31"/>
        <v>#NUM!</v>
      </c>
      <c r="N147">
        <f t="shared" si="37"/>
        <v>0</v>
      </c>
      <c r="O147">
        <f t="shared" si="38"/>
        <v>0</v>
      </c>
      <c r="P147" t="e">
        <f t="shared" si="39"/>
        <v>#NUM!</v>
      </c>
    </row>
    <row r="148" spans="3:16">
      <c r="C148">
        <f t="shared" si="25"/>
        <v>0</v>
      </c>
      <c r="D148">
        <v>1.6E-2</v>
      </c>
      <c r="E148">
        <v>3.5999999999999999E-3</v>
      </c>
      <c r="F148">
        <f t="shared" si="26"/>
        <v>0</v>
      </c>
      <c r="G148">
        <f t="shared" si="36"/>
        <v>0</v>
      </c>
      <c r="H148">
        <f t="shared" si="28"/>
        <v>0</v>
      </c>
      <c r="I148">
        <v>1</v>
      </c>
      <c r="J148" t="e">
        <f t="shared" si="29"/>
        <v>#NUM!</v>
      </c>
      <c r="K148">
        <f t="shared" si="30"/>
        <v>-1.2217251517752175</v>
      </c>
      <c r="L148">
        <v>1</v>
      </c>
      <c r="M148" t="e">
        <f t="shared" si="31"/>
        <v>#NUM!</v>
      </c>
      <c r="N148">
        <f t="shared" si="37"/>
        <v>0</v>
      </c>
      <c r="O148">
        <f t="shared" si="38"/>
        <v>0</v>
      </c>
      <c r="P148" t="e">
        <f t="shared" si="39"/>
        <v>#NUM!</v>
      </c>
    </row>
    <row r="149" spans="3:16">
      <c r="C149">
        <f t="shared" si="25"/>
        <v>0</v>
      </c>
      <c r="D149">
        <v>1.6E-2</v>
      </c>
      <c r="E149">
        <v>3.5999999999999999E-3</v>
      </c>
      <c r="F149">
        <f t="shared" si="26"/>
        <v>0</v>
      </c>
      <c r="G149">
        <f t="shared" si="36"/>
        <v>0</v>
      </c>
      <c r="H149">
        <f t="shared" si="28"/>
        <v>0</v>
      </c>
      <c r="I149">
        <v>1</v>
      </c>
      <c r="J149" t="e">
        <f t="shared" si="29"/>
        <v>#NUM!</v>
      </c>
      <c r="K149">
        <f t="shared" si="30"/>
        <v>-1.2217251517752175</v>
      </c>
      <c r="L149">
        <v>1</v>
      </c>
      <c r="M149" t="e">
        <f t="shared" si="31"/>
        <v>#NUM!</v>
      </c>
      <c r="N149">
        <f t="shared" si="37"/>
        <v>0</v>
      </c>
      <c r="O149">
        <f t="shared" si="38"/>
        <v>0</v>
      </c>
      <c r="P149" t="e">
        <f t="shared" si="39"/>
        <v>#NUM!</v>
      </c>
    </row>
    <row r="150" spans="3:16">
      <c r="C150">
        <f t="shared" si="25"/>
        <v>0</v>
      </c>
      <c r="D150">
        <v>1.6E-2</v>
      </c>
      <c r="E150">
        <v>3.5999999999999999E-3</v>
      </c>
      <c r="F150">
        <f t="shared" si="26"/>
        <v>0</v>
      </c>
      <c r="G150">
        <f t="shared" si="36"/>
        <v>0</v>
      </c>
      <c r="H150">
        <f t="shared" si="28"/>
        <v>0</v>
      </c>
      <c r="I150">
        <v>1</v>
      </c>
      <c r="J150" t="e">
        <f t="shared" si="29"/>
        <v>#NUM!</v>
      </c>
      <c r="K150">
        <f t="shared" si="30"/>
        <v>-1.2217251517752175</v>
      </c>
      <c r="L150">
        <v>1</v>
      </c>
      <c r="M150" t="e">
        <f t="shared" si="31"/>
        <v>#NUM!</v>
      </c>
      <c r="N150">
        <f t="shared" si="37"/>
        <v>0</v>
      </c>
      <c r="O150">
        <f t="shared" si="38"/>
        <v>0</v>
      </c>
      <c r="P150" t="e">
        <f t="shared" si="39"/>
        <v>#NUM!</v>
      </c>
    </row>
    <row r="151" spans="3:16">
      <c r="C151">
        <f t="shared" si="25"/>
        <v>0</v>
      </c>
      <c r="D151">
        <v>1.6E-2</v>
      </c>
      <c r="E151">
        <v>3.5999999999999999E-3</v>
      </c>
      <c r="F151">
        <f t="shared" si="26"/>
        <v>0</v>
      </c>
      <c r="G151">
        <f t="shared" si="36"/>
        <v>0</v>
      </c>
      <c r="H151">
        <f t="shared" si="28"/>
        <v>0</v>
      </c>
      <c r="I151">
        <v>1</v>
      </c>
      <c r="J151" t="e">
        <f t="shared" si="29"/>
        <v>#NUM!</v>
      </c>
      <c r="K151">
        <f t="shared" si="30"/>
        <v>-1.2217251517752175</v>
      </c>
      <c r="L151">
        <v>1</v>
      </c>
      <c r="M151" t="e">
        <f t="shared" si="31"/>
        <v>#NUM!</v>
      </c>
      <c r="N151">
        <f t="shared" si="37"/>
        <v>0</v>
      </c>
      <c r="O151">
        <f t="shared" si="38"/>
        <v>0</v>
      </c>
      <c r="P151" t="e">
        <f t="shared" si="39"/>
        <v>#NUM!</v>
      </c>
    </row>
    <row r="152" spans="3:16">
      <c r="C152">
        <f t="shared" si="25"/>
        <v>0</v>
      </c>
      <c r="D152">
        <v>1.6E-2</v>
      </c>
      <c r="E152">
        <v>3.5999999999999999E-3</v>
      </c>
      <c r="F152">
        <f t="shared" si="26"/>
        <v>0</v>
      </c>
      <c r="G152">
        <f t="shared" si="36"/>
        <v>0</v>
      </c>
      <c r="H152">
        <f t="shared" si="28"/>
        <v>0</v>
      </c>
      <c r="I152">
        <v>1</v>
      </c>
      <c r="J152" t="e">
        <f t="shared" si="29"/>
        <v>#NUM!</v>
      </c>
      <c r="K152">
        <f t="shared" si="30"/>
        <v>-1.2217251517752175</v>
      </c>
      <c r="L152">
        <v>1</v>
      </c>
      <c r="M152" t="e">
        <f t="shared" si="31"/>
        <v>#NUM!</v>
      </c>
      <c r="N152">
        <f t="shared" si="37"/>
        <v>0</v>
      </c>
      <c r="O152">
        <f t="shared" si="38"/>
        <v>0</v>
      </c>
      <c r="P152" t="e">
        <f t="shared" si="39"/>
        <v>#NUM!</v>
      </c>
    </row>
    <row r="153" spans="3:16">
      <c r="C153">
        <f t="shared" si="25"/>
        <v>0</v>
      </c>
      <c r="D153">
        <v>1.6E-2</v>
      </c>
      <c r="E153">
        <v>3.5999999999999999E-3</v>
      </c>
      <c r="F153">
        <f t="shared" si="26"/>
        <v>0</v>
      </c>
      <c r="G153">
        <f t="shared" si="36"/>
        <v>0</v>
      </c>
      <c r="H153">
        <f t="shared" si="28"/>
        <v>0</v>
      </c>
      <c r="I153">
        <v>1</v>
      </c>
      <c r="J153" t="e">
        <f t="shared" si="29"/>
        <v>#NUM!</v>
      </c>
      <c r="K153">
        <f t="shared" si="30"/>
        <v>-1.2217251517752175</v>
      </c>
      <c r="L153">
        <v>1</v>
      </c>
      <c r="M153" t="e">
        <f t="shared" si="31"/>
        <v>#NUM!</v>
      </c>
      <c r="N153">
        <f t="shared" si="37"/>
        <v>0</v>
      </c>
      <c r="O153">
        <f t="shared" si="38"/>
        <v>0</v>
      </c>
      <c r="P153" t="e">
        <f t="shared" si="39"/>
        <v>#NUM!</v>
      </c>
    </row>
    <row r="154" spans="3:16">
      <c r="C154">
        <f t="shared" si="25"/>
        <v>0</v>
      </c>
      <c r="D154">
        <v>1.6E-2</v>
      </c>
      <c r="E154">
        <v>3.5999999999999999E-3</v>
      </c>
      <c r="F154">
        <f t="shared" si="26"/>
        <v>0</v>
      </c>
      <c r="G154">
        <f t="shared" si="36"/>
        <v>0</v>
      </c>
      <c r="H154">
        <f t="shared" si="28"/>
        <v>0</v>
      </c>
      <c r="I154">
        <v>1</v>
      </c>
      <c r="J154" t="e">
        <f t="shared" si="29"/>
        <v>#NUM!</v>
      </c>
      <c r="K154">
        <f t="shared" si="30"/>
        <v>-1.2217251517752175</v>
      </c>
      <c r="L154">
        <v>1</v>
      </c>
      <c r="M154" t="e">
        <f t="shared" si="31"/>
        <v>#NUM!</v>
      </c>
      <c r="N154">
        <f t="shared" si="37"/>
        <v>0</v>
      </c>
      <c r="O154">
        <f t="shared" si="38"/>
        <v>0</v>
      </c>
      <c r="P154" t="e">
        <f t="shared" si="39"/>
        <v>#NUM!</v>
      </c>
    </row>
    <row r="155" spans="3:16">
      <c r="C155">
        <f t="shared" si="25"/>
        <v>0</v>
      </c>
      <c r="D155">
        <v>1.6E-2</v>
      </c>
      <c r="E155">
        <v>3.5999999999999999E-3</v>
      </c>
      <c r="F155">
        <f t="shared" si="26"/>
        <v>0</v>
      </c>
      <c r="G155">
        <f t="shared" si="36"/>
        <v>0</v>
      </c>
      <c r="H155">
        <f t="shared" si="28"/>
        <v>0</v>
      </c>
      <c r="I155">
        <v>1</v>
      </c>
      <c r="J155" t="e">
        <f t="shared" si="29"/>
        <v>#NUM!</v>
      </c>
      <c r="K155">
        <f t="shared" si="30"/>
        <v>-1.2217251517752175</v>
      </c>
      <c r="L155">
        <v>1</v>
      </c>
      <c r="M155" t="e">
        <f t="shared" si="31"/>
        <v>#NUM!</v>
      </c>
      <c r="N155">
        <f t="shared" si="37"/>
        <v>0</v>
      </c>
      <c r="O155">
        <f t="shared" si="38"/>
        <v>0</v>
      </c>
      <c r="P155" t="e">
        <f t="shared" si="39"/>
        <v>#NUM!</v>
      </c>
    </row>
    <row r="156" spans="3:16">
      <c r="C156">
        <f t="shared" si="25"/>
        <v>0</v>
      </c>
      <c r="D156">
        <v>1.6E-2</v>
      </c>
      <c r="E156">
        <v>3.5999999999999999E-3</v>
      </c>
      <c r="F156">
        <f t="shared" si="26"/>
        <v>0</v>
      </c>
      <c r="G156">
        <f t="shared" si="36"/>
        <v>0</v>
      </c>
      <c r="H156">
        <f t="shared" si="28"/>
        <v>0</v>
      </c>
      <c r="I156">
        <v>1</v>
      </c>
      <c r="J156" t="e">
        <f t="shared" si="29"/>
        <v>#NUM!</v>
      </c>
      <c r="K156">
        <f t="shared" si="30"/>
        <v>-1.2217251517752175</v>
      </c>
      <c r="L156">
        <v>1</v>
      </c>
      <c r="M156" t="e">
        <f t="shared" si="31"/>
        <v>#NUM!</v>
      </c>
      <c r="N156">
        <f t="shared" si="37"/>
        <v>0</v>
      </c>
      <c r="O156">
        <f t="shared" si="38"/>
        <v>0</v>
      </c>
      <c r="P156" t="e">
        <f t="shared" si="39"/>
        <v>#NUM!</v>
      </c>
    </row>
    <row r="157" spans="3:16">
      <c r="C157">
        <f t="shared" si="25"/>
        <v>0</v>
      </c>
      <c r="D157">
        <v>1.6E-2</v>
      </c>
      <c r="E157">
        <v>3.5999999999999999E-3</v>
      </c>
      <c r="F157">
        <f t="shared" si="26"/>
        <v>0</v>
      </c>
      <c r="G157">
        <f t="shared" si="36"/>
        <v>0</v>
      </c>
      <c r="H157">
        <f t="shared" si="28"/>
        <v>0</v>
      </c>
      <c r="I157">
        <v>1</v>
      </c>
      <c r="J157" t="e">
        <f t="shared" si="29"/>
        <v>#NUM!</v>
      </c>
      <c r="K157">
        <f t="shared" si="30"/>
        <v>-1.2217251517752175</v>
      </c>
      <c r="L157">
        <v>1</v>
      </c>
      <c r="M157" t="e">
        <f t="shared" si="31"/>
        <v>#NUM!</v>
      </c>
      <c r="N157">
        <f t="shared" si="37"/>
        <v>0</v>
      </c>
      <c r="O157">
        <f t="shared" si="38"/>
        <v>0</v>
      </c>
      <c r="P157" t="e">
        <f t="shared" si="39"/>
        <v>#NUM!</v>
      </c>
    </row>
    <row r="158" spans="3:16">
      <c r="C158">
        <f t="shared" si="25"/>
        <v>0</v>
      </c>
      <c r="D158">
        <v>1.6E-2</v>
      </c>
      <c r="E158">
        <v>3.5999999999999999E-3</v>
      </c>
      <c r="F158">
        <f t="shared" si="26"/>
        <v>0</v>
      </c>
      <c r="G158">
        <f t="shared" si="36"/>
        <v>0</v>
      </c>
      <c r="H158">
        <f t="shared" si="28"/>
        <v>0</v>
      </c>
      <c r="I158">
        <v>1</v>
      </c>
      <c r="J158" t="e">
        <f t="shared" si="29"/>
        <v>#NUM!</v>
      </c>
      <c r="K158">
        <f t="shared" si="30"/>
        <v>-1.2217251517752175</v>
      </c>
      <c r="L158">
        <v>1</v>
      </c>
      <c r="M158" t="e">
        <f t="shared" si="31"/>
        <v>#NUM!</v>
      </c>
      <c r="N158">
        <f t="shared" si="37"/>
        <v>0</v>
      </c>
      <c r="O158">
        <f t="shared" si="38"/>
        <v>0</v>
      </c>
      <c r="P158" t="e">
        <f t="shared" si="39"/>
        <v>#NUM!</v>
      </c>
    </row>
    <row r="159" spans="3:16">
      <c r="C159">
        <f t="shared" si="25"/>
        <v>0</v>
      </c>
      <c r="D159">
        <v>1.6E-2</v>
      </c>
      <c r="E159">
        <v>3.5999999999999999E-3</v>
      </c>
      <c r="F159">
        <f t="shared" si="26"/>
        <v>0</v>
      </c>
      <c r="G159">
        <f t="shared" si="36"/>
        <v>0</v>
      </c>
      <c r="H159">
        <f t="shared" si="28"/>
        <v>0</v>
      </c>
      <c r="I159">
        <v>1</v>
      </c>
      <c r="J159" t="e">
        <f t="shared" si="29"/>
        <v>#NUM!</v>
      </c>
      <c r="K159">
        <f t="shared" si="30"/>
        <v>-1.2217251517752175</v>
      </c>
      <c r="L159">
        <v>1</v>
      </c>
      <c r="M159" t="e">
        <f t="shared" si="31"/>
        <v>#NUM!</v>
      </c>
      <c r="N159">
        <f t="shared" si="37"/>
        <v>0</v>
      </c>
      <c r="O159">
        <f t="shared" si="38"/>
        <v>0</v>
      </c>
      <c r="P159" t="e">
        <f t="shared" si="39"/>
        <v>#NUM!</v>
      </c>
    </row>
    <row r="160" spans="3:16">
      <c r="C160">
        <f t="shared" si="25"/>
        <v>0</v>
      </c>
      <c r="D160">
        <v>1.6E-2</v>
      </c>
      <c r="E160">
        <v>3.5999999999999999E-3</v>
      </c>
      <c r="F160">
        <f t="shared" si="26"/>
        <v>0</v>
      </c>
      <c r="G160">
        <f t="shared" si="36"/>
        <v>0</v>
      </c>
      <c r="H160">
        <f t="shared" si="28"/>
        <v>0</v>
      </c>
      <c r="I160">
        <v>1</v>
      </c>
      <c r="J160" t="e">
        <f t="shared" si="29"/>
        <v>#NUM!</v>
      </c>
      <c r="K160">
        <f t="shared" si="30"/>
        <v>-1.2217251517752175</v>
      </c>
      <c r="L160">
        <v>1</v>
      </c>
      <c r="M160" t="e">
        <f t="shared" si="31"/>
        <v>#NUM!</v>
      </c>
      <c r="N160">
        <f t="shared" si="37"/>
        <v>0</v>
      </c>
      <c r="O160">
        <f t="shared" si="38"/>
        <v>0</v>
      </c>
      <c r="P160" t="e">
        <f t="shared" si="39"/>
        <v>#NUM!</v>
      </c>
    </row>
    <row r="161" spans="3:16">
      <c r="C161">
        <f t="shared" si="25"/>
        <v>0</v>
      </c>
      <c r="D161">
        <v>1.6E-2</v>
      </c>
      <c r="E161">
        <v>3.5999999999999999E-3</v>
      </c>
      <c r="F161">
        <f t="shared" si="26"/>
        <v>0</v>
      </c>
      <c r="G161">
        <f t="shared" si="36"/>
        <v>0</v>
      </c>
      <c r="H161">
        <f t="shared" si="28"/>
        <v>0</v>
      </c>
      <c r="I161">
        <v>1</v>
      </c>
      <c r="J161" t="e">
        <f t="shared" si="29"/>
        <v>#NUM!</v>
      </c>
      <c r="K161">
        <f t="shared" si="30"/>
        <v>-1.2217251517752175</v>
      </c>
      <c r="L161">
        <v>1</v>
      </c>
      <c r="M161" t="e">
        <f t="shared" si="31"/>
        <v>#NUM!</v>
      </c>
      <c r="N161">
        <f t="shared" si="37"/>
        <v>0</v>
      </c>
      <c r="O161">
        <f t="shared" si="38"/>
        <v>0</v>
      </c>
      <c r="P161" t="e">
        <f t="shared" si="39"/>
        <v>#NUM!</v>
      </c>
    </row>
    <row r="162" spans="3:16">
      <c r="C162">
        <f t="shared" si="25"/>
        <v>0</v>
      </c>
      <c r="D162">
        <v>1.6E-2</v>
      </c>
      <c r="E162">
        <v>3.5999999999999999E-3</v>
      </c>
      <c r="F162">
        <f t="shared" si="26"/>
        <v>0</v>
      </c>
      <c r="G162">
        <f t="shared" si="36"/>
        <v>0</v>
      </c>
      <c r="H162">
        <f t="shared" si="28"/>
        <v>0</v>
      </c>
      <c r="I162">
        <v>1</v>
      </c>
      <c r="J162" t="e">
        <f t="shared" si="29"/>
        <v>#NUM!</v>
      </c>
      <c r="K162">
        <f t="shared" si="30"/>
        <v>-1.2217251517752175</v>
      </c>
      <c r="L162">
        <v>1</v>
      </c>
      <c r="M162" t="e">
        <f t="shared" si="31"/>
        <v>#NUM!</v>
      </c>
      <c r="N162">
        <f t="shared" si="37"/>
        <v>0</v>
      </c>
      <c r="O162">
        <f t="shared" si="38"/>
        <v>0</v>
      </c>
      <c r="P162" t="e">
        <f t="shared" si="39"/>
        <v>#NUM!</v>
      </c>
    </row>
    <row r="163" spans="3:16">
      <c r="C163">
        <f t="shared" si="25"/>
        <v>0</v>
      </c>
      <c r="D163">
        <v>1.6E-2</v>
      </c>
      <c r="E163">
        <v>3.5999999999999999E-3</v>
      </c>
      <c r="F163">
        <f t="shared" si="26"/>
        <v>0</v>
      </c>
      <c r="G163">
        <f t="shared" si="36"/>
        <v>0</v>
      </c>
      <c r="H163">
        <f t="shared" si="28"/>
        <v>0</v>
      </c>
      <c r="I163">
        <v>1</v>
      </c>
      <c r="J163" t="e">
        <f t="shared" si="29"/>
        <v>#NUM!</v>
      </c>
      <c r="K163">
        <f t="shared" si="30"/>
        <v>-1.2217251517752175</v>
      </c>
      <c r="L163">
        <v>1</v>
      </c>
      <c r="M163" t="e">
        <f t="shared" si="31"/>
        <v>#NUM!</v>
      </c>
      <c r="N163">
        <f t="shared" si="37"/>
        <v>0</v>
      </c>
      <c r="O163">
        <f t="shared" si="38"/>
        <v>0</v>
      </c>
      <c r="P163" t="e">
        <f t="shared" si="39"/>
        <v>#NUM!</v>
      </c>
    </row>
    <row r="164" spans="3:16">
      <c r="C164">
        <f t="shared" si="25"/>
        <v>0</v>
      </c>
      <c r="D164">
        <v>1.6E-2</v>
      </c>
      <c r="E164">
        <v>3.5999999999999999E-3</v>
      </c>
      <c r="F164">
        <f t="shared" si="26"/>
        <v>0</v>
      </c>
      <c r="G164">
        <f t="shared" si="36"/>
        <v>0</v>
      </c>
      <c r="H164">
        <f t="shared" si="28"/>
        <v>0</v>
      </c>
      <c r="I164">
        <v>1</v>
      </c>
      <c r="J164" t="e">
        <f t="shared" si="29"/>
        <v>#NUM!</v>
      </c>
      <c r="K164">
        <f t="shared" si="30"/>
        <v>-1.2217251517752175</v>
      </c>
      <c r="L164">
        <v>1</v>
      </c>
      <c r="M164" t="e">
        <f t="shared" si="31"/>
        <v>#NUM!</v>
      </c>
      <c r="N164">
        <f t="shared" si="37"/>
        <v>0</v>
      </c>
      <c r="O164">
        <f t="shared" si="38"/>
        <v>0</v>
      </c>
      <c r="P164" t="e">
        <f t="shared" si="39"/>
        <v>#NUM!</v>
      </c>
    </row>
    <row r="165" spans="3:16">
      <c r="C165">
        <f t="shared" si="25"/>
        <v>0</v>
      </c>
      <c r="D165">
        <v>1.6E-2</v>
      </c>
      <c r="E165">
        <v>3.5999999999999999E-3</v>
      </c>
      <c r="F165">
        <f t="shared" si="26"/>
        <v>0</v>
      </c>
      <c r="G165">
        <f t="shared" si="36"/>
        <v>0</v>
      </c>
      <c r="H165">
        <f t="shared" si="28"/>
        <v>0</v>
      </c>
      <c r="I165">
        <v>1</v>
      </c>
      <c r="J165" t="e">
        <f t="shared" si="29"/>
        <v>#NUM!</v>
      </c>
      <c r="K165">
        <f t="shared" si="30"/>
        <v>-1.2217251517752175</v>
      </c>
      <c r="L165">
        <v>1</v>
      </c>
      <c r="M165" t="e">
        <f t="shared" si="31"/>
        <v>#NUM!</v>
      </c>
      <c r="N165">
        <f t="shared" si="37"/>
        <v>0</v>
      </c>
      <c r="O165">
        <f t="shared" si="38"/>
        <v>0</v>
      </c>
      <c r="P165" t="e">
        <f t="shared" si="39"/>
        <v>#NUM!</v>
      </c>
    </row>
    <row r="166" spans="3:16">
      <c r="C166">
        <f t="shared" si="25"/>
        <v>0</v>
      </c>
      <c r="D166">
        <v>1.6E-2</v>
      </c>
      <c r="E166">
        <v>3.5999999999999999E-3</v>
      </c>
      <c r="F166">
        <f t="shared" si="26"/>
        <v>0</v>
      </c>
      <c r="G166">
        <f t="shared" si="36"/>
        <v>0</v>
      </c>
      <c r="H166">
        <f t="shared" si="28"/>
        <v>0</v>
      </c>
      <c r="I166">
        <v>1</v>
      </c>
      <c r="J166" t="e">
        <f t="shared" si="29"/>
        <v>#NUM!</v>
      </c>
      <c r="K166">
        <f t="shared" si="30"/>
        <v>-1.2217251517752175</v>
      </c>
      <c r="L166">
        <v>1</v>
      </c>
      <c r="M166" t="e">
        <f t="shared" si="31"/>
        <v>#NUM!</v>
      </c>
      <c r="N166">
        <f t="shared" si="37"/>
        <v>0</v>
      </c>
      <c r="O166">
        <f t="shared" si="38"/>
        <v>0</v>
      </c>
      <c r="P166" t="e">
        <f t="shared" si="39"/>
        <v>#NUM!</v>
      </c>
    </row>
    <row r="167" spans="3:16">
      <c r="C167">
        <f t="shared" si="25"/>
        <v>0</v>
      </c>
      <c r="D167">
        <v>1.6E-2</v>
      </c>
      <c r="E167">
        <v>3.5999999999999999E-3</v>
      </c>
      <c r="F167">
        <f t="shared" si="26"/>
        <v>0</v>
      </c>
      <c r="G167">
        <f t="shared" si="36"/>
        <v>0</v>
      </c>
      <c r="H167">
        <f t="shared" si="28"/>
        <v>0</v>
      </c>
      <c r="I167">
        <v>1</v>
      </c>
      <c r="J167" t="e">
        <f t="shared" si="29"/>
        <v>#NUM!</v>
      </c>
      <c r="K167">
        <f t="shared" si="30"/>
        <v>-1.2217251517752175</v>
      </c>
      <c r="L167">
        <v>1</v>
      </c>
      <c r="M167" t="e">
        <f t="shared" si="31"/>
        <v>#NUM!</v>
      </c>
      <c r="N167">
        <f t="shared" si="37"/>
        <v>0</v>
      </c>
      <c r="O167">
        <f t="shared" si="38"/>
        <v>0</v>
      </c>
      <c r="P167" t="e">
        <f t="shared" si="39"/>
        <v>#NUM!</v>
      </c>
    </row>
    <row r="168" spans="3:16">
      <c r="C168">
        <f t="shared" si="25"/>
        <v>0</v>
      </c>
      <c r="D168">
        <v>1.6E-2</v>
      </c>
      <c r="E168">
        <v>3.5999999999999999E-3</v>
      </c>
      <c r="F168">
        <f t="shared" si="26"/>
        <v>0</v>
      </c>
      <c r="G168">
        <f t="shared" si="36"/>
        <v>0</v>
      </c>
      <c r="H168">
        <f t="shared" si="28"/>
        <v>0</v>
      </c>
      <c r="I168">
        <v>1</v>
      </c>
      <c r="J168" t="e">
        <f t="shared" si="29"/>
        <v>#NUM!</v>
      </c>
      <c r="K168">
        <f t="shared" si="30"/>
        <v>-1.2217251517752175</v>
      </c>
      <c r="L168">
        <v>1</v>
      </c>
      <c r="M168" t="e">
        <f t="shared" si="31"/>
        <v>#NUM!</v>
      </c>
      <c r="N168">
        <f t="shared" si="37"/>
        <v>0</v>
      </c>
      <c r="O168">
        <f t="shared" si="38"/>
        <v>0</v>
      </c>
      <c r="P168" t="e">
        <f t="shared" si="39"/>
        <v>#NUM!</v>
      </c>
    </row>
    <row r="169" spans="3:16">
      <c r="C169">
        <f t="shared" si="25"/>
        <v>0</v>
      </c>
      <c r="D169">
        <v>1.6E-2</v>
      </c>
      <c r="E169">
        <v>3.5999999999999999E-3</v>
      </c>
      <c r="F169">
        <f t="shared" si="26"/>
        <v>0</v>
      </c>
      <c r="G169">
        <f t="shared" si="36"/>
        <v>0</v>
      </c>
      <c r="H169">
        <f t="shared" si="28"/>
        <v>0</v>
      </c>
      <c r="I169">
        <v>1</v>
      </c>
      <c r="J169" t="e">
        <f t="shared" si="29"/>
        <v>#NUM!</v>
      </c>
      <c r="K169">
        <f t="shared" si="30"/>
        <v>-1.2217251517752175</v>
      </c>
      <c r="L169">
        <v>1</v>
      </c>
      <c r="M169" t="e">
        <f t="shared" si="31"/>
        <v>#NUM!</v>
      </c>
      <c r="N169">
        <f t="shared" si="37"/>
        <v>0</v>
      </c>
      <c r="O169">
        <f t="shared" si="38"/>
        <v>0</v>
      </c>
      <c r="P169" t="e">
        <f t="shared" si="39"/>
        <v>#NUM!</v>
      </c>
    </row>
    <row r="170" spans="3:16">
      <c r="C170">
        <f t="shared" si="25"/>
        <v>0</v>
      </c>
      <c r="D170">
        <v>1.6E-2</v>
      </c>
      <c r="E170">
        <v>3.5999999999999999E-3</v>
      </c>
      <c r="F170">
        <f t="shared" si="26"/>
        <v>0</v>
      </c>
      <c r="G170">
        <f t="shared" si="36"/>
        <v>0</v>
      </c>
      <c r="H170">
        <f t="shared" si="28"/>
        <v>0</v>
      </c>
      <c r="I170">
        <v>1</v>
      </c>
      <c r="J170" t="e">
        <f t="shared" si="29"/>
        <v>#NUM!</v>
      </c>
      <c r="K170">
        <f t="shared" si="30"/>
        <v>-1.2217251517752175</v>
      </c>
      <c r="L170">
        <v>1</v>
      </c>
      <c r="M170" t="e">
        <f t="shared" si="31"/>
        <v>#NUM!</v>
      </c>
      <c r="N170">
        <f t="shared" si="37"/>
        <v>0</v>
      </c>
      <c r="O170">
        <f t="shared" si="38"/>
        <v>0</v>
      </c>
      <c r="P170" t="e">
        <f t="shared" si="39"/>
        <v>#NUM!</v>
      </c>
    </row>
    <row r="171" spans="3:16">
      <c r="C171">
        <f t="shared" si="25"/>
        <v>0</v>
      </c>
      <c r="D171">
        <v>1.6E-2</v>
      </c>
      <c r="E171">
        <v>3.5999999999999999E-3</v>
      </c>
      <c r="F171">
        <f t="shared" si="26"/>
        <v>0</v>
      </c>
      <c r="G171">
        <f t="shared" si="36"/>
        <v>0</v>
      </c>
      <c r="H171">
        <f t="shared" si="28"/>
        <v>0</v>
      </c>
      <c r="I171">
        <v>1</v>
      </c>
      <c r="J171" t="e">
        <f t="shared" si="29"/>
        <v>#NUM!</v>
      </c>
      <c r="K171">
        <f t="shared" si="30"/>
        <v>-1.2217251517752175</v>
      </c>
      <c r="L171">
        <v>1</v>
      </c>
      <c r="M171" t="e">
        <f t="shared" si="31"/>
        <v>#NUM!</v>
      </c>
      <c r="N171">
        <f t="shared" si="37"/>
        <v>0</v>
      </c>
      <c r="O171">
        <f t="shared" si="38"/>
        <v>0</v>
      </c>
      <c r="P171" t="e">
        <f t="shared" si="39"/>
        <v>#NUM!</v>
      </c>
    </row>
    <row r="172" spans="3:16">
      <c r="C172">
        <f t="shared" si="25"/>
        <v>0</v>
      </c>
      <c r="D172">
        <v>1.6E-2</v>
      </c>
      <c r="E172">
        <v>3.5999999999999999E-3</v>
      </c>
      <c r="F172">
        <f t="shared" si="26"/>
        <v>0</v>
      </c>
      <c r="G172">
        <f t="shared" si="36"/>
        <v>0</v>
      </c>
      <c r="H172">
        <f t="shared" si="28"/>
        <v>0</v>
      </c>
      <c r="I172">
        <v>1</v>
      </c>
      <c r="J172" t="e">
        <f t="shared" si="29"/>
        <v>#NUM!</v>
      </c>
      <c r="K172">
        <f t="shared" si="30"/>
        <v>-1.2217251517752175</v>
      </c>
      <c r="L172">
        <v>1</v>
      </c>
      <c r="M172" t="e">
        <f t="shared" si="31"/>
        <v>#NUM!</v>
      </c>
      <c r="N172">
        <f t="shared" si="37"/>
        <v>0</v>
      </c>
      <c r="O172">
        <f t="shared" si="38"/>
        <v>0</v>
      </c>
      <c r="P172" t="e">
        <f t="shared" si="39"/>
        <v>#NUM!</v>
      </c>
    </row>
    <row r="173" spans="3:16">
      <c r="C173">
        <f t="shared" si="25"/>
        <v>0</v>
      </c>
      <c r="D173">
        <v>1.6E-2</v>
      </c>
      <c r="E173">
        <v>3.5999999999999999E-3</v>
      </c>
      <c r="F173">
        <f t="shared" si="26"/>
        <v>0</v>
      </c>
      <c r="G173">
        <f t="shared" si="36"/>
        <v>0</v>
      </c>
      <c r="H173">
        <f t="shared" si="28"/>
        <v>0</v>
      </c>
      <c r="I173">
        <v>1</v>
      </c>
      <c r="J173" t="e">
        <f t="shared" si="29"/>
        <v>#NUM!</v>
      </c>
      <c r="K173">
        <f t="shared" si="30"/>
        <v>-1.2217251517752175</v>
      </c>
      <c r="L173">
        <v>1</v>
      </c>
      <c r="M173" t="e">
        <f t="shared" si="31"/>
        <v>#NUM!</v>
      </c>
      <c r="N173">
        <f t="shared" si="37"/>
        <v>0</v>
      </c>
      <c r="O173">
        <f t="shared" si="38"/>
        <v>0</v>
      </c>
      <c r="P173" t="e">
        <f t="shared" si="39"/>
        <v>#NUM!</v>
      </c>
    </row>
    <row r="174" spans="3:16">
      <c r="C174">
        <f t="shared" si="25"/>
        <v>0</v>
      </c>
      <c r="D174">
        <v>1.6E-2</v>
      </c>
      <c r="E174">
        <v>3.5999999999999999E-3</v>
      </c>
      <c r="F174">
        <f t="shared" si="26"/>
        <v>0</v>
      </c>
      <c r="G174">
        <f t="shared" si="36"/>
        <v>0</v>
      </c>
      <c r="H174">
        <f t="shared" si="28"/>
        <v>0</v>
      </c>
      <c r="I174">
        <v>1</v>
      </c>
      <c r="J174" t="e">
        <f t="shared" si="29"/>
        <v>#NUM!</v>
      </c>
      <c r="K174">
        <f t="shared" si="30"/>
        <v>-1.2217251517752175</v>
      </c>
      <c r="L174">
        <v>1</v>
      </c>
      <c r="M174" t="e">
        <f t="shared" si="31"/>
        <v>#NUM!</v>
      </c>
      <c r="N174">
        <f t="shared" si="37"/>
        <v>0</v>
      </c>
      <c r="O174">
        <f t="shared" si="38"/>
        <v>0</v>
      </c>
      <c r="P174" t="e">
        <f t="shared" si="39"/>
        <v>#NUM!</v>
      </c>
    </row>
    <row r="175" spans="3:16">
      <c r="C175">
        <f t="shared" si="25"/>
        <v>0</v>
      </c>
      <c r="D175">
        <v>1.6E-2</v>
      </c>
      <c r="E175">
        <v>3.5999999999999999E-3</v>
      </c>
      <c r="F175">
        <f t="shared" si="26"/>
        <v>0</v>
      </c>
      <c r="G175">
        <f t="shared" si="36"/>
        <v>0</v>
      </c>
      <c r="H175">
        <f t="shared" si="28"/>
        <v>0</v>
      </c>
      <c r="I175">
        <v>1</v>
      </c>
      <c r="J175" t="e">
        <f t="shared" si="29"/>
        <v>#NUM!</v>
      </c>
      <c r="K175">
        <f t="shared" si="30"/>
        <v>-1.2217251517752175</v>
      </c>
      <c r="L175">
        <v>1</v>
      </c>
      <c r="M175" t="e">
        <f t="shared" si="31"/>
        <v>#NUM!</v>
      </c>
      <c r="N175">
        <f t="shared" si="37"/>
        <v>0</v>
      </c>
      <c r="O175">
        <f t="shared" si="38"/>
        <v>0</v>
      </c>
      <c r="P175" t="e">
        <f t="shared" si="39"/>
        <v>#NUM!</v>
      </c>
    </row>
    <row r="176" spans="3:16">
      <c r="C176">
        <f t="shared" si="25"/>
        <v>0</v>
      </c>
      <c r="D176">
        <v>1.6E-2</v>
      </c>
      <c r="E176">
        <v>3.5999999999999999E-3</v>
      </c>
      <c r="F176">
        <f t="shared" si="26"/>
        <v>0</v>
      </c>
      <c r="G176">
        <f t="shared" si="36"/>
        <v>0</v>
      </c>
      <c r="H176">
        <f t="shared" si="28"/>
        <v>0</v>
      </c>
      <c r="I176">
        <v>1</v>
      </c>
      <c r="J176" t="e">
        <f t="shared" si="29"/>
        <v>#NUM!</v>
      </c>
      <c r="K176">
        <f t="shared" si="30"/>
        <v>-1.2217251517752175</v>
      </c>
      <c r="L176">
        <v>1</v>
      </c>
      <c r="M176" t="e">
        <f t="shared" si="31"/>
        <v>#NUM!</v>
      </c>
      <c r="N176">
        <f t="shared" si="37"/>
        <v>0</v>
      </c>
      <c r="O176">
        <f t="shared" si="38"/>
        <v>0</v>
      </c>
      <c r="P176" t="e">
        <f t="shared" si="39"/>
        <v>#NUM!</v>
      </c>
    </row>
    <row r="177" spans="3:16">
      <c r="C177">
        <f t="shared" si="25"/>
        <v>0</v>
      </c>
      <c r="D177">
        <v>1.6E-2</v>
      </c>
      <c r="E177">
        <v>3.5999999999999999E-3</v>
      </c>
      <c r="F177">
        <f t="shared" si="26"/>
        <v>0</v>
      </c>
      <c r="G177">
        <f t="shared" si="36"/>
        <v>0</v>
      </c>
      <c r="H177">
        <f t="shared" si="28"/>
        <v>0</v>
      </c>
      <c r="I177">
        <v>1</v>
      </c>
      <c r="J177" t="e">
        <f t="shared" si="29"/>
        <v>#NUM!</v>
      </c>
      <c r="K177">
        <f t="shared" si="30"/>
        <v>-1.2217251517752175</v>
      </c>
      <c r="L177">
        <v>1</v>
      </c>
      <c r="M177" t="e">
        <f t="shared" si="31"/>
        <v>#NUM!</v>
      </c>
      <c r="N177">
        <f t="shared" si="37"/>
        <v>0</v>
      </c>
      <c r="O177">
        <f t="shared" si="38"/>
        <v>0</v>
      </c>
      <c r="P177" t="e">
        <f t="shared" si="39"/>
        <v>#NUM!</v>
      </c>
    </row>
    <row r="178" spans="3:16">
      <c r="C178">
        <f t="shared" si="25"/>
        <v>0</v>
      </c>
      <c r="D178">
        <v>1.6E-2</v>
      </c>
      <c r="E178">
        <v>3.5999999999999999E-3</v>
      </c>
      <c r="F178">
        <f t="shared" si="26"/>
        <v>0</v>
      </c>
      <c r="G178">
        <f t="shared" si="36"/>
        <v>0</v>
      </c>
      <c r="H178">
        <f t="shared" si="28"/>
        <v>0</v>
      </c>
      <c r="I178">
        <v>1</v>
      </c>
      <c r="J178" t="e">
        <f t="shared" si="29"/>
        <v>#NUM!</v>
      </c>
      <c r="K178">
        <f t="shared" si="30"/>
        <v>-1.2217251517752175</v>
      </c>
      <c r="L178">
        <v>1</v>
      </c>
      <c r="M178" t="e">
        <f t="shared" si="31"/>
        <v>#NUM!</v>
      </c>
      <c r="N178">
        <f t="shared" si="37"/>
        <v>0</v>
      </c>
      <c r="O178">
        <f t="shared" si="38"/>
        <v>0</v>
      </c>
      <c r="P178" t="e">
        <f t="shared" si="39"/>
        <v>#NUM!</v>
      </c>
    </row>
    <row r="179" spans="3:16">
      <c r="C179">
        <f t="shared" si="25"/>
        <v>0</v>
      </c>
      <c r="D179">
        <v>1.6E-2</v>
      </c>
      <c r="E179">
        <v>3.5999999999999999E-3</v>
      </c>
      <c r="F179">
        <f t="shared" si="26"/>
        <v>0</v>
      </c>
      <c r="G179">
        <f t="shared" si="36"/>
        <v>0</v>
      </c>
      <c r="H179">
        <f t="shared" si="28"/>
        <v>0</v>
      </c>
      <c r="I179">
        <v>1</v>
      </c>
      <c r="J179" t="e">
        <f t="shared" si="29"/>
        <v>#NUM!</v>
      </c>
      <c r="K179">
        <f t="shared" si="30"/>
        <v>-1.2217251517752175</v>
      </c>
      <c r="L179">
        <v>1</v>
      </c>
      <c r="M179" t="e">
        <f t="shared" si="31"/>
        <v>#NUM!</v>
      </c>
      <c r="N179">
        <f t="shared" si="37"/>
        <v>0</v>
      </c>
      <c r="O179">
        <f t="shared" si="38"/>
        <v>0</v>
      </c>
      <c r="P179" t="e">
        <f t="shared" si="39"/>
        <v>#NUM!</v>
      </c>
    </row>
    <row r="180" spans="3:16">
      <c r="C180">
        <f t="shared" si="25"/>
        <v>0</v>
      </c>
      <c r="D180">
        <v>1.6E-2</v>
      </c>
      <c r="E180">
        <v>3.5999999999999999E-3</v>
      </c>
      <c r="F180">
        <f t="shared" si="26"/>
        <v>0</v>
      </c>
      <c r="G180">
        <f t="shared" si="36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-1.2217251517752175</v>
      </c>
      <c r="L180">
        <v>1</v>
      </c>
      <c r="M180" t="e">
        <f t="shared" si="31"/>
        <v>#NUM!</v>
      </c>
      <c r="N180">
        <f t="shared" si="37"/>
        <v>0</v>
      </c>
      <c r="O180">
        <f t="shared" si="38"/>
        <v>0</v>
      </c>
      <c r="P180" t="e">
        <f t="shared" si="39"/>
        <v>#NUM!</v>
      </c>
    </row>
    <row r="181" spans="3:16">
      <c r="C181">
        <f t="shared" si="25"/>
        <v>0</v>
      </c>
      <c r="D181">
        <v>1.6E-2</v>
      </c>
      <c r="E181">
        <v>3.5999999999999999E-3</v>
      </c>
      <c r="F181">
        <f t="shared" si="26"/>
        <v>0</v>
      </c>
      <c r="G181">
        <f t="shared" si="36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-1.2217251517752175</v>
      </c>
      <c r="L181">
        <v>1</v>
      </c>
      <c r="M181" t="e">
        <f t="shared" si="31"/>
        <v>#NUM!</v>
      </c>
      <c r="N181">
        <f t="shared" si="37"/>
        <v>0</v>
      </c>
      <c r="O181">
        <f t="shared" si="38"/>
        <v>0</v>
      </c>
      <c r="P181" t="e">
        <f t="shared" si="39"/>
        <v>#NUM!</v>
      </c>
    </row>
    <row r="182" spans="3:16">
      <c r="C182">
        <f t="shared" si="25"/>
        <v>0</v>
      </c>
      <c r="D182">
        <v>1.6E-2</v>
      </c>
      <c r="E182">
        <v>3.5999999999999999E-3</v>
      </c>
      <c r="F182">
        <f t="shared" si="26"/>
        <v>0</v>
      </c>
      <c r="G182">
        <f t="shared" si="36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-1.2217251517752175</v>
      </c>
      <c r="L182">
        <v>1</v>
      </c>
      <c r="M182" t="e">
        <f t="shared" si="31"/>
        <v>#NUM!</v>
      </c>
      <c r="N182">
        <f t="shared" si="37"/>
        <v>0</v>
      </c>
      <c r="O182">
        <f t="shared" si="38"/>
        <v>0</v>
      </c>
      <c r="P182" t="e">
        <f t="shared" si="39"/>
        <v>#NUM!</v>
      </c>
    </row>
    <row r="183" spans="3:16">
      <c r="C183">
        <f t="shared" si="25"/>
        <v>0</v>
      </c>
      <c r="D183">
        <v>1.6E-2</v>
      </c>
      <c r="E183">
        <v>3.5999999999999999E-3</v>
      </c>
      <c r="F183">
        <f t="shared" si="26"/>
        <v>0</v>
      </c>
      <c r="G183">
        <f t="shared" si="36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-1.2217251517752175</v>
      </c>
      <c r="L183">
        <v>1</v>
      </c>
      <c r="M183" t="e">
        <f t="shared" si="31"/>
        <v>#NUM!</v>
      </c>
      <c r="N183">
        <f t="shared" si="37"/>
        <v>0</v>
      </c>
      <c r="O183">
        <f t="shared" si="38"/>
        <v>0</v>
      </c>
      <c r="P183" t="e">
        <f t="shared" si="39"/>
        <v>#NUM!</v>
      </c>
    </row>
    <row r="184" spans="3:16">
      <c r="C184">
        <f t="shared" si="25"/>
        <v>0</v>
      </c>
      <c r="D184">
        <v>1.6E-2</v>
      </c>
      <c r="E184">
        <v>3.5999999999999999E-3</v>
      </c>
      <c r="F184">
        <f t="shared" si="26"/>
        <v>0</v>
      </c>
      <c r="G184">
        <f t="shared" si="36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-1.2217251517752175</v>
      </c>
      <c r="L184">
        <v>1</v>
      </c>
      <c r="M184" t="e">
        <f t="shared" si="31"/>
        <v>#NUM!</v>
      </c>
      <c r="N184">
        <f t="shared" si="37"/>
        <v>0</v>
      </c>
      <c r="O184">
        <f t="shared" si="38"/>
        <v>0</v>
      </c>
      <c r="P184" t="e">
        <f t="shared" si="39"/>
        <v>#NUM!</v>
      </c>
    </row>
    <row r="185" spans="3:16">
      <c r="C185">
        <f t="shared" si="25"/>
        <v>0</v>
      </c>
      <c r="D185">
        <v>1.6E-2</v>
      </c>
      <c r="E185">
        <v>3.5999999999999999E-3</v>
      </c>
      <c r="F185">
        <f t="shared" si="26"/>
        <v>0</v>
      </c>
      <c r="G185">
        <f t="shared" si="36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-1.2217251517752175</v>
      </c>
      <c r="L185">
        <v>1</v>
      </c>
      <c r="M185" t="e">
        <f t="shared" si="31"/>
        <v>#NUM!</v>
      </c>
      <c r="N185">
        <f t="shared" si="37"/>
        <v>0</v>
      </c>
      <c r="O185">
        <f t="shared" si="38"/>
        <v>0</v>
      </c>
      <c r="P185" t="e">
        <f t="shared" si="39"/>
        <v>#NUM!</v>
      </c>
    </row>
    <row r="186" spans="3:16">
      <c r="C186">
        <f t="shared" si="25"/>
        <v>0</v>
      </c>
      <c r="D186">
        <v>1.6E-2</v>
      </c>
      <c r="E186">
        <v>3.5999999999999999E-3</v>
      </c>
      <c r="F186">
        <f t="shared" si="26"/>
        <v>0</v>
      </c>
      <c r="G186">
        <f t="shared" si="36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-1.2217251517752175</v>
      </c>
      <c r="L186">
        <v>1</v>
      </c>
      <c r="M186" t="e">
        <f t="shared" si="31"/>
        <v>#NUM!</v>
      </c>
      <c r="N186">
        <f t="shared" si="37"/>
        <v>0</v>
      </c>
      <c r="O186">
        <f t="shared" si="38"/>
        <v>0</v>
      </c>
      <c r="P186" t="e">
        <f t="shared" si="39"/>
        <v>#NUM!</v>
      </c>
    </row>
    <row r="187" spans="3:16">
      <c r="C187">
        <f t="shared" si="25"/>
        <v>0</v>
      </c>
      <c r="D187">
        <v>1.6E-2</v>
      </c>
      <c r="E187">
        <v>3.5999999999999999E-3</v>
      </c>
      <c r="F187">
        <f t="shared" si="26"/>
        <v>0</v>
      </c>
      <c r="G187">
        <f t="shared" si="36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-1.2217251517752175</v>
      </c>
      <c r="L187">
        <v>1</v>
      </c>
      <c r="M187" t="e">
        <f t="shared" si="31"/>
        <v>#NUM!</v>
      </c>
      <c r="N187">
        <f t="shared" si="37"/>
        <v>0</v>
      </c>
      <c r="O187">
        <f t="shared" si="38"/>
        <v>0</v>
      </c>
      <c r="P187" t="e">
        <f t="shared" si="39"/>
        <v>#NUM!</v>
      </c>
    </row>
    <row r="188" spans="3:16">
      <c r="C188">
        <f t="shared" si="25"/>
        <v>0</v>
      </c>
      <c r="D188">
        <v>1.6E-2</v>
      </c>
      <c r="E188">
        <v>3.5999999999999999E-3</v>
      </c>
      <c r="F188">
        <f t="shared" si="26"/>
        <v>0</v>
      </c>
      <c r="G188">
        <f t="shared" ref="G188:G211" si="40">-B188</f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ref="K188:K211" si="41">((-G188)-$N$2)</f>
        <v>-1.2217251517752175</v>
      </c>
      <c r="L188">
        <v>1</v>
      </c>
      <c r="M188" t="e">
        <f t="shared" si="31"/>
        <v>#NUM!</v>
      </c>
      <c r="N188">
        <f t="shared" ref="N188:N211" si="42">D188*A188</f>
        <v>0</v>
      </c>
      <c r="O188">
        <f t="shared" ref="O188:O211" si="43">E188*A188</f>
        <v>0</v>
      </c>
      <c r="P188" t="e">
        <f t="shared" ref="P188:P211" si="44">-K188-M188-N188-O188</f>
        <v>#NUM!</v>
      </c>
    </row>
    <row r="189" spans="3:16">
      <c r="C189">
        <f t="shared" si="25"/>
        <v>0</v>
      </c>
      <c r="D189">
        <v>1.6E-2</v>
      </c>
      <c r="E189">
        <v>3.5999999999999999E-3</v>
      </c>
      <c r="F189">
        <f t="shared" si="26"/>
        <v>0</v>
      </c>
      <c r="G189">
        <f t="shared" si="40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41"/>
        <v>-1.2217251517752175</v>
      </c>
      <c r="L189">
        <v>1</v>
      </c>
      <c r="M189" t="e">
        <f t="shared" si="31"/>
        <v>#NUM!</v>
      </c>
      <c r="N189">
        <f t="shared" si="42"/>
        <v>0</v>
      </c>
      <c r="O189">
        <f t="shared" si="43"/>
        <v>0</v>
      </c>
      <c r="P189" t="e">
        <f t="shared" si="44"/>
        <v>#NUM!</v>
      </c>
    </row>
    <row r="190" spans="3:16">
      <c r="C190">
        <f t="shared" si="25"/>
        <v>0</v>
      </c>
      <c r="D190">
        <v>1.6E-2</v>
      </c>
      <c r="E190">
        <v>3.5999999999999999E-3</v>
      </c>
      <c r="F190">
        <f t="shared" si="26"/>
        <v>0</v>
      </c>
      <c r="G190">
        <f t="shared" si="40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41"/>
        <v>-1.2217251517752175</v>
      </c>
      <c r="L190">
        <v>1</v>
      </c>
      <c r="M190" t="e">
        <f t="shared" si="31"/>
        <v>#NUM!</v>
      </c>
      <c r="N190">
        <f t="shared" si="42"/>
        <v>0</v>
      </c>
      <c r="O190">
        <f t="shared" si="43"/>
        <v>0</v>
      </c>
      <c r="P190" t="e">
        <f t="shared" si="44"/>
        <v>#NUM!</v>
      </c>
    </row>
    <row r="191" spans="3:16">
      <c r="C191">
        <f t="shared" si="25"/>
        <v>0</v>
      </c>
      <c r="D191">
        <v>1.6E-2</v>
      </c>
      <c r="E191">
        <v>3.5999999999999999E-3</v>
      </c>
      <c r="F191">
        <f t="shared" si="26"/>
        <v>0</v>
      </c>
      <c r="G191">
        <f t="shared" si="40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41"/>
        <v>-1.2217251517752175</v>
      </c>
      <c r="L191">
        <v>1</v>
      </c>
      <c r="M191" t="e">
        <f t="shared" si="31"/>
        <v>#NUM!</v>
      </c>
      <c r="N191">
        <f t="shared" si="42"/>
        <v>0</v>
      </c>
      <c r="O191">
        <f t="shared" si="43"/>
        <v>0</v>
      </c>
      <c r="P191" t="e">
        <f t="shared" si="44"/>
        <v>#NUM!</v>
      </c>
    </row>
    <row r="192" spans="3:16">
      <c r="C192">
        <f t="shared" si="25"/>
        <v>0</v>
      </c>
      <c r="D192">
        <v>1.6E-2</v>
      </c>
      <c r="E192">
        <v>3.5999999999999999E-3</v>
      </c>
      <c r="F192">
        <f t="shared" si="26"/>
        <v>0</v>
      </c>
      <c r="G192">
        <f t="shared" si="40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41"/>
        <v>-1.2217251517752175</v>
      </c>
      <c r="L192">
        <v>1</v>
      </c>
      <c r="M192" t="e">
        <f t="shared" si="31"/>
        <v>#NUM!</v>
      </c>
      <c r="N192">
        <f t="shared" si="42"/>
        <v>0</v>
      </c>
      <c r="O192">
        <f t="shared" si="43"/>
        <v>0</v>
      </c>
      <c r="P192" t="e">
        <f t="shared" si="44"/>
        <v>#NUM!</v>
      </c>
    </row>
    <row r="193" spans="3:16">
      <c r="C193">
        <f t="shared" si="25"/>
        <v>0</v>
      </c>
      <c r="D193">
        <v>1.6E-2</v>
      </c>
      <c r="E193">
        <v>3.5999999999999999E-3</v>
      </c>
      <c r="F193">
        <f t="shared" si="26"/>
        <v>0</v>
      </c>
      <c r="G193">
        <f t="shared" si="40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41"/>
        <v>-1.2217251517752175</v>
      </c>
      <c r="L193">
        <v>1</v>
      </c>
      <c r="M193" t="e">
        <f t="shared" si="31"/>
        <v>#NUM!</v>
      </c>
      <c r="N193">
        <f t="shared" si="42"/>
        <v>0</v>
      </c>
      <c r="O193">
        <f t="shared" si="43"/>
        <v>0</v>
      </c>
      <c r="P193" t="e">
        <f t="shared" si="44"/>
        <v>#NUM!</v>
      </c>
    </row>
    <row r="194" spans="3:16">
      <c r="C194">
        <f t="shared" si="25"/>
        <v>0</v>
      </c>
      <c r="D194">
        <v>1.6E-2</v>
      </c>
      <c r="E194">
        <v>3.5999999999999999E-3</v>
      </c>
      <c r="F194">
        <f t="shared" si="26"/>
        <v>0</v>
      </c>
      <c r="G194">
        <f t="shared" si="40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41"/>
        <v>-1.2217251517752175</v>
      </c>
      <c r="L194">
        <v>1</v>
      </c>
      <c r="M194" t="e">
        <f t="shared" si="31"/>
        <v>#NUM!</v>
      </c>
      <c r="N194">
        <f t="shared" si="42"/>
        <v>0</v>
      </c>
      <c r="O194">
        <f t="shared" si="43"/>
        <v>0</v>
      </c>
      <c r="P194" t="e">
        <f t="shared" si="44"/>
        <v>#NUM!</v>
      </c>
    </row>
    <row r="195" spans="3:16">
      <c r="C195">
        <f t="shared" si="25"/>
        <v>0</v>
      </c>
      <c r="D195">
        <v>1.6E-2</v>
      </c>
      <c r="E195">
        <v>3.5999999999999999E-3</v>
      </c>
      <c r="F195">
        <f t="shared" si="26"/>
        <v>0</v>
      </c>
      <c r="G195">
        <f t="shared" si="40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41"/>
        <v>-1.2217251517752175</v>
      </c>
      <c r="L195">
        <v>1</v>
      </c>
      <c r="M195" t="e">
        <f t="shared" si="31"/>
        <v>#NUM!</v>
      </c>
      <c r="N195">
        <f t="shared" si="42"/>
        <v>0</v>
      </c>
      <c r="O195">
        <f t="shared" si="43"/>
        <v>0</v>
      </c>
      <c r="P195" t="e">
        <f t="shared" si="44"/>
        <v>#NUM!</v>
      </c>
    </row>
    <row r="196" spans="3:16">
      <c r="C196">
        <f t="shared" si="25"/>
        <v>0</v>
      </c>
      <c r="D196">
        <v>1.6E-2</v>
      </c>
      <c r="E196">
        <v>3.5999999999999999E-3</v>
      </c>
      <c r="F196">
        <f t="shared" si="26"/>
        <v>0</v>
      </c>
      <c r="G196">
        <f t="shared" si="40"/>
        <v>0</v>
      </c>
      <c r="H196">
        <f t="shared" si="28"/>
        <v>0</v>
      </c>
      <c r="I196">
        <v>1</v>
      </c>
      <c r="J196" t="e">
        <f t="shared" si="29"/>
        <v>#NUM!</v>
      </c>
      <c r="K196">
        <f t="shared" si="41"/>
        <v>-1.2217251517752175</v>
      </c>
      <c r="L196">
        <v>1</v>
      </c>
      <c r="M196" t="e">
        <f t="shared" si="31"/>
        <v>#NUM!</v>
      </c>
      <c r="N196">
        <f t="shared" si="42"/>
        <v>0</v>
      </c>
      <c r="O196">
        <f t="shared" si="43"/>
        <v>0</v>
      </c>
      <c r="P196" t="e">
        <f t="shared" si="44"/>
        <v>#NUM!</v>
      </c>
    </row>
    <row r="197" spans="3:16">
      <c r="C197">
        <f t="shared" ref="C197:C211" si="45">A197*B197</f>
        <v>0</v>
      </c>
      <c r="D197">
        <v>1.6E-2</v>
      </c>
      <c r="E197">
        <v>3.5999999999999999E-3</v>
      </c>
      <c r="F197">
        <f t="shared" ref="F197:F260" si="46">A197*200</f>
        <v>0</v>
      </c>
      <c r="G197">
        <f t="shared" si="40"/>
        <v>0</v>
      </c>
      <c r="H197">
        <f t="shared" ref="H197:H211" si="47">-C197*200</f>
        <v>0</v>
      </c>
      <c r="I197">
        <v>1</v>
      </c>
      <c r="J197" t="e">
        <f t="shared" ref="J197:J260" si="48">LN(F197/1000)</f>
        <v>#NUM!</v>
      </c>
      <c r="K197">
        <f t="shared" si="41"/>
        <v>-1.2217251517752175</v>
      </c>
      <c r="L197">
        <v>1</v>
      </c>
      <c r="M197" t="e">
        <f t="shared" ref="M197:M260" si="49">-1*($S$4+($S$5*J197))</f>
        <v>#NUM!</v>
      </c>
      <c r="N197">
        <f t="shared" si="42"/>
        <v>0</v>
      </c>
      <c r="O197">
        <f t="shared" si="43"/>
        <v>0</v>
      </c>
      <c r="P197" t="e">
        <f t="shared" si="44"/>
        <v>#NUM!</v>
      </c>
    </row>
    <row r="198" spans="3:16">
      <c r="C198">
        <f t="shared" si="45"/>
        <v>0</v>
      </c>
      <c r="D198">
        <v>1.6E-2</v>
      </c>
      <c r="E198">
        <v>3.5999999999999999E-3</v>
      </c>
      <c r="F198">
        <f t="shared" si="46"/>
        <v>0</v>
      </c>
      <c r="G198">
        <f t="shared" si="40"/>
        <v>0</v>
      </c>
      <c r="H198">
        <f t="shared" si="47"/>
        <v>0</v>
      </c>
      <c r="I198">
        <v>1</v>
      </c>
      <c r="J198" t="e">
        <f t="shared" si="48"/>
        <v>#NUM!</v>
      </c>
      <c r="K198">
        <f t="shared" si="41"/>
        <v>-1.2217251517752175</v>
      </c>
      <c r="L198">
        <v>1</v>
      </c>
      <c r="M198" t="e">
        <f t="shared" si="49"/>
        <v>#NUM!</v>
      </c>
      <c r="N198">
        <f t="shared" si="42"/>
        <v>0</v>
      </c>
      <c r="O198">
        <f t="shared" si="43"/>
        <v>0</v>
      </c>
      <c r="P198" t="e">
        <f t="shared" si="44"/>
        <v>#NUM!</v>
      </c>
    </row>
    <row r="199" spans="3:16">
      <c r="C199">
        <f t="shared" si="45"/>
        <v>0</v>
      </c>
      <c r="D199">
        <v>1.6E-2</v>
      </c>
      <c r="E199">
        <v>3.5999999999999999E-3</v>
      </c>
      <c r="F199">
        <f t="shared" si="46"/>
        <v>0</v>
      </c>
      <c r="G199">
        <f t="shared" si="40"/>
        <v>0</v>
      </c>
      <c r="H199">
        <f t="shared" si="47"/>
        <v>0</v>
      </c>
      <c r="I199">
        <v>1</v>
      </c>
      <c r="J199" t="e">
        <f t="shared" si="48"/>
        <v>#NUM!</v>
      </c>
      <c r="K199">
        <f t="shared" si="41"/>
        <v>-1.2217251517752175</v>
      </c>
      <c r="L199">
        <v>1</v>
      </c>
      <c r="M199" t="e">
        <f t="shared" si="49"/>
        <v>#NUM!</v>
      </c>
      <c r="N199">
        <f t="shared" si="42"/>
        <v>0</v>
      </c>
      <c r="O199">
        <f t="shared" si="43"/>
        <v>0</v>
      </c>
      <c r="P199" t="e">
        <f t="shared" si="44"/>
        <v>#NUM!</v>
      </c>
    </row>
    <row r="200" spans="3:16">
      <c r="C200">
        <f t="shared" si="45"/>
        <v>0</v>
      </c>
      <c r="D200">
        <v>1.6E-2</v>
      </c>
      <c r="E200">
        <v>3.5999999999999999E-3</v>
      </c>
      <c r="F200">
        <f t="shared" si="46"/>
        <v>0</v>
      </c>
      <c r="G200">
        <f t="shared" si="40"/>
        <v>0</v>
      </c>
      <c r="H200">
        <f t="shared" si="47"/>
        <v>0</v>
      </c>
      <c r="I200">
        <v>1</v>
      </c>
      <c r="J200" t="e">
        <f t="shared" si="48"/>
        <v>#NUM!</v>
      </c>
      <c r="K200">
        <f t="shared" si="41"/>
        <v>-1.2217251517752175</v>
      </c>
      <c r="L200">
        <v>1</v>
      </c>
      <c r="M200" t="e">
        <f t="shared" si="49"/>
        <v>#NUM!</v>
      </c>
      <c r="N200">
        <f t="shared" si="42"/>
        <v>0</v>
      </c>
      <c r="O200">
        <f t="shared" si="43"/>
        <v>0</v>
      </c>
      <c r="P200" t="e">
        <f t="shared" si="44"/>
        <v>#NUM!</v>
      </c>
    </row>
    <row r="201" spans="3:16">
      <c r="C201">
        <f t="shared" si="45"/>
        <v>0</v>
      </c>
      <c r="D201">
        <v>1.6E-2</v>
      </c>
      <c r="E201">
        <v>3.5999999999999999E-3</v>
      </c>
      <c r="F201">
        <f t="shared" si="46"/>
        <v>0</v>
      </c>
      <c r="G201">
        <f t="shared" si="40"/>
        <v>0</v>
      </c>
      <c r="H201">
        <f t="shared" si="47"/>
        <v>0</v>
      </c>
      <c r="I201">
        <v>1</v>
      </c>
      <c r="J201" t="e">
        <f t="shared" si="48"/>
        <v>#NUM!</v>
      </c>
      <c r="K201">
        <f t="shared" si="41"/>
        <v>-1.2217251517752175</v>
      </c>
      <c r="L201">
        <v>1</v>
      </c>
      <c r="M201" t="e">
        <f t="shared" si="49"/>
        <v>#NUM!</v>
      </c>
      <c r="N201">
        <f t="shared" si="42"/>
        <v>0</v>
      </c>
      <c r="O201">
        <f t="shared" si="43"/>
        <v>0</v>
      </c>
      <c r="P201" t="e">
        <f t="shared" si="44"/>
        <v>#NUM!</v>
      </c>
    </row>
    <row r="202" spans="3:16">
      <c r="C202">
        <f t="shared" si="45"/>
        <v>0</v>
      </c>
      <c r="D202">
        <v>1.6E-2</v>
      </c>
      <c r="E202">
        <v>3.5999999999999999E-3</v>
      </c>
      <c r="F202">
        <f t="shared" si="46"/>
        <v>0</v>
      </c>
      <c r="G202">
        <f t="shared" si="40"/>
        <v>0</v>
      </c>
      <c r="H202">
        <f t="shared" si="47"/>
        <v>0</v>
      </c>
      <c r="I202">
        <v>1</v>
      </c>
      <c r="J202" t="e">
        <f t="shared" si="48"/>
        <v>#NUM!</v>
      </c>
      <c r="K202">
        <f t="shared" si="41"/>
        <v>-1.2217251517752175</v>
      </c>
      <c r="L202">
        <v>1</v>
      </c>
      <c r="M202" t="e">
        <f t="shared" si="49"/>
        <v>#NUM!</v>
      </c>
      <c r="N202">
        <f t="shared" si="42"/>
        <v>0</v>
      </c>
      <c r="O202">
        <f t="shared" si="43"/>
        <v>0</v>
      </c>
      <c r="P202" t="e">
        <f t="shared" si="44"/>
        <v>#NUM!</v>
      </c>
    </row>
    <row r="203" spans="3:16">
      <c r="C203">
        <f t="shared" si="45"/>
        <v>0</v>
      </c>
      <c r="D203">
        <v>1.6E-2</v>
      </c>
      <c r="E203">
        <v>3.5999999999999999E-3</v>
      </c>
      <c r="F203">
        <f t="shared" si="46"/>
        <v>0</v>
      </c>
      <c r="G203">
        <f t="shared" si="40"/>
        <v>0</v>
      </c>
      <c r="H203">
        <f t="shared" si="47"/>
        <v>0</v>
      </c>
      <c r="I203">
        <v>1</v>
      </c>
      <c r="J203" t="e">
        <f t="shared" si="48"/>
        <v>#NUM!</v>
      </c>
      <c r="K203">
        <f t="shared" si="41"/>
        <v>-1.2217251517752175</v>
      </c>
      <c r="L203">
        <v>1</v>
      </c>
      <c r="M203" t="e">
        <f t="shared" si="49"/>
        <v>#NUM!</v>
      </c>
      <c r="N203">
        <f t="shared" si="42"/>
        <v>0</v>
      </c>
      <c r="O203">
        <f t="shared" si="43"/>
        <v>0</v>
      </c>
      <c r="P203" t="e">
        <f t="shared" si="44"/>
        <v>#NUM!</v>
      </c>
    </row>
    <row r="204" spans="3:16">
      <c r="C204">
        <f t="shared" si="45"/>
        <v>0</v>
      </c>
      <c r="D204">
        <v>1.6E-2</v>
      </c>
      <c r="E204">
        <v>3.5999999999999999E-3</v>
      </c>
      <c r="F204">
        <f t="shared" si="46"/>
        <v>0</v>
      </c>
      <c r="G204">
        <f t="shared" si="40"/>
        <v>0</v>
      </c>
      <c r="H204">
        <f t="shared" si="47"/>
        <v>0</v>
      </c>
      <c r="I204">
        <v>1</v>
      </c>
      <c r="J204" t="e">
        <f t="shared" si="48"/>
        <v>#NUM!</v>
      </c>
      <c r="K204">
        <f t="shared" si="41"/>
        <v>-1.2217251517752175</v>
      </c>
      <c r="L204">
        <v>1</v>
      </c>
      <c r="M204" t="e">
        <f t="shared" si="49"/>
        <v>#NUM!</v>
      </c>
      <c r="N204">
        <f t="shared" si="42"/>
        <v>0</v>
      </c>
      <c r="O204">
        <f t="shared" si="43"/>
        <v>0</v>
      </c>
      <c r="P204" t="e">
        <f t="shared" si="44"/>
        <v>#NUM!</v>
      </c>
    </row>
    <row r="205" spans="3:16">
      <c r="C205">
        <f t="shared" si="45"/>
        <v>0</v>
      </c>
      <c r="D205">
        <v>1.6E-2</v>
      </c>
      <c r="E205">
        <v>3.5999999999999999E-3</v>
      </c>
      <c r="F205">
        <f t="shared" si="46"/>
        <v>0</v>
      </c>
      <c r="G205">
        <f t="shared" si="40"/>
        <v>0</v>
      </c>
      <c r="H205">
        <f t="shared" si="47"/>
        <v>0</v>
      </c>
      <c r="I205">
        <v>1</v>
      </c>
      <c r="J205" t="e">
        <f t="shared" si="48"/>
        <v>#NUM!</v>
      </c>
      <c r="K205">
        <f t="shared" si="41"/>
        <v>-1.2217251517752175</v>
      </c>
      <c r="L205">
        <v>1</v>
      </c>
      <c r="M205" t="e">
        <f t="shared" si="49"/>
        <v>#NUM!</v>
      </c>
      <c r="N205">
        <f t="shared" si="42"/>
        <v>0</v>
      </c>
      <c r="O205">
        <f t="shared" si="43"/>
        <v>0</v>
      </c>
      <c r="P205" t="e">
        <f t="shared" si="44"/>
        <v>#NUM!</v>
      </c>
    </row>
    <row r="206" spans="3:16">
      <c r="C206">
        <f t="shared" si="45"/>
        <v>0</v>
      </c>
      <c r="D206">
        <v>1.6E-2</v>
      </c>
      <c r="E206">
        <v>3.5999999999999999E-3</v>
      </c>
      <c r="F206">
        <f t="shared" si="46"/>
        <v>0</v>
      </c>
      <c r="G206">
        <f t="shared" si="40"/>
        <v>0</v>
      </c>
      <c r="H206">
        <f t="shared" si="47"/>
        <v>0</v>
      </c>
      <c r="I206">
        <v>1</v>
      </c>
      <c r="J206" t="e">
        <f t="shared" si="48"/>
        <v>#NUM!</v>
      </c>
      <c r="K206">
        <f t="shared" si="41"/>
        <v>-1.2217251517752175</v>
      </c>
      <c r="L206">
        <v>1</v>
      </c>
      <c r="M206" t="e">
        <f t="shared" si="49"/>
        <v>#NUM!</v>
      </c>
      <c r="N206">
        <f t="shared" si="42"/>
        <v>0</v>
      </c>
      <c r="O206">
        <f t="shared" si="43"/>
        <v>0</v>
      </c>
      <c r="P206" t="e">
        <f t="shared" si="44"/>
        <v>#NUM!</v>
      </c>
    </row>
    <row r="207" spans="3:16">
      <c r="C207">
        <f t="shared" si="45"/>
        <v>0</v>
      </c>
      <c r="D207">
        <v>1.6E-2</v>
      </c>
      <c r="E207">
        <v>3.5999999999999999E-3</v>
      </c>
      <c r="F207">
        <f t="shared" si="46"/>
        <v>0</v>
      </c>
      <c r="G207">
        <f t="shared" si="40"/>
        <v>0</v>
      </c>
      <c r="H207">
        <f t="shared" si="47"/>
        <v>0</v>
      </c>
      <c r="I207">
        <v>1</v>
      </c>
      <c r="J207" t="e">
        <f t="shared" si="48"/>
        <v>#NUM!</v>
      </c>
      <c r="K207">
        <f t="shared" si="41"/>
        <v>-1.2217251517752175</v>
      </c>
      <c r="L207">
        <v>1</v>
      </c>
      <c r="M207" t="e">
        <f t="shared" si="49"/>
        <v>#NUM!</v>
      </c>
      <c r="N207">
        <f t="shared" si="42"/>
        <v>0</v>
      </c>
      <c r="O207">
        <f t="shared" si="43"/>
        <v>0</v>
      </c>
      <c r="P207" t="e">
        <f t="shared" si="44"/>
        <v>#NUM!</v>
      </c>
    </row>
    <row r="208" spans="3:16">
      <c r="C208">
        <f t="shared" si="45"/>
        <v>0</v>
      </c>
      <c r="D208">
        <v>1.6E-2</v>
      </c>
      <c r="E208">
        <v>3.5999999999999999E-3</v>
      </c>
      <c r="F208">
        <f t="shared" si="46"/>
        <v>0</v>
      </c>
      <c r="G208">
        <f t="shared" si="40"/>
        <v>0</v>
      </c>
      <c r="H208">
        <f t="shared" si="47"/>
        <v>0</v>
      </c>
      <c r="I208">
        <v>1</v>
      </c>
      <c r="J208" t="e">
        <f t="shared" si="48"/>
        <v>#NUM!</v>
      </c>
      <c r="K208">
        <f t="shared" si="41"/>
        <v>-1.2217251517752175</v>
      </c>
      <c r="L208">
        <v>1</v>
      </c>
      <c r="M208" t="e">
        <f t="shared" si="49"/>
        <v>#NUM!</v>
      </c>
      <c r="N208">
        <f t="shared" si="42"/>
        <v>0</v>
      </c>
      <c r="O208">
        <f t="shared" si="43"/>
        <v>0</v>
      </c>
      <c r="P208" t="e">
        <f t="shared" si="44"/>
        <v>#NUM!</v>
      </c>
    </row>
    <row r="209" spans="3:16">
      <c r="C209">
        <f t="shared" si="45"/>
        <v>0</v>
      </c>
      <c r="D209">
        <v>1.6E-2</v>
      </c>
      <c r="E209">
        <v>3.5999999999999999E-3</v>
      </c>
      <c r="F209">
        <f t="shared" si="46"/>
        <v>0</v>
      </c>
      <c r="G209">
        <f t="shared" si="40"/>
        <v>0</v>
      </c>
      <c r="H209">
        <f t="shared" si="47"/>
        <v>0</v>
      </c>
      <c r="I209">
        <v>1</v>
      </c>
      <c r="J209" t="e">
        <f t="shared" si="48"/>
        <v>#NUM!</v>
      </c>
      <c r="K209">
        <f t="shared" si="41"/>
        <v>-1.2217251517752175</v>
      </c>
      <c r="L209">
        <v>1</v>
      </c>
      <c r="M209" t="e">
        <f t="shared" si="49"/>
        <v>#NUM!</v>
      </c>
      <c r="N209">
        <f t="shared" si="42"/>
        <v>0</v>
      </c>
      <c r="O209">
        <f t="shared" si="43"/>
        <v>0</v>
      </c>
      <c r="P209" t="e">
        <f t="shared" si="44"/>
        <v>#NUM!</v>
      </c>
    </row>
    <row r="210" spans="3:16">
      <c r="C210">
        <f t="shared" si="45"/>
        <v>0</v>
      </c>
      <c r="D210">
        <v>1.6E-2</v>
      </c>
      <c r="E210">
        <v>3.5999999999999999E-3</v>
      </c>
      <c r="F210">
        <f t="shared" si="46"/>
        <v>0</v>
      </c>
      <c r="G210">
        <f t="shared" si="40"/>
        <v>0</v>
      </c>
      <c r="H210">
        <f t="shared" si="47"/>
        <v>0</v>
      </c>
      <c r="I210">
        <v>1</v>
      </c>
      <c r="J210" t="e">
        <f t="shared" si="48"/>
        <v>#NUM!</v>
      </c>
      <c r="K210">
        <f t="shared" si="41"/>
        <v>-1.2217251517752175</v>
      </c>
      <c r="L210">
        <v>1</v>
      </c>
      <c r="M210" t="e">
        <f t="shared" si="49"/>
        <v>#NUM!</v>
      </c>
      <c r="N210">
        <f t="shared" si="42"/>
        <v>0</v>
      </c>
      <c r="O210">
        <f t="shared" si="43"/>
        <v>0</v>
      </c>
      <c r="P210" t="e">
        <f t="shared" si="44"/>
        <v>#NUM!</v>
      </c>
    </row>
    <row r="211" spans="3:16">
      <c r="C211">
        <f t="shared" si="45"/>
        <v>0</v>
      </c>
      <c r="D211">
        <v>1.6E-2</v>
      </c>
      <c r="E211">
        <v>3.5999999999999999E-3</v>
      </c>
      <c r="F211">
        <f t="shared" si="46"/>
        <v>0</v>
      </c>
      <c r="G211">
        <f t="shared" si="40"/>
        <v>0</v>
      </c>
      <c r="H211">
        <f t="shared" si="47"/>
        <v>0</v>
      </c>
      <c r="I211">
        <v>1</v>
      </c>
      <c r="J211" t="e">
        <f t="shared" si="48"/>
        <v>#NUM!</v>
      </c>
      <c r="K211">
        <f t="shared" si="41"/>
        <v>-1.2217251517752175</v>
      </c>
      <c r="L211">
        <v>1</v>
      </c>
      <c r="M211" t="e">
        <f t="shared" si="49"/>
        <v>#NUM!</v>
      </c>
      <c r="N211">
        <f t="shared" si="42"/>
        <v>0</v>
      </c>
      <c r="O211">
        <f t="shared" si="43"/>
        <v>0</v>
      </c>
      <c r="P211" t="e">
        <f t="shared" si="44"/>
        <v>#NUM!</v>
      </c>
    </row>
    <row r="212" spans="3:16">
      <c r="C212">
        <f t="shared" ref="C212:C275" si="50">A212*B212</f>
        <v>0</v>
      </c>
      <c r="D212">
        <v>1.6E-2</v>
      </c>
      <c r="E212">
        <v>3.5999999999999999E-3</v>
      </c>
      <c r="F212">
        <f t="shared" si="46"/>
        <v>0</v>
      </c>
      <c r="G212">
        <f t="shared" ref="G212:G275" si="51">-B212</f>
        <v>0</v>
      </c>
      <c r="H212">
        <f t="shared" ref="H212:H275" si="52">-C212*200</f>
        <v>0</v>
      </c>
      <c r="I212">
        <v>1</v>
      </c>
      <c r="J212" t="e">
        <f t="shared" si="48"/>
        <v>#NUM!</v>
      </c>
      <c r="K212">
        <f t="shared" ref="K212:K275" si="53">((-G212)-$N$2)</f>
        <v>-1.2217251517752175</v>
      </c>
      <c r="L212">
        <v>1</v>
      </c>
      <c r="M212" t="e">
        <f t="shared" si="49"/>
        <v>#NUM!</v>
      </c>
      <c r="N212">
        <f t="shared" ref="N212:N275" si="54">D212*A212</f>
        <v>0</v>
      </c>
      <c r="O212">
        <f t="shared" ref="O212:O275" si="55">E212*A212</f>
        <v>0</v>
      </c>
      <c r="P212" t="e">
        <f t="shared" ref="P212:P275" si="56">-K212-M212-N212-O212</f>
        <v>#NUM!</v>
      </c>
    </row>
    <row r="213" spans="3:16">
      <c r="C213">
        <f t="shared" si="50"/>
        <v>0</v>
      </c>
      <c r="D213">
        <v>1.6E-2</v>
      </c>
      <c r="E213">
        <v>3.5999999999999999E-3</v>
      </c>
      <c r="F213">
        <f t="shared" si="46"/>
        <v>0</v>
      </c>
      <c r="G213">
        <f t="shared" si="51"/>
        <v>0</v>
      </c>
      <c r="H213">
        <f t="shared" si="52"/>
        <v>0</v>
      </c>
      <c r="I213">
        <v>1</v>
      </c>
      <c r="J213" t="e">
        <f t="shared" si="48"/>
        <v>#NUM!</v>
      </c>
      <c r="K213">
        <f t="shared" si="53"/>
        <v>-1.2217251517752175</v>
      </c>
      <c r="L213">
        <v>1</v>
      </c>
      <c r="M213" t="e">
        <f t="shared" si="49"/>
        <v>#NUM!</v>
      </c>
      <c r="N213">
        <f t="shared" si="54"/>
        <v>0</v>
      </c>
      <c r="O213">
        <f t="shared" si="55"/>
        <v>0</v>
      </c>
      <c r="P213" t="e">
        <f t="shared" si="56"/>
        <v>#NUM!</v>
      </c>
    </row>
    <row r="214" spans="3:16">
      <c r="C214">
        <f t="shared" si="50"/>
        <v>0</v>
      </c>
      <c r="D214">
        <v>1.6E-2</v>
      </c>
      <c r="E214">
        <v>3.5999999999999999E-3</v>
      </c>
      <c r="F214">
        <f t="shared" si="46"/>
        <v>0</v>
      </c>
      <c r="G214">
        <f t="shared" si="51"/>
        <v>0</v>
      </c>
      <c r="H214">
        <f t="shared" si="52"/>
        <v>0</v>
      </c>
      <c r="I214">
        <v>1</v>
      </c>
      <c r="J214" t="e">
        <f t="shared" si="48"/>
        <v>#NUM!</v>
      </c>
      <c r="K214">
        <f t="shared" si="53"/>
        <v>-1.2217251517752175</v>
      </c>
      <c r="L214">
        <v>1</v>
      </c>
      <c r="M214" t="e">
        <f t="shared" si="49"/>
        <v>#NUM!</v>
      </c>
      <c r="N214">
        <f t="shared" si="54"/>
        <v>0</v>
      </c>
      <c r="O214">
        <f t="shared" si="55"/>
        <v>0</v>
      </c>
      <c r="P214" t="e">
        <f t="shared" si="56"/>
        <v>#NUM!</v>
      </c>
    </row>
    <row r="215" spans="3:16">
      <c r="C215">
        <f t="shared" si="50"/>
        <v>0</v>
      </c>
      <c r="D215">
        <v>1.6E-2</v>
      </c>
      <c r="E215">
        <v>3.5999999999999999E-3</v>
      </c>
      <c r="F215">
        <f t="shared" si="46"/>
        <v>0</v>
      </c>
      <c r="G215">
        <f t="shared" si="51"/>
        <v>0</v>
      </c>
      <c r="H215">
        <f t="shared" si="52"/>
        <v>0</v>
      </c>
      <c r="I215">
        <v>1</v>
      </c>
      <c r="J215" t="e">
        <f t="shared" si="48"/>
        <v>#NUM!</v>
      </c>
      <c r="K215">
        <f t="shared" si="53"/>
        <v>-1.2217251517752175</v>
      </c>
      <c r="L215">
        <v>1</v>
      </c>
      <c r="M215" t="e">
        <f t="shared" si="49"/>
        <v>#NUM!</v>
      </c>
      <c r="N215">
        <f t="shared" si="54"/>
        <v>0</v>
      </c>
      <c r="O215">
        <f t="shared" si="55"/>
        <v>0</v>
      </c>
      <c r="P215" t="e">
        <f t="shared" si="56"/>
        <v>#NUM!</v>
      </c>
    </row>
    <row r="216" spans="3:16">
      <c r="C216">
        <f t="shared" si="50"/>
        <v>0</v>
      </c>
      <c r="D216">
        <v>1.6E-2</v>
      </c>
      <c r="E216">
        <v>3.5999999999999999E-3</v>
      </c>
      <c r="F216">
        <f t="shared" si="46"/>
        <v>0</v>
      </c>
      <c r="G216">
        <f t="shared" si="51"/>
        <v>0</v>
      </c>
      <c r="H216">
        <f t="shared" si="52"/>
        <v>0</v>
      </c>
      <c r="I216">
        <v>1</v>
      </c>
      <c r="J216" t="e">
        <f t="shared" si="48"/>
        <v>#NUM!</v>
      </c>
      <c r="K216">
        <f t="shared" si="53"/>
        <v>-1.2217251517752175</v>
      </c>
      <c r="L216">
        <v>1</v>
      </c>
      <c r="M216" t="e">
        <f t="shared" si="49"/>
        <v>#NUM!</v>
      </c>
      <c r="N216">
        <f t="shared" si="54"/>
        <v>0</v>
      </c>
      <c r="O216">
        <f t="shared" si="55"/>
        <v>0</v>
      </c>
      <c r="P216" t="e">
        <f t="shared" si="56"/>
        <v>#NUM!</v>
      </c>
    </row>
    <row r="217" spans="3:16">
      <c r="C217">
        <f t="shared" si="50"/>
        <v>0</v>
      </c>
      <c r="D217">
        <v>1.6E-2</v>
      </c>
      <c r="E217">
        <v>3.5999999999999999E-3</v>
      </c>
      <c r="F217">
        <f t="shared" si="46"/>
        <v>0</v>
      </c>
      <c r="G217">
        <f t="shared" si="51"/>
        <v>0</v>
      </c>
      <c r="H217">
        <f t="shared" si="52"/>
        <v>0</v>
      </c>
      <c r="I217">
        <v>1</v>
      </c>
      <c r="J217" t="e">
        <f t="shared" si="48"/>
        <v>#NUM!</v>
      </c>
      <c r="K217">
        <f t="shared" si="53"/>
        <v>-1.2217251517752175</v>
      </c>
      <c r="L217">
        <v>1</v>
      </c>
      <c r="M217" t="e">
        <f t="shared" si="49"/>
        <v>#NUM!</v>
      </c>
      <c r="N217">
        <f t="shared" si="54"/>
        <v>0</v>
      </c>
      <c r="O217">
        <f t="shared" si="55"/>
        <v>0</v>
      </c>
      <c r="P217" t="e">
        <f t="shared" si="56"/>
        <v>#NUM!</v>
      </c>
    </row>
    <row r="218" spans="3:16">
      <c r="C218">
        <f t="shared" si="50"/>
        <v>0</v>
      </c>
      <c r="D218">
        <v>1.6E-2</v>
      </c>
      <c r="E218">
        <v>3.5999999999999999E-3</v>
      </c>
      <c r="F218">
        <f t="shared" si="46"/>
        <v>0</v>
      </c>
      <c r="G218">
        <f t="shared" si="51"/>
        <v>0</v>
      </c>
      <c r="H218">
        <f t="shared" si="52"/>
        <v>0</v>
      </c>
      <c r="I218">
        <v>1</v>
      </c>
      <c r="J218" t="e">
        <f t="shared" si="48"/>
        <v>#NUM!</v>
      </c>
      <c r="K218">
        <f t="shared" si="53"/>
        <v>-1.2217251517752175</v>
      </c>
      <c r="L218">
        <v>1</v>
      </c>
      <c r="M218" t="e">
        <f t="shared" si="49"/>
        <v>#NUM!</v>
      </c>
      <c r="N218">
        <f t="shared" si="54"/>
        <v>0</v>
      </c>
      <c r="O218">
        <f t="shared" si="55"/>
        <v>0</v>
      </c>
      <c r="P218" t="e">
        <f t="shared" si="56"/>
        <v>#NUM!</v>
      </c>
    </row>
    <row r="219" spans="3:16">
      <c r="C219">
        <f t="shared" si="50"/>
        <v>0</v>
      </c>
      <c r="D219">
        <v>1.6E-2</v>
      </c>
      <c r="E219">
        <v>3.5999999999999999E-3</v>
      </c>
      <c r="F219">
        <f t="shared" si="46"/>
        <v>0</v>
      </c>
      <c r="G219">
        <f t="shared" si="51"/>
        <v>0</v>
      </c>
      <c r="H219">
        <f t="shared" si="52"/>
        <v>0</v>
      </c>
      <c r="I219">
        <v>1</v>
      </c>
      <c r="J219" t="e">
        <f t="shared" si="48"/>
        <v>#NUM!</v>
      </c>
      <c r="K219">
        <f t="shared" si="53"/>
        <v>-1.2217251517752175</v>
      </c>
      <c r="L219">
        <v>1</v>
      </c>
      <c r="M219" t="e">
        <f t="shared" si="49"/>
        <v>#NUM!</v>
      </c>
      <c r="N219">
        <f t="shared" si="54"/>
        <v>0</v>
      </c>
      <c r="O219">
        <f t="shared" si="55"/>
        <v>0</v>
      </c>
      <c r="P219" t="e">
        <f t="shared" si="56"/>
        <v>#NUM!</v>
      </c>
    </row>
    <row r="220" spans="3:16">
      <c r="C220">
        <f t="shared" si="50"/>
        <v>0</v>
      </c>
      <c r="D220">
        <v>1.6E-2</v>
      </c>
      <c r="E220">
        <v>3.5999999999999999E-3</v>
      </c>
      <c r="F220">
        <f t="shared" si="46"/>
        <v>0</v>
      </c>
      <c r="G220">
        <f t="shared" si="51"/>
        <v>0</v>
      </c>
      <c r="H220">
        <f t="shared" si="52"/>
        <v>0</v>
      </c>
      <c r="I220">
        <v>1</v>
      </c>
      <c r="J220" t="e">
        <f t="shared" si="48"/>
        <v>#NUM!</v>
      </c>
      <c r="K220">
        <f t="shared" si="53"/>
        <v>-1.2217251517752175</v>
      </c>
      <c r="L220">
        <v>1</v>
      </c>
      <c r="M220" t="e">
        <f t="shared" si="49"/>
        <v>#NUM!</v>
      </c>
      <c r="N220">
        <f t="shared" si="54"/>
        <v>0</v>
      </c>
      <c r="O220">
        <f t="shared" si="55"/>
        <v>0</v>
      </c>
      <c r="P220" t="e">
        <f t="shared" si="56"/>
        <v>#NUM!</v>
      </c>
    </row>
    <row r="221" spans="3:16">
      <c r="C221">
        <f t="shared" si="50"/>
        <v>0</v>
      </c>
      <c r="D221">
        <v>1.6E-2</v>
      </c>
      <c r="E221">
        <v>3.5999999999999999E-3</v>
      </c>
      <c r="F221">
        <f t="shared" si="46"/>
        <v>0</v>
      </c>
      <c r="G221">
        <f t="shared" si="51"/>
        <v>0</v>
      </c>
      <c r="H221">
        <f t="shared" si="52"/>
        <v>0</v>
      </c>
      <c r="I221">
        <v>1</v>
      </c>
      <c r="J221" t="e">
        <f t="shared" si="48"/>
        <v>#NUM!</v>
      </c>
      <c r="K221">
        <f t="shared" si="53"/>
        <v>-1.2217251517752175</v>
      </c>
      <c r="L221">
        <v>1</v>
      </c>
      <c r="M221" t="e">
        <f t="shared" si="49"/>
        <v>#NUM!</v>
      </c>
      <c r="N221">
        <f t="shared" si="54"/>
        <v>0</v>
      </c>
      <c r="O221">
        <f t="shared" si="55"/>
        <v>0</v>
      </c>
      <c r="P221" t="e">
        <f t="shared" si="56"/>
        <v>#NUM!</v>
      </c>
    </row>
    <row r="222" spans="3:16">
      <c r="C222">
        <f t="shared" si="50"/>
        <v>0</v>
      </c>
      <c r="D222">
        <v>1.6E-2</v>
      </c>
      <c r="E222">
        <v>3.5999999999999999E-3</v>
      </c>
      <c r="F222">
        <f t="shared" si="46"/>
        <v>0</v>
      </c>
      <c r="G222">
        <f t="shared" si="51"/>
        <v>0</v>
      </c>
      <c r="H222">
        <f t="shared" si="52"/>
        <v>0</v>
      </c>
      <c r="I222">
        <v>1</v>
      </c>
      <c r="J222" t="e">
        <f t="shared" si="48"/>
        <v>#NUM!</v>
      </c>
      <c r="K222">
        <f t="shared" si="53"/>
        <v>-1.2217251517752175</v>
      </c>
      <c r="L222">
        <v>1</v>
      </c>
      <c r="M222" t="e">
        <f t="shared" si="49"/>
        <v>#NUM!</v>
      </c>
      <c r="N222">
        <f t="shared" si="54"/>
        <v>0</v>
      </c>
      <c r="O222">
        <f t="shared" si="55"/>
        <v>0</v>
      </c>
      <c r="P222" t="e">
        <f t="shared" si="56"/>
        <v>#NUM!</v>
      </c>
    </row>
    <row r="223" spans="3:16">
      <c r="C223">
        <f t="shared" si="50"/>
        <v>0</v>
      </c>
      <c r="D223">
        <v>1.6E-2</v>
      </c>
      <c r="E223">
        <v>3.5999999999999999E-3</v>
      </c>
      <c r="F223">
        <f t="shared" si="46"/>
        <v>0</v>
      </c>
      <c r="G223">
        <f t="shared" si="51"/>
        <v>0</v>
      </c>
      <c r="H223">
        <f t="shared" si="52"/>
        <v>0</v>
      </c>
      <c r="I223">
        <v>1</v>
      </c>
      <c r="J223" t="e">
        <f t="shared" si="48"/>
        <v>#NUM!</v>
      </c>
      <c r="K223">
        <f t="shared" si="53"/>
        <v>-1.2217251517752175</v>
      </c>
      <c r="L223">
        <v>1</v>
      </c>
      <c r="M223" t="e">
        <f t="shared" si="49"/>
        <v>#NUM!</v>
      </c>
      <c r="N223">
        <f t="shared" si="54"/>
        <v>0</v>
      </c>
      <c r="O223">
        <f t="shared" si="55"/>
        <v>0</v>
      </c>
      <c r="P223" t="e">
        <f t="shared" si="56"/>
        <v>#NUM!</v>
      </c>
    </row>
    <row r="224" spans="3:16">
      <c r="C224">
        <f t="shared" si="50"/>
        <v>0</v>
      </c>
      <c r="D224">
        <v>1.6E-2</v>
      </c>
      <c r="E224">
        <v>3.5999999999999999E-3</v>
      </c>
      <c r="F224">
        <f t="shared" si="46"/>
        <v>0</v>
      </c>
      <c r="G224">
        <f t="shared" si="51"/>
        <v>0</v>
      </c>
      <c r="H224">
        <f t="shared" si="52"/>
        <v>0</v>
      </c>
      <c r="I224">
        <v>1</v>
      </c>
      <c r="J224" t="e">
        <f t="shared" si="48"/>
        <v>#NUM!</v>
      </c>
      <c r="K224">
        <f t="shared" si="53"/>
        <v>-1.2217251517752175</v>
      </c>
      <c r="L224">
        <v>1</v>
      </c>
      <c r="M224" t="e">
        <f t="shared" si="49"/>
        <v>#NUM!</v>
      </c>
      <c r="N224">
        <f t="shared" si="54"/>
        <v>0</v>
      </c>
      <c r="O224">
        <f t="shared" si="55"/>
        <v>0</v>
      </c>
      <c r="P224" t="e">
        <f t="shared" si="56"/>
        <v>#NUM!</v>
      </c>
    </row>
    <row r="225" spans="3:18">
      <c r="C225">
        <f t="shared" si="50"/>
        <v>0</v>
      </c>
      <c r="D225">
        <v>1.6E-2</v>
      </c>
      <c r="E225">
        <v>3.5999999999999999E-3</v>
      </c>
      <c r="F225">
        <f t="shared" si="46"/>
        <v>0</v>
      </c>
      <c r="G225">
        <f t="shared" si="51"/>
        <v>0</v>
      </c>
      <c r="H225">
        <f t="shared" si="52"/>
        <v>0</v>
      </c>
      <c r="I225">
        <v>1</v>
      </c>
      <c r="J225" t="e">
        <f t="shared" si="48"/>
        <v>#NUM!</v>
      </c>
      <c r="K225">
        <f t="shared" si="53"/>
        <v>-1.2217251517752175</v>
      </c>
      <c r="L225">
        <v>1</v>
      </c>
      <c r="M225" t="e">
        <f t="shared" si="49"/>
        <v>#NUM!</v>
      </c>
      <c r="N225">
        <f t="shared" si="54"/>
        <v>0</v>
      </c>
      <c r="O225">
        <f t="shared" si="55"/>
        <v>0</v>
      </c>
      <c r="P225" t="e">
        <f t="shared" si="56"/>
        <v>#NUM!</v>
      </c>
      <c r="R225" t="e">
        <f>O225+N225+M225</f>
        <v>#NUM!</v>
      </c>
    </row>
    <row r="226" spans="3:18">
      <c r="C226">
        <f t="shared" si="50"/>
        <v>0</v>
      </c>
      <c r="D226">
        <v>1.6E-2</v>
      </c>
      <c r="E226">
        <v>3.5999999999999999E-3</v>
      </c>
      <c r="F226">
        <f t="shared" si="46"/>
        <v>0</v>
      </c>
      <c r="G226">
        <f t="shared" si="51"/>
        <v>0</v>
      </c>
      <c r="H226">
        <f t="shared" si="52"/>
        <v>0</v>
      </c>
      <c r="I226">
        <v>1</v>
      </c>
      <c r="J226" t="e">
        <f t="shared" si="48"/>
        <v>#NUM!</v>
      </c>
      <c r="K226">
        <f t="shared" si="53"/>
        <v>-1.2217251517752175</v>
      </c>
      <c r="L226">
        <v>1</v>
      </c>
      <c r="M226" t="e">
        <f t="shared" si="49"/>
        <v>#NUM!</v>
      </c>
      <c r="N226">
        <f t="shared" si="54"/>
        <v>0</v>
      </c>
      <c r="O226">
        <f t="shared" si="55"/>
        <v>0</v>
      </c>
      <c r="P226" t="e">
        <f t="shared" si="56"/>
        <v>#NUM!</v>
      </c>
    </row>
    <row r="227" spans="3:18">
      <c r="C227">
        <f t="shared" si="50"/>
        <v>0</v>
      </c>
      <c r="D227">
        <v>1.6E-2</v>
      </c>
      <c r="E227">
        <v>3.5999999999999999E-3</v>
      </c>
      <c r="F227">
        <f t="shared" si="46"/>
        <v>0</v>
      </c>
      <c r="G227">
        <f t="shared" si="51"/>
        <v>0</v>
      </c>
      <c r="H227">
        <f t="shared" si="52"/>
        <v>0</v>
      </c>
      <c r="I227">
        <v>1</v>
      </c>
      <c r="J227" t="e">
        <f t="shared" si="48"/>
        <v>#NUM!</v>
      </c>
      <c r="K227">
        <f t="shared" si="53"/>
        <v>-1.2217251517752175</v>
      </c>
      <c r="L227">
        <v>1</v>
      </c>
      <c r="M227" t="e">
        <f t="shared" si="49"/>
        <v>#NUM!</v>
      </c>
      <c r="N227">
        <f t="shared" si="54"/>
        <v>0</v>
      </c>
      <c r="O227">
        <f t="shared" si="55"/>
        <v>0</v>
      </c>
      <c r="P227" t="e">
        <f t="shared" si="56"/>
        <v>#NUM!</v>
      </c>
    </row>
    <row r="228" spans="3:18">
      <c r="C228">
        <f t="shared" si="50"/>
        <v>0</v>
      </c>
      <c r="D228">
        <v>1.6E-2</v>
      </c>
      <c r="E228">
        <v>3.5999999999999999E-3</v>
      </c>
      <c r="F228">
        <f t="shared" si="46"/>
        <v>0</v>
      </c>
      <c r="G228">
        <f t="shared" si="51"/>
        <v>0</v>
      </c>
      <c r="H228">
        <f t="shared" si="52"/>
        <v>0</v>
      </c>
      <c r="I228">
        <v>1</v>
      </c>
      <c r="J228" t="e">
        <f t="shared" si="48"/>
        <v>#NUM!</v>
      </c>
      <c r="K228">
        <f t="shared" si="53"/>
        <v>-1.2217251517752175</v>
      </c>
      <c r="L228">
        <v>1</v>
      </c>
      <c r="M228" t="e">
        <f t="shared" si="49"/>
        <v>#NUM!</v>
      </c>
      <c r="N228">
        <f t="shared" si="54"/>
        <v>0</v>
      </c>
      <c r="O228">
        <f t="shared" si="55"/>
        <v>0</v>
      </c>
      <c r="P228" t="e">
        <f t="shared" si="56"/>
        <v>#NUM!</v>
      </c>
    </row>
    <row r="229" spans="3:18">
      <c r="C229">
        <f t="shared" si="50"/>
        <v>0</v>
      </c>
      <c r="D229">
        <v>1.6E-2</v>
      </c>
      <c r="E229">
        <v>3.5999999999999999E-3</v>
      </c>
      <c r="F229">
        <f t="shared" si="46"/>
        <v>0</v>
      </c>
      <c r="G229">
        <f t="shared" si="51"/>
        <v>0</v>
      </c>
      <c r="H229">
        <f t="shared" si="52"/>
        <v>0</v>
      </c>
      <c r="I229">
        <v>1</v>
      </c>
      <c r="J229" t="e">
        <f t="shared" si="48"/>
        <v>#NUM!</v>
      </c>
      <c r="K229">
        <f t="shared" si="53"/>
        <v>-1.2217251517752175</v>
      </c>
      <c r="L229">
        <v>1</v>
      </c>
      <c r="M229" t="e">
        <f t="shared" si="49"/>
        <v>#NUM!</v>
      </c>
      <c r="N229">
        <f t="shared" si="54"/>
        <v>0</v>
      </c>
      <c r="O229">
        <f t="shared" si="55"/>
        <v>0</v>
      </c>
      <c r="P229" t="e">
        <f t="shared" si="56"/>
        <v>#NUM!</v>
      </c>
    </row>
    <row r="230" spans="3:18">
      <c r="C230">
        <f t="shared" si="50"/>
        <v>0</v>
      </c>
      <c r="D230">
        <v>1.6E-2</v>
      </c>
      <c r="E230">
        <v>3.5999999999999999E-3</v>
      </c>
      <c r="F230">
        <f t="shared" si="46"/>
        <v>0</v>
      </c>
      <c r="G230">
        <f t="shared" si="51"/>
        <v>0</v>
      </c>
      <c r="H230">
        <f t="shared" si="52"/>
        <v>0</v>
      </c>
      <c r="I230">
        <v>1</v>
      </c>
      <c r="J230" t="e">
        <f t="shared" si="48"/>
        <v>#NUM!</v>
      </c>
      <c r="K230">
        <f t="shared" si="53"/>
        <v>-1.2217251517752175</v>
      </c>
      <c r="L230">
        <v>1</v>
      </c>
      <c r="M230" t="e">
        <f t="shared" si="49"/>
        <v>#NUM!</v>
      </c>
      <c r="N230">
        <f t="shared" si="54"/>
        <v>0</v>
      </c>
      <c r="O230">
        <f t="shared" si="55"/>
        <v>0</v>
      </c>
      <c r="P230" t="e">
        <f t="shared" si="56"/>
        <v>#NUM!</v>
      </c>
    </row>
    <row r="231" spans="3:18">
      <c r="C231">
        <f t="shared" si="50"/>
        <v>0</v>
      </c>
      <c r="D231">
        <v>1.6E-2</v>
      </c>
      <c r="E231">
        <v>3.5999999999999999E-3</v>
      </c>
      <c r="F231">
        <f t="shared" si="46"/>
        <v>0</v>
      </c>
      <c r="G231">
        <f t="shared" si="51"/>
        <v>0</v>
      </c>
      <c r="H231">
        <f t="shared" si="52"/>
        <v>0</v>
      </c>
      <c r="I231">
        <v>1</v>
      </c>
      <c r="J231" t="e">
        <f t="shared" si="48"/>
        <v>#NUM!</v>
      </c>
      <c r="K231">
        <f t="shared" si="53"/>
        <v>-1.2217251517752175</v>
      </c>
      <c r="L231">
        <v>1</v>
      </c>
      <c r="M231" t="e">
        <f t="shared" si="49"/>
        <v>#NUM!</v>
      </c>
      <c r="N231">
        <f t="shared" si="54"/>
        <v>0</v>
      </c>
      <c r="O231">
        <f t="shared" si="55"/>
        <v>0</v>
      </c>
      <c r="P231" t="e">
        <f t="shared" si="56"/>
        <v>#NUM!</v>
      </c>
    </row>
    <row r="232" spans="3:18">
      <c r="C232">
        <f t="shared" si="50"/>
        <v>0</v>
      </c>
      <c r="D232">
        <v>1.6E-2</v>
      </c>
      <c r="E232">
        <v>3.5999999999999999E-3</v>
      </c>
      <c r="F232">
        <f t="shared" si="46"/>
        <v>0</v>
      </c>
      <c r="G232">
        <f t="shared" si="51"/>
        <v>0</v>
      </c>
      <c r="H232">
        <f t="shared" si="52"/>
        <v>0</v>
      </c>
      <c r="I232">
        <v>1</v>
      </c>
      <c r="J232" t="e">
        <f t="shared" si="48"/>
        <v>#NUM!</v>
      </c>
      <c r="K232">
        <f t="shared" si="53"/>
        <v>-1.2217251517752175</v>
      </c>
      <c r="L232">
        <v>1</v>
      </c>
      <c r="M232" t="e">
        <f t="shared" si="49"/>
        <v>#NUM!</v>
      </c>
      <c r="N232">
        <f t="shared" si="54"/>
        <v>0</v>
      </c>
      <c r="O232">
        <f t="shared" si="55"/>
        <v>0</v>
      </c>
      <c r="P232" t="e">
        <f t="shared" si="56"/>
        <v>#NUM!</v>
      </c>
    </row>
    <row r="233" spans="3:18">
      <c r="C233">
        <f t="shared" si="50"/>
        <v>0</v>
      </c>
      <c r="D233">
        <v>1.6E-2</v>
      </c>
      <c r="E233">
        <v>3.5999999999999999E-3</v>
      </c>
      <c r="F233">
        <f t="shared" si="46"/>
        <v>0</v>
      </c>
      <c r="G233">
        <f t="shared" si="51"/>
        <v>0</v>
      </c>
      <c r="H233">
        <f t="shared" si="52"/>
        <v>0</v>
      </c>
      <c r="I233">
        <v>1</v>
      </c>
      <c r="J233" t="e">
        <f t="shared" si="48"/>
        <v>#NUM!</v>
      </c>
      <c r="K233">
        <f t="shared" si="53"/>
        <v>-1.2217251517752175</v>
      </c>
      <c r="L233">
        <v>1</v>
      </c>
      <c r="M233" t="e">
        <f t="shared" si="49"/>
        <v>#NUM!</v>
      </c>
      <c r="N233">
        <f t="shared" si="54"/>
        <v>0</v>
      </c>
      <c r="O233">
        <f t="shared" si="55"/>
        <v>0</v>
      </c>
      <c r="P233" t="e">
        <f t="shared" si="56"/>
        <v>#NUM!</v>
      </c>
    </row>
    <row r="234" spans="3:18">
      <c r="C234">
        <f t="shared" si="50"/>
        <v>0</v>
      </c>
      <c r="D234">
        <v>1.6E-2</v>
      </c>
      <c r="E234">
        <v>3.5999999999999999E-3</v>
      </c>
      <c r="F234">
        <f t="shared" si="46"/>
        <v>0</v>
      </c>
      <c r="G234">
        <f t="shared" si="51"/>
        <v>0</v>
      </c>
      <c r="H234">
        <f t="shared" si="52"/>
        <v>0</v>
      </c>
      <c r="I234">
        <v>1</v>
      </c>
      <c r="J234" t="e">
        <f t="shared" si="48"/>
        <v>#NUM!</v>
      </c>
      <c r="K234">
        <f t="shared" si="53"/>
        <v>-1.2217251517752175</v>
      </c>
      <c r="L234">
        <v>1</v>
      </c>
      <c r="M234" t="e">
        <f t="shared" si="49"/>
        <v>#NUM!</v>
      </c>
      <c r="N234">
        <f t="shared" si="54"/>
        <v>0</v>
      </c>
      <c r="O234">
        <f t="shared" si="55"/>
        <v>0</v>
      </c>
      <c r="P234" t="e">
        <f t="shared" si="56"/>
        <v>#NUM!</v>
      </c>
    </row>
    <row r="235" spans="3:18">
      <c r="C235">
        <f t="shared" si="50"/>
        <v>0</v>
      </c>
      <c r="D235">
        <v>1.6E-2</v>
      </c>
      <c r="E235">
        <v>3.5999999999999999E-3</v>
      </c>
      <c r="F235">
        <f t="shared" si="46"/>
        <v>0</v>
      </c>
      <c r="G235">
        <f t="shared" si="51"/>
        <v>0</v>
      </c>
      <c r="H235">
        <f t="shared" si="52"/>
        <v>0</v>
      </c>
      <c r="I235">
        <v>1</v>
      </c>
      <c r="J235" t="e">
        <f t="shared" si="48"/>
        <v>#NUM!</v>
      </c>
      <c r="K235">
        <f t="shared" si="53"/>
        <v>-1.2217251517752175</v>
      </c>
      <c r="L235">
        <v>1</v>
      </c>
      <c r="M235" t="e">
        <f t="shared" si="49"/>
        <v>#NUM!</v>
      </c>
      <c r="N235">
        <f t="shared" si="54"/>
        <v>0</v>
      </c>
      <c r="O235">
        <f t="shared" si="55"/>
        <v>0</v>
      </c>
      <c r="P235" t="e">
        <f t="shared" si="56"/>
        <v>#NUM!</v>
      </c>
    </row>
    <row r="236" spans="3:18">
      <c r="C236">
        <f t="shared" si="50"/>
        <v>0</v>
      </c>
      <c r="D236">
        <v>1.6E-2</v>
      </c>
      <c r="E236">
        <v>3.5999999999999999E-3</v>
      </c>
      <c r="F236">
        <f t="shared" si="46"/>
        <v>0</v>
      </c>
      <c r="G236">
        <f t="shared" si="51"/>
        <v>0</v>
      </c>
      <c r="H236">
        <f t="shared" si="52"/>
        <v>0</v>
      </c>
      <c r="I236">
        <v>1</v>
      </c>
      <c r="J236" t="e">
        <f t="shared" si="48"/>
        <v>#NUM!</v>
      </c>
      <c r="K236">
        <f t="shared" si="53"/>
        <v>-1.2217251517752175</v>
      </c>
      <c r="L236">
        <v>1</v>
      </c>
      <c r="M236" t="e">
        <f t="shared" si="49"/>
        <v>#NUM!</v>
      </c>
      <c r="N236">
        <f t="shared" si="54"/>
        <v>0</v>
      </c>
      <c r="O236">
        <f t="shared" si="55"/>
        <v>0</v>
      </c>
      <c r="P236" t="e">
        <f t="shared" si="56"/>
        <v>#NUM!</v>
      </c>
    </row>
    <row r="237" spans="3:18">
      <c r="C237">
        <f t="shared" si="50"/>
        <v>0</v>
      </c>
      <c r="D237">
        <v>1.6E-2</v>
      </c>
      <c r="E237">
        <v>3.5999999999999999E-3</v>
      </c>
      <c r="F237">
        <f t="shared" si="46"/>
        <v>0</v>
      </c>
      <c r="G237">
        <f t="shared" si="51"/>
        <v>0</v>
      </c>
      <c r="H237">
        <f t="shared" si="52"/>
        <v>0</v>
      </c>
      <c r="I237">
        <v>1</v>
      </c>
      <c r="J237" t="e">
        <f t="shared" si="48"/>
        <v>#NUM!</v>
      </c>
      <c r="K237">
        <f t="shared" si="53"/>
        <v>-1.2217251517752175</v>
      </c>
      <c r="L237">
        <v>1</v>
      </c>
      <c r="M237" t="e">
        <f t="shared" si="49"/>
        <v>#NUM!</v>
      </c>
      <c r="N237">
        <f t="shared" si="54"/>
        <v>0</v>
      </c>
      <c r="O237">
        <f t="shared" si="55"/>
        <v>0</v>
      </c>
      <c r="P237" t="e">
        <f t="shared" si="56"/>
        <v>#NUM!</v>
      </c>
    </row>
    <row r="238" spans="3:18">
      <c r="C238">
        <f t="shared" si="50"/>
        <v>0</v>
      </c>
      <c r="D238">
        <v>1.6E-2</v>
      </c>
      <c r="E238">
        <v>3.5999999999999999E-3</v>
      </c>
      <c r="F238">
        <f t="shared" si="46"/>
        <v>0</v>
      </c>
      <c r="G238">
        <f t="shared" si="51"/>
        <v>0</v>
      </c>
      <c r="H238">
        <f t="shared" si="52"/>
        <v>0</v>
      </c>
      <c r="I238">
        <v>1</v>
      </c>
      <c r="J238" t="e">
        <f t="shared" si="48"/>
        <v>#NUM!</v>
      </c>
      <c r="K238">
        <f t="shared" si="53"/>
        <v>-1.2217251517752175</v>
      </c>
      <c r="L238">
        <v>1</v>
      </c>
      <c r="M238" t="e">
        <f t="shared" si="49"/>
        <v>#NUM!</v>
      </c>
      <c r="N238">
        <f t="shared" si="54"/>
        <v>0</v>
      </c>
      <c r="O238">
        <f t="shared" si="55"/>
        <v>0</v>
      </c>
      <c r="P238" t="e">
        <f t="shared" si="56"/>
        <v>#NUM!</v>
      </c>
    </row>
    <row r="239" spans="3:18">
      <c r="C239">
        <f t="shared" si="50"/>
        <v>0</v>
      </c>
      <c r="D239">
        <v>1.6E-2</v>
      </c>
      <c r="E239">
        <v>3.5999999999999999E-3</v>
      </c>
      <c r="F239">
        <f t="shared" si="46"/>
        <v>0</v>
      </c>
      <c r="G239">
        <f t="shared" si="51"/>
        <v>0</v>
      </c>
      <c r="H239">
        <f t="shared" si="52"/>
        <v>0</v>
      </c>
      <c r="I239">
        <v>1</v>
      </c>
      <c r="J239" t="e">
        <f t="shared" si="48"/>
        <v>#NUM!</v>
      </c>
      <c r="K239">
        <f t="shared" si="53"/>
        <v>-1.2217251517752175</v>
      </c>
      <c r="L239">
        <v>1</v>
      </c>
      <c r="M239" t="e">
        <f t="shared" si="49"/>
        <v>#NUM!</v>
      </c>
      <c r="N239">
        <f t="shared" si="54"/>
        <v>0</v>
      </c>
      <c r="O239">
        <f t="shared" si="55"/>
        <v>0</v>
      </c>
      <c r="P239" t="e">
        <f t="shared" si="56"/>
        <v>#NUM!</v>
      </c>
    </row>
    <row r="240" spans="3:18">
      <c r="C240">
        <f t="shared" si="50"/>
        <v>0</v>
      </c>
      <c r="D240">
        <v>1.6E-2</v>
      </c>
      <c r="E240">
        <v>3.5999999999999999E-3</v>
      </c>
      <c r="F240">
        <f t="shared" si="46"/>
        <v>0</v>
      </c>
      <c r="G240">
        <f t="shared" si="51"/>
        <v>0</v>
      </c>
      <c r="H240">
        <f t="shared" si="52"/>
        <v>0</v>
      </c>
      <c r="I240">
        <v>1</v>
      </c>
      <c r="J240" t="e">
        <f t="shared" si="48"/>
        <v>#NUM!</v>
      </c>
      <c r="K240">
        <f t="shared" si="53"/>
        <v>-1.2217251517752175</v>
      </c>
      <c r="L240">
        <v>1</v>
      </c>
      <c r="M240" t="e">
        <f t="shared" si="49"/>
        <v>#NUM!</v>
      </c>
      <c r="N240">
        <f t="shared" si="54"/>
        <v>0</v>
      </c>
      <c r="O240">
        <f t="shared" si="55"/>
        <v>0</v>
      </c>
      <c r="P240" t="e">
        <f t="shared" si="56"/>
        <v>#NUM!</v>
      </c>
    </row>
    <row r="241" spans="3:16">
      <c r="C241">
        <f t="shared" si="50"/>
        <v>0</v>
      </c>
      <c r="D241">
        <v>1.6E-2</v>
      </c>
      <c r="E241">
        <v>3.5999999999999999E-3</v>
      </c>
      <c r="F241">
        <f t="shared" si="46"/>
        <v>0</v>
      </c>
      <c r="G241">
        <f t="shared" si="51"/>
        <v>0</v>
      </c>
      <c r="H241">
        <f t="shared" si="52"/>
        <v>0</v>
      </c>
      <c r="I241">
        <v>1</v>
      </c>
      <c r="J241" t="e">
        <f t="shared" si="48"/>
        <v>#NUM!</v>
      </c>
      <c r="K241">
        <f t="shared" si="53"/>
        <v>-1.2217251517752175</v>
      </c>
      <c r="L241">
        <v>1</v>
      </c>
      <c r="M241" t="e">
        <f t="shared" si="49"/>
        <v>#NUM!</v>
      </c>
      <c r="N241">
        <f t="shared" si="54"/>
        <v>0</v>
      </c>
      <c r="O241">
        <f t="shared" si="55"/>
        <v>0</v>
      </c>
      <c r="P241" t="e">
        <f t="shared" si="56"/>
        <v>#NUM!</v>
      </c>
    </row>
    <row r="242" spans="3:16">
      <c r="C242">
        <f t="shared" si="50"/>
        <v>0</v>
      </c>
      <c r="D242">
        <v>1.6E-2</v>
      </c>
      <c r="E242">
        <v>3.5999999999999999E-3</v>
      </c>
      <c r="F242">
        <f t="shared" si="46"/>
        <v>0</v>
      </c>
      <c r="G242">
        <f t="shared" si="51"/>
        <v>0</v>
      </c>
      <c r="H242">
        <f t="shared" si="52"/>
        <v>0</v>
      </c>
      <c r="I242">
        <v>1</v>
      </c>
      <c r="J242" t="e">
        <f t="shared" si="48"/>
        <v>#NUM!</v>
      </c>
      <c r="K242">
        <f t="shared" si="53"/>
        <v>-1.2217251517752175</v>
      </c>
      <c r="L242">
        <v>1</v>
      </c>
      <c r="M242" t="e">
        <f t="shared" si="49"/>
        <v>#NUM!</v>
      </c>
      <c r="N242">
        <f t="shared" si="54"/>
        <v>0</v>
      </c>
      <c r="O242">
        <f t="shared" si="55"/>
        <v>0</v>
      </c>
      <c r="P242" t="e">
        <f t="shared" si="56"/>
        <v>#NUM!</v>
      </c>
    </row>
    <row r="243" spans="3:16">
      <c r="C243">
        <f t="shared" si="50"/>
        <v>0</v>
      </c>
      <c r="D243">
        <v>1.6E-2</v>
      </c>
      <c r="E243">
        <v>3.5999999999999999E-3</v>
      </c>
      <c r="F243">
        <f t="shared" si="46"/>
        <v>0</v>
      </c>
      <c r="G243">
        <f t="shared" si="51"/>
        <v>0</v>
      </c>
      <c r="H243">
        <f t="shared" si="52"/>
        <v>0</v>
      </c>
      <c r="I243">
        <v>1</v>
      </c>
      <c r="J243" t="e">
        <f t="shared" si="48"/>
        <v>#NUM!</v>
      </c>
      <c r="K243">
        <f t="shared" si="53"/>
        <v>-1.2217251517752175</v>
      </c>
      <c r="L243">
        <v>1</v>
      </c>
      <c r="M243" t="e">
        <f t="shared" si="49"/>
        <v>#NUM!</v>
      </c>
      <c r="N243">
        <f t="shared" si="54"/>
        <v>0</v>
      </c>
      <c r="O243">
        <f t="shared" si="55"/>
        <v>0</v>
      </c>
      <c r="P243" t="e">
        <f t="shared" si="56"/>
        <v>#NUM!</v>
      </c>
    </row>
    <row r="244" spans="3:16">
      <c r="C244">
        <f t="shared" si="50"/>
        <v>0</v>
      </c>
      <c r="D244">
        <v>1.6E-2</v>
      </c>
      <c r="E244">
        <v>3.5999999999999999E-3</v>
      </c>
      <c r="F244">
        <f t="shared" si="46"/>
        <v>0</v>
      </c>
      <c r="G244">
        <f t="shared" si="51"/>
        <v>0</v>
      </c>
      <c r="H244">
        <f t="shared" si="52"/>
        <v>0</v>
      </c>
      <c r="I244">
        <v>1</v>
      </c>
      <c r="J244" t="e">
        <f t="shared" si="48"/>
        <v>#NUM!</v>
      </c>
      <c r="K244">
        <f t="shared" si="53"/>
        <v>-1.2217251517752175</v>
      </c>
      <c r="L244">
        <v>1</v>
      </c>
      <c r="M244" t="e">
        <f t="shared" si="49"/>
        <v>#NUM!</v>
      </c>
      <c r="N244">
        <f t="shared" si="54"/>
        <v>0</v>
      </c>
      <c r="O244">
        <f t="shared" si="55"/>
        <v>0</v>
      </c>
      <c r="P244" t="e">
        <f t="shared" si="56"/>
        <v>#NUM!</v>
      </c>
    </row>
    <row r="245" spans="3:16">
      <c r="C245">
        <f t="shared" si="50"/>
        <v>0</v>
      </c>
      <c r="D245">
        <v>1.6E-2</v>
      </c>
      <c r="E245">
        <v>3.5999999999999999E-3</v>
      </c>
      <c r="F245">
        <f t="shared" si="46"/>
        <v>0</v>
      </c>
      <c r="G245">
        <f t="shared" si="51"/>
        <v>0</v>
      </c>
      <c r="H245">
        <f t="shared" si="52"/>
        <v>0</v>
      </c>
      <c r="I245">
        <v>1</v>
      </c>
      <c r="J245" t="e">
        <f t="shared" si="48"/>
        <v>#NUM!</v>
      </c>
      <c r="K245">
        <f t="shared" si="53"/>
        <v>-1.2217251517752175</v>
      </c>
      <c r="L245">
        <v>1</v>
      </c>
      <c r="M245" t="e">
        <f t="shared" si="49"/>
        <v>#NUM!</v>
      </c>
      <c r="N245">
        <f t="shared" si="54"/>
        <v>0</v>
      </c>
      <c r="O245">
        <f t="shared" si="55"/>
        <v>0</v>
      </c>
      <c r="P245" t="e">
        <f t="shared" si="56"/>
        <v>#NUM!</v>
      </c>
    </row>
    <row r="246" spans="3:16">
      <c r="C246">
        <f t="shared" si="50"/>
        <v>0</v>
      </c>
      <c r="D246">
        <v>1.6E-2</v>
      </c>
      <c r="E246">
        <v>3.5999999999999999E-3</v>
      </c>
      <c r="F246">
        <f t="shared" si="46"/>
        <v>0</v>
      </c>
      <c r="G246">
        <f t="shared" si="51"/>
        <v>0</v>
      </c>
      <c r="H246">
        <f t="shared" si="52"/>
        <v>0</v>
      </c>
      <c r="I246">
        <v>1</v>
      </c>
      <c r="J246" t="e">
        <f t="shared" si="48"/>
        <v>#NUM!</v>
      </c>
      <c r="K246">
        <f t="shared" si="53"/>
        <v>-1.2217251517752175</v>
      </c>
      <c r="L246">
        <v>1</v>
      </c>
      <c r="M246" t="e">
        <f t="shared" si="49"/>
        <v>#NUM!</v>
      </c>
      <c r="N246">
        <f t="shared" si="54"/>
        <v>0</v>
      </c>
      <c r="O246">
        <f t="shared" si="55"/>
        <v>0</v>
      </c>
      <c r="P246" t="e">
        <f t="shared" si="56"/>
        <v>#NUM!</v>
      </c>
    </row>
    <row r="247" spans="3:16">
      <c r="C247">
        <f t="shared" si="50"/>
        <v>0</v>
      </c>
      <c r="D247">
        <v>1.6E-2</v>
      </c>
      <c r="E247">
        <v>3.5999999999999999E-3</v>
      </c>
      <c r="F247">
        <f t="shared" si="46"/>
        <v>0</v>
      </c>
      <c r="G247">
        <f t="shared" si="51"/>
        <v>0</v>
      </c>
      <c r="H247">
        <f t="shared" si="52"/>
        <v>0</v>
      </c>
      <c r="I247">
        <v>1</v>
      </c>
      <c r="J247" t="e">
        <f t="shared" si="48"/>
        <v>#NUM!</v>
      </c>
      <c r="K247">
        <f t="shared" si="53"/>
        <v>-1.2217251517752175</v>
      </c>
      <c r="L247">
        <v>1</v>
      </c>
      <c r="M247" t="e">
        <f t="shared" si="49"/>
        <v>#NUM!</v>
      </c>
      <c r="N247">
        <f t="shared" si="54"/>
        <v>0</v>
      </c>
      <c r="O247">
        <f t="shared" si="55"/>
        <v>0</v>
      </c>
      <c r="P247" t="e">
        <f t="shared" si="56"/>
        <v>#NUM!</v>
      </c>
    </row>
    <row r="248" spans="3:16">
      <c r="C248">
        <f t="shared" si="50"/>
        <v>0</v>
      </c>
      <c r="D248">
        <v>1.6E-2</v>
      </c>
      <c r="E248">
        <v>3.5999999999999999E-3</v>
      </c>
      <c r="F248">
        <f t="shared" si="46"/>
        <v>0</v>
      </c>
      <c r="G248">
        <f t="shared" si="51"/>
        <v>0</v>
      </c>
      <c r="H248">
        <f t="shared" si="52"/>
        <v>0</v>
      </c>
      <c r="I248">
        <v>1</v>
      </c>
      <c r="J248" t="e">
        <f t="shared" si="48"/>
        <v>#NUM!</v>
      </c>
      <c r="K248">
        <f t="shared" si="53"/>
        <v>-1.2217251517752175</v>
      </c>
      <c r="L248">
        <v>1</v>
      </c>
      <c r="M248" t="e">
        <f t="shared" si="49"/>
        <v>#NUM!</v>
      </c>
      <c r="N248">
        <f t="shared" si="54"/>
        <v>0</v>
      </c>
      <c r="O248">
        <f t="shared" si="55"/>
        <v>0</v>
      </c>
      <c r="P248" t="e">
        <f t="shared" si="56"/>
        <v>#NUM!</v>
      </c>
    </row>
    <row r="249" spans="3:16">
      <c r="C249">
        <f t="shared" si="50"/>
        <v>0</v>
      </c>
      <c r="D249">
        <v>1.6E-2</v>
      </c>
      <c r="E249">
        <v>3.5999999999999999E-3</v>
      </c>
      <c r="F249">
        <f t="shared" si="46"/>
        <v>0</v>
      </c>
      <c r="G249">
        <f t="shared" si="51"/>
        <v>0</v>
      </c>
      <c r="H249">
        <f t="shared" si="52"/>
        <v>0</v>
      </c>
      <c r="I249">
        <v>1</v>
      </c>
      <c r="J249" t="e">
        <f t="shared" si="48"/>
        <v>#NUM!</v>
      </c>
      <c r="K249">
        <f t="shared" si="53"/>
        <v>-1.2217251517752175</v>
      </c>
      <c r="L249">
        <v>1</v>
      </c>
      <c r="M249" t="e">
        <f t="shared" si="49"/>
        <v>#NUM!</v>
      </c>
      <c r="N249">
        <f t="shared" si="54"/>
        <v>0</v>
      </c>
      <c r="O249">
        <f t="shared" si="55"/>
        <v>0</v>
      </c>
      <c r="P249" t="e">
        <f t="shared" si="56"/>
        <v>#NUM!</v>
      </c>
    </row>
    <row r="250" spans="3:16">
      <c r="C250">
        <f t="shared" si="50"/>
        <v>0</v>
      </c>
      <c r="D250">
        <v>1.6E-2</v>
      </c>
      <c r="E250">
        <v>3.5999999999999999E-3</v>
      </c>
      <c r="F250">
        <f t="shared" si="46"/>
        <v>0</v>
      </c>
      <c r="G250">
        <f t="shared" si="51"/>
        <v>0</v>
      </c>
      <c r="H250">
        <f t="shared" si="52"/>
        <v>0</v>
      </c>
      <c r="I250">
        <v>1</v>
      </c>
      <c r="J250" t="e">
        <f t="shared" si="48"/>
        <v>#NUM!</v>
      </c>
      <c r="K250">
        <f t="shared" si="53"/>
        <v>-1.2217251517752175</v>
      </c>
      <c r="L250">
        <v>1</v>
      </c>
      <c r="M250" t="e">
        <f t="shared" si="49"/>
        <v>#NUM!</v>
      </c>
      <c r="N250">
        <f t="shared" si="54"/>
        <v>0</v>
      </c>
      <c r="O250">
        <f t="shared" si="55"/>
        <v>0</v>
      </c>
      <c r="P250" t="e">
        <f t="shared" si="56"/>
        <v>#NUM!</v>
      </c>
    </row>
    <row r="251" spans="3:16">
      <c r="C251">
        <f t="shared" si="50"/>
        <v>0</v>
      </c>
      <c r="D251">
        <v>1.6E-2</v>
      </c>
      <c r="E251">
        <v>3.5999999999999999E-3</v>
      </c>
      <c r="F251">
        <f t="shared" si="46"/>
        <v>0</v>
      </c>
      <c r="G251">
        <f t="shared" si="51"/>
        <v>0</v>
      </c>
      <c r="H251">
        <f t="shared" si="52"/>
        <v>0</v>
      </c>
      <c r="I251">
        <v>1</v>
      </c>
      <c r="J251" t="e">
        <f t="shared" si="48"/>
        <v>#NUM!</v>
      </c>
      <c r="K251">
        <f t="shared" si="53"/>
        <v>-1.2217251517752175</v>
      </c>
      <c r="L251">
        <v>1</v>
      </c>
      <c r="M251" t="e">
        <f t="shared" si="49"/>
        <v>#NUM!</v>
      </c>
      <c r="N251">
        <f t="shared" si="54"/>
        <v>0</v>
      </c>
      <c r="O251">
        <f t="shared" si="55"/>
        <v>0</v>
      </c>
      <c r="P251" t="e">
        <f t="shared" si="56"/>
        <v>#NUM!</v>
      </c>
    </row>
    <row r="252" spans="3:16">
      <c r="C252">
        <f t="shared" si="50"/>
        <v>0</v>
      </c>
      <c r="D252">
        <v>1.6E-2</v>
      </c>
      <c r="E252">
        <v>3.5999999999999999E-3</v>
      </c>
      <c r="F252">
        <f t="shared" si="46"/>
        <v>0</v>
      </c>
      <c r="G252">
        <f t="shared" si="51"/>
        <v>0</v>
      </c>
      <c r="H252">
        <f t="shared" si="52"/>
        <v>0</v>
      </c>
      <c r="I252">
        <v>1</v>
      </c>
      <c r="J252" t="e">
        <f t="shared" si="48"/>
        <v>#NUM!</v>
      </c>
      <c r="K252">
        <f t="shared" si="53"/>
        <v>-1.2217251517752175</v>
      </c>
      <c r="L252">
        <v>1</v>
      </c>
      <c r="M252" t="e">
        <f t="shared" si="49"/>
        <v>#NUM!</v>
      </c>
      <c r="N252">
        <f t="shared" si="54"/>
        <v>0</v>
      </c>
      <c r="O252">
        <f t="shared" si="55"/>
        <v>0</v>
      </c>
      <c r="P252" t="e">
        <f t="shared" si="56"/>
        <v>#NUM!</v>
      </c>
    </row>
    <row r="253" spans="3:16">
      <c r="C253">
        <f t="shared" si="50"/>
        <v>0</v>
      </c>
      <c r="D253">
        <v>1.6E-2</v>
      </c>
      <c r="E253">
        <v>3.5999999999999999E-3</v>
      </c>
      <c r="F253">
        <f t="shared" si="46"/>
        <v>0</v>
      </c>
      <c r="G253">
        <f t="shared" si="51"/>
        <v>0</v>
      </c>
      <c r="H253">
        <f t="shared" si="52"/>
        <v>0</v>
      </c>
      <c r="I253">
        <v>1</v>
      </c>
      <c r="J253" t="e">
        <f t="shared" si="48"/>
        <v>#NUM!</v>
      </c>
      <c r="K253">
        <f t="shared" si="53"/>
        <v>-1.2217251517752175</v>
      </c>
      <c r="L253">
        <v>1</v>
      </c>
      <c r="M253" t="e">
        <f t="shared" si="49"/>
        <v>#NUM!</v>
      </c>
      <c r="N253">
        <f t="shared" si="54"/>
        <v>0</v>
      </c>
      <c r="O253">
        <f t="shared" si="55"/>
        <v>0</v>
      </c>
      <c r="P253" t="e">
        <f t="shared" si="56"/>
        <v>#NUM!</v>
      </c>
    </row>
    <row r="254" spans="3:16">
      <c r="C254">
        <f t="shared" si="50"/>
        <v>0</v>
      </c>
      <c r="D254">
        <v>1.6E-2</v>
      </c>
      <c r="E254">
        <v>3.5999999999999999E-3</v>
      </c>
      <c r="F254">
        <f t="shared" si="46"/>
        <v>0</v>
      </c>
      <c r="G254">
        <f t="shared" si="51"/>
        <v>0</v>
      </c>
      <c r="H254">
        <f t="shared" si="52"/>
        <v>0</v>
      </c>
      <c r="I254">
        <v>1</v>
      </c>
      <c r="J254" t="e">
        <f t="shared" si="48"/>
        <v>#NUM!</v>
      </c>
      <c r="K254">
        <f t="shared" si="53"/>
        <v>-1.2217251517752175</v>
      </c>
      <c r="L254">
        <v>1</v>
      </c>
      <c r="M254" t="e">
        <f t="shared" si="49"/>
        <v>#NUM!</v>
      </c>
      <c r="N254">
        <f t="shared" si="54"/>
        <v>0</v>
      </c>
      <c r="O254">
        <f t="shared" si="55"/>
        <v>0</v>
      </c>
      <c r="P254" t="e">
        <f t="shared" si="56"/>
        <v>#NUM!</v>
      </c>
    </row>
    <row r="255" spans="3:16">
      <c r="C255">
        <f t="shared" si="50"/>
        <v>0</v>
      </c>
      <c r="D255">
        <v>1.6E-2</v>
      </c>
      <c r="E255">
        <v>3.5999999999999999E-3</v>
      </c>
      <c r="F255">
        <f t="shared" si="46"/>
        <v>0</v>
      </c>
      <c r="G255">
        <f t="shared" si="51"/>
        <v>0</v>
      </c>
      <c r="H255">
        <f t="shared" si="52"/>
        <v>0</v>
      </c>
      <c r="I255">
        <v>1</v>
      </c>
      <c r="J255" t="e">
        <f t="shared" si="48"/>
        <v>#NUM!</v>
      </c>
      <c r="K255">
        <f t="shared" si="53"/>
        <v>-1.2217251517752175</v>
      </c>
      <c r="L255">
        <v>1</v>
      </c>
      <c r="M255" t="e">
        <f t="shared" si="49"/>
        <v>#NUM!</v>
      </c>
      <c r="N255">
        <f t="shared" si="54"/>
        <v>0</v>
      </c>
      <c r="O255">
        <f t="shared" si="55"/>
        <v>0</v>
      </c>
      <c r="P255" t="e">
        <f t="shared" si="56"/>
        <v>#NUM!</v>
      </c>
    </row>
    <row r="256" spans="3:16">
      <c r="C256">
        <f t="shared" si="50"/>
        <v>0</v>
      </c>
      <c r="D256">
        <v>1.6E-2</v>
      </c>
      <c r="E256">
        <v>3.5999999999999999E-3</v>
      </c>
      <c r="F256">
        <f t="shared" si="46"/>
        <v>0</v>
      </c>
      <c r="G256">
        <f t="shared" si="51"/>
        <v>0</v>
      </c>
      <c r="H256">
        <f t="shared" si="52"/>
        <v>0</v>
      </c>
      <c r="I256">
        <v>1</v>
      </c>
      <c r="J256" t="e">
        <f t="shared" si="48"/>
        <v>#NUM!</v>
      </c>
      <c r="K256">
        <f t="shared" si="53"/>
        <v>-1.2217251517752175</v>
      </c>
      <c r="L256">
        <v>1</v>
      </c>
      <c r="M256" t="e">
        <f t="shared" si="49"/>
        <v>#NUM!</v>
      </c>
      <c r="N256">
        <f t="shared" si="54"/>
        <v>0</v>
      </c>
      <c r="O256">
        <f t="shared" si="55"/>
        <v>0</v>
      </c>
      <c r="P256" t="e">
        <f t="shared" si="56"/>
        <v>#NUM!</v>
      </c>
    </row>
    <row r="257" spans="3:16">
      <c r="C257">
        <f t="shared" si="50"/>
        <v>0</v>
      </c>
      <c r="D257">
        <v>1.6E-2</v>
      </c>
      <c r="E257">
        <v>3.5999999999999999E-3</v>
      </c>
      <c r="F257">
        <f t="shared" si="46"/>
        <v>0</v>
      </c>
      <c r="G257">
        <f t="shared" si="51"/>
        <v>0</v>
      </c>
      <c r="H257">
        <f t="shared" si="52"/>
        <v>0</v>
      </c>
      <c r="I257">
        <v>1</v>
      </c>
      <c r="J257" t="e">
        <f t="shared" si="48"/>
        <v>#NUM!</v>
      </c>
      <c r="K257">
        <f t="shared" si="53"/>
        <v>-1.2217251517752175</v>
      </c>
      <c r="L257">
        <v>1</v>
      </c>
      <c r="M257" t="e">
        <f t="shared" si="49"/>
        <v>#NUM!</v>
      </c>
      <c r="N257">
        <f t="shared" si="54"/>
        <v>0</v>
      </c>
      <c r="O257">
        <f t="shared" si="55"/>
        <v>0</v>
      </c>
      <c r="P257" t="e">
        <f t="shared" si="56"/>
        <v>#NUM!</v>
      </c>
    </row>
    <row r="258" spans="3:16">
      <c r="C258">
        <f t="shared" si="50"/>
        <v>0</v>
      </c>
      <c r="D258">
        <v>1.6E-2</v>
      </c>
      <c r="E258">
        <v>3.5999999999999999E-3</v>
      </c>
      <c r="F258">
        <f t="shared" si="46"/>
        <v>0</v>
      </c>
      <c r="G258">
        <f t="shared" si="51"/>
        <v>0</v>
      </c>
      <c r="H258">
        <f t="shared" si="52"/>
        <v>0</v>
      </c>
      <c r="I258">
        <v>1</v>
      </c>
      <c r="J258" t="e">
        <f t="shared" si="48"/>
        <v>#NUM!</v>
      </c>
      <c r="K258">
        <f t="shared" si="53"/>
        <v>-1.2217251517752175</v>
      </c>
      <c r="L258">
        <v>1</v>
      </c>
      <c r="M258" t="e">
        <f t="shared" si="49"/>
        <v>#NUM!</v>
      </c>
      <c r="N258">
        <f t="shared" si="54"/>
        <v>0</v>
      </c>
      <c r="O258">
        <f t="shared" si="55"/>
        <v>0</v>
      </c>
      <c r="P258" t="e">
        <f t="shared" si="56"/>
        <v>#NUM!</v>
      </c>
    </row>
    <row r="259" spans="3:16">
      <c r="C259">
        <f t="shared" si="50"/>
        <v>0</v>
      </c>
      <c r="D259">
        <v>1.6E-2</v>
      </c>
      <c r="E259">
        <v>3.5999999999999999E-3</v>
      </c>
      <c r="F259">
        <f t="shared" si="46"/>
        <v>0</v>
      </c>
      <c r="G259">
        <f t="shared" si="51"/>
        <v>0</v>
      </c>
      <c r="H259">
        <f t="shared" si="52"/>
        <v>0</v>
      </c>
      <c r="I259">
        <v>1</v>
      </c>
      <c r="J259" t="e">
        <f t="shared" si="48"/>
        <v>#NUM!</v>
      </c>
      <c r="K259">
        <f t="shared" si="53"/>
        <v>-1.2217251517752175</v>
      </c>
      <c r="L259">
        <v>1</v>
      </c>
      <c r="M259" t="e">
        <f t="shared" si="49"/>
        <v>#NUM!</v>
      </c>
      <c r="N259">
        <f t="shared" si="54"/>
        <v>0</v>
      </c>
      <c r="O259">
        <f t="shared" si="55"/>
        <v>0</v>
      </c>
      <c r="P259" t="e">
        <f t="shared" si="56"/>
        <v>#NUM!</v>
      </c>
    </row>
    <row r="260" spans="3:16">
      <c r="C260">
        <f t="shared" si="50"/>
        <v>0</v>
      </c>
      <c r="D260">
        <v>1.6E-2</v>
      </c>
      <c r="E260">
        <v>3.5999999999999999E-3</v>
      </c>
      <c r="F260">
        <f t="shared" si="46"/>
        <v>0</v>
      </c>
      <c r="G260">
        <f t="shared" si="51"/>
        <v>0</v>
      </c>
      <c r="H260">
        <f t="shared" si="52"/>
        <v>0</v>
      </c>
      <c r="I260">
        <v>1</v>
      </c>
      <c r="J260" t="e">
        <f t="shared" si="48"/>
        <v>#NUM!</v>
      </c>
      <c r="K260">
        <f t="shared" si="53"/>
        <v>-1.2217251517752175</v>
      </c>
      <c r="L260">
        <v>1</v>
      </c>
      <c r="M260" t="e">
        <f t="shared" si="49"/>
        <v>#NUM!</v>
      </c>
      <c r="N260">
        <f t="shared" si="54"/>
        <v>0</v>
      </c>
      <c r="O260">
        <f t="shared" si="55"/>
        <v>0</v>
      </c>
      <c r="P260" t="e">
        <f t="shared" si="56"/>
        <v>#NUM!</v>
      </c>
    </row>
    <row r="261" spans="3:16">
      <c r="C261">
        <f t="shared" si="50"/>
        <v>0</v>
      </c>
      <c r="D261">
        <v>1.6E-2</v>
      </c>
      <c r="E261">
        <v>3.5999999999999999E-3</v>
      </c>
      <c r="F261">
        <f t="shared" ref="F261:F303" si="57">A261*200</f>
        <v>0</v>
      </c>
      <c r="G261">
        <f t="shared" si="51"/>
        <v>0</v>
      </c>
      <c r="H261">
        <f t="shared" si="52"/>
        <v>0</v>
      </c>
      <c r="I261">
        <v>1</v>
      </c>
      <c r="J261" t="e">
        <f t="shared" ref="J261:J303" si="58">LN(F261/1000)</f>
        <v>#NUM!</v>
      </c>
      <c r="K261">
        <f t="shared" si="53"/>
        <v>-1.2217251517752175</v>
      </c>
      <c r="L261">
        <v>1</v>
      </c>
      <c r="M261" t="e">
        <f t="shared" ref="M261:M303" si="59">-1*($S$4+($S$5*J261))</f>
        <v>#NUM!</v>
      </c>
      <c r="N261">
        <f t="shared" si="54"/>
        <v>0</v>
      </c>
      <c r="O261">
        <f t="shared" si="55"/>
        <v>0</v>
      </c>
      <c r="P261" t="e">
        <f t="shared" si="56"/>
        <v>#NUM!</v>
      </c>
    </row>
    <row r="262" spans="3:16">
      <c r="C262">
        <f t="shared" si="50"/>
        <v>0</v>
      </c>
      <c r="D262">
        <v>1.6E-2</v>
      </c>
      <c r="E262">
        <v>3.5999999999999999E-3</v>
      </c>
      <c r="F262">
        <f t="shared" si="57"/>
        <v>0</v>
      </c>
      <c r="G262">
        <f t="shared" si="51"/>
        <v>0</v>
      </c>
      <c r="H262">
        <f t="shared" si="52"/>
        <v>0</v>
      </c>
      <c r="I262">
        <v>1</v>
      </c>
      <c r="J262" t="e">
        <f t="shared" si="58"/>
        <v>#NUM!</v>
      </c>
      <c r="K262">
        <f t="shared" si="53"/>
        <v>-1.2217251517752175</v>
      </c>
      <c r="L262">
        <v>1</v>
      </c>
      <c r="M262" t="e">
        <f t="shared" si="59"/>
        <v>#NUM!</v>
      </c>
      <c r="N262">
        <f t="shared" si="54"/>
        <v>0</v>
      </c>
      <c r="O262">
        <f t="shared" si="55"/>
        <v>0</v>
      </c>
      <c r="P262" t="e">
        <f t="shared" si="56"/>
        <v>#NUM!</v>
      </c>
    </row>
    <row r="263" spans="3:16">
      <c r="C263">
        <f t="shared" si="50"/>
        <v>0</v>
      </c>
      <c r="D263">
        <v>1.6E-2</v>
      </c>
      <c r="E263">
        <v>3.5999999999999999E-3</v>
      </c>
      <c r="F263">
        <f t="shared" si="57"/>
        <v>0</v>
      </c>
      <c r="G263">
        <f t="shared" si="51"/>
        <v>0</v>
      </c>
      <c r="H263">
        <f t="shared" si="52"/>
        <v>0</v>
      </c>
      <c r="I263">
        <v>1</v>
      </c>
      <c r="J263" t="e">
        <f t="shared" si="58"/>
        <v>#NUM!</v>
      </c>
      <c r="K263">
        <f t="shared" si="53"/>
        <v>-1.2217251517752175</v>
      </c>
      <c r="L263">
        <v>1</v>
      </c>
      <c r="M263" t="e">
        <f t="shared" si="59"/>
        <v>#NUM!</v>
      </c>
      <c r="N263">
        <f t="shared" si="54"/>
        <v>0</v>
      </c>
      <c r="O263">
        <f t="shared" si="55"/>
        <v>0</v>
      </c>
      <c r="P263" t="e">
        <f t="shared" si="56"/>
        <v>#NUM!</v>
      </c>
    </row>
    <row r="264" spans="3:16">
      <c r="C264">
        <f t="shared" si="50"/>
        <v>0</v>
      </c>
      <c r="D264">
        <v>1.6E-2</v>
      </c>
      <c r="E264">
        <v>3.5999999999999999E-3</v>
      </c>
      <c r="F264">
        <f t="shared" si="57"/>
        <v>0</v>
      </c>
      <c r="G264">
        <f t="shared" si="51"/>
        <v>0</v>
      </c>
      <c r="H264">
        <f t="shared" si="52"/>
        <v>0</v>
      </c>
      <c r="I264">
        <v>1</v>
      </c>
      <c r="J264" t="e">
        <f t="shared" si="58"/>
        <v>#NUM!</v>
      </c>
      <c r="K264">
        <f t="shared" si="53"/>
        <v>-1.2217251517752175</v>
      </c>
      <c r="L264">
        <v>1</v>
      </c>
      <c r="M264" t="e">
        <f t="shared" si="59"/>
        <v>#NUM!</v>
      </c>
      <c r="N264">
        <f t="shared" si="54"/>
        <v>0</v>
      </c>
      <c r="O264">
        <f t="shared" si="55"/>
        <v>0</v>
      </c>
      <c r="P264" t="e">
        <f t="shared" si="56"/>
        <v>#NUM!</v>
      </c>
    </row>
    <row r="265" spans="3:16">
      <c r="C265">
        <f t="shared" si="50"/>
        <v>0</v>
      </c>
      <c r="D265">
        <v>1.6E-2</v>
      </c>
      <c r="E265">
        <v>3.5999999999999999E-3</v>
      </c>
      <c r="F265">
        <f t="shared" si="57"/>
        <v>0</v>
      </c>
      <c r="G265">
        <f t="shared" si="51"/>
        <v>0</v>
      </c>
      <c r="H265">
        <f t="shared" si="52"/>
        <v>0</v>
      </c>
      <c r="I265">
        <v>1</v>
      </c>
      <c r="J265" t="e">
        <f t="shared" si="58"/>
        <v>#NUM!</v>
      </c>
      <c r="K265">
        <f t="shared" si="53"/>
        <v>-1.2217251517752175</v>
      </c>
      <c r="L265">
        <v>1</v>
      </c>
      <c r="M265" t="e">
        <f t="shared" si="59"/>
        <v>#NUM!</v>
      </c>
      <c r="N265">
        <f t="shared" si="54"/>
        <v>0</v>
      </c>
      <c r="O265">
        <f t="shared" si="55"/>
        <v>0</v>
      </c>
      <c r="P265" t="e">
        <f t="shared" si="56"/>
        <v>#NUM!</v>
      </c>
    </row>
    <row r="266" spans="3:16">
      <c r="C266">
        <f t="shared" si="50"/>
        <v>0</v>
      </c>
      <c r="D266">
        <v>1.6E-2</v>
      </c>
      <c r="E266">
        <v>3.5999999999999999E-3</v>
      </c>
      <c r="F266">
        <f t="shared" si="57"/>
        <v>0</v>
      </c>
      <c r="G266">
        <f t="shared" si="51"/>
        <v>0</v>
      </c>
      <c r="H266">
        <f t="shared" si="52"/>
        <v>0</v>
      </c>
      <c r="I266">
        <v>1</v>
      </c>
      <c r="J266" t="e">
        <f t="shared" si="58"/>
        <v>#NUM!</v>
      </c>
      <c r="K266">
        <f t="shared" si="53"/>
        <v>-1.2217251517752175</v>
      </c>
      <c r="L266">
        <v>1</v>
      </c>
      <c r="M266" t="e">
        <f t="shared" si="59"/>
        <v>#NUM!</v>
      </c>
      <c r="N266">
        <f t="shared" si="54"/>
        <v>0</v>
      </c>
      <c r="O266">
        <f t="shared" si="55"/>
        <v>0</v>
      </c>
      <c r="P266" t="e">
        <f t="shared" si="56"/>
        <v>#NUM!</v>
      </c>
    </row>
    <row r="267" spans="3:16">
      <c r="C267">
        <f t="shared" si="50"/>
        <v>0</v>
      </c>
      <c r="D267">
        <v>1.6E-2</v>
      </c>
      <c r="E267">
        <v>3.5999999999999999E-3</v>
      </c>
      <c r="F267">
        <f t="shared" si="57"/>
        <v>0</v>
      </c>
      <c r="G267">
        <f t="shared" si="51"/>
        <v>0</v>
      </c>
      <c r="H267">
        <f t="shared" si="52"/>
        <v>0</v>
      </c>
      <c r="I267">
        <v>1</v>
      </c>
      <c r="J267" t="e">
        <f t="shared" si="58"/>
        <v>#NUM!</v>
      </c>
      <c r="K267">
        <f t="shared" si="53"/>
        <v>-1.2217251517752175</v>
      </c>
      <c r="L267">
        <v>1</v>
      </c>
      <c r="M267" t="e">
        <f t="shared" si="59"/>
        <v>#NUM!</v>
      </c>
      <c r="N267">
        <f t="shared" si="54"/>
        <v>0</v>
      </c>
      <c r="O267">
        <f t="shared" si="55"/>
        <v>0</v>
      </c>
      <c r="P267" t="e">
        <f t="shared" si="56"/>
        <v>#NUM!</v>
      </c>
    </row>
    <row r="268" spans="3:16">
      <c r="C268">
        <f t="shared" si="50"/>
        <v>0</v>
      </c>
      <c r="D268">
        <v>1.6E-2</v>
      </c>
      <c r="E268">
        <v>3.5999999999999999E-3</v>
      </c>
      <c r="F268">
        <f t="shared" si="57"/>
        <v>0</v>
      </c>
      <c r="G268">
        <f t="shared" si="51"/>
        <v>0</v>
      </c>
      <c r="H268">
        <f t="shared" si="52"/>
        <v>0</v>
      </c>
      <c r="I268">
        <v>1</v>
      </c>
      <c r="J268" t="e">
        <f t="shared" si="58"/>
        <v>#NUM!</v>
      </c>
      <c r="K268">
        <f t="shared" si="53"/>
        <v>-1.2217251517752175</v>
      </c>
      <c r="L268">
        <v>1</v>
      </c>
      <c r="M268" t="e">
        <f t="shared" si="59"/>
        <v>#NUM!</v>
      </c>
      <c r="N268">
        <f t="shared" si="54"/>
        <v>0</v>
      </c>
      <c r="O268">
        <f t="shared" si="55"/>
        <v>0</v>
      </c>
      <c r="P268" t="e">
        <f t="shared" si="56"/>
        <v>#NUM!</v>
      </c>
    </row>
    <row r="269" spans="3:16">
      <c r="C269">
        <f t="shared" si="50"/>
        <v>0</v>
      </c>
      <c r="D269">
        <v>1.6E-2</v>
      </c>
      <c r="E269">
        <v>3.5999999999999999E-3</v>
      </c>
      <c r="F269">
        <f t="shared" si="57"/>
        <v>0</v>
      </c>
      <c r="G269">
        <f t="shared" si="51"/>
        <v>0</v>
      </c>
      <c r="H269">
        <f t="shared" si="52"/>
        <v>0</v>
      </c>
      <c r="I269">
        <v>1</v>
      </c>
      <c r="J269" t="e">
        <f t="shared" si="58"/>
        <v>#NUM!</v>
      </c>
      <c r="K269">
        <f t="shared" si="53"/>
        <v>-1.2217251517752175</v>
      </c>
      <c r="L269">
        <v>1</v>
      </c>
      <c r="M269" t="e">
        <f t="shared" si="59"/>
        <v>#NUM!</v>
      </c>
      <c r="N269">
        <f t="shared" si="54"/>
        <v>0</v>
      </c>
      <c r="O269">
        <f t="shared" si="55"/>
        <v>0</v>
      </c>
      <c r="P269" t="e">
        <f t="shared" si="56"/>
        <v>#NUM!</v>
      </c>
    </row>
    <row r="270" spans="3:16">
      <c r="C270">
        <f t="shared" si="50"/>
        <v>0</v>
      </c>
      <c r="D270">
        <v>1.6E-2</v>
      </c>
      <c r="E270">
        <v>3.5999999999999999E-3</v>
      </c>
      <c r="F270">
        <f t="shared" si="57"/>
        <v>0</v>
      </c>
      <c r="G270">
        <f t="shared" si="51"/>
        <v>0</v>
      </c>
      <c r="H270">
        <f t="shared" si="52"/>
        <v>0</v>
      </c>
      <c r="I270">
        <v>1</v>
      </c>
      <c r="J270" t="e">
        <f t="shared" si="58"/>
        <v>#NUM!</v>
      </c>
      <c r="K270">
        <f t="shared" si="53"/>
        <v>-1.2217251517752175</v>
      </c>
      <c r="L270">
        <v>1</v>
      </c>
      <c r="M270" t="e">
        <f t="shared" si="59"/>
        <v>#NUM!</v>
      </c>
      <c r="N270">
        <f t="shared" si="54"/>
        <v>0</v>
      </c>
      <c r="O270">
        <f t="shared" si="55"/>
        <v>0</v>
      </c>
      <c r="P270" t="e">
        <f t="shared" si="56"/>
        <v>#NUM!</v>
      </c>
    </row>
    <row r="271" spans="3:16">
      <c r="C271">
        <f t="shared" si="50"/>
        <v>0</v>
      </c>
      <c r="D271">
        <v>1.6E-2</v>
      </c>
      <c r="E271">
        <v>3.5999999999999999E-3</v>
      </c>
      <c r="F271">
        <f t="shared" si="57"/>
        <v>0</v>
      </c>
      <c r="G271">
        <f t="shared" si="51"/>
        <v>0</v>
      </c>
      <c r="H271">
        <f t="shared" si="52"/>
        <v>0</v>
      </c>
      <c r="I271">
        <v>1</v>
      </c>
      <c r="J271" t="e">
        <f t="shared" si="58"/>
        <v>#NUM!</v>
      </c>
      <c r="K271">
        <f t="shared" si="53"/>
        <v>-1.2217251517752175</v>
      </c>
      <c r="L271">
        <v>1</v>
      </c>
      <c r="M271" t="e">
        <f t="shared" si="59"/>
        <v>#NUM!</v>
      </c>
      <c r="N271">
        <f t="shared" si="54"/>
        <v>0</v>
      </c>
      <c r="O271">
        <f t="shared" si="55"/>
        <v>0</v>
      </c>
      <c r="P271" t="e">
        <f t="shared" si="56"/>
        <v>#NUM!</v>
      </c>
    </row>
    <row r="272" spans="3:16">
      <c r="C272">
        <f t="shared" si="50"/>
        <v>0</v>
      </c>
      <c r="D272">
        <v>1.6E-2</v>
      </c>
      <c r="E272">
        <v>3.5999999999999999E-3</v>
      </c>
      <c r="F272">
        <f t="shared" si="57"/>
        <v>0</v>
      </c>
      <c r="G272">
        <f t="shared" si="51"/>
        <v>0</v>
      </c>
      <c r="H272">
        <f t="shared" si="52"/>
        <v>0</v>
      </c>
      <c r="I272">
        <v>1</v>
      </c>
      <c r="J272" t="e">
        <f t="shared" si="58"/>
        <v>#NUM!</v>
      </c>
      <c r="K272">
        <f t="shared" si="53"/>
        <v>-1.2217251517752175</v>
      </c>
      <c r="L272">
        <v>1</v>
      </c>
      <c r="M272" t="e">
        <f t="shared" si="59"/>
        <v>#NUM!</v>
      </c>
      <c r="N272">
        <f t="shared" si="54"/>
        <v>0</v>
      </c>
      <c r="O272">
        <f t="shared" si="55"/>
        <v>0</v>
      </c>
      <c r="P272" t="e">
        <f t="shared" si="56"/>
        <v>#NUM!</v>
      </c>
    </row>
    <row r="273" spans="3:16">
      <c r="C273">
        <f t="shared" si="50"/>
        <v>0</v>
      </c>
      <c r="D273">
        <v>1.6E-2</v>
      </c>
      <c r="E273">
        <v>3.5999999999999999E-3</v>
      </c>
      <c r="F273">
        <f t="shared" si="57"/>
        <v>0</v>
      </c>
      <c r="G273">
        <f t="shared" si="51"/>
        <v>0</v>
      </c>
      <c r="H273">
        <f t="shared" si="52"/>
        <v>0</v>
      </c>
      <c r="I273">
        <v>1</v>
      </c>
      <c r="J273" t="e">
        <f t="shared" si="58"/>
        <v>#NUM!</v>
      </c>
      <c r="K273">
        <f t="shared" si="53"/>
        <v>-1.2217251517752175</v>
      </c>
      <c r="L273">
        <v>1</v>
      </c>
      <c r="M273" t="e">
        <f t="shared" si="59"/>
        <v>#NUM!</v>
      </c>
      <c r="N273">
        <f t="shared" si="54"/>
        <v>0</v>
      </c>
      <c r="O273">
        <f t="shared" si="55"/>
        <v>0</v>
      </c>
      <c r="P273" t="e">
        <f t="shared" si="56"/>
        <v>#NUM!</v>
      </c>
    </row>
    <row r="274" spans="3:16">
      <c r="C274">
        <f t="shared" si="50"/>
        <v>0</v>
      </c>
      <c r="D274">
        <v>1.6E-2</v>
      </c>
      <c r="E274">
        <v>3.5999999999999999E-3</v>
      </c>
      <c r="F274">
        <f t="shared" si="57"/>
        <v>0</v>
      </c>
      <c r="G274">
        <f t="shared" si="51"/>
        <v>0</v>
      </c>
      <c r="H274">
        <f t="shared" si="52"/>
        <v>0</v>
      </c>
      <c r="I274">
        <v>1</v>
      </c>
      <c r="J274" t="e">
        <f t="shared" si="58"/>
        <v>#NUM!</v>
      </c>
      <c r="K274">
        <f t="shared" si="53"/>
        <v>-1.2217251517752175</v>
      </c>
      <c r="L274">
        <v>1</v>
      </c>
      <c r="M274" t="e">
        <f t="shared" si="59"/>
        <v>#NUM!</v>
      </c>
      <c r="N274">
        <f t="shared" si="54"/>
        <v>0</v>
      </c>
      <c r="O274">
        <f t="shared" si="55"/>
        <v>0</v>
      </c>
      <c r="P274" t="e">
        <f t="shared" si="56"/>
        <v>#NUM!</v>
      </c>
    </row>
    <row r="275" spans="3:16">
      <c r="C275">
        <f t="shared" si="50"/>
        <v>0</v>
      </c>
      <c r="D275">
        <v>1.6E-2</v>
      </c>
      <c r="E275">
        <v>3.5999999999999999E-3</v>
      </c>
      <c r="F275">
        <f t="shared" si="57"/>
        <v>0</v>
      </c>
      <c r="G275">
        <f t="shared" si="51"/>
        <v>0</v>
      </c>
      <c r="H275">
        <f t="shared" si="52"/>
        <v>0</v>
      </c>
      <c r="I275">
        <v>1</v>
      </c>
      <c r="J275" t="e">
        <f t="shared" si="58"/>
        <v>#NUM!</v>
      </c>
      <c r="K275">
        <f t="shared" si="53"/>
        <v>-1.2217251517752175</v>
      </c>
      <c r="L275">
        <v>1</v>
      </c>
      <c r="M275" t="e">
        <f t="shared" si="59"/>
        <v>#NUM!</v>
      </c>
      <c r="N275">
        <f t="shared" si="54"/>
        <v>0</v>
      </c>
      <c r="O275">
        <f t="shared" si="55"/>
        <v>0</v>
      </c>
      <c r="P275" t="e">
        <f t="shared" si="56"/>
        <v>#NUM!</v>
      </c>
    </row>
    <row r="276" spans="3:16">
      <c r="C276">
        <f t="shared" ref="C276:C303" si="60">A276*B276</f>
        <v>0</v>
      </c>
      <c r="D276">
        <v>1.6E-2</v>
      </c>
      <c r="E276">
        <v>3.5999999999999999E-3</v>
      </c>
      <c r="F276">
        <f t="shared" si="57"/>
        <v>0</v>
      </c>
      <c r="G276">
        <f t="shared" ref="G276:G303" si="61">-B276</f>
        <v>0</v>
      </c>
      <c r="H276">
        <f t="shared" ref="H276:H303" si="62">-C276*200</f>
        <v>0</v>
      </c>
      <c r="I276">
        <v>1</v>
      </c>
      <c r="J276" t="e">
        <f t="shared" si="58"/>
        <v>#NUM!</v>
      </c>
      <c r="K276">
        <f t="shared" ref="K276:K303" si="63">((-G276)-$N$2)</f>
        <v>-1.2217251517752175</v>
      </c>
      <c r="L276">
        <v>1</v>
      </c>
      <c r="M276" t="e">
        <f t="shared" si="59"/>
        <v>#NUM!</v>
      </c>
      <c r="N276">
        <f t="shared" ref="N276:N303" si="64">D276*A276</f>
        <v>0</v>
      </c>
      <c r="O276">
        <f t="shared" ref="O276:O303" si="65">E276*A276</f>
        <v>0</v>
      </c>
      <c r="P276" t="e">
        <f t="shared" ref="P276:P303" si="66">-K276-M276-N276-O276</f>
        <v>#NUM!</v>
      </c>
    </row>
    <row r="277" spans="3:16">
      <c r="C277">
        <f t="shared" si="60"/>
        <v>0</v>
      </c>
      <c r="D277">
        <v>1.6E-2</v>
      </c>
      <c r="E277">
        <v>3.5999999999999999E-3</v>
      </c>
      <c r="F277">
        <f t="shared" si="57"/>
        <v>0</v>
      </c>
      <c r="G277">
        <f t="shared" si="61"/>
        <v>0</v>
      </c>
      <c r="H277">
        <f t="shared" si="62"/>
        <v>0</v>
      </c>
      <c r="I277">
        <v>1</v>
      </c>
      <c r="J277" t="e">
        <f t="shared" si="58"/>
        <v>#NUM!</v>
      </c>
      <c r="K277">
        <f t="shared" si="63"/>
        <v>-1.2217251517752175</v>
      </c>
      <c r="L277">
        <v>1</v>
      </c>
      <c r="M277" t="e">
        <f t="shared" si="59"/>
        <v>#NUM!</v>
      </c>
      <c r="N277">
        <f t="shared" si="64"/>
        <v>0</v>
      </c>
      <c r="O277">
        <f t="shared" si="65"/>
        <v>0</v>
      </c>
      <c r="P277" t="e">
        <f t="shared" si="66"/>
        <v>#NUM!</v>
      </c>
    </row>
    <row r="278" spans="3:16">
      <c r="C278">
        <f t="shared" si="60"/>
        <v>0</v>
      </c>
      <c r="D278">
        <v>1.6E-2</v>
      </c>
      <c r="E278">
        <v>3.5999999999999999E-3</v>
      </c>
      <c r="F278">
        <f t="shared" si="57"/>
        <v>0</v>
      </c>
      <c r="G278">
        <f t="shared" si="61"/>
        <v>0</v>
      </c>
      <c r="H278">
        <f t="shared" si="62"/>
        <v>0</v>
      </c>
      <c r="I278">
        <v>1</v>
      </c>
      <c r="J278" t="e">
        <f t="shared" si="58"/>
        <v>#NUM!</v>
      </c>
      <c r="K278">
        <f t="shared" si="63"/>
        <v>-1.2217251517752175</v>
      </c>
      <c r="L278">
        <v>1</v>
      </c>
      <c r="M278" t="e">
        <f t="shared" si="59"/>
        <v>#NUM!</v>
      </c>
      <c r="N278">
        <f t="shared" si="64"/>
        <v>0</v>
      </c>
      <c r="O278">
        <f t="shared" si="65"/>
        <v>0</v>
      </c>
      <c r="P278" t="e">
        <f t="shared" si="66"/>
        <v>#NUM!</v>
      </c>
    </row>
    <row r="279" spans="3:16">
      <c r="C279">
        <f t="shared" si="60"/>
        <v>0</v>
      </c>
      <c r="D279">
        <v>1.6E-2</v>
      </c>
      <c r="E279">
        <v>3.5999999999999999E-3</v>
      </c>
      <c r="F279">
        <f t="shared" si="57"/>
        <v>0</v>
      </c>
      <c r="G279">
        <f t="shared" si="61"/>
        <v>0</v>
      </c>
      <c r="H279">
        <f t="shared" si="62"/>
        <v>0</v>
      </c>
      <c r="I279">
        <v>1</v>
      </c>
      <c r="J279" t="e">
        <f t="shared" si="58"/>
        <v>#NUM!</v>
      </c>
      <c r="K279">
        <f t="shared" si="63"/>
        <v>-1.2217251517752175</v>
      </c>
      <c r="L279">
        <v>1</v>
      </c>
      <c r="M279" t="e">
        <f t="shared" si="59"/>
        <v>#NUM!</v>
      </c>
      <c r="N279">
        <f t="shared" si="64"/>
        <v>0</v>
      </c>
      <c r="O279">
        <f t="shared" si="65"/>
        <v>0</v>
      </c>
      <c r="P279" t="e">
        <f t="shared" si="66"/>
        <v>#NUM!</v>
      </c>
    </row>
    <row r="280" spans="3:16">
      <c r="C280">
        <f t="shared" si="60"/>
        <v>0</v>
      </c>
      <c r="D280">
        <v>1.6E-2</v>
      </c>
      <c r="E280">
        <v>3.5999999999999999E-3</v>
      </c>
      <c r="F280">
        <f t="shared" si="57"/>
        <v>0</v>
      </c>
      <c r="G280">
        <f t="shared" si="61"/>
        <v>0</v>
      </c>
      <c r="H280">
        <f t="shared" si="62"/>
        <v>0</v>
      </c>
      <c r="I280">
        <v>1</v>
      </c>
      <c r="J280" t="e">
        <f t="shared" si="58"/>
        <v>#NUM!</v>
      </c>
      <c r="K280">
        <f t="shared" si="63"/>
        <v>-1.2217251517752175</v>
      </c>
      <c r="L280">
        <v>1</v>
      </c>
      <c r="M280" t="e">
        <f t="shared" si="59"/>
        <v>#NUM!</v>
      </c>
      <c r="N280">
        <f t="shared" si="64"/>
        <v>0</v>
      </c>
      <c r="O280">
        <f t="shared" si="65"/>
        <v>0</v>
      </c>
      <c r="P280" t="e">
        <f t="shared" si="66"/>
        <v>#NUM!</v>
      </c>
    </row>
    <row r="281" spans="3:16">
      <c r="C281">
        <f t="shared" si="60"/>
        <v>0</v>
      </c>
      <c r="D281">
        <v>1.6E-2</v>
      </c>
      <c r="E281">
        <v>3.5999999999999999E-3</v>
      </c>
      <c r="F281">
        <f t="shared" si="57"/>
        <v>0</v>
      </c>
      <c r="G281">
        <f t="shared" si="61"/>
        <v>0</v>
      </c>
      <c r="H281">
        <f t="shared" si="62"/>
        <v>0</v>
      </c>
      <c r="I281">
        <v>1</v>
      </c>
      <c r="J281" t="e">
        <f t="shared" si="58"/>
        <v>#NUM!</v>
      </c>
      <c r="K281">
        <f t="shared" si="63"/>
        <v>-1.2217251517752175</v>
      </c>
      <c r="L281">
        <v>1</v>
      </c>
      <c r="M281" t="e">
        <f t="shared" si="59"/>
        <v>#NUM!</v>
      </c>
      <c r="N281">
        <f t="shared" si="64"/>
        <v>0</v>
      </c>
      <c r="O281">
        <f t="shared" si="65"/>
        <v>0</v>
      </c>
      <c r="P281" t="e">
        <f t="shared" si="66"/>
        <v>#NUM!</v>
      </c>
    </row>
    <row r="282" spans="3:16">
      <c r="C282">
        <f t="shared" si="60"/>
        <v>0</v>
      </c>
      <c r="D282">
        <v>1.6E-2</v>
      </c>
      <c r="E282">
        <v>3.5999999999999999E-3</v>
      </c>
      <c r="F282">
        <f t="shared" si="57"/>
        <v>0</v>
      </c>
      <c r="G282">
        <f t="shared" si="61"/>
        <v>0</v>
      </c>
      <c r="H282">
        <f t="shared" si="62"/>
        <v>0</v>
      </c>
      <c r="I282">
        <v>1</v>
      </c>
      <c r="J282" t="e">
        <f t="shared" si="58"/>
        <v>#NUM!</v>
      </c>
      <c r="K282">
        <f t="shared" si="63"/>
        <v>-1.2217251517752175</v>
      </c>
      <c r="L282">
        <v>1</v>
      </c>
      <c r="M282" t="e">
        <f t="shared" si="59"/>
        <v>#NUM!</v>
      </c>
      <c r="N282">
        <f t="shared" si="64"/>
        <v>0</v>
      </c>
      <c r="O282">
        <f t="shared" si="65"/>
        <v>0</v>
      </c>
      <c r="P282" t="e">
        <f t="shared" si="66"/>
        <v>#NUM!</v>
      </c>
    </row>
    <row r="283" spans="3:16">
      <c r="C283">
        <f t="shared" si="60"/>
        <v>0</v>
      </c>
      <c r="D283">
        <v>1.6E-2</v>
      </c>
      <c r="E283">
        <v>3.5999999999999999E-3</v>
      </c>
      <c r="F283">
        <f t="shared" si="57"/>
        <v>0</v>
      </c>
      <c r="G283">
        <f t="shared" si="61"/>
        <v>0</v>
      </c>
      <c r="H283">
        <f t="shared" si="62"/>
        <v>0</v>
      </c>
      <c r="I283">
        <v>1</v>
      </c>
      <c r="J283" t="e">
        <f t="shared" si="58"/>
        <v>#NUM!</v>
      </c>
      <c r="K283">
        <f t="shared" si="63"/>
        <v>-1.2217251517752175</v>
      </c>
      <c r="L283">
        <v>1</v>
      </c>
      <c r="M283" t="e">
        <f t="shared" si="59"/>
        <v>#NUM!</v>
      </c>
      <c r="N283">
        <f t="shared" si="64"/>
        <v>0</v>
      </c>
      <c r="O283">
        <f t="shared" si="65"/>
        <v>0</v>
      </c>
      <c r="P283" t="e">
        <f t="shared" si="66"/>
        <v>#NUM!</v>
      </c>
    </row>
    <row r="284" spans="3:16">
      <c r="C284">
        <f t="shared" si="60"/>
        <v>0</v>
      </c>
      <c r="D284">
        <v>1.6E-2</v>
      </c>
      <c r="E284">
        <v>3.5999999999999999E-3</v>
      </c>
      <c r="F284">
        <f t="shared" si="57"/>
        <v>0</v>
      </c>
      <c r="G284">
        <f t="shared" si="61"/>
        <v>0</v>
      </c>
      <c r="H284">
        <f t="shared" si="62"/>
        <v>0</v>
      </c>
      <c r="I284">
        <v>1</v>
      </c>
      <c r="J284" t="e">
        <f t="shared" si="58"/>
        <v>#NUM!</v>
      </c>
      <c r="K284">
        <f t="shared" si="63"/>
        <v>-1.2217251517752175</v>
      </c>
      <c r="L284">
        <v>1</v>
      </c>
      <c r="M284" t="e">
        <f t="shared" si="59"/>
        <v>#NUM!</v>
      </c>
      <c r="N284">
        <f t="shared" si="64"/>
        <v>0</v>
      </c>
      <c r="O284">
        <f t="shared" si="65"/>
        <v>0</v>
      </c>
      <c r="P284" t="e">
        <f t="shared" si="66"/>
        <v>#NUM!</v>
      </c>
    </row>
    <row r="285" spans="3:16">
      <c r="C285">
        <f t="shared" si="60"/>
        <v>0</v>
      </c>
      <c r="D285">
        <v>1.6E-2</v>
      </c>
      <c r="E285">
        <v>3.5999999999999999E-3</v>
      </c>
      <c r="F285">
        <f t="shared" si="57"/>
        <v>0</v>
      </c>
      <c r="G285">
        <f t="shared" si="61"/>
        <v>0</v>
      </c>
      <c r="H285">
        <f t="shared" si="62"/>
        <v>0</v>
      </c>
      <c r="I285">
        <v>1</v>
      </c>
      <c r="J285" t="e">
        <f t="shared" si="58"/>
        <v>#NUM!</v>
      </c>
      <c r="K285">
        <f t="shared" si="63"/>
        <v>-1.2217251517752175</v>
      </c>
      <c r="L285">
        <v>1</v>
      </c>
      <c r="M285" t="e">
        <f t="shared" si="59"/>
        <v>#NUM!</v>
      </c>
      <c r="N285">
        <f t="shared" si="64"/>
        <v>0</v>
      </c>
      <c r="O285">
        <f t="shared" si="65"/>
        <v>0</v>
      </c>
      <c r="P285" t="e">
        <f t="shared" si="66"/>
        <v>#NUM!</v>
      </c>
    </row>
    <row r="286" spans="3:16">
      <c r="C286">
        <f t="shared" si="60"/>
        <v>0</v>
      </c>
      <c r="D286">
        <v>1.6E-2</v>
      </c>
      <c r="E286">
        <v>3.5999999999999999E-3</v>
      </c>
      <c r="F286">
        <f t="shared" si="57"/>
        <v>0</v>
      </c>
      <c r="G286">
        <f t="shared" si="61"/>
        <v>0</v>
      </c>
      <c r="H286">
        <f t="shared" si="62"/>
        <v>0</v>
      </c>
      <c r="I286">
        <v>1</v>
      </c>
      <c r="J286" t="e">
        <f t="shared" si="58"/>
        <v>#NUM!</v>
      </c>
      <c r="K286">
        <f t="shared" si="63"/>
        <v>-1.2217251517752175</v>
      </c>
      <c r="L286">
        <v>1</v>
      </c>
      <c r="M286" t="e">
        <f t="shared" si="59"/>
        <v>#NUM!</v>
      </c>
      <c r="N286">
        <f t="shared" si="64"/>
        <v>0</v>
      </c>
      <c r="O286">
        <f t="shared" si="65"/>
        <v>0</v>
      </c>
      <c r="P286" t="e">
        <f t="shared" si="66"/>
        <v>#NUM!</v>
      </c>
    </row>
    <row r="287" spans="3:16">
      <c r="C287">
        <f t="shared" si="60"/>
        <v>0</v>
      </c>
      <c r="D287">
        <v>1.6E-2</v>
      </c>
      <c r="E287">
        <v>3.5999999999999999E-3</v>
      </c>
      <c r="F287">
        <f t="shared" si="57"/>
        <v>0</v>
      </c>
      <c r="G287">
        <f t="shared" si="61"/>
        <v>0</v>
      </c>
      <c r="H287">
        <f t="shared" si="62"/>
        <v>0</v>
      </c>
      <c r="I287">
        <v>1</v>
      </c>
      <c r="J287" t="e">
        <f t="shared" si="58"/>
        <v>#NUM!</v>
      </c>
      <c r="K287">
        <f t="shared" si="63"/>
        <v>-1.2217251517752175</v>
      </c>
      <c r="L287">
        <v>1</v>
      </c>
      <c r="M287" t="e">
        <f t="shared" si="59"/>
        <v>#NUM!</v>
      </c>
      <c r="N287">
        <f t="shared" si="64"/>
        <v>0</v>
      </c>
      <c r="O287">
        <f t="shared" si="65"/>
        <v>0</v>
      </c>
      <c r="P287" t="e">
        <f t="shared" si="66"/>
        <v>#NUM!</v>
      </c>
    </row>
    <row r="288" spans="3:16">
      <c r="C288">
        <f t="shared" si="60"/>
        <v>0</v>
      </c>
      <c r="D288">
        <v>1.6E-2</v>
      </c>
      <c r="E288">
        <v>3.5999999999999999E-3</v>
      </c>
      <c r="F288">
        <f t="shared" si="57"/>
        <v>0</v>
      </c>
      <c r="G288">
        <f t="shared" si="61"/>
        <v>0</v>
      </c>
      <c r="H288">
        <f t="shared" si="62"/>
        <v>0</v>
      </c>
      <c r="I288">
        <v>1</v>
      </c>
      <c r="J288" t="e">
        <f t="shared" si="58"/>
        <v>#NUM!</v>
      </c>
      <c r="K288">
        <f t="shared" si="63"/>
        <v>-1.2217251517752175</v>
      </c>
      <c r="L288">
        <v>1</v>
      </c>
      <c r="M288" t="e">
        <f t="shared" si="59"/>
        <v>#NUM!</v>
      </c>
      <c r="N288">
        <f t="shared" si="64"/>
        <v>0</v>
      </c>
      <c r="O288">
        <f t="shared" si="65"/>
        <v>0</v>
      </c>
      <c r="P288" t="e">
        <f t="shared" si="66"/>
        <v>#NUM!</v>
      </c>
    </row>
    <row r="289" spans="3:16">
      <c r="C289">
        <f t="shared" si="60"/>
        <v>0</v>
      </c>
      <c r="D289">
        <v>1.6E-2</v>
      </c>
      <c r="E289">
        <v>3.5999999999999999E-3</v>
      </c>
      <c r="F289">
        <f t="shared" si="57"/>
        <v>0</v>
      </c>
      <c r="G289">
        <f t="shared" si="61"/>
        <v>0</v>
      </c>
      <c r="H289">
        <f t="shared" si="62"/>
        <v>0</v>
      </c>
      <c r="I289">
        <v>1</v>
      </c>
      <c r="J289" t="e">
        <f t="shared" si="58"/>
        <v>#NUM!</v>
      </c>
      <c r="K289">
        <f t="shared" si="63"/>
        <v>-1.2217251517752175</v>
      </c>
      <c r="L289">
        <v>1</v>
      </c>
      <c r="M289" t="e">
        <f t="shared" si="59"/>
        <v>#NUM!</v>
      </c>
      <c r="N289">
        <f t="shared" si="64"/>
        <v>0</v>
      </c>
      <c r="O289">
        <f t="shared" si="65"/>
        <v>0</v>
      </c>
      <c r="P289" t="e">
        <f t="shared" si="66"/>
        <v>#NUM!</v>
      </c>
    </row>
    <row r="290" spans="3:16">
      <c r="C290">
        <f t="shared" si="60"/>
        <v>0</v>
      </c>
      <c r="D290">
        <v>1.6E-2</v>
      </c>
      <c r="E290">
        <v>3.5999999999999999E-3</v>
      </c>
      <c r="F290">
        <f t="shared" si="57"/>
        <v>0</v>
      </c>
      <c r="G290">
        <f t="shared" si="61"/>
        <v>0</v>
      </c>
      <c r="H290">
        <f t="shared" si="62"/>
        <v>0</v>
      </c>
      <c r="I290">
        <v>1</v>
      </c>
      <c r="J290" t="e">
        <f t="shared" si="58"/>
        <v>#NUM!</v>
      </c>
      <c r="K290">
        <f t="shared" si="63"/>
        <v>-1.2217251517752175</v>
      </c>
      <c r="L290">
        <v>1</v>
      </c>
      <c r="M290" t="e">
        <f t="shared" si="59"/>
        <v>#NUM!</v>
      </c>
      <c r="N290">
        <f t="shared" si="64"/>
        <v>0</v>
      </c>
      <c r="O290">
        <f t="shared" si="65"/>
        <v>0</v>
      </c>
      <c r="P290" t="e">
        <f t="shared" si="66"/>
        <v>#NUM!</v>
      </c>
    </row>
    <row r="291" spans="3:16">
      <c r="C291">
        <f t="shared" si="60"/>
        <v>0</v>
      </c>
      <c r="D291">
        <v>1.6E-2</v>
      </c>
      <c r="E291">
        <v>3.5999999999999999E-3</v>
      </c>
      <c r="F291">
        <f t="shared" si="57"/>
        <v>0</v>
      </c>
      <c r="G291">
        <f t="shared" si="61"/>
        <v>0</v>
      </c>
      <c r="H291">
        <f t="shared" si="62"/>
        <v>0</v>
      </c>
      <c r="I291">
        <v>1</v>
      </c>
      <c r="J291" t="e">
        <f t="shared" si="58"/>
        <v>#NUM!</v>
      </c>
      <c r="K291">
        <f t="shared" si="63"/>
        <v>-1.2217251517752175</v>
      </c>
      <c r="L291">
        <v>1</v>
      </c>
      <c r="M291" t="e">
        <f t="shared" si="59"/>
        <v>#NUM!</v>
      </c>
      <c r="N291">
        <f t="shared" si="64"/>
        <v>0</v>
      </c>
      <c r="O291">
        <f t="shared" si="65"/>
        <v>0</v>
      </c>
      <c r="P291" t="e">
        <f t="shared" si="66"/>
        <v>#NUM!</v>
      </c>
    </row>
    <row r="292" spans="3:16">
      <c r="C292">
        <f t="shared" si="60"/>
        <v>0</v>
      </c>
      <c r="D292">
        <v>1.6E-2</v>
      </c>
      <c r="E292">
        <v>3.5999999999999999E-3</v>
      </c>
      <c r="F292">
        <f t="shared" si="57"/>
        <v>0</v>
      </c>
      <c r="G292">
        <f t="shared" si="61"/>
        <v>0</v>
      </c>
      <c r="H292">
        <f t="shared" si="62"/>
        <v>0</v>
      </c>
      <c r="I292">
        <v>1</v>
      </c>
      <c r="J292" t="e">
        <f t="shared" si="58"/>
        <v>#NUM!</v>
      </c>
      <c r="K292">
        <f t="shared" si="63"/>
        <v>-1.2217251517752175</v>
      </c>
      <c r="L292">
        <v>1</v>
      </c>
      <c r="M292" t="e">
        <f t="shared" si="59"/>
        <v>#NUM!</v>
      </c>
      <c r="N292">
        <f t="shared" si="64"/>
        <v>0</v>
      </c>
      <c r="O292">
        <f t="shared" si="65"/>
        <v>0</v>
      </c>
      <c r="P292" t="e">
        <f t="shared" si="66"/>
        <v>#NUM!</v>
      </c>
    </row>
    <row r="293" spans="3:16">
      <c r="C293">
        <f t="shared" si="60"/>
        <v>0</v>
      </c>
      <c r="D293">
        <v>1.6E-2</v>
      </c>
      <c r="E293">
        <v>3.5999999999999999E-3</v>
      </c>
      <c r="F293">
        <f t="shared" si="57"/>
        <v>0</v>
      </c>
      <c r="G293">
        <f t="shared" si="61"/>
        <v>0</v>
      </c>
      <c r="H293">
        <f t="shared" si="62"/>
        <v>0</v>
      </c>
      <c r="I293">
        <v>1</v>
      </c>
      <c r="J293" t="e">
        <f t="shared" si="58"/>
        <v>#NUM!</v>
      </c>
      <c r="K293">
        <f t="shared" si="63"/>
        <v>-1.2217251517752175</v>
      </c>
      <c r="L293">
        <v>1</v>
      </c>
      <c r="M293" t="e">
        <f t="shared" si="59"/>
        <v>#NUM!</v>
      </c>
      <c r="N293">
        <f t="shared" si="64"/>
        <v>0</v>
      </c>
      <c r="O293">
        <f t="shared" si="65"/>
        <v>0</v>
      </c>
      <c r="P293" t="e">
        <f t="shared" si="66"/>
        <v>#NUM!</v>
      </c>
    </row>
    <row r="294" spans="3:16">
      <c r="C294">
        <f t="shared" si="60"/>
        <v>0</v>
      </c>
      <c r="D294">
        <v>1.6E-2</v>
      </c>
      <c r="E294">
        <v>3.5999999999999999E-3</v>
      </c>
      <c r="F294">
        <f t="shared" si="57"/>
        <v>0</v>
      </c>
      <c r="G294">
        <f t="shared" si="61"/>
        <v>0</v>
      </c>
      <c r="H294">
        <f t="shared" si="62"/>
        <v>0</v>
      </c>
      <c r="I294">
        <v>1</v>
      </c>
      <c r="J294" t="e">
        <f t="shared" si="58"/>
        <v>#NUM!</v>
      </c>
      <c r="K294">
        <f t="shared" si="63"/>
        <v>-1.2217251517752175</v>
      </c>
      <c r="L294">
        <v>1</v>
      </c>
      <c r="M294" t="e">
        <f t="shared" si="59"/>
        <v>#NUM!</v>
      </c>
      <c r="N294">
        <f t="shared" si="64"/>
        <v>0</v>
      </c>
      <c r="O294">
        <f t="shared" si="65"/>
        <v>0</v>
      </c>
      <c r="P294" t="e">
        <f t="shared" si="66"/>
        <v>#NUM!</v>
      </c>
    </row>
    <row r="295" spans="3:16">
      <c r="C295">
        <f t="shared" si="60"/>
        <v>0</v>
      </c>
      <c r="D295">
        <v>1.6E-2</v>
      </c>
      <c r="E295">
        <v>3.5999999999999999E-3</v>
      </c>
      <c r="F295">
        <f t="shared" si="57"/>
        <v>0</v>
      </c>
      <c r="G295">
        <f t="shared" si="61"/>
        <v>0</v>
      </c>
      <c r="H295">
        <f t="shared" si="62"/>
        <v>0</v>
      </c>
      <c r="I295">
        <v>1</v>
      </c>
      <c r="J295" t="e">
        <f t="shared" si="58"/>
        <v>#NUM!</v>
      </c>
      <c r="K295">
        <f t="shared" si="63"/>
        <v>-1.2217251517752175</v>
      </c>
      <c r="L295">
        <v>1</v>
      </c>
      <c r="M295" t="e">
        <f t="shared" si="59"/>
        <v>#NUM!</v>
      </c>
      <c r="N295">
        <f t="shared" si="64"/>
        <v>0</v>
      </c>
      <c r="O295">
        <f t="shared" si="65"/>
        <v>0</v>
      </c>
      <c r="P295" t="e">
        <f t="shared" si="66"/>
        <v>#NUM!</v>
      </c>
    </row>
    <row r="296" spans="3:16">
      <c r="C296">
        <f t="shared" si="60"/>
        <v>0</v>
      </c>
      <c r="D296">
        <v>1.6E-2</v>
      </c>
      <c r="E296">
        <v>3.5999999999999999E-3</v>
      </c>
      <c r="F296">
        <f t="shared" si="57"/>
        <v>0</v>
      </c>
      <c r="G296">
        <f t="shared" si="61"/>
        <v>0</v>
      </c>
      <c r="H296">
        <f t="shared" si="62"/>
        <v>0</v>
      </c>
      <c r="I296">
        <v>1</v>
      </c>
      <c r="J296" t="e">
        <f t="shared" si="58"/>
        <v>#NUM!</v>
      </c>
      <c r="K296">
        <f t="shared" si="63"/>
        <v>-1.2217251517752175</v>
      </c>
      <c r="L296">
        <v>1</v>
      </c>
      <c r="M296" t="e">
        <f t="shared" si="59"/>
        <v>#NUM!</v>
      </c>
      <c r="N296">
        <f t="shared" si="64"/>
        <v>0</v>
      </c>
      <c r="O296">
        <f t="shared" si="65"/>
        <v>0</v>
      </c>
      <c r="P296" t="e">
        <f t="shared" si="66"/>
        <v>#NUM!</v>
      </c>
    </row>
    <row r="297" spans="3:16">
      <c r="C297">
        <f t="shared" si="60"/>
        <v>0</v>
      </c>
      <c r="D297">
        <v>1.6E-2</v>
      </c>
      <c r="E297">
        <v>3.5999999999999999E-3</v>
      </c>
      <c r="F297">
        <f t="shared" si="57"/>
        <v>0</v>
      </c>
      <c r="G297">
        <f t="shared" si="61"/>
        <v>0</v>
      </c>
      <c r="H297">
        <f t="shared" si="62"/>
        <v>0</v>
      </c>
      <c r="I297">
        <v>1</v>
      </c>
      <c r="J297" t="e">
        <f t="shared" si="58"/>
        <v>#NUM!</v>
      </c>
      <c r="K297">
        <f t="shared" si="63"/>
        <v>-1.2217251517752175</v>
      </c>
      <c r="L297">
        <v>1</v>
      </c>
      <c r="M297" t="e">
        <f t="shared" si="59"/>
        <v>#NUM!</v>
      </c>
      <c r="N297">
        <f t="shared" si="64"/>
        <v>0</v>
      </c>
      <c r="O297">
        <f t="shared" si="65"/>
        <v>0</v>
      </c>
      <c r="P297" t="e">
        <f t="shared" si="66"/>
        <v>#NUM!</v>
      </c>
    </row>
    <row r="298" spans="3:16">
      <c r="C298">
        <f t="shared" si="60"/>
        <v>0</v>
      </c>
      <c r="D298">
        <v>1.6E-2</v>
      </c>
      <c r="E298">
        <v>3.5999999999999999E-3</v>
      </c>
      <c r="F298">
        <f t="shared" si="57"/>
        <v>0</v>
      </c>
      <c r="G298">
        <f t="shared" si="61"/>
        <v>0</v>
      </c>
      <c r="H298">
        <f t="shared" si="62"/>
        <v>0</v>
      </c>
      <c r="I298">
        <v>1</v>
      </c>
      <c r="J298" t="e">
        <f t="shared" si="58"/>
        <v>#NUM!</v>
      </c>
      <c r="K298">
        <f t="shared" si="63"/>
        <v>-1.2217251517752175</v>
      </c>
      <c r="L298">
        <v>1</v>
      </c>
      <c r="M298" t="e">
        <f t="shared" si="59"/>
        <v>#NUM!</v>
      </c>
      <c r="N298">
        <f t="shared" si="64"/>
        <v>0</v>
      </c>
      <c r="O298">
        <f t="shared" si="65"/>
        <v>0</v>
      </c>
      <c r="P298" t="e">
        <f t="shared" si="66"/>
        <v>#NUM!</v>
      </c>
    </row>
    <row r="299" spans="3:16">
      <c r="C299">
        <f t="shared" si="60"/>
        <v>0</v>
      </c>
      <c r="D299">
        <v>1.6E-2</v>
      </c>
      <c r="E299">
        <v>3.5999999999999999E-3</v>
      </c>
      <c r="F299">
        <f t="shared" si="57"/>
        <v>0</v>
      </c>
      <c r="G299">
        <f t="shared" si="61"/>
        <v>0</v>
      </c>
      <c r="H299">
        <f t="shared" si="62"/>
        <v>0</v>
      </c>
      <c r="I299">
        <v>1</v>
      </c>
      <c r="J299" t="e">
        <f t="shared" si="58"/>
        <v>#NUM!</v>
      </c>
      <c r="K299">
        <f t="shared" si="63"/>
        <v>-1.2217251517752175</v>
      </c>
      <c r="L299">
        <v>1</v>
      </c>
      <c r="M299" t="e">
        <f t="shared" si="59"/>
        <v>#NUM!</v>
      </c>
      <c r="N299">
        <f t="shared" si="64"/>
        <v>0</v>
      </c>
      <c r="O299">
        <f t="shared" si="65"/>
        <v>0</v>
      </c>
      <c r="P299" t="e">
        <f t="shared" si="66"/>
        <v>#NUM!</v>
      </c>
    </row>
    <row r="300" spans="3:16">
      <c r="C300">
        <f t="shared" si="60"/>
        <v>0</v>
      </c>
      <c r="D300">
        <v>1.6E-2</v>
      </c>
      <c r="E300">
        <v>3.5999999999999999E-3</v>
      </c>
      <c r="F300">
        <f t="shared" si="57"/>
        <v>0</v>
      </c>
      <c r="G300">
        <f t="shared" si="61"/>
        <v>0</v>
      </c>
      <c r="H300">
        <f t="shared" si="62"/>
        <v>0</v>
      </c>
      <c r="I300">
        <v>1</v>
      </c>
      <c r="J300" t="e">
        <f t="shared" si="58"/>
        <v>#NUM!</v>
      </c>
      <c r="K300">
        <f t="shared" si="63"/>
        <v>-1.2217251517752175</v>
      </c>
      <c r="L300">
        <v>1</v>
      </c>
      <c r="M300" t="e">
        <f t="shared" si="59"/>
        <v>#NUM!</v>
      </c>
      <c r="N300">
        <f t="shared" si="64"/>
        <v>0</v>
      </c>
      <c r="O300">
        <f t="shared" si="65"/>
        <v>0</v>
      </c>
      <c r="P300" t="e">
        <f t="shared" si="66"/>
        <v>#NUM!</v>
      </c>
    </row>
    <row r="301" spans="3:16">
      <c r="C301">
        <f t="shared" si="60"/>
        <v>0</v>
      </c>
      <c r="D301">
        <v>1.6E-2</v>
      </c>
      <c r="E301">
        <v>3.5999999999999999E-3</v>
      </c>
      <c r="F301">
        <f t="shared" si="57"/>
        <v>0</v>
      </c>
      <c r="G301">
        <f t="shared" si="61"/>
        <v>0</v>
      </c>
      <c r="H301">
        <f t="shared" si="62"/>
        <v>0</v>
      </c>
      <c r="I301">
        <v>1</v>
      </c>
      <c r="J301" t="e">
        <f t="shared" si="58"/>
        <v>#NUM!</v>
      </c>
      <c r="K301">
        <f t="shared" si="63"/>
        <v>-1.2217251517752175</v>
      </c>
      <c r="L301">
        <v>1</v>
      </c>
      <c r="M301" t="e">
        <f t="shared" si="59"/>
        <v>#NUM!</v>
      </c>
      <c r="N301">
        <f t="shared" si="64"/>
        <v>0</v>
      </c>
      <c r="O301">
        <f t="shared" si="65"/>
        <v>0</v>
      </c>
      <c r="P301" t="e">
        <f t="shared" si="66"/>
        <v>#NUM!</v>
      </c>
    </row>
    <row r="302" spans="3:16">
      <c r="C302">
        <f t="shared" si="60"/>
        <v>0</v>
      </c>
      <c r="D302">
        <v>1.6E-2</v>
      </c>
      <c r="E302">
        <v>3.5999999999999999E-3</v>
      </c>
      <c r="F302">
        <f t="shared" si="57"/>
        <v>0</v>
      </c>
      <c r="G302">
        <f t="shared" si="61"/>
        <v>0</v>
      </c>
      <c r="H302">
        <f t="shared" si="62"/>
        <v>0</v>
      </c>
      <c r="I302">
        <v>1</v>
      </c>
      <c r="J302" t="e">
        <f t="shared" si="58"/>
        <v>#NUM!</v>
      </c>
      <c r="K302">
        <f t="shared" si="63"/>
        <v>-1.2217251517752175</v>
      </c>
      <c r="L302">
        <v>1</v>
      </c>
      <c r="M302" t="e">
        <f t="shared" si="59"/>
        <v>#NUM!</v>
      </c>
      <c r="N302">
        <f t="shared" si="64"/>
        <v>0</v>
      </c>
      <c r="O302">
        <f t="shared" si="65"/>
        <v>0</v>
      </c>
      <c r="P302" t="e">
        <f t="shared" si="66"/>
        <v>#NUM!</v>
      </c>
    </row>
    <row r="303" spans="3:16">
      <c r="C303">
        <f t="shared" si="60"/>
        <v>0</v>
      </c>
      <c r="D303">
        <v>1.6E-2</v>
      </c>
      <c r="E303">
        <v>3.5999999999999999E-3</v>
      </c>
      <c r="F303">
        <f t="shared" si="57"/>
        <v>0</v>
      </c>
      <c r="G303">
        <f t="shared" si="61"/>
        <v>0</v>
      </c>
      <c r="H303">
        <f t="shared" si="62"/>
        <v>0</v>
      </c>
      <c r="I303">
        <v>1</v>
      </c>
      <c r="J303" t="e">
        <f t="shared" si="58"/>
        <v>#NUM!</v>
      </c>
      <c r="K303">
        <f t="shared" si="63"/>
        <v>-1.2217251517752175</v>
      </c>
      <c r="L303">
        <v>1</v>
      </c>
      <c r="M303" t="e">
        <f t="shared" si="59"/>
        <v>#NUM!</v>
      </c>
      <c r="N303">
        <f t="shared" si="64"/>
        <v>0</v>
      </c>
      <c r="O303">
        <f t="shared" si="65"/>
        <v>0</v>
      </c>
      <c r="P303" t="e">
        <f t="shared" si="66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D7D9-6648-4951-9F68-CF9D4B729191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O232"/>
  <sheetViews>
    <sheetView topLeftCell="I201" workbookViewId="0">
      <selection activeCell="O2" sqref="O2:O232"/>
    </sheetView>
  </sheetViews>
  <sheetFormatPr defaultRowHeight="15"/>
  <sheetData>
    <row r="1" spans="1:15">
      <c r="A1" t="s">
        <v>22</v>
      </c>
      <c r="B1" t="s">
        <v>22</v>
      </c>
      <c r="C1" t="s">
        <v>23</v>
      </c>
      <c r="D1" t="s">
        <v>24</v>
      </c>
      <c r="I1" s="2">
        <f>Sheet1!N2</f>
        <v>1.2217251517752175</v>
      </c>
    </row>
    <row r="2" spans="1:15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-0.35957107587267356</v>
      </c>
      <c r="N2">
        <v>5.2834000000000003</v>
      </c>
      <c r="O2">
        <f>N2/200</f>
        <v>2.6417000000000003E-2</v>
      </c>
    </row>
    <row r="3" spans="1:15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-0.36937152481255575</v>
      </c>
      <c r="N3">
        <v>15.97625</v>
      </c>
      <c r="O3">
        <f t="shared" ref="O3:O66" si="6">N3/200</f>
        <v>7.9881250000000001E-2</v>
      </c>
    </row>
    <row r="4" spans="1:15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-0.37728855955789142</v>
      </c>
      <c r="N4">
        <v>26.05808</v>
      </c>
      <c r="O4">
        <f t="shared" si="6"/>
        <v>0.1302904</v>
      </c>
    </row>
    <row r="5" spans="1:15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-0.38813282703602958</v>
      </c>
      <c r="N5">
        <v>36.547260000000001</v>
      </c>
      <c r="O5">
        <f t="shared" si="6"/>
        <v>0.18273630000000002</v>
      </c>
    </row>
    <row r="6" spans="1:15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-0.38952563905761284</v>
      </c>
      <c r="N6">
        <v>47.443779999999997</v>
      </c>
      <c r="O6">
        <f t="shared" si="6"/>
        <v>0.23721889999999998</v>
      </c>
    </row>
    <row r="7" spans="1:15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-0.39973201104143896</v>
      </c>
      <c r="N7">
        <v>57.52561</v>
      </c>
      <c r="O7">
        <f t="shared" si="6"/>
        <v>0.28762805000000002</v>
      </c>
    </row>
    <row r="8" spans="1:15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-0.40484373147187269</v>
      </c>
      <c r="N8">
        <v>68.014780000000002</v>
      </c>
      <c r="O8">
        <f t="shared" si="6"/>
        <v>0.34007389999999998</v>
      </c>
    </row>
    <row r="9" spans="1:15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-0.40918891308300831</v>
      </c>
      <c r="N9">
        <v>78.198440000000005</v>
      </c>
      <c r="O9">
        <f t="shared" si="6"/>
        <v>0.39099220000000001</v>
      </c>
    </row>
    <row r="10" spans="1:15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-0.41307957664046324</v>
      </c>
      <c r="N10">
        <v>88.483949999999993</v>
      </c>
      <c r="O10">
        <f t="shared" si="6"/>
        <v>0.44241974999999995</v>
      </c>
    </row>
    <row r="11" spans="1:15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-0.41901305309853587</v>
      </c>
      <c r="N11">
        <v>98.667609999999996</v>
      </c>
      <c r="O11">
        <f t="shared" si="6"/>
        <v>0.49333804999999997</v>
      </c>
    </row>
    <row r="12" spans="1:15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-0.42092876931912337</v>
      </c>
      <c r="N12">
        <v>109.05495999999999</v>
      </c>
      <c r="O12">
        <f t="shared" si="6"/>
        <v>0.54527479999999995</v>
      </c>
    </row>
    <row r="13" spans="1:15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-0.42817042144904172</v>
      </c>
      <c r="N13">
        <v>119.4423</v>
      </c>
      <c r="O13">
        <f t="shared" si="6"/>
        <v>0.59721150000000001</v>
      </c>
    </row>
    <row r="14" spans="1:15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-0.42981025428018615</v>
      </c>
      <c r="N14">
        <v>129.52412000000001</v>
      </c>
      <c r="O14">
        <f t="shared" si="6"/>
        <v>0.6476206000000001</v>
      </c>
    </row>
    <row r="15" spans="1:15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-0.43483159091851742</v>
      </c>
      <c r="N15">
        <v>139.60594</v>
      </c>
      <c r="O15">
        <f t="shared" si="6"/>
        <v>0.69802969999999998</v>
      </c>
    </row>
    <row r="16" spans="1:15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-0.43739216284326354</v>
      </c>
      <c r="N16">
        <v>150.29879</v>
      </c>
      <c r="O16">
        <f t="shared" si="6"/>
        <v>0.75149394999999997</v>
      </c>
    </row>
    <row r="17" spans="1:15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-0.44076777696031966</v>
      </c>
      <c r="N17">
        <v>160.38063</v>
      </c>
      <c r="O17">
        <f t="shared" si="6"/>
        <v>0.80190315000000001</v>
      </c>
    </row>
    <row r="18" spans="1:15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-0.44354502163172405</v>
      </c>
      <c r="N18">
        <v>170.76795999999999</v>
      </c>
      <c r="O18">
        <f t="shared" si="6"/>
        <v>0.85383979999999993</v>
      </c>
    </row>
    <row r="19" spans="1:15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-0.44561439442647144</v>
      </c>
      <c r="N19">
        <v>180.84979000000001</v>
      </c>
      <c r="O19">
        <f t="shared" si="6"/>
        <v>0.90424895000000005</v>
      </c>
    </row>
    <row r="20" spans="1:15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-0.44988485087742547</v>
      </c>
      <c r="N20">
        <v>191.54263</v>
      </c>
      <c r="O20">
        <f t="shared" si="6"/>
        <v>0.95771315000000001</v>
      </c>
    </row>
    <row r="21" spans="1:15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-0.45239713997418318</v>
      </c>
      <c r="N21">
        <v>201.92998</v>
      </c>
      <c r="O21">
        <f t="shared" si="6"/>
        <v>1.0096499000000001</v>
      </c>
    </row>
    <row r="22" spans="1:15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-0.45693665006517514</v>
      </c>
      <c r="N22">
        <v>212.72468000000001</v>
      </c>
      <c r="O22">
        <f t="shared" si="6"/>
        <v>1.0636234</v>
      </c>
    </row>
    <row r="23" spans="1:15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-0.45705759422928727</v>
      </c>
      <c r="N23">
        <v>223.0102</v>
      </c>
      <c r="O23">
        <f t="shared" si="6"/>
        <v>1.115051</v>
      </c>
    </row>
    <row r="24" spans="1:15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-0.46047181457278774</v>
      </c>
      <c r="N24">
        <v>233.39753999999999</v>
      </c>
      <c r="O24">
        <f t="shared" si="6"/>
        <v>1.1669877</v>
      </c>
    </row>
    <row r="25" spans="1:15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-0.46202166632483044</v>
      </c>
      <c r="N25">
        <v>243.47934000000001</v>
      </c>
      <c r="O25">
        <f t="shared" si="6"/>
        <v>1.2173967000000001</v>
      </c>
    </row>
    <row r="26" spans="1:15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-0.46747819575882599</v>
      </c>
      <c r="N26">
        <v>253.76483999999999</v>
      </c>
      <c r="O26">
        <f t="shared" si="6"/>
        <v>1.2688242000000001</v>
      </c>
    </row>
    <row r="27" spans="1:15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-0.46721658979699654</v>
      </c>
      <c r="N27">
        <v>264.66138000000001</v>
      </c>
      <c r="O27">
        <f t="shared" si="6"/>
        <v>1.3233069</v>
      </c>
    </row>
    <row r="28" spans="1:15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-0.47389944240157944</v>
      </c>
      <c r="N28">
        <v>275.35422</v>
      </c>
      <c r="O28">
        <f t="shared" si="6"/>
        <v>1.3767711</v>
      </c>
    </row>
    <row r="29" spans="1:15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-0.47331547321028167</v>
      </c>
      <c r="N29">
        <v>285.74155999999999</v>
      </c>
      <c r="O29">
        <f t="shared" si="6"/>
        <v>1.4287078</v>
      </c>
    </row>
    <row r="30" spans="1:15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-0.47629857945964382</v>
      </c>
      <c r="N30">
        <v>295.82337999999999</v>
      </c>
      <c r="O30">
        <f t="shared" si="6"/>
        <v>1.4791169</v>
      </c>
    </row>
    <row r="31" spans="1:15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-0.47785094061193512</v>
      </c>
      <c r="N31">
        <v>305.90519999999998</v>
      </c>
      <c r="O31">
        <f t="shared" si="6"/>
        <v>1.5295259999999999</v>
      </c>
    </row>
    <row r="32" spans="1:15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-0.48304017922855069</v>
      </c>
      <c r="N32">
        <v>316.29257999999999</v>
      </c>
      <c r="O32">
        <f t="shared" si="6"/>
        <v>1.5814629</v>
      </c>
    </row>
    <row r="33" spans="1:15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-0.48161013005071029</v>
      </c>
      <c r="N33">
        <v>326.57805999999999</v>
      </c>
      <c r="O33">
        <f t="shared" si="6"/>
        <v>1.6328902999999999</v>
      </c>
    </row>
    <row r="34" spans="1:15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-0.48739205411141251</v>
      </c>
      <c r="N34">
        <v>336.65987999999999</v>
      </c>
      <c r="O34">
        <f t="shared" si="6"/>
        <v>1.6832993999999999</v>
      </c>
    </row>
    <row r="35" spans="1:15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-0.48734349321208037</v>
      </c>
      <c r="N35">
        <v>347.14904000000001</v>
      </c>
      <c r="O35">
        <f t="shared" si="6"/>
        <v>1.7357452</v>
      </c>
    </row>
    <row r="36" spans="1:15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-0.49174598068319897</v>
      </c>
      <c r="N36">
        <v>357.33271999999999</v>
      </c>
      <c r="O36">
        <f t="shared" si="6"/>
        <v>1.7866636</v>
      </c>
    </row>
    <row r="37" spans="1:15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-0.49028377996275463</v>
      </c>
      <c r="N37">
        <v>367.92376000000002</v>
      </c>
      <c r="O37">
        <f t="shared" si="6"/>
        <v>1.8396188</v>
      </c>
    </row>
    <row r="38" spans="1:15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-0.49556648718584217</v>
      </c>
      <c r="N38">
        <v>378.51474000000002</v>
      </c>
      <c r="O38">
        <f t="shared" si="6"/>
        <v>1.8925737</v>
      </c>
    </row>
    <row r="39" spans="1:15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-0.4944516646355156</v>
      </c>
      <c r="N39">
        <v>388.59658000000002</v>
      </c>
      <c r="O39">
        <f t="shared" si="6"/>
        <v>1.9429829000000001</v>
      </c>
    </row>
    <row r="40" spans="1:15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-0.49949102983898552</v>
      </c>
      <c r="N40">
        <v>399.08575999999999</v>
      </c>
      <c r="O40">
        <f t="shared" si="6"/>
        <v>1.9954288</v>
      </c>
    </row>
    <row r="41" spans="1:15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-0.49878262371227777</v>
      </c>
      <c r="N41">
        <v>409.67680000000001</v>
      </c>
      <c r="O41">
        <f t="shared" si="6"/>
        <v>2.048384</v>
      </c>
    </row>
    <row r="42" spans="1:15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-0.50340933722416192</v>
      </c>
      <c r="N42">
        <v>419.7586</v>
      </c>
      <c r="O42">
        <f t="shared" si="6"/>
        <v>2.0987930000000001</v>
      </c>
    </row>
    <row r="43" spans="1:15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-0.50403393355298676</v>
      </c>
      <c r="N43">
        <v>429.94227999999998</v>
      </c>
      <c r="O43">
        <f t="shared" si="6"/>
        <v>2.1497113999999997</v>
      </c>
    </row>
    <row r="44" spans="1:15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-0.50646497726296524</v>
      </c>
      <c r="N44">
        <v>440.32963999999998</v>
      </c>
      <c r="O44">
        <f t="shared" si="6"/>
        <v>2.2016481999999997</v>
      </c>
    </row>
    <row r="45" spans="1:15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-0.50779418955541289</v>
      </c>
      <c r="N45">
        <v>450.71694000000002</v>
      </c>
      <c r="O45">
        <f t="shared" si="6"/>
        <v>2.2535847000000002</v>
      </c>
    </row>
    <row r="46" spans="1:15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-0.50848618076295293</v>
      </c>
      <c r="N46">
        <v>461.20616000000001</v>
      </c>
      <c r="O46">
        <f t="shared" si="6"/>
        <v>2.3060308000000003</v>
      </c>
    </row>
    <row r="47" spans="1:15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-0.51073348547945052</v>
      </c>
      <c r="N47">
        <v>472.51006000000001</v>
      </c>
      <c r="O47">
        <f t="shared" si="6"/>
        <v>2.3625503000000001</v>
      </c>
    </row>
    <row r="48" spans="1:15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-0.51392292065188916</v>
      </c>
      <c r="N48">
        <v>483.71206000000001</v>
      </c>
      <c r="O48">
        <f t="shared" si="6"/>
        <v>2.4185603000000002</v>
      </c>
    </row>
    <row r="49" spans="1:15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-0.51436170393372216</v>
      </c>
      <c r="N49">
        <v>494.91406000000001</v>
      </c>
      <c r="O49">
        <f t="shared" si="6"/>
        <v>2.4745702999999999</v>
      </c>
    </row>
    <row r="50" spans="1:15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-0.51703951394829784</v>
      </c>
      <c r="N50">
        <v>505.19956000000002</v>
      </c>
      <c r="O50">
        <f t="shared" si="6"/>
        <v>2.5259978000000003</v>
      </c>
    </row>
    <row r="51" spans="1:15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-0.5197570701672648</v>
      </c>
      <c r="N51">
        <v>515.79052000000001</v>
      </c>
      <c r="O51">
        <f t="shared" si="6"/>
        <v>2.5789526</v>
      </c>
    </row>
    <row r="52" spans="1:15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-0.52177826805940908</v>
      </c>
      <c r="N52">
        <v>526.17791999999997</v>
      </c>
      <c r="O52">
        <f t="shared" si="6"/>
        <v>2.6308895999999997</v>
      </c>
    </row>
    <row r="53" spans="1:15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-0.52126646058917692</v>
      </c>
      <c r="N53">
        <v>536.25972000000002</v>
      </c>
      <c r="O53">
        <f t="shared" si="6"/>
        <v>2.6812985999999999</v>
      </c>
    </row>
    <row r="54" spans="1:15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-0.52488251889369519</v>
      </c>
      <c r="N54">
        <v>546.74887999999999</v>
      </c>
      <c r="O54">
        <f t="shared" si="6"/>
        <v>2.7337444</v>
      </c>
    </row>
    <row r="55" spans="1:15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-0.52836515661702199</v>
      </c>
      <c r="N55">
        <v>557.33993999999996</v>
      </c>
      <c r="O55">
        <f t="shared" si="6"/>
        <v>2.7866996999999998</v>
      </c>
    </row>
    <row r="56" spans="1:15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-0.52721916692832749</v>
      </c>
      <c r="N56">
        <v>567.62544000000003</v>
      </c>
      <c r="O56">
        <f t="shared" si="6"/>
        <v>2.8381272000000002</v>
      </c>
    </row>
    <row r="57" spans="1:15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-0.52714151233338458</v>
      </c>
      <c r="N57">
        <v>578.52197999999999</v>
      </c>
      <c r="O57">
        <f t="shared" si="6"/>
        <v>2.8926099000000001</v>
      </c>
    </row>
    <row r="58" spans="1:15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-0.53226367622087045</v>
      </c>
      <c r="N58">
        <v>589.11293999999998</v>
      </c>
      <c r="O58">
        <f t="shared" si="6"/>
        <v>2.9455646999999998</v>
      </c>
    </row>
    <row r="59" spans="1:15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-0.53290042656633885</v>
      </c>
      <c r="N59">
        <v>599.29664000000002</v>
      </c>
      <c r="O59">
        <f t="shared" si="6"/>
        <v>2.9964832000000001</v>
      </c>
    </row>
    <row r="60" spans="1:15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-0.5345859502025907</v>
      </c>
      <c r="N60">
        <v>609.37846000000002</v>
      </c>
      <c r="O60">
        <f t="shared" si="6"/>
        <v>3.0468923000000001</v>
      </c>
    </row>
    <row r="61" spans="1:15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-0.53443632189247647</v>
      </c>
      <c r="N61">
        <v>619.46029999999996</v>
      </c>
      <c r="O61">
        <f t="shared" si="6"/>
        <v>3.0973014999999999</v>
      </c>
    </row>
    <row r="62" spans="1:15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-0.53431058035442869</v>
      </c>
      <c r="N62">
        <v>630.35684000000003</v>
      </c>
      <c r="O62">
        <f t="shared" si="6"/>
        <v>3.1517842000000003</v>
      </c>
    </row>
    <row r="63" spans="1:15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-0.5393394188393269</v>
      </c>
      <c r="N63">
        <v>640.43862000000001</v>
      </c>
      <c r="O63">
        <f t="shared" si="6"/>
        <v>3.2021931000000001</v>
      </c>
    </row>
    <row r="64" spans="1:15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-0.54229803580345848</v>
      </c>
      <c r="N64">
        <v>651.74252000000001</v>
      </c>
      <c r="O64">
        <f t="shared" si="6"/>
        <v>3.2587126</v>
      </c>
    </row>
    <row r="65" spans="1:15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-0.54228234730530422</v>
      </c>
      <c r="N65">
        <v>662.02797999999996</v>
      </c>
      <c r="O65">
        <f t="shared" si="6"/>
        <v>3.3101398999999998</v>
      </c>
    </row>
    <row r="66" spans="1:15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7">C66+(D66*A66)</f>
        <v>0.66763983388245107</v>
      </c>
      <c r="K66">
        <f t="shared" si="4"/>
        <v>0.67743025128713252</v>
      </c>
      <c r="L66">
        <f t="shared" si="5"/>
        <v>-0.54429490048808493</v>
      </c>
      <c r="N66">
        <v>672.72080000000005</v>
      </c>
      <c r="O66">
        <f t="shared" si="6"/>
        <v>3.3636040000000005</v>
      </c>
    </row>
    <row r="67" spans="1:15">
      <c r="A67">
        <v>3.43</v>
      </c>
      <c r="B67">
        <f t="shared" ref="B67:B130" si="8">A67*200</f>
        <v>686</v>
      </c>
      <c r="C67">
        <v>0.59499999999999997</v>
      </c>
      <c r="D67" s="1">
        <v>2.1236933767795563E-2</v>
      </c>
      <c r="E67">
        <f t="shared" ref="E67:E130" si="9">B67</f>
        <v>686</v>
      </c>
      <c r="F67">
        <f t="shared" ref="F67:F130" si="10">D67-0.0045</f>
        <v>1.6736933767795562E-2</v>
      </c>
      <c r="I67">
        <f t="shared" si="7"/>
        <v>0.66784268282353876</v>
      </c>
      <c r="K67">
        <f t="shared" ref="K67:K130" si="11">I67+(F67*C67)</f>
        <v>0.67780115841537714</v>
      </c>
      <c r="L67">
        <f t="shared" ref="L67:L130" si="12">K67-$I$1</f>
        <v>-0.54392399335984032</v>
      </c>
      <c r="N67">
        <v>682.80264</v>
      </c>
      <c r="O67">
        <f t="shared" ref="O67:O130" si="13">N67/200</f>
        <v>3.4140131999999999</v>
      </c>
    </row>
    <row r="68" spans="1:15">
      <c r="A68">
        <v>3.49</v>
      </c>
      <c r="B68">
        <f t="shared" si="8"/>
        <v>698</v>
      </c>
      <c r="C68">
        <v>0.59199999999999997</v>
      </c>
      <c r="D68" s="1">
        <v>2.1216338500380516E-2</v>
      </c>
      <c r="E68">
        <f t="shared" si="9"/>
        <v>698</v>
      </c>
      <c r="F68">
        <f t="shared" si="10"/>
        <v>1.6716338500380516E-2</v>
      </c>
      <c r="I68">
        <f t="shared" si="7"/>
        <v>0.66604502136632804</v>
      </c>
      <c r="K68">
        <f t="shared" si="11"/>
        <v>0.67594109375855327</v>
      </c>
      <c r="L68">
        <f t="shared" si="12"/>
        <v>-0.54578405801666419</v>
      </c>
      <c r="N68">
        <v>692.98631999999998</v>
      </c>
      <c r="O68">
        <f t="shared" si="13"/>
        <v>3.4649315999999999</v>
      </c>
    </row>
    <row r="69" spans="1:15">
      <c r="A69">
        <v>3.54</v>
      </c>
      <c r="B69">
        <f t="shared" si="8"/>
        <v>708</v>
      </c>
      <c r="C69">
        <v>0.59</v>
      </c>
      <c r="D69" s="1">
        <v>2.1920887753367424E-2</v>
      </c>
      <c r="E69">
        <f t="shared" si="9"/>
        <v>708</v>
      </c>
      <c r="F69">
        <f t="shared" si="10"/>
        <v>1.7420887753367423E-2</v>
      </c>
      <c r="I69">
        <f t="shared" si="7"/>
        <v>0.66759994264692069</v>
      </c>
      <c r="K69">
        <f t="shared" si="11"/>
        <v>0.67787826642140747</v>
      </c>
      <c r="L69">
        <f t="shared" si="12"/>
        <v>-0.54384688535380998</v>
      </c>
      <c r="N69">
        <v>703.06822</v>
      </c>
      <c r="O69">
        <f t="shared" si="13"/>
        <v>3.5153411000000001</v>
      </c>
    </row>
    <row r="70" spans="1:15">
      <c r="A70">
        <v>3.59</v>
      </c>
      <c r="B70">
        <f t="shared" si="8"/>
        <v>718</v>
      </c>
      <c r="C70">
        <v>0.58699999999999997</v>
      </c>
      <c r="D70" s="1">
        <v>2.1341806277632713E-2</v>
      </c>
      <c r="E70">
        <f t="shared" si="9"/>
        <v>718</v>
      </c>
      <c r="F70">
        <f t="shared" si="10"/>
        <v>1.6841806277632713E-2</v>
      </c>
      <c r="I70">
        <f t="shared" si="7"/>
        <v>0.66361708453670143</v>
      </c>
      <c r="K70">
        <f t="shared" si="11"/>
        <v>0.6735032248216718</v>
      </c>
      <c r="L70">
        <f t="shared" si="12"/>
        <v>-0.54822192695354566</v>
      </c>
      <c r="N70">
        <v>713.45551999999998</v>
      </c>
      <c r="O70">
        <f t="shared" si="13"/>
        <v>3.5672775999999997</v>
      </c>
    </row>
    <row r="71" spans="1:15">
      <c r="A71">
        <v>3.64</v>
      </c>
      <c r="B71">
        <f t="shared" si="8"/>
        <v>728</v>
      </c>
      <c r="C71">
        <v>0.58499999999999996</v>
      </c>
      <c r="D71" s="1">
        <v>2.1182570606470108E-2</v>
      </c>
      <c r="E71">
        <f t="shared" si="9"/>
        <v>728</v>
      </c>
      <c r="F71">
        <f t="shared" si="10"/>
        <v>1.6682570606470108E-2</v>
      </c>
      <c r="I71">
        <f t="shared" si="7"/>
        <v>0.66210455700755122</v>
      </c>
      <c r="K71">
        <f t="shared" si="11"/>
        <v>0.67186386081233618</v>
      </c>
      <c r="L71">
        <f t="shared" si="12"/>
        <v>-0.54986129096288128</v>
      </c>
      <c r="N71">
        <v>723.53736000000004</v>
      </c>
      <c r="O71">
        <f t="shared" si="13"/>
        <v>3.6176868</v>
      </c>
    </row>
    <row r="72" spans="1:15">
      <c r="A72">
        <v>3.69</v>
      </c>
      <c r="B72">
        <f t="shared" si="8"/>
        <v>738</v>
      </c>
      <c r="C72">
        <v>0.58199999999999996</v>
      </c>
      <c r="D72" s="1">
        <v>2.0709231495857239E-2</v>
      </c>
      <c r="E72">
        <f t="shared" si="9"/>
        <v>738</v>
      </c>
      <c r="F72">
        <f t="shared" si="10"/>
        <v>1.6209231495857238E-2</v>
      </c>
      <c r="I72">
        <f t="shared" si="7"/>
        <v>0.65841706421971313</v>
      </c>
      <c r="K72">
        <f t="shared" si="11"/>
        <v>0.66785083695030201</v>
      </c>
      <c r="L72">
        <f t="shared" si="12"/>
        <v>-0.55387431482491545</v>
      </c>
      <c r="N72">
        <v>733.721</v>
      </c>
      <c r="O72">
        <f t="shared" si="13"/>
        <v>3.6686049999999999</v>
      </c>
    </row>
    <row r="73" spans="1:15">
      <c r="A73">
        <v>3.74</v>
      </c>
      <c r="B73">
        <f t="shared" si="8"/>
        <v>748</v>
      </c>
      <c r="C73">
        <v>0.57999999999999996</v>
      </c>
      <c r="D73" s="1">
        <v>2.084982767701149E-2</v>
      </c>
      <c r="E73">
        <f t="shared" si="9"/>
        <v>748</v>
      </c>
      <c r="F73">
        <f t="shared" si="10"/>
        <v>1.6349827677011489E-2</v>
      </c>
      <c r="I73">
        <f t="shared" si="7"/>
        <v>0.65797835551202288</v>
      </c>
      <c r="K73">
        <f t="shared" si="11"/>
        <v>0.66746125556468949</v>
      </c>
      <c r="L73">
        <f t="shared" si="12"/>
        <v>-0.55426389621052796</v>
      </c>
      <c r="N73">
        <v>744.21015999999997</v>
      </c>
      <c r="O73">
        <f t="shared" si="13"/>
        <v>3.7210508</v>
      </c>
    </row>
    <row r="74" spans="1:15">
      <c r="A74">
        <v>3.8</v>
      </c>
      <c r="B74">
        <f t="shared" si="8"/>
        <v>760</v>
      </c>
      <c r="C74">
        <v>0.57799999999999996</v>
      </c>
      <c r="D74" s="1">
        <v>2.1780027076601982E-2</v>
      </c>
      <c r="E74">
        <f t="shared" si="9"/>
        <v>760</v>
      </c>
      <c r="F74">
        <f t="shared" si="10"/>
        <v>1.7280027076601982E-2</v>
      </c>
      <c r="I74">
        <f t="shared" si="7"/>
        <v>0.66076410289108745</v>
      </c>
      <c r="K74">
        <f t="shared" si="11"/>
        <v>0.67075195854136338</v>
      </c>
      <c r="L74">
        <f t="shared" si="12"/>
        <v>-0.55097319323385407</v>
      </c>
      <c r="N74">
        <v>754.39383999999995</v>
      </c>
      <c r="O74">
        <f t="shared" si="13"/>
        <v>3.7719691999999996</v>
      </c>
    </row>
    <row r="75" spans="1:15">
      <c r="A75">
        <v>3.85</v>
      </c>
      <c r="B75">
        <f t="shared" si="8"/>
        <v>770</v>
      </c>
      <c r="C75">
        <v>0.57499999999999996</v>
      </c>
      <c r="D75" s="1">
        <v>2.1630674600601196E-2</v>
      </c>
      <c r="E75">
        <f t="shared" si="9"/>
        <v>770</v>
      </c>
      <c r="F75">
        <f t="shared" si="10"/>
        <v>1.7130674600601196E-2</v>
      </c>
      <c r="I75">
        <f t="shared" si="7"/>
        <v>0.65827809721231456</v>
      </c>
      <c r="K75">
        <f t="shared" si="11"/>
        <v>0.66812823510766028</v>
      </c>
      <c r="L75">
        <f t="shared" si="12"/>
        <v>-0.55359691666755717</v>
      </c>
      <c r="N75">
        <v>764.57754</v>
      </c>
      <c r="O75">
        <f t="shared" si="13"/>
        <v>3.8228876999999999</v>
      </c>
    </row>
    <row r="76" spans="1:15">
      <c r="A76">
        <v>3.9</v>
      </c>
      <c r="B76">
        <f t="shared" si="8"/>
        <v>780</v>
      </c>
      <c r="C76">
        <v>0.57299999999999995</v>
      </c>
      <c r="D76" s="1">
        <v>2.1522887051105499E-2</v>
      </c>
      <c r="E76">
        <f t="shared" si="9"/>
        <v>780</v>
      </c>
      <c r="F76">
        <f t="shared" si="10"/>
        <v>1.7022887051105499E-2</v>
      </c>
      <c r="I76">
        <f t="shared" si="7"/>
        <v>0.65693925949931142</v>
      </c>
      <c r="K76">
        <f t="shared" si="11"/>
        <v>0.66669337377959492</v>
      </c>
      <c r="L76">
        <f t="shared" si="12"/>
        <v>-0.55503177799562253</v>
      </c>
      <c r="N76">
        <v>774.86303999999996</v>
      </c>
      <c r="O76">
        <f t="shared" si="13"/>
        <v>3.8743151999999998</v>
      </c>
    </row>
    <row r="77" spans="1:15">
      <c r="A77">
        <v>3.95</v>
      </c>
      <c r="B77">
        <f t="shared" si="8"/>
        <v>790</v>
      </c>
      <c r="C77">
        <v>0.56999999999999995</v>
      </c>
      <c r="D77" s="1">
        <v>2.0996369421482086E-2</v>
      </c>
      <c r="E77">
        <f t="shared" si="9"/>
        <v>790</v>
      </c>
      <c r="F77">
        <f t="shared" si="10"/>
        <v>1.6496369421482086E-2</v>
      </c>
      <c r="I77">
        <f t="shared" si="7"/>
        <v>0.65293565921485419</v>
      </c>
      <c r="K77">
        <f t="shared" si="11"/>
        <v>0.66233858978509896</v>
      </c>
      <c r="L77">
        <f t="shared" si="12"/>
        <v>-0.55938656199011849</v>
      </c>
      <c r="N77">
        <v>785.14847999999995</v>
      </c>
      <c r="O77">
        <f t="shared" si="13"/>
        <v>3.9257423999999999</v>
      </c>
    </row>
    <row r="78" spans="1:15">
      <c r="A78">
        <v>4</v>
      </c>
      <c r="B78">
        <f t="shared" si="8"/>
        <v>800</v>
      </c>
      <c r="C78">
        <v>0.56799999999999995</v>
      </c>
      <c r="D78" s="1">
        <v>2.1206527948379517E-2</v>
      </c>
      <c r="E78">
        <f t="shared" si="9"/>
        <v>800</v>
      </c>
      <c r="F78">
        <f t="shared" si="10"/>
        <v>1.6706527948379516E-2</v>
      </c>
      <c r="I78">
        <f t="shared" si="7"/>
        <v>0.65282611179351802</v>
      </c>
      <c r="K78">
        <f t="shared" si="11"/>
        <v>0.66231541966819762</v>
      </c>
      <c r="L78">
        <f t="shared" si="12"/>
        <v>-0.55940973210701983</v>
      </c>
      <c r="N78">
        <v>795.6377</v>
      </c>
      <c r="O78">
        <f t="shared" si="13"/>
        <v>3.9781884999999999</v>
      </c>
    </row>
    <row r="79" spans="1:15">
      <c r="A79">
        <v>4.05</v>
      </c>
      <c r="B79">
        <f t="shared" si="8"/>
        <v>810</v>
      </c>
      <c r="C79">
        <v>0.56499999999999995</v>
      </c>
      <c r="D79" s="1">
        <v>2.1287042647600174E-2</v>
      </c>
      <c r="E79">
        <f t="shared" si="9"/>
        <v>810</v>
      </c>
      <c r="F79">
        <f t="shared" si="10"/>
        <v>1.6787042647600173E-2</v>
      </c>
      <c r="I79">
        <f t="shared" si="7"/>
        <v>0.65121252272278063</v>
      </c>
      <c r="K79">
        <f t="shared" si="11"/>
        <v>0.66069720181867475</v>
      </c>
      <c r="L79">
        <f t="shared" si="12"/>
        <v>-0.5610279499565427</v>
      </c>
      <c r="N79">
        <v>806.12685999999997</v>
      </c>
      <c r="O79">
        <f t="shared" si="13"/>
        <v>4.0306343</v>
      </c>
    </row>
    <row r="80" spans="1:15">
      <c r="A80">
        <v>4.0999999999999996</v>
      </c>
      <c r="B80">
        <f t="shared" si="8"/>
        <v>819.99999999999989</v>
      </c>
      <c r="C80">
        <v>0.56299999999999994</v>
      </c>
      <c r="D80" s="1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7"/>
        <v>0.65143646869063376</v>
      </c>
      <c r="K80">
        <f t="shared" si="11"/>
        <v>0.66104680573278662</v>
      </c>
      <c r="L80">
        <f t="shared" si="12"/>
        <v>-0.56067834604243083</v>
      </c>
      <c r="N80">
        <v>816.20870000000002</v>
      </c>
      <c r="O80">
        <f t="shared" si="13"/>
        <v>4.0810434999999998</v>
      </c>
    </row>
    <row r="81" spans="1:15">
      <c r="A81">
        <v>4.16</v>
      </c>
      <c r="B81">
        <f t="shared" si="8"/>
        <v>832</v>
      </c>
      <c r="C81">
        <v>0.56100000000000005</v>
      </c>
      <c r="D81" s="1">
        <v>2.1351464092731476E-2</v>
      </c>
      <c r="E81">
        <f t="shared" si="9"/>
        <v>832</v>
      </c>
      <c r="F81">
        <f t="shared" si="10"/>
        <v>1.6851464092731475E-2</v>
      </c>
      <c r="I81">
        <f t="shared" si="7"/>
        <v>0.64982209062576302</v>
      </c>
      <c r="K81">
        <f t="shared" si="11"/>
        <v>0.65927576198178539</v>
      </c>
      <c r="L81">
        <f t="shared" si="12"/>
        <v>-0.56244938979343206</v>
      </c>
      <c r="N81">
        <v>826.49423999999999</v>
      </c>
      <c r="O81">
        <f t="shared" si="13"/>
        <v>4.1324712000000003</v>
      </c>
    </row>
    <row r="82" spans="1:15">
      <c r="A82">
        <v>4.21</v>
      </c>
      <c r="B82">
        <f t="shared" si="8"/>
        <v>842</v>
      </c>
      <c r="C82">
        <v>0.55800000000000005</v>
      </c>
      <c r="D82" s="1">
        <v>2.2199295461177826E-2</v>
      </c>
      <c r="E82">
        <f t="shared" si="9"/>
        <v>842</v>
      </c>
      <c r="F82">
        <f t="shared" si="10"/>
        <v>1.7699295461177825E-2</v>
      </c>
      <c r="I82">
        <f t="shared" si="7"/>
        <v>0.65145903389155868</v>
      </c>
      <c r="K82">
        <f t="shared" si="11"/>
        <v>0.66133524075889594</v>
      </c>
      <c r="L82">
        <f t="shared" si="12"/>
        <v>-0.56038991101632152</v>
      </c>
      <c r="N82">
        <v>836.57608000000005</v>
      </c>
      <c r="O82">
        <f t="shared" si="13"/>
        <v>4.1828804000000002</v>
      </c>
    </row>
    <row r="83" spans="1:15">
      <c r="A83">
        <v>4.26</v>
      </c>
      <c r="B83">
        <f t="shared" si="8"/>
        <v>852</v>
      </c>
      <c r="C83">
        <v>0.55600000000000005</v>
      </c>
      <c r="D83" s="1">
        <v>2.1349307149648666E-2</v>
      </c>
      <c r="E83">
        <f t="shared" si="9"/>
        <v>852</v>
      </c>
      <c r="F83">
        <f t="shared" si="10"/>
        <v>1.6849307149648666E-2</v>
      </c>
      <c r="I83">
        <f t="shared" si="7"/>
        <v>0.64694804845750342</v>
      </c>
      <c r="K83">
        <f t="shared" si="11"/>
        <v>0.65631626323270809</v>
      </c>
      <c r="L83">
        <f t="shared" si="12"/>
        <v>-0.56540888854250937</v>
      </c>
      <c r="N83">
        <v>846.65791999999999</v>
      </c>
      <c r="O83">
        <f t="shared" si="13"/>
        <v>4.2332896</v>
      </c>
    </row>
    <row r="84" spans="1:15">
      <c r="A84">
        <v>4.3099999999999996</v>
      </c>
      <c r="B84">
        <f t="shared" si="8"/>
        <v>861.99999999999989</v>
      </c>
      <c r="C84">
        <v>0.55400000000000005</v>
      </c>
      <c r="D84" s="1">
        <v>2.1212978288531303E-2</v>
      </c>
      <c r="E84">
        <f t="shared" si="9"/>
        <v>861.99999999999989</v>
      </c>
      <c r="F84">
        <f t="shared" si="10"/>
        <v>1.6712978288531303E-2</v>
      </c>
      <c r="I84">
        <f t="shared" si="7"/>
        <v>0.64542793642356999</v>
      </c>
      <c r="K84">
        <f t="shared" si="11"/>
        <v>0.65468692639541637</v>
      </c>
      <c r="L84">
        <f t="shared" si="12"/>
        <v>-0.56703822537980109</v>
      </c>
      <c r="N84">
        <v>857.04521999999997</v>
      </c>
      <c r="O84">
        <f t="shared" si="13"/>
        <v>4.2852261</v>
      </c>
    </row>
    <row r="85" spans="1:15">
      <c r="A85">
        <v>4.37</v>
      </c>
      <c r="B85">
        <f t="shared" si="8"/>
        <v>874</v>
      </c>
      <c r="C85">
        <v>0.55100000000000005</v>
      </c>
      <c r="D85" s="1">
        <v>2.2336233407258987E-2</v>
      </c>
      <c r="E85">
        <f t="shared" si="9"/>
        <v>874</v>
      </c>
      <c r="F85">
        <f t="shared" si="10"/>
        <v>1.7836233407258987E-2</v>
      </c>
      <c r="I85">
        <f t="shared" si="7"/>
        <v>0.64860933998972181</v>
      </c>
      <c r="K85">
        <f t="shared" si="11"/>
        <v>0.65843710459712157</v>
      </c>
      <c r="L85">
        <f t="shared" si="12"/>
        <v>-0.56328804717809589</v>
      </c>
      <c r="N85">
        <v>867.73807999999997</v>
      </c>
      <c r="O85">
        <f t="shared" si="13"/>
        <v>4.3386903999999999</v>
      </c>
    </row>
    <row r="86" spans="1:15">
      <c r="A86">
        <v>4.42</v>
      </c>
      <c r="B86">
        <f t="shared" si="8"/>
        <v>884</v>
      </c>
      <c r="C86">
        <v>0.54900000000000004</v>
      </c>
      <c r="D86" s="1">
        <v>2.0953355357050896E-2</v>
      </c>
      <c r="E86">
        <f t="shared" si="9"/>
        <v>884</v>
      </c>
      <c r="F86">
        <f t="shared" si="10"/>
        <v>1.6453355357050895E-2</v>
      </c>
      <c r="I86">
        <f t="shared" si="7"/>
        <v>0.64161383067816502</v>
      </c>
      <c r="K86">
        <f t="shared" si="11"/>
        <v>0.650646722769186</v>
      </c>
      <c r="L86">
        <f t="shared" si="12"/>
        <v>-0.57107842900603145</v>
      </c>
      <c r="N86">
        <v>877.81992000000002</v>
      </c>
      <c r="O86">
        <f t="shared" si="13"/>
        <v>4.3890995999999998</v>
      </c>
    </row>
    <row r="87" spans="1:15">
      <c r="A87">
        <v>4.47</v>
      </c>
      <c r="B87">
        <f t="shared" si="8"/>
        <v>894</v>
      </c>
      <c r="C87">
        <v>0.54600000000000004</v>
      </c>
      <c r="D87" s="1">
        <v>2.2049251943826675E-2</v>
      </c>
      <c r="E87">
        <f t="shared" si="9"/>
        <v>894</v>
      </c>
      <c r="F87">
        <f t="shared" si="10"/>
        <v>1.7549251943826675E-2</v>
      </c>
      <c r="I87">
        <f t="shared" si="7"/>
        <v>0.64456015618890528</v>
      </c>
      <c r="K87">
        <f t="shared" si="11"/>
        <v>0.65414204775023466</v>
      </c>
      <c r="L87">
        <f t="shared" si="12"/>
        <v>-0.5675831040249828</v>
      </c>
      <c r="N87">
        <v>887.90175999999997</v>
      </c>
      <c r="O87">
        <f t="shared" si="13"/>
        <v>4.4395087999999996</v>
      </c>
    </row>
    <row r="88" spans="1:15">
      <c r="A88">
        <v>4.53</v>
      </c>
      <c r="B88">
        <f t="shared" si="8"/>
        <v>906</v>
      </c>
      <c r="C88">
        <v>0.54400000000000004</v>
      </c>
      <c r="D88" s="1">
        <v>2.1715734153985977E-2</v>
      </c>
      <c r="E88">
        <f t="shared" si="9"/>
        <v>906</v>
      </c>
      <c r="F88">
        <f t="shared" si="10"/>
        <v>1.7215734153985977E-2</v>
      </c>
      <c r="I88">
        <f t="shared" si="7"/>
        <v>0.64237227571755651</v>
      </c>
      <c r="K88">
        <f t="shared" si="11"/>
        <v>0.65173763509732485</v>
      </c>
      <c r="L88">
        <f t="shared" si="12"/>
        <v>-0.5699875166778926</v>
      </c>
      <c r="N88">
        <v>898.18730000000005</v>
      </c>
      <c r="O88">
        <f t="shared" si="13"/>
        <v>4.4909365000000001</v>
      </c>
    </row>
    <row r="89" spans="1:15">
      <c r="A89">
        <v>4.58</v>
      </c>
      <c r="B89">
        <f t="shared" si="8"/>
        <v>916</v>
      </c>
      <c r="C89">
        <v>0.54200000000000004</v>
      </c>
      <c r="D89" s="1">
        <v>2.1696174517273903E-2</v>
      </c>
      <c r="E89">
        <f t="shared" si="9"/>
        <v>916</v>
      </c>
      <c r="F89">
        <f t="shared" si="10"/>
        <v>1.7196174517273902E-2</v>
      </c>
      <c r="I89">
        <f t="shared" si="7"/>
        <v>0.64136847928911456</v>
      </c>
      <c r="K89">
        <f t="shared" si="11"/>
        <v>0.65068880587747702</v>
      </c>
      <c r="L89">
        <f t="shared" si="12"/>
        <v>-0.57103634589774044</v>
      </c>
      <c r="N89">
        <v>909.18564000000003</v>
      </c>
      <c r="O89">
        <f t="shared" si="13"/>
        <v>4.5459282000000005</v>
      </c>
    </row>
    <row r="90" spans="1:15">
      <c r="A90">
        <v>4.63</v>
      </c>
      <c r="B90">
        <f t="shared" si="8"/>
        <v>926</v>
      </c>
      <c r="C90">
        <v>0.53900000000000003</v>
      </c>
      <c r="D90" s="1">
        <v>2.1906765177845955E-2</v>
      </c>
      <c r="E90">
        <f t="shared" si="9"/>
        <v>926</v>
      </c>
      <c r="F90">
        <f t="shared" si="10"/>
        <v>1.7406765177845954E-2</v>
      </c>
      <c r="I90">
        <f t="shared" si="7"/>
        <v>0.64042832277342676</v>
      </c>
      <c r="K90">
        <f t="shared" si="11"/>
        <v>0.6498105692042857</v>
      </c>
      <c r="L90">
        <f t="shared" si="12"/>
        <v>-0.57191458257093175</v>
      </c>
      <c r="N90">
        <v>919.87851999999998</v>
      </c>
      <c r="O90">
        <f t="shared" si="13"/>
        <v>4.5993925999999998</v>
      </c>
    </row>
    <row r="91" spans="1:15">
      <c r="A91">
        <v>4.68</v>
      </c>
      <c r="B91">
        <f t="shared" si="8"/>
        <v>936</v>
      </c>
      <c r="C91">
        <v>0.53700000000000003</v>
      </c>
      <c r="D91" s="1">
        <v>2.1756090223789215E-2</v>
      </c>
      <c r="E91">
        <f t="shared" si="9"/>
        <v>936</v>
      </c>
      <c r="F91">
        <f t="shared" si="10"/>
        <v>1.7256090223789215E-2</v>
      </c>
      <c r="I91">
        <f t="shared" si="7"/>
        <v>0.63881850224733361</v>
      </c>
      <c r="K91">
        <f t="shared" si="11"/>
        <v>0.64808502269750845</v>
      </c>
      <c r="L91">
        <f t="shared" si="12"/>
        <v>-0.573640129077709</v>
      </c>
      <c r="N91">
        <v>930.06209999999999</v>
      </c>
      <c r="O91">
        <f t="shared" si="13"/>
        <v>4.6503104999999998</v>
      </c>
    </row>
    <row r="92" spans="1:15">
      <c r="A92">
        <v>4.7300000000000004</v>
      </c>
      <c r="B92">
        <f t="shared" si="8"/>
        <v>946.00000000000011</v>
      </c>
      <c r="C92">
        <v>0.53400000000000003</v>
      </c>
      <c r="D92" s="1">
        <v>2.2429488599300385E-2</v>
      </c>
      <c r="E92">
        <f t="shared" si="9"/>
        <v>946.00000000000011</v>
      </c>
      <c r="F92">
        <f t="shared" si="10"/>
        <v>1.7929488599300384E-2</v>
      </c>
      <c r="I92">
        <f t="shared" si="7"/>
        <v>0.64009148107469083</v>
      </c>
      <c r="K92">
        <f t="shared" si="11"/>
        <v>0.64966582798671724</v>
      </c>
      <c r="L92">
        <f t="shared" si="12"/>
        <v>-0.57205932378850022</v>
      </c>
      <c r="N92">
        <v>940.55125999999996</v>
      </c>
      <c r="O92">
        <f t="shared" si="13"/>
        <v>4.7027562999999999</v>
      </c>
    </row>
    <row r="93" spans="1:15">
      <c r="A93">
        <v>4.79</v>
      </c>
      <c r="B93">
        <f t="shared" si="8"/>
        <v>958</v>
      </c>
      <c r="C93">
        <v>0.53300000000000003</v>
      </c>
      <c r="D93" s="1">
        <v>2.15414147824049E-2</v>
      </c>
      <c r="E93">
        <f t="shared" si="9"/>
        <v>958</v>
      </c>
      <c r="F93">
        <f t="shared" si="10"/>
        <v>1.7041414782404899E-2</v>
      </c>
      <c r="I93">
        <f t="shared" si="7"/>
        <v>0.63618337680771953</v>
      </c>
      <c r="K93">
        <f t="shared" si="11"/>
        <v>0.64526645088674128</v>
      </c>
      <c r="L93">
        <f t="shared" si="12"/>
        <v>-0.57645870088847617</v>
      </c>
      <c r="N93">
        <v>952.16063999999994</v>
      </c>
      <c r="O93">
        <f t="shared" si="13"/>
        <v>4.7608031999999998</v>
      </c>
    </row>
    <row r="94" spans="1:15">
      <c r="A94">
        <v>4.84</v>
      </c>
      <c r="B94">
        <f t="shared" si="8"/>
        <v>968</v>
      </c>
      <c r="C94">
        <v>0.53</v>
      </c>
      <c r="D94" s="1">
        <v>2.2523378953337669E-2</v>
      </c>
      <c r="E94">
        <f t="shared" si="9"/>
        <v>968</v>
      </c>
      <c r="F94">
        <f t="shared" si="10"/>
        <v>1.8023378953337669E-2</v>
      </c>
      <c r="I94">
        <f t="shared" si="7"/>
        <v>0.63901315413415438</v>
      </c>
      <c r="K94">
        <f t="shared" si="11"/>
        <v>0.64856554497942331</v>
      </c>
      <c r="L94">
        <f t="shared" si="12"/>
        <v>-0.57315960679579414</v>
      </c>
      <c r="N94">
        <v>962.75166000000002</v>
      </c>
      <c r="O94">
        <f t="shared" si="13"/>
        <v>4.8137582999999999</v>
      </c>
    </row>
    <row r="95" spans="1:15">
      <c r="A95">
        <v>4.8899999999999997</v>
      </c>
      <c r="B95">
        <f t="shared" si="8"/>
        <v>977.99999999999989</v>
      </c>
      <c r="C95">
        <v>0.52800000000000002</v>
      </c>
      <c r="D95" s="1">
        <v>2.1605027839541435E-2</v>
      </c>
      <c r="E95">
        <f t="shared" si="9"/>
        <v>977.99999999999989</v>
      </c>
      <c r="F95">
        <f t="shared" si="10"/>
        <v>1.7105027839541435E-2</v>
      </c>
      <c r="I95">
        <f t="shared" si="7"/>
        <v>0.63364858613535768</v>
      </c>
      <c r="K95">
        <f t="shared" si="11"/>
        <v>0.64268004083463559</v>
      </c>
      <c r="L95">
        <f t="shared" si="12"/>
        <v>-0.57904511094058186</v>
      </c>
      <c r="N95">
        <v>973.54638</v>
      </c>
      <c r="O95">
        <f t="shared" si="13"/>
        <v>4.8677318999999999</v>
      </c>
    </row>
    <row r="96" spans="1:15">
      <c r="A96">
        <v>4.9400000000000004</v>
      </c>
      <c r="B96">
        <f t="shared" si="8"/>
        <v>988.00000000000011</v>
      </c>
      <c r="C96">
        <v>0.52600000000000002</v>
      </c>
      <c r="D96" s="1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7"/>
        <v>0.63645377541333437</v>
      </c>
      <c r="K96">
        <f t="shared" si="11"/>
        <v>0.64584764299783115</v>
      </c>
      <c r="L96">
        <f t="shared" si="12"/>
        <v>-0.5758775087773863</v>
      </c>
      <c r="N96">
        <v>984.03563999999994</v>
      </c>
      <c r="O96">
        <f t="shared" si="13"/>
        <v>4.9201781999999996</v>
      </c>
    </row>
    <row r="97" spans="1:15">
      <c r="A97">
        <v>4.99</v>
      </c>
      <c r="B97">
        <f t="shared" si="8"/>
        <v>998</v>
      </c>
      <c r="C97">
        <v>0.52400000000000002</v>
      </c>
      <c r="D97" s="1">
        <v>2.1708402782678604E-2</v>
      </c>
      <c r="E97">
        <f t="shared" si="9"/>
        <v>998</v>
      </c>
      <c r="F97">
        <f t="shared" si="10"/>
        <v>1.7208402782678604E-2</v>
      </c>
      <c r="I97">
        <f t="shared" si="7"/>
        <v>0.63232492988556621</v>
      </c>
      <c r="K97">
        <f t="shared" si="11"/>
        <v>0.6413421329436898</v>
      </c>
      <c r="L97">
        <f t="shared" si="12"/>
        <v>-0.58038301883152765</v>
      </c>
      <c r="N97">
        <v>994.62656000000004</v>
      </c>
      <c r="O97">
        <f t="shared" si="13"/>
        <v>4.9731328000000001</v>
      </c>
    </row>
    <row r="98" spans="1:15">
      <c r="A98">
        <v>5.05</v>
      </c>
      <c r="B98">
        <f t="shared" si="8"/>
        <v>1010</v>
      </c>
      <c r="C98">
        <v>0.52100000000000002</v>
      </c>
      <c r="D98" s="1">
        <v>2.2254021838307381E-2</v>
      </c>
      <c r="E98">
        <f t="shared" si="9"/>
        <v>1010</v>
      </c>
      <c r="F98">
        <f t="shared" si="10"/>
        <v>1.775402183830738E-2</v>
      </c>
      <c r="I98">
        <f t="shared" si="7"/>
        <v>0.63338281028345234</v>
      </c>
      <c r="K98">
        <f t="shared" si="11"/>
        <v>0.64263265566121053</v>
      </c>
      <c r="L98">
        <f t="shared" si="12"/>
        <v>-0.57909249611400693</v>
      </c>
      <c r="N98">
        <v>1005.93038</v>
      </c>
      <c r="O98">
        <f t="shared" si="13"/>
        <v>5.0296519000000002</v>
      </c>
    </row>
    <row r="99" spans="1:15">
      <c r="A99">
        <v>5.0999999999999996</v>
      </c>
      <c r="B99">
        <f t="shared" si="8"/>
        <v>1019.9999999999999</v>
      </c>
      <c r="C99">
        <v>0.51900000000000002</v>
      </c>
      <c r="D99" s="1">
        <v>2.2036757320165634E-2</v>
      </c>
      <c r="E99">
        <f t="shared" si="9"/>
        <v>1019.9999999999999</v>
      </c>
      <c r="F99">
        <f t="shared" si="10"/>
        <v>1.7536757320165634E-2</v>
      </c>
      <c r="I99">
        <f t="shared" si="7"/>
        <v>0.63138746233284471</v>
      </c>
      <c r="K99">
        <f t="shared" si="11"/>
        <v>0.64048903938201063</v>
      </c>
      <c r="L99">
        <f t="shared" si="12"/>
        <v>-0.58123611239320683</v>
      </c>
      <c r="N99">
        <v>1016.52138</v>
      </c>
      <c r="O99">
        <f t="shared" si="13"/>
        <v>5.0826069</v>
      </c>
    </row>
    <row r="100" spans="1:15">
      <c r="A100">
        <v>5.15</v>
      </c>
      <c r="B100">
        <f t="shared" si="8"/>
        <v>1030</v>
      </c>
      <c r="C100">
        <v>0.51700000000000002</v>
      </c>
      <c r="D100" s="1">
        <v>2.2387169301509857E-2</v>
      </c>
      <c r="E100">
        <f t="shared" si="9"/>
        <v>1030</v>
      </c>
      <c r="F100">
        <f t="shared" si="10"/>
        <v>1.7887169301509857E-2</v>
      </c>
      <c r="I100">
        <f t="shared" si="7"/>
        <v>0.63229392190277578</v>
      </c>
      <c r="K100">
        <f t="shared" si="11"/>
        <v>0.64154158843165643</v>
      </c>
      <c r="L100">
        <f t="shared" si="12"/>
        <v>-0.58018356334356103</v>
      </c>
      <c r="N100">
        <v>1027.31612</v>
      </c>
      <c r="O100">
        <f t="shared" si="13"/>
        <v>5.1365805999999994</v>
      </c>
    </row>
    <row r="101" spans="1:15">
      <c r="A101">
        <v>5.21</v>
      </c>
      <c r="B101">
        <f t="shared" si="8"/>
        <v>1042</v>
      </c>
      <c r="C101">
        <v>0.51400000000000001</v>
      </c>
      <c r="D101" s="1">
        <v>2.2003279998898506E-2</v>
      </c>
      <c r="E101">
        <f t="shared" si="9"/>
        <v>1042</v>
      </c>
      <c r="F101">
        <f t="shared" si="10"/>
        <v>1.7503279998898506E-2</v>
      </c>
      <c r="I101">
        <f t="shared" si="7"/>
        <v>0.62863708879426117</v>
      </c>
      <c r="K101">
        <f t="shared" si="11"/>
        <v>0.63763377471369498</v>
      </c>
      <c r="L101">
        <f t="shared" si="12"/>
        <v>-0.58409137706152248</v>
      </c>
      <c r="N101">
        <v>1037.4998000000001</v>
      </c>
      <c r="O101">
        <f t="shared" si="13"/>
        <v>5.1874989999999999</v>
      </c>
    </row>
    <row r="102" spans="1:15">
      <c r="A102">
        <v>5.26</v>
      </c>
      <c r="B102">
        <f t="shared" si="8"/>
        <v>1052</v>
      </c>
      <c r="C102">
        <v>0.51200000000000001</v>
      </c>
      <c r="D102" s="1">
        <v>2.2290784865617752E-2</v>
      </c>
      <c r="E102">
        <f t="shared" si="9"/>
        <v>1052</v>
      </c>
      <c r="F102">
        <f t="shared" si="10"/>
        <v>1.7790784865617752E-2</v>
      </c>
      <c r="I102">
        <f t="shared" si="7"/>
        <v>0.6292495283931494</v>
      </c>
      <c r="K102">
        <f t="shared" si="11"/>
        <v>0.6383584102443457</v>
      </c>
      <c r="L102">
        <f t="shared" si="12"/>
        <v>-0.58336674153087176</v>
      </c>
      <c r="N102">
        <v>1047.6833999999999</v>
      </c>
      <c r="O102">
        <f t="shared" si="13"/>
        <v>5.2384169999999992</v>
      </c>
    </row>
    <row r="103" spans="1:15">
      <c r="A103">
        <v>5.31</v>
      </c>
      <c r="B103">
        <f t="shared" si="8"/>
        <v>1062</v>
      </c>
      <c r="C103">
        <v>0.51</v>
      </c>
      <c r="D103" s="1">
        <v>2.2049127146601677E-2</v>
      </c>
      <c r="E103">
        <f t="shared" si="9"/>
        <v>1062</v>
      </c>
      <c r="F103">
        <f t="shared" si="10"/>
        <v>1.7549127146601676E-2</v>
      </c>
      <c r="I103">
        <f t="shared" si="7"/>
        <v>0.62708086514845496</v>
      </c>
      <c r="K103">
        <f t="shared" si="11"/>
        <v>0.63603091999322181</v>
      </c>
      <c r="L103">
        <f t="shared" si="12"/>
        <v>-0.58569423178199564</v>
      </c>
      <c r="N103">
        <v>1057.7653399999999</v>
      </c>
      <c r="O103">
        <f t="shared" si="13"/>
        <v>5.2888266999999995</v>
      </c>
    </row>
    <row r="104" spans="1:15">
      <c r="A104">
        <v>5.36</v>
      </c>
      <c r="B104">
        <f t="shared" si="8"/>
        <v>1072</v>
      </c>
      <c r="C104">
        <v>0.50800000000000001</v>
      </c>
      <c r="D104" s="1">
        <v>2.2027615457773209E-2</v>
      </c>
      <c r="E104">
        <f t="shared" si="9"/>
        <v>1072</v>
      </c>
      <c r="F104">
        <f t="shared" si="10"/>
        <v>1.7527615457773208E-2</v>
      </c>
      <c r="I104">
        <f t="shared" si="7"/>
        <v>0.62606801885366437</v>
      </c>
      <c r="K104">
        <f t="shared" si="11"/>
        <v>0.63497204750621317</v>
      </c>
      <c r="L104">
        <f t="shared" si="12"/>
        <v>-0.58675310426900429</v>
      </c>
      <c r="N104">
        <v>1069.3746000000001</v>
      </c>
      <c r="O104">
        <f t="shared" si="13"/>
        <v>5.3468730000000004</v>
      </c>
    </row>
    <row r="105" spans="1:15">
      <c r="A105">
        <v>5.41</v>
      </c>
      <c r="B105">
        <f t="shared" si="8"/>
        <v>1082</v>
      </c>
      <c r="C105">
        <v>0.50600000000000001</v>
      </c>
      <c r="D105" s="1">
        <v>2.1767960861325264E-2</v>
      </c>
      <c r="E105">
        <f t="shared" si="9"/>
        <v>1082</v>
      </c>
      <c r="F105">
        <f t="shared" si="10"/>
        <v>1.7267960861325263E-2</v>
      </c>
      <c r="I105">
        <f t="shared" si="7"/>
        <v>0.62376466825976973</v>
      </c>
      <c r="K105">
        <f t="shared" si="11"/>
        <v>0.63250225645560032</v>
      </c>
      <c r="L105">
        <f t="shared" si="12"/>
        <v>-0.58922289531961713</v>
      </c>
      <c r="N105">
        <v>1079.7620199999999</v>
      </c>
      <c r="O105">
        <f t="shared" si="13"/>
        <v>5.3988100999999995</v>
      </c>
    </row>
    <row r="106" spans="1:15">
      <c r="A106">
        <v>5.48</v>
      </c>
      <c r="B106">
        <f t="shared" si="8"/>
        <v>1096</v>
      </c>
      <c r="C106">
        <v>0.503</v>
      </c>
      <c r="D106" s="1">
        <v>2.2186625748872757E-2</v>
      </c>
      <c r="E106">
        <f t="shared" si="9"/>
        <v>1096</v>
      </c>
      <c r="F106">
        <f t="shared" si="10"/>
        <v>1.7686625748872756E-2</v>
      </c>
      <c r="I106">
        <f t="shared" si="7"/>
        <v>0.62458270910382274</v>
      </c>
      <c r="K106">
        <f t="shared" si="11"/>
        <v>0.63347908185550572</v>
      </c>
      <c r="L106">
        <f t="shared" si="12"/>
        <v>-0.58824606991971173</v>
      </c>
      <c r="N106">
        <v>1090.04756</v>
      </c>
      <c r="O106">
        <f t="shared" si="13"/>
        <v>5.4502378</v>
      </c>
    </row>
    <row r="107" spans="1:15">
      <c r="A107">
        <v>5.53</v>
      </c>
      <c r="B107">
        <f t="shared" si="8"/>
        <v>1106</v>
      </c>
      <c r="C107">
        <v>0.501</v>
      </c>
      <c r="D107" s="1">
        <v>2.234361320734024E-2</v>
      </c>
      <c r="E107">
        <f t="shared" si="9"/>
        <v>1106</v>
      </c>
      <c r="F107">
        <f t="shared" si="10"/>
        <v>1.784361320734024E-2</v>
      </c>
      <c r="I107">
        <f t="shared" si="7"/>
        <v>0.6245601810365915</v>
      </c>
      <c r="K107">
        <f t="shared" si="11"/>
        <v>0.63349983125346898</v>
      </c>
      <c r="L107">
        <f t="shared" si="12"/>
        <v>-0.58822532052174847</v>
      </c>
      <c r="N107">
        <v>1100.3330000000001</v>
      </c>
      <c r="O107">
        <f t="shared" si="13"/>
        <v>5.501665</v>
      </c>
    </row>
    <row r="108" spans="1:15">
      <c r="A108">
        <v>5.58</v>
      </c>
      <c r="B108">
        <f t="shared" si="8"/>
        <v>1116</v>
      </c>
      <c r="C108">
        <v>0.499</v>
      </c>
      <c r="D108" s="1">
        <v>2.194085530936718E-2</v>
      </c>
      <c r="E108">
        <f t="shared" si="9"/>
        <v>1116</v>
      </c>
      <c r="F108">
        <f t="shared" si="10"/>
        <v>1.7440855309367179E-2</v>
      </c>
      <c r="I108">
        <f t="shared" si="7"/>
        <v>0.62142997262626887</v>
      </c>
      <c r="K108">
        <f t="shared" si="11"/>
        <v>0.63013295942564307</v>
      </c>
      <c r="L108">
        <f t="shared" si="12"/>
        <v>-0.59159219234957439</v>
      </c>
      <c r="N108">
        <v>1111.53496</v>
      </c>
      <c r="O108">
        <f t="shared" si="13"/>
        <v>5.5576748</v>
      </c>
    </row>
    <row r="109" spans="1:15">
      <c r="A109">
        <v>5.63</v>
      </c>
      <c r="B109">
        <f t="shared" si="8"/>
        <v>1126</v>
      </c>
      <c r="C109">
        <v>0.496</v>
      </c>
      <c r="D109" s="1">
        <v>2.266308106482029E-2</v>
      </c>
      <c r="E109">
        <f t="shared" si="9"/>
        <v>1126</v>
      </c>
      <c r="F109">
        <f t="shared" si="10"/>
        <v>1.8163081064820289E-2</v>
      </c>
      <c r="I109">
        <f t="shared" si="7"/>
        <v>0.62359314639493824</v>
      </c>
      <c r="K109">
        <f t="shared" si="11"/>
        <v>0.63260203460308906</v>
      </c>
      <c r="L109">
        <f t="shared" si="12"/>
        <v>-0.5891231171721284</v>
      </c>
      <c r="N109">
        <v>1122.12608</v>
      </c>
      <c r="O109">
        <f t="shared" si="13"/>
        <v>5.6106303999999998</v>
      </c>
    </row>
    <row r="110" spans="1:15">
      <c r="A110">
        <v>5.69</v>
      </c>
      <c r="B110">
        <f t="shared" si="8"/>
        <v>1138</v>
      </c>
      <c r="C110">
        <v>0.49399999999999999</v>
      </c>
      <c r="D110" s="1">
        <v>2.2642260417342186E-2</v>
      </c>
      <c r="E110">
        <f t="shared" si="9"/>
        <v>1138</v>
      </c>
      <c r="F110">
        <f t="shared" si="10"/>
        <v>1.8142260417342185E-2</v>
      </c>
      <c r="I110">
        <f t="shared" si="7"/>
        <v>0.62283446177467705</v>
      </c>
      <c r="K110">
        <f t="shared" si="11"/>
        <v>0.63179673842084405</v>
      </c>
      <c r="L110">
        <f t="shared" si="12"/>
        <v>-0.5899284133543734</v>
      </c>
      <c r="N110">
        <v>1132.3097600000001</v>
      </c>
      <c r="O110">
        <f t="shared" si="13"/>
        <v>5.6615488000000003</v>
      </c>
    </row>
    <row r="111" spans="1:15">
      <c r="A111">
        <v>5.74</v>
      </c>
      <c r="B111">
        <f t="shared" si="8"/>
        <v>1148</v>
      </c>
      <c r="C111">
        <v>0.49199999999999999</v>
      </c>
      <c r="D111" s="1">
        <v>2.1456046029925346E-2</v>
      </c>
      <c r="E111">
        <f t="shared" si="9"/>
        <v>1148</v>
      </c>
      <c r="F111">
        <f t="shared" si="10"/>
        <v>1.6956046029925346E-2</v>
      </c>
      <c r="I111">
        <f t="shared" si="7"/>
        <v>0.61515770421177152</v>
      </c>
      <c r="K111">
        <f t="shared" si="11"/>
        <v>0.62350007885849479</v>
      </c>
      <c r="L111">
        <f t="shared" si="12"/>
        <v>-0.59822507291672267</v>
      </c>
      <c r="N111">
        <v>1143.00254</v>
      </c>
      <c r="O111">
        <f t="shared" si="13"/>
        <v>5.7150126999999999</v>
      </c>
    </row>
    <row r="112" spans="1:15">
      <c r="A112">
        <v>5.79</v>
      </c>
      <c r="B112">
        <f t="shared" si="8"/>
        <v>1158</v>
      </c>
      <c r="C112">
        <v>0.49</v>
      </c>
      <c r="D112" s="1">
        <v>2.2721694782376289E-2</v>
      </c>
      <c r="E112">
        <f t="shared" si="9"/>
        <v>1158</v>
      </c>
      <c r="F112">
        <f t="shared" si="10"/>
        <v>1.8221694782376289E-2</v>
      </c>
      <c r="I112">
        <f t="shared" si="7"/>
        <v>0.62155861278995872</v>
      </c>
      <c r="K112">
        <f t="shared" si="11"/>
        <v>0.63048724323332306</v>
      </c>
      <c r="L112">
        <f t="shared" si="12"/>
        <v>-0.5912379085418944</v>
      </c>
      <c r="N112">
        <v>1153.08448</v>
      </c>
      <c r="O112">
        <f t="shared" si="13"/>
        <v>5.7654224000000003</v>
      </c>
    </row>
    <row r="113" spans="1:15">
      <c r="A113">
        <v>5.84</v>
      </c>
      <c r="B113">
        <f t="shared" si="8"/>
        <v>1168</v>
      </c>
      <c r="C113">
        <v>0.48799999999999999</v>
      </c>
      <c r="D113" s="1">
        <v>2.2836271673440933E-2</v>
      </c>
      <c r="E113">
        <f t="shared" si="9"/>
        <v>1168</v>
      </c>
      <c r="F113">
        <f t="shared" si="10"/>
        <v>1.8336271673440933E-2</v>
      </c>
      <c r="I113">
        <f t="shared" si="7"/>
        <v>0.62136382657289502</v>
      </c>
      <c r="K113">
        <f t="shared" si="11"/>
        <v>0.63031192714953421</v>
      </c>
      <c r="L113">
        <f t="shared" si="12"/>
        <v>-0.59141322462568324</v>
      </c>
      <c r="N113">
        <v>1164.2864199999999</v>
      </c>
      <c r="O113">
        <f t="shared" si="13"/>
        <v>5.8214320999999991</v>
      </c>
    </row>
    <row r="114" spans="1:15">
      <c r="A114">
        <v>5.9</v>
      </c>
      <c r="B114">
        <f t="shared" si="8"/>
        <v>1180</v>
      </c>
      <c r="C114">
        <v>0.48499999999999999</v>
      </c>
      <c r="D114" s="1">
        <v>2.2560978308320045E-2</v>
      </c>
      <c r="E114">
        <f t="shared" si="9"/>
        <v>1180</v>
      </c>
      <c r="F114">
        <f t="shared" si="10"/>
        <v>1.8060978308320045E-2</v>
      </c>
      <c r="I114">
        <f t="shared" si="7"/>
        <v>0.61810977201908823</v>
      </c>
      <c r="K114">
        <f t="shared" si="11"/>
        <v>0.62686934649862347</v>
      </c>
      <c r="L114">
        <f t="shared" si="12"/>
        <v>-0.59485580527659399</v>
      </c>
      <c r="N114">
        <v>1174.77568</v>
      </c>
      <c r="O114">
        <f t="shared" si="13"/>
        <v>5.8738783999999997</v>
      </c>
    </row>
    <row r="115" spans="1:15">
      <c r="A115">
        <v>5.95</v>
      </c>
      <c r="B115">
        <f t="shared" si="8"/>
        <v>1190</v>
      </c>
      <c r="C115">
        <v>0.48299999999999998</v>
      </c>
      <c r="D115" s="1">
        <v>2.2831900045275688E-2</v>
      </c>
      <c r="E115">
        <f t="shared" si="9"/>
        <v>1190</v>
      </c>
      <c r="F115">
        <f t="shared" si="10"/>
        <v>1.8331900045275688E-2</v>
      </c>
      <c r="I115">
        <f t="shared" si="7"/>
        <v>0.61884980526939037</v>
      </c>
      <c r="K115">
        <f t="shared" si="11"/>
        <v>0.6277041129912585</v>
      </c>
      <c r="L115">
        <f t="shared" si="12"/>
        <v>-0.59402103878395895</v>
      </c>
      <c r="N115">
        <v>1185.57032</v>
      </c>
      <c r="O115">
        <f t="shared" si="13"/>
        <v>5.9278516000000003</v>
      </c>
    </row>
    <row r="116" spans="1:15">
      <c r="A116">
        <v>6</v>
      </c>
      <c r="B116">
        <f t="shared" si="8"/>
        <v>1200</v>
      </c>
      <c r="C116">
        <v>0.48099999999999998</v>
      </c>
      <c r="D116" s="1">
        <v>2.2245129570364952E-2</v>
      </c>
      <c r="E116">
        <f t="shared" si="9"/>
        <v>1200</v>
      </c>
      <c r="F116">
        <f t="shared" si="10"/>
        <v>1.7745129570364952E-2</v>
      </c>
      <c r="I116">
        <f t="shared" si="7"/>
        <v>0.6144707774221897</v>
      </c>
      <c r="K116">
        <f t="shared" si="11"/>
        <v>0.62300618474553526</v>
      </c>
      <c r="L116">
        <f t="shared" si="12"/>
        <v>-0.59871896702968219</v>
      </c>
      <c r="N116">
        <v>1195.6520599999999</v>
      </c>
      <c r="O116">
        <f t="shared" si="13"/>
        <v>5.9782602999999996</v>
      </c>
    </row>
    <row r="117" spans="1:15">
      <c r="A117">
        <v>6.05</v>
      </c>
      <c r="B117">
        <f t="shared" si="8"/>
        <v>1210</v>
      </c>
      <c r="C117">
        <v>0.47899999999999998</v>
      </c>
      <c r="D117" s="1">
        <v>2.2771291434764862E-2</v>
      </c>
      <c r="E117">
        <f t="shared" si="9"/>
        <v>1210</v>
      </c>
      <c r="F117">
        <f t="shared" si="10"/>
        <v>1.8271291434764862E-2</v>
      </c>
      <c r="I117">
        <f t="shared" si="7"/>
        <v>0.61676631318032737</v>
      </c>
      <c r="K117">
        <f t="shared" si="11"/>
        <v>0.62551826177757974</v>
      </c>
      <c r="L117">
        <f t="shared" si="12"/>
        <v>-0.59620688999763771</v>
      </c>
      <c r="N117">
        <v>1206.03946</v>
      </c>
      <c r="O117">
        <f t="shared" si="13"/>
        <v>6.0301973000000002</v>
      </c>
    </row>
    <row r="118" spans="1:15">
      <c r="A118">
        <v>6.11</v>
      </c>
      <c r="B118">
        <f t="shared" si="8"/>
        <v>1222</v>
      </c>
      <c r="C118">
        <v>0.47699999999999998</v>
      </c>
      <c r="D118" s="1">
        <v>2.2821690887212753E-2</v>
      </c>
      <c r="E118">
        <f t="shared" si="9"/>
        <v>1222</v>
      </c>
      <c r="F118">
        <f t="shared" si="10"/>
        <v>1.8321690887212753E-2</v>
      </c>
      <c r="I118">
        <f t="shared" si="7"/>
        <v>0.61644053132086984</v>
      </c>
      <c r="K118">
        <f t="shared" si="11"/>
        <v>0.62517997787407031</v>
      </c>
      <c r="L118">
        <f t="shared" si="12"/>
        <v>-0.59654517390114714</v>
      </c>
      <c r="N118">
        <v>1216.2231400000001</v>
      </c>
      <c r="O118">
        <f t="shared" si="13"/>
        <v>6.0811157000000007</v>
      </c>
    </row>
    <row r="119" spans="1:15">
      <c r="A119">
        <v>6.16</v>
      </c>
      <c r="B119">
        <f t="shared" si="8"/>
        <v>1232</v>
      </c>
      <c r="C119">
        <v>0.47399999999999998</v>
      </c>
      <c r="D119" s="1">
        <v>2.2332519292831421E-2</v>
      </c>
      <c r="E119">
        <f t="shared" si="9"/>
        <v>1232</v>
      </c>
      <c r="F119">
        <f t="shared" si="10"/>
        <v>1.783251929283142E-2</v>
      </c>
      <c r="I119">
        <f t="shared" si="7"/>
        <v>0.61156831884384155</v>
      </c>
      <c r="K119">
        <f t="shared" si="11"/>
        <v>0.62002093298864369</v>
      </c>
      <c r="L119">
        <f t="shared" si="12"/>
        <v>-0.60170421878657376</v>
      </c>
      <c r="N119">
        <v>1226.4067399999999</v>
      </c>
      <c r="O119">
        <f t="shared" si="13"/>
        <v>6.1320336999999991</v>
      </c>
    </row>
    <row r="120" spans="1:15">
      <c r="A120">
        <v>6.21</v>
      </c>
      <c r="B120">
        <f t="shared" si="8"/>
        <v>1242</v>
      </c>
      <c r="C120">
        <v>0.47299999999999998</v>
      </c>
      <c r="D120" s="1">
        <v>2.3083848878741264E-2</v>
      </c>
      <c r="E120">
        <f t="shared" si="9"/>
        <v>1242</v>
      </c>
      <c r="F120">
        <f t="shared" si="10"/>
        <v>1.8583848878741264E-2</v>
      </c>
      <c r="I120">
        <f t="shared" si="7"/>
        <v>0.61635070153698324</v>
      </c>
      <c r="K120">
        <f t="shared" si="11"/>
        <v>0.62514086205662789</v>
      </c>
      <c r="L120">
        <f t="shared" si="12"/>
        <v>-0.59658428971858957</v>
      </c>
      <c r="N120">
        <v>1236.4886799999999</v>
      </c>
      <c r="O120">
        <f t="shared" si="13"/>
        <v>6.1824433999999995</v>
      </c>
    </row>
    <row r="121" spans="1:15">
      <c r="A121">
        <v>6.27</v>
      </c>
      <c r="B121">
        <f t="shared" si="8"/>
        <v>1254</v>
      </c>
      <c r="C121">
        <v>0.47</v>
      </c>
      <c r="D121" s="1">
        <v>2.2485846653580666E-2</v>
      </c>
      <c r="E121">
        <f t="shared" si="9"/>
        <v>1254</v>
      </c>
      <c r="F121">
        <f t="shared" si="10"/>
        <v>1.7985846653580665E-2</v>
      </c>
      <c r="I121">
        <f t="shared" si="7"/>
        <v>0.61098625851795074</v>
      </c>
      <c r="K121">
        <f t="shared" si="11"/>
        <v>0.61943960644513363</v>
      </c>
      <c r="L121">
        <f t="shared" si="12"/>
        <v>-0.60228554533008383</v>
      </c>
      <c r="N121">
        <v>1247.0796800000001</v>
      </c>
      <c r="O121">
        <f t="shared" si="13"/>
        <v>6.2353984000000002</v>
      </c>
    </row>
    <row r="122" spans="1:15">
      <c r="A122">
        <v>6.32</v>
      </c>
      <c r="B122">
        <f t="shared" si="8"/>
        <v>1264</v>
      </c>
      <c r="C122">
        <v>0.46800000000000003</v>
      </c>
      <c r="D122" s="1">
        <v>2.3159187287092209E-2</v>
      </c>
      <c r="E122">
        <f t="shared" si="9"/>
        <v>1264</v>
      </c>
      <c r="F122">
        <f t="shared" si="10"/>
        <v>1.8659187287092208E-2</v>
      </c>
      <c r="I122">
        <f t="shared" si="7"/>
        <v>0.61436606365442281</v>
      </c>
      <c r="K122">
        <f t="shared" si="11"/>
        <v>0.62309856330478197</v>
      </c>
      <c r="L122">
        <f t="shared" si="12"/>
        <v>-0.59862658847043548</v>
      </c>
      <c r="N122">
        <v>1257.3650399999999</v>
      </c>
      <c r="O122">
        <f t="shared" si="13"/>
        <v>6.2868251999999991</v>
      </c>
    </row>
    <row r="123" spans="1:15">
      <c r="A123">
        <v>6.37</v>
      </c>
      <c r="B123">
        <f t="shared" si="8"/>
        <v>1274</v>
      </c>
      <c r="C123">
        <v>0.46600000000000003</v>
      </c>
      <c r="D123" s="1">
        <v>2.3081380873918533E-2</v>
      </c>
      <c r="E123">
        <f t="shared" si="9"/>
        <v>1274</v>
      </c>
      <c r="F123">
        <f t="shared" si="10"/>
        <v>1.8581380873918533E-2</v>
      </c>
      <c r="I123">
        <f t="shared" si="7"/>
        <v>0.61302839616686111</v>
      </c>
      <c r="K123">
        <f t="shared" si="11"/>
        <v>0.62168731965410717</v>
      </c>
      <c r="L123">
        <f t="shared" si="12"/>
        <v>-0.60003783212111028</v>
      </c>
      <c r="N123">
        <v>1267.54874</v>
      </c>
      <c r="O123">
        <f t="shared" si="13"/>
        <v>6.3377436999999999</v>
      </c>
    </row>
    <row r="124" spans="1:15">
      <c r="A124">
        <v>6.42</v>
      </c>
      <c r="B124">
        <f t="shared" si="8"/>
        <v>1284</v>
      </c>
      <c r="C124">
        <v>0.46400000000000002</v>
      </c>
      <c r="D124" s="1">
        <v>2.2287413477897644E-2</v>
      </c>
      <c r="E124">
        <f t="shared" si="9"/>
        <v>1284</v>
      </c>
      <c r="F124">
        <f t="shared" si="10"/>
        <v>1.7787413477897644E-2</v>
      </c>
      <c r="I124">
        <f t="shared" si="7"/>
        <v>0.60708519452810283</v>
      </c>
      <c r="K124">
        <f t="shared" si="11"/>
        <v>0.61533855438184737</v>
      </c>
      <c r="L124">
        <f t="shared" si="12"/>
        <v>-0.60638659739337009</v>
      </c>
      <c r="N124">
        <v>1277.93604</v>
      </c>
      <c r="O124">
        <f t="shared" si="13"/>
        <v>6.3896801999999999</v>
      </c>
    </row>
    <row r="125" spans="1:15">
      <c r="A125">
        <v>6.47</v>
      </c>
      <c r="B125">
        <f t="shared" si="8"/>
        <v>1294</v>
      </c>
      <c r="C125">
        <v>0.46200000000000002</v>
      </c>
      <c r="D125" s="1">
        <v>2.303110808134079E-2</v>
      </c>
      <c r="E125">
        <f t="shared" si="9"/>
        <v>1294</v>
      </c>
      <c r="F125">
        <f t="shared" si="10"/>
        <v>1.8531108081340789E-2</v>
      </c>
      <c r="I125">
        <f t="shared" si="7"/>
        <v>0.61101126928627492</v>
      </c>
      <c r="K125">
        <f t="shared" si="11"/>
        <v>0.61957264121985434</v>
      </c>
      <c r="L125">
        <f t="shared" si="12"/>
        <v>-0.60215251055536312</v>
      </c>
      <c r="N125">
        <v>1288.6289999999999</v>
      </c>
      <c r="O125">
        <f t="shared" si="13"/>
        <v>6.4431449999999995</v>
      </c>
    </row>
    <row r="126" spans="1:15">
      <c r="A126">
        <v>6.53</v>
      </c>
      <c r="B126">
        <f t="shared" si="8"/>
        <v>1306</v>
      </c>
      <c r="C126">
        <v>0.46</v>
      </c>
      <c r="D126" s="1">
        <v>2.348831482231617E-2</v>
      </c>
      <c r="E126">
        <f t="shared" si="9"/>
        <v>1306</v>
      </c>
      <c r="F126">
        <f t="shared" si="10"/>
        <v>1.8988314822316169E-2</v>
      </c>
      <c r="I126">
        <f t="shared" si="7"/>
        <v>0.61337869578972459</v>
      </c>
      <c r="K126">
        <f t="shared" si="11"/>
        <v>0.62211332060799007</v>
      </c>
      <c r="L126">
        <f t="shared" si="12"/>
        <v>-0.59961183116722738</v>
      </c>
      <c r="N126">
        <v>1299.11816</v>
      </c>
      <c r="O126">
        <f t="shared" si="13"/>
        <v>6.4955907999999996</v>
      </c>
    </row>
    <row r="127" spans="1:15">
      <c r="A127">
        <v>6.58</v>
      </c>
      <c r="B127">
        <f t="shared" si="8"/>
        <v>1316</v>
      </c>
      <c r="C127">
        <v>0.45800000000000002</v>
      </c>
      <c r="D127" s="1">
        <v>2.2629233077168465E-2</v>
      </c>
      <c r="E127">
        <f t="shared" si="9"/>
        <v>1316</v>
      </c>
      <c r="F127">
        <f t="shared" si="10"/>
        <v>1.8129233077168464E-2</v>
      </c>
      <c r="I127">
        <f t="shared" si="7"/>
        <v>0.60690035364776851</v>
      </c>
      <c r="K127">
        <f t="shared" si="11"/>
        <v>0.61520354239711161</v>
      </c>
      <c r="L127">
        <f t="shared" si="12"/>
        <v>-0.60652160937810584</v>
      </c>
      <c r="N127">
        <v>1309.40362</v>
      </c>
      <c r="O127">
        <f t="shared" si="13"/>
        <v>6.5470180999999998</v>
      </c>
    </row>
    <row r="128" spans="1:15">
      <c r="A128">
        <v>6.63</v>
      </c>
      <c r="B128">
        <f t="shared" si="8"/>
        <v>1326</v>
      </c>
      <c r="C128">
        <v>0.45500000000000002</v>
      </c>
      <c r="D128" s="1">
        <v>2.3756466805934906E-2</v>
      </c>
      <c r="E128">
        <f t="shared" si="9"/>
        <v>1326</v>
      </c>
      <c r="F128">
        <f t="shared" si="10"/>
        <v>1.9256466805934905E-2</v>
      </c>
      <c r="I128">
        <f t="shared" si="7"/>
        <v>0.61250537492334844</v>
      </c>
      <c r="K128">
        <f t="shared" si="11"/>
        <v>0.62126706732004888</v>
      </c>
      <c r="L128">
        <f t="shared" si="12"/>
        <v>-0.60045808445516857</v>
      </c>
      <c r="N128">
        <v>1320.1983399999999</v>
      </c>
      <c r="O128">
        <f t="shared" si="13"/>
        <v>6.6009916999999998</v>
      </c>
    </row>
    <row r="129" spans="1:15">
      <c r="A129">
        <v>6.68</v>
      </c>
      <c r="B129">
        <f t="shared" si="8"/>
        <v>1336</v>
      </c>
      <c r="C129">
        <v>0.45300000000000001</v>
      </c>
      <c r="D129" s="1">
        <v>2.2980403155088425E-2</v>
      </c>
      <c r="E129">
        <f t="shared" si="9"/>
        <v>1336</v>
      </c>
      <c r="F129">
        <f t="shared" si="10"/>
        <v>1.8480403155088424E-2</v>
      </c>
      <c r="I129">
        <f t="shared" si="7"/>
        <v>0.60650909307599066</v>
      </c>
      <c r="K129">
        <f t="shared" si="11"/>
        <v>0.61488071570524572</v>
      </c>
      <c r="L129">
        <f t="shared" si="12"/>
        <v>-0.60684443606997174</v>
      </c>
      <c r="N129">
        <v>1330.6875</v>
      </c>
      <c r="O129">
        <f t="shared" si="13"/>
        <v>6.6534374999999999</v>
      </c>
    </row>
    <row r="130" spans="1:15">
      <c r="A130">
        <v>6.73</v>
      </c>
      <c r="B130">
        <f t="shared" si="8"/>
        <v>1346</v>
      </c>
      <c r="C130">
        <v>0.45100000000000001</v>
      </c>
      <c r="D130" s="1">
        <v>2.2842656821012497E-2</v>
      </c>
      <c r="E130">
        <f t="shared" si="9"/>
        <v>1346</v>
      </c>
      <c r="F130">
        <f t="shared" si="10"/>
        <v>1.8342656821012496E-2</v>
      </c>
      <c r="I130">
        <f t="shared" ref="I130:I193" si="14">C130+(D130*A130)</f>
        <v>0.60473108040541412</v>
      </c>
      <c r="K130">
        <f t="shared" si="11"/>
        <v>0.61300361863169073</v>
      </c>
      <c r="L130">
        <f t="shared" si="12"/>
        <v>-0.60872153314352673</v>
      </c>
      <c r="N130">
        <v>1341.1766600000001</v>
      </c>
      <c r="O130">
        <f t="shared" si="13"/>
        <v>6.7058833</v>
      </c>
    </row>
    <row r="131" spans="1:15">
      <c r="A131">
        <v>6.78</v>
      </c>
      <c r="B131">
        <f t="shared" ref="B131:B194" si="15">A131*200</f>
        <v>1356</v>
      </c>
      <c r="C131">
        <v>0.44900000000000001</v>
      </c>
      <c r="D131" s="1">
        <v>2.3348214104771614E-2</v>
      </c>
      <c r="E131">
        <f t="shared" ref="E131:E194" si="16">B131</f>
        <v>1356</v>
      </c>
      <c r="F131">
        <f t="shared" ref="F131:F194" si="17">D131-0.0045</f>
        <v>1.8848214104771614E-2</v>
      </c>
      <c r="I131">
        <f t="shared" si="14"/>
        <v>0.6073008916303515</v>
      </c>
      <c r="K131">
        <f t="shared" ref="K131:K194" si="18">I131+(F131*C131)</f>
        <v>0.61576373976339394</v>
      </c>
      <c r="L131">
        <f t="shared" ref="L131:L194" si="19">K131-$I$1</f>
        <v>-0.60596141201182352</v>
      </c>
      <c r="N131">
        <v>1352.48046</v>
      </c>
      <c r="O131">
        <f t="shared" ref="O131:O194" si="20">N131/200</f>
        <v>6.7624022999999998</v>
      </c>
    </row>
    <row r="132" spans="1:15">
      <c r="A132">
        <v>6.83</v>
      </c>
      <c r="B132">
        <f t="shared" si="15"/>
        <v>1366</v>
      </c>
      <c r="C132">
        <v>0.44700000000000001</v>
      </c>
      <c r="D132" s="1">
        <v>2.255835197865963E-2</v>
      </c>
      <c r="E132">
        <f t="shared" si="16"/>
        <v>1366</v>
      </c>
      <c r="F132">
        <f t="shared" si="17"/>
        <v>1.8058351978659629E-2</v>
      </c>
      <c r="I132">
        <f t="shared" si="14"/>
        <v>0.60107354401424529</v>
      </c>
      <c r="K132">
        <f t="shared" si="18"/>
        <v>0.60914562734870614</v>
      </c>
      <c r="L132">
        <f t="shared" si="19"/>
        <v>-0.61257952442651131</v>
      </c>
      <c r="N132">
        <v>1362.5623000000001</v>
      </c>
      <c r="O132">
        <f t="shared" si="20"/>
        <v>6.8128115000000005</v>
      </c>
    </row>
    <row r="133" spans="1:15">
      <c r="A133">
        <v>6.88</v>
      </c>
      <c r="B133">
        <f t="shared" si="15"/>
        <v>1376</v>
      </c>
      <c r="C133">
        <v>0.44500000000000001</v>
      </c>
      <c r="D133" s="1">
        <v>2.3122401908040047E-2</v>
      </c>
      <c r="E133">
        <f t="shared" si="16"/>
        <v>1376</v>
      </c>
      <c r="F133">
        <f t="shared" si="17"/>
        <v>1.8622401908040046E-2</v>
      </c>
      <c r="I133">
        <f t="shared" si="14"/>
        <v>0.60408212512731552</v>
      </c>
      <c r="K133">
        <f t="shared" si="18"/>
        <v>0.61236909397639339</v>
      </c>
      <c r="L133">
        <f t="shared" si="19"/>
        <v>-0.60935605779882407</v>
      </c>
      <c r="N133">
        <v>1372.7460000000001</v>
      </c>
      <c r="O133">
        <f t="shared" si="20"/>
        <v>6.8637300000000003</v>
      </c>
    </row>
    <row r="134" spans="1:15">
      <c r="A134">
        <v>6.94</v>
      </c>
      <c r="B134">
        <f t="shared" si="15"/>
        <v>1388</v>
      </c>
      <c r="C134">
        <v>0.443</v>
      </c>
      <c r="D134" s="1">
        <v>2.2912666201591492E-2</v>
      </c>
      <c r="E134">
        <f t="shared" si="16"/>
        <v>1388</v>
      </c>
      <c r="F134">
        <f t="shared" si="17"/>
        <v>1.8412666201591491E-2</v>
      </c>
      <c r="I134">
        <f t="shared" si="14"/>
        <v>0.60201390343904493</v>
      </c>
      <c r="K134">
        <f t="shared" si="18"/>
        <v>0.61017071456634997</v>
      </c>
      <c r="L134">
        <f t="shared" si="19"/>
        <v>-0.61155443720886749</v>
      </c>
      <c r="N134">
        <v>1382.92958</v>
      </c>
      <c r="O134">
        <f t="shared" si="20"/>
        <v>6.9146479000000003</v>
      </c>
    </row>
    <row r="135" spans="1:15">
      <c r="A135">
        <v>6.99</v>
      </c>
      <c r="B135">
        <f t="shared" si="15"/>
        <v>1398</v>
      </c>
      <c r="C135">
        <v>0.441</v>
      </c>
      <c r="D135" s="1">
        <v>2.3176034912467003E-2</v>
      </c>
      <c r="E135">
        <f t="shared" si="16"/>
        <v>1398</v>
      </c>
      <c r="F135">
        <f t="shared" si="17"/>
        <v>1.8676034912467002E-2</v>
      </c>
      <c r="I135">
        <f t="shared" si="14"/>
        <v>0.60300048403814432</v>
      </c>
      <c r="K135">
        <f t="shared" si="18"/>
        <v>0.61123661543454222</v>
      </c>
      <c r="L135">
        <f t="shared" si="19"/>
        <v>-0.61048853634067524</v>
      </c>
      <c r="N135">
        <v>1393.3169</v>
      </c>
      <c r="O135">
        <f t="shared" si="20"/>
        <v>6.9665844999999997</v>
      </c>
    </row>
    <row r="136" spans="1:15">
      <c r="A136">
        <v>7.04</v>
      </c>
      <c r="B136">
        <f t="shared" si="15"/>
        <v>1408</v>
      </c>
      <c r="C136">
        <v>0.439</v>
      </c>
      <c r="D136" s="1">
        <v>2.2925321012735367E-2</v>
      </c>
      <c r="E136">
        <f t="shared" si="16"/>
        <v>1408</v>
      </c>
      <c r="F136">
        <f t="shared" si="17"/>
        <v>1.8425321012735366E-2</v>
      </c>
      <c r="I136">
        <f t="shared" si="14"/>
        <v>0.600394259929657</v>
      </c>
      <c r="K136">
        <f t="shared" si="18"/>
        <v>0.60848297585424782</v>
      </c>
      <c r="L136">
        <f t="shared" si="19"/>
        <v>-0.61324217592096963</v>
      </c>
      <c r="N136">
        <v>1403.6025400000001</v>
      </c>
      <c r="O136">
        <f t="shared" si="20"/>
        <v>7.0180127000000008</v>
      </c>
    </row>
    <row r="137" spans="1:15">
      <c r="A137">
        <v>7.09</v>
      </c>
      <c r="B137">
        <f t="shared" si="15"/>
        <v>1418</v>
      </c>
      <c r="C137">
        <v>0.437</v>
      </c>
      <c r="D137" s="1">
        <v>2.3279450833797455E-2</v>
      </c>
      <c r="E137">
        <f t="shared" si="16"/>
        <v>1418</v>
      </c>
      <c r="F137">
        <f t="shared" si="17"/>
        <v>1.8779450833797454E-2</v>
      </c>
      <c r="I137">
        <f t="shared" si="14"/>
        <v>0.60205130641162397</v>
      </c>
      <c r="K137">
        <f t="shared" si="18"/>
        <v>0.61025792642599341</v>
      </c>
      <c r="L137">
        <f t="shared" si="19"/>
        <v>-0.61146722534922404</v>
      </c>
      <c r="N137">
        <v>1413.88798</v>
      </c>
      <c r="O137">
        <f t="shared" si="20"/>
        <v>7.0694398999999999</v>
      </c>
    </row>
    <row r="138" spans="1:15">
      <c r="A138">
        <v>7.15</v>
      </c>
      <c r="B138">
        <f t="shared" si="15"/>
        <v>1430</v>
      </c>
      <c r="C138">
        <v>0.434</v>
      </c>
      <c r="D138" s="1">
        <v>2.3136518895626068E-2</v>
      </c>
      <c r="E138">
        <f t="shared" si="16"/>
        <v>1430</v>
      </c>
      <c r="F138">
        <f t="shared" si="17"/>
        <v>1.8636518895626068E-2</v>
      </c>
      <c r="I138">
        <f t="shared" si="14"/>
        <v>0.59942611010372637</v>
      </c>
      <c r="K138">
        <f t="shared" si="18"/>
        <v>0.6075143593044281</v>
      </c>
      <c r="L138">
        <f t="shared" si="19"/>
        <v>-0.61421079247078936</v>
      </c>
      <c r="N138">
        <v>1424.17354</v>
      </c>
      <c r="O138">
        <f t="shared" si="20"/>
        <v>7.1208676999999998</v>
      </c>
    </row>
    <row r="139" spans="1:15">
      <c r="A139">
        <v>7.2</v>
      </c>
      <c r="B139">
        <f t="shared" si="15"/>
        <v>1440</v>
      </c>
      <c r="C139">
        <v>0.432</v>
      </c>
      <c r="D139" s="1">
        <v>2.3596091195940971E-2</v>
      </c>
      <c r="E139">
        <f t="shared" si="16"/>
        <v>1440</v>
      </c>
      <c r="F139">
        <f t="shared" si="17"/>
        <v>1.9096091195940971E-2</v>
      </c>
      <c r="I139">
        <f t="shared" si="14"/>
        <v>0.60189185661077493</v>
      </c>
      <c r="K139">
        <f t="shared" si="18"/>
        <v>0.61014136800742147</v>
      </c>
      <c r="L139">
        <f t="shared" si="19"/>
        <v>-0.61158378376779599</v>
      </c>
      <c r="N139">
        <v>1434.4589800000001</v>
      </c>
      <c r="O139">
        <f t="shared" si="20"/>
        <v>7.1722949000000007</v>
      </c>
    </row>
    <row r="140" spans="1:15">
      <c r="A140">
        <v>7.25</v>
      </c>
      <c r="B140">
        <f t="shared" si="15"/>
        <v>1450</v>
      </c>
      <c r="C140">
        <v>0.43</v>
      </c>
      <c r="D140" s="1">
        <v>2.3165538907051086E-2</v>
      </c>
      <c r="E140">
        <f t="shared" si="16"/>
        <v>1450</v>
      </c>
      <c r="F140">
        <f t="shared" si="17"/>
        <v>1.8665538907051086E-2</v>
      </c>
      <c r="I140">
        <f t="shared" si="14"/>
        <v>0.59795015707612031</v>
      </c>
      <c r="K140">
        <f t="shared" si="18"/>
        <v>0.60597633880615231</v>
      </c>
      <c r="L140">
        <f t="shared" si="19"/>
        <v>-0.61574881296906514</v>
      </c>
      <c r="N140">
        <v>1444.8464799999999</v>
      </c>
      <c r="O140">
        <f t="shared" si="20"/>
        <v>7.2242324</v>
      </c>
    </row>
    <row r="141" spans="1:15">
      <c r="A141">
        <v>7.31</v>
      </c>
      <c r="B141">
        <f t="shared" si="15"/>
        <v>1462</v>
      </c>
      <c r="C141">
        <v>0.42799999999999999</v>
      </c>
      <c r="D141" s="1">
        <v>2.4038000032305717E-2</v>
      </c>
      <c r="E141">
        <f t="shared" si="16"/>
        <v>1462</v>
      </c>
      <c r="F141">
        <f t="shared" si="17"/>
        <v>1.9538000032305717E-2</v>
      </c>
      <c r="I141">
        <f t="shared" si="14"/>
        <v>0.60371778023615474</v>
      </c>
      <c r="K141">
        <f t="shared" si="18"/>
        <v>0.61208004424998164</v>
      </c>
      <c r="L141">
        <f t="shared" si="19"/>
        <v>-0.60964510752523582</v>
      </c>
      <c r="N141">
        <v>1455.53926</v>
      </c>
      <c r="O141">
        <f t="shared" si="20"/>
        <v>7.2776962999999997</v>
      </c>
    </row>
    <row r="142" spans="1:15">
      <c r="A142">
        <v>7.36</v>
      </c>
      <c r="B142">
        <f t="shared" si="15"/>
        <v>1472</v>
      </c>
      <c r="C142">
        <v>0.42599999999999999</v>
      </c>
      <c r="D142" s="1">
        <v>2.2874869406223297E-2</v>
      </c>
      <c r="E142">
        <f t="shared" si="16"/>
        <v>1472</v>
      </c>
      <c r="F142">
        <f t="shared" si="17"/>
        <v>1.8374869406223297E-2</v>
      </c>
      <c r="I142">
        <f t="shared" si="14"/>
        <v>0.59435903882980345</v>
      </c>
      <c r="K142">
        <f t="shared" si="18"/>
        <v>0.60218673319685456</v>
      </c>
      <c r="L142">
        <f t="shared" si="19"/>
        <v>-0.61953841857836289</v>
      </c>
      <c r="N142">
        <v>1465.6210000000001</v>
      </c>
      <c r="O142">
        <f t="shared" si="20"/>
        <v>7.3281050000000008</v>
      </c>
    </row>
    <row r="143" spans="1:15">
      <c r="A143">
        <v>7.41</v>
      </c>
      <c r="B143">
        <f t="shared" si="15"/>
        <v>1482</v>
      </c>
      <c r="C143">
        <v>0.42399999999999999</v>
      </c>
      <c r="D143" s="1">
        <v>2.321753092110157E-2</v>
      </c>
      <c r="E143">
        <f t="shared" si="16"/>
        <v>1482</v>
      </c>
      <c r="F143">
        <f t="shared" si="17"/>
        <v>1.871753092110157E-2</v>
      </c>
      <c r="I143">
        <f t="shared" si="14"/>
        <v>0.59604190412536262</v>
      </c>
      <c r="K143">
        <f t="shared" si="18"/>
        <v>0.60397813723590965</v>
      </c>
      <c r="L143">
        <f t="shared" si="19"/>
        <v>-0.6177470145393078</v>
      </c>
      <c r="N143">
        <v>1475.80458</v>
      </c>
      <c r="O143">
        <f t="shared" si="20"/>
        <v>7.3790228999999998</v>
      </c>
    </row>
    <row r="144" spans="1:15">
      <c r="A144">
        <v>7.46</v>
      </c>
      <c r="B144">
        <f t="shared" si="15"/>
        <v>1492</v>
      </c>
      <c r="C144">
        <v>0.42199999999999999</v>
      </c>
      <c r="D144" s="1">
        <v>2.3349830880761147E-2</v>
      </c>
      <c r="E144">
        <f t="shared" si="16"/>
        <v>1492</v>
      </c>
      <c r="F144">
        <f t="shared" si="17"/>
        <v>1.8849830880761146E-2</v>
      </c>
      <c r="I144">
        <f t="shared" si="14"/>
        <v>0.59618973837047817</v>
      </c>
      <c r="K144">
        <f t="shared" si="18"/>
        <v>0.60414436700215934</v>
      </c>
      <c r="L144">
        <f t="shared" si="19"/>
        <v>-0.61758078477305811</v>
      </c>
      <c r="N144">
        <v>1486.29384</v>
      </c>
      <c r="O144">
        <f t="shared" si="20"/>
        <v>7.4314692000000004</v>
      </c>
    </row>
    <row r="145" spans="1:15">
      <c r="A145">
        <v>7.52</v>
      </c>
      <c r="B145">
        <f t="shared" si="15"/>
        <v>1504</v>
      </c>
      <c r="C145">
        <v>0.42</v>
      </c>
      <c r="D145" s="1">
        <v>2.3089613765478134E-2</v>
      </c>
      <c r="E145">
        <f t="shared" si="16"/>
        <v>1504</v>
      </c>
      <c r="F145">
        <f t="shared" si="17"/>
        <v>1.8589613765478134E-2</v>
      </c>
      <c r="I145">
        <f t="shared" si="14"/>
        <v>0.59363389551639556</v>
      </c>
      <c r="K145">
        <f t="shared" si="18"/>
        <v>0.6014415332978964</v>
      </c>
      <c r="L145">
        <f t="shared" si="19"/>
        <v>-0.62028361847732105</v>
      </c>
      <c r="N145">
        <v>1496.8848599999999</v>
      </c>
      <c r="O145">
        <f t="shared" si="20"/>
        <v>7.4844242999999997</v>
      </c>
    </row>
    <row r="146" spans="1:15">
      <c r="A146">
        <v>7.57</v>
      </c>
      <c r="B146">
        <f t="shared" si="15"/>
        <v>1514</v>
      </c>
      <c r="C146">
        <v>0.41799999999999998</v>
      </c>
      <c r="D146" s="1">
        <v>2.4445373564958572E-2</v>
      </c>
      <c r="E146">
        <f t="shared" si="16"/>
        <v>1514</v>
      </c>
      <c r="F146">
        <f t="shared" si="17"/>
        <v>1.9945373564958572E-2</v>
      </c>
      <c r="I146">
        <f t="shared" si="14"/>
        <v>0.60305147788673641</v>
      </c>
      <c r="K146">
        <f t="shared" si="18"/>
        <v>0.61138864403688908</v>
      </c>
      <c r="L146">
        <f t="shared" si="19"/>
        <v>-0.61033650773832837</v>
      </c>
      <c r="N146">
        <v>1506.9666</v>
      </c>
      <c r="O146">
        <f t="shared" si="20"/>
        <v>7.5348329999999999</v>
      </c>
    </row>
    <row r="147" spans="1:15">
      <c r="A147">
        <v>7.62</v>
      </c>
      <c r="B147">
        <f t="shared" si="15"/>
        <v>1524</v>
      </c>
      <c r="C147">
        <v>0.41599999999999998</v>
      </c>
      <c r="D147" s="1">
        <v>2.3071354255080223E-2</v>
      </c>
      <c r="E147">
        <f t="shared" si="16"/>
        <v>1524</v>
      </c>
      <c r="F147">
        <f t="shared" si="17"/>
        <v>1.8571354255080223E-2</v>
      </c>
      <c r="I147">
        <f t="shared" si="14"/>
        <v>0.59180371942371135</v>
      </c>
      <c r="K147">
        <f t="shared" si="18"/>
        <v>0.59952940279382472</v>
      </c>
      <c r="L147">
        <f t="shared" si="19"/>
        <v>-0.62219574898139274</v>
      </c>
      <c r="N147">
        <v>1517.76142</v>
      </c>
      <c r="O147">
        <f t="shared" si="20"/>
        <v>7.5888071000000004</v>
      </c>
    </row>
    <row r="148" spans="1:15">
      <c r="A148">
        <v>7.67</v>
      </c>
      <c r="B148">
        <f t="shared" si="15"/>
        <v>1534</v>
      </c>
      <c r="C148">
        <v>0.41299999999999998</v>
      </c>
      <c r="D148" s="1">
        <v>2.3792900145053864E-2</v>
      </c>
      <c r="E148">
        <f t="shared" si="16"/>
        <v>1534</v>
      </c>
      <c r="F148">
        <f t="shared" si="17"/>
        <v>1.9292900145053863E-2</v>
      </c>
      <c r="I148">
        <f t="shared" si="14"/>
        <v>0.59549154411256311</v>
      </c>
      <c r="K148">
        <f t="shared" si="18"/>
        <v>0.60345951187247038</v>
      </c>
      <c r="L148">
        <f t="shared" si="19"/>
        <v>-0.61826563990274708</v>
      </c>
      <c r="N148">
        <v>1528.5561600000001</v>
      </c>
      <c r="O148">
        <f t="shared" si="20"/>
        <v>7.6427808000000006</v>
      </c>
    </row>
    <row r="149" spans="1:15">
      <c r="A149">
        <v>7.72</v>
      </c>
      <c r="B149">
        <f t="shared" si="15"/>
        <v>1544</v>
      </c>
      <c r="C149">
        <v>0.41099999999999998</v>
      </c>
      <c r="D149" s="1">
        <v>2.3416850715875626E-2</v>
      </c>
      <c r="E149">
        <f t="shared" si="16"/>
        <v>1544</v>
      </c>
      <c r="F149">
        <f t="shared" si="17"/>
        <v>1.8916850715875625E-2</v>
      </c>
      <c r="I149">
        <f t="shared" si="14"/>
        <v>0.5917780875265598</v>
      </c>
      <c r="K149">
        <f t="shared" si="18"/>
        <v>0.59955291317078474</v>
      </c>
      <c r="L149">
        <f t="shared" si="19"/>
        <v>-0.62217223860443271</v>
      </c>
      <c r="N149">
        <v>1538.8416999999999</v>
      </c>
      <c r="O149">
        <f t="shared" si="20"/>
        <v>7.6942084999999993</v>
      </c>
    </row>
    <row r="150" spans="1:15">
      <c r="A150">
        <v>7.77</v>
      </c>
      <c r="B150">
        <f t="shared" si="15"/>
        <v>1554</v>
      </c>
      <c r="C150">
        <v>0.40899999999999997</v>
      </c>
      <c r="D150" s="1">
        <v>2.3439330980181694E-2</v>
      </c>
      <c r="E150">
        <f t="shared" si="16"/>
        <v>1554</v>
      </c>
      <c r="F150">
        <f t="shared" si="17"/>
        <v>1.8939330980181694E-2</v>
      </c>
      <c r="I150">
        <f t="shared" si="14"/>
        <v>0.59112360171601175</v>
      </c>
      <c r="K150">
        <f t="shared" si="18"/>
        <v>0.59886978808690605</v>
      </c>
      <c r="L150">
        <f t="shared" si="19"/>
        <v>-0.6228553636883114</v>
      </c>
      <c r="N150">
        <v>1548.92344</v>
      </c>
      <c r="O150">
        <f t="shared" si="20"/>
        <v>7.7446172000000004</v>
      </c>
    </row>
    <row r="151" spans="1:15">
      <c r="A151">
        <v>7.82</v>
      </c>
      <c r="B151">
        <f t="shared" si="15"/>
        <v>1564</v>
      </c>
      <c r="C151">
        <v>0.40699999999999997</v>
      </c>
      <c r="D151" s="1">
        <v>2.3617656901478767E-2</v>
      </c>
      <c r="E151">
        <f t="shared" si="16"/>
        <v>1564</v>
      </c>
      <c r="F151">
        <f t="shared" si="17"/>
        <v>1.9117656901478767E-2</v>
      </c>
      <c r="I151">
        <f t="shared" si="14"/>
        <v>0.59169007696956388</v>
      </c>
      <c r="K151">
        <f t="shared" si="18"/>
        <v>0.59947096332846572</v>
      </c>
      <c r="L151">
        <f t="shared" si="19"/>
        <v>-0.62225418844675173</v>
      </c>
      <c r="N151">
        <v>1559.7181599999999</v>
      </c>
      <c r="O151">
        <f t="shared" si="20"/>
        <v>7.7985907999999995</v>
      </c>
    </row>
    <row r="152" spans="1:15">
      <c r="A152">
        <v>7.87</v>
      </c>
      <c r="B152">
        <f t="shared" si="15"/>
        <v>1574</v>
      </c>
      <c r="C152">
        <v>0.40500000000000003</v>
      </c>
      <c r="D152" s="1">
        <v>2.4122841656208038E-2</v>
      </c>
      <c r="E152">
        <f t="shared" si="16"/>
        <v>1574</v>
      </c>
      <c r="F152">
        <f t="shared" si="17"/>
        <v>1.9622841656208038E-2</v>
      </c>
      <c r="I152">
        <f t="shared" si="14"/>
        <v>0.59484676383435731</v>
      </c>
      <c r="K152">
        <f t="shared" si="18"/>
        <v>0.60279401470512162</v>
      </c>
      <c r="L152">
        <f t="shared" si="19"/>
        <v>-0.61893113707009584</v>
      </c>
      <c r="N152">
        <v>1569.7999</v>
      </c>
      <c r="O152">
        <f t="shared" si="20"/>
        <v>7.8489994999999997</v>
      </c>
    </row>
    <row r="153" spans="1:15">
      <c r="A153">
        <v>7.92</v>
      </c>
      <c r="B153">
        <f t="shared" si="15"/>
        <v>1584</v>
      </c>
      <c r="C153">
        <v>0.40300000000000002</v>
      </c>
      <c r="D153" s="1">
        <v>2.3679986596107483E-2</v>
      </c>
      <c r="E153">
        <f t="shared" si="16"/>
        <v>1584</v>
      </c>
      <c r="F153">
        <f t="shared" si="17"/>
        <v>1.9179986596107482E-2</v>
      </c>
      <c r="I153">
        <f t="shared" si="14"/>
        <v>0.59054549384117128</v>
      </c>
      <c r="K153">
        <f t="shared" si="18"/>
        <v>0.59827502843940261</v>
      </c>
      <c r="L153">
        <f t="shared" si="19"/>
        <v>-0.62345012333581484</v>
      </c>
      <c r="N153">
        <v>1580.9001000000001</v>
      </c>
      <c r="O153">
        <f t="shared" si="20"/>
        <v>7.9045005000000002</v>
      </c>
    </row>
    <row r="154" spans="1:15">
      <c r="A154">
        <v>7.98</v>
      </c>
      <c r="B154">
        <f t="shared" si="15"/>
        <v>1596</v>
      </c>
      <c r="C154">
        <v>0.40100000000000002</v>
      </c>
      <c r="D154" s="1">
        <v>2.3782368749380112E-2</v>
      </c>
      <c r="E154">
        <f t="shared" si="16"/>
        <v>1596</v>
      </c>
      <c r="F154">
        <f t="shared" si="17"/>
        <v>1.9282368749380111E-2</v>
      </c>
      <c r="I154">
        <f t="shared" si="14"/>
        <v>0.5907833026200533</v>
      </c>
      <c r="K154">
        <f t="shared" si="18"/>
        <v>0.59851553248855471</v>
      </c>
      <c r="L154">
        <f t="shared" si="19"/>
        <v>-0.62320961928666274</v>
      </c>
      <c r="N154">
        <v>1590.9819399999999</v>
      </c>
      <c r="O154">
        <f t="shared" si="20"/>
        <v>7.9549096999999991</v>
      </c>
    </row>
    <row r="155" spans="1:15">
      <c r="A155">
        <v>8.0299999999999994</v>
      </c>
      <c r="B155">
        <f t="shared" si="15"/>
        <v>1605.9999999999998</v>
      </c>
      <c r="C155">
        <v>0.39900000000000002</v>
      </c>
      <c r="D155" s="1">
        <v>2.3811902850866318E-2</v>
      </c>
      <c r="E155">
        <f t="shared" si="16"/>
        <v>1605.9999999999998</v>
      </c>
      <c r="F155">
        <f t="shared" si="17"/>
        <v>1.9311902850866317E-2</v>
      </c>
      <c r="I155">
        <f t="shared" si="14"/>
        <v>0.59020957989245648</v>
      </c>
      <c r="K155">
        <f t="shared" si="18"/>
        <v>0.59791502912995209</v>
      </c>
      <c r="L155">
        <f t="shared" si="19"/>
        <v>-0.62381012264526536</v>
      </c>
      <c r="N155">
        <v>1601.26748</v>
      </c>
      <c r="O155">
        <f t="shared" si="20"/>
        <v>8.0063373999999996</v>
      </c>
    </row>
    <row r="156" spans="1:15">
      <c r="A156">
        <v>8.08</v>
      </c>
      <c r="B156">
        <f t="shared" si="15"/>
        <v>1616</v>
      </c>
      <c r="C156">
        <v>0.39700000000000002</v>
      </c>
      <c r="D156" s="1">
        <v>2.3356638848781586E-2</v>
      </c>
      <c r="E156">
        <f t="shared" si="16"/>
        <v>1616</v>
      </c>
      <c r="F156">
        <f t="shared" si="17"/>
        <v>1.8856638848781585E-2</v>
      </c>
      <c r="I156">
        <f t="shared" si="14"/>
        <v>0.58572164189815523</v>
      </c>
      <c r="K156">
        <f t="shared" si="18"/>
        <v>0.5932077275211215</v>
      </c>
      <c r="L156">
        <f t="shared" si="19"/>
        <v>-0.62851742425409596</v>
      </c>
      <c r="N156">
        <v>1612.2659200000001</v>
      </c>
      <c r="O156">
        <f t="shared" si="20"/>
        <v>8.0613296000000005</v>
      </c>
    </row>
    <row r="157" spans="1:15">
      <c r="A157">
        <v>8.1300000000000008</v>
      </c>
      <c r="B157">
        <f t="shared" si="15"/>
        <v>1626.0000000000002</v>
      </c>
      <c r="C157">
        <v>0.39500000000000002</v>
      </c>
      <c r="D157" s="1">
        <v>2.3766256868839264E-2</v>
      </c>
      <c r="E157">
        <f t="shared" si="16"/>
        <v>1626.0000000000002</v>
      </c>
      <c r="F157">
        <f t="shared" si="17"/>
        <v>1.9266256868839263E-2</v>
      </c>
      <c r="I157">
        <f t="shared" si="14"/>
        <v>0.58821966834366324</v>
      </c>
      <c r="K157">
        <f t="shared" si="18"/>
        <v>0.59582983980685478</v>
      </c>
      <c r="L157">
        <f t="shared" si="19"/>
        <v>-0.62589531196836268</v>
      </c>
      <c r="N157">
        <v>1622.5513599999999</v>
      </c>
      <c r="O157">
        <f t="shared" si="20"/>
        <v>8.1127567999999997</v>
      </c>
    </row>
    <row r="158" spans="1:15">
      <c r="A158">
        <v>8.18</v>
      </c>
      <c r="B158">
        <f t="shared" si="15"/>
        <v>1636</v>
      </c>
      <c r="C158">
        <v>0.39300000000000002</v>
      </c>
      <c r="D158" s="1">
        <v>2.3481503129005432E-2</v>
      </c>
      <c r="E158">
        <f t="shared" si="16"/>
        <v>1636</v>
      </c>
      <c r="F158">
        <f t="shared" si="17"/>
        <v>1.8981503129005432E-2</v>
      </c>
      <c r="I158">
        <f t="shared" si="14"/>
        <v>0.58507869559526449</v>
      </c>
      <c r="K158">
        <f t="shared" si="18"/>
        <v>0.59253842632496367</v>
      </c>
      <c r="L158">
        <f t="shared" si="19"/>
        <v>-0.62918672545025378</v>
      </c>
      <c r="N158">
        <v>1632.73506</v>
      </c>
      <c r="O158">
        <f t="shared" si="20"/>
        <v>8.1636752999999995</v>
      </c>
    </row>
    <row r="159" spans="1:15">
      <c r="A159">
        <v>8.23</v>
      </c>
      <c r="B159">
        <f t="shared" si="15"/>
        <v>1646</v>
      </c>
      <c r="C159">
        <v>0.39</v>
      </c>
      <c r="D159" s="1">
        <v>2.421257458627224E-2</v>
      </c>
      <c r="E159">
        <f t="shared" si="16"/>
        <v>1646</v>
      </c>
      <c r="F159">
        <f t="shared" si="17"/>
        <v>1.9712574586272239E-2</v>
      </c>
      <c r="I159">
        <f t="shared" si="14"/>
        <v>0.58926948884502051</v>
      </c>
      <c r="K159">
        <f t="shared" si="18"/>
        <v>0.59695739293366668</v>
      </c>
      <c r="L159">
        <f t="shared" si="19"/>
        <v>-0.62476775884155078</v>
      </c>
      <c r="N159">
        <v>1643.4279200000001</v>
      </c>
      <c r="O159">
        <f t="shared" si="20"/>
        <v>8.2171396000000012</v>
      </c>
    </row>
    <row r="160" spans="1:15">
      <c r="A160">
        <v>8.2799999999999994</v>
      </c>
      <c r="B160">
        <f t="shared" si="15"/>
        <v>1655.9999999999998</v>
      </c>
      <c r="C160">
        <v>0.38800000000000001</v>
      </c>
      <c r="D160" s="1">
        <v>2.3381641134619713E-2</v>
      </c>
      <c r="E160">
        <f t="shared" si="16"/>
        <v>1655.9999999999998</v>
      </c>
      <c r="F160">
        <f t="shared" si="17"/>
        <v>1.8881641134619712E-2</v>
      </c>
      <c r="I160">
        <f t="shared" si="14"/>
        <v>0.58159998859465123</v>
      </c>
      <c r="K160">
        <f t="shared" si="18"/>
        <v>0.58892606535488368</v>
      </c>
      <c r="L160">
        <f t="shared" si="19"/>
        <v>-0.63279908642033378</v>
      </c>
      <c r="N160">
        <v>1653.5097599999999</v>
      </c>
      <c r="O160">
        <f t="shared" si="20"/>
        <v>8.2675488000000001</v>
      </c>
    </row>
    <row r="161" spans="1:15">
      <c r="A161">
        <v>8.34</v>
      </c>
      <c r="B161">
        <f t="shared" si="15"/>
        <v>1668</v>
      </c>
      <c r="C161">
        <v>0.38600000000000001</v>
      </c>
      <c r="D161" s="1">
        <v>2.4179680272936821E-2</v>
      </c>
      <c r="E161">
        <f t="shared" si="16"/>
        <v>1668</v>
      </c>
      <c r="F161">
        <f t="shared" si="17"/>
        <v>1.967968027293682E-2</v>
      </c>
      <c r="I161">
        <f t="shared" si="14"/>
        <v>0.58765853347629315</v>
      </c>
      <c r="K161">
        <f t="shared" si="18"/>
        <v>0.59525489006164678</v>
      </c>
      <c r="L161">
        <f t="shared" si="19"/>
        <v>-0.62647026171357068</v>
      </c>
      <c r="N161">
        <v>1663.5916</v>
      </c>
      <c r="O161">
        <f t="shared" si="20"/>
        <v>8.3179579999999991</v>
      </c>
    </row>
    <row r="162" spans="1:15">
      <c r="A162">
        <v>8.39</v>
      </c>
      <c r="B162">
        <f t="shared" si="15"/>
        <v>1678</v>
      </c>
      <c r="C162">
        <v>0.38400000000000001</v>
      </c>
      <c r="D162" s="1">
        <v>2.3598005995154381E-2</v>
      </c>
      <c r="E162">
        <f t="shared" si="16"/>
        <v>1678</v>
      </c>
      <c r="F162">
        <f t="shared" si="17"/>
        <v>1.909800599515438E-2</v>
      </c>
      <c r="I162">
        <f t="shared" si="14"/>
        <v>0.58198727029934527</v>
      </c>
      <c r="K162">
        <f t="shared" si="18"/>
        <v>0.58932090460148456</v>
      </c>
      <c r="L162">
        <f t="shared" si="19"/>
        <v>-0.63240424717373289</v>
      </c>
      <c r="N162">
        <v>1674.08086</v>
      </c>
      <c r="O162">
        <f t="shared" si="20"/>
        <v>8.3704043000000006</v>
      </c>
    </row>
    <row r="163" spans="1:15">
      <c r="A163">
        <v>8.44</v>
      </c>
      <c r="B163">
        <f t="shared" si="15"/>
        <v>1688</v>
      </c>
      <c r="C163">
        <v>0.38200000000000001</v>
      </c>
      <c r="D163" s="1">
        <v>2.405710332095623E-2</v>
      </c>
      <c r="E163">
        <f t="shared" si="16"/>
        <v>1688</v>
      </c>
      <c r="F163">
        <f t="shared" si="17"/>
        <v>1.955710332095623E-2</v>
      </c>
      <c r="I163">
        <f t="shared" si="14"/>
        <v>0.58504195202887055</v>
      </c>
      <c r="K163">
        <f t="shared" si="18"/>
        <v>0.59251276549747578</v>
      </c>
      <c r="L163">
        <f t="shared" si="19"/>
        <v>-0.62921238627774168</v>
      </c>
      <c r="N163">
        <v>1684.2644600000001</v>
      </c>
      <c r="O163">
        <f t="shared" si="20"/>
        <v>8.4213222999999999</v>
      </c>
    </row>
    <row r="164" spans="1:15">
      <c r="A164">
        <v>8.49</v>
      </c>
      <c r="B164">
        <f t="shared" si="15"/>
        <v>1698</v>
      </c>
      <c r="C164">
        <v>0.38</v>
      </c>
      <c r="D164" s="1">
        <v>2.362007275223732E-2</v>
      </c>
      <c r="E164">
        <f t="shared" si="16"/>
        <v>1698</v>
      </c>
      <c r="F164">
        <f t="shared" si="17"/>
        <v>1.9120072752237319E-2</v>
      </c>
      <c r="I164">
        <f t="shared" si="14"/>
        <v>0.58053441766649483</v>
      </c>
      <c r="K164">
        <f t="shared" si="18"/>
        <v>0.58780004531234498</v>
      </c>
      <c r="L164">
        <f t="shared" si="19"/>
        <v>-0.63392510646287248</v>
      </c>
      <c r="N164">
        <v>1694.55</v>
      </c>
      <c r="O164">
        <f t="shared" si="20"/>
        <v>8.4727499999999996</v>
      </c>
    </row>
    <row r="165" spans="1:15">
      <c r="A165">
        <v>8.5500000000000007</v>
      </c>
      <c r="B165">
        <f t="shared" si="15"/>
        <v>1710.0000000000002</v>
      </c>
      <c r="C165">
        <v>0.378</v>
      </c>
      <c r="D165" s="1">
        <v>2.441132627427578E-2</v>
      </c>
      <c r="E165">
        <f t="shared" si="16"/>
        <v>1710.0000000000002</v>
      </c>
      <c r="F165">
        <f t="shared" si="17"/>
        <v>1.9911326274275779E-2</v>
      </c>
      <c r="I165">
        <f t="shared" si="14"/>
        <v>0.58671683964505794</v>
      </c>
      <c r="K165">
        <f t="shared" si="18"/>
        <v>0.59424332097673416</v>
      </c>
      <c r="L165">
        <f t="shared" si="19"/>
        <v>-0.6274818307984833</v>
      </c>
      <c r="N165">
        <v>1704.83554</v>
      </c>
      <c r="O165">
        <f t="shared" si="20"/>
        <v>8.524177700000001</v>
      </c>
    </row>
    <row r="166" spans="1:15">
      <c r="A166">
        <v>8.6</v>
      </c>
      <c r="B166">
        <f t="shared" si="15"/>
        <v>1720</v>
      </c>
      <c r="C166">
        <v>0.375</v>
      </c>
      <c r="D166" s="1">
        <v>2.3775476962327957E-2</v>
      </c>
      <c r="E166">
        <f t="shared" si="16"/>
        <v>1720</v>
      </c>
      <c r="F166">
        <f t="shared" si="17"/>
        <v>1.9275476962327957E-2</v>
      </c>
      <c r="I166">
        <f t="shared" si="14"/>
        <v>0.57946910187602041</v>
      </c>
      <c r="K166">
        <f t="shared" si="18"/>
        <v>0.58669740573689344</v>
      </c>
      <c r="L166">
        <f t="shared" si="19"/>
        <v>-0.63502774603832401</v>
      </c>
      <c r="N166">
        <v>1715.3248000000001</v>
      </c>
      <c r="O166">
        <f t="shared" si="20"/>
        <v>8.5766240000000007</v>
      </c>
    </row>
    <row r="167" spans="1:15">
      <c r="A167">
        <v>8.65</v>
      </c>
      <c r="B167">
        <f t="shared" si="15"/>
        <v>1730</v>
      </c>
      <c r="C167">
        <v>0.373</v>
      </c>
      <c r="D167" s="1">
        <v>2.4246145039796829E-2</v>
      </c>
      <c r="E167">
        <f t="shared" si="16"/>
        <v>1730</v>
      </c>
      <c r="F167">
        <f t="shared" si="17"/>
        <v>1.9746145039796829E-2</v>
      </c>
      <c r="I167">
        <f t="shared" si="14"/>
        <v>0.58272915459424257</v>
      </c>
      <c r="K167">
        <f t="shared" si="18"/>
        <v>0.59009446669408683</v>
      </c>
      <c r="L167">
        <f t="shared" si="19"/>
        <v>-0.63163068508113063</v>
      </c>
      <c r="N167">
        <v>1725.61016</v>
      </c>
      <c r="O167">
        <f t="shared" si="20"/>
        <v>8.6280508000000005</v>
      </c>
    </row>
    <row r="168" spans="1:15">
      <c r="A168">
        <v>8.7100000000000009</v>
      </c>
      <c r="B168">
        <f t="shared" si="15"/>
        <v>1742.0000000000002</v>
      </c>
      <c r="C168">
        <v>0.371</v>
      </c>
      <c r="D168" s="1">
        <v>2.3945005610585213E-2</v>
      </c>
      <c r="E168">
        <f t="shared" si="16"/>
        <v>1742.0000000000002</v>
      </c>
      <c r="F168">
        <f t="shared" si="17"/>
        <v>1.9445005610585212E-2</v>
      </c>
      <c r="I168">
        <f t="shared" si="14"/>
        <v>0.57956099886819723</v>
      </c>
      <c r="K168">
        <f t="shared" si="18"/>
        <v>0.58677509594972432</v>
      </c>
      <c r="L168">
        <f t="shared" si="19"/>
        <v>-0.63495005582549313</v>
      </c>
      <c r="N168">
        <v>1735.79376</v>
      </c>
      <c r="O168">
        <f t="shared" si="20"/>
        <v>8.6789687999999998</v>
      </c>
    </row>
    <row r="169" spans="1:15">
      <c r="A169">
        <v>8.76</v>
      </c>
      <c r="B169">
        <f t="shared" si="15"/>
        <v>1752</v>
      </c>
      <c r="C169">
        <v>0.36899999999999999</v>
      </c>
      <c r="D169" s="1">
        <v>2.4068757891654968E-2</v>
      </c>
      <c r="E169">
        <f t="shared" si="16"/>
        <v>1752</v>
      </c>
      <c r="F169">
        <f t="shared" si="17"/>
        <v>1.9568757891654968E-2</v>
      </c>
      <c r="I169">
        <f t="shared" si="14"/>
        <v>0.57984231913089745</v>
      </c>
      <c r="K169">
        <f t="shared" si="18"/>
        <v>0.58706319079291813</v>
      </c>
      <c r="L169">
        <f t="shared" si="19"/>
        <v>-0.63466196098229932</v>
      </c>
      <c r="N169">
        <v>1746.2829999999999</v>
      </c>
      <c r="O169">
        <f t="shared" si="20"/>
        <v>8.7314150000000001</v>
      </c>
    </row>
    <row r="170" spans="1:15">
      <c r="A170">
        <v>8.81</v>
      </c>
      <c r="B170">
        <f t="shared" si="15"/>
        <v>1762</v>
      </c>
      <c r="C170">
        <v>0.36699999999999999</v>
      </c>
      <c r="D170" s="1">
        <v>2.4400951340794563E-2</v>
      </c>
      <c r="E170">
        <f t="shared" si="16"/>
        <v>1762</v>
      </c>
      <c r="F170">
        <f t="shared" si="17"/>
        <v>1.9900951340794563E-2</v>
      </c>
      <c r="I170">
        <f t="shared" si="14"/>
        <v>0.58197238131240014</v>
      </c>
      <c r="K170">
        <f t="shared" si="18"/>
        <v>0.58927603045447174</v>
      </c>
      <c r="L170">
        <f t="shared" si="19"/>
        <v>-0.63244912132074571</v>
      </c>
      <c r="N170">
        <v>1756.4666</v>
      </c>
      <c r="O170">
        <f t="shared" si="20"/>
        <v>8.7823329999999995</v>
      </c>
    </row>
    <row r="171" spans="1:15">
      <c r="A171">
        <v>8.8699999999999992</v>
      </c>
      <c r="B171">
        <f t="shared" si="15"/>
        <v>1773.9999999999998</v>
      </c>
      <c r="C171">
        <v>0.36499999999999999</v>
      </c>
      <c r="D171" s="1">
        <v>2.4340275675058365E-2</v>
      </c>
      <c r="E171">
        <f t="shared" si="16"/>
        <v>1773.9999999999998</v>
      </c>
      <c r="F171">
        <f t="shared" si="17"/>
        <v>1.9840275675058364E-2</v>
      </c>
      <c r="I171">
        <f t="shared" si="14"/>
        <v>0.58089824523776767</v>
      </c>
      <c r="K171">
        <f t="shared" si="18"/>
        <v>0.58813994585916396</v>
      </c>
      <c r="L171">
        <f t="shared" si="19"/>
        <v>-0.6335852059160535</v>
      </c>
      <c r="N171">
        <v>1766.54844</v>
      </c>
      <c r="O171">
        <f t="shared" si="20"/>
        <v>8.8327422000000002</v>
      </c>
    </row>
    <row r="172" spans="1:15">
      <c r="A172">
        <v>8.92</v>
      </c>
      <c r="B172">
        <f t="shared" si="15"/>
        <v>1784</v>
      </c>
      <c r="C172">
        <v>0.36199999999999999</v>
      </c>
      <c r="D172" s="1">
        <v>2.3765942081809044E-2</v>
      </c>
      <c r="E172">
        <f t="shared" si="16"/>
        <v>1784</v>
      </c>
      <c r="F172">
        <f t="shared" si="17"/>
        <v>1.9265942081809043E-2</v>
      </c>
      <c r="I172">
        <f t="shared" si="14"/>
        <v>0.57399220336973666</v>
      </c>
      <c r="K172">
        <f t="shared" si="18"/>
        <v>0.58096647440335158</v>
      </c>
      <c r="L172">
        <f t="shared" si="19"/>
        <v>-0.64075867737186587</v>
      </c>
      <c r="N172">
        <v>1776.6302800000001</v>
      </c>
      <c r="O172">
        <f t="shared" si="20"/>
        <v>8.8831514000000009</v>
      </c>
    </row>
    <row r="173" spans="1:15">
      <c r="A173">
        <v>8.9700000000000006</v>
      </c>
      <c r="B173">
        <f t="shared" si="15"/>
        <v>1794.0000000000002</v>
      </c>
      <c r="C173">
        <v>0.36099999999999999</v>
      </c>
      <c r="D173" s="1">
        <v>2.4312430992722511E-2</v>
      </c>
      <c r="E173">
        <f t="shared" si="16"/>
        <v>1794.0000000000002</v>
      </c>
      <c r="F173">
        <f t="shared" si="17"/>
        <v>1.9812430992722511E-2</v>
      </c>
      <c r="I173">
        <f t="shared" si="14"/>
        <v>0.57908250600472089</v>
      </c>
      <c r="K173">
        <f t="shared" si="18"/>
        <v>0.58623479359309372</v>
      </c>
      <c r="L173">
        <f t="shared" si="19"/>
        <v>-0.63549035818212374</v>
      </c>
      <c r="N173">
        <v>1786.7121</v>
      </c>
      <c r="O173">
        <f t="shared" si="20"/>
        <v>8.9335605000000005</v>
      </c>
    </row>
    <row r="174" spans="1:15">
      <c r="A174">
        <v>9.02</v>
      </c>
      <c r="B174">
        <f t="shared" si="15"/>
        <v>1804</v>
      </c>
      <c r="C174">
        <v>0.35799999999999998</v>
      </c>
      <c r="D174" s="1">
        <v>2.4244915693998337E-2</v>
      </c>
      <c r="E174">
        <f t="shared" si="16"/>
        <v>1804</v>
      </c>
      <c r="F174">
        <f t="shared" si="17"/>
        <v>1.9744915693998336E-2</v>
      </c>
      <c r="I174">
        <f t="shared" si="14"/>
        <v>0.576689139559865</v>
      </c>
      <c r="K174">
        <f t="shared" si="18"/>
        <v>0.58375781937831639</v>
      </c>
      <c r="L174">
        <f t="shared" si="19"/>
        <v>-0.63796733239690107</v>
      </c>
      <c r="N174">
        <v>1796.79394</v>
      </c>
      <c r="O174">
        <f t="shared" si="20"/>
        <v>8.9839696999999994</v>
      </c>
    </row>
    <row r="175" spans="1:15">
      <c r="A175">
        <v>9.07</v>
      </c>
      <c r="B175">
        <f t="shared" si="15"/>
        <v>1814</v>
      </c>
      <c r="C175">
        <v>0.35599999999999998</v>
      </c>
      <c r="D175" s="1">
        <v>2.4329442530870438E-2</v>
      </c>
      <c r="E175">
        <f t="shared" si="16"/>
        <v>1814</v>
      </c>
      <c r="F175">
        <f t="shared" si="17"/>
        <v>1.9829442530870437E-2</v>
      </c>
      <c r="I175">
        <f t="shared" si="14"/>
        <v>0.57666804375499492</v>
      </c>
      <c r="K175">
        <f t="shared" si="18"/>
        <v>0.58372732529598481</v>
      </c>
      <c r="L175">
        <f t="shared" si="19"/>
        <v>-0.63799782647923264</v>
      </c>
      <c r="N175">
        <v>1807.3849600000001</v>
      </c>
      <c r="O175">
        <f t="shared" si="20"/>
        <v>9.0369248000000013</v>
      </c>
    </row>
    <row r="176" spans="1:15">
      <c r="A176">
        <v>9.1199999999999992</v>
      </c>
      <c r="B176">
        <f t="shared" si="15"/>
        <v>1823.9999999999998</v>
      </c>
      <c r="C176">
        <v>0.35399999999999998</v>
      </c>
      <c r="D176" s="1">
        <v>2.4736572057008743E-2</v>
      </c>
      <c r="E176">
        <f t="shared" si="16"/>
        <v>1823.9999999999998</v>
      </c>
      <c r="F176">
        <f t="shared" si="17"/>
        <v>2.0236572057008743E-2</v>
      </c>
      <c r="I176">
        <f t="shared" si="14"/>
        <v>0.57959753715991968</v>
      </c>
      <c r="K176">
        <f t="shared" si="18"/>
        <v>0.58676128366810076</v>
      </c>
      <c r="L176">
        <f t="shared" si="19"/>
        <v>-0.63496386810711669</v>
      </c>
      <c r="N176">
        <v>1817.4667999999999</v>
      </c>
      <c r="O176">
        <f t="shared" si="20"/>
        <v>9.0873340000000002</v>
      </c>
    </row>
    <row r="177" spans="1:15">
      <c r="A177">
        <v>9.17</v>
      </c>
      <c r="B177">
        <f t="shared" si="15"/>
        <v>1834</v>
      </c>
      <c r="C177">
        <v>0.35199999999999998</v>
      </c>
      <c r="D177" s="1">
        <v>2.427547425031662E-2</v>
      </c>
      <c r="E177">
        <f t="shared" si="16"/>
        <v>1834</v>
      </c>
      <c r="F177">
        <f t="shared" si="17"/>
        <v>1.9775474250316619E-2</v>
      </c>
      <c r="I177">
        <f t="shared" si="14"/>
        <v>0.57460609887540337</v>
      </c>
      <c r="K177">
        <f t="shared" si="18"/>
        <v>0.58156706581151485</v>
      </c>
      <c r="L177">
        <f t="shared" si="19"/>
        <v>-0.64015808596370261</v>
      </c>
      <c r="N177">
        <v>1828.36348</v>
      </c>
      <c r="O177">
        <f t="shared" si="20"/>
        <v>9.1418174000000008</v>
      </c>
    </row>
    <row r="178" spans="1:15">
      <c r="A178">
        <v>9.2200000000000006</v>
      </c>
      <c r="B178">
        <f t="shared" si="15"/>
        <v>1844.0000000000002</v>
      </c>
      <c r="C178">
        <v>0.35</v>
      </c>
      <c r="D178" s="1">
        <v>2.4188827723264694E-2</v>
      </c>
      <c r="E178">
        <f t="shared" si="16"/>
        <v>1844.0000000000002</v>
      </c>
      <c r="F178">
        <f t="shared" si="17"/>
        <v>1.9688827723264694E-2</v>
      </c>
      <c r="I178">
        <f t="shared" si="14"/>
        <v>0.57302099160850051</v>
      </c>
      <c r="K178">
        <f t="shared" si="18"/>
        <v>0.57991208131164318</v>
      </c>
      <c r="L178">
        <f t="shared" si="19"/>
        <v>-0.64181307046357428</v>
      </c>
      <c r="N178">
        <v>1838.5468800000001</v>
      </c>
      <c r="O178">
        <f t="shared" si="20"/>
        <v>9.1927344000000009</v>
      </c>
    </row>
    <row r="179" spans="1:15">
      <c r="A179">
        <v>9.2799999999999994</v>
      </c>
      <c r="B179">
        <f t="shared" si="15"/>
        <v>1855.9999999999998</v>
      </c>
      <c r="C179">
        <v>0.34799999999999998</v>
      </c>
      <c r="D179" s="1">
        <v>2.4591587483882904E-2</v>
      </c>
      <c r="E179">
        <f t="shared" si="16"/>
        <v>1855.9999999999998</v>
      </c>
      <c r="F179">
        <f t="shared" si="17"/>
        <v>2.0091587483882904E-2</v>
      </c>
      <c r="I179">
        <f t="shared" si="14"/>
        <v>0.57620993185043334</v>
      </c>
      <c r="K179">
        <f t="shared" si="18"/>
        <v>0.5832018042948246</v>
      </c>
      <c r="L179">
        <f t="shared" si="19"/>
        <v>-0.63852334748039286</v>
      </c>
      <c r="N179">
        <v>1849.0361399999999</v>
      </c>
      <c r="O179">
        <f t="shared" si="20"/>
        <v>9.2451806999999988</v>
      </c>
    </row>
    <row r="180" spans="1:15">
      <c r="A180">
        <v>9.33</v>
      </c>
      <c r="B180">
        <f t="shared" si="15"/>
        <v>1866</v>
      </c>
      <c r="C180">
        <v>0.34599999999999997</v>
      </c>
      <c r="D180" s="1">
        <v>2.4872282519936562E-2</v>
      </c>
      <c r="E180">
        <f t="shared" si="16"/>
        <v>1866</v>
      </c>
      <c r="F180">
        <f t="shared" si="17"/>
        <v>2.0372282519936561E-2</v>
      </c>
      <c r="I180">
        <f t="shared" si="14"/>
        <v>0.57805839591100816</v>
      </c>
      <c r="K180">
        <f t="shared" si="18"/>
        <v>0.58510720566290619</v>
      </c>
      <c r="L180">
        <f t="shared" si="19"/>
        <v>-0.63661794611231126</v>
      </c>
      <c r="N180">
        <v>1859.11796</v>
      </c>
      <c r="O180">
        <f t="shared" si="20"/>
        <v>9.2955898000000001</v>
      </c>
    </row>
    <row r="181" spans="1:15">
      <c r="A181">
        <v>9.3800000000000008</v>
      </c>
      <c r="B181">
        <f t="shared" si="15"/>
        <v>1876.0000000000002</v>
      </c>
      <c r="C181">
        <v>0.34300000000000003</v>
      </c>
      <c r="D181" s="1">
        <v>2.4994742125272751E-2</v>
      </c>
      <c r="E181">
        <f t="shared" si="16"/>
        <v>1876.0000000000002</v>
      </c>
      <c r="F181">
        <f t="shared" si="17"/>
        <v>2.049474212527275E-2</v>
      </c>
      <c r="I181">
        <f t="shared" si="14"/>
        <v>0.57745068113505849</v>
      </c>
      <c r="K181">
        <f t="shared" si="18"/>
        <v>0.58448037768402705</v>
      </c>
      <c r="L181">
        <f t="shared" si="19"/>
        <v>-0.6372447740911904</v>
      </c>
      <c r="N181">
        <v>1870.1164000000001</v>
      </c>
      <c r="O181">
        <f t="shared" si="20"/>
        <v>9.3505820000000011</v>
      </c>
    </row>
    <row r="182" spans="1:15">
      <c r="A182">
        <v>9.43</v>
      </c>
      <c r="B182">
        <f t="shared" si="15"/>
        <v>1886</v>
      </c>
      <c r="C182">
        <v>0.34100000000000003</v>
      </c>
      <c r="D182" s="1">
        <v>2.505173347890377E-2</v>
      </c>
      <c r="E182">
        <f t="shared" si="16"/>
        <v>1886</v>
      </c>
      <c r="F182">
        <f t="shared" si="17"/>
        <v>2.055173347890377E-2</v>
      </c>
      <c r="I182">
        <f t="shared" si="14"/>
        <v>0.5772378467060626</v>
      </c>
      <c r="K182">
        <f t="shared" si="18"/>
        <v>0.58424598782236881</v>
      </c>
      <c r="L182">
        <f t="shared" si="19"/>
        <v>-0.63747916395284865</v>
      </c>
      <c r="N182">
        <v>1880.60546</v>
      </c>
      <c r="O182">
        <f t="shared" si="20"/>
        <v>9.4030272999999998</v>
      </c>
    </row>
    <row r="183" spans="1:15">
      <c r="A183">
        <v>9.48</v>
      </c>
      <c r="B183">
        <f t="shared" si="15"/>
        <v>1896</v>
      </c>
      <c r="C183">
        <v>0.33900000000000002</v>
      </c>
      <c r="D183" s="1">
        <v>2.4565804749727249E-2</v>
      </c>
      <c r="E183">
        <f t="shared" si="16"/>
        <v>1896</v>
      </c>
      <c r="F183">
        <f t="shared" si="17"/>
        <v>2.0065804749727249E-2</v>
      </c>
      <c r="I183">
        <f t="shared" si="14"/>
        <v>0.57188382902741441</v>
      </c>
      <c r="K183">
        <f t="shared" si="18"/>
        <v>0.57868613683757197</v>
      </c>
      <c r="L183">
        <f t="shared" si="19"/>
        <v>-0.64303901493764548</v>
      </c>
      <c r="N183">
        <v>1890.99296</v>
      </c>
      <c r="O183">
        <f t="shared" si="20"/>
        <v>9.4549648000000008</v>
      </c>
    </row>
    <row r="184" spans="1:15">
      <c r="A184">
        <v>9.5299999999999994</v>
      </c>
      <c r="B184">
        <f t="shared" si="15"/>
        <v>1905.9999999999998</v>
      </c>
      <c r="C184">
        <v>0.33700000000000002</v>
      </c>
      <c r="D184" s="1">
        <v>2.4296250194311142E-2</v>
      </c>
      <c r="E184">
        <f t="shared" si="16"/>
        <v>1905.9999999999998</v>
      </c>
      <c r="F184">
        <f t="shared" si="17"/>
        <v>1.9796250194311141E-2</v>
      </c>
      <c r="I184">
        <f t="shared" si="14"/>
        <v>0.56854326435178515</v>
      </c>
      <c r="K184">
        <f t="shared" si="18"/>
        <v>0.57521460066726804</v>
      </c>
      <c r="L184">
        <f t="shared" si="19"/>
        <v>-0.64651055110794942</v>
      </c>
      <c r="N184">
        <v>1901.0748000000001</v>
      </c>
      <c r="O184">
        <f t="shared" si="20"/>
        <v>9.5053739999999998</v>
      </c>
    </row>
    <row r="185" spans="1:15">
      <c r="A185">
        <v>9.58</v>
      </c>
      <c r="B185">
        <f t="shared" si="15"/>
        <v>1916</v>
      </c>
      <c r="C185">
        <v>0.33500000000000002</v>
      </c>
      <c r="D185" s="1">
        <v>2.4016488343477249E-2</v>
      </c>
      <c r="E185">
        <f t="shared" si="16"/>
        <v>1916</v>
      </c>
      <c r="F185">
        <f t="shared" si="17"/>
        <v>1.9516488343477249E-2</v>
      </c>
      <c r="I185">
        <f t="shared" si="14"/>
        <v>0.56507795833051211</v>
      </c>
      <c r="K185">
        <f t="shared" si="18"/>
        <v>0.57161598192557694</v>
      </c>
      <c r="L185">
        <f t="shared" si="19"/>
        <v>-0.65010916984964051</v>
      </c>
      <c r="N185">
        <v>1911.1566399999999</v>
      </c>
      <c r="O185">
        <f t="shared" si="20"/>
        <v>9.5557832000000005</v>
      </c>
    </row>
    <row r="186" spans="1:15">
      <c r="A186">
        <v>9.6300000000000008</v>
      </c>
      <c r="B186">
        <f t="shared" si="15"/>
        <v>1926.0000000000002</v>
      </c>
      <c r="C186">
        <v>0.33300000000000002</v>
      </c>
      <c r="D186" s="1">
        <v>2.4950046092271805E-2</v>
      </c>
      <c r="E186">
        <f t="shared" si="16"/>
        <v>1926.0000000000002</v>
      </c>
      <c r="F186">
        <f t="shared" si="17"/>
        <v>2.0450046092271804E-2</v>
      </c>
      <c r="I186">
        <f t="shared" si="14"/>
        <v>0.57326894386857752</v>
      </c>
      <c r="K186">
        <f t="shared" si="18"/>
        <v>0.58007880921730404</v>
      </c>
      <c r="L186">
        <f t="shared" si="19"/>
        <v>-0.64164634255791342</v>
      </c>
      <c r="N186">
        <v>1921.74746</v>
      </c>
      <c r="O186">
        <f t="shared" si="20"/>
        <v>9.6087372999999996</v>
      </c>
    </row>
    <row r="187" spans="1:15">
      <c r="A187">
        <v>9.69</v>
      </c>
      <c r="B187">
        <f t="shared" si="15"/>
        <v>1938</v>
      </c>
      <c r="C187">
        <v>0.33</v>
      </c>
      <c r="D187" s="1">
        <v>2.4746935814619064E-2</v>
      </c>
      <c r="E187">
        <f t="shared" si="16"/>
        <v>1938</v>
      </c>
      <c r="F187">
        <f t="shared" si="17"/>
        <v>2.0246935814619064E-2</v>
      </c>
      <c r="I187">
        <f t="shared" si="14"/>
        <v>0.56979780804365876</v>
      </c>
      <c r="K187">
        <f t="shared" si="18"/>
        <v>0.576479296862483</v>
      </c>
      <c r="L187">
        <f t="shared" si="19"/>
        <v>-0.64524585491273445</v>
      </c>
      <c r="N187">
        <v>1931.9312600000001</v>
      </c>
      <c r="O187">
        <f t="shared" si="20"/>
        <v>9.6596563</v>
      </c>
    </row>
    <row r="188" spans="1:15">
      <c r="A188">
        <v>9.74</v>
      </c>
      <c r="B188">
        <f t="shared" si="15"/>
        <v>1948</v>
      </c>
      <c r="C188">
        <v>0.32800000000000001</v>
      </c>
      <c r="D188" s="1">
        <v>2.47977115213871E-2</v>
      </c>
      <c r="E188">
        <f t="shared" si="16"/>
        <v>1948</v>
      </c>
      <c r="F188">
        <f t="shared" si="17"/>
        <v>2.02977115213871E-2</v>
      </c>
      <c r="I188">
        <f t="shared" si="14"/>
        <v>0.56952971021831034</v>
      </c>
      <c r="K188">
        <f t="shared" si="18"/>
        <v>0.57618735959732525</v>
      </c>
      <c r="L188">
        <f t="shared" si="19"/>
        <v>-0.6455377921778922</v>
      </c>
      <c r="N188">
        <v>1942.4203199999999</v>
      </c>
      <c r="O188">
        <f t="shared" si="20"/>
        <v>9.7121016000000004</v>
      </c>
    </row>
    <row r="189" spans="1:15">
      <c r="A189">
        <v>9.7899999999999991</v>
      </c>
      <c r="B189">
        <f t="shared" si="15"/>
        <v>1957.9999999999998</v>
      </c>
      <c r="C189">
        <v>0.32700000000000001</v>
      </c>
      <c r="D189" s="1">
        <v>2.4553913623094559E-2</v>
      </c>
      <c r="E189">
        <f t="shared" si="16"/>
        <v>1957.9999999999998</v>
      </c>
      <c r="F189">
        <f t="shared" si="17"/>
        <v>2.0053913623094558E-2</v>
      </c>
      <c r="I189">
        <f t="shared" si="14"/>
        <v>0.56738281437009574</v>
      </c>
      <c r="K189">
        <f t="shared" si="18"/>
        <v>0.57394044412484768</v>
      </c>
      <c r="L189">
        <f t="shared" si="19"/>
        <v>-0.64778470765036977</v>
      </c>
      <c r="N189">
        <v>1952.70606</v>
      </c>
      <c r="O189">
        <f t="shared" si="20"/>
        <v>9.7635302999999993</v>
      </c>
    </row>
    <row r="190" spans="1:15">
      <c r="A190">
        <v>9.84</v>
      </c>
      <c r="B190">
        <f t="shared" si="15"/>
        <v>1968</v>
      </c>
      <c r="C190">
        <v>0.32400000000000001</v>
      </c>
      <c r="D190" s="1">
        <v>2.4869997054338455E-2</v>
      </c>
      <c r="E190">
        <f t="shared" si="16"/>
        <v>1968</v>
      </c>
      <c r="F190">
        <f t="shared" si="17"/>
        <v>2.0369997054338455E-2</v>
      </c>
      <c r="I190">
        <f t="shared" si="14"/>
        <v>0.56872077101469043</v>
      </c>
      <c r="K190">
        <f t="shared" si="18"/>
        <v>0.57532065006029609</v>
      </c>
      <c r="L190">
        <f t="shared" si="19"/>
        <v>-0.64640450171492136</v>
      </c>
      <c r="N190">
        <v>1962.8894600000001</v>
      </c>
      <c r="O190">
        <f t="shared" si="20"/>
        <v>9.8144473000000012</v>
      </c>
    </row>
    <row r="191" spans="1:15">
      <c r="A191">
        <v>9.9</v>
      </c>
      <c r="B191">
        <f t="shared" si="15"/>
        <v>1980</v>
      </c>
      <c r="C191">
        <v>0.32200000000000001</v>
      </c>
      <c r="D191" s="1">
        <v>2.4348245933651924E-2</v>
      </c>
      <c r="E191">
        <f t="shared" si="16"/>
        <v>1980</v>
      </c>
      <c r="F191">
        <f t="shared" si="17"/>
        <v>1.9848245933651924E-2</v>
      </c>
      <c r="I191">
        <f t="shared" si="14"/>
        <v>0.56304763474315411</v>
      </c>
      <c r="K191">
        <f t="shared" si="18"/>
        <v>0.56943876993379006</v>
      </c>
      <c r="L191">
        <f t="shared" si="19"/>
        <v>-0.6522863818414274</v>
      </c>
      <c r="N191">
        <v>1973.0732399999999</v>
      </c>
      <c r="O191">
        <f t="shared" si="20"/>
        <v>9.8653662000000004</v>
      </c>
    </row>
    <row r="192" spans="1:15">
      <c r="A192">
        <v>9.9499999999999993</v>
      </c>
      <c r="B192">
        <f t="shared" si="15"/>
        <v>1989.9999999999998</v>
      </c>
      <c r="C192">
        <v>0.32</v>
      </c>
      <c r="D192" s="1">
        <v>2.5444960221648216E-2</v>
      </c>
      <c r="E192">
        <f t="shared" si="16"/>
        <v>1989.9999999999998</v>
      </c>
      <c r="F192">
        <f t="shared" si="17"/>
        <v>2.0944960221648216E-2</v>
      </c>
      <c r="I192">
        <f t="shared" si="14"/>
        <v>0.57317735420539973</v>
      </c>
      <c r="K192">
        <f t="shared" si="18"/>
        <v>0.57987974147632715</v>
      </c>
      <c r="L192">
        <f t="shared" si="19"/>
        <v>-0.64184541029889031</v>
      </c>
      <c r="N192">
        <v>1983.25684</v>
      </c>
      <c r="O192">
        <f t="shared" si="20"/>
        <v>9.9162841999999998</v>
      </c>
    </row>
    <row r="193" spans="1:15">
      <c r="A193">
        <v>10</v>
      </c>
      <c r="B193">
        <f t="shared" si="15"/>
        <v>2000</v>
      </c>
      <c r="C193">
        <v>0.317</v>
      </c>
      <c r="D193" s="1">
        <v>2.464304119348526E-2</v>
      </c>
      <c r="E193">
        <f t="shared" si="16"/>
        <v>2000</v>
      </c>
      <c r="F193">
        <f t="shared" si="17"/>
        <v>2.0143041193485259E-2</v>
      </c>
      <c r="I193">
        <f t="shared" si="14"/>
        <v>0.56343041193485255</v>
      </c>
      <c r="K193">
        <f t="shared" si="18"/>
        <v>0.56981575599318735</v>
      </c>
      <c r="L193">
        <f t="shared" si="19"/>
        <v>-0.65190939578203011</v>
      </c>
      <c r="N193">
        <v>1993.6443400000001</v>
      </c>
      <c r="O193">
        <f t="shared" si="20"/>
        <v>9.9682217000000009</v>
      </c>
    </row>
    <row r="194" spans="1:15">
      <c r="A194">
        <v>10</v>
      </c>
      <c r="B194">
        <f t="shared" si="15"/>
        <v>2000</v>
      </c>
      <c r="C194">
        <v>0.315</v>
      </c>
      <c r="D194" s="1">
        <v>2.4760615080595016E-2</v>
      </c>
      <c r="E194">
        <f t="shared" si="16"/>
        <v>2000</v>
      </c>
      <c r="F194">
        <f t="shared" si="17"/>
        <v>2.0260615080595016E-2</v>
      </c>
      <c r="I194">
        <f t="shared" ref="I194:I223" si="21">C194+(D194*A194)</f>
        <v>0.56260615080595011</v>
      </c>
      <c r="K194">
        <f t="shared" si="18"/>
        <v>0.56898824455633756</v>
      </c>
      <c r="L194">
        <f t="shared" si="19"/>
        <v>-0.65273690721887989</v>
      </c>
      <c r="N194">
        <v>2004.2352000000001</v>
      </c>
      <c r="O194">
        <f t="shared" si="20"/>
        <v>10.021176000000001</v>
      </c>
    </row>
    <row r="195" spans="1:15">
      <c r="A195">
        <v>10.1</v>
      </c>
      <c r="B195">
        <f t="shared" ref="B195:B223" si="22">A195*200</f>
        <v>2020</v>
      </c>
      <c r="C195">
        <v>0.313</v>
      </c>
      <c r="D195" s="1">
        <v>2.4760615080595016E-2</v>
      </c>
      <c r="E195">
        <f t="shared" ref="E195:E223" si="23">B195</f>
        <v>2020</v>
      </c>
      <c r="F195">
        <f t="shared" ref="F195" si="24">D195-0.0045</f>
        <v>2.0260615080595016E-2</v>
      </c>
      <c r="I195">
        <f t="shared" si="21"/>
        <v>0.56308221231400968</v>
      </c>
      <c r="K195">
        <f t="shared" ref="K195:K223" si="25">I195+(F195*C195)</f>
        <v>0.56942378483423595</v>
      </c>
      <c r="L195">
        <f t="shared" ref="L195:L223" si="26">K195-$I$1</f>
        <v>-0.65230136694098151</v>
      </c>
      <c r="N195">
        <v>2014.4190000000001</v>
      </c>
      <c r="O195">
        <f t="shared" ref="O195:O232" si="27">N195/200</f>
        <v>10.072095000000001</v>
      </c>
    </row>
    <row r="196" spans="1:15">
      <c r="A196">
        <v>10.199999999999999</v>
      </c>
      <c r="B196">
        <f t="shared" si="22"/>
        <v>2039.9999999999998</v>
      </c>
      <c r="C196">
        <v>0.311</v>
      </c>
      <c r="D196" s="1">
        <v>2.4E-2</v>
      </c>
      <c r="E196">
        <f t="shared" si="23"/>
        <v>2039.9999999999998</v>
      </c>
      <c r="F196">
        <v>2.0369997054338455E-2</v>
      </c>
      <c r="I196">
        <f t="shared" si="21"/>
        <v>0.55579999999999996</v>
      </c>
      <c r="K196">
        <f t="shared" si="25"/>
        <v>0.56213506908389921</v>
      </c>
      <c r="L196">
        <f t="shared" si="26"/>
        <v>-0.65959008269131825</v>
      </c>
      <c r="N196">
        <v>2024.6025999999999</v>
      </c>
      <c r="O196">
        <f t="shared" si="27"/>
        <v>10.123013</v>
      </c>
    </row>
    <row r="197" spans="1:15">
      <c r="A197">
        <v>10.199999999999999</v>
      </c>
      <c r="B197">
        <f t="shared" si="22"/>
        <v>2039.9999999999998</v>
      </c>
      <c r="C197">
        <v>0.309</v>
      </c>
      <c r="D197" s="1">
        <v>2.4E-2</v>
      </c>
      <c r="E197">
        <f t="shared" si="23"/>
        <v>2039.9999999999998</v>
      </c>
      <c r="F197">
        <v>1.9848245933651924E-2</v>
      </c>
      <c r="I197">
        <f t="shared" si="21"/>
        <v>0.55379999999999996</v>
      </c>
      <c r="K197">
        <f t="shared" si="25"/>
        <v>0.55993310799349838</v>
      </c>
      <c r="L197">
        <f t="shared" si="26"/>
        <v>-0.66179204378171907</v>
      </c>
      <c r="N197">
        <v>2035.0917999999999</v>
      </c>
      <c r="O197">
        <f t="shared" si="27"/>
        <v>10.175459</v>
      </c>
    </row>
    <row r="198" spans="1:15">
      <c r="A198">
        <v>10.3</v>
      </c>
      <c r="B198">
        <f t="shared" si="22"/>
        <v>2060</v>
      </c>
      <c r="C198">
        <v>0.30599999999999999</v>
      </c>
      <c r="D198" s="1">
        <v>2.4E-2</v>
      </c>
      <c r="E198">
        <f t="shared" si="23"/>
        <v>2060</v>
      </c>
      <c r="F198">
        <v>2.0944960221648216E-2</v>
      </c>
      <c r="I198">
        <f t="shared" si="21"/>
        <v>0.55320000000000003</v>
      </c>
      <c r="K198">
        <f t="shared" si="25"/>
        <v>0.55960915782782439</v>
      </c>
      <c r="L198">
        <f t="shared" si="26"/>
        <v>-0.66211599394739307</v>
      </c>
      <c r="N198">
        <v>2045.1733999999999</v>
      </c>
      <c r="O198">
        <f t="shared" si="27"/>
        <v>10.225866999999999</v>
      </c>
    </row>
    <row r="199" spans="1:15">
      <c r="A199">
        <v>10.3</v>
      </c>
      <c r="B199">
        <f t="shared" si="22"/>
        <v>2060</v>
      </c>
      <c r="C199">
        <v>0.30399999999999999</v>
      </c>
      <c r="D199" s="1">
        <v>2.4E-2</v>
      </c>
      <c r="E199">
        <f t="shared" si="23"/>
        <v>2060</v>
      </c>
      <c r="F199">
        <v>2.0143041193485259E-2</v>
      </c>
      <c r="I199">
        <f t="shared" si="21"/>
        <v>0.55120000000000002</v>
      </c>
      <c r="K199">
        <f t="shared" si="25"/>
        <v>0.55732348452281955</v>
      </c>
      <c r="L199">
        <f t="shared" si="26"/>
        <v>-0.66440166725239791</v>
      </c>
      <c r="N199">
        <v>2056.0700000000002</v>
      </c>
      <c r="O199">
        <f t="shared" si="27"/>
        <v>10.28035</v>
      </c>
    </row>
    <row r="200" spans="1:15">
      <c r="A200">
        <v>10.4</v>
      </c>
      <c r="B200">
        <f t="shared" si="22"/>
        <v>2080</v>
      </c>
      <c r="C200">
        <v>0.30099999999999999</v>
      </c>
      <c r="D200" s="1">
        <v>2.4E-2</v>
      </c>
      <c r="E200">
        <f t="shared" si="23"/>
        <v>2080</v>
      </c>
      <c r="F200">
        <v>1.9744915693998336E-2</v>
      </c>
      <c r="I200">
        <f t="shared" si="21"/>
        <v>0.55059999999999998</v>
      </c>
      <c r="K200">
        <f t="shared" si="25"/>
        <v>0.55654321962389353</v>
      </c>
      <c r="L200">
        <f t="shared" si="26"/>
        <v>-0.66518193215132393</v>
      </c>
      <c r="N200">
        <v>2066.1518000000001</v>
      </c>
      <c r="O200">
        <f t="shared" si="27"/>
        <v>10.330759</v>
      </c>
    </row>
    <row r="201" spans="1:15">
      <c r="A201">
        <v>10.4</v>
      </c>
      <c r="B201">
        <f t="shared" si="22"/>
        <v>2080</v>
      </c>
      <c r="C201">
        <v>0.29899999999999999</v>
      </c>
      <c r="D201" s="1">
        <v>2.4E-2</v>
      </c>
      <c r="E201">
        <f t="shared" si="23"/>
        <v>2080</v>
      </c>
      <c r="F201">
        <v>1.9829442530870437E-2</v>
      </c>
      <c r="I201">
        <f t="shared" si="21"/>
        <v>0.54859999999999998</v>
      </c>
      <c r="K201">
        <f t="shared" si="25"/>
        <v>0.55452900331673027</v>
      </c>
      <c r="L201">
        <f t="shared" si="26"/>
        <v>-0.66719614845848718</v>
      </c>
      <c r="N201">
        <v>2076.2338</v>
      </c>
      <c r="O201">
        <f t="shared" si="27"/>
        <v>10.381169</v>
      </c>
    </row>
    <row r="202" spans="1:15">
      <c r="A202">
        <v>10.5</v>
      </c>
      <c r="B202">
        <f t="shared" si="22"/>
        <v>2100</v>
      </c>
      <c r="C202">
        <v>0.29699999999999999</v>
      </c>
      <c r="D202" s="1">
        <v>2.4E-2</v>
      </c>
      <c r="E202">
        <f t="shared" si="23"/>
        <v>2100</v>
      </c>
      <c r="F202">
        <v>2.0236572057008743E-2</v>
      </c>
      <c r="I202">
        <f t="shared" si="21"/>
        <v>0.54899999999999993</v>
      </c>
      <c r="K202">
        <f t="shared" si="25"/>
        <v>0.5550102619009315</v>
      </c>
      <c r="L202">
        <f t="shared" si="26"/>
        <v>-0.66671488987428595</v>
      </c>
      <c r="N202">
        <v>2086.5194000000001</v>
      </c>
      <c r="O202">
        <f t="shared" si="27"/>
        <v>10.432597000000001</v>
      </c>
    </row>
    <row r="203" spans="1:15">
      <c r="A203">
        <v>10.5</v>
      </c>
      <c r="B203">
        <f t="shared" si="22"/>
        <v>2100</v>
      </c>
      <c r="C203">
        <v>0.29499999999999998</v>
      </c>
      <c r="D203" s="1">
        <v>2.4E-2</v>
      </c>
      <c r="E203">
        <f t="shared" si="23"/>
        <v>2100</v>
      </c>
      <c r="F203">
        <v>1.9775474250316619E-2</v>
      </c>
      <c r="I203">
        <f t="shared" si="21"/>
        <v>0.54699999999999993</v>
      </c>
      <c r="K203">
        <f t="shared" si="25"/>
        <v>0.55283376490384328</v>
      </c>
      <c r="L203">
        <f t="shared" si="26"/>
        <v>-0.66889138687137417</v>
      </c>
      <c r="N203">
        <v>2097.1102000000001</v>
      </c>
      <c r="O203">
        <f t="shared" si="27"/>
        <v>10.485551000000001</v>
      </c>
    </row>
    <row r="204" spans="1:15">
      <c r="A204">
        <v>10.6</v>
      </c>
      <c r="B204">
        <f t="shared" si="22"/>
        <v>2120</v>
      </c>
      <c r="C204">
        <v>0.29299999999999998</v>
      </c>
      <c r="D204" s="1">
        <v>2.4E-2</v>
      </c>
      <c r="E204">
        <f t="shared" si="23"/>
        <v>2120</v>
      </c>
      <c r="F204">
        <v>1.9688827723264694E-2</v>
      </c>
      <c r="I204">
        <f t="shared" si="21"/>
        <v>0.5474</v>
      </c>
      <c r="K204">
        <f t="shared" si="25"/>
        <v>0.55316882652291655</v>
      </c>
      <c r="L204">
        <f t="shared" si="26"/>
        <v>-0.66855632525230091</v>
      </c>
      <c r="N204">
        <v>2107.2939999999999</v>
      </c>
      <c r="O204">
        <f t="shared" si="27"/>
        <v>10.53647</v>
      </c>
    </row>
    <row r="205" spans="1:15">
      <c r="A205">
        <v>10.6</v>
      </c>
      <c r="B205">
        <f t="shared" si="22"/>
        <v>2120</v>
      </c>
      <c r="C205">
        <v>0.29099999999999998</v>
      </c>
      <c r="D205" s="1">
        <v>2.4E-2</v>
      </c>
      <c r="E205">
        <f t="shared" si="23"/>
        <v>2120</v>
      </c>
      <c r="F205">
        <v>2.0091587483882904E-2</v>
      </c>
      <c r="I205">
        <f t="shared" si="21"/>
        <v>0.5454</v>
      </c>
      <c r="K205">
        <f t="shared" si="25"/>
        <v>0.55124665195780997</v>
      </c>
      <c r="L205">
        <f t="shared" si="26"/>
        <v>-0.67047849981740748</v>
      </c>
      <c r="N205">
        <v>2117.4776000000002</v>
      </c>
      <c r="O205">
        <f t="shared" si="27"/>
        <v>10.587388000000001</v>
      </c>
    </row>
    <row r="206" spans="1:15">
      <c r="A206">
        <v>10.7</v>
      </c>
      <c r="B206">
        <f t="shared" si="22"/>
        <v>2140</v>
      </c>
      <c r="C206">
        <v>0.28799999999999998</v>
      </c>
      <c r="D206" s="1">
        <v>2.4E-2</v>
      </c>
      <c r="E206">
        <f t="shared" si="23"/>
        <v>2140</v>
      </c>
      <c r="F206">
        <v>2.0372282519936561E-2</v>
      </c>
      <c r="I206">
        <f t="shared" si="21"/>
        <v>0.54479999999999995</v>
      </c>
      <c r="K206">
        <f t="shared" si="25"/>
        <v>0.55066721736574165</v>
      </c>
      <c r="L206">
        <f t="shared" si="26"/>
        <v>-0.67105793440947581</v>
      </c>
      <c r="N206">
        <v>2127.6614</v>
      </c>
      <c r="O206">
        <f t="shared" si="27"/>
        <v>10.638306999999999</v>
      </c>
    </row>
    <row r="207" spans="1:15">
      <c r="A207">
        <v>10.7</v>
      </c>
      <c r="B207">
        <f t="shared" si="22"/>
        <v>2140</v>
      </c>
      <c r="C207">
        <v>0.28599999999999998</v>
      </c>
      <c r="D207" s="1">
        <v>2.4E-2</v>
      </c>
      <c r="E207">
        <f t="shared" si="23"/>
        <v>2140</v>
      </c>
      <c r="F207">
        <v>2.0065804749727249E-2</v>
      </c>
      <c r="I207">
        <f t="shared" si="21"/>
        <v>0.54279999999999995</v>
      </c>
      <c r="K207">
        <f t="shared" si="25"/>
        <v>0.54853882015842192</v>
      </c>
      <c r="L207">
        <f t="shared" si="26"/>
        <v>-0.67318633161679553</v>
      </c>
      <c r="N207">
        <v>2138.6596</v>
      </c>
      <c r="O207">
        <f t="shared" si="27"/>
        <v>10.693298</v>
      </c>
    </row>
    <row r="208" spans="1:15">
      <c r="A208">
        <v>10.8</v>
      </c>
      <c r="B208">
        <f t="shared" si="22"/>
        <v>2160</v>
      </c>
      <c r="C208">
        <v>0.28399999999999997</v>
      </c>
      <c r="D208" s="1">
        <v>2.4E-2</v>
      </c>
      <c r="E208">
        <f t="shared" si="23"/>
        <v>2160</v>
      </c>
      <c r="F208">
        <v>1.9796250194311141E-2</v>
      </c>
      <c r="I208">
        <f t="shared" si="21"/>
        <v>0.54320000000000002</v>
      </c>
      <c r="K208">
        <f t="shared" si="25"/>
        <v>0.5488221350551844</v>
      </c>
      <c r="L208">
        <f t="shared" si="26"/>
        <v>-0.67290301672003305</v>
      </c>
      <c r="N208">
        <v>2149.3524000000002</v>
      </c>
      <c r="O208">
        <f t="shared" si="27"/>
        <v>10.746762</v>
      </c>
    </row>
    <row r="209" spans="1:15">
      <c r="A209">
        <v>10.8</v>
      </c>
      <c r="B209">
        <f t="shared" si="22"/>
        <v>2160</v>
      </c>
      <c r="C209">
        <v>0.28199999999999997</v>
      </c>
      <c r="D209" s="1">
        <v>2.4E-2</v>
      </c>
      <c r="E209">
        <f t="shared" si="23"/>
        <v>2160</v>
      </c>
      <c r="F209">
        <v>1.9516488343477249E-2</v>
      </c>
      <c r="I209">
        <f t="shared" si="21"/>
        <v>0.54120000000000001</v>
      </c>
      <c r="K209">
        <f t="shared" si="25"/>
        <v>0.54670364971286056</v>
      </c>
      <c r="L209">
        <f t="shared" si="26"/>
        <v>-0.67502150206235689</v>
      </c>
      <c r="N209">
        <v>2159.4342000000001</v>
      </c>
      <c r="O209">
        <f t="shared" si="27"/>
        <v>10.797171000000001</v>
      </c>
    </row>
    <row r="210" spans="1:15">
      <c r="A210">
        <v>10.9</v>
      </c>
      <c r="B210">
        <f t="shared" si="22"/>
        <v>2180</v>
      </c>
      <c r="C210">
        <v>0.27900000000000003</v>
      </c>
      <c r="D210" s="1">
        <v>2.4E-2</v>
      </c>
      <c r="E210">
        <f t="shared" si="23"/>
        <v>2180</v>
      </c>
      <c r="F210">
        <v>2.0450046092271804E-2</v>
      </c>
      <c r="I210">
        <f t="shared" si="21"/>
        <v>0.54059999999999997</v>
      </c>
      <c r="K210">
        <f t="shared" si="25"/>
        <v>0.54630556285974385</v>
      </c>
      <c r="L210">
        <f t="shared" si="26"/>
        <v>-0.6754195889154736</v>
      </c>
      <c r="N210">
        <v>2170.0252</v>
      </c>
      <c r="O210">
        <f t="shared" si="27"/>
        <v>10.850125999999999</v>
      </c>
    </row>
    <row r="211" spans="1:15">
      <c r="A211">
        <v>10.9</v>
      </c>
      <c r="B211">
        <f t="shared" si="22"/>
        <v>2180</v>
      </c>
      <c r="C211">
        <v>0.27700000000000002</v>
      </c>
      <c r="D211" s="1">
        <v>2.4E-2</v>
      </c>
      <c r="E211">
        <f t="shared" si="23"/>
        <v>2180</v>
      </c>
      <c r="F211">
        <v>2.0246935814619064E-2</v>
      </c>
      <c r="I211">
        <f t="shared" si="21"/>
        <v>0.53859999999999997</v>
      </c>
      <c r="K211">
        <f t="shared" si="25"/>
        <v>0.5442084012206494</v>
      </c>
      <c r="L211">
        <f t="shared" si="26"/>
        <v>-0.67751675055456806</v>
      </c>
      <c r="N211">
        <v>2180.107</v>
      </c>
      <c r="O211">
        <f t="shared" si="27"/>
        <v>10.900535</v>
      </c>
    </row>
    <row r="212" spans="1:15">
      <c r="A212">
        <v>11</v>
      </c>
      <c r="B212">
        <f t="shared" si="22"/>
        <v>2200</v>
      </c>
      <c r="C212">
        <v>0.27500000000000002</v>
      </c>
      <c r="D212" s="1">
        <v>2.4E-2</v>
      </c>
      <c r="E212">
        <f t="shared" si="23"/>
        <v>2200</v>
      </c>
      <c r="F212">
        <v>2.02977115213871E-2</v>
      </c>
      <c r="I212">
        <f t="shared" si="21"/>
        <v>0.53900000000000003</v>
      </c>
      <c r="K212">
        <f t="shared" si="25"/>
        <v>0.54458187066838148</v>
      </c>
      <c r="L212">
        <f t="shared" si="26"/>
        <v>-0.67714328110683597</v>
      </c>
      <c r="N212">
        <v>2190.6981999999998</v>
      </c>
      <c r="O212">
        <f t="shared" si="27"/>
        <v>10.953491</v>
      </c>
    </row>
    <row r="213" spans="1:15">
      <c r="A213">
        <v>11</v>
      </c>
      <c r="B213">
        <f t="shared" si="22"/>
        <v>2200</v>
      </c>
      <c r="C213">
        <v>0.27200000000000002</v>
      </c>
      <c r="D213" s="1">
        <v>2.4E-2</v>
      </c>
      <c r="E213">
        <f t="shared" si="23"/>
        <v>2200</v>
      </c>
      <c r="F213">
        <v>2.0944960221648216E-2</v>
      </c>
      <c r="I213">
        <f t="shared" si="21"/>
        <v>0.53600000000000003</v>
      </c>
      <c r="K213">
        <f t="shared" si="25"/>
        <v>0.54169702918028839</v>
      </c>
      <c r="L213">
        <f t="shared" si="26"/>
        <v>-0.68002812259492906</v>
      </c>
      <c r="N213">
        <v>2200.7800000000002</v>
      </c>
      <c r="O213">
        <f t="shared" si="27"/>
        <v>11.003900000000002</v>
      </c>
    </row>
    <row r="214" spans="1:15">
      <c r="A214">
        <v>11.1</v>
      </c>
      <c r="B214">
        <f t="shared" si="22"/>
        <v>2220</v>
      </c>
      <c r="C214">
        <v>0.27</v>
      </c>
      <c r="D214" s="1">
        <v>2.4E-2</v>
      </c>
      <c r="E214">
        <f t="shared" si="23"/>
        <v>2220</v>
      </c>
      <c r="F214">
        <v>2.0143041193485259E-2</v>
      </c>
      <c r="I214">
        <f t="shared" si="21"/>
        <v>0.53639999999999999</v>
      </c>
      <c r="K214">
        <f t="shared" si="25"/>
        <v>0.54183862112224102</v>
      </c>
      <c r="L214">
        <f t="shared" si="26"/>
        <v>-0.67988653065297644</v>
      </c>
      <c r="N214">
        <v>2211.0654</v>
      </c>
      <c r="O214">
        <f t="shared" si="27"/>
        <v>11.055327</v>
      </c>
    </row>
    <row r="215" spans="1:15">
      <c r="A215">
        <v>11.1</v>
      </c>
      <c r="B215">
        <f t="shared" si="22"/>
        <v>2220</v>
      </c>
      <c r="C215">
        <v>0.26800000000000002</v>
      </c>
      <c r="D215" s="1">
        <v>2.4E-2</v>
      </c>
      <c r="E215">
        <f t="shared" si="23"/>
        <v>2220</v>
      </c>
      <c r="F215">
        <v>1.9744915693998336E-2</v>
      </c>
      <c r="I215">
        <f t="shared" si="21"/>
        <v>0.53439999999999999</v>
      </c>
      <c r="K215">
        <f t="shared" si="25"/>
        <v>0.53969163740599158</v>
      </c>
      <c r="L215">
        <f t="shared" si="26"/>
        <v>-0.68203351436922588</v>
      </c>
      <c r="N215">
        <v>2221.1469999999999</v>
      </c>
      <c r="O215">
        <f t="shared" si="27"/>
        <v>11.105734999999999</v>
      </c>
    </row>
    <row r="216" spans="1:15">
      <c r="A216">
        <v>11.2</v>
      </c>
      <c r="B216">
        <f t="shared" si="22"/>
        <v>2240</v>
      </c>
      <c r="C216">
        <v>0.26500000000000001</v>
      </c>
      <c r="D216" s="1">
        <v>2.4E-2</v>
      </c>
      <c r="E216">
        <f t="shared" si="23"/>
        <v>2240</v>
      </c>
      <c r="F216">
        <v>1.9829442530870437E-2</v>
      </c>
      <c r="I216">
        <f t="shared" si="21"/>
        <v>0.53380000000000005</v>
      </c>
      <c r="K216">
        <f t="shared" si="25"/>
        <v>0.5390548022706807</v>
      </c>
      <c r="L216">
        <f t="shared" si="26"/>
        <v>-0.68267034950453676</v>
      </c>
      <c r="N216">
        <v>2231.6363999999999</v>
      </c>
      <c r="O216">
        <f t="shared" si="27"/>
        <v>11.158182</v>
      </c>
    </row>
    <row r="217" spans="1:15">
      <c r="A217">
        <v>11.2</v>
      </c>
      <c r="B217">
        <f t="shared" si="22"/>
        <v>2240</v>
      </c>
      <c r="C217">
        <v>0.26300000000000001</v>
      </c>
      <c r="D217" s="1">
        <v>2.4E-2</v>
      </c>
      <c r="E217">
        <f t="shared" si="23"/>
        <v>2240</v>
      </c>
      <c r="F217">
        <v>2.0236572057008743E-2</v>
      </c>
      <c r="I217">
        <f t="shared" si="21"/>
        <v>0.53180000000000005</v>
      </c>
      <c r="K217">
        <f t="shared" si="25"/>
        <v>0.53712221845099339</v>
      </c>
      <c r="L217">
        <f t="shared" si="26"/>
        <v>-0.68460293332422406</v>
      </c>
      <c r="N217">
        <v>2241.8200000000002</v>
      </c>
      <c r="O217">
        <f t="shared" si="27"/>
        <v>11.209100000000001</v>
      </c>
    </row>
    <row r="218" spans="1:15">
      <c r="A218">
        <v>11.3</v>
      </c>
      <c r="B218">
        <f t="shared" si="22"/>
        <v>2260</v>
      </c>
      <c r="C218">
        <v>0.26100000000000001</v>
      </c>
      <c r="D218" s="1">
        <v>2.4E-2</v>
      </c>
      <c r="E218">
        <f t="shared" si="23"/>
        <v>2260</v>
      </c>
      <c r="F218">
        <v>1.9775474250316619E-2</v>
      </c>
      <c r="I218">
        <f t="shared" si="21"/>
        <v>0.53220000000000001</v>
      </c>
      <c r="K218">
        <f t="shared" si="25"/>
        <v>0.53736139877933264</v>
      </c>
      <c r="L218">
        <f t="shared" si="26"/>
        <v>-0.68436375299588481</v>
      </c>
      <c r="N218">
        <v>2252.3092000000001</v>
      </c>
      <c r="O218">
        <f t="shared" si="27"/>
        <v>11.261546000000001</v>
      </c>
    </row>
    <row r="219" spans="1:15">
      <c r="A219">
        <v>11.4</v>
      </c>
      <c r="B219">
        <f t="shared" si="22"/>
        <v>2280</v>
      </c>
      <c r="C219">
        <v>0.25900000000000001</v>
      </c>
      <c r="D219" s="1">
        <v>2.4E-2</v>
      </c>
      <c r="E219">
        <f t="shared" si="23"/>
        <v>2280</v>
      </c>
      <c r="F219">
        <v>1.9688827723264694E-2</v>
      </c>
      <c r="I219">
        <f t="shared" si="21"/>
        <v>0.53259999999999996</v>
      </c>
      <c r="K219">
        <f t="shared" si="25"/>
        <v>0.53769940638032554</v>
      </c>
      <c r="L219">
        <f t="shared" si="26"/>
        <v>-0.68402574539489192</v>
      </c>
      <c r="N219">
        <v>2262.4929999999999</v>
      </c>
      <c r="O219">
        <f t="shared" si="27"/>
        <v>11.312465</v>
      </c>
    </row>
    <row r="220" spans="1:15">
      <c r="A220">
        <v>11.4</v>
      </c>
      <c r="B220">
        <f t="shared" si="22"/>
        <v>2280</v>
      </c>
      <c r="C220">
        <v>0.25600000000000001</v>
      </c>
      <c r="D220" s="1">
        <v>2.4E-2</v>
      </c>
      <c r="E220">
        <f t="shared" si="23"/>
        <v>2280</v>
      </c>
      <c r="F220">
        <v>2.0091587483882904E-2</v>
      </c>
      <c r="I220">
        <f t="shared" si="21"/>
        <v>0.52960000000000007</v>
      </c>
      <c r="K220">
        <f t="shared" si="25"/>
        <v>0.53474344639587412</v>
      </c>
      <c r="L220">
        <f t="shared" si="26"/>
        <v>-0.68698170537934333</v>
      </c>
      <c r="N220">
        <v>2272.982</v>
      </c>
      <c r="O220">
        <f t="shared" si="27"/>
        <v>11.36491</v>
      </c>
    </row>
    <row r="221" spans="1:15">
      <c r="A221">
        <v>11.5</v>
      </c>
      <c r="B221">
        <f t="shared" si="22"/>
        <v>2300</v>
      </c>
      <c r="C221">
        <v>0.254</v>
      </c>
      <c r="D221" s="1">
        <v>2.4E-2</v>
      </c>
      <c r="E221">
        <f t="shared" si="23"/>
        <v>2300</v>
      </c>
      <c r="F221">
        <v>2.0944960221648216E-2</v>
      </c>
      <c r="I221">
        <f t="shared" si="21"/>
        <v>0.53</v>
      </c>
      <c r="K221">
        <f t="shared" si="25"/>
        <v>0.53532001989629863</v>
      </c>
      <c r="L221">
        <f t="shared" si="26"/>
        <v>-0.68640513187891883</v>
      </c>
      <c r="N221">
        <v>2283.1658000000002</v>
      </c>
      <c r="O221">
        <f t="shared" si="27"/>
        <v>11.415829</v>
      </c>
    </row>
    <row r="222" spans="1:15">
      <c r="A222">
        <v>11.5</v>
      </c>
      <c r="B222">
        <f t="shared" si="22"/>
        <v>2300</v>
      </c>
      <c r="C222">
        <v>0.252</v>
      </c>
      <c r="D222" s="1">
        <v>2.4E-2</v>
      </c>
      <c r="E222">
        <f t="shared" si="23"/>
        <v>2300</v>
      </c>
      <c r="F222">
        <v>2.0143041193485259E-2</v>
      </c>
      <c r="I222">
        <f t="shared" si="21"/>
        <v>0.52800000000000002</v>
      </c>
      <c r="K222">
        <f t="shared" si="25"/>
        <v>0.53307604638075834</v>
      </c>
      <c r="L222">
        <f t="shared" si="26"/>
        <v>-0.68864910539445912</v>
      </c>
      <c r="N222">
        <v>2293.4512</v>
      </c>
      <c r="O222">
        <f t="shared" si="27"/>
        <v>11.467255999999999</v>
      </c>
    </row>
    <row r="223" spans="1:15">
      <c r="A223">
        <v>11.5</v>
      </c>
      <c r="B223">
        <f t="shared" si="22"/>
        <v>2300</v>
      </c>
      <c r="C223">
        <v>0.252</v>
      </c>
      <c r="D223" s="1">
        <v>2.4E-2</v>
      </c>
      <c r="E223">
        <f t="shared" si="23"/>
        <v>2300</v>
      </c>
      <c r="F223">
        <v>1.9744915693998336E-2</v>
      </c>
      <c r="I223">
        <f t="shared" si="21"/>
        <v>0.52800000000000002</v>
      </c>
      <c r="K223">
        <f t="shared" si="25"/>
        <v>0.53297571875488758</v>
      </c>
      <c r="L223">
        <f t="shared" si="26"/>
        <v>-0.68874943302032987</v>
      </c>
      <c r="N223">
        <v>2303.5331999999999</v>
      </c>
      <c r="O223">
        <f t="shared" si="27"/>
        <v>11.517665999999998</v>
      </c>
    </row>
    <row r="224" spans="1:15">
      <c r="N224">
        <v>2314.1242000000002</v>
      </c>
      <c r="O224">
        <f t="shared" si="27"/>
        <v>11.570621000000001</v>
      </c>
    </row>
    <row r="225" spans="14:15">
      <c r="N225">
        <v>2325.4281999999998</v>
      </c>
      <c r="O225">
        <f t="shared" si="27"/>
        <v>11.627141</v>
      </c>
    </row>
    <row r="226" spans="14:15">
      <c r="N226">
        <v>2335.8152</v>
      </c>
      <c r="O226">
        <f t="shared" si="27"/>
        <v>11.679076</v>
      </c>
    </row>
    <row r="227" spans="14:15">
      <c r="N227">
        <v>2345.9987999999998</v>
      </c>
      <c r="O227">
        <f t="shared" si="27"/>
        <v>11.729994</v>
      </c>
    </row>
    <row r="228" spans="14:15">
      <c r="N228">
        <v>2356.7937999999999</v>
      </c>
      <c r="O228">
        <f t="shared" si="27"/>
        <v>11.783968999999999</v>
      </c>
    </row>
    <row r="229" spans="14:15">
      <c r="N229">
        <v>2366.8755999999998</v>
      </c>
      <c r="O229">
        <f t="shared" si="27"/>
        <v>11.834377999999999</v>
      </c>
    </row>
    <row r="230" spans="14:15">
      <c r="N230">
        <v>2377.0594000000001</v>
      </c>
      <c r="O230">
        <f t="shared" si="27"/>
        <v>11.885297000000001</v>
      </c>
    </row>
    <row r="231" spans="14:15">
      <c r="N231">
        <v>2387.1410000000001</v>
      </c>
      <c r="O231">
        <f t="shared" si="27"/>
        <v>11.935705</v>
      </c>
    </row>
    <row r="232" spans="14:15">
      <c r="N232">
        <v>2394.0659999999998</v>
      </c>
      <c r="O232">
        <f t="shared" si="27"/>
        <v>11.970329999999999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DavidOHalla</cp:lastModifiedBy>
  <dcterms:created xsi:type="dcterms:W3CDTF">2025-09-17T02:43:03Z</dcterms:created>
  <dcterms:modified xsi:type="dcterms:W3CDTF">2026-03-24T15:16:34Z</dcterms:modified>
</cp:coreProperties>
</file>