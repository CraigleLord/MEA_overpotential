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 BP\"/>
    </mc:Choice>
  </mc:AlternateContent>
  <xr:revisionPtr revIDLastSave="0" documentId="13_ncr:1_{D0BF31C9-EC11-427F-B90E-CCD37F126EC4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R53" i="1" s="1"/>
  <c r="I1" i="3" l="1"/>
  <c r="K288" i="1"/>
  <c r="P288" i="1" s="1"/>
  <c r="K257" i="1"/>
  <c r="P257" i="1" s="1"/>
  <c r="K263" i="1"/>
  <c r="P263" i="1" s="1"/>
  <c r="K240" i="1"/>
  <c r="P240" i="1" s="1"/>
  <c r="K217" i="1"/>
  <c r="P217" i="1" s="1"/>
  <c r="K274" i="1"/>
  <c r="P274" i="1" s="1"/>
  <c r="K277" i="1"/>
  <c r="P277" i="1" s="1"/>
  <c r="K247" i="1"/>
  <c r="P247" i="1" s="1"/>
  <c r="K255" i="1"/>
  <c r="P255" i="1" s="1"/>
  <c r="K279" i="1"/>
  <c r="P279" i="1" s="1"/>
  <c r="K278" i="1"/>
  <c r="P278" i="1" s="1"/>
  <c r="K243" i="1"/>
  <c r="P243" i="1" s="1"/>
  <c r="K273" i="1"/>
  <c r="P273" i="1" s="1"/>
  <c r="K237" i="1"/>
  <c r="P237" i="1" s="1"/>
  <c r="K213" i="1"/>
  <c r="P213" i="1" s="1"/>
  <c r="K269" i="1"/>
  <c r="P269" i="1" s="1"/>
  <c r="K297" i="1"/>
  <c r="P297" i="1" s="1"/>
  <c r="K227" i="1"/>
  <c r="P227" i="1" s="1"/>
  <c r="K241" i="1"/>
  <c r="P241" i="1" s="1"/>
  <c r="K215" i="1"/>
  <c r="P215" i="1" s="1"/>
  <c r="K226" i="1"/>
  <c r="P226" i="1" s="1"/>
  <c r="K233" i="1"/>
  <c r="P233" i="1" s="1"/>
  <c r="K282" i="1"/>
  <c r="P282" i="1" s="1"/>
  <c r="K234" i="1"/>
  <c r="P234" i="1" s="1"/>
  <c r="K251" i="1"/>
  <c r="P251" i="1" s="1"/>
  <c r="K294" i="1"/>
  <c r="P294" i="1" s="1"/>
  <c r="K261" i="1"/>
  <c r="P261" i="1" s="1"/>
  <c r="K236" i="1"/>
  <c r="P236" i="1" s="1"/>
  <c r="K262" i="1"/>
  <c r="P262" i="1" s="1"/>
  <c r="K249" i="1"/>
  <c r="P249" i="1" s="1"/>
  <c r="K229" i="1"/>
  <c r="P229" i="1" s="1"/>
  <c r="K253" i="1"/>
  <c r="P253" i="1" s="1"/>
  <c r="K235" i="1"/>
  <c r="P235" i="1" s="1"/>
  <c r="K292" i="1"/>
  <c r="P292" i="1" s="1"/>
  <c r="K245" i="1"/>
  <c r="P245" i="1" s="1"/>
  <c r="K221" i="1"/>
  <c r="P221" i="1" s="1"/>
  <c r="K301" i="1"/>
  <c r="P301" i="1" s="1"/>
  <c r="K258" i="1"/>
  <c r="P258" i="1" s="1"/>
  <c r="K252" i="1"/>
  <c r="P252" i="1" s="1"/>
  <c r="K260" i="1"/>
  <c r="P260" i="1" s="1"/>
  <c r="K299" i="1"/>
  <c r="P299" i="1" s="1"/>
  <c r="K214" i="1"/>
  <c r="P214" i="1" s="1"/>
  <c r="K219" i="1"/>
  <c r="P219" i="1" s="1"/>
  <c r="K239" i="1"/>
  <c r="P239" i="1" s="1"/>
  <c r="K266" i="1"/>
  <c r="P266" i="1" s="1"/>
  <c r="K272" i="1"/>
  <c r="P272" i="1" s="1"/>
  <c r="K290" i="1"/>
  <c r="P290" i="1" s="1"/>
  <c r="K287" i="1"/>
  <c r="P287" i="1" s="1"/>
  <c r="K223" i="1"/>
  <c r="P223" i="1" s="1"/>
  <c r="K264" i="1"/>
  <c r="P264" i="1" s="1"/>
  <c r="K267" i="1"/>
  <c r="P267" i="1" s="1"/>
  <c r="K285" i="1"/>
  <c r="P285" i="1" s="1"/>
  <c r="K291" i="1"/>
  <c r="P291" i="1" s="1"/>
  <c r="K246" i="1"/>
  <c r="P246" i="1" s="1"/>
  <c r="K281" i="1"/>
  <c r="P281" i="1" s="1"/>
  <c r="K224" i="1"/>
  <c r="P224" i="1" s="1"/>
  <c r="K275" i="1"/>
  <c r="P275" i="1" s="1"/>
  <c r="K232" i="1"/>
  <c r="P232" i="1" s="1"/>
  <c r="K228" i="1"/>
  <c r="P228" i="1" s="1"/>
  <c r="K268" i="1"/>
  <c r="P268" i="1" s="1"/>
  <c r="K254" i="1"/>
  <c r="P254" i="1" s="1"/>
  <c r="K271" i="1"/>
  <c r="P271" i="1" s="1"/>
  <c r="K302" i="1"/>
  <c r="P302" i="1" s="1"/>
  <c r="K256" i="1"/>
  <c r="P256" i="1" s="1"/>
  <c r="K248" i="1"/>
  <c r="P248" i="1" s="1"/>
  <c r="K238" i="1"/>
  <c r="P238" i="1" s="1"/>
  <c r="K230" i="1"/>
  <c r="P230" i="1" s="1"/>
  <c r="K244" i="1"/>
  <c r="P244" i="1" s="1"/>
  <c r="K225" i="1"/>
  <c r="P225" i="1" s="1"/>
  <c r="K216" i="1"/>
  <c r="P216" i="1" s="1"/>
  <c r="K284" i="1"/>
  <c r="P284" i="1" s="1"/>
  <c r="K250" i="1"/>
  <c r="P250" i="1" s="1"/>
  <c r="K283" i="1"/>
  <c r="P283" i="1" s="1"/>
  <c r="K270" i="1"/>
  <c r="P270" i="1" s="1"/>
  <c r="K286" i="1"/>
  <c r="P286" i="1" s="1"/>
  <c r="K303" i="1"/>
  <c r="P303" i="1" s="1"/>
  <c r="K289" i="1"/>
  <c r="P289" i="1" s="1"/>
  <c r="K212" i="1"/>
  <c r="P212" i="1" s="1"/>
  <c r="K231" i="1"/>
  <c r="P231" i="1" s="1"/>
  <c r="K222" i="1"/>
  <c r="P222" i="1" s="1"/>
  <c r="K220" i="1"/>
  <c r="P220" i="1" s="1"/>
  <c r="K298" i="1"/>
  <c r="P298" i="1" s="1"/>
  <c r="K276" i="1"/>
  <c r="P276" i="1" s="1"/>
  <c r="K218" i="1"/>
  <c r="P218" i="1" s="1"/>
  <c r="K242" i="1"/>
  <c r="P242" i="1" s="1"/>
  <c r="K293" i="1"/>
  <c r="P293" i="1" s="1"/>
  <c r="K300" i="1"/>
  <c r="P300" i="1" s="1"/>
  <c r="K296" i="1"/>
  <c r="P296" i="1" s="1"/>
  <c r="K295" i="1"/>
  <c r="P295" i="1" s="1"/>
  <c r="K280" i="1"/>
  <c r="P280" i="1" s="1"/>
  <c r="K259" i="1"/>
  <c r="P259" i="1" s="1"/>
  <c r="K265" i="1"/>
  <c r="P265" i="1" s="1"/>
  <c r="K160" i="1"/>
  <c r="P160" i="1" s="1"/>
  <c r="K191" i="1"/>
  <c r="P191" i="1" s="1"/>
  <c r="K196" i="1"/>
  <c r="P196" i="1" s="1"/>
  <c r="K18" i="1"/>
  <c r="K50" i="1"/>
  <c r="K167" i="1"/>
  <c r="P167" i="1" s="1"/>
  <c r="K46" i="1"/>
  <c r="K67" i="1"/>
  <c r="K145" i="1"/>
  <c r="K169" i="1"/>
  <c r="K135" i="1"/>
  <c r="K185" i="1"/>
  <c r="K117" i="1"/>
  <c r="K65" i="1"/>
  <c r="K73" i="1"/>
  <c r="K118" i="1"/>
  <c r="K27" i="1"/>
  <c r="K98" i="1"/>
  <c r="K113" i="1"/>
  <c r="K60" i="1"/>
  <c r="K202" i="1"/>
  <c r="P202" i="1" s="1"/>
  <c r="K186" i="1"/>
  <c r="P186" i="1" s="1"/>
  <c r="K156" i="1"/>
  <c r="P156" i="1" s="1"/>
  <c r="K59" i="1"/>
  <c r="K63" i="1"/>
  <c r="K150" i="1"/>
  <c r="P150" i="1" s="1"/>
  <c r="K175" i="1"/>
  <c r="P175" i="1" s="1"/>
  <c r="K8" i="1"/>
  <c r="K207" i="1"/>
  <c r="P207" i="1" s="1"/>
  <c r="K20" i="1"/>
  <c r="K36" i="1"/>
  <c r="K7" i="1"/>
  <c r="K164" i="1"/>
  <c r="P164" i="1" s="1"/>
  <c r="K122" i="1"/>
  <c r="K115" i="1"/>
  <c r="K165" i="1"/>
  <c r="P165" i="1" s="1"/>
  <c r="K151" i="1"/>
  <c r="P151" i="1" s="1"/>
  <c r="K138" i="1"/>
  <c r="K62" i="1"/>
  <c r="K163" i="1"/>
  <c r="P163" i="1" s="1"/>
  <c r="K45" i="1"/>
  <c r="K61" i="1"/>
  <c r="K198" i="1"/>
  <c r="P198" i="1" s="1"/>
  <c r="K120" i="1"/>
  <c r="K111" i="1"/>
  <c r="K149" i="1"/>
  <c r="P149" i="1" s="1"/>
  <c r="K102" i="1"/>
  <c r="K48" i="1"/>
  <c r="K143" i="1"/>
  <c r="K112" i="1"/>
  <c r="K83" i="1"/>
  <c r="K93" i="1"/>
  <c r="K205" i="1"/>
  <c r="P205" i="1" s="1"/>
  <c r="K146" i="1"/>
  <c r="P146" i="1" s="1"/>
  <c r="K176" i="1"/>
  <c r="P176" i="1" s="1"/>
  <c r="K26" i="1"/>
  <c r="K126" i="1"/>
  <c r="K87" i="1"/>
  <c r="K42" i="1"/>
  <c r="K85" i="1"/>
  <c r="K142" i="1"/>
  <c r="K209" i="1"/>
  <c r="P209" i="1" s="1"/>
  <c r="K72" i="1"/>
  <c r="K84" i="1"/>
  <c r="K153" i="1"/>
  <c r="P153" i="1" s="1"/>
  <c r="K177" i="1"/>
  <c r="P177" i="1" s="1"/>
  <c r="K21" i="1"/>
  <c r="K44" i="1"/>
  <c r="K30" i="1"/>
  <c r="K11" i="1"/>
  <c r="K99" i="1"/>
  <c r="K116" i="1"/>
  <c r="K81" i="1"/>
  <c r="K43" i="1"/>
  <c r="K82" i="1"/>
  <c r="K195" i="1"/>
  <c r="P195" i="1" s="1"/>
  <c r="K69" i="1"/>
  <c r="K139" i="1"/>
  <c r="K16" i="1"/>
  <c r="K172" i="1"/>
  <c r="P172" i="1" s="1"/>
  <c r="K17" i="1"/>
  <c r="K189" i="1"/>
  <c r="P189" i="1" s="1"/>
  <c r="K181" i="1"/>
  <c r="P181" i="1" s="1"/>
  <c r="K41" i="1"/>
  <c r="K183" i="1"/>
  <c r="P183" i="1" s="1"/>
  <c r="K200" i="1"/>
  <c r="P200" i="1" s="1"/>
  <c r="K94" i="1"/>
  <c r="K57" i="1"/>
  <c r="K32" i="1"/>
  <c r="K74" i="1"/>
  <c r="K25" i="1"/>
  <c r="K54" i="1"/>
  <c r="K147" i="1"/>
  <c r="K197" i="1"/>
  <c r="P197" i="1" s="1"/>
  <c r="K86" i="1"/>
  <c r="K49" i="1"/>
  <c r="K110" i="1"/>
  <c r="K144" i="1"/>
  <c r="K190" i="1"/>
  <c r="P190" i="1" s="1"/>
  <c r="K141" i="1"/>
  <c r="K123" i="1"/>
  <c r="K39" i="1"/>
  <c r="K19" i="1"/>
  <c r="K6" i="1"/>
  <c r="K162" i="1"/>
  <c r="P162" i="1" s="1"/>
  <c r="K125" i="1"/>
  <c r="K148" i="1"/>
  <c r="P148" i="1" s="1"/>
  <c r="K171" i="1"/>
  <c r="P171" i="1" s="1"/>
  <c r="K152" i="1"/>
  <c r="P152" i="1" s="1"/>
  <c r="K105" i="1"/>
  <c r="K101" i="1"/>
  <c r="K161" i="1"/>
  <c r="P161" i="1" s="1"/>
  <c r="K95" i="1"/>
  <c r="K109" i="1"/>
  <c r="K140" i="1"/>
  <c r="K173" i="1"/>
  <c r="P173" i="1" s="1"/>
  <c r="K10" i="1"/>
  <c r="K210" i="1"/>
  <c r="P210" i="1" s="1"/>
  <c r="K108" i="1"/>
  <c r="K180" i="1"/>
  <c r="P180" i="1" s="1"/>
  <c r="K88" i="1"/>
  <c r="K80" i="1"/>
  <c r="K34" i="1"/>
  <c r="K192" i="1"/>
  <c r="P192" i="1" s="1"/>
  <c r="K14" i="1"/>
  <c r="K79" i="1"/>
  <c r="K134" i="1"/>
  <c r="K179" i="1"/>
  <c r="P179" i="1" s="1"/>
  <c r="K203" i="1"/>
  <c r="P203" i="1" s="1"/>
  <c r="K77" i="1"/>
  <c r="K199" i="1"/>
  <c r="P199" i="1" s="1"/>
  <c r="K159" i="1"/>
  <c r="P159" i="1" s="1"/>
  <c r="K9" i="1"/>
  <c r="K12" i="1"/>
  <c r="K106" i="1"/>
  <c r="K71" i="1"/>
  <c r="K40" i="1"/>
  <c r="K188" i="1"/>
  <c r="P188" i="1" s="1"/>
  <c r="K184" i="1"/>
  <c r="P184" i="1" s="1"/>
  <c r="K124" i="1"/>
  <c r="K132" i="1"/>
  <c r="K90" i="1"/>
  <c r="K51" i="1"/>
  <c r="K97" i="1"/>
  <c r="K174" i="1"/>
  <c r="P174" i="1" s="1"/>
  <c r="K193" i="1"/>
  <c r="P193" i="1" s="1"/>
  <c r="K133" i="1"/>
  <c r="K208" i="1"/>
  <c r="P208" i="1" s="1"/>
  <c r="K128" i="1"/>
  <c r="K166" i="1"/>
  <c r="P166" i="1" s="1"/>
  <c r="K35" i="1"/>
  <c r="K194" i="1"/>
  <c r="P194" i="1" s="1"/>
  <c r="K15" i="1"/>
  <c r="K154" i="1"/>
  <c r="P154" i="1" s="1"/>
  <c r="K96" i="1"/>
  <c r="K89" i="1"/>
  <c r="K76" i="1"/>
  <c r="K158" i="1"/>
  <c r="P158" i="1" s="1"/>
  <c r="K114" i="1"/>
  <c r="K52" i="1"/>
  <c r="K119" i="1"/>
  <c r="K130" i="1"/>
  <c r="K37" i="1"/>
  <c r="K137" i="1"/>
  <c r="K103" i="1"/>
  <c r="K53" i="1"/>
  <c r="K75" i="1"/>
  <c r="K157" i="1"/>
  <c r="P157" i="1" s="1"/>
  <c r="K178" i="1"/>
  <c r="K168" i="1"/>
  <c r="P168" i="1" s="1"/>
  <c r="K92" i="1"/>
  <c r="K155" i="1"/>
  <c r="K5" i="1"/>
  <c r="K68" i="1"/>
  <c r="K47" i="1"/>
  <c r="K22" i="1"/>
  <c r="K66" i="1"/>
  <c r="K104" i="1"/>
  <c r="K33" i="1"/>
  <c r="K55" i="1"/>
  <c r="K121" i="1"/>
  <c r="K91" i="1"/>
  <c r="K129" i="1"/>
  <c r="K64" i="1"/>
  <c r="K136" i="1"/>
  <c r="K78" i="1"/>
  <c r="K100" i="1"/>
  <c r="K24" i="1"/>
  <c r="K170" i="1"/>
  <c r="P170" i="1" s="1"/>
  <c r="K211" i="1"/>
  <c r="P211" i="1" s="1"/>
  <c r="K201" i="1"/>
  <c r="P201" i="1" s="1"/>
  <c r="K29" i="1"/>
  <c r="K28" i="1"/>
  <c r="K70" i="1"/>
  <c r="K31" i="1"/>
  <c r="K56" i="1"/>
  <c r="K127" i="1"/>
  <c r="K206" i="1"/>
  <c r="P206" i="1" s="1"/>
  <c r="K23" i="1"/>
  <c r="K182" i="1"/>
  <c r="P182" i="1" s="1"/>
  <c r="K131" i="1"/>
  <c r="K187" i="1"/>
  <c r="P187" i="1" s="1"/>
  <c r="K13" i="1"/>
  <c r="K107" i="1"/>
  <c r="K58" i="1"/>
  <c r="K204" i="1"/>
  <c r="P204" i="1" s="1"/>
  <c r="K38" i="1"/>
  <c r="P178" i="1"/>
  <c r="P145" i="1"/>
  <c r="P169" i="1"/>
  <c r="P185" i="1"/>
  <c r="P147" i="1"/>
  <c r="P155" i="1"/>
  <c r="L177" i="3" l="1"/>
  <c r="L119" i="3"/>
  <c r="L182" i="3"/>
  <c r="L102" i="3"/>
  <c r="L22" i="3"/>
  <c r="L73" i="3"/>
  <c r="L172" i="3"/>
  <c r="L55" i="3"/>
  <c r="L136" i="3"/>
  <c r="L56" i="3"/>
  <c r="L209" i="3"/>
  <c r="L196" i="3"/>
  <c r="L216" i="3"/>
  <c r="L162" i="3"/>
  <c r="L112" i="3"/>
  <c r="L28" i="3"/>
  <c r="L70" i="3"/>
  <c r="L24" i="3"/>
  <c r="L163" i="3"/>
  <c r="L211" i="3"/>
  <c r="L95" i="3"/>
  <c r="L96" i="3"/>
  <c r="L155" i="3"/>
  <c r="L87" i="3"/>
  <c r="L8" i="3"/>
  <c r="L147" i="3"/>
  <c r="L2" i="3"/>
  <c r="L183" i="3"/>
  <c r="L164" i="3"/>
  <c r="L208" i="3"/>
  <c r="L131" i="3"/>
  <c r="L144" i="3"/>
  <c r="L192" i="3"/>
  <c r="L185" i="3"/>
  <c r="L178" i="3"/>
  <c r="L98" i="3"/>
  <c r="L18" i="3"/>
  <c r="L69" i="3"/>
  <c r="L168" i="3"/>
  <c r="L51" i="3"/>
  <c r="L132" i="3"/>
  <c r="L52" i="3"/>
  <c r="L201" i="3"/>
  <c r="L199" i="3"/>
  <c r="L40" i="3"/>
  <c r="L181" i="3"/>
  <c r="L36" i="3"/>
  <c r="L111" i="3"/>
  <c r="L219" i="3"/>
  <c r="L171" i="3"/>
  <c r="L19" i="3"/>
  <c r="L100" i="3"/>
  <c r="L159" i="3"/>
  <c r="L92" i="3"/>
  <c r="L203" i="3"/>
  <c r="L173" i="3"/>
  <c r="L83" i="3"/>
  <c r="L4" i="3"/>
  <c r="L46" i="3"/>
  <c r="L122" i="3"/>
  <c r="L9" i="3"/>
  <c r="L114" i="3"/>
  <c r="L184" i="3"/>
  <c r="L217" i="3"/>
  <c r="L188" i="3"/>
  <c r="L189" i="3"/>
  <c r="L174" i="3"/>
  <c r="L94" i="3"/>
  <c r="L14" i="3"/>
  <c r="L65" i="3"/>
  <c r="L160" i="3"/>
  <c r="L47" i="3"/>
  <c r="L128" i="3"/>
  <c r="L48" i="3"/>
  <c r="L197" i="3"/>
  <c r="L44" i="3"/>
  <c r="L120" i="3"/>
  <c r="L82" i="3"/>
  <c r="L32" i="3"/>
  <c r="L107" i="3"/>
  <c r="L125" i="3"/>
  <c r="L117" i="3"/>
  <c r="L20" i="3"/>
  <c r="L193" i="3"/>
  <c r="L11" i="3"/>
  <c r="L12" i="3"/>
  <c r="L151" i="3"/>
  <c r="L3" i="3"/>
  <c r="L143" i="3"/>
  <c r="L205" i="3"/>
  <c r="L167" i="3"/>
  <c r="L67" i="3"/>
  <c r="L30" i="3"/>
  <c r="L157" i="3"/>
  <c r="L169" i="3"/>
  <c r="L170" i="3"/>
  <c r="L90" i="3"/>
  <c r="L10" i="3"/>
  <c r="L61" i="3"/>
  <c r="L156" i="3"/>
  <c r="L43" i="3"/>
  <c r="L124" i="3"/>
  <c r="L220" i="3"/>
  <c r="L153" i="3"/>
  <c r="L27" i="3"/>
  <c r="L133" i="3"/>
  <c r="L23" i="3"/>
  <c r="L215" i="3"/>
  <c r="L66" i="3"/>
  <c r="L142" i="3"/>
  <c r="L207" i="3"/>
  <c r="L29" i="3"/>
  <c r="L134" i="3"/>
  <c r="L214" i="3"/>
  <c r="L101" i="3"/>
  <c r="L97" i="3"/>
  <c r="L218" i="3"/>
  <c r="L93" i="3"/>
  <c r="L222" i="3"/>
  <c r="L118" i="3"/>
  <c r="L68" i="3"/>
  <c r="L204" i="3"/>
  <c r="L190" i="3"/>
  <c r="L195" i="3"/>
  <c r="L161" i="3"/>
  <c r="L166" i="3"/>
  <c r="L86" i="3"/>
  <c r="L6" i="3"/>
  <c r="L57" i="3"/>
  <c r="L152" i="3"/>
  <c r="L39" i="3"/>
  <c r="L115" i="3"/>
  <c r="L35" i="3"/>
  <c r="L116" i="3"/>
  <c r="L212" i="3"/>
  <c r="L31" i="3"/>
  <c r="L108" i="3"/>
  <c r="L150" i="3"/>
  <c r="L121" i="3"/>
  <c r="L33" i="3"/>
  <c r="L16" i="3"/>
  <c r="L138" i="3"/>
  <c r="L54" i="3"/>
  <c r="L88" i="3"/>
  <c r="L130" i="3"/>
  <c r="L17" i="3"/>
  <c r="L206" i="3"/>
  <c r="L13" i="3"/>
  <c r="L76" i="3"/>
  <c r="L89" i="3"/>
  <c r="L72" i="3"/>
  <c r="L34" i="3"/>
  <c r="L110" i="3"/>
  <c r="L187" i="3"/>
  <c r="L53" i="3"/>
  <c r="L104" i="3"/>
  <c r="L146" i="3"/>
  <c r="L15" i="3"/>
  <c r="L91" i="3"/>
  <c r="L105" i="3"/>
  <c r="L21" i="3"/>
  <c r="L126" i="3"/>
  <c r="L75" i="3"/>
  <c r="L38" i="3"/>
  <c r="L5" i="3"/>
  <c r="L221" i="3"/>
  <c r="L81" i="3"/>
  <c r="L179" i="3"/>
  <c r="L145" i="3"/>
  <c r="L158" i="3"/>
  <c r="L78" i="3"/>
  <c r="L165" i="3"/>
  <c r="L49" i="3"/>
  <c r="L223" i="3"/>
  <c r="L103" i="3"/>
  <c r="L37" i="3"/>
  <c r="L113" i="3"/>
  <c r="L58" i="3"/>
  <c r="L7" i="3"/>
  <c r="L50" i="3"/>
  <c r="L210" i="3"/>
  <c r="L79" i="3"/>
  <c r="L139" i="3"/>
  <c r="L198" i="3"/>
  <c r="L194" i="3"/>
  <c r="L64" i="3"/>
  <c r="L175" i="3"/>
  <c r="L137" i="3"/>
  <c r="L154" i="3"/>
  <c r="L74" i="3"/>
  <c r="L149" i="3"/>
  <c r="L45" i="3"/>
  <c r="L41" i="3"/>
  <c r="L99" i="3"/>
  <c r="L62" i="3"/>
  <c r="L109" i="3"/>
  <c r="L25" i="3"/>
  <c r="L141" i="3"/>
  <c r="L80" i="3"/>
  <c r="L42" i="3"/>
  <c r="L71" i="3"/>
  <c r="L85" i="3"/>
  <c r="L63" i="3"/>
  <c r="L202" i="3"/>
  <c r="L129" i="3"/>
  <c r="L84" i="3"/>
  <c r="L191" i="3"/>
  <c r="L180" i="3"/>
  <c r="L135" i="3"/>
  <c r="L148" i="3"/>
  <c r="L127" i="3"/>
  <c r="L123" i="3"/>
  <c r="L186" i="3"/>
  <c r="L106" i="3"/>
  <c r="L26" i="3"/>
  <c r="L77" i="3"/>
  <c r="L176" i="3"/>
  <c r="L59" i="3"/>
  <c r="L140" i="3"/>
  <c r="L60" i="3"/>
  <c r="L213" i="3"/>
  <c r="L200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<sst xmlns="http://schemas.openxmlformats.org/spreadsheetml/2006/main" count="40" uniqueCount="36">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</sst>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R1" zoomScale="85" zoomScaleNormal="85" workbookViewId="0">
      <selection activeCell="AG4" sqref="AG4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-0.38053999999999999</v>
      </c>
      <c r="AC3" t="s">
        <v>30</v>
      </c>
    </row>
    <row r="4" spans="1:29" x14ac:dyDescent="0.3">
      <c r="A4">
        <v>2.7944550000000002E-2</v>
      </c>
      <c r="B4">
        <v>0.96089000000000002</v>
      </c>
      <c r="C4">
        <f>A4*B4</f>
        <v>2.6851638649500003E-2</v>
      </c>
      <c r="D4">
        <v>1.4999999999999999E-2</v>
      </c>
      <c r="E4">
        <v>9.9000000000000008E-3</v>
      </c>
      <c r="F4">
        <f>A4*200</f>
        <v>5.5889100000000003</v>
      </c>
      <c r="G4">
        <f>-B4</f>
        <v>-0.96089000000000002</v>
      </c>
      <c r="H4">
        <f t="shared" ref="H4" si="0">-C4*200</f>
        <v>-5.3703277299000005</v>
      </c>
      <c r="I4">
        <v>1</v>
      </c>
      <c r="J4">
        <f>LN(F4/1000)</f>
        <v>-5.1869710018838129</v>
      </c>
      <c r="K4">
        <f>((-G4)-$N$2)</f>
        <v>-0.26083515177521743</v>
      </c>
      <c r="L4">
        <v>1</v>
      </c>
      <c r="M4">
        <f>-1*($S$4+($S$5*J4))</f>
        <v>0.22410018031033047</v>
      </c>
      <c r="N4">
        <f>D4*A4</f>
        <v>4.1916825000000001E-4</v>
      </c>
      <c r="O4">
        <f>E4*A4</f>
        <v>2.7665104500000003E-4</v>
      </c>
      <c r="P4">
        <f>-K4-M4-N4-O4</f>
        <v>3.603915216988697E-2</v>
      </c>
      <c r="R4" s="2" t="s">
        <v>16</v>
      </c>
      <c r="S4">
        <v>-0.47099999999999997</v>
      </c>
      <c r="V4">
        <v>-6</v>
      </c>
      <c r="W4">
        <f>V4*$S$5+$S$4</f>
        <v>-0.18539999999999995</v>
      </c>
      <c r="Y4">
        <v>0</v>
      </c>
      <c r="Z4">
        <f>$AB$4*Y4+$AB$3</f>
        <v>-0.38053999999999999</v>
      </c>
      <c r="AB4">
        <v>11.144740000000001</v>
      </c>
      <c r="AC4" t="s">
        <v>31</v>
      </c>
    </row>
    <row r="5" spans="1:29" x14ac:dyDescent="0.3">
      <c r="A5">
        <v>7.88629E-2</v>
      </c>
      <c r="B5">
        <v>0.95343</v>
      </c>
      <c r="C5">
        <f t="shared" ref="C5:C68" si="1">A5*B5</f>
        <v>7.5190254747000002E-2</v>
      </c>
      <c r="D5">
        <v>1.4999999999999999E-2</v>
      </c>
      <c r="E5">
        <v>9.9000000000000008E-3</v>
      </c>
      <c r="F5">
        <f t="shared" ref="F5:F68" si="2">A5*200</f>
        <v>15.77258</v>
      </c>
      <c r="G5">
        <f t="shared" ref="G5:G68" si="3">-B5</f>
        <v>-0.95343</v>
      </c>
      <c r="H5">
        <f t="shared" ref="H5:H68" si="4">-C5*200</f>
        <v>-15.038050949400001</v>
      </c>
      <c r="I5">
        <v>1</v>
      </c>
      <c r="J5">
        <f t="shared" ref="J5:J68" si="5">LN(F5/1000)</f>
        <v>-4.1494822896129779</v>
      </c>
      <c r="K5">
        <f t="shared" ref="K5:K68" si="6">((-G5)-$N$2)</f>
        <v>-0.26829515177521746</v>
      </c>
      <c r="L5">
        <v>1</v>
      </c>
      <c r="M5">
        <f t="shared" ref="M5:M68" si="7">-1*($S$4+($S$5*J5))</f>
        <v>0.27348464301442221</v>
      </c>
      <c r="N5">
        <f t="shared" ref="N5:N6" si="8">D5*A5</f>
        <v>1.1829435000000001E-3</v>
      </c>
      <c r="O5">
        <f>E5*A5</f>
        <v>7.8074271000000005E-4</v>
      </c>
      <c r="P5">
        <f>-K5-M5-N5-O5</f>
        <v>-7.1531774492047577E-3</v>
      </c>
      <c r="R5" s="2" t="s">
        <v>17</v>
      </c>
      <c r="S5">
        <v>-4.7600000000000003E-2</v>
      </c>
      <c r="V5">
        <v>-5.9</v>
      </c>
      <c r="W5">
        <f t="shared" ref="W5:W68" si="9">V5*$S$5+$S$4</f>
        <v>-0.19015999999999994</v>
      </c>
      <c r="Y5">
        <v>0.01</v>
      </c>
      <c r="Z5">
        <f t="shared" ref="Z5:Z31" si="10">$AB$4*Y5+$AB$3</f>
        <v>-0.26909260000000002</v>
      </c>
    </row>
    <row r="6" spans="1:29" x14ac:dyDescent="0.3">
      <c r="A6">
        <v>0.12927205</v>
      </c>
      <c r="B6">
        <v>0.89968000000000004</v>
      </c>
      <c r="C6">
        <f t="shared" si="1"/>
        <v>0.11630347794400001</v>
      </c>
      <c r="D6">
        <v>1.4999999999999999E-2</v>
      </c>
      <c r="E6">
        <v>9.9000000000000008E-3</v>
      </c>
      <c r="F6">
        <f t="shared" si="2"/>
        <v>25.854410000000001</v>
      </c>
      <c r="G6">
        <f t="shared" si="3"/>
        <v>-0.89968000000000004</v>
      </c>
      <c r="H6">
        <f t="shared" si="4"/>
        <v>-23.260695588800001</v>
      </c>
      <c r="I6">
        <v>1</v>
      </c>
      <c r="J6">
        <f t="shared" si="5"/>
        <v>-3.6552740929650054</v>
      </c>
      <c r="K6">
        <f t="shared" si="6"/>
        <v>-0.32204515177521742</v>
      </c>
      <c r="L6">
        <v>1</v>
      </c>
      <c r="M6">
        <f t="shared" si="7"/>
        <v>0.2970089531748657</v>
      </c>
      <c r="N6">
        <f t="shared" si="8"/>
        <v>1.93908075E-3</v>
      </c>
      <c r="O6">
        <f t="shared" ref="O6:O69" si="11">E6*A6</f>
        <v>1.2797932950000001E-3</v>
      </c>
      <c r="P6">
        <f t="shared" ref="P6:P69" si="12">-K6-M6-N6-O6</f>
        <v>2.1817324555351722E-2</v>
      </c>
      <c r="V6">
        <v>-5.8</v>
      </c>
      <c r="W6">
        <f t="shared" si="9"/>
        <v>-0.19491999999999998</v>
      </c>
      <c r="Y6">
        <v>0.02</v>
      </c>
      <c r="Z6">
        <f t="shared" si="10"/>
        <v>-0.15764519999999999</v>
      </c>
      <c r="AB6" t="s">
        <v>32</v>
      </c>
    </row>
    <row r="7" spans="1:29" x14ac:dyDescent="0.3">
      <c r="A7">
        <v>0.18069955000000001</v>
      </c>
      <c r="B7">
        <v>0.88319999999999999</v>
      </c>
      <c r="C7">
        <f t="shared" si="1"/>
        <v>0.15959384256</v>
      </c>
      <c r="D7">
        <v>1.4999999999999999E-2</v>
      </c>
      <c r="E7">
        <v>9.9000000000000008E-3</v>
      </c>
      <c r="F7">
        <f t="shared" si="2"/>
        <v>36.13991</v>
      </c>
      <c r="G7">
        <f t="shared" si="3"/>
        <v>-0.88319999999999999</v>
      </c>
      <c r="H7">
        <f t="shared" si="4"/>
        <v>-31.918768512</v>
      </c>
      <c r="I7">
        <v>1</v>
      </c>
      <c r="J7">
        <f t="shared" si="5"/>
        <v>-3.3203574841365957</v>
      </c>
      <c r="K7">
        <f t="shared" si="6"/>
        <v>-0.33852515177521747</v>
      </c>
      <c r="L7">
        <v>1</v>
      </c>
      <c r="M7">
        <f t="shared" si="7"/>
        <v>0.312950983755098</v>
      </c>
      <c r="N7">
        <f t="shared" ref="N7:N70" si="13">D7*A7</f>
        <v>2.7104932500000003E-3</v>
      </c>
      <c r="O7">
        <f t="shared" si="11"/>
        <v>1.7889255450000002E-3</v>
      </c>
      <c r="P7">
        <f t="shared" si="12"/>
        <v>2.1074749225119468E-2</v>
      </c>
      <c r="V7">
        <v>-5.7</v>
      </c>
      <c r="W7">
        <f t="shared" si="9"/>
        <v>-0.19967999999999997</v>
      </c>
      <c r="Y7">
        <v>0.03</v>
      </c>
      <c r="Z7">
        <f t="shared" si="10"/>
        <v>-4.6197800000000011E-2</v>
      </c>
      <c r="AB7" t="s">
        <v>33</v>
      </c>
      <c r="AC7">
        <f>-AB3/AB4</f>
        <v>3.4145255968286381E-2</v>
      </c>
    </row>
    <row r="8" spans="1:29" x14ac:dyDescent="0.3">
      <c r="A8">
        <v>0.23110869999999997</v>
      </c>
      <c r="B8">
        <v>0.86972000000000005</v>
      </c>
      <c r="C8">
        <f t="shared" si="1"/>
        <v>0.20099985856399999</v>
      </c>
      <c r="D8">
        <v>1.4999999999999999E-2</v>
      </c>
      <c r="E8">
        <v>9.9000000000000008E-3</v>
      </c>
      <c r="F8">
        <f t="shared" si="2"/>
        <v>46.221739999999997</v>
      </c>
      <c r="G8">
        <f t="shared" si="3"/>
        <v>-0.86972000000000005</v>
      </c>
      <c r="H8">
        <f t="shared" si="4"/>
        <v>-40.1999717128</v>
      </c>
      <c r="I8">
        <v>1</v>
      </c>
      <c r="J8">
        <f t="shared" si="5"/>
        <v>-3.0743050288038218</v>
      </c>
      <c r="K8">
        <f t="shared" si="6"/>
        <v>-0.35200515177521741</v>
      </c>
      <c r="L8">
        <v>1</v>
      </c>
      <c r="M8">
        <f t="shared" si="7"/>
        <v>0.32466308062893801</v>
      </c>
      <c r="N8">
        <f t="shared" si="13"/>
        <v>3.4666304999999994E-3</v>
      </c>
      <c r="O8">
        <f t="shared" si="11"/>
        <v>2.2879761300000001E-3</v>
      </c>
      <c r="P8">
        <f t="shared" si="12"/>
        <v>2.1587464516279402E-2</v>
      </c>
      <c r="V8">
        <v>-5.6</v>
      </c>
      <c r="W8">
        <f t="shared" si="9"/>
        <v>-0.20443999999999996</v>
      </c>
      <c r="Y8">
        <v>0.04</v>
      </c>
      <c r="Z8">
        <f t="shared" si="10"/>
        <v>6.5249600000000019E-2</v>
      </c>
    </row>
    <row r="9" spans="1:29" x14ac:dyDescent="0.3">
      <c r="A9">
        <v>0.28151785000000001</v>
      </c>
      <c r="B9">
        <v>0.86043999999999998</v>
      </c>
      <c r="C9">
        <f t="shared" si="1"/>
        <v>0.24222921885400001</v>
      </c>
      <c r="D9">
        <v>1.4999999999999999E-2</v>
      </c>
      <c r="E9">
        <v>9.9000000000000008E-3</v>
      </c>
      <c r="F9">
        <f t="shared" si="2"/>
        <v>56.303570000000001</v>
      </c>
      <c r="G9">
        <f t="shared" si="3"/>
        <v>-0.86043999999999998</v>
      </c>
      <c r="H9">
        <f t="shared" si="4"/>
        <v>-48.445843770800003</v>
      </c>
      <c r="I9">
        <v>1</v>
      </c>
      <c r="J9">
        <f t="shared" si="5"/>
        <v>-2.8769973355448868</v>
      </c>
      <c r="K9">
        <f t="shared" si="6"/>
        <v>-0.36128515177521747</v>
      </c>
      <c r="L9">
        <v>1</v>
      </c>
      <c r="M9">
        <f t="shared" si="7"/>
        <v>0.33405492682806337</v>
      </c>
      <c r="N9">
        <f t="shared" si="13"/>
        <v>4.2227677500000001E-3</v>
      </c>
      <c r="O9">
        <f t="shared" si="11"/>
        <v>2.7870267150000004E-3</v>
      </c>
      <c r="P9">
        <f t="shared" si="12"/>
        <v>2.0220430482154099E-2</v>
      </c>
      <c r="V9">
        <v>-5.5</v>
      </c>
      <c r="W9">
        <f t="shared" si="9"/>
        <v>-0.20919999999999994</v>
      </c>
      <c r="Y9">
        <v>0.05</v>
      </c>
      <c r="Z9">
        <f t="shared" si="10"/>
        <v>0.1766970000000001</v>
      </c>
      <c r="AB9" t="s">
        <v>35</v>
      </c>
      <c r="AC9">
        <v>3.083E-2</v>
      </c>
    </row>
    <row r="10" spans="1:29" x14ac:dyDescent="0.3">
      <c r="A10">
        <v>0.33243614999999999</v>
      </c>
      <c r="B10">
        <v>0.85270999999999997</v>
      </c>
      <c r="C10">
        <f t="shared" si="1"/>
        <v>0.28347162946649995</v>
      </c>
      <c r="D10">
        <v>1.4999999999999999E-2</v>
      </c>
      <c r="E10">
        <v>9.9000000000000008E-3</v>
      </c>
      <c r="F10">
        <f t="shared" si="2"/>
        <v>66.487229999999997</v>
      </c>
      <c r="G10">
        <f t="shared" si="3"/>
        <v>-0.85270999999999997</v>
      </c>
      <c r="H10">
        <f t="shared" si="4"/>
        <v>-56.69432589329999</v>
      </c>
      <c r="I10">
        <v>1</v>
      </c>
      <c r="J10">
        <f t="shared" si="5"/>
        <v>-2.7107453798356524</v>
      </c>
      <c r="K10">
        <f t="shared" si="6"/>
        <v>-0.36901515177521749</v>
      </c>
      <c r="L10">
        <v>1</v>
      </c>
      <c r="M10">
        <f t="shared" si="7"/>
        <v>0.34196851991982291</v>
      </c>
      <c r="N10">
        <f t="shared" si="13"/>
        <v>4.9865422499999999E-3</v>
      </c>
      <c r="O10">
        <f t="shared" si="11"/>
        <v>3.291117885E-3</v>
      </c>
      <c r="P10">
        <f t="shared" si="12"/>
        <v>1.8768971720394576E-2</v>
      </c>
      <c r="V10">
        <v>-5.4</v>
      </c>
      <c r="W10">
        <f t="shared" si="9"/>
        <v>-0.21395999999999993</v>
      </c>
      <c r="Y10">
        <v>0.06</v>
      </c>
      <c r="Z10">
        <f t="shared" si="10"/>
        <v>0.28814439999999997</v>
      </c>
    </row>
    <row r="11" spans="1:29" x14ac:dyDescent="0.3">
      <c r="A11">
        <v>0.384882</v>
      </c>
      <c r="B11">
        <v>0.84560999999999997</v>
      </c>
      <c r="C11">
        <f t="shared" si="1"/>
        <v>0.32546006801999999</v>
      </c>
      <c r="D11">
        <v>1.4999999999999999E-2</v>
      </c>
      <c r="E11">
        <v>9.9000000000000008E-3</v>
      </c>
      <c r="F11">
        <f t="shared" si="2"/>
        <v>76.976399999999998</v>
      </c>
      <c r="G11">
        <f t="shared" si="3"/>
        <v>-0.84560999999999997</v>
      </c>
      <c r="H11">
        <f t="shared" si="4"/>
        <v>-65.092013604000002</v>
      </c>
      <c r="I11">
        <v>1</v>
      </c>
      <c r="J11">
        <f t="shared" si="5"/>
        <v>-2.564256397613681</v>
      </c>
      <c r="K11">
        <f t="shared" si="6"/>
        <v>-0.37611515177521748</v>
      </c>
      <c r="L11">
        <v>1</v>
      </c>
      <c r="M11">
        <f t="shared" si="7"/>
        <v>0.34894139547358877</v>
      </c>
      <c r="N11">
        <f t="shared" si="13"/>
        <v>5.7732299999999999E-3</v>
      </c>
      <c r="O11">
        <f t="shared" si="11"/>
        <v>3.8103318000000004E-3</v>
      </c>
      <c r="P11">
        <f t="shared" si="12"/>
        <v>1.7590194501628714E-2</v>
      </c>
      <c r="V11">
        <v>-5.3</v>
      </c>
      <c r="W11">
        <f t="shared" si="9"/>
        <v>-0.21871999999999997</v>
      </c>
      <c r="Y11">
        <v>7.0000000000000007E-2</v>
      </c>
      <c r="Z11">
        <f t="shared" si="10"/>
        <v>0.39959180000000016</v>
      </c>
      <c r="AB11" t="s">
        <v>34</v>
      </c>
      <c r="AC11">
        <f>AC7-AC9</f>
        <v>3.3152559682863812E-3</v>
      </c>
    </row>
    <row r="12" spans="1:29" x14ac:dyDescent="0.3">
      <c r="A12">
        <v>0.43529114999999996</v>
      </c>
      <c r="B12">
        <v>0.83904000000000001</v>
      </c>
      <c r="C12">
        <f t="shared" si="1"/>
        <v>0.36522668649599999</v>
      </c>
      <c r="D12">
        <v>1.4999999999999999E-2</v>
      </c>
      <c r="E12">
        <v>9.9000000000000008E-3</v>
      </c>
      <c r="F12">
        <f t="shared" si="2"/>
        <v>87.058229999999995</v>
      </c>
      <c r="G12">
        <f t="shared" si="3"/>
        <v>-0.83904000000000001</v>
      </c>
      <c r="H12">
        <f t="shared" si="4"/>
        <v>-73.0453372992</v>
      </c>
      <c r="I12">
        <v>1</v>
      </c>
      <c r="J12">
        <f t="shared" si="5"/>
        <v>-2.4411780738709998</v>
      </c>
      <c r="K12">
        <f t="shared" si="6"/>
        <v>-0.38268515177521745</v>
      </c>
      <c r="L12">
        <v>1</v>
      </c>
      <c r="M12">
        <f t="shared" si="7"/>
        <v>0.35479992368374036</v>
      </c>
      <c r="N12">
        <f t="shared" si="13"/>
        <v>6.5293672499999993E-3</v>
      </c>
      <c r="O12">
        <f t="shared" si="11"/>
        <v>4.3093823850000003E-3</v>
      </c>
      <c r="P12">
        <f t="shared" si="12"/>
        <v>1.7046478456477086E-2</v>
      </c>
      <c r="V12">
        <v>-5.2</v>
      </c>
      <c r="W12">
        <f t="shared" si="9"/>
        <v>-0.22347999999999996</v>
      </c>
      <c r="Y12">
        <v>0.08</v>
      </c>
      <c r="Z12">
        <f t="shared" si="10"/>
        <v>0.51103920000000003</v>
      </c>
      <c r="AC12">
        <f>AC11*3</f>
        <v>9.9457679048591437E-3</v>
      </c>
    </row>
    <row r="13" spans="1:29" x14ac:dyDescent="0.3">
      <c r="A13">
        <v>0.48570030000000003</v>
      </c>
      <c r="B13">
        <v>0.83331</v>
      </c>
      <c r="C13">
        <f t="shared" si="1"/>
        <v>0.40473891699300002</v>
      </c>
      <c r="D13">
        <v>1.4999999999999999E-2</v>
      </c>
      <c r="E13">
        <v>9.9000000000000008E-3</v>
      </c>
      <c r="F13">
        <f t="shared" si="2"/>
        <v>97.140060000000005</v>
      </c>
      <c r="G13">
        <f t="shared" si="3"/>
        <v>-0.83331</v>
      </c>
      <c r="H13">
        <f t="shared" si="4"/>
        <v>-80.947783398600009</v>
      </c>
      <c r="I13">
        <v>1</v>
      </c>
      <c r="J13">
        <f t="shared" si="5"/>
        <v>-2.3316014243995036</v>
      </c>
      <c r="K13">
        <f t="shared" si="6"/>
        <v>-0.38841515177521746</v>
      </c>
      <c r="L13">
        <v>1</v>
      </c>
      <c r="M13">
        <f t="shared" si="7"/>
        <v>0.36001577219858361</v>
      </c>
      <c r="N13">
        <f t="shared" si="13"/>
        <v>7.2855045000000005E-3</v>
      </c>
      <c r="O13">
        <f t="shared" si="11"/>
        <v>4.808432970000001E-3</v>
      </c>
      <c r="P13">
        <f t="shared" si="12"/>
        <v>1.6305442106633851E-2</v>
      </c>
      <c r="V13">
        <v>-5.0999999999999996</v>
      </c>
      <c r="W13">
        <f t="shared" si="9"/>
        <v>-0.22823999999999997</v>
      </c>
      <c r="Y13">
        <v>0.09</v>
      </c>
      <c r="Z13">
        <f t="shared" si="10"/>
        <v>0.62248660000000011</v>
      </c>
    </row>
    <row r="14" spans="1:29" x14ac:dyDescent="0.3">
      <c r="A14">
        <v>0.53814625000000005</v>
      </c>
      <c r="B14">
        <v>0.82755000000000001</v>
      </c>
      <c r="C14">
        <f t="shared" si="1"/>
        <v>0.44534292918750007</v>
      </c>
      <c r="D14">
        <v>1.4999999999999999E-2</v>
      </c>
      <c r="E14">
        <v>9.9000000000000008E-3</v>
      </c>
      <c r="F14">
        <f t="shared" si="2"/>
        <v>107.62925000000001</v>
      </c>
      <c r="G14">
        <f t="shared" si="3"/>
        <v>-0.82755000000000001</v>
      </c>
      <c r="H14">
        <f t="shared" si="4"/>
        <v>-89.068585837500009</v>
      </c>
      <c r="I14">
        <v>1</v>
      </c>
      <c r="J14">
        <f t="shared" si="5"/>
        <v>-2.2290628280475926</v>
      </c>
      <c r="K14">
        <f t="shared" si="6"/>
        <v>-0.39417515177521745</v>
      </c>
      <c r="L14">
        <v>1</v>
      </c>
      <c r="M14">
        <f t="shared" si="7"/>
        <v>0.36489660938493457</v>
      </c>
      <c r="N14">
        <f t="shared" si="13"/>
        <v>8.0721937499999997E-3</v>
      </c>
      <c r="O14">
        <f t="shared" si="11"/>
        <v>5.3276478750000009E-3</v>
      </c>
      <c r="P14">
        <f t="shared" si="12"/>
        <v>1.5878700765282881E-2</v>
      </c>
      <c r="V14">
        <v>-5</v>
      </c>
      <c r="W14">
        <f t="shared" si="9"/>
        <v>-0.23299999999999996</v>
      </c>
      <c r="Y14">
        <v>0.1</v>
      </c>
      <c r="Z14">
        <f t="shared" si="10"/>
        <v>0.7339340000000002</v>
      </c>
    </row>
    <row r="15" spans="1:29" x14ac:dyDescent="0.3">
      <c r="A15">
        <v>0.59161045000000001</v>
      </c>
      <c r="B15">
        <v>0.82262000000000002</v>
      </c>
      <c r="C15">
        <f t="shared" si="1"/>
        <v>0.48667058837900001</v>
      </c>
      <c r="D15">
        <v>1.4999999999999999E-2</v>
      </c>
      <c r="E15">
        <v>9.9000000000000008E-3</v>
      </c>
      <c r="F15">
        <f t="shared" si="2"/>
        <v>118.32209</v>
      </c>
      <c r="G15">
        <f t="shared" si="3"/>
        <v>-0.82262000000000002</v>
      </c>
      <c r="H15">
        <f t="shared" si="4"/>
        <v>-97.334117675800002</v>
      </c>
      <c r="I15">
        <v>1</v>
      </c>
      <c r="J15">
        <f t="shared" si="5"/>
        <v>-2.1343447967734619</v>
      </c>
      <c r="K15">
        <f t="shared" si="6"/>
        <v>-0.39910515177521744</v>
      </c>
      <c r="L15">
        <v>1</v>
      </c>
      <c r="M15">
        <f t="shared" si="7"/>
        <v>0.36940518767358321</v>
      </c>
      <c r="N15">
        <f t="shared" si="13"/>
        <v>8.874156749999999E-3</v>
      </c>
      <c r="O15">
        <f t="shared" si="11"/>
        <v>5.8569434550000002E-3</v>
      </c>
      <c r="P15">
        <f t="shared" si="12"/>
        <v>1.4968863896634224E-2</v>
      </c>
      <c r="V15">
        <v>-4.9000000000000004</v>
      </c>
      <c r="W15">
        <f t="shared" si="9"/>
        <v>-0.23775999999999994</v>
      </c>
      <c r="Y15">
        <v>0.11</v>
      </c>
      <c r="Z15">
        <f t="shared" si="10"/>
        <v>0.84538140000000006</v>
      </c>
    </row>
    <row r="16" spans="1:29" x14ac:dyDescent="0.3">
      <c r="A16">
        <v>0.6450747</v>
      </c>
      <c r="B16">
        <v>0.81755999999999995</v>
      </c>
      <c r="C16">
        <f t="shared" si="1"/>
        <v>0.52738727173199995</v>
      </c>
      <c r="D16">
        <v>1.4999999999999999E-2</v>
      </c>
      <c r="E16">
        <v>9.9000000000000008E-3</v>
      </c>
      <c r="F16">
        <f t="shared" si="2"/>
        <v>129.01494</v>
      </c>
      <c r="G16">
        <f t="shared" si="3"/>
        <v>-0.81755999999999995</v>
      </c>
      <c r="H16">
        <f t="shared" si="4"/>
        <v>-105.47745434639999</v>
      </c>
      <c r="I16">
        <v>1</v>
      </c>
      <c r="J16">
        <f t="shared" si="5"/>
        <v>-2.0478270673728947</v>
      </c>
      <c r="K16">
        <f t="shared" si="6"/>
        <v>-0.4041651517752175</v>
      </c>
      <c r="L16">
        <v>1</v>
      </c>
      <c r="M16">
        <f t="shared" si="7"/>
        <v>0.37352343159305018</v>
      </c>
      <c r="N16">
        <f t="shared" si="13"/>
        <v>9.6761204999999996E-3</v>
      </c>
      <c r="O16">
        <f t="shared" si="11"/>
        <v>6.3862395300000006E-3</v>
      </c>
      <c r="P16">
        <f t="shared" si="12"/>
        <v>1.457936015216732E-2</v>
      </c>
      <c r="V16">
        <v>-4.8</v>
      </c>
      <c r="W16">
        <f t="shared" si="9"/>
        <v>-0.24251999999999996</v>
      </c>
      <c r="Y16">
        <v>0.12</v>
      </c>
      <c r="Z16">
        <f t="shared" si="10"/>
        <v>0.95682879999999992</v>
      </c>
    </row>
    <row r="17" spans="1:26" x14ac:dyDescent="0.3">
      <c r="A17">
        <v>0.69548389999999993</v>
      </c>
      <c r="B17">
        <v>0.81242000000000003</v>
      </c>
      <c r="C17">
        <f t="shared" si="1"/>
        <v>0.56502503003799998</v>
      </c>
      <c r="D17">
        <v>1.4999999999999999E-2</v>
      </c>
      <c r="E17">
        <v>9.9000000000000008E-3</v>
      </c>
      <c r="F17">
        <f t="shared" si="2"/>
        <v>139.09678</v>
      </c>
      <c r="G17">
        <f t="shared" si="3"/>
        <v>-0.81242000000000003</v>
      </c>
      <c r="H17">
        <f t="shared" si="4"/>
        <v>-113.0050060076</v>
      </c>
      <c r="I17">
        <v>1</v>
      </c>
      <c r="J17">
        <f t="shared" si="5"/>
        <v>-1.9725853291344808</v>
      </c>
      <c r="K17">
        <f t="shared" si="6"/>
        <v>-0.40930515177521742</v>
      </c>
      <c r="L17">
        <v>1</v>
      </c>
      <c r="M17">
        <f t="shared" si="7"/>
        <v>0.37710493833319869</v>
      </c>
      <c r="N17">
        <f t="shared" si="13"/>
        <v>1.0432258499999998E-2</v>
      </c>
      <c r="O17">
        <f t="shared" si="11"/>
        <v>6.8852906099999998E-3</v>
      </c>
      <c r="P17">
        <f t="shared" si="12"/>
        <v>1.4882664332018732E-2</v>
      </c>
      <c r="V17">
        <v>-4.7</v>
      </c>
      <c r="W17">
        <f t="shared" si="9"/>
        <v>-0.24727999999999994</v>
      </c>
      <c r="Y17">
        <v>0.13</v>
      </c>
      <c r="Z17">
        <f t="shared" si="10"/>
        <v>1.0682762000000001</v>
      </c>
    </row>
    <row r="18" spans="1:26" x14ac:dyDescent="0.3">
      <c r="A18">
        <v>0.74640214999999999</v>
      </c>
      <c r="B18">
        <v>0.80806999999999995</v>
      </c>
      <c r="C18">
        <f t="shared" si="1"/>
        <v>0.60314518535049999</v>
      </c>
      <c r="D18">
        <v>1.4999999999999999E-2</v>
      </c>
      <c r="E18">
        <v>9.9000000000000008E-3</v>
      </c>
      <c r="F18">
        <f t="shared" si="2"/>
        <v>149.28043</v>
      </c>
      <c r="G18">
        <f t="shared" si="3"/>
        <v>-0.80806999999999995</v>
      </c>
      <c r="H18">
        <f t="shared" si="4"/>
        <v>-120.6290370701</v>
      </c>
      <c r="I18">
        <v>1</v>
      </c>
      <c r="J18">
        <f t="shared" si="5"/>
        <v>-1.9019286613942188</v>
      </c>
      <c r="K18">
        <f t="shared" si="6"/>
        <v>-0.4136551517752175</v>
      </c>
      <c r="L18">
        <v>1</v>
      </c>
      <c r="M18">
        <f t="shared" si="7"/>
        <v>0.38046819571763513</v>
      </c>
      <c r="N18">
        <f t="shared" si="13"/>
        <v>1.119603225E-2</v>
      </c>
      <c r="O18">
        <f t="shared" si="11"/>
        <v>7.3893812850000006E-3</v>
      </c>
      <c r="P18">
        <f t="shared" si="12"/>
        <v>1.4601542522582372E-2</v>
      </c>
      <c r="V18">
        <v>-4.5999999999999996</v>
      </c>
      <c r="W18">
        <f t="shared" si="9"/>
        <v>-0.25203999999999999</v>
      </c>
      <c r="Y18">
        <v>0.14000000000000001</v>
      </c>
      <c r="Z18">
        <f t="shared" si="10"/>
        <v>1.1797236000000004</v>
      </c>
    </row>
    <row r="19" spans="1:26" x14ac:dyDescent="0.3">
      <c r="A19">
        <v>0.79681135000000003</v>
      </c>
      <c r="B19">
        <v>0.80376000000000003</v>
      </c>
      <c r="C19">
        <f t="shared" si="1"/>
        <v>0.64044509067600008</v>
      </c>
      <c r="D19">
        <v>1.4999999999999999E-2</v>
      </c>
      <c r="E19">
        <v>9.9000000000000008E-3</v>
      </c>
      <c r="F19">
        <f t="shared" si="2"/>
        <v>159.36227</v>
      </c>
      <c r="G19">
        <f t="shared" si="3"/>
        <v>-0.80376000000000003</v>
      </c>
      <c r="H19">
        <f t="shared" si="4"/>
        <v>-128.08901813520001</v>
      </c>
      <c r="I19">
        <v>1</v>
      </c>
      <c r="J19">
        <f t="shared" si="5"/>
        <v>-1.8365752407693889</v>
      </c>
      <c r="K19">
        <f t="shared" si="6"/>
        <v>-0.41796515177521743</v>
      </c>
      <c r="L19">
        <v>1</v>
      </c>
      <c r="M19">
        <f t="shared" si="7"/>
        <v>0.38357901853937704</v>
      </c>
      <c r="N19">
        <f t="shared" si="13"/>
        <v>1.195217025E-2</v>
      </c>
      <c r="O19">
        <f t="shared" si="11"/>
        <v>7.8884323650000015E-3</v>
      </c>
      <c r="P19">
        <f t="shared" si="12"/>
        <v>1.4545530620840389E-2</v>
      </c>
      <c r="V19">
        <v>-4.5000000000000098</v>
      </c>
      <c r="W19">
        <f t="shared" si="9"/>
        <v>-0.25679999999999947</v>
      </c>
      <c r="Y19">
        <v>0.15</v>
      </c>
      <c r="Z19">
        <f t="shared" si="10"/>
        <v>1.2911709999999998</v>
      </c>
    </row>
    <row r="20" spans="1:26" x14ac:dyDescent="0.3">
      <c r="A20">
        <v>0.84976640000000003</v>
      </c>
      <c r="B20">
        <v>0.79964999999999997</v>
      </c>
      <c r="C20">
        <f t="shared" si="1"/>
        <v>0.67951570175999998</v>
      </c>
      <c r="D20">
        <v>1.4999999999999999E-2</v>
      </c>
      <c r="E20">
        <v>9.9000000000000008E-3</v>
      </c>
      <c r="F20">
        <f t="shared" si="2"/>
        <v>169.95328000000001</v>
      </c>
      <c r="G20">
        <f t="shared" si="3"/>
        <v>-0.79964999999999997</v>
      </c>
      <c r="H20">
        <f t="shared" si="4"/>
        <v>-135.90314035200001</v>
      </c>
      <c r="I20">
        <v>1</v>
      </c>
      <c r="J20">
        <f t="shared" si="5"/>
        <v>-1.7722317032321935</v>
      </c>
      <c r="K20">
        <f t="shared" si="6"/>
        <v>-0.42207515177521748</v>
      </c>
      <c r="L20">
        <v>1</v>
      </c>
      <c r="M20">
        <f t="shared" si="7"/>
        <v>0.38664177092614754</v>
      </c>
      <c r="N20">
        <f t="shared" si="13"/>
        <v>1.2746496E-2</v>
      </c>
      <c r="O20">
        <f t="shared" si="11"/>
        <v>8.4126873600000006E-3</v>
      </c>
      <c r="P20">
        <f t="shared" si="12"/>
        <v>1.427419748906994E-2</v>
      </c>
      <c r="V20">
        <v>-4.4000000000000101</v>
      </c>
      <c r="W20">
        <f t="shared" si="9"/>
        <v>-0.26155999999999946</v>
      </c>
      <c r="Y20">
        <v>0.16</v>
      </c>
      <c r="Z20">
        <f t="shared" si="10"/>
        <v>1.4026184000000002</v>
      </c>
    </row>
    <row r="21" spans="1:26" x14ac:dyDescent="0.3">
      <c r="A21">
        <v>0.90221220000000002</v>
      </c>
      <c r="B21">
        <v>0.79571999999999998</v>
      </c>
      <c r="C21">
        <f t="shared" si="1"/>
        <v>0.71790829178399995</v>
      </c>
      <c r="D21">
        <v>1.4999999999999999E-2</v>
      </c>
      <c r="E21">
        <v>9.9000000000000008E-3</v>
      </c>
      <c r="F21">
        <f t="shared" si="2"/>
        <v>180.44244</v>
      </c>
      <c r="G21">
        <f t="shared" si="3"/>
        <v>-0.79571999999999998</v>
      </c>
      <c r="H21">
        <f t="shared" si="4"/>
        <v>-143.58165835679998</v>
      </c>
      <c r="I21">
        <v>1</v>
      </c>
      <c r="J21">
        <f t="shared" si="5"/>
        <v>-1.7123434440328158</v>
      </c>
      <c r="K21">
        <f t="shared" si="6"/>
        <v>-0.42600515177521747</v>
      </c>
      <c r="L21">
        <v>1</v>
      </c>
      <c r="M21">
        <f t="shared" si="7"/>
        <v>0.38949245206403793</v>
      </c>
      <c r="N21">
        <f t="shared" si="13"/>
        <v>1.3533182999999999E-2</v>
      </c>
      <c r="O21">
        <f t="shared" si="11"/>
        <v>8.9319007800000016E-3</v>
      </c>
      <c r="P21">
        <f t="shared" si="12"/>
        <v>1.4047615931179543E-2</v>
      </c>
      <c r="V21">
        <v>-4.3000000000000096</v>
      </c>
      <c r="W21">
        <f t="shared" si="9"/>
        <v>-0.2663199999999995</v>
      </c>
      <c r="Y21">
        <v>0.17</v>
      </c>
      <c r="Z21">
        <f t="shared" si="10"/>
        <v>1.5140658</v>
      </c>
    </row>
    <row r="22" spans="1:26" x14ac:dyDescent="0.3">
      <c r="A22">
        <v>0.95669490000000001</v>
      </c>
      <c r="B22">
        <v>0.79164999999999996</v>
      </c>
      <c r="C22">
        <f t="shared" si="1"/>
        <v>0.75736751758499998</v>
      </c>
      <c r="D22">
        <v>1.4999999999999999E-2</v>
      </c>
      <c r="E22">
        <v>9.9000000000000008E-3</v>
      </c>
      <c r="F22">
        <f t="shared" si="2"/>
        <v>191.33897999999999</v>
      </c>
      <c r="G22">
        <f t="shared" si="3"/>
        <v>-0.79164999999999996</v>
      </c>
      <c r="H22">
        <f t="shared" si="4"/>
        <v>-151.47350351699998</v>
      </c>
      <c r="I22">
        <v>1</v>
      </c>
      <c r="J22">
        <f t="shared" si="5"/>
        <v>-1.6537086595710346</v>
      </c>
      <c r="K22">
        <f t="shared" si="6"/>
        <v>-0.43007515177521749</v>
      </c>
      <c r="L22">
        <v>1</v>
      </c>
      <c r="M22">
        <f t="shared" si="7"/>
        <v>0.3922834678044187</v>
      </c>
      <c r="N22">
        <f t="shared" si="13"/>
        <v>1.4350423499999999E-2</v>
      </c>
      <c r="O22">
        <f t="shared" si="11"/>
        <v>9.4712795100000014E-3</v>
      </c>
      <c r="P22">
        <f t="shared" si="12"/>
        <v>1.3969980960798793E-2</v>
      </c>
      <c r="V22">
        <v>-4.2000000000000099</v>
      </c>
      <c r="W22">
        <f t="shared" si="9"/>
        <v>-0.27107999999999949</v>
      </c>
      <c r="Y22">
        <v>0.18</v>
      </c>
      <c r="Z22">
        <f t="shared" si="10"/>
        <v>1.6255132000000003</v>
      </c>
    </row>
    <row r="23" spans="1:26" x14ac:dyDescent="0.3">
      <c r="A23">
        <v>1.007104</v>
      </c>
      <c r="B23">
        <v>0.78732000000000002</v>
      </c>
      <c r="C23">
        <f t="shared" si="1"/>
        <v>0.79291312128000002</v>
      </c>
      <c r="D23">
        <v>1.4999999999999999E-2</v>
      </c>
      <c r="E23">
        <v>9.9000000000000008E-3</v>
      </c>
      <c r="F23">
        <f t="shared" si="2"/>
        <v>201.42079999999999</v>
      </c>
      <c r="G23">
        <f t="shared" si="3"/>
        <v>-0.78732000000000002</v>
      </c>
      <c r="H23">
        <f t="shared" si="4"/>
        <v>-158.582624256</v>
      </c>
      <c r="I23">
        <v>1</v>
      </c>
      <c r="J23">
        <f t="shared" si="5"/>
        <v>-1.6023590269698078</v>
      </c>
      <c r="K23">
        <f t="shared" si="6"/>
        <v>-0.43440515177521744</v>
      </c>
      <c r="L23">
        <v>1</v>
      </c>
      <c r="M23">
        <f t="shared" si="7"/>
        <v>0.3947277103162371</v>
      </c>
      <c r="N23">
        <f t="shared" si="13"/>
        <v>1.510656E-2</v>
      </c>
      <c r="O23">
        <f t="shared" si="11"/>
        <v>9.9703296000000011E-3</v>
      </c>
      <c r="P23">
        <f t="shared" si="12"/>
        <v>1.4600551858980335E-2</v>
      </c>
      <c r="V23">
        <v>-4.1000000000000103</v>
      </c>
      <c r="W23">
        <f t="shared" si="9"/>
        <v>-0.27583999999999947</v>
      </c>
      <c r="Y23">
        <v>0.19</v>
      </c>
      <c r="Z23">
        <f t="shared" si="10"/>
        <v>1.7369606000000002</v>
      </c>
    </row>
    <row r="24" spans="1:26" x14ac:dyDescent="0.3">
      <c r="A24">
        <v>1.0575132</v>
      </c>
      <c r="B24">
        <v>0.78400999999999998</v>
      </c>
      <c r="C24">
        <f t="shared" si="1"/>
        <v>0.82910092393199997</v>
      </c>
      <c r="D24">
        <v>1.4999999999999999E-2</v>
      </c>
      <c r="E24">
        <v>9.9000000000000008E-3</v>
      </c>
      <c r="F24">
        <f t="shared" si="2"/>
        <v>211.50264000000001</v>
      </c>
      <c r="G24">
        <f t="shared" si="3"/>
        <v>-0.78400999999999998</v>
      </c>
      <c r="H24">
        <f t="shared" si="4"/>
        <v>-165.82018478640001</v>
      </c>
      <c r="I24">
        <v>1</v>
      </c>
      <c r="J24">
        <f t="shared" si="5"/>
        <v>-1.5535177983042037</v>
      </c>
      <c r="K24">
        <f t="shared" si="6"/>
        <v>-0.43771515177521747</v>
      </c>
      <c r="L24">
        <v>1</v>
      </c>
      <c r="M24">
        <f t="shared" si="7"/>
        <v>0.39705255280071988</v>
      </c>
      <c r="N24">
        <f t="shared" si="13"/>
        <v>1.5862698000000001E-2</v>
      </c>
      <c r="O24">
        <f t="shared" si="11"/>
        <v>1.0469380680000001E-2</v>
      </c>
      <c r="P24">
        <f t="shared" si="12"/>
        <v>1.4330520294497585E-2</v>
      </c>
      <c r="V24">
        <v>-4.0000000000000098</v>
      </c>
      <c r="W24">
        <f t="shared" si="9"/>
        <v>-0.28059999999999952</v>
      </c>
      <c r="Y24">
        <v>0.2</v>
      </c>
      <c r="Z24">
        <f t="shared" si="10"/>
        <v>1.8484080000000005</v>
      </c>
    </row>
    <row r="25" spans="1:26" x14ac:dyDescent="0.3">
      <c r="A25">
        <v>1.1099591</v>
      </c>
      <c r="B25">
        <v>0.77988999999999997</v>
      </c>
      <c r="C25">
        <f t="shared" si="1"/>
        <v>0.86564600249899992</v>
      </c>
      <c r="D25">
        <v>1.4999999999999999E-2</v>
      </c>
      <c r="E25">
        <v>9.9000000000000008E-3</v>
      </c>
      <c r="F25">
        <f t="shared" si="2"/>
        <v>221.99181999999999</v>
      </c>
      <c r="G25">
        <f t="shared" si="3"/>
        <v>-0.77988999999999997</v>
      </c>
      <c r="H25">
        <f t="shared" si="4"/>
        <v>-173.12920049979999</v>
      </c>
      <c r="I25">
        <v>1</v>
      </c>
      <c r="J25">
        <f t="shared" si="5"/>
        <v>-1.5051147446355664</v>
      </c>
      <c r="K25">
        <f t="shared" si="6"/>
        <v>-0.44183515177521748</v>
      </c>
      <c r="L25">
        <v>1</v>
      </c>
      <c r="M25">
        <f t="shared" si="7"/>
        <v>0.399356538155347</v>
      </c>
      <c r="N25">
        <f t="shared" si="13"/>
        <v>1.6649386499999998E-2</v>
      </c>
      <c r="O25">
        <f t="shared" si="11"/>
        <v>1.0988595090000001E-2</v>
      </c>
      <c r="P25">
        <f t="shared" si="12"/>
        <v>1.4840632029870487E-2</v>
      </c>
      <c r="V25">
        <v>-3.9000000000000101</v>
      </c>
      <c r="W25">
        <f t="shared" si="9"/>
        <v>-0.2853599999999995</v>
      </c>
      <c r="Y25">
        <v>0.21</v>
      </c>
      <c r="Z25">
        <f t="shared" si="10"/>
        <v>1.9598554000000004</v>
      </c>
    </row>
    <row r="26" spans="1:26" x14ac:dyDescent="0.3">
      <c r="A26">
        <v>1.1608773999999999</v>
      </c>
      <c r="B26">
        <v>0.77622000000000002</v>
      </c>
      <c r="C26">
        <f t="shared" si="1"/>
        <v>0.90109625542799998</v>
      </c>
      <c r="D26">
        <v>1.4999999999999999E-2</v>
      </c>
      <c r="E26">
        <v>9.9000000000000008E-3</v>
      </c>
      <c r="F26">
        <f t="shared" si="2"/>
        <v>232.17547999999999</v>
      </c>
      <c r="G26">
        <f t="shared" si="3"/>
        <v>-0.77622000000000002</v>
      </c>
      <c r="H26">
        <f t="shared" si="4"/>
        <v>-180.21925108560001</v>
      </c>
      <c r="I26">
        <v>1</v>
      </c>
      <c r="J26">
        <f t="shared" si="5"/>
        <v>-1.4602618139161507</v>
      </c>
      <c r="K26">
        <f t="shared" si="6"/>
        <v>-0.44550515177521743</v>
      </c>
      <c r="L26">
        <v>1</v>
      </c>
      <c r="M26">
        <f t="shared" si="7"/>
        <v>0.40149153765759121</v>
      </c>
      <c r="N26">
        <f t="shared" si="13"/>
        <v>1.7413161E-2</v>
      </c>
      <c r="O26">
        <f t="shared" si="11"/>
        <v>1.1492686260000001E-2</v>
      </c>
      <c r="P26">
        <f t="shared" si="12"/>
        <v>1.510776685762622E-2</v>
      </c>
      <c r="V26">
        <v>-3.80000000000001</v>
      </c>
      <c r="W26">
        <f t="shared" si="9"/>
        <v>-0.29011999999999949</v>
      </c>
      <c r="Y26">
        <v>0.22</v>
      </c>
      <c r="Z26">
        <f t="shared" si="10"/>
        <v>2.0713028000000002</v>
      </c>
    </row>
    <row r="27" spans="1:26" x14ac:dyDescent="0.3">
      <c r="A27">
        <v>1.2112866</v>
      </c>
      <c r="B27">
        <v>0.77268999999999999</v>
      </c>
      <c r="C27">
        <f t="shared" si="1"/>
        <v>0.93594904295399994</v>
      </c>
      <c r="D27">
        <v>1.4999999999999999E-2</v>
      </c>
      <c r="E27">
        <v>9.9000000000000008E-3</v>
      </c>
      <c r="F27">
        <f t="shared" si="2"/>
        <v>242.25731999999999</v>
      </c>
      <c r="G27">
        <f t="shared" si="3"/>
        <v>-0.77268999999999999</v>
      </c>
      <c r="H27">
        <f t="shared" si="4"/>
        <v>-187.1898085908</v>
      </c>
      <c r="I27">
        <v>1</v>
      </c>
      <c r="J27">
        <f t="shared" si="5"/>
        <v>-1.4177548119495109</v>
      </c>
      <c r="K27">
        <f t="shared" si="6"/>
        <v>-0.44903515177521747</v>
      </c>
      <c r="L27">
        <v>1</v>
      </c>
      <c r="M27">
        <f t="shared" si="7"/>
        <v>0.40351487095120325</v>
      </c>
      <c r="N27">
        <f t="shared" si="13"/>
        <v>1.8169299E-2</v>
      </c>
      <c r="O27">
        <f t="shared" si="11"/>
        <v>1.1991737340000001E-2</v>
      </c>
      <c r="P27">
        <f t="shared" si="12"/>
        <v>1.5359244484014213E-2</v>
      </c>
      <c r="V27">
        <v>-3.7000000000000099</v>
      </c>
      <c r="W27">
        <f t="shared" si="9"/>
        <v>-0.29487999999999948</v>
      </c>
      <c r="Y27">
        <v>0.23</v>
      </c>
      <c r="Z27">
        <f t="shared" si="10"/>
        <v>2.1827502000000005</v>
      </c>
    </row>
    <row r="28" spans="1:26" x14ac:dyDescent="0.3">
      <c r="A28">
        <v>1.2627139999999999</v>
      </c>
      <c r="B28">
        <v>0.76931000000000005</v>
      </c>
      <c r="C28">
        <f t="shared" si="1"/>
        <v>0.97141850734000001</v>
      </c>
      <c r="D28">
        <v>1.4999999999999999E-2</v>
      </c>
      <c r="E28">
        <v>9.9000000000000008E-3</v>
      </c>
      <c r="F28">
        <f t="shared" si="2"/>
        <v>252.54279999999997</v>
      </c>
      <c r="G28">
        <f t="shared" si="3"/>
        <v>-0.76931000000000005</v>
      </c>
      <c r="H28">
        <f t="shared" si="4"/>
        <v>-194.283701468</v>
      </c>
      <c r="I28">
        <v>1</v>
      </c>
      <c r="J28">
        <f t="shared" si="5"/>
        <v>-1.3761745396805687</v>
      </c>
      <c r="K28">
        <f t="shared" si="6"/>
        <v>-0.45241515177521741</v>
      </c>
      <c r="L28">
        <v>1</v>
      </c>
      <c r="M28">
        <f t="shared" si="7"/>
        <v>0.40549409191120489</v>
      </c>
      <c r="N28">
        <f t="shared" si="13"/>
        <v>1.8940709999999996E-2</v>
      </c>
      <c r="O28">
        <f t="shared" si="11"/>
        <v>1.2500868599999999E-2</v>
      </c>
      <c r="P28">
        <f t="shared" si="12"/>
        <v>1.547948126401252E-2</v>
      </c>
      <c r="V28">
        <v>-3.6000000000000099</v>
      </c>
      <c r="W28">
        <f t="shared" si="9"/>
        <v>-0.29963999999999946</v>
      </c>
      <c r="Y28">
        <v>0.24</v>
      </c>
      <c r="Z28">
        <f t="shared" si="10"/>
        <v>2.2941975999999999</v>
      </c>
    </row>
    <row r="29" spans="1:26" x14ac:dyDescent="0.3">
      <c r="A29">
        <v>1.3131231999999999</v>
      </c>
      <c r="B29">
        <v>0.76549</v>
      </c>
      <c r="C29">
        <f t="shared" si="1"/>
        <v>1.005182678368</v>
      </c>
      <c r="D29">
        <v>1.4999999999999999E-2</v>
      </c>
      <c r="E29">
        <v>9.9000000000000008E-3</v>
      </c>
      <c r="F29">
        <f t="shared" si="2"/>
        <v>262.62464</v>
      </c>
      <c r="G29">
        <f t="shared" si="3"/>
        <v>-0.76549</v>
      </c>
      <c r="H29">
        <f t="shared" si="4"/>
        <v>-201.03653567360001</v>
      </c>
      <c r="I29">
        <v>1</v>
      </c>
      <c r="J29">
        <f t="shared" si="5"/>
        <v>-1.337029490593733</v>
      </c>
      <c r="K29">
        <f t="shared" si="6"/>
        <v>-0.45623515177521745</v>
      </c>
      <c r="L29">
        <v>1</v>
      </c>
      <c r="M29">
        <f t="shared" si="7"/>
        <v>0.40735739624773826</v>
      </c>
      <c r="N29">
        <f t="shared" si="13"/>
        <v>1.9696847999999999E-2</v>
      </c>
      <c r="O29">
        <f t="shared" si="11"/>
        <v>1.2999919680000001E-2</v>
      </c>
      <c r="P29">
        <f t="shared" si="12"/>
        <v>1.6180987847479192E-2</v>
      </c>
      <c r="V29">
        <v>-3.5000000000000102</v>
      </c>
      <c r="W29">
        <f t="shared" si="9"/>
        <v>-0.30439999999999945</v>
      </c>
      <c r="Y29">
        <v>0.25</v>
      </c>
      <c r="Z29">
        <f t="shared" si="10"/>
        <v>2.4056450000000003</v>
      </c>
    </row>
    <row r="30" spans="1:26" x14ac:dyDescent="0.3">
      <c r="A30">
        <v>1.3640416</v>
      </c>
      <c r="B30">
        <v>0.76221000000000005</v>
      </c>
      <c r="C30">
        <f t="shared" si="1"/>
        <v>1.039686147936</v>
      </c>
      <c r="D30">
        <v>1.4999999999999999E-2</v>
      </c>
      <c r="E30">
        <v>9.9000000000000008E-3</v>
      </c>
      <c r="F30">
        <f t="shared" si="2"/>
        <v>272.80831999999998</v>
      </c>
      <c r="G30">
        <f t="shared" si="3"/>
        <v>-0.76221000000000005</v>
      </c>
      <c r="H30">
        <f t="shared" si="4"/>
        <v>-207.93722958719999</v>
      </c>
      <c r="I30">
        <v>1</v>
      </c>
      <c r="J30">
        <f t="shared" si="5"/>
        <v>-1.2989858549441766</v>
      </c>
      <c r="K30">
        <f t="shared" si="6"/>
        <v>-0.4595151517752174</v>
      </c>
      <c r="L30">
        <v>1</v>
      </c>
      <c r="M30">
        <f t="shared" si="7"/>
        <v>0.40916827330465716</v>
      </c>
      <c r="N30">
        <f t="shared" si="13"/>
        <v>2.0460624E-2</v>
      </c>
      <c r="O30">
        <f t="shared" si="11"/>
        <v>1.350401184E-2</v>
      </c>
      <c r="P30">
        <f t="shared" si="12"/>
        <v>1.6382242630560241E-2</v>
      </c>
      <c r="V30">
        <v>-3.4000000000000101</v>
      </c>
      <c r="W30">
        <f t="shared" si="9"/>
        <v>-0.30915999999999949</v>
      </c>
      <c r="Y30">
        <v>0.26</v>
      </c>
      <c r="Z30">
        <f t="shared" si="10"/>
        <v>2.5170924000000006</v>
      </c>
    </row>
    <row r="31" spans="1:26" x14ac:dyDescent="0.3">
      <c r="A31">
        <v>1.4169966000000001</v>
      </c>
      <c r="B31">
        <v>0.75895999999999997</v>
      </c>
      <c r="C31">
        <f t="shared" si="1"/>
        <v>1.0754437395359999</v>
      </c>
      <c r="D31">
        <v>1.4999999999999999E-2</v>
      </c>
      <c r="E31">
        <v>9.9000000000000008E-3</v>
      </c>
      <c r="F31">
        <f t="shared" si="2"/>
        <v>283.39931999999999</v>
      </c>
      <c r="G31">
        <f t="shared" si="3"/>
        <v>-0.75895999999999997</v>
      </c>
      <c r="H31">
        <f t="shared" si="4"/>
        <v>-215.08874790719997</v>
      </c>
      <c r="I31">
        <v>1</v>
      </c>
      <c r="J31">
        <f t="shared" si="5"/>
        <v>-1.2608983511638625</v>
      </c>
      <c r="K31">
        <f t="shared" si="6"/>
        <v>-0.46276515177521749</v>
      </c>
      <c r="L31">
        <v>1</v>
      </c>
      <c r="M31">
        <f t="shared" si="7"/>
        <v>0.41098123848460011</v>
      </c>
      <c r="N31">
        <f t="shared" si="13"/>
        <v>2.1254948999999999E-2</v>
      </c>
      <c r="O31">
        <f t="shared" si="11"/>
        <v>1.4028266340000001E-2</v>
      </c>
      <c r="P31">
        <f t="shared" si="12"/>
        <v>1.6500697950617378E-2</v>
      </c>
      <c r="V31">
        <v>-3.30000000000001</v>
      </c>
      <c r="W31">
        <f t="shared" si="9"/>
        <v>-0.31391999999999948</v>
      </c>
      <c r="Y31">
        <v>0.27</v>
      </c>
      <c r="Z31">
        <f t="shared" si="10"/>
        <v>2.6285398000000004</v>
      </c>
    </row>
    <row r="32" spans="1:26" x14ac:dyDescent="0.3">
      <c r="A32">
        <v>1.4689331999999999</v>
      </c>
      <c r="B32">
        <v>0.75529999999999997</v>
      </c>
      <c r="C32">
        <f t="shared" si="1"/>
        <v>1.10948524596</v>
      </c>
      <c r="D32">
        <v>1.4999999999999999E-2</v>
      </c>
      <c r="E32">
        <v>9.9000000000000008E-3</v>
      </c>
      <c r="F32">
        <f t="shared" si="2"/>
        <v>293.78663999999998</v>
      </c>
      <c r="G32">
        <f t="shared" si="3"/>
        <v>-0.75529999999999997</v>
      </c>
      <c r="H32">
        <f t="shared" si="4"/>
        <v>-221.897049192</v>
      </c>
      <c r="I32">
        <v>1</v>
      </c>
      <c r="J32">
        <f t="shared" si="5"/>
        <v>-1.2249014893872532</v>
      </c>
      <c r="K32">
        <f t="shared" si="6"/>
        <v>-0.46642515177521748</v>
      </c>
      <c r="L32">
        <v>1</v>
      </c>
      <c r="M32">
        <f t="shared" si="7"/>
        <v>0.41269468910516671</v>
      </c>
      <c r="N32">
        <f t="shared" si="13"/>
        <v>2.2033997999999999E-2</v>
      </c>
      <c r="O32">
        <f t="shared" si="11"/>
        <v>1.454243868E-2</v>
      </c>
      <c r="P32">
        <f t="shared" si="12"/>
        <v>1.7154025990050774E-2</v>
      </c>
      <c r="V32">
        <v>-3.2000000000000099</v>
      </c>
      <c r="W32">
        <f t="shared" si="9"/>
        <v>-0.31867999999999952</v>
      </c>
    </row>
    <row r="33" spans="1:23" x14ac:dyDescent="0.3">
      <c r="A33">
        <v>1.5203606999999999</v>
      </c>
      <c r="B33">
        <v>0.75187999999999999</v>
      </c>
      <c r="C33">
        <f t="shared" si="1"/>
        <v>1.1431288031159998</v>
      </c>
      <c r="D33">
        <v>1.4999999999999999E-2</v>
      </c>
      <c r="E33">
        <v>9.9000000000000008E-3</v>
      </c>
      <c r="F33">
        <f t="shared" si="2"/>
        <v>304.07213999999999</v>
      </c>
      <c r="G33">
        <f t="shared" si="3"/>
        <v>-0.75187999999999999</v>
      </c>
      <c r="H33">
        <f t="shared" si="4"/>
        <v>-228.62576062319997</v>
      </c>
      <c r="I33">
        <v>1</v>
      </c>
      <c r="J33">
        <f t="shared" si="5"/>
        <v>-1.1904903030961524</v>
      </c>
      <c r="K33">
        <f t="shared" si="6"/>
        <v>-0.46984515177521746</v>
      </c>
      <c r="L33">
        <v>1</v>
      </c>
      <c r="M33">
        <f t="shared" si="7"/>
        <v>0.41433266157262311</v>
      </c>
      <c r="N33">
        <f t="shared" si="13"/>
        <v>2.2805410499999998E-2</v>
      </c>
      <c r="O33">
        <f t="shared" si="11"/>
        <v>1.5051570930000001E-2</v>
      </c>
      <c r="P33">
        <f t="shared" si="12"/>
        <v>1.7655508772594357E-2</v>
      </c>
      <c r="V33">
        <v>-3.1000000000000099</v>
      </c>
      <c r="W33">
        <f t="shared" si="9"/>
        <v>-0.32343999999999951</v>
      </c>
    </row>
    <row r="34" spans="1:23" x14ac:dyDescent="0.3">
      <c r="A34">
        <v>1.5722974999999999</v>
      </c>
      <c r="B34">
        <v>0.74880999999999998</v>
      </c>
      <c r="C34">
        <f t="shared" si="1"/>
        <v>1.1773520909749999</v>
      </c>
      <c r="D34">
        <v>1.4999999999999999E-2</v>
      </c>
      <c r="E34">
        <v>9.9000000000000008E-3</v>
      </c>
      <c r="F34">
        <f t="shared" si="2"/>
        <v>314.45949999999999</v>
      </c>
      <c r="G34">
        <f t="shared" si="3"/>
        <v>-0.74880999999999998</v>
      </c>
      <c r="H34">
        <f t="shared" si="4"/>
        <v>-235.47041819499998</v>
      </c>
      <c r="I34">
        <v>1</v>
      </c>
      <c r="J34">
        <f t="shared" si="5"/>
        <v>-1.1568999869686196</v>
      </c>
      <c r="K34">
        <f t="shared" si="6"/>
        <v>-0.47291515177521748</v>
      </c>
      <c r="L34">
        <v>1</v>
      </c>
      <c r="M34">
        <f t="shared" si="7"/>
        <v>0.41593156062029368</v>
      </c>
      <c r="N34">
        <f t="shared" si="13"/>
        <v>2.3584462499999997E-2</v>
      </c>
      <c r="O34">
        <f t="shared" si="11"/>
        <v>1.556574525E-2</v>
      </c>
      <c r="P34">
        <f t="shared" si="12"/>
        <v>1.7833383404923797E-2</v>
      </c>
      <c r="V34">
        <v>-3.0000000000000102</v>
      </c>
      <c r="W34">
        <f t="shared" si="9"/>
        <v>-0.32819999999999949</v>
      </c>
    </row>
    <row r="35" spans="1:23" x14ac:dyDescent="0.3">
      <c r="A35">
        <v>1.6252523999999999</v>
      </c>
      <c r="B35">
        <v>0.74529000000000001</v>
      </c>
      <c r="C35">
        <f t="shared" si="1"/>
        <v>1.211284361196</v>
      </c>
      <c r="D35">
        <v>1.4999999999999999E-2</v>
      </c>
      <c r="E35">
        <v>9.9000000000000008E-3</v>
      </c>
      <c r="F35">
        <f t="shared" si="2"/>
        <v>325.05047999999999</v>
      </c>
      <c r="G35">
        <f t="shared" si="3"/>
        <v>-0.74529000000000001</v>
      </c>
      <c r="H35">
        <f t="shared" si="4"/>
        <v>-242.25687223919999</v>
      </c>
      <c r="I35">
        <v>1</v>
      </c>
      <c r="J35">
        <f t="shared" si="5"/>
        <v>-1.1237747856368567</v>
      </c>
      <c r="K35">
        <f t="shared" si="6"/>
        <v>-0.47643515177521745</v>
      </c>
      <c r="L35">
        <v>1</v>
      </c>
      <c r="M35">
        <f t="shared" si="7"/>
        <v>0.41750832020368561</v>
      </c>
      <c r="N35">
        <f t="shared" si="13"/>
        <v>2.4378786E-2</v>
      </c>
      <c r="O35">
        <f t="shared" si="11"/>
        <v>1.6089998760000002E-2</v>
      </c>
      <c r="P35">
        <f t="shared" si="12"/>
        <v>1.8458046811531834E-2</v>
      </c>
      <c r="V35">
        <v>-2.9000000000000101</v>
      </c>
      <c r="W35">
        <f t="shared" si="9"/>
        <v>-0.33295999999999948</v>
      </c>
    </row>
    <row r="36" spans="1:23" x14ac:dyDescent="0.3">
      <c r="A36">
        <v>1.6761708999999998</v>
      </c>
      <c r="B36">
        <v>0.74187999999999998</v>
      </c>
      <c r="C36">
        <f t="shared" si="1"/>
        <v>1.2435176672919999</v>
      </c>
      <c r="D36">
        <v>1.4999999999999999E-2</v>
      </c>
      <c r="E36">
        <v>9.9000000000000008E-3</v>
      </c>
      <c r="F36">
        <f t="shared" si="2"/>
        <v>335.23417999999998</v>
      </c>
      <c r="G36">
        <f t="shared" si="3"/>
        <v>-0.74187999999999998</v>
      </c>
      <c r="H36">
        <f t="shared" si="4"/>
        <v>-248.70353345839996</v>
      </c>
      <c r="I36">
        <v>1</v>
      </c>
      <c r="J36">
        <f t="shared" si="5"/>
        <v>-1.0929259465989445</v>
      </c>
      <c r="K36">
        <f t="shared" si="6"/>
        <v>-0.47984515177521747</v>
      </c>
      <c r="L36">
        <v>1</v>
      </c>
      <c r="M36">
        <f t="shared" si="7"/>
        <v>0.4189767249418902</v>
      </c>
      <c r="N36">
        <f t="shared" si="13"/>
        <v>2.5142563499999996E-2</v>
      </c>
      <c r="O36">
        <f t="shared" si="11"/>
        <v>1.6594091910000001E-2</v>
      </c>
      <c r="P36">
        <f t="shared" si="12"/>
        <v>1.9131771423327278E-2</v>
      </c>
      <c r="V36">
        <v>-2.80000000000001</v>
      </c>
      <c r="W36">
        <f t="shared" si="9"/>
        <v>-0.33771999999999947</v>
      </c>
    </row>
    <row r="37" spans="1:23" x14ac:dyDescent="0.3">
      <c r="A37">
        <v>1.7291258999999999</v>
      </c>
      <c r="B37">
        <v>0.73853000000000002</v>
      </c>
      <c r="C37">
        <f t="shared" si="1"/>
        <v>1.277011350927</v>
      </c>
      <c r="D37">
        <v>1.4999999999999999E-2</v>
      </c>
      <c r="E37">
        <v>9.9000000000000008E-3</v>
      </c>
      <c r="F37">
        <f t="shared" si="2"/>
        <v>345.82517999999999</v>
      </c>
      <c r="G37">
        <f t="shared" si="3"/>
        <v>-0.73853000000000002</v>
      </c>
      <c r="H37">
        <f t="shared" si="4"/>
        <v>-255.4022701854</v>
      </c>
      <c r="I37">
        <v>1</v>
      </c>
      <c r="J37">
        <f t="shared" si="5"/>
        <v>-1.0618218917269238</v>
      </c>
      <c r="K37">
        <f t="shared" si="6"/>
        <v>-0.48319515177521744</v>
      </c>
      <c r="L37">
        <v>1</v>
      </c>
      <c r="M37">
        <f t="shared" si="7"/>
        <v>0.42045727795379839</v>
      </c>
      <c r="N37">
        <f t="shared" si="13"/>
        <v>2.5936888499999998E-2</v>
      </c>
      <c r="O37">
        <f t="shared" si="11"/>
        <v>1.7118346409999999E-2</v>
      </c>
      <c r="P37">
        <f t="shared" si="12"/>
        <v>1.9682638911419047E-2</v>
      </c>
      <c r="V37">
        <v>-2.7000000000000099</v>
      </c>
      <c r="W37">
        <f t="shared" si="9"/>
        <v>-0.34247999999999945</v>
      </c>
    </row>
    <row r="38" spans="1:23" x14ac:dyDescent="0.3">
      <c r="A38">
        <v>1.7805533</v>
      </c>
      <c r="B38">
        <v>0.73519000000000001</v>
      </c>
      <c r="C38">
        <f t="shared" si="1"/>
        <v>1.3090449806269999</v>
      </c>
      <c r="D38">
        <v>1.4999999999999999E-2</v>
      </c>
      <c r="E38">
        <v>9.9000000000000008E-3</v>
      </c>
      <c r="F38">
        <f t="shared" si="2"/>
        <v>356.11066</v>
      </c>
      <c r="G38">
        <f t="shared" si="3"/>
        <v>-0.73519000000000001</v>
      </c>
      <c r="H38">
        <f t="shared" si="4"/>
        <v>-261.80899612539997</v>
      </c>
      <c r="I38">
        <v>1</v>
      </c>
      <c r="J38">
        <f t="shared" si="5"/>
        <v>-1.032513753735059</v>
      </c>
      <c r="K38">
        <f t="shared" si="6"/>
        <v>-0.48653515177521744</v>
      </c>
      <c r="L38">
        <v>1</v>
      </c>
      <c r="M38">
        <f t="shared" si="7"/>
        <v>0.42185234532221116</v>
      </c>
      <c r="N38">
        <f t="shared" si="13"/>
        <v>2.6708299499999998E-2</v>
      </c>
      <c r="O38">
        <f t="shared" si="11"/>
        <v>1.7627477670000002E-2</v>
      </c>
      <c r="P38">
        <f t="shared" si="12"/>
        <v>2.0347029283006281E-2</v>
      </c>
      <c r="V38">
        <v>-2.6000000000000099</v>
      </c>
      <c r="W38">
        <f t="shared" si="9"/>
        <v>-0.34723999999999949</v>
      </c>
    </row>
    <row r="39" spans="1:23" x14ac:dyDescent="0.3">
      <c r="A39">
        <v>1.83249</v>
      </c>
      <c r="B39">
        <v>0.73221999999999998</v>
      </c>
      <c r="C39">
        <f t="shared" si="1"/>
        <v>1.3417858277999999</v>
      </c>
      <c r="D39">
        <v>1.4999999999999999E-2</v>
      </c>
      <c r="E39">
        <v>9.9000000000000008E-3</v>
      </c>
      <c r="F39">
        <f t="shared" si="2"/>
        <v>366.49799999999999</v>
      </c>
      <c r="G39">
        <f t="shared" si="3"/>
        <v>-0.73221999999999998</v>
      </c>
      <c r="H39">
        <f t="shared" si="4"/>
        <v>-268.35716556</v>
      </c>
      <c r="I39">
        <v>1</v>
      </c>
      <c r="J39">
        <f t="shared" si="5"/>
        <v>-1.0037622146962415</v>
      </c>
      <c r="K39">
        <f t="shared" si="6"/>
        <v>-0.48950515177521747</v>
      </c>
      <c r="L39">
        <v>1</v>
      </c>
      <c r="M39">
        <f t="shared" si="7"/>
        <v>0.42322091858045885</v>
      </c>
      <c r="N39">
        <f t="shared" si="13"/>
        <v>2.7487349999999997E-2</v>
      </c>
      <c r="O39">
        <f t="shared" si="11"/>
        <v>1.8141651000000002E-2</v>
      </c>
      <c r="P39">
        <f t="shared" si="12"/>
        <v>2.0655232194758628E-2</v>
      </c>
      <c r="V39">
        <v>-2.5000000000000102</v>
      </c>
      <c r="W39">
        <f t="shared" si="9"/>
        <v>-0.35199999999999948</v>
      </c>
    </row>
    <row r="40" spans="1:23" x14ac:dyDescent="0.3">
      <c r="A40">
        <v>1.8834083999999998</v>
      </c>
      <c r="B40">
        <v>0.72885</v>
      </c>
      <c r="C40">
        <f t="shared" si="1"/>
        <v>1.3727222123399998</v>
      </c>
      <c r="D40">
        <v>1.4999999999999999E-2</v>
      </c>
      <c r="E40">
        <v>9.9000000000000008E-3</v>
      </c>
      <c r="F40">
        <f t="shared" si="2"/>
        <v>376.68167999999997</v>
      </c>
      <c r="G40">
        <f t="shared" si="3"/>
        <v>-0.72885</v>
      </c>
      <c r="H40">
        <f t="shared" si="4"/>
        <v>-274.54444246799994</v>
      </c>
      <c r="I40">
        <v>1</v>
      </c>
      <c r="J40">
        <f t="shared" si="5"/>
        <v>-0.97635479833110617</v>
      </c>
      <c r="K40">
        <f t="shared" si="6"/>
        <v>-0.49287515177521746</v>
      </c>
      <c r="L40">
        <v>1</v>
      </c>
      <c r="M40">
        <f t="shared" si="7"/>
        <v>0.4245255115994393</v>
      </c>
      <c r="N40">
        <f t="shared" si="13"/>
        <v>2.8251125999999994E-2</v>
      </c>
      <c r="O40">
        <f t="shared" si="11"/>
        <v>1.8645743159999999E-2</v>
      </c>
      <c r="P40">
        <f t="shared" si="12"/>
        <v>2.1452771015778166E-2</v>
      </c>
      <c r="V40">
        <v>-2.4000000000000101</v>
      </c>
      <c r="W40">
        <f t="shared" si="9"/>
        <v>-0.35675999999999947</v>
      </c>
    </row>
    <row r="41" spans="1:23" x14ac:dyDescent="0.3">
      <c r="A41">
        <v>1.9338176000000002</v>
      </c>
      <c r="B41">
        <v>0.72582000000000002</v>
      </c>
      <c r="C41">
        <f t="shared" si="1"/>
        <v>1.4036034904320003</v>
      </c>
      <c r="D41">
        <v>1.4999999999999999E-2</v>
      </c>
      <c r="E41">
        <v>9.9000000000000008E-3</v>
      </c>
      <c r="F41">
        <f t="shared" si="2"/>
        <v>386.76352000000003</v>
      </c>
      <c r="G41">
        <f t="shared" si="3"/>
        <v>-0.72582000000000002</v>
      </c>
      <c r="H41">
        <f t="shared" si="4"/>
        <v>-280.72069808640003</v>
      </c>
      <c r="I41">
        <v>1</v>
      </c>
      <c r="J41">
        <f t="shared" si="5"/>
        <v>-0.94994183215678429</v>
      </c>
      <c r="K41">
        <f t="shared" si="6"/>
        <v>-0.49590515177521743</v>
      </c>
      <c r="L41">
        <v>1</v>
      </c>
      <c r="M41">
        <f t="shared" si="7"/>
        <v>0.42578276878933702</v>
      </c>
      <c r="N41">
        <f t="shared" si="13"/>
        <v>2.9007264000000001E-2</v>
      </c>
      <c r="O41">
        <f t="shared" si="11"/>
        <v>1.9144794240000006E-2</v>
      </c>
      <c r="P41">
        <f t="shared" si="12"/>
        <v>2.1970324745880405E-2</v>
      </c>
      <c r="V41">
        <v>-2.30000000000001</v>
      </c>
      <c r="W41">
        <f t="shared" si="9"/>
        <v>-0.36151999999999951</v>
      </c>
    </row>
    <row r="42" spans="1:23" x14ac:dyDescent="0.3">
      <c r="A42">
        <v>1.9852449999999999</v>
      </c>
      <c r="B42">
        <v>0.72284000000000004</v>
      </c>
      <c r="C42">
        <f t="shared" si="1"/>
        <v>1.4350144958</v>
      </c>
      <c r="D42">
        <v>1.4999999999999999E-2</v>
      </c>
      <c r="E42">
        <v>9.9000000000000008E-3</v>
      </c>
      <c r="F42">
        <f t="shared" si="2"/>
        <v>397.04899999999998</v>
      </c>
      <c r="G42">
        <f t="shared" si="3"/>
        <v>-0.72284000000000004</v>
      </c>
      <c r="H42">
        <f t="shared" si="4"/>
        <v>-287.00289915999997</v>
      </c>
      <c r="I42">
        <v>1</v>
      </c>
      <c r="J42">
        <f t="shared" si="5"/>
        <v>-0.92369558021857556</v>
      </c>
      <c r="K42">
        <f t="shared" si="6"/>
        <v>-0.49888515177521742</v>
      </c>
      <c r="L42">
        <v>1</v>
      </c>
      <c r="M42">
        <f t="shared" si="7"/>
        <v>0.42703209038159579</v>
      </c>
      <c r="N42">
        <f t="shared" si="13"/>
        <v>2.9778674999999998E-2</v>
      </c>
      <c r="O42">
        <f t="shared" si="11"/>
        <v>1.9653925500000002E-2</v>
      </c>
      <c r="P42">
        <f t="shared" si="12"/>
        <v>2.2420460893621631E-2</v>
      </c>
      <c r="V42">
        <v>-2.2000000000000099</v>
      </c>
      <c r="W42">
        <f t="shared" si="9"/>
        <v>-0.36627999999999949</v>
      </c>
    </row>
    <row r="43" spans="1:23" x14ac:dyDescent="0.3">
      <c r="A43">
        <v>2.0356543</v>
      </c>
      <c r="B43">
        <v>0.71938000000000002</v>
      </c>
      <c r="C43">
        <f t="shared" si="1"/>
        <v>1.4644089903340001</v>
      </c>
      <c r="D43">
        <v>1.4999999999999999E-2</v>
      </c>
      <c r="E43">
        <v>9.9000000000000008E-3</v>
      </c>
      <c r="F43">
        <f t="shared" si="2"/>
        <v>407.13085999999998</v>
      </c>
      <c r="G43">
        <f t="shared" si="3"/>
        <v>-0.71938000000000002</v>
      </c>
      <c r="H43">
        <f t="shared" si="4"/>
        <v>-292.8817980668</v>
      </c>
      <c r="I43">
        <v>1</v>
      </c>
      <c r="J43">
        <f t="shared" si="5"/>
        <v>-0.89862062187557157</v>
      </c>
      <c r="K43">
        <f t="shared" si="6"/>
        <v>-0.50234515177521744</v>
      </c>
      <c r="L43">
        <v>1</v>
      </c>
      <c r="M43">
        <f t="shared" si="7"/>
        <v>0.42822565839872279</v>
      </c>
      <c r="N43">
        <f t="shared" si="13"/>
        <v>3.05348145E-2</v>
      </c>
      <c r="O43">
        <f t="shared" si="11"/>
        <v>2.0152977570000001E-2</v>
      </c>
      <c r="P43">
        <f t="shared" si="12"/>
        <v>2.3431701306494648E-2</v>
      </c>
      <c r="V43">
        <v>-2.1000000000000099</v>
      </c>
      <c r="W43">
        <f t="shared" si="9"/>
        <v>-0.37103999999999948</v>
      </c>
    </row>
    <row r="44" spans="1:23" x14ac:dyDescent="0.3">
      <c r="A44">
        <v>2.0860634999999998</v>
      </c>
      <c r="B44">
        <v>0.71628999999999998</v>
      </c>
      <c r="C44">
        <f t="shared" si="1"/>
        <v>1.4942264244149999</v>
      </c>
      <c r="D44">
        <v>1.4999999999999999E-2</v>
      </c>
      <c r="E44">
        <v>9.9000000000000008E-3</v>
      </c>
      <c r="F44">
        <f t="shared" si="2"/>
        <v>417.21269999999998</v>
      </c>
      <c r="G44">
        <f t="shared" si="3"/>
        <v>-0.71628999999999998</v>
      </c>
      <c r="H44">
        <f t="shared" si="4"/>
        <v>-298.84528488299998</v>
      </c>
      <c r="I44">
        <v>1</v>
      </c>
      <c r="J44">
        <f t="shared" si="5"/>
        <v>-0.87415911528336399</v>
      </c>
      <c r="K44">
        <f t="shared" si="6"/>
        <v>-0.50543515177521747</v>
      </c>
      <c r="L44">
        <v>1</v>
      </c>
      <c r="M44">
        <f t="shared" si="7"/>
        <v>0.42939002611251187</v>
      </c>
      <c r="N44">
        <f t="shared" si="13"/>
        <v>3.1290952499999997E-2</v>
      </c>
      <c r="O44">
        <f t="shared" si="11"/>
        <v>2.0652028650000001E-2</v>
      </c>
      <c r="P44">
        <f t="shared" si="12"/>
        <v>2.4102144512705606E-2</v>
      </c>
      <c r="V44">
        <v>-2.0000000000000102</v>
      </c>
      <c r="W44">
        <f t="shared" si="9"/>
        <v>-0.37579999999999947</v>
      </c>
    </row>
    <row r="45" spans="1:23" x14ac:dyDescent="0.3">
      <c r="A45">
        <v>2.1364727000000001</v>
      </c>
      <c r="B45">
        <v>0.71343000000000001</v>
      </c>
      <c r="C45">
        <f t="shared" si="1"/>
        <v>1.5242237183610001</v>
      </c>
      <c r="D45">
        <v>1.4999999999999999E-2</v>
      </c>
      <c r="E45">
        <v>9.9000000000000008E-3</v>
      </c>
      <c r="F45">
        <f t="shared" si="2"/>
        <v>427.29454000000004</v>
      </c>
      <c r="G45">
        <f t="shared" si="3"/>
        <v>-0.71343000000000001</v>
      </c>
      <c r="H45">
        <f t="shared" si="4"/>
        <v>-304.84474367220002</v>
      </c>
      <c r="I45">
        <v>1</v>
      </c>
      <c r="J45">
        <f t="shared" si="5"/>
        <v>-0.85028171432158894</v>
      </c>
      <c r="K45">
        <f t="shared" si="6"/>
        <v>-0.50829515177521745</v>
      </c>
      <c r="L45">
        <v>1</v>
      </c>
      <c r="M45">
        <f t="shared" si="7"/>
        <v>0.43052659039829233</v>
      </c>
      <c r="N45">
        <f t="shared" si="13"/>
        <v>3.20470905E-2</v>
      </c>
      <c r="O45">
        <f t="shared" si="11"/>
        <v>2.1151079730000001E-2</v>
      </c>
      <c r="P45">
        <f t="shared" si="12"/>
        <v>2.4570391146925115E-2</v>
      </c>
      <c r="V45">
        <v>-1.9000000000000099</v>
      </c>
      <c r="W45">
        <f t="shared" si="9"/>
        <v>-0.38055999999999951</v>
      </c>
    </row>
    <row r="46" spans="1:23" x14ac:dyDescent="0.3">
      <c r="A46">
        <v>2.1894277</v>
      </c>
      <c r="B46">
        <v>0.71004999999999996</v>
      </c>
      <c r="C46">
        <f t="shared" si="1"/>
        <v>1.5546031383849999</v>
      </c>
      <c r="D46">
        <v>1.4999999999999999E-2</v>
      </c>
      <c r="E46">
        <v>9.9000000000000008E-3</v>
      </c>
      <c r="F46">
        <f t="shared" si="2"/>
        <v>437.88553999999999</v>
      </c>
      <c r="G46">
        <f t="shared" si="3"/>
        <v>-0.71004999999999996</v>
      </c>
      <c r="H46">
        <f t="shared" si="4"/>
        <v>-310.92062767699997</v>
      </c>
      <c r="I46">
        <v>1</v>
      </c>
      <c r="J46">
        <f t="shared" si="5"/>
        <v>-0.82579772695772291</v>
      </c>
      <c r="K46">
        <f t="shared" si="6"/>
        <v>-0.5116751517752175</v>
      </c>
      <c r="L46">
        <v>1</v>
      </c>
      <c r="M46">
        <f t="shared" si="7"/>
        <v>0.43169202819681235</v>
      </c>
      <c r="N46">
        <f t="shared" si="13"/>
        <v>3.2841415499999999E-2</v>
      </c>
      <c r="O46">
        <f t="shared" si="11"/>
        <v>2.1675334230000003E-2</v>
      </c>
      <c r="P46">
        <f t="shared" si="12"/>
        <v>2.5466373848405145E-2</v>
      </c>
      <c r="V46">
        <v>-1.80000000000001</v>
      </c>
      <c r="W46">
        <f t="shared" si="9"/>
        <v>-0.3853199999999995</v>
      </c>
    </row>
    <row r="47" spans="1:23" x14ac:dyDescent="0.3">
      <c r="A47">
        <v>2.2398368999999998</v>
      </c>
      <c r="B47">
        <v>0.70696000000000003</v>
      </c>
      <c r="C47">
        <f t="shared" si="1"/>
        <v>1.583475094824</v>
      </c>
      <c r="D47">
        <v>1.4999999999999999E-2</v>
      </c>
      <c r="E47">
        <v>9.9000000000000008E-3</v>
      </c>
      <c r="F47">
        <f t="shared" si="2"/>
        <v>447.96737999999993</v>
      </c>
      <c r="G47">
        <f t="shared" si="3"/>
        <v>-0.70696000000000003</v>
      </c>
      <c r="H47">
        <f t="shared" si="4"/>
        <v>-316.6950189648</v>
      </c>
      <c r="I47">
        <v>1</v>
      </c>
      <c r="J47">
        <f t="shared" si="5"/>
        <v>-0.80303486171811089</v>
      </c>
      <c r="K47">
        <f t="shared" si="6"/>
        <v>-0.51476515177521742</v>
      </c>
      <c r="L47">
        <v>1</v>
      </c>
      <c r="M47">
        <f t="shared" si="7"/>
        <v>0.4327755405822179</v>
      </c>
      <c r="N47">
        <f t="shared" si="13"/>
        <v>3.3597553499999995E-2</v>
      </c>
      <c r="O47">
        <f t="shared" si="11"/>
        <v>2.2174385309999999E-2</v>
      </c>
      <c r="P47">
        <f t="shared" si="12"/>
        <v>2.6217672382999529E-2</v>
      </c>
      <c r="V47">
        <v>-1.7000000000000199</v>
      </c>
      <c r="W47">
        <f t="shared" si="9"/>
        <v>-0.39007999999999904</v>
      </c>
    </row>
    <row r="48" spans="1:23" x14ac:dyDescent="0.3">
      <c r="A48">
        <v>2.2907551000000002</v>
      </c>
      <c r="B48">
        <v>0.70401999999999998</v>
      </c>
      <c r="C48">
        <f t="shared" si="1"/>
        <v>1.6127374055020001</v>
      </c>
      <c r="D48">
        <v>1.4999999999999999E-2</v>
      </c>
      <c r="E48">
        <v>9.9000000000000008E-3</v>
      </c>
      <c r="F48">
        <f t="shared" si="2"/>
        <v>458.15102000000002</v>
      </c>
      <c r="G48">
        <f t="shared" si="3"/>
        <v>-0.70401999999999998</v>
      </c>
      <c r="H48">
        <f t="shared" si="4"/>
        <v>-322.54748110040003</v>
      </c>
      <c r="I48">
        <v>1</v>
      </c>
      <c r="J48">
        <f t="shared" si="5"/>
        <v>-0.78055641122830954</v>
      </c>
      <c r="K48">
        <f t="shared" si="6"/>
        <v>-0.51770515177521748</v>
      </c>
      <c r="L48">
        <v>1</v>
      </c>
      <c r="M48">
        <f t="shared" si="7"/>
        <v>0.43384551482553246</v>
      </c>
      <c r="N48">
        <f t="shared" si="13"/>
        <v>3.4361326500000004E-2</v>
      </c>
      <c r="O48">
        <f t="shared" si="11"/>
        <v>2.2678475490000002E-2</v>
      </c>
      <c r="P48">
        <f t="shared" si="12"/>
        <v>2.6819834959685006E-2</v>
      </c>
      <c r="V48">
        <v>-1.6000000000000201</v>
      </c>
      <c r="W48">
        <f t="shared" si="9"/>
        <v>-0.39483999999999903</v>
      </c>
    </row>
    <row r="49" spans="1:23" x14ac:dyDescent="0.3">
      <c r="A49">
        <v>2.3411645999999999</v>
      </c>
      <c r="B49">
        <v>0.70132000000000005</v>
      </c>
      <c r="C49">
        <f t="shared" si="1"/>
        <v>1.641905557272</v>
      </c>
      <c r="D49">
        <v>1.4999999999999999E-2</v>
      </c>
      <c r="E49">
        <v>9.9000000000000008E-3</v>
      </c>
      <c r="F49">
        <f t="shared" si="2"/>
        <v>468.23291999999998</v>
      </c>
      <c r="G49">
        <f t="shared" si="3"/>
        <v>-0.70132000000000005</v>
      </c>
      <c r="H49">
        <f t="shared" si="4"/>
        <v>-328.38111145440001</v>
      </c>
      <c r="I49">
        <v>1</v>
      </c>
      <c r="J49">
        <f t="shared" si="5"/>
        <v>-0.75878941456453752</v>
      </c>
      <c r="K49">
        <f t="shared" si="6"/>
        <v>-0.5204051517752174</v>
      </c>
      <c r="L49">
        <v>1</v>
      </c>
      <c r="M49">
        <f t="shared" si="7"/>
        <v>0.43488162386672796</v>
      </c>
      <c r="N49">
        <f t="shared" si="13"/>
        <v>3.5117468999999998E-2</v>
      </c>
      <c r="O49">
        <f t="shared" si="11"/>
        <v>2.3177529540000002E-2</v>
      </c>
      <c r="P49">
        <f t="shared" si="12"/>
        <v>2.7228529368489438E-2</v>
      </c>
      <c r="V49">
        <v>-1.50000000000002</v>
      </c>
      <c r="W49">
        <f t="shared" si="9"/>
        <v>-0.39959999999999901</v>
      </c>
    </row>
    <row r="50" spans="1:23" x14ac:dyDescent="0.3">
      <c r="A50">
        <v>2.3925917999999999</v>
      </c>
      <c r="B50">
        <v>0.69769999999999999</v>
      </c>
      <c r="C50">
        <f t="shared" si="1"/>
        <v>1.6693112988599998</v>
      </c>
      <c r="D50">
        <v>1.4999999999999999E-2</v>
      </c>
      <c r="E50">
        <v>9.9000000000000008E-3</v>
      </c>
      <c r="F50">
        <f t="shared" si="2"/>
        <v>478.51835999999997</v>
      </c>
      <c r="G50">
        <f t="shared" si="3"/>
        <v>-0.69769999999999999</v>
      </c>
      <c r="H50">
        <f t="shared" si="4"/>
        <v>-333.86225977199996</v>
      </c>
      <c r="I50">
        <v>1</v>
      </c>
      <c r="J50">
        <f t="shared" si="5"/>
        <v>-0.73706069891927806</v>
      </c>
      <c r="K50">
        <f t="shared" si="6"/>
        <v>-0.52402515177521747</v>
      </c>
      <c r="L50">
        <v>1</v>
      </c>
      <c r="M50">
        <f t="shared" si="7"/>
        <v>0.43591591073144231</v>
      </c>
      <c r="N50">
        <f t="shared" si="13"/>
        <v>3.5888877E-2</v>
      </c>
      <c r="O50">
        <f t="shared" si="11"/>
        <v>2.3686658820000001E-2</v>
      </c>
      <c r="P50">
        <f t="shared" si="12"/>
        <v>2.8533705223775154E-2</v>
      </c>
      <c r="V50">
        <v>-1.4000000000000199</v>
      </c>
      <c r="W50">
        <f t="shared" si="9"/>
        <v>-0.40435999999999905</v>
      </c>
    </row>
    <row r="51" spans="1:23" x14ac:dyDescent="0.3">
      <c r="A51">
        <v>2.4480928</v>
      </c>
      <c r="B51">
        <v>0.69482999999999995</v>
      </c>
      <c r="C51">
        <f t="shared" si="1"/>
        <v>1.7010083202239998</v>
      </c>
      <c r="D51">
        <v>1.4999999999999999E-2</v>
      </c>
      <c r="E51">
        <v>9.9000000000000008E-3</v>
      </c>
      <c r="F51">
        <f t="shared" si="2"/>
        <v>489.61856</v>
      </c>
      <c r="G51">
        <f t="shared" si="3"/>
        <v>-0.69482999999999995</v>
      </c>
      <c r="H51">
        <f t="shared" si="4"/>
        <v>-340.20166404479994</v>
      </c>
      <c r="I51">
        <v>1</v>
      </c>
      <c r="J51">
        <f t="shared" si="5"/>
        <v>-0.71412864000579768</v>
      </c>
      <c r="K51">
        <f t="shared" si="6"/>
        <v>-0.52689515177521751</v>
      </c>
      <c r="L51">
        <v>1</v>
      </c>
      <c r="M51">
        <f t="shared" si="7"/>
        <v>0.43700747673572399</v>
      </c>
      <c r="N51">
        <f t="shared" si="13"/>
        <v>3.6721391999999999E-2</v>
      </c>
      <c r="O51">
        <f t="shared" si="11"/>
        <v>2.4236118720000002E-2</v>
      </c>
      <c r="P51">
        <f t="shared" si="12"/>
        <v>2.893016431949352E-2</v>
      </c>
      <c r="V51">
        <v>-1.30000000000002</v>
      </c>
      <c r="W51">
        <f t="shared" si="9"/>
        <v>-0.40911999999999904</v>
      </c>
    </row>
    <row r="52" spans="1:23" x14ac:dyDescent="0.3">
      <c r="A52">
        <v>2.4985021999999999</v>
      </c>
      <c r="B52">
        <v>0.69121999999999995</v>
      </c>
      <c r="C52">
        <f t="shared" si="1"/>
        <v>1.7270146906839998</v>
      </c>
      <c r="D52">
        <v>1.4999999999999999E-2</v>
      </c>
      <c r="E52">
        <v>9.9000000000000008E-3</v>
      </c>
      <c r="F52">
        <f t="shared" si="2"/>
        <v>499.70043999999996</v>
      </c>
      <c r="G52">
        <f t="shared" si="3"/>
        <v>-0.69121999999999995</v>
      </c>
      <c r="H52">
        <f t="shared" si="4"/>
        <v>-345.40293813679995</v>
      </c>
      <c r="I52">
        <v>1</v>
      </c>
      <c r="J52">
        <f t="shared" si="5"/>
        <v>-0.69374648010404849</v>
      </c>
      <c r="K52">
        <f t="shared" si="6"/>
        <v>-0.53050515177521751</v>
      </c>
      <c r="L52">
        <v>1</v>
      </c>
      <c r="M52">
        <f t="shared" si="7"/>
        <v>0.43797766754704726</v>
      </c>
      <c r="N52">
        <f t="shared" si="13"/>
        <v>3.7477533E-2</v>
      </c>
      <c r="O52">
        <f t="shared" si="11"/>
        <v>2.4735171780000002E-2</v>
      </c>
      <c r="P52">
        <f t="shared" si="12"/>
        <v>3.0314779448170251E-2</v>
      </c>
      <c r="V52">
        <v>-1.2000000000000199</v>
      </c>
      <c r="W52">
        <f t="shared" si="9"/>
        <v>-0.41387999999999903</v>
      </c>
    </row>
    <row r="53" spans="1:23" x14ac:dyDescent="0.3">
      <c r="A53">
        <v>2.5514570000000001</v>
      </c>
      <c r="B53">
        <v>0.68813000000000002</v>
      </c>
      <c r="C53">
        <f t="shared" si="1"/>
        <v>1.7557341054100002</v>
      </c>
      <c r="D53">
        <v>1.4999999999999999E-2</v>
      </c>
      <c r="E53">
        <v>9.9000000000000008E-3</v>
      </c>
      <c r="F53">
        <f t="shared" si="2"/>
        <v>510.29140000000001</v>
      </c>
      <c r="G53">
        <f t="shared" si="3"/>
        <v>-0.68813000000000002</v>
      </c>
      <c r="H53">
        <f t="shared" si="4"/>
        <v>-351.14682108200003</v>
      </c>
      <c r="I53">
        <v>1</v>
      </c>
      <c r="J53">
        <f t="shared" si="5"/>
        <v>-0.67277334388588939</v>
      </c>
      <c r="K53">
        <f t="shared" si="6"/>
        <v>-0.53359515177521744</v>
      </c>
      <c r="L53">
        <v>1</v>
      </c>
      <c r="M53" s="5">
        <f t="shared" si="7"/>
        <v>0.43897598883103162</v>
      </c>
      <c r="N53">
        <f t="shared" si="13"/>
        <v>3.8271855E-2</v>
      </c>
      <c r="O53">
        <f t="shared" si="11"/>
        <v>2.5259424300000003E-2</v>
      </c>
      <c r="P53">
        <f t="shared" si="12"/>
        <v>3.1087883644185816E-2</v>
      </c>
      <c r="R53">
        <f>N2-M53</f>
        <v>0.78274916294418584</v>
      </c>
      <c r="V53">
        <v>-1.1000000000000201</v>
      </c>
      <c r="W53">
        <f t="shared" si="9"/>
        <v>-0.41863999999999901</v>
      </c>
    </row>
    <row r="54" spans="1:23" x14ac:dyDescent="0.3">
      <c r="A54">
        <v>2.6033936</v>
      </c>
      <c r="B54">
        <v>0.68523000000000001</v>
      </c>
      <c r="C54">
        <f t="shared" si="1"/>
        <v>1.7839233965279999</v>
      </c>
      <c r="D54">
        <v>1.4999999999999999E-2</v>
      </c>
      <c r="E54">
        <v>9.9000000000000008E-3</v>
      </c>
      <c r="F54">
        <f t="shared" si="2"/>
        <v>520.67872</v>
      </c>
      <c r="G54">
        <f t="shared" si="3"/>
        <v>-0.68523000000000001</v>
      </c>
      <c r="H54">
        <f t="shared" si="4"/>
        <v>-356.78467930559998</v>
      </c>
      <c r="I54">
        <v>1</v>
      </c>
      <c r="J54">
        <f t="shared" si="5"/>
        <v>-0.65262208771062957</v>
      </c>
      <c r="K54">
        <f t="shared" si="6"/>
        <v>-0.53649515177521745</v>
      </c>
      <c r="L54">
        <v>1</v>
      </c>
      <c r="M54">
        <f t="shared" si="7"/>
        <v>0.43993518862497399</v>
      </c>
      <c r="N54">
        <f t="shared" si="13"/>
        <v>3.9050903999999997E-2</v>
      </c>
      <c r="O54">
        <f t="shared" si="11"/>
        <v>2.577359664E-2</v>
      </c>
      <c r="P54">
        <f t="shared" si="12"/>
        <v>3.1735462510243458E-2</v>
      </c>
      <c r="V54">
        <v>-1.00000000000002</v>
      </c>
      <c r="W54">
        <f t="shared" si="9"/>
        <v>-0.423399999999999</v>
      </c>
    </row>
    <row r="55" spans="1:23" x14ac:dyDescent="0.3">
      <c r="A55">
        <v>2.6609311999999998</v>
      </c>
      <c r="B55">
        <v>0.68198000000000003</v>
      </c>
      <c r="C55">
        <f t="shared" si="1"/>
        <v>1.8147018597760001</v>
      </c>
      <c r="D55">
        <v>1.4999999999999999E-2</v>
      </c>
      <c r="E55">
        <v>9.9000000000000008E-3</v>
      </c>
      <c r="F55">
        <f t="shared" si="2"/>
        <v>532.18624</v>
      </c>
      <c r="G55">
        <f t="shared" si="3"/>
        <v>-0.68198000000000003</v>
      </c>
      <c r="H55">
        <f t="shared" si="4"/>
        <v>-362.94037195520002</v>
      </c>
      <c r="I55">
        <v>1</v>
      </c>
      <c r="J55">
        <f t="shared" si="5"/>
        <v>-0.63076177571454417</v>
      </c>
      <c r="K55">
        <f t="shared" si="6"/>
        <v>-0.53974515177521742</v>
      </c>
      <c r="L55">
        <v>1</v>
      </c>
      <c r="M55">
        <f t="shared" si="7"/>
        <v>0.44097573947598767</v>
      </c>
      <c r="N55">
        <f t="shared" si="13"/>
        <v>3.9913967999999994E-2</v>
      </c>
      <c r="O55">
        <f t="shared" si="11"/>
        <v>2.6343218880000002E-2</v>
      </c>
      <c r="P55">
        <f t="shared" si="12"/>
        <v>3.2512225419229754E-2</v>
      </c>
      <c r="V55">
        <v>-0.90000000000002001</v>
      </c>
      <c r="W55">
        <f t="shared" si="9"/>
        <v>-0.42815999999999904</v>
      </c>
    </row>
    <row r="56" spans="1:23" x14ac:dyDescent="0.3">
      <c r="A56">
        <v>2.7159230999999999</v>
      </c>
      <c r="B56">
        <v>0.67852999999999997</v>
      </c>
      <c r="C56">
        <f t="shared" si="1"/>
        <v>1.8428353010429999</v>
      </c>
      <c r="D56">
        <v>1.4999999999999999E-2</v>
      </c>
      <c r="E56">
        <v>9.9000000000000008E-3</v>
      </c>
      <c r="F56">
        <f t="shared" si="2"/>
        <v>543.18462</v>
      </c>
      <c r="G56">
        <f t="shared" si="3"/>
        <v>-0.67852999999999997</v>
      </c>
      <c r="H56">
        <f t="shared" si="4"/>
        <v>-368.56706020859997</v>
      </c>
      <c r="I56">
        <v>1</v>
      </c>
      <c r="J56">
        <f t="shared" si="5"/>
        <v>-0.61030601683510366</v>
      </c>
      <c r="K56">
        <f t="shared" si="6"/>
        <v>-0.54319515177521749</v>
      </c>
      <c r="L56">
        <v>1</v>
      </c>
      <c r="M56">
        <f t="shared" si="7"/>
        <v>0.44194943359864902</v>
      </c>
      <c r="N56">
        <f t="shared" si="13"/>
        <v>4.0738846499999995E-2</v>
      </c>
      <c r="O56">
        <f t="shared" si="11"/>
        <v>2.688763869E-2</v>
      </c>
      <c r="P56">
        <f t="shared" si="12"/>
        <v>3.3619232986568472E-2</v>
      </c>
      <c r="V56">
        <v>-0.80000000000002003</v>
      </c>
      <c r="W56">
        <f t="shared" si="9"/>
        <v>-0.43291999999999903</v>
      </c>
    </row>
    <row r="57" spans="1:23" x14ac:dyDescent="0.3">
      <c r="A57">
        <v>2.7678599000000004</v>
      </c>
      <c r="B57">
        <v>0.67530000000000001</v>
      </c>
      <c r="C57">
        <f t="shared" si="1"/>
        <v>1.8691357904700003</v>
      </c>
      <c r="D57">
        <v>1.4999999999999999E-2</v>
      </c>
      <c r="E57">
        <v>9.9000000000000008E-3</v>
      </c>
      <c r="F57">
        <f t="shared" si="2"/>
        <v>553.57198000000005</v>
      </c>
      <c r="G57">
        <f t="shared" si="3"/>
        <v>-0.67530000000000001</v>
      </c>
      <c r="H57">
        <f t="shared" si="4"/>
        <v>-373.82715809400008</v>
      </c>
      <c r="I57">
        <v>1</v>
      </c>
      <c r="J57">
        <f t="shared" si="5"/>
        <v>-0.59136349012146672</v>
      </c>
      <c r="K57">
        <f t="shared" si="6"/>
        <v>-0.54642515177521744</v>
      </c>
      <c r="L57">
        <v>1</v>
      </c>
      <c r="M57">
        <f t="shared" si="7"/>
        <v>0.44285109787021815</v>
      </c>
      <c r="N57">
        <f t="shared" si="13"/>
        <v>4.1517898500000004E-2</v>
      </c>
      <c r="O57">
        <f t="shared" si="11"/>
        <v>2.7401813010000005E-2</v>
      </c>
      <c r="P57">
        <f t="shared" si="12"/>
        <v>3.4654342394999288E-2</v>
      </c>
      <c r="V57">
        <v>-0.70000000000002005</v>
      </c>
      <c r="W57">
        <f t="shared" si="9"/>
        <v>-0.43767999999999901</v>
      </c>
    </row>
    <row r="58" spans="1:23" x14ac:dyDescent="0.3">
      <c r="A58">
        <v>2.8187783</v>
      </c>
      <c r="B58">
        <v>0.67174999999999996</v>
      </c>
      <c r="C58">
        <f t="shared" si="1"/>
        <v>1.8935143230249998</v>
      </c>
      <c r="D58">
        <v>1.4999999999999999E-2</v>
      </c>
      <c r="E58">
        <v>9.9000000000000008E-3</v>
      </c>
      <c r="F58">
        <f t="shared" si="2"/>
        <v>563.75566000000003</v>
      </c>
      <c r="G58">
        <f t="shared" si="3"/>
        <v>-0.67174999999999996</v>
      </c>
      <c r="H58">
        <f t="shared" si="4"/>
        <v>-378.70286460499995</v>
      </c>
      <c r="I58">
        <v>1</v>
      </c>
      <c r="J58">
        <f t="shared" si="5"/>
        <v>-0.57313434830434029</v>
      </c>
      <c r="K58">
        <f t="shared" si="6"/>
        <v>-0.5499751517752175</v>
      </c>
      <c r="L58">
        <v>1</v>
      </c>
      <c r="M58">
        <f t="shared" si="7"/>
        <v>0.44371880502071337</v>
      </c>
      <c r="N58">
        <f t="shared" si="13"/>
        <v>4.2281674499999998E-2</v>
      </c>
      <c r="O58">
        <f t="shared" si="11"/>
        <v>2.7905905170000002E-2</v>
      </c>
      <c r="P58">
        <f t="shared" si="12"/>
        <v>3.6068767084504121E-2</v>
      </c>
      <c r="V58">
        <v>-0.60000000000001996</v>
      </c>
      <c r="W58">
        <f t="shared" si="9"/>
        <v>-0.442439999999999</v>
      </c>
    </row>
    <row r="59" spans="1:23" x14ac:dyDescent="0.3">
      <c r="A59">
        <v>2.8737699999999999</v>
      </c>
      <c r="B59">
        <v>0.66869000000000001</v>
      </c>
      <c r="C59">
        <f t="shared" si="1"/>
        <v>1.9216612612999999</v>
      </c>
      <c r="D59">
        <v>1.4999999999999999E-2</v>
      </c>
      <c r="E59">
        <v>9.9000000000000008E-3</v>
      </c>
      <c r="F59">
        <f t="shared" si="2"/>
        <v>574.75400000000002</v>
      </c>
      <c r="G59">
        <f t="shared" si="3"/>
        <v>-0.66869000000000001</v>
      </c>
      <c r="H59">
        <f t="shared" si="4"/>
        <v>-384.33225225999996</v>
      </c>
      <c r="I59">
        <v>1</v>
      </c>
      <c r="J59">
        <f t="shared" si="5"/>
        <v>-0.55381315581543433</v>
      </c>
      <c r="K59">
        <f t="shared" si="6"/>
        <v>-0.55303515177521745</v>
      </c>
      <c r="L59">
        <v>1</v>
      </c>
      <c r="M59">
        <f t="shared" si="7"/>
        <v>0.44463849378318532</v>
      </c>
      <c r="N59">
        <f t="shared" si="13"/>
        <v>4.310655E-2</v>
      </c>
      <c r="O59">
        <f t="shared" si="11"/>
        <v>2.8450323000000003E-2</v>
      </c>
      <c r="P59">
        <f t="shared" si="12"/>
        <v>3.6839784992032137E-2</v>
      </c>
      <c r="V59">
        <v>-0.50000000000001998</v>
      </c>
      <c r="W59">
        <f t="shared" si="9"/>
        <v>-0.44719999999999904</v>
      </c>
    </row>
    <row r="60" spans="1:23" x14ac:dyDescent="0.3">
      <c r="A60">
        <v>2.9267249</v>
      </c>
      <c r="B60">
        <v>0.66532999999999998</v>
      </c>
      <c r="C60">
        <f t="shared" si="1"/>
        <v>1.9472378777169999</v>
      </c>
      <c r="D60">
        <v>1.4999999999999999E-2</v>
      </c>
      <c r="E60">
        <v>9.9000000000000008E-3</v>
      </c>
      <c r="F60">
        <f t="shared" si="2"/>
        <v>585.34497999999996</v>
      </c>
      <c r="G60">
        <f t="shared" si="3"/>
        <v>-0.66532999999999998</v>
      </c>
      <c r="H60">
        <f t="shared" si="4"/>
        <v>-389.44757554339998</v>
      </c>
      <c r="I60">
        <v>1</v>
      </c>
      <c r="J60">
        <f t="shared" si="5"/>
        <v>-0.53555389615883198</v>
      </c>
      <c r="K60">
        <f t="shared" si="6"/>
        <v>-0.55639515177521748</v>
      </c>
      <c r="L60">
        <v>1</v>
      </c>
      <c r="M60">
        <f t="shared" si="7"/>
        <v>0.44550763454283959</v>
      </c>
      <c r="N60">
        <f t="shared" si="13"/>
        <v>4.39008735E-2</v>
      </c>
      <c r="O60">
        <f t="shared" si="11"/>
        <v>2.8974576510000002E-2</v>
      </c>
      <c r="P60">
        <f t="shared" si="12"/>
        <v>3.801206722237789E-2</v>
      </c>
      <c r="V60">
        <v>-0.40000000000002001</v>
      </c>
      <c r="W60">
        <f t="shared" si="9"/>
        <v>-0.45195999999999903</v>
      </c>
    </row>
    <row r="61" spans="1:23" x14ac:dyDescent="0.3">
      <c r="A61">
        <v>2.9776435999999999</v>
      </c>
      <c r="B61">
        <v>0.66234999999999999</v>
      </c>
      <c r="C61">
        <f t="shared" si="1"/>
        <v>1.97224223846</v>
      </c>
      <c r="D61">
        <v>1.4999999999999999E-2</v>
      </c>
      <c r="E61">
        <v>9.9000000000000008E-3</v>
      </c>
      <c r="F61">
        <f t="shared" si="2"/>
        <v>595.52872000000002</v>
      </c>
      <c r="G61">
        <f t="shared" si="3"/>
        <v>-0.66234999999999999</v>
      </c>
      <c r="H61">
        <f t="shared" si="4"/>
        <v>-394.448447692</v>
      </c>
      <c r="I61">
        <v>1</v>
      </c>
      <c r="J61">
        <f t="shared" si="5"/>
        <v>-0.51830566297022018</v>
      </c>
      <c r="K61">
        <f t="shared" si="6"/>
        <v>-0.55937515177521746</v>
      </c>
      <c r="L61">
        <v>1</v>
      </c>
      <c r="M61">
        <f t="shared" si="7"/>
        <v>0.44632865044261749</v>
      </c>
      <c r="N61">
        <f t="shared" si="13"/>
        <v>4.4664653999999998E-2</v>
      </c>
      <c r="O61">
        <f t="shared" si="11"/>
        <v>2.9478671640000002E-2</v>
      </c>
      <c r="P61">
        <f t="shared" si="12"/>
        <v>3.8903175692599969E-2</v>
      </c>
      <c r="V61">
        <v>-0.30000000000001997</v>
      </c>
      <c r="W61">
        <f t="shared" si="9"/>
        <v>-0.45671999999999902</v>
      </c>
    </row>
    <row r="62" spans="1:23" x14ac:dyDescent="0.3">
      <c r="A62">
        <v>3.0290708</v>
      </c>
      <c r="B62">
        <v>0.65907000000000004</v>
      </c>
      <c r="C62">
        <f t="shared" si="1"/>
        <v>1.9963696921560001</v>
      </c>
      <c r="D62">
        <v>1.4999999999999999E-2</v>
      </c>
      <c r="E62">
        <v>9.9000000000000008E-3</v>
      </c>
      <c r="F62">
        <f t="shared" si="2"/>
        <v>605.81416000000002</v>
      </c>
      <c r="G62">
        <f t="shared" si="3"/>
        <v>-0.65907000000000004</v>
      </c>
      <c r="H62">
        <f t="shared" si="4"/>
        <v>-399.27393843120001</v>
      </c>
      <c r="I62">
        <v>1</v>
      </c>
      <c r="J62">
        <f t="shared" si="5"/>
        <v>-0.50118200661132717</v>
      </c>
      <c r="K62">
        <f t="shared" si="6"/>
        <v>-0.56265515177521741</v>
      </c>
      <c r="L62">
        <v>1</v>
      </c>
      <c r="M62">
        <f t="shared" si="7"/>
        <v>0.44714373648530081</v>
      </c>
      <c r="N62">
        <f t="shared" si="13"/>
        <v>4.5436061999999999E-2</v>
      </c>
      <c r="O62">
        <f t="shared" si="11"/>
        <v>2.9987800920000002E-2</v>
      </c>
      <c r="P62">
        <f t="shared" si="12"/>
        <v>4.0087552369916596E-2</v>
      </c>
      <c r="V62">
        <v>-0.20000000000002</v>
      </c>
      <c r="W62">
        <f t="shared" si="9"/>
        <v>-0.461479999999999</v>
      </c>
    </row>
    <row r="63" spans="1:23" x14ac:dyDescent="0.3">
      <c r="A63">
        <v>3.0804982999999999</v>
      </c>
      <c r="B63">
        <v>0.65602000000000005</v>
      </c>
      <c r="C63">
        <f t="shared" si="1"/>
        <v>2.0208684947660003</v>
      </c>
      <c r="D63">
        <v>1.4999999999999999E-2</v>
      </c>
      <c r="E63">
        <v>9.9000000000000008E-3</v>
      </c>
      <c r="F63">
        <f t="shared" si="2"/>
        <v>616.09965999999997</v>
      </c>
      <c r="G63">
        <f t="shared" si="3"/>
        <v>-0.65602000000000005</v>
      </c>
      <c r="H63">
        <f t="shared" si="4"/>
        <v>-404.17369895320007</v>
      </c>
      <c r="I63">
        <v>1</v>
      </c>
      <c r="J63">
        <f t="shared" si="5"/>
        <v>-0.48434654282022893</v>
      </c>
      <c r="K63">
        <f t="shared" si="6"/>
        <v>-0.56570515177521741</v>
      </c>
      <c r="L63">
        <v>1</v>
      </c>
      <c r="M63">
        <f t="shared" si="7"/>
        <v>0.44794510456175707</v>
      </c>
      <c r="N63">
        <f t="shared" si="13"/>
        <v>4.6207474499999998E-2</v>
      </c>
      <c r="O63">
        <f t="shared" si="11"/>
        <v>3.0496933170000001E-2</v>
      </c>
      <c r="P63">
        <f t="shared" si="12"/>
        <v>4.1055639543460337E-2</v>
      </c>
      <c r="V63">
        <v>-0.10000000000002</v>
      </c>
      <c r="W63">
        <f t="shared" si="9"/>
        <v>-0.46623999999999904</v>
      </c>
    </row>
    <row r="64" spans="1:23" x14ac:dyDescent="0.3">
      <c r="A64">
        <v>3.1314165000000003</v>
      </c>
      <c r="B64">
        <v>0.65275000000000005</v>
      </c>
      <c r="C64">
        <f t="shared" si="1"/>
        <v>2.0440321203750003</v>
      </c>
      <c r="D64">
        <v>1.4999999999999999E-2</v>
      </c>
      <c r="E64">
        <v>9.9000000000000008E-3</v>
      </c>
      <c r="F64">
        <f t="shared" si="2"/>
        <v>626.28330000000005</v>
      </c>
      <c r="G64">
        <f t="shared" si="3"/>
        <v>-0.65275000000000005</v>
      </c>
      <c r="H64">
        <f t="shared" si="4"/>
        <v>-408.80642407500005</v>
      </c>
      <c r="I64">
        <v>1</v>
      </c>
      <c r="J64">
        <f t="shared" si="5"/>
        <v>-0.46795245434403626</v>
      </c>
      <c r="K64">
        <f t="shared" si="6"/>
        <v>-0.5689751517752174</v>
      </c>
      <c r="L64">
        <v>1</v>
      </c>
      <c r="M64">
        <f t="shared" si="7"/>
        <v>0.44872546317322387</v>
      </c>
      <c r="N64">
        <f t="shared" si="13"/>
        <v>4.69712475E-2</v>
      </c>
      <c r="O64">
        <f t="shared" si="11"/>
        <v>3.1001023350000004E-2</v>
      </c>
      <c r="P64">
        <f t="shared" si="12"/>
        <v>4.2277417751993521E-2</v>
      </c>
      <c r="V64">
        <v>-2.0428103653102899E-14</v>
      </c>
      <c r="W64">
        <f t="shared" si="9"/>
        <v>-0.47099999999999898</v>
      </c>
    </row>
    <row r="65" spans="1:23" x14ac:dyDescent="0.3">
      <c r="A65">
        <v>3.1828440000000002</v>
      </c>
      <c r="B65">
        <v>0.64932999999999996</v>
      </c>
      <c r="C65">
        <f t="shared" si="1"/>
        <v>2.0667160945199998</v>
      </c>
      <c r="D65">
        <v>1.4999999999999999E-2</v>
      </c>
      <c r="E65">
        <v>9.9000000000000008E-3</v>
      </c>
      <c r="F65">
        <f t="shared" si="2"/>
        <v>636.56880000000001</v>
      </c>
      <c r="G65">
        <f t="shared" si="3"/>
        <v>-0.64932999999999996</v>
      </c>
      <c r="H65">
        <f t="shared" si="4"/>
        <v>-413.34321890399997</v>
      </c>
      <c r="I65">
        <v>1</v>
      </c>
      <c r="J65">
        <f t="shared" si="5"/>
        <v>-0.45166277570276958</v>
      </c>
      <c r="K65">
        <f t="shared" si="6"/>
        <v>-0.57239515177521749</v>
      </c>
      <c r="L65">
        <v>1</v>
      </c>
      <c r="M65">
        <f t="shared" si="7"/>
        <v>0.44950085187654815</v>
      </c>
      <c r="N65">
        <f t="shared" si="13"/>
        <v>4.7742659999999999E-2</v>
      </c>
      <c r="O65">
        <f t="shared" si="11"/>
        <v>3.1510155600000006E-2</v>
      </c>
      <c r="P65">
        <f t="shared" si="12"/>
        <v>4.3641484298669347E-2</v>
      </c>
      <c r="V65">
        <v>9.9999999999980105E-2</v>
      </c>
      <c r="W65">
        <f t="shared" si="9"/>
        <v>-0.47575999999999902</v>
      </c>
    </row>
    <row r="66" spans="1:23" x14ac:dyDescent="0.3">
      <c r="A66">
        <v>3.2347807999999998</v>
      </c>
      <c r="B66">
        <v>0.64629999999999999</v>
      </c>
      <c r="C66">
        <f t="shared" si="1"/>
        <v>2.0906388310399997</v>
      </c>
      <c r="D66">
        <v>1.4999999999999999E-2</v>
      </c>
      <c r="E66">
        <v>9.9000000000000008E-3</v>
      </c>
      <c r="F66">
        <f t="shared" si="2"/>
        <v>646.95615999999995</v>
      </c>
      <c r="G66">
        <f t="shared" si="3"/>
        <v>-0.64629999999999999</v>
      </c>
      <c r="H66">
        <f t="shared" si="4"/>
        <v>-418.12776620799991</v>
      </c>
      <c r="I66">
        <v>1</v>
      </c>
      <c r="J66">
        <f t="shared" si="5"/>
        <v>-0.43547674566414513</v>
      </c>
      <c r="K66">
        <f t="shared" si="6"/>
        <v>-0.57542515177521747</v>
      </c>
      <c r="L66">
        <v>1</v>
      </c>
      <c r="M66">
        <f t="shared" si="7"/>
        <v>0.45027130690638667</v>
      </c>
      <c r="N66">
        <f t="shared" si="13"/>
        <v>4.8521711999999995E-2</v>
      </c>
      <c r="O66">
        <f t="shared" si="11"/>
        <v>3.2024329920000004E-2</v>
      </c>
      <c r="P66">
        <f t="shared" si="12"/>
        <v>4.4607802948830801E-2</v>
      </c>
      <c r="V66">
        <v>0.19999999999998</v>
      </c>
      <c r="W66">
        <f t="shared" si="9"/>
        <v>-0.480519999999999</v>
      </c>
    </row>
    <row r="67" spans="1:23" x14ac:dyDescent="0.3">
      <c r="A67">
        <v>3.2882450999999997</v>
      </c>
      <c r="B67">
        <v>0.64290000000000003</v>
      </c>
      <c r="C67">
        <f t="shared" si="1"/>
        <v>2.1140127747899999</v>
      </c>
      <c r="D67">
        <v>1.4999999999999999E-2</v>
      </c>
      <c r="E67">
        <v>9.9000000000000008E-3</v>
      </c>
      <c r="F67">
        <f t="shared" si="2"/>
        <v>657.64901999999995</v>
      </c>
      <c r="G67">
        <f t="shared" si="3"/>
        <v>-0.64290000000000003</v>
      </c>
      <c r="H67">
        <f t="shared" si="4"/>
        <v>-422.80255495799997</v>
      </c>
      <c r="I67">
        <v>1</v>
      </c>
      <c r="J67">
        <f t="shared" si="5"/>
        <v>-0.41908389422279724</v>
      </c>
      <c r="K67">
        <f t="shared" si="6"/>
        <v>-0.57882515177521743</v>
      </c>
      <c r="L67">
        <v>1</v>
      </c>
      <c r="M67">
        <f t="shared" si="7"/>
        <v>0.45105160663499483</v>
      </c>
      <c r="N67">
        <f t="shared" si="13"/>
        <v>4.9323676499999997E-2</v>
      </c>
      <c r="O67">
        <f t="shared" si="11"/>
        <v>3.2553626490000001E-2</v>
      </c>
      <c r="P67">
        <f t="shared" si="12"/>
        <v>4.5896242150222602E-2</v>
      </c>
      <c r="V67">
        <v>0.29999999999998</v>
      </c>
      <c r="W67">
        <f t="shared" si="9"/>
        <v>-0.48527999999999905</v>
      </c>
    </row>
    <row r="68" spans="1:23" x14ac:dyDescent="0.3">
      <c r="A68">
        <v>3.3401819000000001</v>
      </c>
      <c r="B68">
        <v>0.63973000000000002</v>
      </c>
      <c r="C68">
        <f t="shared" si="1"/>
        <v>2.1368145668870002</v>
      </c>
      <c r="D68">
        <v>1.4999999999999999E-2</v>
      </c>
      <c r="E68">
        <v>9.9000000000000008E-3</v>
      </c>
      <c r="F68">
        <f t="shared" si="2"/>
        <v>668.03638000000001</v>
      </c>
      <c r="G68">
        <f t="shared" si="3"/>
        <v>-0.63973000000000002</v>
      </c>
      <c r="H68">
        <f t="shared" si="4"/>
        <v>-427.36291337740005</v>
      </c>
      <c r="I68">
        <v>1</v>
      </c>
      <c r="J68">
        <f t="shared" si="5"/>
        <v>-0.40341264585059772</v>
      </c>
      <c r="K68">
        <f t="shared" si="6"/>
        <v>-0.58199515177521743</v>
      </c>
      <c r="L68">
        <v>1</v>
      </c>
      <c r="M68">
        <f t="shared" si="7"/>
        <v>0.45179755805751154</v>
      </c>
      <c r="N68">
        <f t="shared" si="13"/>
        <v>5.0102728499999999E-2</v>
      </c>
      <c r="O68">
        <f t="shared" si="11"/>
        <v>3.3067800810000006E-2</v>
      </c>
      <c r="P68">
        <f t="shared" si="12"/>
        <v>4.702706440770589E-2</v>
      </c>
      <c r="V68">
        <v>0.39999999999997998</v>
      </c>
      <c r="W68">
        <f t="shared" si="9"/>
        <v>-0.49003999999999903</v>
      </c>
    </row>
    <row r="69" spans="1:23" x14ac:dyDescent="0.3">
      <c r="A69">
        <v>3.3911001000000001</v>
      </c>
      <c r="B69">
        <v>0.63599000000000006</v>
      </c>
      <c r="C69">
        <f t="shared" ref="C69:C132" si="14">A69*B69</f>
        <v>2.1567057525990001</v>
      </c>
      <c r="D69">
        <v>1.4999999999999999E-2</v>
      </c>
      <c r="E69">
        <v>9.9000000000000008E-3</v>
      </c>
      <c r="F69">
        <f t="shared" ref="F69:F132" si="15">A69*200</f>
        <v>678.22001999999998</v>
      </c>
      <c r="G69">
        <f t="shared" ref="G69:G132" si="16">-B69</f>
        <v>-0.63599000000000006</v>
      </c>
      <c r="H69">
        <f t="shared" ref="H69:H132" si="17">-C69*200</f>
        <v>-431.34115051980001</v>
      </c>
      <c r="I69">
        <v>1</v>
      </c>
      <c r="J69">
        <f t="shared" ref="J69:J132" si="18">LN(F69/1000)</f>
        <v>-0.38828353041044933</v>
      </c>
      <c r="K69">
        <f t="shared" ref="K69:K132" si="19">((-G69)-$N$2)</f>
        <v>-0.5857351517752174</v>
      </c>
      <c r="L69">
        <v>1</v>
      </c>
      <c r="M69">
        <f t="shared" ref="M69:M132" si="20">-1*($S$4+($S$5*J69))</f>
        <v>0.4525177039524626</v>
      </c>
      <c r="N69">
        <f t="shared" si="13"/>
        <v>5.0866501500000001E-2</v>
      </c>
      <c r="O69">
        <f t="shared" si="11"/>
        <v>3.3571890990000006E-2</v>
      </c>
      <c r="P69">
        <f t="shared" si="12"/>
        <v>4.8779055332754798E-2</v>
      </c>
      <c r="V69">
        <v>0.49999999999998002</v>
      </c>
      <c r="W69">
        <f t="shared" ref="W69:W132" si="21">V69*$S$5+$S$4</f>
        <v>-0.49479999999999902</v>
      </c>
    </row>
    <row r="70" spans="1:23" x14ac:dyDescent="0.3">
      <c r="A70">
        <v>3.4420185999999999</v>
      </c>
      <c r="B70">
        <v>0.63285999999999998</v>
      </c>
      <c r="C70">
        <f t="shared" si="14"/>
        <v>2.1783158911959997</v>
      </c>
      <c r="D70">
        <v>1.4999999999999999E-2</v>
      </c>
      <c r="E70">
        <v>9.9000000000000008E-3</v>
      </c>
      <c r="F70">
        <f t="shared" si="15"/>
        <v>688.40372000000002</v>
      </c>
      <c r="G70">
        <f t="shared" si="16"/>
        <v>-0.63285999999999998</v>
      </c>
      <c r="H70">
        <f t="shared" si="17"/>
        <v>-435.66317823919991</v>
      </c>
      <c r="I70">
        <v>1</v>
      </c>
      <c r="J70">
        <f t="shared" si="18"/>
        <v>-0.3733798108243736</v>
      </c>
      <c r="K70">
        <f t="shared" si="19"/>
        <v>-0.58886515177521748</v>
      </c>
      <c r="L70">
        <v>1</v>
      </c>
      <c r="M70">
        <f t="shared" si="20"/>
        <v>0.45322712100475981</v>
      </c>
      <c r="N70">
        <f t="shared" si="13"/>
        <v>5.1630278999999994E-2</v>
      </c>
      <c r="O70">
        <f t="shared" ref="O70:O133" si="22">E70*A70</f>
        <v>3.4075984140000001E-2</v>
      </c>
      <c r="P70">
        <f t="shared" ref="P70:P133" si="23">-K70-M70-N70-O70</f>
        <v>4.993176763045766E-2</v>
      </c>
      <c r="V70">
        <v>0.59999999999997999</v>
      </c>
      <c r="W70">
        <f t="shared" si="21"/>
        <v>-0.499559999999999</v>
      </c>
    </row>
    <row r="71" spans="1:23" x14ac:dyDescent="0.3">
      <c r="A71">
        <v>3.492937</v>
      </c>
      <c r="B71">
        <v>0.62965000000000004</v>
      </c>
      <c r="C71">
        <f t="shared" si="14"/>
        <v>2.1993277820500001</v>
      </c>
      <c r="D71">
        <v>1.4999999999999999E-2</v>
      </c>
      <c r="E71">
        <v>9.9000000000000008E-3</v>
      </c>
      <c r="F71">
        <f t="shared" si="15"/>
        <v>698.5874</v>
      </c>
      <c r="G71">
        <f t="shared" si="16"/>
        <v>-0.62965000000000004</v>
      </c>
      <c r="H71">
        <f t="shared" si="17"/>
        <v>-439.86555641000001</v>
      </c>
      <c r="I71">
        <v>1</v>
      </c>
      <c r="J71">
        <f t="shared" si="18"/>
        <v>-0.3586949828442017</v>
      </c>
      <c r="K71">
        <f t="shared" si="19"/>
        <v>-0.59207515177521741</v>
      </c>
      <c r="L71">
        <v>1</v>
      </c>
      <c r="M71">
        <f t="shared" si="20"/>
        <v>0.45392611881661599</v>
      </c>
      <c r="N71">
        <f t="shared" ref="N71:N134" si="24">D71*A71</f>
        <v>5.2394054999999995E-2</v>
      </c>
      <c r="O71">
        <f t="shared" si="22"/>
        <v>3.4580076300000005E-2</v>
      </c>
      <c r="P71">
        <f t="shared" si="23"/>
        <v>5.1174901658601425E-2</v>
      </c>
      <c r="V71">
        <v>0.69999999999997997</v>
      </c>
      <c r="W71">
        <f t="shared" si="21"/>
        <v>-0.50431999999999899</v>
      </c>
    </row>
    <row r="72" spans="1:23" x14ac:dyDescent="0.3">
      <c r="A72">
        <v>3.5453823</v>
      </c>
      <c r="B72">
        <v>0.62617</v>
      </c>
      <c r="C72">
        <f t="shared" si="14"/>
        <v>2.220012034791</v>
      </c>
      <c r="D72">
        <v>1.4999999999999999E-2</v>
      </c>
      <c r="E72">
        <v>9.9000000000000008E-3</v>
      </c>
      <c r="F72">
        <f t="shared" si="15"/>
        <v>709.07646</v>
      </c>
      <c r="G72">
        <f t="shared" si="16"/>
        <v>-0.62617</v>
      </c>
      <c r="H72">
        <f t="shared" si="17"/>
        <v>-444.00240695819997</v>
      </c>
      <c r="I72">
        <v>1</v>
      </c>
      <c r="J72">
        <f t="shared" si="18"/>
        <v>-0.34379191623351368</v>
      </c>
      <c r="K72">
        <f t="shared" si="19"/>
        <v>-0.59555515177521745</v>
      </c>
      <c r="L72">
        <v>1</v>
      </c>
      <c r="M72">
        <f t="shared" si="20"/>
        <v>0.45463550478728471</v>
      </c>
      <c r="N72">
        <f t="shared" si="24"/>
        <v>5.31807345E-2</v>
      </c>
      <c r="O72">
        <f t="shared" si="22"/>
        <v>3.5099284770000003E-2</v>
      </c>
      <c r="P72">
        <f t="shared" si="23"/>
        <v>5.2639627717932749E-2</v>
      </c>
      <c r="V72">
        <v>0.79999999999997995</v>
      </c>
      <c r="W72">
        <f t="shared" si="21"/>
        <v>-0.50907999999999898</v>
      </c>
    </row>
    <row r="73" spans="1:23" x14ac:dyDescent="0.3">
      <c r="A73">
        <v>3.5968103</v>
      </c>
      <c r="B73">
        <v>0.62285000000000001</v>
      </c>
      <c r="C73">
        <f t="shared" si="14"/>
        <v>2.2402732953550002</v>
      </c>
      <c r="D73">
        <v>1.4999999999999999E-2</v>
      </c>
      <c r="E73">
        <v>9.9000000000000008E-3</v>
      </c>
      <c r="F73">
        <f t="shared" si="15"/>
        <v>719.36206000000004</v>
      </c>
      <c r="G73">
        <f t="shared" si="16"/>
        <v>-0.62285000000000001</v>
      </c>
      <c r="H73">
        <f t="shared" si="17"/>
        <v>-448.05465907100006</v>
      </c>
      <c r="I73">
        <v>1</v>
      </c>
      <c r="J73">
        <f t="shared" si="18"/>
        <v>-0.32939048750443678</v>
      </c>
      <c r="K73">
        <f t="shared" si="19"/>
        <v>-0.59887515177521744</v>
      </c>
      <c r="L73">
        <v>1</v>
      </c>
      <c r="M73">
        <f t="shared" si="20"/>
        <v>0.45532101279478876</v>
      </c>
      <c r="N73">
        <f t="shared" si="24"/>
        <v>5.3952154499999995E-2</v>
      </c>
      <c r="O73">
        <f t="shared" si="22"/>
        <v>3.5608421970000005E-2</v>
      </c>
      <c r="P73">
        <f t="shared" si="23"/>
        <v>5.3993562510428687E-2</v>
      </c>
      <c r="V73">
        <v>0.89999999999998004</v>
      </c>
      <c r="W73">
        <f t="shared" si="21"/>
        <v>-0.51383999999999908</v>
      </c>
    </row>
    <row r="74" spans="1:23" x14ac:dyDescent="0.3">
      <c r="A74">
        <v>3.6497654000000002</v>
      </c>
      <c r="B74">
        <v>0.61953000000000003</v>
      </c>
      <c r="C74">
        <f t="shared" si="14"/>
        <v>2.2611391582620004</v>
      </c>
      <c r="D74">
        <v>1.4999999999999999E-2</v>
      </c>
      <c r="E74">
        <v>9.9000000000000008E-3</v>
      </c>
      <c r="F74">
        <f t="shared" si="15"/>
        <v>729.95308</v>
      </c>
      <c r="G74">
        <f t="shared" si="16"/>
        <v>-0.61953000000000003</v>
      </c>
      <c r="H74">
        <f t="shared" si="17"/>
        <v>-452.22783165240008</v>
      </c>
      <c r="I74">
        <v>1</v>
      </c>
      <c r="J74">
        <f t="shared" si="18"/>
        <v>-0.31477502087796322</v>
      </c>
      <c r="K74">
        <f t="shared" si="19"/>
        <v>-0.60219515177521743</v>
      </c>
      <c r="L74">
        <v>1</v>
      </c>
      <c r="M74">
        <f t="shared" si="20"/>
        <v>0.45601670900620894</v>
      </c>
      <c r="N74">
        <f t="shared" si="24"/>
        <v>5.4746481E-2</v>
      </c>
      <c r="O74">
        <f t="shared" si="22"/>
        <v>3.6132677460000005E-2</v>
      </c>
      <c r="P74">
        <f t="shared" si="23"/>
        <v>5.5299284309008483E-2</v>
      </c>
      <c r="V74">
        <v>0.99999999999998002</v>
      </c>
      <c r="W74">
        <f t="shared" si="21"/>
        <v>-0.51859999999999906</v>
      </c>
    </row>
    <row r="75" spans="1:23" x14ac:dyDescent="0.3">
      <c r="A75">
        <v>3.7006835999999996</v>
      </c>
      <c r="B75">
        <v>0.61585999999999996</v>
      </c>
      <c r="C75">
        <f t="shared" si="14"/>
        <v>2.2791030018959995</v>
      </c>
      <c r="D75">
        <v>1.4999999999999999E-2</v>
      </c>
      <c r="E75">
        <v>9.9000000000000008E-3</v>
      </c>
      <c r="F75">
        <f t="shared" si="15"/>
        <v>740.13671999999997</v>
      </c>
      <c r="G75">
        <f t="shared" si="16"/>
        <v>-0.61585999999999996</v>
      </c>
      <c r="H75">
        <f t="shared" si="17"/>
        <v>-455.8206003791999</v>
      </c>
      <c r="I75">
        <v>1</v>
      </c>
      <c r="J75">
        <f t="shared" si="18"/>
        <v>-0.30092035309259252</v>
      </c>
      <c r="K75">
        <f t="shared" si="19"/>
        <v>-0.60586515177521749</v>
      </c>
      <c r="L75">
        <v>1</v>
      </c>
      <c r="M75">
        <f t="shared" si="20"/>
        <v>0.45667619119279257</v>
      </c>
      <c r="N75">
        <f t="shared" si="24"/>
        <v>5.5510253999999995E-2</v>
      </c>
      <c r="O75">
        <f t="shared" si="22"/>
        <v>3.6636767639999998E-2</v>
      </c>
      <c r="P75">
        <f t="shared" si="23"/>
        <v>5.704193894242493E-2</v>
      </c>
      <c r="V75">
        <v>1.0999999999999699</v>
      </c>
      <c r="W75">
        <f t="shared" si="21"/>
        <v>-0.52335999999999849</v>
      </c>
    </row>
    <row r="76" spans="1:23" x14ac:dyDescent="0.3">
      <c r="A76">
        <v>3.7516018000000004</v>
      </c>
      <c r="B76">
        <v>0.61262000000000005</v>
      </c>
      <c r="C76">
        <f t="shared" si="14"/>
        <v>2.2983062947160007</v>
      </c>
      <c r="D76">
        <v>1.4999999999999999E-2</v>
      </c>
      <c r="E76">
        <v>9.9000000000000008E-3</v>
      </c>
      <c r="F76">
        <f t="shared" si="15"/>
        <v>750.32036000000005</v>
      </c>
      <c r="G76">
        <f t="shared" si="16"/>
        <v>-0.61262000000000005</v>
      </c>
      <c r="H76">
        <f t="shared" si="17"/>
        <v>-459.66125894320015</v>
      </c>
      <c r="I76">
        <v>1</v>
      </c>
      <c r="J76">
        <f t="shared" si="18"/>
        <v>-0.28725501698628175</v>
      </c>
      <c r="K76">
        <f t="shared" si="19"/>
        <v>-0.6091051517752174</v>
      </c>
      <c r="L76">
        <v>1</v>
      </c>
      <c r="M76">
        <f t="shared" si="20"/>
        <v>0.45732666119145299</v>
      </c>
      <c r="N76">
        <f t="shared" si="24"/>
        <v>5.6274027000000004E-2</v>
      </c>
      <c r="O76">
        <f t="shared" si="22"/>
        <v>3.7140857820000005E-2</v>
      </c>
      <c r="P76">
        <f t="shared" si="23"/>
        <v>5.8363605763764405E-2</v>
      </c>
      <c r="V76">
        <v>1.19999999999997</v>
      </c>
      <c r="W76">
        <f t="shared" si="21"/>
        <v>-0.52811999999999859</v>
      </c>
    </row>
    <row r="77" spans="1:23" x14ac:dyDescent="0.3">
      <c r="A77">
        <v>3.8071028</v>
      </c>
      <c r="B77">
        <v>0.60882000000000003</v>
      </c>
      <c r="C77">
        <f t="shared" si="14"/>
        <v>2.3178403266959999</v>
      </c>
      <c r="D77">
        <v>1.4999999999999999E-2</v>
      </c>
      <c r="E77">
        <v>9.9000000000000008E-3</v>
      </c>
      <c r="F77">
        <f t="shared" si="15"/>
        <v>761.42056000000002</v>
      </c>
      <c r="G77">
        <f t="shared" si="16"/>
        <v>-0.60882000000000003</v>
      </c>
      <c r="H77">
        <f t="shared" si="17"/>
        <v>-463.56806533919996</v>
      </c>
      <c r="I77">
        <v>1</v>
      </c>
      <c r="J77">
        <f t="shared" si="18"/>
        <v>-0.27256943250889726</v>
      </c>
      <c r="K77">
        <f t="shared" si="19"/>
        <v>-0.61290515177521743</v>
      </c>
      <c r="L77">
        <v>1</v>
      </c>
      <c r="M77">
        <f t="shared" si="20"/>
        <v>0.45802569501257645</v>
      </c>
      <c r="N77">
        <f t="shared" si="24"/>
        <v>5.7106541999999996E-2</v>
      </c>
      <c r="O77">
        <f t="shared" si="22"/>
        <v>3.7690317720000005E-2</v>
      </c>
      <c r="P77">
        <f t="shared" si="23"/>
        <v>6.0082597042640976E-2</v>
      </c>
      <c r="V77">
        <v>1.2999999999999701</v>
      </c>
      <c r="W77">
        <f t="shared" si="21"/>
        <v>-0.53287999999999858</v>
      </c>
    </row>
    <row r="78" spans="1:23" x14ac:dyDescent="0.3">
      <c r="A78">
        <v>3.8590396</v>
      </c>
      <c r="B78">
        <v>0.60480999999999996</v>
      </c>
      <c r="C78">
        <f t="shared" si="14"/>
        <v>2.3339857404759998</v>
      </c>
      <c r="D78">
        <v>1.4999999999999999E-2</v>
      </c>
      <c r="E78">
        <v>9.9000000000000008E-3</v>
      </c>
      <c r="F78">
        <f t="shared" si="15"/>
        <v>771.80791999999997</v>
      </c>
      <c r="G78">
        <f t="shared" si="16"/>
        <v>-0.60480999999999996</v>
      </c>
      <c r="H78">
        <f t="shared" si="17"/>
        <v>-466.79714809519999</v>
      </c>
      <c r="I78">
        <v>1</v>
      </c>
      <c r="J78">
        <f t="shared" si="18"/>
        <v>-0.25901956820543415</v>
      </c>
      <c r="K78">
        <f t="shared" si="19"/>
        <v>-0.6169151517752175</v>
      </c>
      <c r="L78">
        <v>1</v>
      </c>
      <c r="M78">
        <f t="shared" si="20"/>
        <v>0.45867066855342131</v>
      </c>
      <c r="N78">
        <f t="shared" si="24"/>
        <v>5.7885593999999999E-2</v>
      </c>
      <c r="O78">
        <f t="shared" si="22"/>
        <v>3.8204492040000003E-2</v>
      </c>
      <c r="P78">
        <f t="shared" si="23"/>
        <v>6.2154397181796182E-2</v>
      </c>
      <c r="V78">
        <v>1.3999999999999699</v>
      </c>
      <c r="W78">
        <f t="shared" si="21"/>
        <v>-0.53763999999999856</v>
      </c>
    </row>
    <row r="79" spans="1:23" x14ac:dyDescent="0.3">
      <c r="A79">
        <v>3.9135222000000001</v>
      </c>
      <c r="B79">
        <v>0.60150999999999999</v>
      </c>
      <c r="C79">
        <f t="shared" si="14"/>
        <v>2.3540227385220001</v>
      </c>
      <c r="D79">
        <v>1.4999999999999999E-2</v>
      </c>
      <c r="E79">
        <v>9.9000000000000008E-3</v>
      </c>
      <c r="F79">
        <f t="shared" si="15"/>
        <v>782.70443999999998</v>
      </c>
      <c r="G79">
        <f t="shared" si="16"/>
        <v>-0.60150999999999999</v>
      </c>
      <c r="H79">
        <f t="shared" si="17"/>
        <v>-470.80454770440002</v>
      </c>
      <c r="I79">
        <v>1</v>
      </c>
      <c r="J79">
        <f t="shared" si="18"/>
        <v>-0.24500012551591258</v>
      </c>
      <c r="K79">
        <f t="shared" si="19"/>
        <v>-0.62021515177521747</v>
      </c>
      <c r="L79">
        <v>1</v>
      </c>
      <c r="M79">
        <f t="shared" si="20"/>
        <v>0.45933799402544251</v>
      </c>
      <c r="N79">
        <f t="shared" si="24"/>
        <v>5.8702832999999996E-2</v>
      </c>
      <c r="O79">
        <f t="shared" si="22"/>
        <v>3.8743869780000002E-2</v>
      </c>
      <c r="P79">
        <f t="shared" si="23"/>
        <v>6.3430454969774952E-2</v>
      </c>
      <c r="V79">
        <v>1.49999999999997</v>
      </c>
      <c r="W79">
        <f t="shared" si="21"/>
        <v>-0.54239999999999855</v>
      </c>
    </row>
    <row r="80" spans="1:23" x14ac:dyDescent="0.3">
      <c r="A80">
        <v>3.9674955999999999</v>
      </c>
      <c r="B80">
        <v>0.59752000000000005</v>
      </c>
      <c r="C80">
        <f t="shared" si="14"/>
        <v>2.3706579709120001</v>
      </c>
      <c r="D80">
        <v>1.4999999999999999E-2</v>
      </c>
      <c r="E80">
        <v>9.9000000000000008E-3</v>
      </c>
      <c r="F80">
        <f t="shared" si="15"/>
        <v>793.49911999999995</v>
      </c>
      <c r="G80">
        <f t="shared" si="16"/>
        <v>-0.59752000000000005</v>
      </c>
      <c r="H80">
        <f t="shared" si="17"/>
        <v>-474.13159418240002</v>
      </c>
      <c r="I80">
        <v>1</v>
      </c>
      <c r="J80">
        <f t="shared" si="18"/>
        <v>-0.23130284802700027</v>
      </c>
      <c r="K80">
        <f t="shared" si="19"/>
        <v>-0.6242051517752174</v>
      </c>
      <c r="L80">
        <v>1</v>
      </c>
      <c r="M80">
        <f t="shared" si="20"/>
        <v>0.45998998443391476</v>
      </c>
      <c r="N80">
        <f t="shared" si="24"/>
        <v>5.9512433999999996E-2</v>
      </c>
      <c r="O80">
        <f t="shared" si="22"/>
        <v>3.9278206440000005E-2</v>
      </c>
      <c r="P80">
        <f t="shared" si="23"/>
        <v>6.542452690130264E-2</v>
      </c>
      <c r="V80">
        <v>1.5999999999999699</v>
      </c>
      <c r="W80">
        <f t="shared" si="21"/>
        <v>-0.54715999999999854</v>
      </c>
    </row>
    <row r="81" spans="1:23" x14ac:dyDescent="0.3">
      <c r="A81">
        <v>4.0245242000000001</v>
      </c>
      <c r="B81">
        <v>0.59316000000000002</v>
      </c>
      <c r="C81">
        <f t="shared" si="14"/>
        <v>2.3871867744720001</v>
      </c>
      <c r="D81">
        <v>1.4999999999999999E-2</v>
      </c>
      <c r="E81">
        <v>9.9000000000000008E-3</v>
      </c>
      <c r="F81">
        <f t="shared" si="15"/>
        <v>804.90484000000004</v>
      </c>
      <c r="G81">
        <f t="shared" si="16"/>
        <v>-0.59316000000000002</v>
      </c>
      <c r="H81">
        <f t="shared" si="17"/>
        <v>-477.43735489440002</v>
      </c>
      <c r="I81">
        <v>1</v>
      </c>
      <c r="J81">
        <f t="shared" si="18"/>
        <v>-0.21703121973119005</v>
      </c>
      <c r="K81">
        <f t="shared" si="19"/>
        <v>-0.62856515177521743</v>
      </c>
      <c r="L81">
        <v>1</v>
      </c>
      <c r="M81">
        <f t="shared" si="20"/>
        <v>0.46066931394079536</v>
      </c>
      <c r="N81">
        <f t="shared" si="24"/>
        <v>6.0367863000000001E-2</v>
      </c>
      <c r="O81">
        <f t="shared" si="22"/>
        <v>3.9842789580000003E-2</v>
      </c>
      <c r="P81">
        <f t="shared" si="23"/>
        <v>6.7685185254422076E-2</v>
      </c>
      <c r="V81">
        <v>1.69999999999997</v>
      </c>
      <c r="W81">
        <f t="shared" si="21"/>
        <v>-0.55191999999999852</v>
      </c>
    </row>
    <row r="82" spans="1:23" x14ac:dyDescent="0.3">
      <c r="A82">
        <v>4.0754424</v>
      </c>
      <c r="B82">
        <v>0.58962999999999999</v>
      </c>
      <c r="C82">
        <f t="shared" si="14"/>
        <v>2.4030031023119998</v>
      </c>
      <c r="D82">
        <v>1.4999999999999999E-2</v>
      </c>
      <c r="E82">
        <v>9.9000000000000008E-3</v>
      </c>
      <c r="F82">
        <f t="shared" si="15"/>
        <v>815.08848</v>
      </c>
      <c r="G82">
        <f t="shared" si="16"/>
        <v>-0.58962999999999999</v>
      </c>
      <c r="H82">
        <f t="shared" si="17"/>
        <v>-480.60062046239995</v>
      </c>
      <c r="I82">
        <v>1</v>
      </c>
      <c r="J82">
        <f t="shared" si="18"/>
        <v>-0.20445860721678627</v>
      </c>
      <c r="K82">
        <f t="shared" si="19"/>
        <v>-0.63209515177521747</v>
      </c>
      <c r="L82">
        <v>1</v>
      </c>
      <c r="M82">
        <f t="shared" si="20"/>
        <v>0.46126777029648097</v>
      </c>
      <c r="N82">
        <f t="shared" si="24"/>
        <v>6.1131635999999996E-2</v>
      </c>
      <c r="O82">
        <f t="shared" si="22"/>
        <v>4.0346879760000003E-2</v>
      </c>
      <c r="P82">
        <f t="shared" si="23"/>
        <v>6.9348865718736497E-2</v>
      </c>
      <c r="V82">
        <v>1.7999999999999701</v>
      </c>
      <c r="W82">
        <f t="shared" si="21"/>
        <v>-0.55667999999999851</v>
      </c>
    </row>
    <row r="83" spans="1:23" x14ac:dyDescent="0.3">
      <c r="A83">
        <v>4.1334892999999999</v>
      </c>
      <c r="B83">
        <v>0.58540999999999999</v>
      </c>
      <c r="C83">
        <f t="shared" si="14"/>
        <v>2.4197859711129999</v>
      </c>
      <c r="D83">
        <v>1.4999999999999999E-2</v>
      </c>
      <c r="E83">
        <v>9.9000000000000008E-3</v>
      </c>
      <c r="F83">
        <f t="shared" si="15"/>
        <v>826.69785999999999</v>
      </c>
      <c r="G83">
        <f t="shared" si="16"/>
        <v>-0.58540999999999999</v>
      </c>
      <c r="H83">
        <f t="shared" si="17"/>
        <v>-483.95719422259998</v>
      </c>
      <c r="I83">
        <v>1</v>
      </c>
      <c r="J83">
        <f t="shared" si="18"/>
        <v>-0.19031599533215574</v>
      </c>
      <c r="K83">
        <f t="shared" si="19"/>
        <v>-0.63631515177521747</v>
      </c>
      <c r="L83">
        <v>1</v>
      </c>
      <c r="M83">
        <f t="shared" si="20"/>
        <v>0.46194095862218937</v>
      </c>
      <c r="N83">
        <f t="shared" si="24"/>
        <v>6.2002339499999996E-2</v>
      </c>
      <c r="O83">
        <f t="shared" si="22"/>
        <v>4.0921544070000003E-2</v>
      </c>
      <c r="P83">
        <f t="shared" si="23"/>
        <v>7.1450309583028088E-2</v>
      </c>
      <c r="V83">
        <v>1.8999999999999699</v>
      </c>
      <c r="W83">
        <f t="shared" si="21"/>
        <v>-0.56143999999999861</v>
      </c>
    </row>
    <row r="84" spans="1:23" x14ac:dyDescent="0.3">
      <c r="A84">
        <v>4.1849169999999996</v>
      </c>
      <c r="B84">
        <v>0.58106000000000002</v>
      </c>
      <c r="C84">
        <f t="shared" si="14"/>
        <v>2.4316878720199999</v>
      </c>
      <c r="D84">
        <v>1.4999999999999999E-2</v>
      </c>
      <c r="E84">
        <v>9.9000000000000008E-3</v>
      </c>
      <c r="F84">
        <f t="shared" si="15"/>
        <v>836.98339999999996</v>
      </c>
      <c r="G84">
        <f t="shared" si="16"/>
        <v>-0.58106000000000002</v>
      </c>
      <c r="H84">
        <f t="shared" si="17"/>
        <v>-486.33757440400001</v>
      </c>
      <c r="I84">
        <v>1</v>
      </c>
      <c r="J84">
        <f t="shared" si="18"/>
        <v>-0.17795104142529489</v>
      </c>
      <c r="K84">
        <f t="shared" si="19"/>
        <v>-0.64066515177521743</v>
      </c>
      <c r="L84">
        <v>1</v>
      </c>
      <c r="M84">
        <f t="shared" si="20"/>
        <v>0.46252953042815592</v>
      </c>
      <c r="N84">
        <f t="shared" si="24"/>
        <v>6.2773754999999987E-2</v>
      </c>
      <c r="O84">
        <f t="shared" si="22"/>
        <v>4.1430678299999996E-2</v>
      </c>
      <c r="P84">
        <f t="shared" si="23"/>
        <v>7.393118804706153E-2</v>
      </c>
      <c r="V84">
        <v>1.99999999999997</v>
      </c>
      <c r="W84">
        <f t="shared" si="21"/>
        <v>-0.56619999999999859</v>
      </c>
    </row>
    <row r="85" spans="1:23" x14ac:dyDescent="0.3">
      <c r="A85">
        <v>4.2353262000000003</v>
      </c>
      <c r="B85">
        <v>0.57726</v>
      </c>
      <c r="C85">
        <f t="shared" si="14"/>
        <v>2.4448844022120002</v>
      </c>
      <c r="D85">
        <v>1.4999999999999999E-2</v>
      </c>
      <c r="E85">
        <v>9.9000000000000008E-3</v>
      </c>
      <c r="F85">
        <f t="shared" si="15"/>
        <v>847.06524000000002</v>
      </c>
      <c r="G85">
        <f t="shared" si="16"/>
        <v>-0.57726</v>
      </c>
      <c r="H85">
        <f t="shared" si="17"/>
        <v>-488.97688044240005</v>
      </c>
      <c r="I85">
        <v>1</v>
      </c>
      <c r="J85">
        <f t="shared" si="18"/>
        <v>-0.16597756250295126</v>
      </c>
      <c r="K85">
        <f t="shared" si="19"/>
        <v>-0.64446515177521746</v>
      </c>
      <c r="L85">
        <v>1</v>
      </c>
      <c r="M85">
        <f t="shared" si="20"/>
        <v>0.46309946802485952</v>
      </c>
      <c r="N85">
        <f t="shared" si="24"/>
        <v>6.3529893000000004E-2</v>
      </c>
      <c r="O85">
        <f t="shared" si="22"/>
        <v>4.1929729380000003E-2</v>
      </c>
      <c r="P85">
        <f t="shared" si="23"/>
        <v>7.5906061370357936E-2</v>
      </c>
      <c r="V85">
        <v>2.0999999999999699</v>
      </c>
      <c r="W85">
        <f t="shared" si="21"/>
        <v>-0.57095999999999858</v>
      </c>
    </row>
    <row r="86" spans="1:23" x14ac:dyDescent="0.3">
      <c r="A86">
        <v>4.2862445999999998</v>
      </c>
      <c r="B86">
        <v>0.57340000000000002</v>
      </c>
      <c r="C86">
        <f t="shared" si="14"/>
        <v>2.4577326536399999</v>
      </c>
      <c r="D86">
        <v>1.4999999999999999E-2</v>
      </c>
      <c r="E86">
        <v>9.9000000000000008E-3</v>
      </c>
      <c r="F86">
        <f t="shared" si="15"/>
        <v>857.24892</v>
      </c>
      <c r="G86">
        <f t="shared" si="16"/>
        <v>-0.57340000000000002</v>
      </c>
      <c r="H86">
        <f t="shared" si="17"/>
        <v>-491.54653072799999</v>
      </c>
      <c r="I86">
        <v>1</v>
      </c>
      <c r="J86">
        <f t="shared" si="18"/>
        <v>-0.15402694748242066</v>
      </c>
      <c r="K86">
        <f t="shared" si="19"/>
        <v>-0.64832515177521743</v>
      </c>
      <c r="L86">
        <v>1</v>
      </c>
      <c r="M86">
        <f t="shared" si="20"/>
        <v>0.46366831729983676</v>
      </c>
      <c r="N86">
        <f t="shared" si="24"/>
        <v>6.4293668999999998E-2</v>
      </c>
      <c r="O86">
        <f t="shared" si="22"/>
        <v>4.243382154E-2</v>
      </c>
      <c r="P86">
        <f t="shared" si="23"/>
        <v>7.7929343935380674E-2</v>
      </c>
      <c r="V86">
        <v>2.19999999999997</v>
      </c>
      <c r="W86">
        <f t="shared" si="21"/>
        <v>-0.57571999999999857</v>
      </c>
    </row>
    <row r="87" spans="1:23" x14ac:dyDescent="0.3">
      <c r="A87">
        <v>4.3381815999999995</v>
      </c>
      <c r="B87">
        <v>0.56899</v>
      </c>
      <c r="C87">
        <f t="shared" si="14"/>
        <v>2.4683819485839997</v>
      </c>
      <c r="D87">
        <v>1.4999999999999999E-2</v>
      </c>
      <c r="E87">
        <v>9.9000000000000008E-3</v>
      </c>
      <c r="F87">
        <f t="shared" si="15"/>
        <v>867.63631999999996</v>
      </c>
      <c r="G87">
        <f t="shared" si="16"/>
        <v>-0.56899</v>
      </c>
      <c r="H87">
        <f t="shared" si="17"/>
        <v>-493.67638971679992</v>
      </c>
      <c r="I87">
        <v>1</v>
      </c>
      <c r="J87">
        <f t="shared" si="18"/>
        <v>-0.14198263829613497</v>
      </c>
      <c r="K87">
        <f t="shared" si="19"/>
        <v>-0.65273515177521746</v>
      </c>
      <c r="L87">
        <v>1</v>
      </c>
      <c r="M87">
        <f t="shared" si="20"/>
        <v>0.46424162641710393</v>
      </c>
      <c r="N87">
        <f t="shared" si="24"/>
        <v>6.5072723999999985E-2</v>
      </c>
      <c r="O87">
        <f t="shared" si="22"/>
        <v>4.2947997840000002E-2</v>
      </c>
      <c r="P87">
        <f t="shared" si="23"/>
        <v>8.0472803518113548E-2</v>
      </c>
      <c r="V87">
        <v>2.2999999999999701</v>
      </c>
      <c r="W87">
        <f t="shared" si="21"/>
        <v>-0.58047999999999855</v>
      </c>
    </row>
    <row r="88" spans="1:23" x14ac:dyDescent="0.3">
      <c r="A88">
        <v>4.3885908000000002</v>
      </c>
      <c r="B88">
        <v>0.56516999999999995</v>
      </c>
      <c r="C88">
        <f t="shared" si="14"/>
        <v>2.480299862436</v>
      </c>
      <c r="D88">
        <v>1.4999999999999999E-2</v>
      </c>
      <c r="E88">
        <v>9.9000000000000008E-3</v>
      </c>
      <c r="F88">
        <f t="shared" si="15"/>
        <v>877.71816000000001</v>
      </c>
      <c r="G88">
        <f t="shared" si="16"/>
        <v>-0.56516999999999995</v>
      </c>
      <c r="H88">
        <f t="shared" si="17"/>
        <v>-496.05997248720001</v>
      </c>
      <c r="I88">
        <v>1</v>
      </c>
      <c r="J88">
        <f t="shared" si="18"/>
        <v>-0.13042973915718417</v>
      </c>
      <c r="K88">
        <f t="shared" si="19"/>
        <v>-0.6565551517752175</v>
      </c>
      <c r="L88">
        <v>1</v>
      </c>
      <c r="M88">
        <f t="shared" si="20"/>
        <v>0.46479154441611803</v>
      </c>
      <c r="N88">
        <f t="shared" si="24"/>
        <v>6.5828862000000002E-2</v>
      </c>
      <c r="O88">
        <f t="shared" si="22"/>
        <v>4.3447048920000009E-2</v>
      </c>
      <c r="P88">
        <f t="shared" si="23"/>
        <v>8.2487696439099478E-2</v>
      </c>
      <c r="V88">
        <v>2.3999999999999702</v>
      </c>
      <c r="W88">
        <f t="shared" si="21"/>
        <v>-0.58523999999999854</v>
      </c>
    </row>
    <row r="89" spans="1:23" x14ac:dyDescent="0.3">
      <c r="A89">
        <v>4.4390000000000001</v>
      </c>
      <c r="B89">
        <v>0.56101000000000001</v>
      </c>
      <c r="C89">
        <f t="shared" si="14"/>
        <v>2.4903233899999999</v>
      </c>
      <c r="D89">
        <v>1.4999999999999999E-2</v>
      </c>
      <c r="E89">
        <v>9.9000000000000008E-3</v>
      </c>
      <c r="F89">
        <f t="shared" si="15"/>
        <v>887.8</v>
      </c>
      <c r="G89">
        <f t="shared" si="16"/>
        <v>-0.56101000000000001</v>
      </c>
      <c r="H89">
        <f t="shared" si="17"/>
        <v>-498.06467799999996</v>
      </c>
      <c r="I89">
        <v>1</v>
      </c>
      <c r="J89">
        <f t="shared" si="18"/>
        <v>-0.11900878658220228</v>
      </c>
      <c r="K89">
        <f t="shared" si="19"/>
        <v>-0.66071515177521745</v>
      </c>
      <c r="L89">
        <v>1</v>
      </c>
      <c r="M89">
        <f t="shared" si="20"/>
        <v>0.46533518175868716</v>
      </c>
      <c r="N89">
        <f t="shared" si="24"/>
        <v>6.6585000000000005E-2</v>
      </c>
      <c r="O89">
        <f t="shared" si="22"/>
        <v>4.3946100000000002E-2</v>
      </c>
      <c r="P89">
        <f t="shared" si="23"/>
        <v>8.4848870016530284E-2</v>
      </c>
      <c r="V89">
        <v>2.4999999999999698</v>
      </c>
      <c r="W89">
        <f t="shared" si="21"/>
        <v>-0.58999999999999853</v>
      </c>
    </row>
    <row r="90" spans="1:23" x14ac:dyDescent="0.3">
      <c r="A90">
        <v>4.4909365000000001</v>
      </c>
      <c r="B90">
        <v>0.55664000000000002</v>
      </c>
      <c r="C90">
        <f t="shared" si="14"/>
        <v>2.4998348933600001</v>
      </c>
      <c r="D90">
        <v>1.4999999999999999E-2</v>
      </c>
      <c r="E90">
        <v>9.9000000000000008E-3</v>
      </c>
      <c r="F90">
        <f t="shared" si="15"/>
        <v>898.18730000000005</v>
      </c>
      <c r="G90">
        <f t="shared" si="16"/>
        <v>-0.55664000000000002</v>
      </c>
      <c r="H90">
        <f t="shared" si="17"/>
        <v>-499.96697867200004</v>
      </c>
      <c r="I90">
        <v>1</v>
      </c>
      <c r="J90">
        <f t="shared" si="18"/>
        <v>-0.10737665781835236</v>
      </c>
      <c r="K90">
        <f t="shared" si="19"/>
        <v>-0.66508515177521743</v>
      </c>
      <c r="L90">
        <v>1</v>
      </c>
      <c r="M90">
        <f t="shared" si="20"/>
        <v>0.46588887108784638</v>
      </c>
      <c r="N90">
        <f t="shared" si="24"/>
        <v>6.7364047499999996E-2</v>
      </c>
      <c r="O90">
        <f t="shared" si="22"/>
        <v>4.4460271350000004E-2</v>
      </c>
      <c r="P90">
        <f t="shared" si="23"/>
        <v>8.7371961837371059E-2</v>
      </c>
      <c r="V90">
        <v>2.5999999999999699</v>
      </c>
      <c r="W90">
        <f t="shared" si="21"/>
        <v>-0.59475999999999851</v>
      </c>
    </row>
    <row r="91" spans="1:23" x14ac:dyDescent="0.3">
      <c r="A91">
        <v>4.5428730000000002</v>
      </c>
      <c r="B91">
        <v>0.55225999999999997</v>
      </c>
      <c r="C91">
        <f t="shared" si="14"/>
        <v>2.5088470429799998</v>
      </c>
      <c r="D91">
        <v>1.4999999999999999E-2</v>
      </c>
      <c r="E91">
        <v>9.9000000000000008E-3</v>
      </c>
      <c r="F91">
        <f t="shared" si="15"/>
        <v>908.57460000000003</v>
      </c>
      <c r="G91">
        <f t="shared" si="16"/>
        <v>-0.55225999999999997</v>
      </c>
      <c r="H91">
        <f t="shared" si="17"/>
        <v>-501.76940859599995</v>
      </c>
      <c r="I91">
        <v>1</v>
      </c>
      <c r="J91">
        <f t="shared" si="18"/>
        <v>-9.5878281143336797E-2</v>
      </c>
      <c r="K91">
        <f t="shared" si="19"/>
        <v>-0.66946515177521748</v>
      </c>
      <c r="L91">
        <v>1</v>
      </c>
      <c r="M91">
        <f t="shared" si="20"/>
        <v>0.46643619381757712</v>
      </c>
      <c r="N91">
        <f t="shared" si="24"/>
        <v>6.8143095000000001E-2</v>
      </c>
      <c r="O91">
        <f t="shared" si="22"/>
        <v>4.4974442700000006E-2</v>
      </c>
      <c r="P91">
        <f t="shared" si="23"/>
        <v>8.9911420257640373E-2</v>
      </c>
      <c r="V91">
        <v>2.69999999999997</v>
      </c>
      <c r="W91">
        <f t="shared" si="21"/>
        <v>-0.5995199999999985</v>
      </c>
    </row>
    <row r="92" spans="1:23" x14ac:dyDescent="0.3">
      <c r="A92">
        <v>4.5943002999999996</v>
      </c>
      <c r="B92">
        <v>0.54803000000000002</v>
      </c>
      <c r="C92">
        <f t="shared" si="14"/>
        <v>2.517814393409</v>
      </c>
      <c r="D92">
        <v>1.4999999999999999E-2</v>
      </c>
      <c r="E92">
        <v>9.9000000000000008E-3</v>
      </c>
      <c r="F92">
        <f t="shared" si="15"/>
        <v>918.86005999999986</v>
      </c>
      <c r="G92">
        <f t="shared" si="16"/>
        <v>-0.54803000000000002</v>
      </c>
      <c r="H92">
        <f t="shared" si="17"/>
        <v>-503.56287868179999</v>
      </c>
      <c r="I92">
        <v>1</v>
      </c>
      <c r="J92">
        <f t="shared" si="18"/>
        <v>-8.4621442432443933E-2</v>
      </c>
      <c r="K92">
        <f t="shared" si="19"/>
        <v>-0.67369515177521744</v>
      </c>
      <c r="L92">
        <v>1</v>
      </c>
      <c r="M92">
        <f t="shared" si="20"/>
        <v>0.46697201934021565</v>
      </c>
      <c r="N92">
        <f t="shared" si="24"/>
        <v>6.8914504499999987E-2</v>
      </c>
      <c r="O92">
        <f t="shared" si="22"/>
        <v>4.5483572969999997E-2</v>
      </c>
      <c r="P92">
        <f t="shared" si="23"/>
        <v>9.2325054965001818E-2</v>
      </c>
      <c r="V92">
        <v>2.7999999999999701</v>
      </c>
      <c r="W92">
        <f t="shared" si="21"/>
        <v>-0.6042799999999986</v>
      </c>
    </row>
    <row r="93" spans="1:23" x14ac:dyDescent="0.3">
      <c r="A93">
        <v>4.6452192000000005</v>
      </c>
      <c r="B93">
        <v>0.54296999999999995</v>
      </c>
      <c r="C93">
        <f t="shared" si="14"/>
        <v>2.5222146690240002</v>
      </c>
      <c r="D93">
        <v>1.4999999999999999E-2</v>
      </c>
      <c r="E93">
        <v>9.9000000000000008E-3</v>
      </c>
      <c r="F93">
        <f t="shared" si="15"/>
        <v>929.04384000000016</v>
      </c>
      <c r="G93">
        <f t="shared" si="16"/>
        <v>-0.54296999999999995</v>
      </c>
      <c r="H93">
        <f t="shared" si="17"/>
        <v>-504.44293380480002</v>
      </c>
      <c r="I93">
        <v>1</v>
      </c>
      <c r="J93">
        <f t="shared" si="18"/>
        <v>-7.359935075428739E-2</v>
      </c>
      <c r="K93">
        <f t="shared" si="19"/>
        <v>-0.6787551517752175</v>
      </c>
      <c r="L93">
        <v>1</v>
      </c>
      <c r="M93">
        <f t="shared" si="20"/>
        <v>0.46749667090409591</v>
      </c>
      <c r="N93">
        <f t="shared" si="24"/>
        <v>6.9678288000000005E-2</v>
      </c>
      <c r="O93">
        <f t="shared" si="22"/>
        <v>4.5987670080000008E-2</v>
      </c>
      <c r="P93">
        <f t="shared" si="23"/>
        <v>9.559252279112157E-2</v>
      </c>
      <c r="V93">
        <v>2.8999999999999702</v>
      </c>
      <c r="W93">
        <f t="shared" si="21"/>
        <v>-0.60903999999999858</v>
      </c>
    </row>
    <row r="94" spans="1:23" x14ac:dyDescent="0.3">
      <c r="A94">
        <v>4.6971558</v>
      </c>
      <c r="B94">
        <v>0.53847999999999996</v>
      </c>
      <c r="C94">
        <f t="shared" si="14"/>
        <v>2.5293244551839997</v>
      </c>
      <c r="D94">
        <v>1.4999999999999999E-2</v>
      </c>
      <c r="E94">
        <v>9.9000000000000008E-3</v>
      </c>
      <c r="F94">
        <f t="shared" si="15"/>
        <v>939.43115999999998</v>
      </c>
      <c r="G94">
        <f t="shared" si="16"/>
        <v>-0.53847999999999996</v>
      </c>
      <c r="H94">
        <f t="shared" si="17"/>
        <v>-505.86489103679992</v>
      </c>
      <c r="I94">
        <v>1</v>
      </c>
      <c r="J94">
        <f t="shared" si="18"/>
        <v>-6.2480735830778344E-2</v>
      </c>
      <c r="K94">
        <f t="shared" si="19"/>
        <v>-0.6832451517752175</v>
      </c>
      <c r="L94">
        <v>1</v>
      </c>
      <c r="M94">
        <f t="shared" si="20"/>
        <v>0.46802591697445495</v>
      </c>
      <c r="N94">
        <f t="shared" si="24"/>
        <v>7.0457336999999995E-2</v>
      </c>
      <c r="O94">
        <f t="shared" si="22"/>
        <v>4.6501842420000002E-2</v>
      </c>
      <c r="P94">
        <f t="shared" si="23"/>
        <v>9.8260055380762545E-2</v>
      </c>
      <c r="V94">
        <v>2.9999999999999698</v>
      </c>
      <c r="W94">
        <f t="shared" si="21"/>
        <v>-0.61379999999999857</v>
      </c>
    </row>
    <row r="95" spans="1:23" x14ac:dyDescent="0.3">
      <c r="A95">
        <v>4.748583</v>
      </c>
      <c r="B95">
        <v>0.53390000000000004</v>
      </c>
      <c r="C95">
        <f t="shared" si="14"/>
        <v>2.5352684637</v>
      </c>
      <c r="D95">
        <v>1.4999999999999999E-2</v>
      </c>
      <c r="E95">
        <v>9.9000000000000008E-3</v>
      </c>
      <c r="F95">
        <f t="shared" si="15"/>
        <v>949.71659999999997</v>
      </c>
      <c r="G95">
        <f t="shared" si="16"/>
        <v>-0.53390000000000004</v>
      </c>
      <c r="H95">
        <f t="shared" si="17"/>
        <v>-507.05369274000003</v>
      </c>
      <c r="I95">
        <v>1</v>
      </c>
      <c r="J95">
        <f t="shared" si="18"/>
        <v>-5.1591654682030572E-2</v>
      </c>
      <c r="K95">
        <f t="shared" si="19"/>
        <v>-0.68782515177521741</v>
      </c>
      <c r="L95">
        <v>1</v>
      </c>
      <c r="M95">
        <f t="shared" si="20"/>
        <v>0.46854423723713534</v>
      </c>
      <c r="N95">
        <f t="shared" si="24"/>
        <v>7.1228744999999996E-2</v>
      </c>
      <c r="O95">
        <f t="shared" si="22"/>
        <v>4.7010971700000001E-2</v>
      </c>
      <c r="P95">
        <f t="shared" si="23"/>
        <v>0.10104119783808209</v>
      </c>
      <c r="V95">
        <v>3.0999999999999699</v>
      </c>
      <c r="W95">
        <f t="shared" si="21"/>
        <v>-0.61855999999999856</v>
      </c>
    </row>
    <row r="96" spans="1:23" x14ac:dyDescent="0.3">
      <c r="A96">
        <v>4.8010288000000001</v>
      </c>
      <c r="B96">
        <v>0.52881999999999996</v>
      </c>
      <c r="C96">
        <f t="shared" si="14"/>
        <v>2.538880050016</v>
      </c>
      <c r="D96">
        <v>1.4999999999999999E-2</v>
      </c>
      <c r="E96">
        <v>9.9000000000000008E-3</v>
      </c>
      <c r="F96">
        <f t="shared" si="15"/>
        <v>960.20576000000005</v>
      </c>
      <c r="G96">
        <f t="shared" si="16"/>
        <v>-0.52881999999999996</v>
      </c>
      <c r="H96">
        <f t="shared" si="17"/>
        <v>-507.77601000319999</v>
      </c>
      <c r="I96">
        <v>1</v>
      </c>
      <c r="J96">
        <f t="shared" si="18"/>
        <v>-4.0607684153029122E-2</v>
      </c>
      <c r="K96">
        <f t="shared" si="19"/>
        <v>-0.6929051517752175</v>
      </c>
      <c r="L96">
        <v>1</v>
      </c>
      <c r="M96">
        <f t="shared" si="20"/>
        <v>0.46906707423431576</v>
      </c>
      <c r="N96">
        <f t="shared" si="24"/>
        <v>7.2015432000000004E-2</v>
      </c>
      <c r="O96">
        <f t="shared" si="22"/>
        <v>4.7530185120000006E-2</v>
      </c>
      <c r="P96">
        <f t="shared" si="23"/>
        <v>0.10429246042090173</v>
      </c>
      <c r="V96">
        <v>3.19999999999997</v>
      </c>
      <c r="W96">
        <f t="shared" si="21"/>
        <v>-0.62331999999999854</v>
      </c>
    </row>
    <row r="97" spans="1:23" x14ac:dyDescent="0.3">
      <c r="A97">
        <v>4.8524564999999997</v>
      </c>
      <c r="B97">
        <v>0.52400999999999998</v>
      </c>
      <c r="C97">
        <f t="shared" si="14"/>
        <v>2.5427357305649996</v>
      </c>
      <c r="D97">
        <v>1.4999999999999999E-2</v>
      </c>
      <c r="E97">
        <v>9.9000000000000008E-3</v>
      </c>
      <c r="F97">
        <f t="shared" si="15"/>
        <v>970.49129999999991</v>
      </c>
      <c r="G97">
        <f t="shared" si="16"/>
        <v>-0.52400999999999998</v>
      </c>
      <c r="H97">
        <f t="shared" si="17"/>
        <v>-508.54714611299994</v>
      </c>
      <c r="I97">
        <v>1</v>
      </c>
      <c r="J97">
        <f t="shared" si="18"/>
        <v>-2.995284086456685E-2</v>
      </c>
      <c r="K97">
        <f t="shared" si="19"/>
        <v>-0.69771515177521748</v>
      </c>
      <c r="L97">
        <v>1</v>
      </c>
      <c r="M97">
        <f t="shared" si="20"/>
        <v>0.46957424477484661</v>
      </c>
      <c r="N97">
        <f t="shared" si="24"/>
        <v>7.2786847499999988E-2</v>
      </c>
      <c r="O97">
        <f t="shared" si="22"/>
        <v>4.8039319349999998E-2</v>
      </c>
      <c r="P97">
        <f t="shared" si="23"/>
        <v>0.1073147401503709</v>
      </c>
      <c r="V97">
        <v>3.2999999999999701</v>
      </c>
      <c r="W97">
        <f t="shared" si="21"/>
        <v>-0.62807999999999853</v>
      </c>
    </row>
    <row r="98" spans="1:23" x14ac:dyDescent="0.3">
      <c r="A98">
        <v>4.9028656999999995</v>
      </c>
      <c r="B98">
        <v>0.51912000000000003</v>
      </c>
      <c r="C98">
        <f t="shared" si="14"/>
        <v>2.5451756421839997</v>
      </c>
      <c r="D98">
        <v>1.4999999999999999E-2</v>
      </c>
      <c r="E98">
        <v>9.9000000000000008E-3</v>
      </c>
      <c r="F98">
        <f t="shared" si="15"/>
        <v>980.57313999999997</v>
      </c>
      <c r="G98">
        <f t="shared" si="16"/>
        <v>-0.51912000000000003</v>
      </c>
      <c r="H98">
        <f t="shared" si="17"/>
        <v>-509.03512843679994</v>
      </c>
      <c r="I98">
        <v>1</v>
      </c>
      <c r="J98">
        <f t="shared" si="18"/>
        <v>-1.9618041533179958E-2</v>
      </c>
      <c r="K98">
        <f t="shared" si="19"/>
        <v>-0.70260515177521743</v>
      </c>
      <c r="L98">
        <v>1</v>
      </c>
      <c r="M98">
        <f t="shared" si="20"/>
        <v>0.47006618122302063</v>
      </c>
      <c r="N98">
        <f t="shared" si="24"/>
        <v>7.3542985499999991E-2</v>
      </c>
      <c r="O98">
        <f t="shared" si="22"/>
        <v>4.8538370429999998E-2</v>
      </c>
      <c r="P98">
        <f t="shared" si="23"/>
        <v>0.1104576146221968</v>
      </c>
      <c r="V98">
        <v>3.3999999999999702</v>
      </c>
      <c r="W98">
        <f t="shared" si="21"/>
        <v>-0.63283999999999851</v>
      </c>
    </row>
    <row r="99" spans="1:23" x14ac:dyDescent="0.3">
      <c r="A99">
        <v>4.9542929999999998</v>
      </c>
      <c r="B99">
        <v>0.51387000000000005</v>
      </c>
      <c r="C99">
        <f t="shared" si="14"/>
        <v>2.5458625439100002</v>
      </c>
      <c r="D99">
        <v>1.4999999999999999E-2</v>
      </c>
      <c r="E99">
        <v>9.9000000000000008E-3</v>
      </c>
      <c r="F99">
        <f t="shared" si="15"/>
        <v>990.85860000000002</v>
      </c>
      <c r="G99">
        <f t="shared" si="16"/>
        <v>-0.51387000000000005</v>
      </c>
      <c r="H99">
        <f t="shared" si="17"/>
        <v>-509.17250878200002</v>
      </c>
      <c r="I99">
        <v>1</v>
      </c>
      <c r="J99">
        <f t="shared" si="18"/>
        <v>-9.1834389899185624E-3</v>
      </c>
      <c r="K99">
        <f t="shared" si="19"/>
        <v>-0.70785515177521741</v>
      </c>
      <c r="L99">
        <v>1</v>
      </c>
      <c r="M99">
        <f t="shared" si="20"/>
        <v>0.47056286830407984</v>
      </c>
      <c r="N99">
        <f t="shared" si="24"/>
        <v>7.4314394999999991E-2</v>
      </c>
      <c r="O99">
        <f t="shared" si="22"/>
        <v>4.9047500700000003E-2</v>
      </c>
      <c r="P99">
        <f t="shared" si="23"/>
        <v>0.11393038777113759</v>
      </c>
      <c r="V99">
        <v>3.4999999999999698</v>
      </c>
      <c r="W99">
        <f t="shared" si="21"/>
        <v>-0.63759999999999861</v>
      </c>
    </row>
    <row r="100" spans="1:23" x14ac:dyDescent="0.3">
      <c r="A100">
        <v>5.0047017</v>
      </c>
      <c r="B100">
        <v>0.50914999999999999</v>
      </c>
      <c r="C100">
        <f t="shared" si="14"/>
        <v>2.5481438705550001</v>
      </c>
      <c r="D100">
        <v>1.4999999999999999E-2</v>
      </c>
      <c r="E100">
        <v>9.9000000000000008E-3</v>
      </c>
      <c r="F100">
        <f t="shared" si="15"/>
        <v>1000.94034</v>
      </c>
      <c r="G100">
        <f t="shared" si="16"/>
        <v>-0.50914999999999999</v>
      </c>
      <c r="H100">
        <f t="shared" si="17"/>
        <v>-509.62877411100004</v>
      </c>
      <c r="I100">
        <v>1</v>
      </c>
      <c r="J100">
        <f t="shared" si="18"/>
        <v>9.3989815730883804E-4</v>
      </c>
      <c r="K100">
        <f t="shared" si="19"/>
        <v>-0.71257515177521746</v>
      </c>
      <c r="L100">
        <v>1</v>
      </c>
      <c r="M100">
        <f t="shared" si="20"/>
        <v>0.47104473915228789</v>
      </c>
      <c r="N100">
        <f t="shared" si="24"/>
        <v>7.5070525499999999E-2</v>
      </c>
      <c r="O100">
        <f t="shared" si="22"/>
        <v>4.9546546830000003E-2</v>
      </c>
      <c r="P100">
        <f t="shared" si="23"/>
        <v>0.11691334029292957</v>
      </c>
      <c r="V100">
        <v>3.5999999999999699</v>
      </c>
      <c r="W100">
        <f t="shared" si="21"/>
        <v>-0.64235999999999849</v>
      </c>
    </row>
    <row r="101" spans="1:23" x14ac:dyDescent="0.3">
      <c r="A101">
        <v>5.0571479000000004</v>
      </c>
      <c r="B101">
        <v>0.50385999999999997</v>
      </c>
      <c r="C101">
        <f t="shared" si="14"/>
        <v>2.5480945408940001</v>
      </c>
      <c r="D101">
        <v>1.4999999999999999E-2</v>
      </c>
      <c r="E101">
        <v>9.9000000000000008E-3</v>
      </c>
      <c r="F101">
        <f t="shared" si="15"/>
        <v>1011.4295800000001</v>
      </c>
      <c r="G101">
        <f t="shared" si="16"/>
        <v>-0.50385999999999997</v>
      </c>
      <c r="H101">
        <f t="shared" si="17"/>
        <v>-509.61890817880004</v>
      </c>
      <c r="I101">
        <v>1</v>
      </c>
      <c r="J101">
        <f t="shared" si="18"/>
        <v>1.1364755824959312E-2</v>
      </c>
      <c r="K101">
        <f t="shared" si="19"/>
        <v>-0.71786515177521748</v>
      </c>
      <c r="L101">
        <v>1</v>
      </c>
      <c r="M101">
        <f t="shared" si="20"/>
        <v>0.47154096237726806</v>
      </c>
      <c r="N101">
        <f t="shared" si="24"/>
        <v>7.5857218500000004E-2</v>
      </c>
      <c r="O101">
        <f t="shared" si="22"/>
        <v>5.0065764210000009E-2</v>
      </c>
      <c r="P101">
        <f t="shared" si="23"/>
        <v>0.12040120668794943</v>
      </c>
      <c r="V101">
        <v>3.69999999999997</v>
      </c>
      <c r="W101">
        <f t="shared" si="21"/>
        <v>-0.64711999999999859</v>
      </c>
    </row>
    <row r="102" spans="1:23" x14ac:dyDescent="0.3">
      <c r="A102">
        <v>5.1085757000000003</v>
      </c>
      <c r="B102">
        <v>0.49780999999999997</v>
      </c>
      <c r="C102">
        <f t="shared" si="14"/>
        <v>2.543100069217</v>
      </c>
      <c r="D102">
        <v>1.4999999999999999E-2</v>
      </c>
      <c r="E102">
        <v>9.9000000000000008E-3</v>
      </c>
      <c r="F102">
        <f t="shared" si="15"/>
        <v>1021.71514</v>
      </c>
      <c r="G102">
        <f t="shared" si="16"/>
        <v>-0.49780999999999997</v>
      </c>
      <c r="H102">
        <f t="shared" si="17"/>
        <v>-508.62001384339999</v>
      </c>
      <c r="I102">
        <v>1</v>
      </c>
      <c r="J102">
        <f t="shared" si="18"/>
        <v>2.1482724945304038E-2</v>
      </c>
      <c r="K102">
        <f t="shared" si="19"/>
        <v>-0.72391515177521748</v>
      </c>
      <c r="L102">
        <v>1</v>
      </c>
      <c r="M102">
        <f t="shared" si="20"/>
        <v>0.47202257770739647</v>
      </c>
      <c r="N102">
        <f t="shared" si="24"/>
        <v>7.66286355E-2</v>
      </c>
      <c r="O102">
        <f t="shared" si="22"/>
        <v>5.0574899430000007E-2</v>
      </c>
      <c r="P102">
        <f t="shared" si="23"/>
        <v>0.12468903913782101</v>
      </c>
      <c r="V102">
        <v>3.7999999999999701</v>
      </c>
      <c r="W102">
        <f t="shared" si="21"/>
        <v>-0.65187999999999857</v>
      </c>
    </row>
    <row r="103" spans="1:23" x14ac:dyDescent="0.3">
      <c r="A103">
        <v>5.1589849000000001</v>
      </c>
      <c r="B103">
        <v>0.49265999999999999</v>
      </c>
      <c r="C103">
        <f t="shared" si="14"/>
        <v>2.5416255008339999</v>
      </c>
      <c r="D103">
        <v>1.4999999999999999E-2</v>
      </c>
      <c r="E103">
        <v>9.9000000000000008E-3</v>
      </c>
      <c r="F103">
        <f t="shared" si="15"/>
        <v>1031.7969800000001</v>
      </c>
      <c r="G103">
        <f t="shared" si="16"/>
        <v>-0.49265999999999999</v>
      </c>
      <c r="H103">
        <f t="shared" si="17"/>
        <v>-508.32510016679998</v>
      </c>
      <c r="I103">
        <v>1</v>
      </c>
      <c r="J103">
        <f t="shared" si="18"/>
        <v>3.1301922900306561E-2</v>
      </c>
      <c r="K103">
        <f t="shared" si="19"/>
        <v>-0.72906515177521747</v>
      </c>
      <c r="L103">
        <v>1</v>
      </c>
      <c r="M103">
        <f t="shared" si="20"/>
        <v>0.47248997153005456</v>
      </c>
      <c r="N103">
        <f t="shared" si="24"/>
        <v>7.7384773500000004E-2</v>
      </c>
      <c r="O103">
        <f t="shared" si="22"/>
        <v>5.1073950510000007E-2</v>
      </c>
      <c r="P103">
        <f t="shared" si="23"/>
        <v>0.12811645623516288</v>
      </c>
      <c r="V103">
        <v>3.8999999999999599</v>
      </c>
      <c r="W103">
        <f t="shared" si="21"/>
        <v>-0.65663999999999811</v>
      </c>
    </row>
    <row r="104" spans="1:23" x14ac:dyDescent="0.3">
      <c r="A104">
        <v>5.2099028000000001</v>
      </c>
      <c r="B104">
        <v>0.48694999999999999</v>
      </c>
      <c r="C104">
        <f t="shared" si="14"/>
        <v>2.5369621684600001</v>
      </c>
      <c r="D104">
        <v>1.4999999999999999E-2</v>
      </c>
      <c r="E104">
        <v>9.9000000000000008E-3</v>
      </c>
      <c r="F104">
        <f t="shared" si="15"/>
        <v>1041.98056</v>
      </c>
      <c r="G104">
        <f t="shared" si="16"/>
        <v>-0.48694999999999999</v>
      </c>
      <c r="H104">
        <f t="shared" si="17"/>
        <v>-507.392433692</v>
      </c>
      <c r="I104">
        <v>1</v>
      </c>
      <c r="J104">
        <f t="shared" si="18"/>
        <v>4.1123286727199455E-2</v>
      </c>
      <c r="K104">
        <f t="shared" si="19"/>
        <v>-0.73477515177521746</v>
      </c>
      <c r="L104">
        <v>1</v>
      </c>
      <c r="M104">
        <f t="shared" si="20"/>
        <v>0.47295746844821468</v>
      </c>
      <c r="N104">
        <f t="shared" si="24"/>
        <v>7.8148542000000001E-2</v>
      </c>
      <c r="O104">
        <f t="shared" si="22"/>
        <v>5.1578037720000004E-2</v>
      </c>
      <c r="P104">
        <f t="shared" si="23"/>
        <v>0.1320911036070028</v>
      </c>
      <c r="V104">
        <v>3.99999999999996</v>
      </c>
      <c r="W104">
        <f t="shared" si="21"/>
        <v>-0.6613999999999981</v>
      </c>
    </row>
    <row r="105" spans="1:23" x14ac:dyDescent="0.3">
      <c r="A105">
        <v>5.2638765000000003</v>
      </c>
      <c r="B105">
        <v>0.48147000000000001</v>
      </c>
      <c r="C105">
        <f t="shared" si="14"/>
        <v>2.534398618455</v>
      </c>
      <c r="D105">
        <v>1.4999999999999999E-2</v>
      </c>
      <c r="E105">
        <v>9.9000000000000008E-3</v>
      </c>
      <c r="F105">
        <f t="shared" si="15"/>
        <v>1052.7753</v>
      </c>
      <c r="G105">
        <f t="shared" si="16"/>
        <v>-0.48147000000000001</v>
      </c>
      <c r="H105">
        <f t="shared" si="17"/>
        <v>-506.87972369099998</v>
      </c>
      <c r="I105">
        <v>1</v>
      </c>
      <c r="J105">
        <f t="shared" si="18"/>
        <v>5.1429820067495725E-2</v>
      </c>
      <c r="K105">
        <f t="shared" si="19"/>
        <v>-0.74025515177521739</v>
      </c>
      <c r="L105">
        <v>1</v>
      </c>
      <c r="M105">
        <f t="shared" si="20"/>
        <v>0.47344805943521279</v>
      </c>
      <c r="N105">
        <f t="shared" si="24"/>
        <v>7.8958147500000006E-2</v>
      </c>
      <c r="O105">
        <f t="shared" si="22"/>
        <v>5.211237735000001E-2</v>
      </c>
      <c r="P105">
        <f t="shared" si="23"/>
        <v>0.13573656749000457</v>
      </c>
      <c r="V105">
        <v>4.0999999999999996</v>
      </c>
      <c r="W105">
        <f t="shared" si="21"/>
        <v>-0.66615999999999997</v>
      </c>
    </row>
    <row r="106" spans="1:23" x14ac:dyDescent="0.3">
      <c r="A106">
        <v>5.3142855999999998</v>
      </c>
      <c r="B106">
        <v>0.47543999999999997</v>
      </c>
      <c r="C106">
        <f t="shared" si="14"/>
        <v>2.5266239456639998</v>
      </c>
      <c r="D106">
        <v>1.4999999999999999E-2</v>
      </c>
      <c r="E106">
        <v>9.9000000000000008E-3</v>
      </c>
      <c r="F106">
        <f t="shared" si="15"/>
        <v>1062.8571199999999</v>
      </c>
      <c r="G106">
        <f t="shared" si="16"/>
        <v>-0.47543999999999997</v>
      </c>
      <c r="H106">
        <f t="shared" si="17"/>
        <v>-505.32478913279999</v>
      </c>
      <c r="I106">
        <v>1</v>
      </c>
      <c r="J106">
        <f t="shared" si="18"/>
        <v>6.0960678284310503E-2</v>
      </c>
      <c r="K106">
        <f t="shared" si="19"/>
        <v>-0.74628515177521748</v>
      </c>
      <c r="L106">
        <v>1</v>
      </c>
      <c r="M106">
        <f t="shared" si="20"/>
        <v>0.47390172828633315</v>
      </c>
      <c r="N106">
        <f t="shared" si="24"/>
        <v>7.9714283999999996E-2</v>
      </c>
      <c r="O106">
        <f t="shared" si="22"/>
        <v>5.2611427440000004E-2</v>
      </c>
      <c r="P106">
        <f t="shared" si="23"/>
        <v>0.14005771204888434</v>
      </c>
      <c r="V106">
        <v>4.2</v>
      </c>
      <c r="W106">
        <f t="shared" si="21"/>
        <v>-0.67091999999999996</v>
      </c>
    </row>
    <row r="107" spans="1:23" x14ac:dyDescent="0.3">
      <c r="A107">
        <v>5.3662226999999998</v>
      </c>
      <c r="B107">
        <v>0.46955000000000002</v>
      </c>
      <c r="C107">
        <f t="shared" si="14"/>
        <v>2.5197098687850001</v>
      </c>
      <c r="D107">
        <v>1.4999999999999999E-2</v>
      </c>
      <c r="E107">
        <v>9.9000000000000008E-3</v>
      </c>
      <c r="F107">
        <f t="shared" si="15"/>
        <v>1073.2445399999999</v>
      </c>
      <c r="G107">
        <f t="shared" si="16"/>
        <v>-0.46955000000000002</v>
      </c>
      <c r="H107">
        <f t="shared" si="17"/>
        <v>-503.94197375700003</v>
      </c>
      <c r="I107">
        <v>1</v>
      </c>
      <c r="J107">
        <f t="shared" si="18"/>
        <v>7.0686340758089786E-2</v>
      </c>
      <c r="K107">
        <f t="shared" si="19"/>
        <v>-0.75217515177521743</v>
      </c>
      <c r="L107">
        <v>1</v>
      </c>
      <c r="M107">
        <f t="shared" si="20"/>
        <v>0.47436466982008507</v>
      </c>
      <c r="N107">
        <f t="shared" si="24"/>
        <v>8.0493340499999996E-2</v>
      </c>
      <c r="O107">
        <f t="shared" si="22"/>
        <v>5.3125604730000005E-2</v>
      </c>
      <c r="P107">
        <f t="shared" si="23"/>
        <v>0.14419153672513235</v>
      </c>
      <c r="V107">
        <v>4.3</v>
      </c>
      <c r="W107">
        <f t="shared" si="21"/>
        <v>-0.67567999999999995</v>
      </c>
    </row>
    <row r="108" spans="1:23" x14ac:dyDescent="0.3">
      <c r="A108">
        <v>5.4171401000000001</v>
      </c>
      <c r="B108">
        <v>0.46328999999999998</v>
      </c>
      <c r="C108">
        <f t="shared" si="14"/>
        <v>2.5097068369289999</v>
      </c>
      <c r="D108">
        <v>1.4999999999999999E-2</v>
      </c>
      <c r="E108">
        <v>9.9000000000000008E-3</v>
      </c>
      <c r="F108">
        <f t="shared" si="15"/>
        <v>1083.4280200000001</v>
      </c>
      <c r="G108">
        <f t="shared" si="16"/>
        <v>-0.46328999999999998</v>
      </c>
      <c r="H108">
        <f t="shared" si="17"/>
        <v>-501.94136738579999</v>
      </c>
      <c r="I108">
        <v>1</v>
      </c>
      <c r="J108">
        <f t="shared" si="18"/>
        <v>8.0130106931033271E-2</v>
      </c>
      <c r="K108">
        <f t="shared" si="19"/>
        <v>-0.75843515177521748</v>
      </c>
      <c r="L108">
        <v>1</v>
      </c>
      <c r="M108">
        <f t="shared" si="20"/>
        <v>0.47481419308991718</v>
      </c>
      <c r="N108">
        <f t="shared" si="24"/>
        <v>8.1257101499999998E-2</v>
      </c>
      <c r="O108">
        <f t="shared" si="22"/>
        <v>5.3629686990000008E-2</v>
      </c>
      <c r="P108">
        <f t="shared" si="23"/>
        <v>0.1487341701953003</v>
      </c>
      <c r="V108">
        <v>4.4000000000000004</v>
      </c>
      <c r="W108">
        <f t="shared" si="21"/>
        <v>-0.68044000000000004</v>
      </c>
    </row>
    <row r="109" spans="1:23" x14ac:dyDescent="0.3">
      <c r="A109">
        <v>5.4690776000000003</v>
      </c>
      <c r="B109">
        <v>0.45662999999999998</v>
      </c>
      <c r="C109">
        <f t="shared" si="14"/>
        <v>2.4973449044880001</v>
      </c>
      <c r="D109">
        <v>1.4999999999999999E-2</v>
      </c>
      <c r="E109">
        <v>9.9000000000000008E-3</v>
      </c>
      <c r="F109">
        <f t="shared" si="15"/>
        <v>1093.8155200000001</v>
      </c>
      <c r="G109">
        <f t="shared" si="16"/>
        <v>-0.45662999999999998</v>
      </c>
      <c r="H109">
        <f t="shared" si="17"/>
        <v>-499.46898089760003</v>
      </c>
      <c r="I109">
        <v>1</v>
      </c>
      <c r="J109">
        <f t="shared" si="18"/>
        <v>8.9672060895514313E-2</v>
      </c>
      <c r="K109">
        <f t="shared" si="19"/>
        <v>-0.76509515177521747</v>
      </c>
      <c r="L109">
        <v>1</v>
      </c>
      <c r="M109">
        <f t="shared" si="20"/>
        <v>0.47526839009862648</v>
      </c>
      <c r="N109">
        <f t="shared" si="24"/>
        <v>8.2036164000000009E-2</v>
      </c>
      <c r="O109">
        <f t="shared" si="22"/>
        <v>5.4143868240000011E-2</v>
      </c>
      <c r="P109">
        <f t="shared" si="23"/>
        <v>0.15364672943659097</v>
      </c>
      <c r="V109">
        <v>4.5</v>
      </c>
      <c r="W109">
        <f t="shared" si="21"/>
        <v>-0.68520000000000003</v>
      </c>
    </row>
    <row r="110" spans="1:23" x14ac:dyDescent="0.3">
      <c r="A110">
        <v>5.5199951</v>
      </c>
      <c r="B110">
        <v>0.45051999999999998</v>
      </c>
      <c r="C110">
        <f t="shared" si="14"/>
        <v>2.486868192452</v>
      </c>
      <c r="D110">
        <v>1.4999999999999999E-2</v>
      </c>
      <c r="E110">
        <v>9.9000000000000008E-3</v>
      </c>
      <c r="F110">
        <f t="shared" si="15"/>
        <v>1103.99902</v>
      </c>
      <c r="G110">
        <f t="shared" si="16"/>
        <v>-0.45051999999999998</v>
      </c>
      <c r="H110">
        <f t="shared" si="17"/>
        <v>-497.37363849039997</v>
      </c>
      <c r="I110">
        <v>1</v>
      </c>
      <c r="J110">
        <f t="shared" si="18"/>
        <v>9.8939060173350205E-2</v>
      </c>
      <c r="K110">
        <f t="shared" si="19"/>
        <v>-0.77120515177521742</v>
      </c>
      <c r="L110">
        <v>1</v>
      </c>
      <c r="M110">
        <f t="shared" si="20"/>
        <v>0.47570949926425143</v>
      </c>
      <c r="N110">
        <f t="shared" si="24"/>
        <v>8.2799926499999996E-2</v>
      </c>
      <c r="O110">
        <f t="shared" si="22"/>
        <v>5.4647951490000006E-2</v>
      </c>
      <c r="P110">
        <f t="shared" si="23"/>
        <v>0.15804777452096597</v>
      </c>
      <c r="V110">
        <v>4.5999999999999996</v>
      </c>
      <c r="W110">
        <f t="shared" si="21"/>
        <v>-0.68995999999999991</v>
      </c>
    </row>
    <row r="111" spans="1:23" x14ac:dyDescent="0.3">
      <c r="A111">
        <v>5.5704048000000004</v>
      </c>
      <c r="B111">
        <v>0.44413999999999998</v>
      </c>
      <c r="C111">
        <f t="shared" si="14"/>
        <v>2.4740395878719998</v>
      </c>
      <c r="D111">
        <v>1.4999999999999999E-2</v>
      </c>
      <c r="E111">
        <v>9.9000000000000008E-3</v>
      </c>
      <c r="F111">
        <f t="shared" si="15"/>
        <v>1114.08096</v>
      </c>
      <c r="G111">
        <f t="shared" si="16"/>
        <v>-0.44413999999999998</v>
      </c>
      <c r="H111">
        <f t="shared" si="17"/>
        <v>-494.80791757439999</v>
      </c>
      <c r="I111">
        <v>1</v>
      </c>
      <c r="J111">
        <f t="shared" si="18"/>
        <v>0.10802981390927235</v>
      </c>
      <c r="K111">
        <f t="shared" si="19"/>
        <v>-0.77758515177521748</v>
      </c>
      <c r="L111">
        <v>1</v>
      </c>
      <c r="M111">
        <f t="shared" si="20"/>
        <v>0.47614221914208132</v>
      </c>
      <c r="N111">
        <f t="shared" si="24"/>
        <v>8.3556072000000009E-2</v>
      </c>
      <c r="O111">
        <f t="shared" si="22"/>
        <v>5.5147007520000006E-2</v>
      </c>
      <c r="P111">
        <f t="shared" si="23"/>
        <v>0.16273985311313613</v>
      </c>
      <c r="V111">
        <v>4.7</v>
      </c>
      <c r="W111">
        <f t="shared" si="21"/>
        <v>-0.69472</v>
      </c>
    </row>
    <row r="112" spans="1:23" x14ac:dyDescent="0.3">
      <c r="A112">
        <v>5.6208135000000006</v>
      </c>
      <c r="B112">
        <v>0.43763000000000002</v>
      </c>
      <c r="C112">
        <f t="shared" si="14"/>
        <v>2.4598366120050001</v>
      </c>
      <c r="D112">
        <v>1.4999999999999999E-2</v>
      </c>
      <c r="E112">
        <v>9.9000000000000008E-3</v>
      </c>
      <c r="F112">
        <f t="shared" si="15"/>
        <v>1124.1627000000001</v>
      </c>
      <c r="G112">
        <f t="shared" si="16"/>
        <v>-0.43763000000000002</v>
      </c>
      <c r="H112">
        <f t="shared" si="17"/>
        <v>-491.96732240100005</v>
      </c>
      <c r="I112">
        <v>1</v>
      </c>
      <c r="J112">
        <f t="shared" si="18"/>
        <v>0.11703849188577994</v>
      </c>
      <c r="K112">
        <f t="shared" si="19"/>
        <v>-0.78409515177521749</v>
      </c>
      <c r="L112">
        <v>1</v>
      </c>
      <c r="M112">
        <f t="shared" si="20"/>
        <v>0.47657103221376312</v>
      </c>
      <c r="N112">
        <f t="shared" si="24"/>
        <v>8.4312202500000002E-2</v>
      </c>
      <c r="O112">
        <f t="shared" si="22"/>
        <v>5.5646053650000013E-2</v>
      </c>
      <c r="P112">
        <f t="shared" si="23"/>
        <v>0.16756586341145435</v>
      </c>
      <c r="V112">
        <v>4.8</v>
      </c>
      <c r="W112">
        <f t="shared" si="21"/>
        <v>-0.69947999999999999</v>
      </c>
    </row>
    <row r="113" spans="1:23" x14ac:dyDescent="0.3">
      <c r="A113">
        <v>5.6747875999999993</v>
      </c>
      <c r="B113">
        <v>0.43091000000000002</v>
      </c>
      <c r="C113">
        <f t="shared" si="14"/>
        <v>2.4453227247159997</v>
      </c>
      <c r="D113">
        <v>1.4999999999999999E-2</v>
      </c>
      <c r="E113">
        <v>9.9000000000000008E-3</v>
      </c>
      <c r="F113">
        <f t="shared" si="15"/>
        <v>1134.9575199999999</v>
      </c>
      <c r="G113">
        <f t="shared" si="16"/>
        <v>-0.43091000000000002</v>
      </c>
      <c r="H113">
        <f t="shared" si="17"/>
        <v>-489.06454494319991</v>
      </c>
      <c r="I113">
        <v>1</v>
      </c>
      <c r="J113">
        <f t="shared" si="18"/>
        <v>0.12659522292017128</v>
      </c>
      <c r="K113">
        <f t="shared" si="19"/>
        <v>-0.79081515177521744</v>
      </c>
      <c r="L113">
        <v>1</v>
      </c>
      <c r="M113">
        <f t="shared" si="20"/>
        <v>0.47702593261100013</v>
      </c>
      <c r="N113">
        <f t="shared" si="24"/>
        <v>8.512181399999999E-2</v>
      </c>
      <c r="O113">
        <f t="shared" si="22"/>
        <v>5.6180397239999999E-2</v>
      </c>
      <c r="P113">
        <f t="shared" si="23"/>
        <v>0.17248700792421734</v>
      </c>
      <c r="V113">
        <v>4.9000000000000004</v>
      </c>
      <c r="W113">
        <f t="shared" si="21"/>
        <v>-0.70423999999999998</v>
      </c>
    </row>
    <row r="114" spans="1:23" x14ac:dyDescent="0.3">
      <c r="A114">
        <v>5.7302881000000001</v>
      </c>
      <c r="B114">
        <v>0.42387000000000002</v>
      </c>
      <c r="C114">
        <f t="shared" si="14"/>
        <v>2.428897216947</v>
      </c>
      <c r="D114">
        <v>1.4999999999999999E-2</v>
      </c>
      <c r="E114">
        <v>9.9000000000000008E-3</v>
      </c>
      <c r="F114">
        <f t="shared" si="15"/>
        <v>1146.05762</v>
      </c>
      <c r="G114">
        <f t="shared" si="16"/>
        <v>-0.42387000000000002</v>
      </c>
      <c r="H114">
        <f t="shared" si="17"/>
        <v>-485.7794433894</v>
      </c>
      <c r="I114">
        <v>1</v>
      </c>
      <c r="J114">
        <f t="shared" si="18"/>
        <v>0.13632789626070138</v>
      </c>
      <c r="K114">
        <f t="shared" si="19"/>
        <v>-0.79785515177521749</v>
      </c>
      <c r="L114">
        <v>1</v>
      </c>
      <c r="M114">
        <f t="shared" si="20"/>
        <v>0.47748920786200938</v>
      </c>
      <c r="N114">
        <f t="shared" si="24"/>
        <v>8.59543215E-2</v>
      </c>
      <c r="O114">
        <f t="shared" si="22"/>
        <v>5.6729852190000006E-2</v>
      </c>
      <c r="P114">
        <f t="shared" si="23"/>
        <v>0.17768177022320811</v>
      </c>
      <c r="V114">
        <v>5</v>
      </c>
      <c r="W114">
        <f t="shared" si="21"/>
        <v>-0.70899999999999996</v>
      </c>
    </row>
    <row r="115" spans="1:23" x14ac:dyDescent="0.3">
      <c r="A115">
        <v>5.7822245999999993</v>
      </c>
      <c r="B115">
        <v>0.41659000000000002</v>
      </c>
      <c r="C115">
        <f t="shared" si="14"/>
        <v>2.4088169461139999</v>
      </c>
      <c r="D115">
        <v>1.4999999999999999E-2</v>
      </c>
      <c r="E115">
        <v>9.9000000000000008E-3</v>
      </c>
      <c r="F115">
        <f t="shared" si="15"/>
        <v>1156.4449199999999</v>
      </c>
      <c r="G115">
        <f t="shared" si="16"/>
        <v>-0.41659000000000002</v>
      </c>
      <c r="H115">
        <f t="shared" si="17"/>
        <v>-481.76338922279996</v>
      </c>
      <c r="I115">
        <v>1</v>
      </c>
      <c r="J115">
        <f t="shared" si="18"/>
        <v>0.14535057509603702</v>
      </c>
      <c r="K115">
        <f t="shared" si="19"/>
        <v>-0.80513515177521744</v>
      </c>
      <c r="L115">
        <v>1</v>
      </c>
      <c r="M115">
        <f t="shared" si="20"/>
        <v>0.47791868737457133</v>
      </c>
      <c r="N115">
        <f t="shared" si="24"/>
        <v>8.6733368999999991E-2</v>
      </c>
      <c r="O115">
        <f t="shared" si="22"/>
        <v>5.7244023539999994E-2</v>
      </c>
      <c r="P115">
        <f t="shared" si="23"/>
        <v>0.18323907186064611</v>
      </c>
      <c r="V115">
        <v>5.0999999999999996</v>
      </c>
      <c r="W115">
        <f t="shared" si="21"/>
        <v>-0.71375999999999995</v>
      </c>
    </row>
    <row r="116" spans="1:23" x14ac:dyDescent="0.3">
      <c r="A116">
        <v>5.8331431</v>
      </c>
      <c r="B116">
        <v>0.40967999999999999</v>
      </c>
      <c r="C116">
        <f t="shared" si="14"/>
        <v>2.3897220652079998</v>
      </c>
      <c r="D116">
        <v>1.4999999999999999E-2</v>
      </c>
      <c r="E116">
        <v>9.9000000000000008E-3</v>
      </c>
      <c r="F116">
        <f t="shared" si="15"/>
        <v>1166.62862</v>
      </c>
      <c r="G116">
        <f t="shared" si="16"/>
        <v>-0.40967999999999999</v>
      </c>
      <c r="H116">
        <f t="shared" si="17"/>
        <v>-477.94441304159994</v>
      </c>
      <c r="I116">
        <v>1</v>
      </c>
      <c r="J116">
        <f t="shared" si="18"/>
        <v>0.15411806786692267</v>
      </c>
      <c r="K116">
        <f t="shared" si="19"/>
        <v>-0.81204515177521741</v>
      </c>
      <c r="L116">
        <v>1</v>
      </c>
      <c r="M116">
        <f t="shared" si="20"/>
        <v>0.47833602003046549</v>
      </c>
      <c r="N116">
        <f t="shared" si="24"/>
        <v>8.7497146499999998E-2</v>
      </c>
      <c r="O116">
        <f t="shared" si="22"/>
        <v>5.7748116690000004E-2</v>
      </c>
      <c r="P116">
        <f t="shared" si="23"/>
        <v>0.18846386855475189</v>
      </c>
      <c r="V116">
        <v>5.2</v>
      </c>
      <c r="W116">
        <f t="shared" si="21"/>
        <v>-0.71852000000000005</v>
      </c>
    </row>
    <row r="117" spans="1:23" x14ac:dyDescent="0.3">
      <c r="A117">
        <v>5.8840615000000005</v>
      </c>
      <c r="B117">
        <v>0.40257999999999999</v>
      </c>
      <c r="C117">
        <f t="shared" si="14"/>
        <v>2.3688054786700001</v>
      </c>
      <c r="D117">
        <v>1.4999999999999999E-2</v>
      </c>
      <c r="E117">
        <v>9.9000000000000008E-3</v>
      </c>
      <c r="F117">
        <f t="shared" si="15"/>
        <v>1176.8123000000001</v>
      </c>
      <c r="G117">
        <f t="shared" si="16"/>
        <v>-0.40257999999999999</v>
      </c>
      <c r="H117">
        <f t="shared" si="17"/>
        <v>-473.76109573400004</v>
      </c>
      <c r="I117">
        <v>1</v>
      </c>
      <c r="J117">
        <f t="shared" si="18"/>
        <v>0.16280934232388775</v>
      </c>
      <c r="K117">
        <f t="shared" si="19"/>
        <v>-0.81914515177521752</v>
      </c>
      <c r="L117">
        <v>1</v>
      </c>
      <c r="M117">
        <f t="shared" si="20"/>
        <v>0.47874972469461702</v>
      </c>
      <c r="N117">
        <f t="shared" si="24"/>
        <v>8.8260922500000005E-2</v>
      </c>
      <c r="O117">
        <f t="shared" si="22"/>
        <v>5.8252208850000008E-2</v>
      </c>
      <c r="P117">
        <f t="shared" si="23"/>
        <v>0.19388229573060048</v>
      </c>
      <c r="V117">
        <v>5.3</v>
      </c>
      <c r="W117">
        <f t="shared" si="21"/>
        <v>-0.72327999999999992</v>
      </c>
    </row>
    <row r="118" spans="1:23" x14ac:dyDescent="0.3">
      <c r="A118">
        <v>5.9390536999999997</v>
      </c>
      <c r="B118">
        <v>0.39532</v>
      </c>
      <c r="C118">
        <f t="shared" si="14"/>
        <v>2.3478267086839999</v>
      </c>
      <c r="D118">
        <v>1.4999999999999999E-2</v>
      </c>
      <c r="E118">
        <v>9.9000000000000008E-3</v>
      </c>
      <c r="F118">
        <f t="shared" si="15"/>
        <v>1187.8107399999999</v>
      </c>
      <c r="G118">
        <f t="shared" si="16"/>
        <v>-0.39532</v>
      </c>
      <c r="H118">
        <f t="shared" si="17"/>
        <v>-469.56534173679995</v>
      </c>
      <c r="I118">
        <v>1</v>
      </c>
      <c r="J118">
        <f t="shared" si="18"/>
        <v>0.172111898484995</v>
      </c>
      <c r="K118">
        <f t="shared" si="19"/>
        <v>-0.82640515177521745</v>
      </c>
      <c r="L118">
        <v>1</v>
      </c>
      <c r="M118">
        <f t="shared" si="20"/>
        <v>0.47919252636788573</v>
      </c>
      <c r="N118">
        <f t="shared" si="24"/>
        <v>8.908580549999999E-2</v>
      </c>
      <c r="O118">
        <f t="shared" si="22"/>
        <v>5.8796631629999999E-2</v>
      </c>
      <c r="P118">
        <f t="shared" si="23"/>
        <v>0.19933018827733173</v>
      </c>
      <c r="V118">
        <v>5.4</v>
      </c>
      <c r="W118">
        <f t="shared" si="21"/>
        <v>-0.72804000000000002</v>
      </c>
    </row>
    <row r="119" spans="1:23" x14ac:dyDescent="0.3">
      <c r="A119">
        <v>5.9914990000000001</v>
      </c>
      <c r="B119">
        <v>0.38738</v>
      </c>
      <c r="C119">
        <f t="shared" si="14"/>
        <v>2.3209868826200002</v>
      </c>
      <c r="D119">
        <v>1.4999999999999999E-2</v>
      </c>
      <c r="E119">
        <v>9.9000000000000008E-3</v>
      </c>
      <c r="F119">
        <f t="shared" si="15"/>
        <v>1198.2998</v>
      </c>
      <c r="G119">
        <f t="shared" si="16"/>
        <v>-0.38738</v>
      </c>
      <c r="H119">
        <f t="shared" si="17"/>
        <v>-464.19737652400005</v>
      </c>
      <c r="I119">
        <v>1</v>
      </c>
      <c r="J119">
        <f t="shared" si="18"/>
        <v>0.18090371880320721</v>
      </c>
      <c r="K119">
        <f t="shared" si="19"/>
        <v>-0.8343451517752174</v>
      </c>
      <c r="L119">
        <v>1</v>
      </c>
      <c r="M119">
        <f t="shared" si="20"/>
        <v>0.47961101701503261</v>
      </c>
      <c r="N119">
        <f t="shared" si="24"/>
        <v>8.9872485000000002E-2</v>
      </c>
      <c r="O119">
        <f t="shared" si="22"/>
        <v>5.9315840100000003E-2</v>
      </c>
      <c r="P119">
        <f t="shared" si="23"/>
        <v>0.20554580966018476</v>
      </c>
      <c r="V119">
        <v>5.5</v>
      </c>
      <c r="W119">
        <f t="shared" si="21"/>
        <v>-0.73280000000000001</v>
      </c>
    </row>
    <row r="120" spans="1:23" x14ac:dyDescent="0.3">
      <c r="A120">
        <v>6.0419087000000005</v>
      </c>
      <c r="B120">
        <v>0.37957000000000002</v>
      </c>
      <c r="C120">
        <f t="shared" si="14"/>
        <v>2.2933272852590001</v>
      </c>
      <c r="D120">
        <v>1.4999999999999999E-2</v>
      </c>
      <c r="E120">
        <v>9.9000000000000008E-3</v>
      </c>
      <c r="F120">
        <f t="shared" si="15"/>
        <v>1208.38174</v>
      </c>
      <c r="G120">
        <f t="shared" si="16"/>
        <v>-0.37957000000000002</v>
      </c>
      <c r="H120">
        <f t="shared" si="17"/>
        <v>-458.66545705179999</v>
      </c>
      <c r="I120">
        <v>1</v>
      </c>
      <c r="J120">
        <f t="shared" si="18"/>
        <v>0.18928205952577565</v>
      </c>
      <c r="K120">
        <f t="shared" si="19"/>
        <v>-0.84215515177521749</v>
      </c>
      <c r="L120">
        <v>1</v>
      </c>
      <c r="M120">
        <f t="shared" si="20"/>
        <v>0.4800098260334269</v>
      </c>
      <c r="N120">
        <f t="shared" si="24"/>
        <v>9.0628630500000001E-2</v>
      </c>
      <c r="O120">
        <f t="shared" si="22"/>
        <v>5.981489613000001E-2</v>
      </c>
      <c r="P120">
        <f t="shared" si="23"/>
        <v>0.21170179911179055</v>
      </c>
      <c r="V120">
        <v>5.6</v>
      </c>
      <c r="W120">
        <f t="shared" si="21"/>
        <v>-0.73755999999999999</v>
      </c>
    </row>
    <row r="121" spans="1:23" x14ac:dyDescent="0.3">
      <c r="A121">
        <v>6.0928270999999992</v>
      </c>
      <c r="B121">
        <v>0.37296000000000001</v>
      </c>
      <c r="C121">
        <f t="shared" si="14"/>
        <v>2.2723807952159998</v>
      </c>
      <c r="D121">
        <v>1.4999999999999999E-2</v>
      </c>
      <c r="E121">
        <v>9.9000000000000008E-3</v>
      </c>
      <c r="F121">
        <f t="shared" si="15"/>
        <v>1218.5654199999999</v>
      </c>
      <c r="G121">
        <f t="shared" si="16"/>
        <v>-0.37296000000000001</v>
      </c>
      <c r="H121">
        <f t="shared" si="17"/>
        <v>-454.47615904319997</v>
      </c>
      <c r="I121">
        <v>1</v>
      </c>
      <c r="J121">
        <f t="shared" si="18"/>
        <v>0.19767428160376146</v>
      </c>
      <c r="K121">
        <f t="shared" si="19"/>
        <v>-0.8487651517752175</v>
      </c>
      <c r="L121">
        <v>1</v>
      </c>
      <c r="M121">
        <f t="shared" si="20"/>
        <v>0.480409295804339</v>
      </c>
      <c r="N121">
        <f t="shared" si="24"/>
        <v>9.1392406499999981E-2</v>
      </c>
      <c r="O121">
        <f t="shared" si="22"/>
        <v>6.0318988289999993E-2</v>
      </c>
      <c r="P121">
        <f t="shared" si="23"/>
        <v>0.21664446118087854</v>
      </c>
      <c r="V121">
        <v>5.7</v>
      </c>
      <c r="W121">
        <f t="shared" si="21"/>
        <v>-0.74231999999999998</v>
      </c>
    </row>
    <row r="122" spans="1:23" x14ac:dyDescent="0.3">
      <c r="A122">
        <v>6.1478184000000002</v>
      </c>
      <c r="B122">
        <v>0.36543999999999999</v>
      </c>
      <c r="C122">
        <f t="shared" si="14"/>
        <v>2.2466587560960001</v>
      </c>
      <c r="D122">
        <v>1.4999999999999999E-2</v>
      </c>
      <c r="E122">
        <v>9.9000000000000008E-3</v>
      </c>
      <c r="F122">
        <f t="shared" si="15"/>
        <v>1229.56368</v>
      </c>
      <c r="G122">
        <f t="shared" si="16"/>
        <v>-0.36543999999999999</v>
      </c>
      <c r="H122">
        <f t="shared" si="17"/>
        <v>-449.33175121919999</v>
      </c>
      <c r="I122">
        <v>1</v>
      </c>
      <c r="J122">
        <f t="shared" si="18"/>
        <v>0.20665937474483387</v>
      </c>
      <c r="K122">
        <f t="shared" si="19"/>
        <v>-0.85628515177521747</v>
      </c>
      <c r="L122">
        <v>1</v>
      </c>
      <c r="M122">
        <f t="shared" si="20"/>
        <v>0.48083698623785409</v>
      </c>
      <c r="N122">
        <f t="shared" si="24"/>
        <v>9.2217276000000001E-2</v>
      </c>
      <c r="O122">
        <f t="shared" si="22"/>
        <v>6.086340216000001E-2</v>
      </c>
      <c r="P122">
        <f t="shared" si="23"/>
        <v>0.22236748737736334</v>
      </c>
      <c r="V122">
        <v>5.8</v>
      </c>
      <c r="W122">
        <f t="shared" si="21"/>
        <v>-0.74707999999999997</v>
      </c>
    </row>
    <row r="123" spans="1:23" x14ac:dyDescent="0.3">
      <c r="A123">
        <v>6.1987373000000003</v>
      </c>
      <c r="B123">
        <v>0.35749999999999998</v>
      </c>
      <c r="C123">
        <f t="shared" si="14"/>
        <v>2.2160485847500002</v>
      </c>
      <c r="D123">
        <v>1.4999999999999999E-2</v>
      </c>
      <c r="E123">
        <v>9.9000000000000008E-3</v>
      </c>
      <c r="F123">
        <f t="shared" si="15"/>
        <v>1239.74746</v>
      </c>
      <c r="G123">
        <f t="shared" si="16"/>
        <v>-0.35749999999999998</v>
      </c>
      <c r="H123">
        <f t="shared" si="17"/>
        <v>-443.20971695000003</v>
      </c>
      <c r="I123">
        <v>1</v>
      </c>
      <c r="J123">
        <f t="shared" si="18"/>
        <v>0.2149076975848461</v>
      </c>
      <c r="K123">
        <f t="shared" si="19"/>
        <v>-0.86422515177521753</v>
      </c>
      <c r="L123">
        <v>1</v>
      </c>
      <c r="M123">
        <f t="shared" si="20"/>
        <v>0.48122960640503865</v>
      </c>
      <c r="N123">
        <f t="shared" si="24"/>
        <v>9.2981059500000005E-2</v>
      </c>
      <c r="O123">
        <f t="shared" si="22"/>
        <v>6.1367499270000007E-2</v>
      </c>
      <c r="P123">
        <f t="shared" si="23"/>
        <v>0.22864698660017885</v>
      </c>
      <c r="V123">
        <v>5.9</v>
      </c>
      <c r="W123">
        <f t="shared" si="21"/>
        <v>-0.75184000000000006</v>
      </c>
    </row>
    <row r="124" spans="1:23" x14ac:dyDescent="0.3">
      <c r="A124">
        <v>6.2532188</v>
      </c>
      <c r="B124">
        <v>0.34932999999999997</v>
      </c>
      <c r="C124">
        <f t="shared" si="14"/>
        <v>2.1844369234039998</v>
      </c>
      <c r="D124">
        <v>1.4999999999999999E-2</v>
      </c>
      <c r="E124">
        <v>9.9000000000000008E-3</v>
      </c>
      <c r="F124">
        <f t="shared" si="15"/>
        <v>1250.6437599999999</v>
      </c>
      <c r="G124">
        <f t="shared" si="16"/>
        <v>-0.34932999999999997</v>
      </c>
      <c r="H124">
        <f t="shared" si="17"/>
        <v>-436.88738468079993</v>
      </c>
      <c r="I124">
        <v>1</v>
      </c>
      <c r="J124">
        <f t="shared" si="18"/>
        <v>0.22365842674310454</v>
      </c>
      <c r="K124">
        <f t="shared" si="19"/>
        <v>-0.87239515177521754</v>
      </c>
      <c r="L124">
        <v>1</v>
      </c>
      <c r="M124">
        <f t="shared" si="20"/>
        <v>0.48164614111297177</v>
      </c>
      <c r="N124">
        <f t="shared" si="24"/>
        <v>9.3798281999999997E-2</v>
      </c>
      <c r="O124">
        <f t="shared" si="22"/>
        <v>6.1906866120000008E-2</v>
      </c>
      <c r="P124">
        <f t="shared" si="23"/>
        <v>0.23504386254224574</v>
      </c>
      <c r="V124">
        <v>6</v>
      </c>
      <c r="W124">
        <f t="shared" si="21"/>
        <v>-0.75659999999999994</v>
      </c>
    </row>
    <row r="125" spans="1:23" x14ac:dyDescent="0.3">
      <c r="A125">
        <v>6.3056650000000003</v>
      </c>
      <c r="B125">
        <v>0.34084999999999999</v>
      </c>
      <c r="C125">
        <f t="shared" si="14"/>
        <v>2.1492859152500001</v>
      </c>
      <c r="D125">
        <v>1.4999999999999999E-2</v>
      </c>
      <c r="E125">
        <v>9.9000000000000008E-3</v>
      </c>
      <c r="F125">
        <f t="shared" si="15"/>
        <v>1261.133</v>
      </c>
      <c r="G125">
        <f t="shared" si="16"/>
        <v>-0.34084999999999999</v>
      </c>
      <c r="H125">
        <f t="shared" si="17"/>
        <v>-429.85718305</v>
      </c>
      <c r="I125">
        <v>1</v>
      </c>
      <c r="J125">
        <f t="shared" si="18"/>
        <v>0.23201052326875818</v>
      </c>
      <c r="K125">
        <f t="shared" si="19"/>
        <v>-0.88087515177521747</v>
      </c>
      <c r="L125">
        <v>1</v>
      </c>
      <c r="M125">
        <f t="shared" si="20"/>
        <v>0.48204370090759285</v>
      </c>
      <c r="N125">
        <f t="shared" si="24"/>
        <v>9.4584975000000002E-2</v>
      </c>
      <c r="O125">
        <f t="shared" si="22"/>
        <v>6.2426083500000007E-2</v>
      </c>
      <c r="P125">
        <f t="shared" si="23"/>
        <v>0.24182039236762459</v>
      </c>
      <c r="V125">
        <v>6.1</v>
      </c>
      <c r="W125">
        <f t="shared" si="21"/>
        <v>-0.76136000000000004</v>
      </c>
    </row>
    <row r="126" spans="1:23" x14ac:dyDescent="0.3">
      <c r="A126">
        <v>6.3576021000000003</v>
      </c>
      <c r="B126">
        <v>0.33274999999999999</v>
      </c>
      <c r="C126">
        <f t="shared" si="14"/>
        <v>2.1154920987749999</v>
      </c>
      <c r="D126">
        <v>1.4999999999999999E-2</v>
      </c>
      <c r="E126">
        <v>9.9000000000000008E-3</v>
      </c>
      <c r="F126">
        <f t="shared" si="15"/>
        <v>1271.5204200000001</v>
      </c>
      <c r="G126">
        <f t="shared" si="16"/>
        <v>-0.33274999999999999</v>
      </c>
      <c r="H126">
        <f t="shared" si="17"/>
        <v>-423.09841975499995</v>
      </c>
      <c r="I126">
        <v>1</v>
      </c>
      <c r="J126">
        <f t="shared" si="18"/>
        <v>0.24021336552300351</v>
      </c>
      <c r="K126">
        <f t="shared" si="19"/>
        <v>-0.88897515177521746</v>
      </c>
      <c r="L126">
        <v>1</v>
      </c>
      <c r="M126">
        <f t="shared" si="20"/>
        <v>0.48243415619889496</v>
      </c>
      <c r="N126">
        <f t="shared" si="24"/>
        <v>9.5364031500000002E-2</v>
      </c>
      <c r="O126">
        <f t="shared" si="22"/>
        <v>6.2940260790000008E-2</v>
      </c>
      <c r="P126">
        <f t="shared" si="23"/>
        <v>0.2482367032863225</v>
      </c>
      <c r="V126">
        <v>6.2</v>
      </c>
      <c r="W126">
        <f t="shared" si="21"/>
        <v>-0.76612000000000002</v>
      </c>
    </row>
    <row r="127" spans="1:23" x14ac:dyDescent="0.3">
      <c r="A127">
        <v>6.4105565999999996</v>
      </c>
      <c r="B127">
        <v>0.3251</v>
      </c>
      <c r="C127">
        <f t="shared" si="14"/>
        <v>2.0840719506599998</v>
      </c>
      <c r="D127">
        <v>1.4999999999999999E-2</v>
      </c>
      <c r="E127">
        <v>9.9000000000000008E-3</v>
      </c>
      <c r="F127">
        <f t="shared" si="15"/>
        <v>1282.11132</v>
      </c>
      <c r="G127">
        <f t="shared" si="16"/>
        <v>-0.3251</v>
      </c>
      <c r="H127">
        <f t="shared" si="17"/>
        <v>-416.81439013199997</v>
      </c>
      <c r="I127">
        <v>1</v>
      </c>
      <c r="J127">
        <f t="shared" si="18"/>
        <v>0.24850818780202819</v>
      </c>
      <c r="K127">
        <f t="shared" si="19"/>
        <v>-0.89662515177521751</v>
      </c>
      <c r="L127">
        <v>1</v>
      </c>
      <c r="M127">
        <f t="shared" si="20"/>
        <v>0.48282898973937649</v>
      </c>
      <c r="N127">
        <f t="shared" si="24"/>
        <v>9.615834899999999E-2</v>
      </c>
      <c r="O127">
        <f t="shared" si="22"/>
        <v>6.3464510340000002E-2</v>
      </c>
      <c r="P127">
        <f t="shared" si="23"/>
        <v>0.25417330269584104</v>
      </c>
      <c r="V127">
        <v>6.3</v>
      </c>
      <c r="W127">
        <f t="shared" si="21"/>
        <v>-0.77088000000000001</v>
      </c>
    </row>
    <row r="128" spans="1:23" x14ac:dyDescent="0.3">
      <c r="A128">
        <v>6.4665673999999997</v>
      </c>
      <c r="B128">
        <v>0.31668000000000002</v>
      </c>
      <c r="C128">
        <f t="shared" si="14"/>
        <v>2.0478325642319999</v>
      </c>
      <c r="D128">
        <v>1.4999999999999999E-2</v>
      </c>
      <c r="E128">
        <v>9.9000000000000008E-3</v>
      </c>
      <c r="F128">
        <f t="shared" si="15"/>
        <v>1293.31348</v>
      </c>
      <c r="G128">
        <f t="shared" si="16"/>
        <v>-0.31668000000000002</v>
      </c>
      <c r="H128">
        <f t="shared" si="17"/>
        <v>-409.56651284639997</v>
      </c>
      <c r="I128">
        <v>1</v>
      </c>
      <c r="J128">
        <f t="shared" si="18"/>
        <v>0.25720751433378819</v>
      </c>
      <c r="K128">
        <f t="shared" si="19"/>
        <v>-0.90504515177521738</v>
      </c>
      <c r="L128">
        <v>1</v>
      </c>
      <c r="M128">
        <f t="shared" si="20"/>
        <v>0.4832430776822883</v>
      </c>
      <c r="N128">
        <f t="shared" si="24"/>
        <v>9.6998510999999996E-2</v>
      </c>
      <c r="O128">
        <f t="shared" si="22"/>
        <v>6.4019017260000005E-2</v>
      </c>
      <c r="P128">
        <f t="shared" si="23"/>
        <v>0.26078454583292909</v>
      </c>
      <c r="V128">
        <v>6.4</v>
      </c>
      <c r="W128">
        <f t="shared" si="21"/>
        <v>-0.77564</v>
      </c>
    </row>
    <row r="129" spans="1:23" x14ac:dyDescent="0.3">
      <c r="A129">
        <v>6.5190126999999993</v>
      </c>
      <c r="B129">
        <v>0.30786000000000002</v>
      </c>
      <c r="C129">
        <f t="shared" si="14"/>
        <v>2.0069432498220001</v>
      </c>
      <c r="D129">
        <v>1.4999999999999999E-2</v>
      </c>
      <c r="E129">
        <v>9.9000000000000008E-3</v>
      </c>
      <c r="F129">
        <f t="shared" si="15"/>
        <v>1303.8025399999999</v>
      </c>
      <c r="G129">
        <f t="shared" si="16"/>
        <v>-0.30786000000000002</v>
      </c>
      <c r="H129">
        <f t="shared" si="17"/>
        <v>-401.38864996440003</v>
      </c>
      <c r="I129">
        <v>1</v>
      </c>
      <c r="J129">
        <f t="shared" si="18"/>
        <v>0.26528502565796119</v>
      </c>
      <c r="K129">
        <f t="shared" si="19"/>
        <v>-0.91386515177521743</v>
      </c>
      <c r="L129">
        <v>1</v>
      </c>
      <c r="M129">
        <f t="shared" si="20"/>
        <v>0.48362756722131894</v>
      </c>
      <c r="N129">
        <f t="shared" si="24"/>
        <v>9.778519049999998E-2</v>
      </c>
      <c r="O129">
        <f t="shared" si="22"/>
        <v>6.4538225729999996E-2</v>
      </c>
      <c r="P129">
        <f t="shared" si="23"/>
        <v>0.26791416832389847</v>
      </c>
      <c r="V129">
        <v>6.5</v>
      </c>
      <c r="W129">
        <f t="shared" si="21"/>
        <v>-0.78039999999999998</v>
      </c>
    </row>
    <row r="130" spans="1:23" x14ac:dyDescent="0.3">
      <c r="A130">
        <v>6.5704408999999995</v>
      </c>
      <c r="B130">
        <v>0.29893999999999998</v>
      </c>
      <c r="C130">
        <f t="shared" si="14"/>
        <v>1.9641676026459998</v>
      </c>
      <c r="D130">
        <v>1.4999999999999999E-2</v>
      </c>
      <c r="E130">
        <v>9.9000000000000008E-3</v>
      </c>
      <c r="F130">
        <f t="shared" si="15"/>
        <v>1314.08818</v>
      </c>
      <c r="G130">
        <f t="shared" si="16"/>
        <v>-0.29893999999999998</v>
      </c>
      <c r="H130">
        <f t="shared" si="17"/>
        <v>-392.83352052919997</v>
      </c>
      <c r="I130">
        <v>1</v>
      </c>
      <c r="J130">
        <f t="shared" si="18"/>
        <v>0.27314302587774419</v>
      </c>
      <c r="K130">
        <f t="shared" si="19"/>
        <v>-0.92278515177521747</v>
      </c>
      <c r="L130">
        <v>1</v>
      </c>
      <c r="M130">
        <f t="shared" si="20"/>
        <v>0.48400160803178061</v>
      </c>
      <c r="N130">
        <f t="shared" si="24"/>
        <v>9.8556613499999987E-2</v>
      </c>
      <c r="O130">
        <f t="shared" si="22"/>
        <v>6.5047364910000002E-2</v>
      </c>
      <c r="P130">
        <f t="shared" si="23"/>
        <v>0.27517956533343685</v>
      </c>
      <c r="V130">
        <v>6.6</v>
      </c>
      <c r="W130">
        <f t="shared" si="21"/>
        <v>-0.78515999999999997</v>
      </c>
    </row>
    <row r="131" spans="1:23" x14ac:dyDescent="0.3">
      <c r="A131">
        <v>6.6208496000000006</v>
      </c>
      <c r="B131">
        <v>0.29215999999999998</v>
      </c>
      <c r="C131">
        <f t="shared" si="14"/>
        <v>1.9343474191359999</v>
      </c>
      <c r="D131">
        <v>1.4999999999999999E-2</v>
      </c>
      <c r="E131">
        <v>9.9000000000000008E-3</v>
      </c>
      <c r="F131">
        <f t="shared" si="15"/>
        <v>1324.16992</v>
      </c>
      <c r="G131">
        <f t="shared" si="16"/>
        <v>-0.29215999999999998</v>
      </c>
      <c r="H131">
        <f t="shared" si="17"/>
        <v>-386.86948382719999</v>
      </c>
      <c r="I131">
        <v>1</v>
      </c>
      <c r="J131">
        <f t="shared" si="18"/>
        <v>0.28078578764873274</v>
      </c>
      <c r="K131">
        <f t="shared" si="19"/>
        <v>-0.92956515177521748</v>
      </c>
      <c r="L131">
        <v>1</v>
      </c>
      <c r="M131">
        <f t="shared" si="20"/>
        <v>0.48436540349207963</v>
      </c>
      <c r="N131">
        <f t="shared" si="24"/>
        <v>9.9312744000000008E-2</v>
      </c>
      <c r="O131">
        <f t="shared" si="22"/>
        <v>6.5546411040000016E-2</v>
      </c>
      <c r="P131">
        <f t="shared" si="23"/>
        <v>0.28034059324313781</v>
      </c>
      <c r="V131">
        <v>6.7</v>
      </c>
      <c r="W131">
        <f t="shared" si="21"/>
        <v>-0.78991999999999996</v>
      </c>
    </row>
    <row r="132" spans="1:23" x14ac:dyDescent="0.3">
      <c r="A132">
        <v>6.6743145000000004</v>
      </c>
      <c r="B132">
        <v>0.28393000000000002</v>
      </c>
      <c r="C132">
        <f t="shared" si="14"/>
        <v>1.8950381159850003</v>
      </c>
      <c r="D132">
        <v>1.4999999999999999E-2</v>
      </c>
      <c r="E132">
        <v>9.9000000000000008E-3</v>
      </c>
      <c r="F132">
        <f t="shared" si="15"/>
        <v>1334.8629000000001</v>
      </c>
      <c r="G132">
        <f t="shared" si="16"/>
        <v>-0.28393000000000002</v>
      </c>
      <c r="H132">
        <f t="shared" si="17"/>
        <v>-379.00762319700004</v>
      </c>
      <c r="I132">
        <v>1</v>
      </c>
      <c r="J132">
        <f t="shared" si="18"/>
        <v>0.28882858994933952</v>
      </c>
      <c r="K132">
        <f t="shared" si="19"/>
        <v>-0.93779515177521744</v>
      </c>
      <c r="L132">
        <v>1</v>
      </c>
      <c r="M132">
        <f t="shared" si="20"/>
        <v>0.48474824088158852</v>
      </c>
      <c r="N132">
        <f t="shared" si="24"/>
        <v>0.10011471750000001</v>
      </c>
      <c r="O132">
        <f t="shared" si="22"/>
        <v>6.6075713550000012E-2</v>
      </c>
      <c r="P132">
        <f t="shared" si="23"/>
        <v>0.28685647984362889</v>
      </c>
      <c r="V132">
        <v>6.8</v>
      </c>
      <c r="W132">
        <f t="shared" si="21"/>
        <v>-0.79468000000000005</v>
      </c>
    </row>
    <row r="133" spans="1:23" x14ac:dyDescent="0.3">
      <c r="A133">
        <v>6.7262509999999995</v>
      </c>
      <c r="B133">
        <v>0.27527000000000001</v>
      </c>
      <c r="C133">
        <f t="shared" ref="C133:C196" si="25">A133*B133</f>
        <v>1.8515351127699999</v>
      </c>
      <c r="D133">
        <v>1.4999999999999999E-2</v>
      </c>
      <c r="E133">
        <v>9.9000000000000008E-3</v>
      </c>
      <c r="F133">
        <f t="shared" ref="F133:F196" si="26">A133*200</f>
        <v>1345.2501999999999</v>
      </c>
      <c r="G133">
        <f t="shared" ref="G133:G144" si="27">-B133</f>
        <v>-0.27527000000000001</v>
      </c>
      <c r="H133">
        <f t="shared" ref="H133:H196" si="28">-C133*200</f>
        <v>-370.30702255400001</v>
      </c>
      <c r="I133">
        <v>1</v>
      </c>
      <c r="J133">
        <f t="shared" ref="J133:J196" si="29">LN(F133/1000)</f>
        <v>0.2965800180586316</v>
      </c>
      <c r="K133">
        <f t="shared" ref="K133:K187" si="30">((-G133)-$N$2)</f>
        <v>-0.94645515177521744</v>
      </c>
      <c r="L133">
        <v>1</v>
      </c>
      <c r="M133">
        <f t="shared" ref="M133:M196" si="31">-1*($S$4+($S$5*J133))</f>
        <v>0.48511720885959086</v>
      </c>
      <c r="N133">
        <f t="shared" si="24"/>
        <v>0.10089376499999998</v>
      </c>
      <c r="O133">
        <f t="shared" si="22"/>
        <v>6.6589884900000007E-2</v>
      </c>
      <c r="P133">
        <f t="shared" si="23"/>
        <v>0.2938542930156266</v>
      </c>
      <c r="V133">
        <v>6.9</v>
      </c>
      <c r="W133">
        <f t="shared" ref="W133:W139" si="32">V133*$S$5+$S$4</f>
        <v>-0.79944000000000004</v>
      </c>
    </row>
    <row r="134" spans="1:23" x14ac:dyDescent="0.3">
      <c r="A134">
        <v>6.7792056000000001</v>
      </c>
      <c r="B134">
        <v>0.26629000000000003</v>
      </c>
      <c r="C134">
        <f t="shared" si="25"/>
        <v>1.8052346592240003</v>
      </c>
      <c r="D134">
        <v>1.4999999999999999E-2</v>
      </c>
      <c r="E134">
        <v>9.9000000000000008E-3</v>
      </c>
      <c r="F134">
        <f t="shared" si="26"/>
        <v>1355.84112</v>
      </c>
      <c r="G134">
        <f t="shared" si="27"/>
        <v>-0.26629000000000003</v>
      </c>
      <c r="H134">
        <f t="shared" si="28"/>
        <v>-361.04693184480004</v>
      </c>
      <c r="I134">
        <v>1</v>
      </c>
      <c r="J134">
        <f t="shared" si="29"/>
        <v>0.30442201451188799</v>
      </c>
      <c r="K134">
        <f t="shared" si="30"/>
        <v>-0.95543515177521743</v>
      </c>
      <c r="L134">
        <v>1</v>
      </c>
      <c r="M134">
        <f t="shared" si="31"/>
        <v>0.48549048789076582</v>
      </c>
      <c r="N134">
        <f t="shared" si="24"/>
        <v>0.101688084</v>
      </c>
      <c r="O134">
        <f t="shared" ref="O134:O144" si="33">E134*A134</f>
        <v>6.711413544E-2</v>
      </c>
      <c r="P134">
        <f t="shared" ref="P134:P144" si="34">-K134-M134-N134-O134</f>
        <v>0.3011424444444516</v>
      </c>
      <c r="V134">
        <v>7</v>
      </c>
      <c r="W134">
        <f t="shared" si="32"/>
        <v>-0.80420000000000003</v>
      </c>
    </row>
    <row r="135" spans="1:23" x14ac:dyDescent="0.3">
      <c r="A135">
        <v>6.8341972999999996</v>
      </c>
      <c r="B135">
        <v>0.25852000000000003</v>
      </c>
      <c r="C135">
        <f t="shared" si="25"/>
        <v>1.7667766859960001</v>
      </c>
      <c r="D135">
        <v>1.4999999999999999E-2</v>
      </c>
      <c r="E135">
        <v>9.9000000000000008E-3</v>
      </c>
      <c r="F135">
        <f t="shared" si="26"/>
        <v>1366.8394599999999</v>
      </c>
      <c r="G135">
        <f t="shared" si="27"/>
        <v>-0.25852000000000003</v>
      </c>
      <c r="H135">
        <f t="shared" si="28"/>
        <v>-353.35533719920005</v>
      </c>
      <c r="I135">
        <v>1</v>
      </c>
      <c r="J135">
        <f t="shared" si="29"/>
        <v>0.31250111119637086</v>
      </c>
      <c r="K135">
        <f t="shared" si="30"/>
        <v>-0.96320515177521737</v>
      </c>
      <c r="L135">
        <v>1</v>
      </c>
      <c r="M135">
        <f t="shared" si="31"/>
        <v>0.48587505289294725</v>
      </c>
      <c r="N135">
        <f t="shared" ref="N135:N144" si="35">D135*A135</f>
        <v>0.10251295949999999</v>
      </c>
      <c r="O135">
        <f t="shared" si="33"/>
        <v>6.7658553270000005E-2</v>
      </c>
      <c r="P135">
        <f t="shared" si="34"/>
        <v>0.30715858611227009</v>
      </c>
      <c r="V135">
        <v>7.1</v>
      </c>
      <c r="W135">
        <f t="shared" si="32"/>
        <v>-0.8089599999999999</v>
      </c>
    </row>
    <row r="136" spans="1:23" x14ac:dyDescent="0.3">
      <c r="A136">
        <v>6.8637300000000003</v>
      </c>
      <c r="B136">
        <v>0.25152999999999998</v>
      </c>
      <c r="C136">
        <f t="shared" si="25"/>
        <v>1.7264340068999999</v>
      </c>
      <c r="D136">
        <v>1.4999999999999999E-2</v>
      </c>
      <c r="E136">
        <v>9.9000000000000008E-3</v>
      </c>
      <c r="F136">
        <f t="shared" si="26"/>
        <v>1372.7460000000001</v>
      </c>
      <c r="G136">
        <f t="shared" si="27"/>
        <v>-0.25152999999999998</v>
      </c>
      <c r="H136">
        <f t="shared" si="28"/>
        <v>-345.28680137999999</v>
      </c>
      <c r="I136">
        <v>1</v>
      </c>
      <c r="J136">
        <f t="shared" si="29"/>
        <v>0.3168131133135576</v>
      </c>
      <c r="K136">
        <f t="shared" si="30"/>
        <v>-0.97019515177521742</v>
      </c>
      <c r="L136">
        <v>1</v>
      </c>
      <c r="M136">
        <f t="shared" si="31"/>
        <v>0.48608030419372533</v>
      </c>
      <c r="N136">
        <f t="shared" si="35"/>
        <v>0.10295595</v>
      </c>
      <c r="O136">
        <f t="shared" si="33"/>
        <v>6.7950927000000008E-2</v>
      </c>
      <c r="P136">
        <f t="shared" si="34"/>
        <v>0.31320797058149208</v>
      </c>
      <c r="V136">
        <v>7.2</v>
      </c>
      <c r="W136">
        <f t="shared" si="32"/>
        <v>-0.81372</v>
      </c>
    </row>
    <row r="137" spans="1:23" x14ac:dyDescent="0.3">
      <c r="C137">
        <f t="shared" si="25"/>
        <v>0</v>
      </c>
      <c r="D137">
        <v>1.4999999999999999E-2</v>
      </c>
      <c r="E137">
        <v>9.9000000000000008E-3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-1.2217251517752175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-0.81847999999999999</v>
      </c>
    </row>
    <row r="138" spans="1:23" x14ac:dyDescent="0.3">
      <c r="C138">
        <f t="shared" si="25"/>
        <v>0</v>
      </c>
      <c r="D138">
        <v>1.4999999999999999E-2</v>
      </c>
      <c r="E138">
        <v>9.9000000000000008E-3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-0.82323999999999997</v>
      </c>
    </row>
    <row r="139" spans="1:23" x14ac:dyDescent="0.3">
      <c r="C139">
        <f t="shared" si="25"/>
        <v>0</v>
      </c>
      <c r="D139">
        <v>1.4999999999999999E-2</v>
      </c>
      <c r="E139">
        <v>9.9000000000000008E-3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-0.82800000000000007</v>
      </c>
    </row>
    <row r="140" spans="1:23" x14ac:dyDescent="0.3">
      <c r="C140">
        <f t="shared" si="25"/>
        <v>0</v>
      </c>
      <c r="D140">
        <v>1.4999999999999999E-2</v>
      </c>
      <c r="E140">
        <v>9.9000000000000008E-3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1:23" x14ac:dyDescent="0.3">
      <c r="C141">
        <f t="shared" si="25"/>
        <v>0</v>
      </c>
      <c r="D141">
        <v>1.4999999999999999E-2</v>
      </c>
      <c r="E141">
        <v>9.9000000000000008E-3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1:23" x14ac:dyDescent="0.3">
      <c r="C142">
        <f t="shared" si="25"/>
        <v>0</v>
      </c>
      <c r="D142">
        <v>1.4999999999999999E-2</v>
      </c>
      <c r="E142">
        <v>9.9000000000000008E-3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1:23" x14ac:dyDescent="0.3">
      <c r="C143">
        <f t="shared" si="25"/>
        <v>0</v>
      </c>
      <c r="D143">
        <v>1.4999999999999999E-2</v>
      </c>
      <c r="E143">
        <v>9.9000000000000008E-3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1:23" x14ac:dyDescent="0.3">
      <c r="C144">
        <f t="shared" si="25"/>
        <v>0</v>
      </c>
      <c r="D144">
        <v>1.4999999999999999E-2</v>
      </c>
      <c r="E144">
        <v>9.9000000000000008E-3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1.4999999999999999E-2</v>
      </c>
      <c r="E145">
        <v>9.9000000000000008E-3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1.4999999999999999E-2</v>
      </c>
      <c r="E146">
        <v>9.9000000000000008E-3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1.4999999999999999E-2</v>
      </c>
      <c r="E147">
        <v>9.9000000000000008E-3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1.4999999999999999E-2</v>
      </c>
      <c r="E148">
        <v>9.9000000000000008E-3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1.4999999999999999E-2</v>
      </c>
      <c r="E149">
        <v>9.9000000000000008E-3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1.4999999999999999E-2</v>
      </c>
      <c r="E150">
        <v>9.9000000000000008E-3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1.4999999999999999E-2</v>
      </c>
      <c r="E151">
        <v>9.9000000000000008E-3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1.4999999999999999E-2</v>
      </c>
      <c r="E152">
        <v>9.9000000000000008E-3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1.4999999999999999E-2</v>
      </c>
      <c r="E153">
        <v>9.9000000000000008E-3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1.4999999999999999E-2</v>
      </c>
      <c r="E154">
        <v>9.9000000000000008E-3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1.4999999999999999E-2</v>
      </c>
      <c r="E155">
        <v>9.9000000000000008E-3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1.4999999999999999E-2</v>
      </c>
      <c r="E156">
        <v>9.9000000000000008E-3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1.4999999999999999E-2</v>
      </c>
      <c r="E157">
        <v>9.9000000000000008E-3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1.4999999999999999E-2</v>
      </c>
      <c r="E158">
        <v>9.9000000000000008E-3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1.4999999999999999E-2</v>
      </c>
      <c r="E159">
        <v>9.9000000000000008E-3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1.4999999999999999E-2</v>
      </c>
      <c r="E160">
        <v>9.9000000000000008E-3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1.4999999999999999E-2</v>
      </c>
      <c r="E161">
        <v>9.9000000000000008E-3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1.4999999999999999E-2</v>
      </c>
      <c r="E162">
        <v>9.9000000000000008E-3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1.4999999999999999E-2</v>
      </c>
      <c r="E163">
        <v>9.9000000000000008E-3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1.4999999999999999E-2</v>
      </c>
      <c r="E164">
        <v>9.9000000000000008E-3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1.4999999999999999E-2</v>
      </c>
      <c r="E165">
        <v>9.9000000000000008E-3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1.4999999999999999E-2</v>
      </c>
      <c r="E166">
        <v>9.9000000000000008E-3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1.4999999999999999E-2</v>
      </c>
      <c r="E167">
        <v>9.9000000000000008E-3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1.4999999999999999E-2</v>
      </c>
      <c r="E168">
        <v>9.9000000000000008E-3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1.4999999999999999E-2</v>
      </c>
      <c r="E169">
        <v>9.9000000000000008E-3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1.4999999999999999E-2</v>
      </c>
      <c r="E170">
        <v>9.9000000000000008E-3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1.4999999999999999E-2</v>
      </c>
      <c r="E171">
        <v>9.9000000000000008E-3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1.4999999999999999E-2</v>
      </c>
      <c r="E172">
        <v>9.9000000000000008E-3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1.4999999999999999E-2</v>
      </c>
      <c r="E173">
        <v>9.9000000000000008E-3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1.4999999999999999E-2</v>
      </c>
      <c r="E174">
        <v>9.9000000000000008E-3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1.4999999999999999E-2</v>
      </c>
      <c r="E175">
        <v>9.9000000000000008E-3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1.4999999999999999E-2</v>
      </c>
      <c r="E176">
        <v>9.9000000000000008E-3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1.4999999999999999E-2</v>
      </c>
      <c r="E177">
        <v>9.9000000000000008E-3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1.4999999999999999E-2</v>
      </c>
      <c r="E178">
        <v>9.9000000000000008E-3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1.4999999999999999E-2</v>
      </c>
      <c r="E179">
        <v>9.9000000000000008E-3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1.4999999999999999E-2</v>
      </c>
      <c r="E180">
        <v>9.9000000000000008E-3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1.4999999999999999E-2</v>
      </c>
      <c r="E181">
        <v>9.9000000000000008E-3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1.4999999999999999E-2</v>
      </c>
      <c r="E182">
        <v>9.9000000000000008E-3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1.4999999999999999E-2</v>
      </c>
      <c r="E183">
        <v>9.9000000000000008E-3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1.4999999999999999E-2</v>
      </c>
      <c r="E184">
        <v>9.9000000000000008E-3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1.4999999999999999E-2</v>
      </c>
      <c r="E185">
        <v>9.9000000000000008E-3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1.4999999999999999E-2</v>
      </c>
      <c r="E186">
        <v>9.9000000000000008E-3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1.4999999999999999E-2</v>
      </c>
      <c r="E187">
        <v>9.9000000000000008E-3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1.4999999999999999E-2</v>
      </c>
      <c r="E188">
        <v>9.9000000000000008E-3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-1.2217251517752175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1.4999999999999999E-2</v>
      </c>
      <c r="E189">
        <v>9.9000000000000008E-3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-1.2217251517752175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1.4999999999999999E-2</v>
      </c>
      <c r="E190">
        <v>9.9000000000000008E-3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-1.2217251517752175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1.4999999999999999E-2</v>
      </c>
      <c r="E191">
        <v>9.9000000000000008E-3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-1.2217251517752175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1.4999999999999999E-2</v>
      </c>
      <c r="E192">
        <v>9.9000000000000008E-3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-1.2217251517752175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1.4999999999999999E-2</v>
      </c>
      <c r="E193">
        <v>9.9000000000000008E-3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-1.2217251517752175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1.4999999999999999E-2</v>
      </c>
      <c r="E194">
        <v>9.9000000000000008E-3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-1.2217251517752175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1.4999999999999999E-2</v>
      </c>
      <c r="E195">
        <v>9.9000000000000008E-3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-1.2217251517752175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1.4999999999999999E-2</v>
      </c>
      <c r="E196">
        <v>9.9000000000000008E-3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-1.2217251517752175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1.4999999999999999E-2</v>
      </c>
      <c r="E197">
        <v>9.9000000000000008E-3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-1.2217251517752175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1.4999999999999999E-2</v>
      </c>
      <c r="E198">
        <v>9.9000000000000008E-3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-1.2217251517752175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1.4999999999999999E-2</v>
      </c>
      <c r="E199">
        <v>9.9000000000000008E-3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-1.2217251517752175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1.4999999999999999E-2</v>
      </c>
      <c r="E200">
        <v>9.9000000000000008E-3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-1.2217251517752175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1.4999999999999999E-2</v>
      </c>
      <c r="E201">
        <v>9.9000000000000008E-3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-1.2217251517752175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1.4999999999999999E-2</v>
      </c>
      <c r="E202">
        <v>9.9000000000000008E-3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-1.2217251517752175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1.4999999999999999E-2</v>
      </c>
      <c r="E203">
        <v>9.9000000000000008E-3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-1.2217251517752175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1.4999999999999999E-2</v>
      </c>
      <c r="E204">
        <v>9.9000000000000008E-3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-1.2217251517752175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1.4999999999999999E-2</v>
      </c>
      <c r="E205">
        <v>9.9000000000000008E-3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-1.2217251517752175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1.4999999999999999E-2</v>
      </c>
      <c r="E206">
        <v>9.9000000000000008E-3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-1.2217251517752175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1.4999999999999999E-2</v>
      </c>
      <c r="E207">
        <v>9.9000000000000008E-3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-1.2217251517752175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1.4999999999999999E-2</v>
      </c>
      <c r="E208">
        <v>9.9000000000000008E-3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-1.2217251517752175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1.4999999999999999E-2</v>
      </c>
      <c r="E209">
        <v>9.9000000000000008E-3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-1.2217251517752175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1.4999999999999999E-2</v>
      </c>
      <c r="E210">
        <v>9.9000000000000008E-3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-1.2217251517752175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1.4999999999999999E-2</v>
      </c>
      <c r="E211">
        <v>9.9000000000000008E-3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-1.2217251517752175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1.4999999999999999E-2</v>
      </c>
      <c r="E212">
        <v>9.9000000000000008E-3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1.4999999999999999E-2</v>
      </c>
      <c r="E213">
        <v>9.9000000000000008E-3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1.4999999999999999E-2</v>
      </c>
      <c r="E214">
        <v>9.9000000000000008E-3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1.4999999999999999E-2</v>
      </c>
      <c r="E215">
        <v>9.9000000000000008E-3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1.4999999999999999E-2</v>
      </c>
      <c r="E216">
        <v>9.9000000000000008E-3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1.4999999999999999E-2</v>
      </c>
      <c r="E217">
        <v>9.9000000000000008E-3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1.4999999999999999E-2</v>
      </c>
      <c r="E218">
        <v>9.9000000000000008E-3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1.4999999999999999E-2</v>
      </c>
      <c r="E219">
        <v>9.9000000000000008E-3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1.4999999999999999E-2</v>
      </c>
      <c r="E220">
        <v>9.9000000000000008E-3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1.4999999999999999E-2</v>
      </c>
      <c r="E221">
        <v>9.9000000000000008E-3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1.4999999999999999E-2</v>
      </c>
      <c r="E222">
        <v>9.9000000000000008E-3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1.4999999999999999E-2</v>
      </c>
      <c r="E223">
        <v>9.9000000000000008E-3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1.4999999999999999E-2</v>
      </c>
      <c r="E224">
        <v>9.9000000000000008E-3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1.4999999999999999E-2</v>
      </c>
      <c r="E225">
        <v>9.9000000000000008E-3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1.4999999999999999E-2</v>
      </c>
      <c r="E226">
        <v>9.9000000000000008E-3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1.4999999999999999E-2</v>
      </c>
      <c r="E227">
        <v>9.9000000000000008E-3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1.4999999999999999E-2</v>
      </c>
      <c r="E228">
        <v>9.9000000000000008E-3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1.4999999999999999E-2</v>
      </c>
      <c r="E229">
        <v>9.9000000000000008E-3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1.4999999999999999E-2</v>
      </c>
      <c r="E230">
        <v>9.9000000000000008E-3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1.4999999999999999E-2</v>
      </c>
      <c r="E231">
        <v>9.9000000000000008E-3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1.4999999999999999E-2</v>
      </c>
      <c r="E232">
        <v>9.9000000000000008E-3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1.4999999999999999E-2</v>
      </c>
      <c r="E233">
        <v>9.9000000000000008E-3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1.4999999999999999E-2</v>
      </c>
      <c r="E234">
        <v>9.9000000000000008E-3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1.4999999999999999E-2</v>
      </c>
      <c r="E235">
        <v>9.9000000000000008E-3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1.4999999999999999E-2</v>
      </c>
      <c r="E236">
        <v>9.9000000000000008E-3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1.4999999999999999E-2</v>
      </c>
      <c r="E237">
        <v>9.9000000000000008E-3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1.4999999999999999E-2</v>
      </c>
      <c r="E238">
        <v>9.9000000000000008E-3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1.4999999999999999E-2</v>
      </c>
      <c r="E239">
        <v>9.9000000000000008E-3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1.4999999999999999E-2</v>
      </c>
      <c r="E240">
        <v>9.9000000000000008E-3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1.4999999999999999E-2</v>
      </c>
      <c r="E241">
        <v>9.9000000000000008E-3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1.4999999999999999E-2</v>
      </c>
      <c r="E242">
        <v>9.9000000000000008E-3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1.4999999999999999E-2</v>
      </c>
      <c r="E243">
        <v>9.9000000000000008E-3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1.4999999999999999E-2</v>
      </c>
      <c r="E244">
        <v>9.9000000000000008E-3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1.4999999999999999E-2</v>
      </c>
      <c r="E245">
        <v>9.9000000000000008E-3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1.4999999999999999E-2</v>
      </c>
      <c r="E246">
        <v>9.9000000000000008E-3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1.4999999999999999E-2</v>
      </c>
      <c r="E247">
        <v>9.9000000000000008E-3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1.4999999999999999E-2</v>
      </c>
      <c r="E248">
        <v>9.9000000000000008E-3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1.4999999999999999E-2</v>
      </c>
      <c r="E249">
        <v>9.9000000000000008E-3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1.4999999999999999E-2</v>
      </c>
      <c r="E250">
        <v>9.9000000000000008E-3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1.4999999999999999E-2</v>
      </c>
      <c r="E251">
        <v>9.9000000000000008E-3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1.4999999999999999E-2</v>
      </c>
      <c r="E252">
        <v>9.9000000000000008E-3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1.4999999999999999E-2</v>
      </c>
      <c r="E253">
        <v>9.9000000000000008E-3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1.4999999999999999E-2</v>
      </c>
      <c r="E254">
        <v>9.9000000000000008E-3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1.4999999999999999E-2</v>
      </c>
      <c r="E255">
        <v>9.9000000000000008E-3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1.4999999999999999E-2</v>
      </c>
      <c r="E256">
        <v>9.9000000000000008E-3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1.4999999999999999E-2</v>
      </c>
      <c r="E257">
        <v>9.9000000000000008E-3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1.4999999999999999E-2</v>
      </c>
      <c r="E258">
        <v>9.9000000000000008E-3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1.4999999999999999E-2</v>
      </c>
      <c r="E259">
        <v>9.9000000000000008E-3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1.4999999999999999E-2</v>
      </c>
      <c r="E260">
        <v>9.9000000000000008E-3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1.4999999999999999E-2</v>
      </c>
      <c r="E261">
        <v>9.9000000000000008E-3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1.4999999999999999E-2</v>
      </c>
      <c r="E262">
        <v>9.9000000000000008E-3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1.4999999999999999E-2</v>
      </c>
      <c r="E263">
        <v>9.9000000000000008E-3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1.4999999999999999E-2</v>
      </c>
      <c r="E264">
        <v>9.9000000000000008E-3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1.4999999999999999E-2</v>
      </c>
      <c r="E265">
        <v>9.9000000000000008E-3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1.4999999999999999E-2</v>
      </c>
      <c r="E266">
        <v>9.9000000000000008E-3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1.4999999999999999E-2</v>
      </c>
      <c r="E267">
        <v>9.9000000000000008E-3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1.4999999999999999E-2</v>
      </c>
      <c r="E268">
        <v>9.9000000000000008E-3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1.4999999999999999E-2</v>
      </c>
      <c r="E269">
        <v>9.9000000000000008E-3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1.4999999999999999E-2</v>
      </c>
      <c r="E270">
        <v>9.9000000000000008E-3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1.4999999999999999E-2</v>
      </c>
      <c r="E271">
        <v>9.9000000000000008E-3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1.4999999999999999E-2</v>
      </c>
      <c r="E272">
        <v>9.9000000000000008E-3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1.4999999999999999E-2</v>
      </c>
      <c r="E273">
        <v>9.9000000000000008E-3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1.4999999999999999E-2</v>
      </c>
      <c r="E274">
        <v>9.9000000000000008E-3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1.4999999999999999E-2</v>
      </c>
      <c r="E275">
        <v>9.9000000000000008E-3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1.4999999999999999E-2</v>
      </c>
      <c r="E276">
        <v>9.9000000000000008E-3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1.4999999999999999E-2</v>
      </c>
      <c r="E277">
        <v>9.9000000000000008E-3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1.4999999999999999E-2</v>
      </c>
      <c r="E278">
        <v>9.9000000000000008E-3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1.4999999999999999E-2</v>
      </c>
      <c r="E279">
        <v>9.9000000000000008E-3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1.4999999999999999E-2</v>
      </c>
      <c r="E280">
        <v>9.9000000000000008E-3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1.4999999999999999E-2</v>
      </c>
      <c r="E281">
        <v>9.9000000000000008E-3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1.4999999999999999E-2</v>
      </c>
      <c r="E282">
        <v>9.9000000000000008E-3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1.4999999999999999E-2</v>
      </c>
      <c r="E283">
        <v>9.9000000000000008E-3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1.4999999999999999E-2</v>
      </c>
      <c r="E284">
        <v>9.9000000000000008E-3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1.4999999999999999E-2</v>
      </c>
      <c r="E285">
        <v>9.9000000000000008E-3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1.4999999999999999E-2</v>
      </c>
      <c r="E286">
        <v>9.9000000000000008E-3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1.4999999999999999E-2</v>
      </c>
      <c r="E287">
        <v>9.9000000000000008E-3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1.4999999999999999E-2</v>
      </c>
      <c r="E288">
        <v>9.9000000000000008E-3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1.4999999999999999E-2</v>
      </c>
      <c r="E289">
        <v>9.9000000000000008E-3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1.4999999999999999E-2</v>
      </c>
      <c r="E290">
        <v>9.9000000000000008E-3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1.4999999999999999E-2</v>
      </c>
      <c r="E291">
        <v>9.9000000000000008E-3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1.4999999999999999E-2</v>
      </c>
      <c r="E292">
        <v>9.9000000000000008E-3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1.4999999999999999E-2</v>
      </c>
      <c r="E293">
        <v>9.9000000000000008E-3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1.4999999999999999E-2</v>
      </c>
      <c r="E294">
        <v>9.9000000000000008E-3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1.4999999999999999E-2</v>
      </c>
      <c r="E295">
        <v>9.9000000000000008E-3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1.4999999999999999E-2</v>
      </c>
      <c r="E296">
        <v>9.9000000000000008E-3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1.4999999999999999E-2</v>
      </c>
      <c r="E297">
        <v>9.9000000000000008E-3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1.4999999999999999E-2</v>
      </c>
      <c r="E298">
        <v>9.9000000000000008E-3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1.4999999999999999E-2</v>
      </c>
      <c r="E299">
        <v>9.9000000000000008E-3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1.4999999999999999E-2</v>
      </c>
      <c r="E300">
        <v>9.9000000000000008E-3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1.4999999999999999E-2</v>
      </c>
      <c r="E301">
        <v>9.9000000000000008E-3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1.4999999999999999E-2</v>
      </c>
      <c r="E302">
        <v>9.9000000000000008E-3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1.4999999999999999E-2</v>
      </c>
      <c r="E303">
        <v>9.9000000000000008E-3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workbookViewId="0"/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2026-04-17T08:38:52Z</dcterms:modified>
</cp:coreProperties>
</file>