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75K\"/>
    </mc:Choice>
  </mc:AlternateContent>
  <xr:revisionPtr revIDLastSave="0" documentId="13_ncr:1_{3C12E1A1-52B0-41C0-9906-C5E830C76409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R53" i="1" s="1"/>
  <c r="I1" i="3" l="1"/>
  <c r="K288" i="1"/>
  <c r="P288" i="1" s="1"/>
  <c r="K257" i="1"/>
  <c r="P257" i="1" s="1"/>
  <c r="K263" i="1"/>
  <c r="P263" i="1" s="1"/>
  <c r="K240" i="1"/>
  <c r="P240" i="1" s="1"/>
  <c r="K217" i="1"/>
  <c r="P217" i="1" s="1"/>
  <c r="K274" i="1"/>
  <c r="P274" i="1" s="1"/>
  <c r="K277" i="1"/>
  <c r="P277" i="1" s="1"/>
  <c r="K247" i="1"/>
  <c r="P247" i="1" s="1"/>
  <c r="K255" i="1"/>
  <c r="P255" i="1" s="1"/>
  <c r="K279" i="1"/>
  <c r="P279" i="1" s="1"/>
  <c r="K278" i="1"/>
  <c r="P278" i="1" s="1"/>
  <c r="K243" i="1"/>
  <c r="P243" i="1" s="1"/>
  <c r="K273" i="1"/>
  <c r="P273" i="1" s="1"/>
  <c r="K237" i="1"/>
  <c r="P237" i="1" s="1"/>
  <c r="K213" i="1"/>
  <c r="P213" i="1" s="1"/>
  <c r="K269" i="1"/>
  <c r="P269" i="1" s="1"/>
  <c r="K297" i="1"/>
  <c r="P297" i="1" s="1"/>
  <c r="K227" i="1"/>
  <c r="P227" i="1" s="1"/>
  <c r="K241" i="1"/>
  <c r="P241" i="1" s="1"/>
  <c r="K215" i="1"/>
  <c r="P215" i="1" s="1"/>
  <c r="K226" i="1"/>
  <c r="P226" i="1" s="1"/>
  <c r="K233" i="1"/>
  <c r="P233" i="1" s="1"/>
  <c r="K282" i="1"/>
  <c r="P282" i="1" s="1"/>
  <c r="K234" i="1"/>
  <c r="P234" i="1" s="1"/>
  <c r="K251" i="1"/>
  <c r="P251" i="1" s="1"/>
  <c r="K294" i="1"/>
  <c r="P294" i="1" s="1"/>
  <c r="K261" i="1"/>
  <c r="P261" i="1" s="1"/>
  <c r="K236" i="1"/>
  <c r="P236" i="1" s="1"/>
  <c r="K262" i="1"/>
  <c r="P262" i="1" s="1"/>
  <c r="K249" i="1"/>
  <c r="P249" i="1" s="1"/>
  <c r="K229" i="1"/>
  <c r="P229" i="1" s="1"/>
  <c r="K253" i="1"/>
  <c r="P253" i="1" s="1"/>
  <c r="K235" i="1"/>
  <c r="P235" i="1" s="1"/>
  <c r="K292" i="1"/>
  <c r="P292" i="1" s="1"/>
  <c r="K245" i="1"/>
  <c r="P245" i="1" s="1"/>
  <c r="K221" i="1"/>
  <c r="P221" i="1" s="1"/>
  <c r="K301" i="1"/>
  <c r="P301" i="1" s="1"/>
  <c r="K258" i="1"/>
  <c r="P258" i="1" s="1"/>
  <c r="K252" i="1"/>
  <c r="P252" i="1" s="1"/>
  <c r="K260" i="1"/>
  <c r="P260" i="1" s="1"/>
  <c r="K299" i="1"/>
  <c r="P299" i="1" s="1"/>
  <c r="K214" i="1"/>
  <c r="P214" i="1" s="1"/>
  <c r="K219" i="1"/>
  <c r="P219" i="1" s="1"/>
  <c r="K239" i="1"/>
  <c r="P239" i="1" s="1"/>
  <c r="K266" i="1"/>
  <c r="P266" i="1" s="1"/>
  <c r="K272" i="1"/>
  <c r="P272" i="1" s="1"/>
  <c r="K290" i="1"/>
  <c r="P290" i="1" s="1"/>
  <c r="K287" i="1"/>
  <c r="P287" i="1" s="1"/>
  <c r="K223" i="1"/>
  <c r="P223" i="1" s="1"/>
  <c r="K264" i="1"/>
  <c r="P264" i="1" s="1"/>
  <c r="K267" i="1"/>
  <c r="P267" i="1" s="1"/>
  <c r="K285" i="1"/>
  <c r="P285" i="1" s="1"/>
  <c r="K291" i="1"/>
  <c r="P291" i="1" s="1"/>
  <c r="K246" i="1"/>
  <c r="P246" i="1" s="1"/>
  <c r="K281" i="1"/>
  <c r="P281" i="1" s="1"/>
  <c r="K224" i="1"/>
  <c r="P224" i="1" s="1"/>
  <c r="K275" i="1"/>
  <c r="P275" i="1" s="1"/>
  <c r="K232" i="1"/>
  <c r="P232" i="1" s="1"/>
  <c r="K228" i="1"/>
  <c r="P228" i="1" s="1"/>
  <c r="K268" i="1"/>
  <c r="P268" i="1" s="1"/>
  <c r="K254" i="1"/>
  <c r="P254" i="1" s="1"/>
  <c r="K271" i="1"/>
  <c r="P271" i="1" s="1"/>
  <c r="K302" i="1"/>
  <c r="P302" i="1" s="1"/>
  <c r="K256" i="1"/>
  <c r="P256" i="1" s="1"/>
  <c r="K248" i="1"/>
  <c r="P248" i="1" s="1"/>
  <c r="K238" i="1"/>
  <c r="P238" i="1" s="1"/>
  <c r="K230" i="1"/>
  <c r="P230" i="1" s="1"/>
  <c r="K244" i="1"/>
  <c r="P244" i="1" s="1"/>
  <c r="K225" i="1"/>
  <c r="P225" i="1" s="1"/>
  <c r="K216" i="1"/>
  <c r="P216" i="1" s="1"/>
  <c r="K284" i="1"/>
  <c r="P284" i="1" s="1"/>
  <c r="K250" i="1"/>
  <c r="P250" i="1" s="1"/>
  <c r="K283" i="1"/>
  <c r="P283" i="1" s="1"/>
  <c r="K270" i="1"/>
  <c r="P270" i="1" s="1"/>
  <c r="K286" i="1"/>
  <c r="P286" i="1" s="1"/>
  <c r="K303" i="1"/>
  <c r="P303" i="1" s="1"/>
  <c r="K289" i="1"/>
  <c r="P289" i="1" s="1"/>
  <c r="K212" i="1"/>
  <c r="P212" i="1" s="1"/>
  <c r="K231" i="1"/>
  <c r="P231" i="1" s="1"/>
  <c r="K222" i="1"/>
  <c r="P222" i="1" s="1"/>
  <c r="K220" i="1"/>
  <c r="P220" i="1" s="1"/>
  <c r="K298" i="1"/>
  <c r="P298" i="1" s="1"/>
  <c r="K276" i="1"/>
  <c r="P276" i="1" s="1"/>
  <c r="K218" i="1"/>
  <c r="P218" i="1" s="1"/>
  <c r="K242" i="1"/>
  <c r="P242" i="1" s="1"/>
  <c r="K293" i="1"/>
  <c r="P293" i="1" s="1"/>
  <c r="K300" i="1"/>
  <c r="P300" i="1" s="1"/>
  <c r="K296" i="1"/>
  <c r="P296" i="1" s="1"/>
  <c r="K295" i="1"/>
  <c r="P295" i="1" s="1"/>
  <c r="K280" i="1"/>
  <c r="P280" i="1" s="1"/>
  <c r="K259" i="1"/>
  <c r="P259" i="1" s="1"/>
  <c r="K265" i="1"/>
  <c r="P265" i="1" s="1"/>
  <c r="K160" i="1"/>
  <c r="P160" i="1" s="1"/>
  <c r="K191" i="1"/>
  <c r="P191" i="1" s="1"/>
  <c r="K196" i="1"/>
  <c r="P196" i="1" s="1"/>
  <c r="K18" i="1"/>
  <c r="K50" i="1"/>
  <c r="K167" i="1"/>
  <c r="P167" i="1" s="1"/>
  <c r="K46" i="1"/>
  <c r="K67" i="1"/>
  <c r="K145" i="1"/>
  <c r="K169" i="1"/>
  <c r="K135" i="1"/>
  <c r="K185" i="1"/>
  <c r="K117" i="1"/>
  <c r="K65" i="1"/>
  <c r="K73" i="1"/>
  <c r="K118" i="1"/>
  <c r="K27" i="1"/>
  <c r="K98" i="1"/>
  <c r="K113" i="1"/>
  <c r="K60" i="1"/>
  <c r="K202" i="1"/>
  <c r="P202" i="1" s="1"/>
  <c r="K186" i="1"/>
  <c r="P186" i="1" s="1"/>
  <c r="K156" i="1"/>
  <c r="P156" i="1" s="1"/>
  <c r="K59" i="1"/>
  <c r="K63" i="1"/>
  <c r="K150" i="1"/>
  <c r="P150" i="1" s="1"/>
  <c r="K175" i="1"/>
  <c r="P175" i="1" s="1"/>
  <c r="K8" i="1"/>
  <c r="K207" i="1"/>
  <c r="P207" i="1" s="1"/>
  <c r="K20" i="1"/>
  <c r="K36" i="1"/>
  <c r="K7" i="1"/>
  <c r="K164" i="1"/>
  <c r="P164" i="1" s="1"/>
  <c r="K122" i="1"/>
  <c r="K115" i="1"/>
  <c r="K165" i="1"/>
  <c r="P165" i="1" s="1"/>
  <c r="K151" i="1"/>
  <c r="P151" i="1" s="1"/>
  <c r="K138" i="1"/>
  <c r="K62" i="1"/>
  <c r="K163" i="1"/>
  <c r="P163" i="1" s="1"/>
  <c r="K45" i="1"/>
  <c r="K61" i="1"/>
  <c r="K198" i="1"/>
  <c r="P198" i="1" s="1"/>
  <c r="K120" i="1"/>
  <c r="K111" i="1"/>
  <c r="K149" i="1"/>
  <c r="P149" i="1" s="1"/>
  <c r="K102" i="1"/>
  <c r="K48" i="1"/>
  <c r="K143" i="1"/>
  <c r="K112" i="1"/>
  <c r="K83" i="1"/>
  <c r="K93" i="1"/>
  <c r="K205" i="1"/>
  <c r="P205" i="1" s="1"/>
  <c r="K146" i="1"/>
  <c r="P146" i="1" s="1"/>
  <c r="K176" i="1"/>
  <c r="P176" i="1" s="1"/>
  <c r="K26" i="1"/>
  <c r="K126" i="1"/>
  <c r="K87" i="1"/>
  <c r="K42" i="1"/>
  <c r="K85" i="1"/>
  <c r="K142" i="1"/>
  <c r="K209" i="1"/>
  <c r="P209" i="1" s="1"/>
  <c r="K72" i="1"/>
  <c r="K84" i="1"/>
  <c r="K153" i="1"/>
  <c r="P153" i="1" s="1"/>
  <c r="K177" i="1"/>
  <c r="P177" i="1" s="1"/>
  <c r="K21" i="1"/>
  <c r="K44" i="1"/>
  <c r="K30" i="1"/>
  <c r="K11" i="1"/>
  <c r="K99" i="1"/>
  <c r="K116" i="1"/>
  <c r="K81" i="1"/>
  <c r="K43" i="1"/>
  <c r="K82" i="1"/>
  <c r="K195" i="1"/>
  <c r="P195" i="1" s="1"/>
  <c r="K69" i="1"/>
  <c r="K139" i="1"/>
  <c r="K16" i="1"/>
  <c r="K172" i="1"/>
  <c r="P172" i="1" s="1"/>
  <c r="K17" i="1"/>
  <c r="K189" i="1"/>
  <c r="P189" i="1" s="1"/>
  <c r="K181" i="1"/>
  <c r="P181" i="1" s="1"/>
  <c r="K41" i="1"/>
  <c r="K183" i="1"/>
  <c r="P183" i="1" s="1"/>
  <c r="K200" i="1"/>
  <c r="P200" i="1" s="1"/>
  <c r="K94" i="1"/>
  <c r="K57" i="1"/>
  <c r="K32" i="1"/>
  <c r="K74" i="1"/>
  <c r="K25" i="1"/>
  <c r="K54" i="1"/>
  <c r="K147" i="1"/>
  <c r="K197" i="1"/>
  <c r="P197" i="1" s="1"/>
  <c r="K86" i="1"/>
  <c r="K49" i="1"/>
  <c r="K110" i="1"/>
  <c r="K144" i="1"/>
  <c r="K190" i="1"/>
  <c r="P190" i="1" s="1"/>
  <c r="K141" i="1"/>
  <c r="K123" i="1"/>
  <c r="K39" i="1"/>
  <c r="K19" i="1"/>
  <c r="K6" i="1"/>
  <c r="K162" i="1"/>
  <c r="P162" i="1" s="1"/>
  <c r="K125" i="1"/>
  <c r="K148" i="1"/>
  <c r="P148" i="1" s="1"/>
  <c r="K171" i="1"/>
  <c r="P171" i="1" s="1"/>
  <c r="K152" i="1"/>
  <c r="P152" i="1" s="1"/>
  <c r="K105" i="1"/>
  <c r="K101" i="1"/>
  <c r="K161" i="1"/>
  <c r="P161" i="1" s="1"/>
  <c r="K95" i="1"/>
  <c r="K109" i="1"/>
  <c r="K140" i="1"/>
  <c r="K173" i="1"/>
  <c r="P173" i="1" s="1"/>
  <c r="K10" i="1"/>
  <c r="K210" i="1"/>
  <c r="P210" i="1" s="1"/>
  <c r="K108" i="1"/>
  <c r="K180" i="1"/>
  <c r="P180" i="1" s="1"/>
  <c r="K88" i="1"/>
  <c r="K80" i="1"/>
  <c r="K34" i="1"/>
  <c r="K192" i="1"/>
  <c r="P192" i="1" s="1"/>
  <c r="K14" i="1"/>
  <c r="K79" i="1"/>
  <c r="K134" i="1"/>
  <c r="K179" i="1"/>
  <c r="P179" i="1" s="1"/>
  <c r="K203" i="1"/>
  <c r="P203" i="1" s="1"/>
  <c r="K77" i="1"/>
  <c r="K199" i="1"/>
  <c r="P199" i="1" s="1"/>
  <c r="K159" i="1"/>
  <c r="P159" i="1" s="1"/>
  <c r="K9" i="1"/>
  <c r="K12" i="1"/>
  <c r="K106" i="1"/>
  <c r="K71" i="1"/>
  <c r="K40" i="1"/>
  <c r="K188" i="1"/>
  <c r="P188" i="1" s="1"/>
  <c r="K184" i="1"/>
  <c r="P184" i="1" s="1"/>
  <c r="K124" i="1"/>
  <c r="K132" i="1"/>
  <c r="K90" i="1"/>
  <c r="K51" i="1"/>
  <c r="K97" i="1"/>
  <c r="K174" i="1"/>
  <c r="P174" i="1" s="1"/>
  <c r="K193" i="1"/>
  <c r="P193" i="1" s="1"/>
  <c r="K133" i="1"/>
  <c r="K208" i="1"/>
  <c r="P208" i="1" s="1"/>
  <c r="K128" i="1"/>
  <c r="K166" i="1"/>
  <c r="P166" i="1" s="1"/>
  <c r="K35" i="1"/>
  <c r="K194" i="1"/>
  <c r="P194" i="1" s="1"/>
  <c r="K15" i="1"/>
  <c r="K154" i="1"/>
  <c r="P154" i="1" s="1"/>
  <c r="K96" i="1"/>
  <c r="K89" i="1"/>
  <c r="K76" i="1"/>
  <c r="K158" i="1"/>
  <c r="P158" i="1" s="1"/>
  <c r="K114" i="1"/>
  <c r="K52" i="1"/>
  <c r="K119" i="1"/>
  <c r="K130" i="1"/>
  <c r="K37" i="1"/>
  <c r="K137" i="1"/>
  <c r="K103" i="1"/>
  <c r="K53" i="1"/>
  <c r="K75" i="1"/>
  <c r="K157" i="1"/>
  <c r="P157" i="1" s="1"/>
  <c r="K178" i="1"/>
  <c r="K168" i="1"/>
  <c r="P168" i="1" s="1"/>
  <c r="K92" i="1"/>
  <c r="K155" i="1"/>
  <c r="K5" i="1"/>
  <c r="K68" i="1"/>
  <c r="K47" i="1"/>
  <c r="K22" i="1"/>
  <c r="K66" i="1"/>
  <c r="K104" i="1"/>
  <c r="K33" i="1"/>
  <c r="K55" i="1"/>
  <c r="K121" i="1"/>
  <c r="K91" i="1"/>
  <c r="K129" i="1"/>
  <c r="K64" i="1"/>
  <c r="K136" i="1"/>
  <c r="K78" i="1"/>
  <c r="K100" i="1"/>
  <c r="K24" i="1"/>
  <c r="K170" i="1"/>
  <c r="P170" i="1" s="1"/>
  <c r="K211" i="1"/>
  <c r="P211" i="1" s="1"/>
  <c r="K201" i="1"/>
  <c r="P201" i="1" s="1"/>
  <c r="K29" i="1"/>
  <c r="K28" i="1"/>
  <c r="K70" i="1"/>
  <c r="K31" i="1"/>
  <c r="K56" i="1"/>
  <c r="K127" i="1"/>
  <c r="K206" i="1"/>
  <c r="P206" i="1" s="1"/>
  <c r="K23" i="1"/>
  <c r="K182" i="1"/>
  <c r="P182" i="1" s="1"/>
  <c r="K131" i="1"/>
  <c r="K187" i="1"/>
  <c r="P187" i="1" s="1"/>
  <c r="K13" i="1"/>
  <c r="K107" i="1"/>
  <c r="K58" i="1"/>
  <c r="K204" i="1"/>
  <c r="P204" i="1" s="1"/>
  <c r="K38" i="1"/>
  <c r="P178" i="1"/>
  <c r="P145" i="1"/>
  <c r="P169" i="1"/>
  <c r="P185" i="1"/>
  <c r="P147" i="1"/>
  <c r="P155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16" i="3"/>
  <c r="L162" i="3"/>
  <c r="L112" i="3"/>
  <c r="L28" i="3"/>
  <c r="L70" i="3"/>
  <c r="L24" i="3"/>
  <c r="L163" i="3"/>
  <c r="L211" i="3"/>
  <c r="L95" i="3"/>
  <c r="L96" i="3"/>
  <c r="L155" i="3"/>
  <c r="L87" i="3"/>
  <c r="L8" i="3"/>
  <c r="L147" i="3"/>
  <c r="L2" i="3"/>
  <c r="L183" i="3"/>
  <c r="L164" i="3"/>
  <c r="L208" i="3"/>
  <c r="L131" i="3"/>
  <c r="L144" i="3"/>
  <c r="L192" i="3"/>
  <c r="L185" i="3"/>
  <c r="L178" i="3"/>
  <c r="L98" i="3"/>
  <c r="L18" i="3"/>
  <c r="L69" i="3"/>
  <c r="L168" i="3"/>
  <c r="L51" i="3"/>
  <c r="L132" i="3"/>
  <c r="L52" i="3"/>
  <c r="L201" i="3"/>
  <c r="L199" i="3"/>
  <c r="L40" i="3"/>
  <c r="L181" i="3"/>
  <c r="L36" i="3"/>
  <c r="L111" i="3"/>
  <c r="L219" i="3"/>
  <c r="L171" i="3"/>
  <c r="L19" i="3"/>
  <c r="L100" i="3"/>
  <c r="L159" i="3"/>
  <c r="L92" i="3"/>
  <c r="L203" i="3"/>
  <c r="L173" i="3"/>
  <c r="L83" i="3"/>
  <c r="L4" i="3"/>
  <c r="L46" i="3"/>
  <c r="L122" i="3"/>
  <c r="L9" i="3"/>
  <c r="L114" i="3"/>
  <c r="L184" i="3"/>
  <c r="L217" i="3"/>
  <c r="L188" i="3"/>
  <c r="L189" i="3"/>
  <c r="L174" i="3"/>
  <c r="L94" i="3"/>
  <c r="L14" i="3"/>
  <c r="L65" i="3"/>
  <c r="L160" i="3"/>
  <c r="L47" i="3"/>
  <c r="L128" i="3"/>
  <c r="L48" i="3"/>
  <c r="L197" i="3"/>
  <c r="L44" i="3"/>
  <c r="L120" i="3"/>
  <c r="L82" i="3"/>
  <c r="L32" i="3"/>
  <c r="L107" i="3"/>
  <c r="L125" i="3"/>
  <c r="L117" i="3"/>
  <c r="L20" i="3"/>
  <c r="L193" i="3"/>
  <c r="L11" i="3"/>
  <c r="L12" i="3"/>
  <c r="L151" i="3"/>
  <c r="L3" i="3"/>
  <c r="L143" i="3"/>
  <c r="L205" i="3"/>
  <c r="L167" i="3"/>
  <c r="L67" i="3"/>
  <c r="L30" i="3"/>
  <c r="L157" i="3"/>
  <c r="L169" i="3"/>
  <c r="L170" i="3"/>
  <c r="L90" i="3"/>
  <c r="L10" i="3"/>
  <c r="L61" i="3"/>
  <c r="L156" i="3"/>
  <c r="L43" i="3"/>
  <c r="L124" i="3"/>
  <c r="L220" i="3"/>
  <c r="L153" i="3"/>
  <c r="L27" i="3"/>
  <c r="L133" i="3"/>
  <c r="L23" i="3"/>
  <c r="L215" i="3"/>
  <c r="L66" i="3"/>
  <c r="L142" i="3"/>
  <c r="L207" i="3"/>
  <c r="L29" i="3"/>
  <c r="L134" i="3"/>
  <c r="L214" i="3"/>
  <c r="L101" i="3"/>
  <c r="L97" i="3"/>
  <c r="L218" i="3"/>
  <c r="L93" i="3"/>
  <c r="L222" i="3"/>
  <c r="L118" i="3"/>
  <c r="L68" i="3"/>
  <c r="L204" i="3"/>
  <c r="L190" i="3"/>
  <c r="L195" i="3"/>
  <c r="L161" i="3"/>
  <c r="L166" i="3"/>
  <c r="L86" i="3"/>
  <c r="L6" i="3"/>
  <c r="L57" i="3"/>
  <c r="L152" i="3"/>
  <c r="L39" i="3"/>
  <c r="L115" i="3"/>
  <c r="L35" i="3"/>
  <c r="L116" i="3"/>
  <c r="L212" i="3"/>
  <c r="L31" i="3"/>
  <c r="L108" i="3"/>
  <c r="L150" i="3"/>
  <c r="L121" i="3"/>
  <c r="L33" i="3"/>
  <c r="L16" i="3"/>
  <c r="L138" i="3"/>
  <c r="L54" i="3"/>
  <c r="L88" i="3"/>
  <c r="L130" i="3"/>
  <c r="L17" i="3"/>
  <c r="L206" i="3"/>
  <c r="L13" i="3"/>
  <c r="L76" i="3"/>
  <c r="L89" i="3"/>
  <c r="L72" i="3"/>
  <c r="L34" i="3"/>
  <c r="L110" i="3"/>
  <c r="L187" i="3"/>
  <c r="L53" i="3"/>
  <c r="L104" i="3"/>
  <c r="L146" i="3"/>
  <c r="L15" i="3"/>
  <c r="L91" i="3"/>
  <c r="L105" i="3"/>
  <c r="L21" i="3"/>
  <c r="L126" i="3"/>
  <c r="L75" i="3"/>
  <c r="L38" i="3"/>
  <c r="L5" i="3"/>
  <c r="L221" i="3"/>
  <c r="L81" i="3"/>
  <c r="L179" i="3"/>
  <c r="L145" i="3"/>
  <c r="L158" i="3"/>
  <c r="L78" i="3"/>
  <c r="L165" i="3"/>
  <c r="L49" i="3"/>
  <c r="L223" i="3"/>
  <c r="L103" i="3"/>
  <c r="L37" i="3"/>
  <c r="L113" i="3"/>
  <c r="L58" i="3"/>
  <c r="L7" i="3"/>
  <c r="L50" i="3"/>
  <c r="L210" i="3"/>
  <c r="L79" i="3"/>
  <c r="L139" i="3"/>
  <c r="L198" i="3"/>
  <c r="L194" i="3"/>
  <c r="L64" i="3"/>
  <c r="L175" i="3"/>
  <c r="L137" i="3"/>
  <c r="L154" i="3"/>
  <c r="L74" i="3"/>
  <c r="L149" i="3"/>
  <c r="L45" i="3"/>
  <c r="L41" i="3"/>
  <c r="L99" i="3"/>
  <c r="L62" i="3"/>
  <c r="L109" i="3"/>
  <c r="L25" i="3"/>
  <c r="L141" i="3"/>
  <c r="L80" i="3"/>
  <c r="L42" i="3"/>
  <c r="L71" i="3"/>
  <c r="L85" i="3"/>
  <c r="L63" i="3"/>
  <c r="L202" i="3"/>
  <c r="L129" i="3"/>
  <c r="L84" i="3"/>
  <c r="L191" i="3"/>
  <c r="L180" i="3"/>
  <c r="L135" i="3"/>
  <c r="L148" i="3"/>
  <c r="L127" i="3"/>
  <c r="L123" i="3"/>
  <c r="L186" i="3"/>
  <c r="L106" i="3"/>
  <c r="L26" i="3"/>
  <c r="L77" i="3"/>
  <c r="L176" i="3"/>
  <c r="L59" i="3"/>
  <c r="L140" i="3"/>
  <c r="L60" i="3"/>
  <c r="L213" i="3"/>
  <c r="L200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<sst xmlns="http://schemas.openxmlformats.org/spreadsheetml/2006/main" count="40" uniqueCount="36">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</sst>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103" zoomScale="85" zoomScaleNormal="85" workbookViewId="0">
      <selection activeCell="B4" sqref="B4:B142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-0.38053999999999999</v>
      </c>
      <c r="AC3" t="s">
        <v>30</v>
      </c>
    </row>
    <row r="4" spans="1:29" x14ac:dyDescent="0.3">
      <c r="A4">
        <v>6.1550649999999998E-2</v>
      </c>
      <c r="B4">
        <v>0.82828999999999997</v>
      </c>
      <c r="C4">
        <f>A4*B4</f>
        <v>5.0981787888499996E-2</v>
      </c>
      <c r="D4">
        <v>1.52E-2</v>
      </c>
      <c r="E4">
        <v>1.0999999999999999E-2</v>
      </c>
      <c r="F4">
        <f>A4*200</f>
        <v>12.310129999999999</v>
      </c>
      <c r="G4">
        <f>-B4</f>
        <v>-0.82828999999999997</v>
      </c>
      <c r="H4">
        <f t="shared" ref="H4" si="0">-C4*200</f>
        <v>-10.196357577699999</v>
      </c>
      <c r="I4">
        <v>1</v>
      </c>
      <c r="J4">
        <f>LN(F4/1000)</f>
        <v>-4.3973327783216343</v>
      </c>
      <c r="K4">
        <f>((-G4)-$N$2)</f>
        <v>-0.39343515177521748</v>
      </c>
      <c r="L4">
        <v>1</v>
      </c>
      <c r="M4">
        <f>-1*($S$4+($S$5*J4))</f>
        <v>0.36703522397650545</v>
      </c>
      <c r="N4">
        <f>D4*A4</f>
        <v>9.3556987999999998E-4</v>
      </c>
      <c r="O4">
        <f>E4*A4</f>
        <v>6.7705714999999995E-4</v>
      </c>
      <c r="P4">
        <f>-K4-M4-N4-O4</f>
        <v>2.478730076871203E-2</v>
      </c>
      <c r="R4" s="2" t="s">
        <v>16</v>
      </c>
      <c r="S4">
        <v>-0.55700000000000005</v>
      </c>
      <c r="V4">
        <v>-6</v>
      </c>
      <c r="W4">
        <f>V4*$S$5+$S$4</f>
        <v>-0.29780000000000006</v>
      </c>
      <c r="Y4">
        <v>0</v>
      </c>
      <c r="Z4">
        <f>$AB$4*Y4+$AB$3</f>
        <v>-0.38053999999999999</v>
      </c>
      <c r="AB4">
        <v>11.144740000000001</v>
      </c>
      <c r="AC4" t="s">
        <v>31</v>
      </c>
    </row>
    <row r="5" spans="1:29" x14ac:dyDescent="0.3">
      <c r="A5">
        <v>0.1150149</v>
      </c>
      <c r="B5">
        <v>0.81913999999999998</v>
      </c>
      <c r="C5">
        <f t="shared" ref="C5:C68" si="1">A5*B5</f>
        <v>9.4213305186000004E-2</v>
      </c>
      <c r="D5">
        <v>1.52E-2</v>
      </c>
      <c r="E5">
        <v>1.0999999999999999E-2</v>
      </c>
      <c r="F5">
        <f t="shared" ref="F5:F68" si="2">A5*200</f>
        <v>23.002980000000001</v>
      </c>
      <c r="G5">
        <f t="shared" ref="G5:G68" si="3">-B5</f>
        <v>-0.81913999999999998</v>
      </c>
      <c r="H5">
        <f t="shared" ref="H5:H68" si="4">-C5*200</f>
        <v>-18.842661037199999</v>
      </c>
      <c r="I5">
        <v>1</v>
      </c>
      <c r="J5">
        <f t="shared" ref="J5:J68" si="5">LN(F5/1000)</f>
        <v>-3.772131506228444</v>
      </c>
      <c r="K5">
        <f t="shared" ref="K5:K68" si="6">((-G5)-$N$2)</f>
        <v>-0.40258515177521748</v>
      </c>
      <c r="L5">
        <v>1</v>
      </c>
      <c r="M5">
        <f t="shared" ref="M5:M68" si="7">-1*($S$4+($S$5*J5))</f>
        <v>0.39404391893093127</v>
      </c>
      <c r="N5">
        <f t="shared" ref="N5:N6" si="8">D5*A5</f>
        <v>1.7482264800000001E-3</v>
      </c>
      <c r="O5">
        <f>E5*A5</f>
        <v>1.2651639E-3</v>
      </c>
      <c r="P5">
        <f>-K5-M5-N5-O5</f>
        <v>5.5278424642862065E-3</v>
      </c>
      <c r="R5" s="2" t="s">
        <v>17</v>
      </c>
      <c r="S5">
        <v>-4.3200000000000002E-2</v>
      </c>
      <c r="V5">
        <v>-5.9</v>
      </c>
      <c r="W5">
        <f t="shared" ref="W5:W68" si="9">V5*$S$5+$S$4</f>
        <v>-0.30212</v>
      </c>
      <c r="Y5">
        <v>0.01</v>
      </c>
      <c r="Z5">
        <f t="shared" ref="Z5:Z31" si="10">$AB$4*Y5+$AB$3</f>
        <v>-0.26909260000000002</v>
      </c>
    </row>
    <row r="6" spans="1:29" x14ac:dyDescent="0.3">
      <c r="A6">
        <v>0.16644239999999999</v>
      </c>
      <c r="B6">
        <v>0.80840999999999996</v>
      </c>
      <c r="C6">
        <f t="shared" si="1"/>
        <v>0.13455370058399999</v>
      </c>
      <c r="D6">
        <v>1.52E-2</v>
      </c>
      <c r="E6">
        <v>1.0999999999999999E-2</v>
      </c>
      <c r="F6">
        <f t="shared" si="2"/>
        <v>33.28848</v>
      </c>
      <c r="G6">
        <f t="shared" si="3"/>
        <v>-0.80840999999999996</v>
      </c>
      <c r="H6">
        <f t="shared" si="4"/>
        <v>-26.910740116799996</v>
      </c>
      <c r="I6">
        <v>1</v>
      </c>
      <c r="J6">
        <f t="shared" si="5"/>
        <v>-3.402543887794788</v>
      </c>
      <c r="K6">
        <f t="shared" si="6"/>
        <v>-0.41331515177521749</v>
      </c>
      <c r="L6">
        <v>1</v>
      </c>
      <c r="M6">
        <f t="shared" si="7"/>
        <v>0.41001010404726523</v>
      </c>
      <c r="N6">
        <f t="shared" si="8"/>
        <v>2.5299244800000001E-3</v>
      </c>
      <c r="O6">
        <f t="shared" ref="O6:O69" si="11">E6*A6</f>
        <v>1.8308663999999997E-3</v>
      </c>
      <c r="P6">
        <f t="shared" ref="P6:P69" si="12">-K6-M6-N6-O6</f>
        <v>-1.0557431520477403E-3</v>
      </c>
      <c r="V6">
        <v>-5.8</v>
      </c>
      <c r="W6">
        <f t="shared" si="9"/>
        <v>-0.30644000000000005</v>
      </c>
      <c r="Y6">
        <v>0.02</v>
      </c>
      <c r="Z6">
        <f t="shared" si="10"/>
        <v>-0.15764519999999999</v>
      </c>
      <c r="AB6" t="s">
        <v>32</v>
      </c>
    </row>
    <row r="7" spans="1:29" x14ac:dyDescent="0.3">
      <c r="A7">
        <v>0.21736074999999999</v>
      </c>
      <c r="B7">
        <v>0.79937999999999998</v>
      </c>
      <c r="C7">
        <f t="shared" si="1"/>
        <v>0.17375383633499999</v>
      </c>
      <c r="D7">
        <v>1.52E-2</v>
      </c>
      <c r="E7">
        <v>1.0999999999999999E-2</v>
      </c>
      <c r="F7">
        <f t="shared" si="2"/>
        <v>43.472149999999999</v>
      </c>
      <c r="G7">
        <f t="shared" si="3"/>
        <v>-0.79937999999999998</v>
      </c>
      <c r="H7">
        <f t="shared" si="4"/>
        <v>-34.750767267000001</v>
      </c>
      <c r="I7">
        <v>1</v>
      </c>
      <c r="J7">
        <f t="shared" si="5"/>
        <v>-3.1356347758072265</v>
      </c>
      <c r="K7">
        <f t="shared" si="6"/>
        <v>-0.42234515177521748</v>
      </c>
      <c r="L7">
        <v>1</v>
      </c>
      <c r="M7">
        <f t="shared" si="7"/>
        <v>0.42154057768512787</v>
      </c>
      <c r="N7">
        <f t="shared" ref="N7:N70" si="13">D7*A7</f>
        <v>3.3038833999999998E-3</v>
      </c>
      <c r="O7">
        <f t="shared" si="11"/>
        <v>2.3909682499999997E-3</v>
      </c>
      <c r="P7">
        <f t="shared" si="12"/>
        <v>-4.8902775599103943E-3</v>
      </c>
      <c r="V7">
        <v>-5.7</v>
      </c>
      <c r="W7">
        <f t="shared" si="9"/>
        <v>-0.31076000000000004</v>
      </c>
      <c r="Y7">
        <v>0.03</v>
      </c>
      <c r="Z7">
        <f t="shared" si="10"/>
        <v>-4.6197800000000011E-2</v>
      </c>
      <c r="AB7" t="s">
        <v>33</v>
      </c>
      <c r="AC7">
        <f>-AB3/AB4</f>
        <v>3.4145255968286381E-2</v>
      </c>
    </row>
    <row r="8" spans="1:29" x14ac:dyDescent="0.3">
      <c r="A8">
        <v>0.26776990000000001</v>
      </c>
      <c r="B8">
        <v>0.79137999999999997</v>
      </c>
      <c r="C8">
        <f t="shared" si="1"/>
        <v>0.211907743462</v>
      </c>
      <c r="D8">
        <v>1.52E-2</v>
      </c>
      <c r="E8">
        <v>1.0999999999999999E-2</v>
      </c>
      <c r="F8">
        <f t="shared" si="2"/>
        <v>53.553980000000003</v>
      </c>
      <c r="G8">
        <f t="shared" si="3"/>
        <v>-0.79137999999999997</v>
      </c>
      <c r="H8">
        <f t="shared" si="4"/>
        <v>-42.381548692400003</v>
      </c>
      <c r="I8">
        <v>1</v>
      </c>
      <c r="J8">
        <f t="shared" si="5"/>
        <v>-2.9270651617876431</v>
      </c>
      <c r="K8">
        <f t="shared" si="6"/>
        <v>-0.43034515177521748</v>
      </c>
      <c r="L8">
        <v>1</v>
      </c>
      <c r="M8">
        <f t="shared" si="7"/>
        <v>0.43055078501077387</v>
      </c>
      <c r="N8">
        <f t="shared" si="13"/>
        <v>4.0701024799999997E-3</v>
      </c>
      <c r="O8">
        <f t="shared" si="11"/>
        <v>2.9454689E-3</v>
      </c>
      <c r="P8">
        <f t="shared" si="12"/>
        <v>-7.2212046155563907E-3</v>
      </c>
      <c r="V8">
        <v>-5.6</v>
      </c>
      <c r="W8">
        <f t="shared" si="9"/>
        <v>-0.31508000000000003</v>
      </c>
      <c r="Y8">
        <v>0.04</v>
      </c>
      <c r="Z8">
        <f t="shared" si="10"/>
        <v>6.5249600000000019E-2</v>
      </c>
    </row>
    <row r="9" spans="1:29" x14ac:dyDescent="0.3">
      <c r="A9">
        <v>0.32174329999999995</v>
      </c>
      <c r="B9">
        <v>0.78381999999999996</v>
      </c>
      <c r="C9">
        <f t="shared" si="1"/>
        <v>0.25218883340599996</v>
      </c>
      <c r="D9">
        <v>1.52E-2</v>
      </c>
      <c r="E9">
        <v>1.0999999999999999E-2</v>
      </c>
      <c r="F9">
        <f t="shared" si="2"/>
        <v>64.348659999999995</v>
      </c>
      <c r="G9">
        <f t="shared" si="3"/>
        <v>-0.78381999999999996</v>
      </c>
      <c r="H9">
        <f t="shared" si="4"/>
        <v>-50.437766681199989</v>
      </c>
      <c r="I9">
        <v>1</v>
      </c>
      <c r="J9">
        <f t="shared" si="5"/>
        <v>-2.7434391687776394</v>
      </c>
      <c r="K9">
        <f t="shared" si="6"/>
        <v>-0.43790515177521749</v>
      </c>
      <c r="L9">
        <v>1</v>
      </c>
      <c r="M9">
        <f t="shared" si="7"/>
        <v>0.43848342790880601</v>
      </c>
      <c r="N9">
        <f t="shared" si="13"/>
        <v>4.8904981599999994E-3</v>
      </c>
      <c r="O9">
        <f t="shared" si="11"/>
        <v>3.5391762999999994E-3</v>
      </c>
      <c r="P9">
        <f t="shared" si="12"/>
        <v>-9.0079505935885158E-3</v>
      </c>
      <c r="V9">
        <v>-5.5</v>
      </c>
      <c r="W9">
        <f t="shared" si="9"/>
        <v>-0.31940000000000002</v>
      </c>
      <c r="Y9">
        <v>0.05</v>
      </c>
      <c r="Z9">
        <f t="shared" si="10"/>
        <v>0.1766970000000001</v>
      </c>
      <c r="AB9" t="s">
        <v>35</v>
      </c>
      <c r="AC9">
        <v>3.083E-2</v>
      </c>
    </row>
    <row r="10" spans="1:29" x14ac:dyDescent="0.3">
      <c r="A10">
        <v>0.37266165000000001</v>
      </c>
      <c r="B10">
        <v>0.77583999999999997</v>
      </c>
      <c r="C10">
        <f t="shared" si="1"/>
        <v>0.289125814536</v>
      </c>
      <c r="D10">
        <v>1.52E-2</v>
      </c>
      <c r="E10">
        <v>1.0999999999999999E-2</v>
      </c>
      <c r="F10">
        <f t="shared" si="2"/>
        <v>74.532330000000002</v>
      </c>
      <c r="G10">
        <f t="shared" si="3"/>
        <v>-0.77583999999999997</v>
      </c>
      <c r="H10">
        <f t="shared" si="4"/>
        <v>-57.825162907200003</v>
      </c>
      <c r="I10">
        <v>1</v>
      </c>
      <c r="J10">
        <f t="shared" si="5"/>
        <v>-2.5965222879983716</v>
      </c>
      <c r="K10">
        <f t="shared" si="6"/>
        <v>-0.44588515177521748</v>
      </c>
      <c r="L10">
        <v>1</v>
      </c>
      <c r="M10">
        <f t="shared" si="7"/>
        <v>0.44483023715847037</v>
      </c>
      <c r="N10">
        <f t="shared" si="13"/>
        <v>5.66445708E-3</v>
      </c>
      <c r="O10">
        <f t="shared" si="11"/>
        <v>4.0992781499999999E-3</v>
      </c>
      <c r="P10">
        <f t="shared" si="12"/>
        <v>-8.708820613252885E-3</v>
      </c>
      <c r="V10">
        <v>-5.4</v>
      </c>
      <c r="W10">
        <f t="shared" si="9"/>
        <v>-0.32372000000000001</v>
      </c>
      <c r="Y10">
        <v>0.06</v>
      </c>
      <c r="Z10">
        <f t="shared" si="10"/>
        <v>0.28814439999999997</v>
      </c>
    </row>
    <row r="11" spans="1:29" x14ac:dyDescent="0.3">
      <c r="A11">
        <v>0.42459834999999996</v>
      </c>
      <c r="B11">
        <v>0.76919999999999999</v>
      </c>
      <c r="C11">
        <f t="shared" si="1"/>
        <v>0.32660105081999996</v>
      </c>
      <c r="D11">
        <v>1.52E-2</v>
      </c>
      <c r="E11">
        <v>1.0999999999999999E-2</v>
      </c>
      <c r="F11">
        <f t="shared" si="2"/>
        <v>84.919669999999996</v>
      </c>
      <c r="G11">
        <f t="shared" si="3"/>
        <v>-0.76919999999999999</v>
      </c>
      <c r="H11">
        <f t="shared" si="4"/>
        <v>-65.320210163999988</v>
      </c>
      <c r="I11">
        <v>1</v>
      </c>
      <c r="J11">
        <f t="shared" si="5"/>
        <v>-2.4660495281649948</v>
      </c>
      <c r="K11">
        <f t="shared" si="6"/>
        <v>-0.45252515177521746</v>
      </c>
      <c r="L11">
        <v>1</v>
      </c>
      <c r="M11">
        <f t="shared" si="7"/>
        <v>0.45046666038327227</v>
      </c>
      <c r="N11">
        <f t="shared" si="13"/>
        <v>6.4538949199999997E-3</v>
      </c>
      <c r="O11">
        <f t="shared" si="11"/>
        <v>4.6705818499999992E-3</v>
      </c>
      <c r="P11">
        <f t="shared" si="12"/>
        <v>-9.0659853780548048E-3</v>
      </c>
      <c r="V11">
        <v>-5.3</v>
      </c>
      <c r="W11">
        <f t="shared" si="9"/>
        <v>-0.32804000000000005</v>
      </c>
      <c r="Y11">
        <v>7.0000000000000007E-2</v>
      </c>
      <c r="Z11">
        <f t="shared" si="10"/>
        <v>0.39959180000000016</v>
      </c>
      <c r="AB11" t="s">
        <v>34</v>
      </c>
      <c r="AC11">
        <f>AC7-AC9</f>
        <v>3.3152559682863812E-3</v>
      </c>
    </row>
    <row r="12" spans="1:29" x14ac:dyDescent="0.3">
      <c r="A12">
        <v>0.47551664999999999</v>
      </c>
      <c r="B12">
        <v>0.76319999999999999</v>
      </c>
      <c r="C12">
        <f t="shared" si="1"/>
        <v>0.36291430727999996</v>
      </c>
      <c r="D12">
        <v>1.52E-2</v>
      </c>
      <c r="E12">
        <v>1.0999999999999999E-2</v>
      </c>
      <c r="F12">
        <f t="shared" si="2"/>
        <v>95.10333</v>
      </c>
      <c r="G12">
        <f t="shared" si="3"/>
        <v>-0.76319999999999999</v>
      </c>
      <c r="H12">
        <f t="shared" si="4"/>
        <v>-72.582861455999989</v>
      </c>
      <c r="I12">
        <v>1</v>
      </c>
      <c r="J12">
        <f t="shared" si="5"/>
        <v>-2.3527912942709595</v>
      </c>
      <c r="K12">
        <f t="shared" si="6"/>
        <v>-0.45852515177521747</v>
      </c>
      <c r="L12">
        <v>1</v>
      </c>
      <c r="M12">
        <f t="shared" si="7"/>
        <v>0.45535941608749458</v>
      </c>
      <c r="N12">
        <f t="shared" si="13"/>
        <v>7.2278530799999999E-3</v>
      </c>
      <c r="O12">
        <f t="shared" si="11"/>
        <v>5.2306831499999993E-3</v>
      </c>
      <c r="P12">
        <f t="shared" si="12"/>
        <v>-9.2928005422771177E-3</v>
      </c>
      <c r="V12">
        <v>-5.2</v>
      </c>
      <c r="W12">
        <f t="shared" si="9"/>
        <v>-0.33236000000000004</v>
      </c>
      <c r="Y12">
        <v>0.08</v>
      </c>
      <c r="Z12">
        <f t="shared" si="10"/>
        <v>0.51103920000000003</v>
      </c>
      <c r="AC12">
        <f>AC11*3</f>
        <v>9.9457679048591437E-3</v>
      </c>
    </row>
    <row r="13" spans="1:29" x14ac:dyDescent="0.3">
      <c r="A13">
        <v>0.52592585000000003</v>
      </c>
      <c r="B13">
        <v>0.75721000000000005</v>
      </c>
      <c r="C13">
        <f t="shared" si="1"/>
        <v>0.39823631287850003</v>
      </c>
      <c r="D13">
        <v>1.52E-2</v>
      </c>
      <c r="E13">
        <v>1.0999999999999999E-2</v>
      </c>
      <c r="F13">
        <f t="shared" si="2"/>
        <v>105.18517</v>
      </c>
      <c r="G13">
        <f t="shared" si="3"/>
        <v>-0.75721000000000005</v>
      </c>
      <c r="H13">
        <f t="shared" si="4"/>
        <v>-79.647262575700012</v>
      </c>
      <c r="I13">
        <v>1</v>
      </c>
      <c r="J13">
        <f t="shared" si="5"/>
        <v>-2.2520329581974221</v>
      </c>
      <c r="K13">
        <f t="shared" si="6"/>
        <v>-0.46451515177521741</v>
      </c>
      <c r="L13">
        <v>1</v>
      </c>
      <c r="M13">
        <f t="shared" si="7"/>
        <v>0.4597121762058714</v>
      </c>
      <c r="N13">
        <f t="shared" si="13"/>
        <v>7.9940729200000012E-3</v>
      </c>
      <c r="O13">
        <f t="shared" si="11"/>
        <v>5.78518435E-3</v>
      </c>
      <c r="P13">
        <f t="shared" si="12"/>
        <v>-8.9762817006539992E-3</v>
      </c>
      <c r="V13">
        <v>-5.0999999999999996</v>
      </c>
      <c r="W13">
        <f t="shared" si="9"/>
        <v>-0.33668000000000009</v>
      </c>
      <c r="Y13">
        <v>0.09</v>
      </c>
      <c r="Z13">
        <f t="shared" si="10"/>
        <v>0.62248660000000011</v>
      </c>
    </row>
    <row r="14" spans="1:29" x14ac:dyDescent="0.3">
      <c r="A14">
        <v>0.57633499999999993</v>
      </c>
      <c r="B14">
        <v>0.75134999999999996</v>
      </c>
      <c r="C14">
        <f t="shared" si="1"/>
        <v>0.43302930224999991</v>
      </c>
      <c r="D14">
        <v>1.52E-2</v>
      </c>
      <c r="E14">
        <v>1.0999999999999999E-2</v>
      </c>
      <c r="F14">
        <f t="shared" si="2"/>
        <v>115.26699999999998</v>
      </c>
      <c r="G14">
        <f t="shared" si="3"/>
        <v>-0.75134999999999996</v>
      </c>
      <c r="H14">
        <f t="shared" si="4"/>
        <v>-86.60586044999998</v>
      </c>
      <c r="I14">
        <v>1</v>
      </c>
      <c r="J14">
        <f t="shared" si="5"/>
        <v>-2.1605041025602412</v>
      </c>
      <c r="K14">
        <f t="shared" si="6"/>
        <v>-0.47037515177521749</v>
      </c>
      <c r="L14">
        <v>1</v>
      </c>
      <c r="M14">
        <f t="shared" si="7"/>
        <v>0.46366622276939762</v>
      </c>
      <c r="N14">
        <f t="shared" si="13"/>
        <v>8.7602919999999994E-3</v>
      </c>
      <c r="O14">
        <f t="shared" si="11"/>
        <v>6.3396849999999986E-3</v>
      </c>
      <c r="P14">
        <f t="shared" si="12"/>
        <v>-8.3910479941801223E-3</v>
      </c>
      <c r="V14">
        <v>-5</v>
      </c>
      <c r="W14">
        <f t="shared" si="9"/>
        <v>-0.34100000000000003</v>
      </c>
      <c r="Y14">
        <v>0.1</v>
      </c>
      <c r="Z14">
        <f t="shared" si="10"/>
        <v>0.7339340000000002</v>
      </c>
    </row>
    <row r="15" spans="1:29" x14ac:dyDescent="0.3">
      <c r="A15">
        <v>0.62929000000000002</v>
      </c>
      <c r="B15">
        <v>0.74577000000000004</v>
      </c>
      <c r="C15">
        <f t="shared" si="1"/>
        <v>0.46930560330000004</v>
      </c>
      <c r="D15">
        <v>1.52E-2</v>
      </c>
      <c r="E15">
        <v>1.0999999999999999E-2</v>
      </c>
      <c r="F15">
        <f t="shared" si="2"/>
        <v>125.858</v>
      </c>
      <c r="G15">
        <f t="shared" si="3"/>
        <v>-0.74577000000000004</v>
      </c>
      <c r="H15">
        <f t="shared" si="4"/>
        <v>-93.861120660000012</v>
      </c>
      <c r="I15">
        <v>1</v>
      </c>
      <c r="J15">
        <f t="shared" si="5"/>
        <v>-2.0726009916817829</v>
      </c>
      <c r="K15">
        <f t="shared" si="6"/>
        <v>-0.47595515177521741</v>
      </c>
      <c r="L15">
        <v>1</v>
      </c>
      <c r="M15">
        <f t="shared" si="7"/>
        <v>0.46746363715934702</v>
      </c>
      <c r="N15">
        <f t="shared" si="13"/>
        <v>9.5652080000000004E-3</v>
      </c>
      <c r="O15">
        <f t="shared" si="11"/>
        <v>6.9221899999999999E-3</v>
      </c>
      <c r="P15">
        <f t="shared" si="12"/>
        <v>-7.9958833841296123E-3</v>
      </c>
      <c r="V15">
        <v>-4.9000000000000004</v>
      </c>
      <c r="W15">
        <f t="shared" si="9"/>
        <v>-0.34532000000000002</v>
      </c>
      <c r="Y15">
        <v>0.11</v>
      </c>
      <c r="Z15">
        <f t="shared" si="10"/>
        <v>0.84538140000000006</v>
      </c>
    </row>
    <row r="16" spans="1:29" x14ac:dyDescent="0.3">
      <c r="A16">
        <v>0.67969915000000003</v>
      </c>
      <c r="B16">
        <v>0.74031000000000002</v>
      </c>
      <c r="C16">
        <f t="shared" si="1"/>
        <v>0.50318807773649998</v>
      </c>
      <c r="D16">
        <v>1.52E-2</v>
      </c>
      <c r="E16">
        <v>1.0999999999999999E-2</v>
      </c>
      <c r="F16">
        <f t="shared" si="2"/>
        <v>135.93983</v>
      </c>
      <c r="G16">
        <f t="shared" si="3"/>
        <v>-0.74031000000000002</v>
      </c>
      <c r="H16">
        <f t="shared" si="4"/>
        <v>-100.6376155473</v>
      </c>
      <c r="I16">
        <v>1</v>
      </c>
      <c r="J16">
        <f t="shared" si="5"/>
        <v>-1.9955429176161408</v>
      </c>
      <c r="K16">
        <f t="shared" si="6"/>
        <v>-0.48141515177521743</v>
      </c>
      <c r="L16">
        <v>1</v>
      </c>
      <c r="M16">
        <f t="shared" si="7"/>
        <v>0.47079254595898279</v>
      </c>
      <c r="N16">
        <f t="shared" si="13"/>
        <v>1.033142708E-2</v>
      </c>
      <c r="O16">
        <f t="shared" si="11"/>
        <v>7.4766906500000003E-3</v>
      </c>
      <c r="P16">
        <f t="shared" si="12"/>
        <v>-7.185511913765358E-3</v>
      </c>
      <c r="V16">
        <v>-4.8</v>
      </c>
      <c r="W16">
        <f t="shared" si="9"/>
        <v>-0.34964000000000006</v>
      </c>
      <c r="Y16">
        <v>0.12</v>
      </c>
      <c r="Z16">
        <f t="shared" si="10"/>
        <v>0.95682879999999992</v>
      </c>
    </row>
    <row r="17" spans="1:26" x14ac:dyDescent="0.3">
      <c r="A17">
        <v>0.73163584999999998</v>
      </c>
      <c r="B17">
        <v>0.73470000000000002</v>
      </c>
      <c r="C17">
        <f t="shared" si="1"/>
        <v>0.53753285899500003</v>
      </c>
      <c r="D17">
        <v>1.52E-2</v>
      </c>
      <c r="E17">
        <v>1.0999999999999999E-2</v>
      </c>
      <c r="F17">
        <f t="shared" si="2"/>
        <v>146.32717</v>
      </c>
      <c r="G17">
        <f t="shared" si="3"/>
        <v>-0.73470000000000002</v>
      </c>
      <c r="H17">
        <f t="shared" si="4"/>
        <v>-107.506571799</v>
      </c>
      <c r="I17">
        <v>1</v>
      </c>
      <c r="J17">
        <f t="shared" si="5"/>
        <v>-1.9219102739131073</v>
      </c>
      <c r="K17">
        <f t="shared" si="6"/>
        <v>-0.48702515177521744</v>
      </c>
      <c r="L17">
        <v>1</v>
      </c>
      <c r="M17">
        <f t="shared" si="7"/>
        <v>0.47397347616695384</v>
      </c>
      <c r="N17">
        <f t="shared" si="13"/>
        <v>1.1120864919999999E-2</v>
      </c>
      <c r="O17">
        <f t="shared" si="11"/>
        <v>8.0479943499999988E-3</v>
      </c>
      <c r="P17">
        <f t="shared" si="12"/>
        <v>-6.117183661736407E-3</v>
      </c>
      <c r="V17">
        <v>-4.7</v>
      </c>
      <c r="W17">
        <f t="shared" si="9"/>
        <v>-0.35396000000000005</v>
      </c>
      <c r="Y17">
        <v>0.13</v>
      </c>
      <c r="Z17">
        <f t="shared" si="10"/>
        <v>1.0682762000000001</v>
      </c>
    </row>
    <row r="18" spans="1:26" x14ac:dyDescent="0.3">
      <c r="A18">
        <v>0.78255419999999998</v>
      </c>
      <c r="B18">
        <v>0.72989999999999999</v>
      </c>
      <c r="C18">
        <f t="shared" si="1"/>
        <v>0.57118631058000002</v>
      </c>
      <c r="D18">
        <v>1.52E-2</v>
      </c>
      <c r="E18">
        <v>1.0999999999999999E-2</v>
      </c>
      <c r="F18">
        <f t="shared" si="2"/>
        <v>156.51084</v>
      </c>
      <c r="G18">
        <f t="shared" si="3"/>
        <v>-0.72989999999999999</v>
      </c>
      <c r="H18">
        <f t="shared" si="4"/>
        <v>-114.23726211600001</v>
      </c>
      <c r="I18">
        <v>1</v>
      </c>
      <c r="J18">
        <f t="shared" si="5"/>
        <v>-1.8546300062249317</v>
      </c>
      <c r="K18">
        <f t="shared" si="6"/>
        <v>-0.49182515177521746</v>
      </c>
      <c r="L18">
        <v>1</v>
      </c>
      <c r="M18">
        <f t="shared" si="7"/>
        <v>0.47687998373108298</v>
      </c>
      <c r="N18">
        <f t="shared" si="13"/>
        <v>1.1894823839999999E-2</v>
      </c>
      <c r="O18">
        <f t="shared" si="11"/>
        <v>8.6080962E-3</v>
      </c>
      <c r="P18">
        <f t="shared" si="12"/>
        <v>-5.5577519958655165E-3</v>
      </c>
      <c r="V18">
        <v>-4.5999999999999996</v>
      </c>
      <c r="W18">
        <f t="shared" si="9"/>
        <v>-0.35828000000000004</v>
      </c>
      <c r="Y18">
        <v>0.14000000000000001</v>
      </c>
      <c r="Z18">
        <f t="shared" si="10"/>
        <v>1.1797236000000004</v>
      </c>
    </row>
    <row r="19" spans="1:26" x14ac:dyDescent="0.3">
      <c r="A19">
        <v>0.83500004999999999</v>
      </c>
      <c r="B19">
        <v>0.72438999999999998</v>
      </c>
      <c r="C19">
        <f t="shared" si="1"/>
        <v>0.60486568621949999</v>
      </c>
      <c r="D19">
        <v>1.52E-2</v>
      </c>
      <c r="E19">
        <v>1.0999999999999999E-2</v>
      </c>
      <c r="F19">
        <f t="shared" si="2"/>
        <v>167.00001</v>
      </c>
      <c r="G19">
        <f t="shared" si="3"/>
        <v>-0.72438999999999998</v>
      </c>
      <c r="H19">
        <f t="shared" si="4"/>
        <v>-120.9731372439</v>
      </c>
      <c r="I19">
        <v>1</v>
      </c>
      <c r="J19">
        <f t="shared" si="5"/>
        <v>-1.7897614066851442</v>
      </c>
      <c r="K19">
        <f t="shared" si="6"/>
        <v>-0.49733515177521748</v>
      </c>
      <c r="L19">
        <v>1</v>
      </c>
      <c r="M19">
        <f t="shared" si="7"/>
        <v>0.47968230723120181</v>
      </c>
      <c r="N19">
        <f t="shared" si="13"/>
        <v>1.2692000760000001E-2</v>
      </c>
      <c r="O19">
        <f t="shared" si="11"/>
        <v>9.1850005499999991E-3</v>
      </c>
      <c r="P19">
        <f t="shared" si="12"/>
        <v>-4.224156765984333E-3</v>
      </c>
      <c r="V19">
        <v>-4.5000000000000098</v>
      </c>
      <c r="W19">
        <f t="shared" si="9"/>
        <v>-0.36259999999999959</v>
      </c>
      <c r="Y19">
        <v>0.15</v>
      </c>
      <c r="Z19">
        <f t="shared" si="10"/>
        <v>1.2911709999999998</v>
      </c>
    </row>
    <row r="20" spans="1:26" x14ac:dyDescent="0.3">
      <c r="A20">
        <v>0.88693674999999994</v>
      </c>
      <c r="B20">
        <v>0.71955999999999998</v>
      </c>
      <c r="C20">
        <f t="shared" si="1"/>
        <v>0.63820420782999998</v>
      </c>
      <c r="D20">
        <v>1.52E-2</v>
      </c>
      <c r="E20">
        <v>1.0999999999999999E-2</v>
      </c>
      <c r="F20">
        <f t="shared" si="2"/>
        <v>177.38735</v>
      </c>
      <c r="G20">
        <f t="shared" si="3"/>
        <v>-0.71955999999999998</v>
      </c>
      <c r="H20">
        <f t="shared" si="4"/>
        <v>-127.64084156599999</v>
      </c>
      <c r="I20">
        <v>1</v>
      </c>
      <c r="J20">
        <f t="shared" si="5"/>
        <v>-1.7294195194282089</v>
      </c>
      <c r="K20">
        <f t="shared" si="6"/>
        <v>-0.50216515177521748</v>
      </c>
      <c r="L20">
        <v>1</v>
      </c>
      <c r="M20">
        <f t="shared" si="7"/>
        <v>0.48228907676070143</v>
      </c>
      <c r="N20">
        <f t="shared" si="13"/>
        <v>1.3481438599999999E-2</v>
      </c>
      <c r="O20">
        <f t="shared" si="11"/>
        <v>9.7563042499999985E-3</v>
      </c>
      <c r="P20">
        <f t="shared" si="12"/>
        <v>-3.3616678354839499E-3</v>
      </c>
      <c r="V20">
        <v>-4.4000000000000101</v>
      </c>
      <c r="W20">
        <f t="shared" si="9"/>
        <v>-0.36691999999999958</v>
      </c>
      <c r="Y20">
        <v>0.16</v>
      </c>
      <c r="Z20">
        <f t="shared" si="10"/>
        <v>1.4026184000000002</v>
      </c>
    </row>
    <row r="21" spans="1:26" x14ac:dyDescent="0.3">
      <c r="A21">
        <v>0.94091015</v>
      </c>
      <c r="B21">
        <v>0.71445999999999998</v>
      </c>
      <c r="C21">
        <f t="shared" si="1"/>
        <v>0.67224266576899994</v>
      </c>
      <c r="D21">
        <v>1.52E-2</v>
      </c>
      <c r="E21">
        <v>1.0999999999999999E-2</v>
      </c>
      <c r="F21">
        <f t="shared" si="2"/>
        <v>188.18203</v>
      </c>
      <c r="G21">
        <f t="shared" si="3"/>
        <v>-0.71445999999999998</v>
      </c>
      <c r="H21">
        <f t="shared" si="4"/>
        <v>-134.44853315379999</v>
      </c>
      <c r="I21">
        <v>1</v>
      </c>
      <c r="J21">
        <f t="shared" si="5"/>
        <v>-1.6703455399178615</v>
      </c>
      <c r="K21">
        <f t="shared" si="6"/>
        <v>-0.50726515177521747</v>
      </c>
      <c r="L21">
        <v>1</v>
      </c>
      <c r="M21">
        <f t="shared" si="7"/>
        <v>0.48484107267554843</v>
      </c>
      <c r="N21">
        <f t="shared" si="13"/>
        <v>1.430183428E-2</v>
      </c>
      <c r="O21">
        <f t="shared" si="11"/>
        <v>1.0350011649999999E-2</v>
      </c>
      <c r="P21">
        <f t="shared" si="12"/>
        <v>-2.2277668303309628E-3</v>
      </c>
      <c r="V21">
        <v>-4.3000000000000096</v>
      </c>
      <c r="W21">
        <f t="shared" si="9"/>
        <v>-0.37123999999999963</v>
      </c>
      <c r="Y21">
        <v>0.17</v>
      </c>
      <c r="Z21">
        <f t="shared" si="10"/>
        <v>1.5140658</v>
      </c>
    </row>
    <row r="22" spans="1:26" x14ac:dyDescent="0.3">
      <c r="A22">
        <v>0.99182855000000003</v>
      </c>
      <c r="B22">
        <v>0.70957000000000003</v>
      </c>
      <c r="C22">
        <f t="shared" si="1"/>
        <v>0.70377178422350006</v>
      </c>
      <c r="D22">
        <v>1.52E-2</v>
      </c>
      <c r="E22">
        <v>1.0999999999999999E-2</v>
      </c>
      <c r="F22">
        <f t="shared" si="2"/>
        <v>198.36571000000001</v>
      </c>
      <c r="G22">
        <f t="shared" si="3"/>
        <v>-0.70957000000000003</v>
      </c>
      <c r="H22">
        <f t="shared" si="4"/>
        <v>-140.7543568447</v>
      </c>
      <c r="I22">
        <v>1</v>
      </c>
      <c r="J22">
        <f t="shared" si="5"/>
        <v>-1.6176429317299406</v>
      </c>
      <c r="K22">
        <f t="shared" si="6"/>
        <v>-0.51215515177521742</v>
      </c>
      <c r="L22">
        <v>1</v>
      </c>
      <c r="M22">
        <f t="shared" si="7"/>
        <v>0.48711782534926662</v>
      </c>
      <c r="N22">
        <f t="shared" si="13"/>
        <v>1.507579396E-2</v>
      </c>
      <c r="O22">
        <f t="shared" si="11"/>
        <v>1.0910114049999999E-2</v>
      </c>
      <c r="P22">
        <f t="shared" si="12"/>
        <v>-9.4858158404919832E-4</v>
      </c>
      <c r="V22">
        <v>-4.2000000000000099</v>
      </c>
      <c r="W22">
        <f t="shared" si="9"/>
        <v>-0.37555999999999962</v>
      </c>
      <c r="Y22">
        <v>0.18</v>
      </c>
      <c r="Z22">
        <f t="shared" si="10"/>
        <v>1.6255132000000003</v>
      </c>
    </row>
    <row r="23" spans="1:26" x14ac:dyDescent="0.3">
      <c r="A23">
        <v>1.0422377</v>
      </c>
      <c r="B23">
        <v>0.70511999999999997</v>
      </c>
      <c r="C23">
        <f t="shared" si="1"/>
        <v>0.73490264702399999</v>
      </c>
      <c r="D23">
        <v>1.52E-2</v>
      </c>
      <c r="E23">
        <v>1.0999999999999999E-2</v>
      </c>
      <c r="F23">
        <f t="shared" si="2"/>
        <v>208.44754</v>
      </c>
      <c r="G23">
        <f t="shared" si="3"/>
        <v>-0.70511999999999997</v>
      </c>
      <c r="H23">
        <f t="shared" si="4"/>
        <v>-146.9805294048</v>
      </c>
      <c r="I23">
        <v>1</v>
      </c>
      <c r="J23">
        <f t="shared" si="5"/>
        <v>-1.568067876116189</v>
      </c>
      <c r="K23">
        <f t="shared" si="6"/>
        <v>-0.51660515177521749</v>
      </c>
      <c r="L23">
        <v>1</v>
      </c>
      <c r="M23">
        <f t="shared" si="7"/>
        <v>0.4892594677517807</v>
      </c>
      <c r="N23">
        <f t="shared" si="13"/>
        <v>1.5842013040000002E-2</v>
      </c>
      <c r="O23">
        <f t="shared" si="11"/>
        <v>1.14646147E-2</v>
      </c>
      <c r="P23">
        <f t="shared" si="12"/>
        <v>3.9056283436787048E-5</v>
      </c>
      <c r="V23">
        <v>-4.1000000000000103</v>
      </c>
      <c r="W23">
        <f t="shared" si="9"/>
        <v>-0.37987999999999961</v>
      </c>
      <c r="Y23">
        <v>0.19</v>
      </c>
      <c r="Z23">
        <f t="shared" si="10"/>
        <v>1.7369606000000002</v>
      </c>
    </row>
    <row r="24" spans="1:26" x14ac:dyDescent="0.3">
      <c r="A24">
        <v>1.0951927000000001</v>
      </c>
      <c r="B24">
        <v>0.70026999999999995</v>
      </c>
      <c r="C24">
        <f t="shared" si="1"/>
        <v>0.76693059202900005</v>
      </c>
      <c r="D24">
        <v>1.52E-2</v>
      </c>
      <c r="E24">
        <v>1.0999999999999999E-2</v>
      </c>
      <c r="F24">
        <f t="shared" si="2"/>
        <v>219.03854000000001</v>
      </c>
      <c r="G24">
        <f t="shared" si="3"/>
        <v>-0.70026999999999995</v>
      </c>
      <c r="H24">
        <f t="shared" si="4"/>
        <v>-153.3861184058</v>
      </c>
      <c r="I24">
        <v>1</v>
      </c>
      <c r="J24">
        <f t="shared" si="5"/>
        <v>-1.5185075829134456</v>
      </c>
      <c r="K24">
        <f t="shared" si="6"/>
        <v>-0.52145515177521751</v>
      </c>
      <c r="L24">
        <v>1</v>
      </c>
      <c r="M24">
        <f t="shared" si="7"/>
        <v>0.49140047241813922</v>
      </c>
      <c r="N24">
        <f t="shared" si="13"/>
        <v>1.6646929040000001E-2</v>
      </c>
      <c r="O24">
        <f t="shared" si="11"/>
        <v>1.2047119700000001E-2</v>
      </c>
      <c r="P24">
        <f t="shared" si="12"/>
        <v>1.3606306170782824E-3</v>
      </c>
      <c r="V24">
        <v>-4.0000000000000098</v>
      </c>
      <c r="W24">
        <f t="shared" si="9"/>
        <v>-0.38419999999999965</v>
      </c>
      <c r="Y24">
        <v>0.2</v>
      </c>
      <c r="Z24">
        <f t="shared" si="10"/>
        <v>1.8484080000000005</v>
      </c>
    </row>
    <row r="25" spans="1:26" x14ac:dyDescent="0.3">
      <c r="A25">
        <v>1.1471295000000001</v>
      </c>
      <c r="B25">
        <v>0.69594</v>
      </c>
      <c r="C25">
        <f t="shared" si="1"/>
        <v>0.79833330423000015</v>
      </c>
      <c r="D25">
        <v>1.52E-2</v>
      </c>
      <c r="E25">
        <v>1.0999999999999999E-2</v>
      </c>
      <c r="F25">
        <f t="shared" si="2"/>
        <v>229.42590000000001</v>
      </c>
      <c r="G25">
        <f t="shared" si="3"/>
        <v>-0.69594</v>
      </c>
      <c r="H25">
        <f t="shared" si="4"/>
        <v>-159.66666084600004</v>
      </c>
      <c r="I25">
        <v>1</v>
      </c>
      <c r="J25">
        <f t="shared" si="5"/>
        <v>-1.4721751774341498</v>
      </c>
      <c r="K25">
        <f t="shared" si="6"/>
        <v>-0.52578515177521745</v>
      </c>
      <c r="L25">
        <v>1</v>
      </c>
      <c r="M25">
        <f t="shared" si="7"/>
        <v>0.49340203233484481</v>
      </c>
      <c r="N25">
        <f t="shared" si="13"/>
        <v>1.7436368400000003E-2</v>
      </c>
      <c r="O25">
        <f t="shared" si="11"/>
        <v>1.2618424500000001E-2</v>
      </c>
      <c r="P25">
        <f t="shared" si="12"/>
        <v>2.3283265403726393E-3</v>
      </c>
      <c r="V25">
        <v>-3.9000000000000101</v>
      </c>
      <c r="W25">
        <f t="shared" si="9"/>
        <v>-0.38851999999999964</v>
      </c>
      <c r="Y25">
        <v>0.21</v>
      </c>
      <c r="Z25">
        <f t="shared" si="10"/>
        <v>1.9598554000000004</v>
      </c>
    </row>
    <row r="26" spans="1:26" x14ac:dyDescent="0.3">
      <c r="A26">
        <v>1.1995753</v>
      </c>
      <c r="B26">
        <v>0.69120000000000004</v>
      </c>
      <c r="C26">
        <f t="shared" si="1"/>
        <v>0.82914644736000009</v>
      </c>
      <c r="D26">
        <v>1.52E-2</v>
      </c>
      <c r="E26">
        <v>1.0999999999999999E-2</v>
      </c>
      <c r="F26">
        <f t="shared" si="2"/>
        <v>239.91506000000001</v>
      </c>
      <c r="G26">
        <f t="shared" si="3"/>
        <v>-0.69120000000000004</v>
      </c>
      <c r="H26">
        <f t="shared" si="4"/>
        <v>-165.82928947200003</v>
      </c>
      <c r="I26">
        <v>1</v>
      </c>
      <c r="J26">
        <f t="shared" si="5"/>
        <v>-1.4274703349500966</v>
      </c>
      <c r="K26">
        <f t="shared" si="6"/>
        <v>-0.53052515177521742</v>
      </c>
      <c r="L26">
        <v>1</v>
      </c>
      <c r="M26">
        <f t="shared" si="7"/>
        <v>0.49533328153015588</v>
      </c>
      <c r="N26">
        <f t="shared" si="13"/>
        <v>1.8233544559999999E-2</v>
      </c>
      <c r="O26">
        <f t="shared" si="11"/>
        <v>1.31953283E-2</v>
      </c>
      <c r="P26">
        <f t="shared" si="12"/>
        <v>3.7629973850615422E-3</v>
      </c>
      <c r="V26">
        <v>-3.80000000000001</v>
      </c>
      <c r="W26">
        <f t="shared" si="9"/>
        <v>-0.39283999999999963</v>
      </c>
      <c r="Y26">
        <v>0.22</v>
      </c>
      <c r="Z26">
        <f t="shared" si="10"/>
        <v>2.0713028000000002</v>
      </c>
    </row>
    <row r="27" spans="1:26" x14ac:dyDescent="0.3">
      <c r="A27">
        <v>1.2510029</v>
      </c>
      <c r="B27">
        <v>0.68669999999999998</v>
      </c>
      <c r="C27">
        <f t="shared" si="1"/>
        <v>0.85906369142999994</v>
      </c>
      <c r="D27">
        <v>1.52E-2</v>
      </c>
      <c r="E27">
        <v>1.0999999999999999E-2</v>
      </c>
      <c r="F27">
        <f t="shared" si="2"/>
        <v>250.20058</v>
      </c>
      <c r="G27">
        <f t="shared" si="3"/>
        <v>-0.68669999999999998</v>
      </c>
      <c r="H27">
        <f t="shared" si="4"/>
        <v>-171.81273828599998</v>
      </c>
      <c r="I27">
        <v>1</v>
      </c>
      <c r="J27">
        <f t="shared" si="5"/>
        <v>-1.3854923628065297</v>
      </c>
      <c r="K27">
        <f t="shared" si="6"/>
        <v>-0.53502515177521748</v>
      </c>
      <c r="L27">
        <v>1</v>
      </c>
      <c r="M27">
        <f t="shared" si="7"/>
        <v>0.49714672992675796</v>
      </c>
      <c r="N27">
        <f t="shared" si="13"/>
        <v>1.901524408E-2</v>
      </c>
      <c r="O27">
        <f t="shared" si="11"/>
        <v>1.37610319E-2</v>
      </c>
      <c r="P27">
        <f t="shared" si="12"/>
        <v>5.1021458684595202E-3</v>
      </c>
      <c r="V27">
        <v>-3.7000000000000099</v>
      </c>
      <c r="W27">
        <f t="shared" si="9"/>
        <v>-0.39715999999999962</v>
      </c>
      <c r="Y27">
        <v>0.23</v>
      </c>
      <c r="Z27">
        <f t="shared" si="10"/>
        <v>2.1827502000000005</v>
      </c>
    </row>
    <row r="28" spans="1:26" x14ac:dyDescent="0.3">
      <c r="A28">
        <v>1.3024303000000002</v>
      </c>
      <c r="B28">
        <v>0.68233999999999995</v>
      </c>
      <c r="C28">
        <f t="shared" si="1"/>
        <v>0.88870029090199998</v>
      </c>
      <c r="D28">
        <v>1.52E-2</v>
      </c>
      <c r="E28">
        <v>1.0999999999999999E-2</v>
      </c>
      <c r="F28">
        <f t="shared" si="2"/>
        <v>260.48606000000001</v>
      </c>
      <c r="G28">
        <f t="shared" si="3"/>
        <v>-0.68233999999999995</v>
      </c>
      <c r="H28">
        <f t="shared" si="4"/>
        <v>-177.74005818039998</v>
      </c>
      <c r="I28">
        <v>1</v>
      </c>
      <c r="J28">
        <f t="shared" si="5"/>
        <v>-1.3452059316965668</v>
      </c>
      <c r="K28">
        <f t="shared" si="6"/>
        <v>-0.53938515177521751</v>
      </c>
      <c r="L28">
        <v>1</v>
      </c>
      <c r="M28">
        <f t="shared" si="7"/>
        <v>0.49888710375070838</v>
      </c>
      <c r="N28">
        <f t="shared" si="13"/>
        <v>1.9796940560000004E-2</v>
      </c>
      <c r="O28">
        <f t="shared" si="11"/>
        <v>1.43267333E-2</v>
      </c>
      <c r="P28">
        <f t="shared" si="12"/>
        <v>6.374374164509122E-3</v>
      </c>
      <c r="V28">
        <v>-3.6000000000000099</v>
      </c>
      <c r="W28">
        <f t="shared" si="9"/>
        <v>-0.40147999999999961</v>
      </c>
      <c r="Y28">
        <v>0.24</v>
      </c>
      <c r="Z28">
        <f t="shared" si="10"/>
        <v>2.2941975999999999</v>
      </c>
    </row>
    <row r="29" spans="1:26" x14ac:dyDescent="0.3">
      <c r="A29">
        <v>1.3553854000000001</v>
      </c>
      <c r="B29">
        <v>0.67818000000000001</v>
      </c>
      <c r="C29">
        <f t="shared" si="1"/>
        <v>0.91919527057200001</v>
      </c>
      <c r="D29">
        <v>1.52E-2</v>
      </c>
      <c r="E29">
        <v>1.0999999999999999E-2</v>
      </c>
      <c r="F29">
        <f t="shared" si="2"/>
        <v>271.07708000000002</v>
      </c>
      <c r="G29">
        <f t="shared" si="3"/>
        <v>-0.67818000000000001</v>
      </c>
      <c r="H29">
        <f t="shared" si="4"/>
        <v>-183.8390541144</v>
      </c>
      <c r="I29">
        <v>1</v>
      </c>
      <c r="J29">
        <f t="shared" si="5"/>
        <v>-1.3053520705001433</v>
      </c>
      <c r="K29">
        <f t="shared" si="6"/>
        <v>-0.54354515177521745</v>
      </c>
      <c r="L29">
        <v>1</v>
      </c>
      <c r="M29">
        <f t="shared" si="7"/>
        <v>0.50060879055439389</v>
      </c>
      <c r="N29">
        <f t="shared" si="13"/>
        <v>2.060185808E-2</v>
      </c>
      <c r="O29">
        <f t="shared" si="11"/>
        <v>1.49092394E-2</v>
      </c>
      <c r="P29">
        <f t="shared" si="12"/>
        <v>7.4252637408235601E-3</v>
      </c>
      <c r="V29">
        <v>-3.5000000000000102</v>
      </c>
      <c r="W29">
        <f t="shared" si="9"/>
        <v>-0.40579999999999961</v>
      </c>
      <c r="Y29">
        <v>0.25</v>
      </c>
      <c r="Z29">
        <f t="shared" si="10"/>
        <v>2.4056450000000003</v>
      </c>
    </row>
    <row r="30" spans="1:26" x14ac:dyDescent="0.3">
      <c r="A30">
        <v>1.4093587999999999</v>
      </c>
      <c r="B30">
        <v>0.67349000000000003</v>
      </c>
      <c r="C30">
        <f t="shared" si="1"/>
        <v>0.94918905821199995</v>
      </c>
      <c r="D30">
        <v>1.52E-2</v>
      </c>
      <c r="E30">
        <v>1.0999999999999999E-2</v>
      </c>
      <c r="F30">
        <f t="shared" si="2"/>
        <v>281.87175999999999</v>
      </c>
      <c r="G30">
        <f t="shared" si="3"/>
        <v>-0.67349000000000003</v>
      </c>
      <c r="H30">
        <f t="shared" si="4"/>
        <v>-189.8378116424</v>
      </c>
      <c r="I30">
        <v>1</v>
      </c>
      <c r="J30">
        <f t="shared" si="5"/>
        <v>-1.2663030632480188</v>
      </c>
      <c r="K30">
        <f t="shared" si="6"/>
        <v>-0.54823515177521742</v>
      </c>
      <c r="L30">
        <v>1</v>
      </c>
      <c r="M30">
        <f t="shared" si="7"/>
        <v>0.50229570766768561</v>
      </c>
      <c r="N30">
        <f t="shared" si="13"/>
        <v>2.1422253759999999E-2</v>
      </c>
      <c r="O30">
        <f t="shared" si="11"/>
        <v>1.5502946799999999E-2</v>
      </c>
      <c r="P30">
        <f t="shared" si="12"/>
        <v>9.0142435475318149E-3</v>
      </c>
      <c r="V30">
        <v>-3.4000000000000101</v>
      </c>
      <c r="W30">
        <f t="shared" si="9"/>
        <v>-0.4101199999999996</v>
      </c>
      <c r="Y30">
        <v>0.26</v>
      </c>
      <c r="Z30">
        <f t="shared" si="10"/>
        <v>2.5170924000000006</v>
      </c>
    </row>
    <row r="31" spans="1:26" x14ac:dyDescent="0.3">
      <c r="A31">
        <v>1.4597677999999998</v>
      </c>
      <c r="B31">
        <v>0.66915000000000002</v>
      </c>
      <c r="C31">
        <f t="shared" si="1"/>
        <v>0.97680362336999993</v>
      </c>
      <c r="D31">
        <v>1.52E-2</v>
      </c>
      <c r="E31">
        <v>1.0999999999999999E-2</v>
      </c>
      <c r="F31">
        <f t="shared" si="2"/>
        <v>291.95355999999998</v>
      </c>
      <c r="G31">
        <f t="shared" si="3"/>
        <v>-0.66915000000000002</v>
      </c>
      <c r="H31">
        <f t="shared" si="4"/>
        <v>-195.36072467399998</v>
      </c>
      <c r="I31">
        <v>1</v>
      </c>
      <c r="J31">
        <f t="shared" si="5"/>
        <v>-1.2311605304581219</v>
      </c>
      <c r="K31">
        <f t="shared" si="6"/>
        <v>-0.55257515177521743</v>
      </c>
      <c r="L31">
        <v>1</v>
      </c>
      <c r="M31">
        <f t="shared" si="7"/>
        <v>0.50381386508420922</v>
      </c>
      <c r="N31">
        <f t="shared" si="13"/>
        <v>2.2188470559999996E-2</v>
      </c>
      <c r="O31">
        <f t="shared" si="11"/>
        <v>1.6057445799999997E-2</v>
      </c>
      <c r="P31">
        <f t="shared" si="12"/>
        <v>1.0515370331008217E-2</v>
      </c>
      <c r="V31">
        <v>-3.30000000000001</v>
      </c>
      <c r="W31">
        <f t="shared" si="9"/>
        <v>-0.41443999999999959</v>
      </c>
      <c r="Y31">
        <v>0.27</v>
      </c>
      <c r="Z31">
        <f t="shared" si="10"/>
        <v>2.6285398000000004</v>
      </c>
    </row>
    <row r="32" spans="1:26" x14ac:dyDescent="0.3">
      <c r="A32">
        <v>1.5117046999999999</v>
      </c>
      <c r="B32">
        <v>0.66498999999999997</v>
      </c>
      <c r="C32">
        <f t="shared" si="1"/>
        <v>1.005268508453</v>
      </c>
      <c r="D32">
        <v>1.52E-2</v>
      </c>
      <c r="E32">
        <v>1.0999999999999999E-2</v>
      </c>
      <c r="F32">
        <f t="shared" si="2"/>
        <v>302.34093999999999</v>
      </c>
      <c r="G32">
        <f t="shared" si="3"/>
        <v>-0.66498999999999997</v>
      </c>
      <c r="H32">
        <f t="shared" si="4"/>
        <v>-201.05370169060001</v>
      </c>
      <c r="I32">
        <v>1</v>
      </c>
      <c r="J32">
        <f t="shared" si="5"/>
        <v>-1.1961999579839186</v>
      </c>
      <c r="K32">
        <f t="shared" si="6"/>
        <v>-0.55673515177521748</v>
      </c>
      <c r="L32">
        <v>1</v>
      </c>
      <c r="M32">
        <f t="shared" si="7"/>
        <v>0.50532416181509476</v>
      </c>
      <c r="N32">
        <f t="shared" si="13"/>
        <v>2.2977911439999998E-2</v>
      </c>
      <c r="O32">
        <f t="shared" si="11"/>
        <v>1.66287517E-2</v>
      </c>
      <c r="P32">
        <f t="shared" si="12"/>
        <v>1.1804326820122724E-2</v>
      </c>
      <c r="V32">
        <v>-3.2000000000000099</v>
      </c>
      <c r="W32">
        <f t="shared" si="9"/>
        <v>-0.41875999999999958</v>
      </c>
    </row>
    <row r="33" spans="1:23" x14ac:dyDescent="0.3">
      <c r="A33">
        <v>1.5631322000000001</v>
      </c>
      <c r="B33">
        <v>0.66098000000000001</v>
      </c>
      <c r="C33">
        <f t="shared" si="1"/>
        <v>1.0331991215560001</v>
      </c>
      <c r="D33">
        <v>1.52E-2</v>
      </c>
      <c r="E33">
        <v>1.0999999999999999E-2</v>
      </c>
      <c r="F33">
        <f t="shared" si="2"/>
        <v>312.62644</v>
      </c>
      <c r="G33">
        <f t="shared" si="3"/>
        <v>-0.66098000000000001</v>
      </c>
      <c r="H33">
        <f t="shared" si="4"/>
        <v>-206.63982431120002</v>
      </c>
      <c r="I33">
        <v>1</v>
      </c>
      <c r="J33">
        <f t="shared" si="5"/>
        <v>-1.1627462836374252</v>
      </c>
      <c r="K33">
        <f t="shared" si="6"/>
        <v>-0.56074515177521744</v>
      </c>
      <c r="L33">
        <v>1</v>
      </c>
      <c r="M33">
        <f t="shared" si="7"/>
        <v>0.50676936054686328</v>
      </c>
      <c r="N33">
        <f t="shared" si="13"/>
        <v>2.3759609440000003E-2</v>
      </c>
      <c r="O33">
        <f t="shared" si="11"/>
        <v>1.7194454200000001E-2</v>
      </c>
      <c r="P33">
        <f t="shared" si="12"/>
        <v>1.3021727588354161E-2</v>
      </c>
      <c r="V33">
        <v>-3.1000000000000099</v>
      </c>
      <c r="W33">
        <f t="shared" si="9"/>
        <v>-0.42307999999999962</v>
      </c>
    </row>
    <row r="34" spans="1:23" x14ac:dyDescent="0.3">
      <c r="A34">
        <v>1.6135413000000001</v>
      </c>
      <c r="B34">
        <v>0.65668000000000004</v>
      </c>
      <c r="C34">
        <f t="shared" si="1"/>
        <v>1.0595803008840001</v>
      </c>
      <c r="D34">
        <v>1.52E-2</v>
      </c>
      <c r="E34">
        <v>1.0999999999999999E-2</v>
      </c>
      <c r="F34">
        <f t="shared" si="2"/>
        <v>322.70826</v>
      </c>
      <c r="G34">
        <f t="shared" si="3"/>
        <v>-0.65668000000000004</v>
      </c>
      <c r="H34">
        <f t="shared" si="4"/>
        <v>-211.91606017680002</v>
      </c>
      <c r="I34">
        <v>1</v>
      </c>
      <c r="J34">
        <f t="shared" si="5"/>
        <v>-1.1310065837225225</v>
      </c>
      <c r="K34">
        <f t="shared" si="6"/>
        <v>-0.56504515177521741</v>
      </c>
      <c r="L34">
        <v>1</v>
      </c>
      <c r="M34">
        <f t="shared" si="7"/>
        <v>0.50814051558318707</v>
      </c>
      <c r="N34">
        <f t="shared" si="13"/>
        <v>2.452582776E-2</v>
      </c>
      <c r="O34">
        <f t="shared" si="11"/>
        <v>1.7748954300000001E-2</v>
      </c>
      <c r="P34">
        <f t="shared" si="12"/>
        <v>1.4629854132030343E-2</v>
      </c>
      <c r="V34">
        <v>-3.0000000000000102</v>
      </c>
      <c r="W34">
        <f t="shared" si="9"/>
        <v>-0.42739999999999961</v>
      </c>
    </row>
    <row r="35" spans="1:23" x14ac:dyDescent="0.3">
      <c r="A35">
        <v>1.6649688</v>
      </c>
      <c r="B35">
        <v>0.65256000000000003</v>
      </c>
      <c r="C35">
        <f t="shared" si="1"/>
        <v>1.086492040128</v>
      </c>
      <c r="D35">
        <v>1.52E-2</v>
      </c>
      <c r="E35">
        <v>1.0999999999999999E-2</v>
      </c>
      <c r="F35">
        <f t="shared" si="2"/>
        <v>332.99376000000001</v>
      </c>
      <c r="G35">
        <f t="shared" si="3"/>
        <v>-0.65256000000000003</v>
      </c>
      <c r="H35">
        <f t="shared" si="4"/>
        <v>-217.2984080256</v>
      </c>
      <c r="I35">
        <v>1</v>
      </c>
      <c r="J35">
        <f t="shared" si="5"/>
        <v>-1.0996315279160043</v>
      </c>
      <c r="K35">
        <f t="shared" si="6"/>
        <v>-0.56916515177521743</v>
      </c>
      <c r="L35">
        <v>1</v>
      </c>
      <c r="M35">
        <f t="shared" si="7"/>
        <v>0.50949591799402871</v>
      </c>
      <c r="N35">
        <f t="shared" si="13"/>
        <v>2.5307525760000001E-2</v>
      </c>
      <c r="O35">
        <f t="shared" si="11"/>
        <v>1.8314656799999999E-2</v>
      </c>
      <c r="P35">
        <f t="shared" si="12"/>
        <v>1.6047051221188709E-2</v>
      </c>
      <c r="V35">
        <v>-2.9000000000000101</v>
      </c>
      <c r="W35">
        <f t="shared" si="9"/>
        <v>-0.4317199999999996</v>
      </c>
    </row>
    <row r="36" spans="1:23" x14ac:dyDescent="0.3">
      <c r="A36">
        <v>1.7158872000000001</v>
      </c>
      <c r="B36">
        <v>0.64870000000000005</v>
      </c>
      <c r="C36">
        <f t="shared" si="1"/>
        <v>1.1130960266400001</v>
      </c>
      <c r="D36">
        <v>1.52E-2</v>
      </c>
      <c r="E36">
        <v>1.0999999999999999E-2</v>
      </c>
      <c r="F36">
        <f t="shared" si="2"/>
        <v>343.17743999999999</v>
      </c>
      <c r="G36">
        <f t="shared" si="3"/>
        <v>-0.64870000000000005</v>
      </c>
      <c r="H36">
        <f t="shared" si="4"/>
        <v>-222.61920532800002</v>
      </c>
      <c r="I36">
        <v>1</v>
      </c>
      <c r="J36">
        <f t="shared" si="5"/>
        <v>-1.0695076477946557</v>
      </c>
      <c r="K36">
        <f t="shared" si="6"/>
        <v>-0.5730251517752174</v>
      </c>
      <c r="L36">
        <v>1</v>
      </c>
      <c r="M36">
        <f t="shared" si="7"/>
        <v>0.51079726961527094</v>
      </c>
      <c r="N36">
        <f t="shared" si="13"/>
        <v>2.608148544E-2</v>
      </c>
      <c r="O36">
        <f t="shared" si="11"/>
        <v>1.8874759200000001E-2</v>
      </c>
      <c r="P36">
        <f t="shared" si="12"/>
        <v>1.727163751994646E-2</v>
      </c>
      <c r="V36">
        <v>-2.80000000000001</v>
      </c>
      <c r="W36">
        <f t="shared" si="9"/>
        <v>-0.43603999999999959</v>
      </c>
    </row>
    <row r="37" spans="1:23" x14ac:dyDescent="0.3">
      <c r="A37">
        <v>1.7703698000000001</v>
      </c>
      <c r="B37">
        <v>0.64456000000000002</v>
      </c>
      <c r="C37">
        <f t="shared" si="1"/>
        <v>1.1411095582880002</v>
      </c>
      <c r="D37">
        <v>1.52E-2</v>
      </c>
      <c r="E37">
        <v>1.0999999999999999E-2</v>
      </c>
      <c r="F37">
        <f t="shared" si="2"/>
        <v>354.07396</v>
      </c>
      <c r="G37">
        <f t="shared" si="3"/>
        <v>-0.64456000000000002</v>
      </c>
      <c r="H37">
        <f t="shared" si="4"/>
        <v>-228.22191165760003</v>
      </c>
      <c r="I37">
        <v>1</v>
      </c>
      <c r="J37">
        <f t="shared" si="5"/>
        <v>-1.0382494611168032</v>
      </c>
      <c r="K37">
        <f t="shared" si="6"/>
        <v>-0.57716515177521743</v>
      </c>
      <c r="L37">
        <v>1</v>
      </c>
      <c r="M37">
        <f t="shared" si="7"/>
        <v>0.51214762327975416</v>
      </c>
      <c r="N37">
        <f t="shared" si="13"/>
        <v>2.6909620960000002E-2</v>
      </c>
      <c r="O37">
        <f t="shared" si="11"/>
        <v>1.9474067800000001E-2</v>
      </c>
      <c r="P37">
        <f t="shared" si="12"/>
        <v>1.8633839735463266E-2</v>
      </c>
      <c r="V37">
        <v>-2.7000000000000099</v>
      </c>
      <c r="W37">
        <f t="shared" si="9"/>
        <v>-0.44035999999999964</v>
      </c>
    </row>
    <row r="38" spans="1:23" x14ac:dyDescent="0.3">
      <c r="A38">
        <v>1.8212880999999999</v>
      </c>
      <c r="B38">
        <v>0.64037999999999995</v>
      </c>
      <c r="C38">
        <f t="shared" si="1"/>
        <v>1.1663164734779998</v>
      </c>
      <c r="D38">
        <v>1.52E-2</v>
      </c>
      <c r="E38">
        <v>1.0999999999999999E-2</v>
      </c>
      <c r="F38">
        <f t="shared" si="2"/>
        <v>364.25761999999997</v>
      </c>
      <c r="G38">
        <f t="shared" si="3"/>
        <v>-0.64037999999999995</v>
      </c>
      <c r="H38">
        <f t="shared" si="4"/>
        <v>-233.26329469559997</v>
      </c>
      <c r="I38">
        <v>1</v>
      </c>
      <c r="J38">
        <f t="shared" si="5"/>
        <v>-1.0098939144276271</v>
      </c>
      <c r="K38">
        <f t="shared" si="6"/>
        <v>-0.58134515177521751</v>
      </c>
      <c r="L38">
        <v>1</v>
      </c>
      <c r="M38">
        <f t="shared" si="7"/>
        <v>0.5133725828967266</v>
      </c>
      <c r="N38">
        <f t="shared" si="13"/>
        <v>2.7683579119999999E-2</v>
      </c>
      <c r="O38">
        <f t="shared" si="11"/>
        <v>2.0034169099999999E-2</v>
      </c>
      <c r="P38">
        <f t="shared" si="12"/>
        <v>2.0254820658490907E-2</v>
      </c>
      <c r="V38">
        <v>-2.6000000000000099</v>
      </c>
      <c r="W38">
        <f t="shared" si="9"/>
        <v>-0.44467999999999963</v>
      </c>
    </row>
    <row r="39" spans="1:23" x14ac:dyDescent="0.3">
      <c r="A39">
        <v>1.8737339</v>
      </c>
      <c r="B39">
        <v>0.63661999999999996</v>
      </c>
      <c r="C39">
        <f t="shared" si="1"/>
        <v>1.192856475418</v>
      </c>
      <c r="D39">
        <v>1.52E-2</v>
      </c>
      <c r="E39">
        <v>1.0999999999999999E-2</v>
      </c>
      <c r="F39">
        <f t="shared" si="2"/>
        <v>374.74678</v>
      </c>
      <c r="G39">
        <f t="shared" si="3"/>
        <v>-0.63661999999999996</v>
      </c>
      <c r="H39">
        <f t="shared" si="4"/>
        <v>-238.57129508360001</v>
      </c>
      <c r="I39">
        <v>1</v>
      </c>
      <c r="J39">
        <f t="shared" si="5"/>
        <v>-0.98150473443127473</v>
      </c>
      <c r="K39">
        <f t="shared" si="6"/>
        <v>-0.58510515177521749</v>
      </c>
      <c r="L39">
        <v>1</v>
      </c>
      <c r="M39">
        <f t="shared" si="7"/>
        <v>0.51459899547256893</v>
      </c>
      <c r="N39">
        <f t="shared" si="13"/>
        <v>2.8480755279999999E-2</v>
      </c>
      <c r="O39">
        <f t="shared" si="11"/>
        <v>2.0611072899999999E-2</v>
      </c>
      <c r="P39">
        <f t="shared" si="12"/>
        <v>2.1414328122648561E-2</v>
      </c>
      <c r="V39">
        <v>-2.5000000000000102</v>
      </c>
      <c r="W39">
        <f t="shared" si="9"/>
        <v>-0.44899999999999962</v>
      </c>
    </row>
    <row r="40" spans="1:23" x14ac:dyDescent="0.3">
      <c r="A40">
        <v>1.9251615000000002</v>
      </c>
      <c r="B40">
        <v>0.63229999999999997</v>
      </c>
      <c r="C40">
        <f t="shared" si="1"/>
        <v>1.2172796164500002</v>
      </c>
      <c r="D40">
        <v>1.52E-2</v>
      </c>
      <c r="E40">
        <v>1.0999999999999999E-2</v>
      </c>
      <c r="F40">
        <f t="shared" si="2"/>
        <v>385.03230000000002</v>
      </c>
      <c r="G40">
        <f t="shared" si="3"/>
        <v>-0.63229999999999997</v>
      </c>
      <c r="H40">
        <f t="shared" si="4"/>
        <v>-243.45592329000004</v>
      </c>
      <c r="I40">
        <v>1</v>
      </c>
      <c r="J40">
        <f t="shared" si="5"/>
        <v>-0.95442805210953807</v>
      </c>
      <c r="K40">
        <f t="shared" si="6"/>
        <v>-0.58942515177521748</v>
      </c>
      <c r="L40">
        <v>1</v>
      </c>
      <c r="M40">
        <f t="shared" si="7"/>
        <v>0.51576870814886799</v>
      </c>
      <c r="N40">
        <f t="shared" si="13"/>
        <v>2.9262454800000004E-2</v>
      </c>
      <c r="O40">
        <f t="shared" si="11"/>
        <v>2.1176776500000001E-2</v>
      </c>
      <c r="P40">
        <f t="shared" si="12"/>
        <v>2.3217212326349483E-2</v>
      </c>
      <c r="V40">
        <v>-2.4000000000000101</v>
      </c>
      <c r="W40">
        <f t="shared" si="9"/>
        <v>-0.45331999999999961</v>
      </c>
    </row>
    <row r="41" spans="1:23" x14ac:dyDescent="0.3">
      <c r="A41">
        <v>1.9760796999999999</v>
      </c>
      <c r="B41">
        <v>0.62895999999999996</v>
      </c>
      <c r="C41">
        <f t="shared" si="1"/>
        <v>1.2428750881119999</v>
      </c>
      <c r="D41">
        <v>1.52E-2</v>
      </c>
      <c r="E41">
        <v>1.0999999999999999E-2</v>
      </c>
      <c r="F41">
        <f t="shared" si="2"/>
        <v>395.21593999999999</v>
      </c>
      <c r="G41">
        <f t="shared" si="3"/>
        <v>-0.62895999999999996</v>
      </c>
      <c r="H41">
        <f t="shared" si="4"/>
        <v>-248.57501762239997</v>
      </c>
      <c r="I41">
        <v>1</v>
      </c>
      <c r="J41">
        <f t="shared" si="5"/>
        <v>-0.92832297991372137</v>
      </c>
      <c r="K41">
        <f t="shared" si="6"/>
        <v>-0.59276515177521749</v>
      </c>
      <c r="L41">
        <v>1</v>
      </c>
      <c r="M41">
        <f t="shared" si="7"/>
        <v>0.51689644726772732</v>
      </c>
      <c r="N41">
        <f t="shared" si="13"/>
        <v>3.0036411439999997E-2</v>
      </c>
      <c r="O41">
        <f t="shared" si="11"/>
        <v>2.1736876699999998E-2</v>
      </c>
      <c r="P41">
        <f t="shared" si="12"/>
        <v>2.4095416367490179E-2</v>
      </c>
      <c r="V41">
        <v>-2.30000000000001</v>
      </c>
      <c r="W41">
        <f t="shared" si="9"/>
        <v>-0.4576399999999996</v>
      </c>
    </row>
    <row r="42" spans="1:23" x14ac:dyDescent="0.3">
      <c r="A42">
        <v>2.0295440999999999</v>
      </c>
      <c r="B42">
        <v>0.62439999999999996</v>
      </c>
      <c r="C42">
        <f t="shared" si="1"/>
        <v>1.2672473360399998</v>
      </c>
      <c r="D42">
        <v>1.52E-2</v>
      </c>
      <c r="E42">
        <v>1.0999999999999999E-2</v>
      </c>
      <c r="F42">
        <f t="shared" si="2"/>
        <v>405.90881999999999</v>
      </c>
      <c r="G42">
        <f t="shared" si="3"/>
        <v>-0.62439999999999996</v>
      </c>
      <c r="H42">
        <f t="shared" si="4"/>
        <v>-253.44946720799996</v>
      </c>
      <c r="I42">
        <v>1</v>
      </c>
      <c r="J42">
        <f t="shared" si="5"/>
        <v>-0.9016267258833448</v>
      </c>
      <c r="K42">
        <f t="shared" si="6"/>
        <v>-0.5973251517752175</v>
      </c>
      <c r="L42">
        <v>1</v>
      </c>
      <c r="M42">
        <f t="shared" si="7"/>
        <v>0.51804972544183958</v>
      </c>
      <c r="N42">
        <f t="shared" si="13"/>
        <v>3.0849070319999998E-2</v>
      </c>
      <c r="O42">
        <f t="shared" si="11"/>
        <v>2.2324985099999996E-2</v>
      </c>
      <c r="P42">
        <f t="shared" si="12"/>
        <v>2.6101370913377924E-2</v>
      </c>
      <c r="V42">
        <v>-2.2000000000000099</v>
      </c>
      <c r="W42">
        <f t="shared" si="9"/>
        <v>-0.46195999999999959</v>
      </c>
    </row>
    <row r="43" spans="1:23" x14ac:dyDescent="0.3">
      <c r="A43">
        <v>2.0830082999999999</v>
      </c>
      <c r="B43">
        <v>0.62085000000000001</v>
      </c>
      <c r="C43">
        <f t="shared" si="1"/>
        <v>1.2932357030549999</v>
      </c>
      <c r="D43">
        <v>1.52E-2</v>
      </c>
      <c r="E43">
        <v>1.0999999999999999E-2</v>
      </c>
      <c r="F43">
        <f t="shared" si="2"/>
        <v>416.60165999999998</v>
      </c>
      <c r="G43">
        <f t="shared" si="3"/>
        <v>-0.62085000000000001</v>
      </c>
      <c r="H43">
        <f t="shared" si="4"/>
        <v>-258.647140611</v>
      </c>
      <c r="I43">
        <v>1</v>
      </c>
      <c r="J43">
        <f t="shared" si="5"/>
        <v>-0.87562476552566215</v>
      </c>
      <c r="K43">
        <f t="shared" si="6"/>
        <v>-0.60087515177521744</v>
      </c>
      <c r="L43">
        <v>1</v>
      </c>
      <c r="M43">
        <f t="shared" si="7"/>
        <v>0.5191730101292914</v>
      </c>
      <c r="N43">
        <f t="shared" si="13"/>
        <v>3.1661726160000001E-2</v>
      </c>
      <c r="O43">
        <f t="shared" si="11"/>
        <v>2.2913091299999997E-2</v>
      </c>
      <c r="P43">
        <f t="shared" si="12"/>
        <v>2.7127324185926043E-2</v>
      </c>
      <c r="V43">
        <v>-2.1000000000000099</v>
      </c>
      <c r="W43">
        <f t="shared" si="9"/>
        <v>-0.46627999999999964</v>
      </c>
    </row>
    <row r="44" spans="1:23" x14ac:dyDescent="0.3">
      <c r="A44">
        <v>2.1364727000000001</v>
      </c>
      <c r="B44">
        <v>0.61648999999999998</v>
      </c>
      <c r="C44">
        <f t="shared" si="1"/>
        <v>1.317114054823</v>
      </c>
      <c r="D44">
        <v>1.52E-2</v>
      </c>
      <c r="E44">
        <v>1.0999999999999999E-2</v>
      </c>
      <c r="F44">
        <f t="shared" si="2"/>
        <v>427.29454000000004</v>
      </c>
      <c r="G44">
        <f t="shared" si="3"/>
        <v>-0.61648999999999998</v>
      </c>
      <c r="H44">
        <f t="shared" si="4"/>
        <v>-263.42281096459999</v>
      </c>
      <c r="I44">
        <v>1</v>
      </c>
      <c r="J44">
        <f t="shared" si="5"/>
        <v>-0.85028171432158894</v>
      </c>
      <c r="K44">
        <f t="shared" si="6"/>
        <v>-0.60523515177521747</v>
      </c>
      <c r="L44">
        <v>1</v>
      </c>
      <c r="M44">
        <f t="shared" si="7"/>
        <v>0.52026782994130738</v>
      </c>
      <c r="N44">
        <f t="shared" si="13"/>
        <v>3.2474385040000005E-2</v>
      </c>
      <c r="O44">
        <f t="shared" si="11"/>
        <v>2.3501199699999999E-2</v>
      </c>
      <c r="P44">
        <f t="shared" si="12"/>
        <v>2.8991737093910088E-2</v>
      </c>
      <c r="V44">
        <v>-2.0000000000000102</v>
      </c>
      <c r="W44">
        <f t="shared" si="9"/>
        <v>-0.47059999999999957</v>
      </c>
    </row>
    <row r="45" spans="1:23" x14ac:dyDescent="0.3">
      <c r="A45">
        <v>2.1894277</v>
      </c>
      <c r="B45">
        <v>0.61262000000000005</v>
      </c>
      <c r="C45">
        <f t="shared" si="1"/>
        <v>1.3412871975740002</v>
      </c>
      <c r="D45">
        <v>1.52E-2</v>
      </c>
      <c r="E45">
        <v>1.0999999999999999E-2</v>
      </c>
      <c r="F45">
        <f t="shared" si="2"/>
        <v>437.88553999999999</v>
      </c>
      <c r="G45">
        <f t="shared" si="3"/>
        <v>-0.61262000000000005</v>
      </c>
      <c r="H45">
        <f t="shared" si="4"/>
        <v>-268.25743951480001</v>
      </c>
      <c r="I45">
        <v>1</v>
      </c>
      <c r="J45">
        <f t="shared" si="5"/>
        <v>-0.82579772695772291</v>
      </c>
      <c r="K45">
        <f t="shared" si="6"/>
        <v>-0.6091051517752174</v>
      </c>
      <c r="L45">
        <v>1</v>
      </c>
      <c r="M45">
        <f t="shared" si="7"/>
        <v>0.52132553819542637</v>
      </c>
      <c r="N45">
        <f t="shared" si="13"/>
        <v>3.3279301040000001E-2</v>
      </c>
      <c r="O45">
        <f t="shared" si="11"/>
        <v>2.40837047E-2</v>
      </c>
      <c r="P45">
        <f t="shared" si="12"/>
        <v>3.0416607839791027E-2</v>
      </c>
      <c r="V45">
        <v>-1.9000000000000099</v>
      </c>
      <c r="W45">
        <f t="shared" si="9"/>
        <v>-0.47491999999999962</v>
      </c>
    </row>
    <row r="46" spans="1:23" x14ac:dyDescent="0.3">
      <c r="A46">
        <v>2.2408551999999999</v>
      </c>
      <c r="B46">
        <v>0.60904999999999998</v>
      </c>
      <c r="C46">
        <f t="shared" si="1"/>
        <v>1.3647928595599998</v>
      </c>
      <c r="D46">
        <v>1.52E-2</v>
      </c>
      <c r="E46">
        <v>1.0999999999999999E-2</v>
      </c>
      <c r="F46">
        <f t="shared" si="2"/>
        <v>448.17104</v>
      </c>
      <c r="G46">
        <f t="shared" si="3"/>
        <v>-0.60904999999999998</v>
      </c>
      <c r="H46">
        <f t="shared" si="4"/>
        <v>-272.95857191199997</v>
      </c>
      <c r="I46">
        <v>1</v>
      </c>
      <c r="J46">
        <f t="shared" si="5"/>
        <v>-0.80258033371448756</v>
      </c>
      <c r="K46">
        <f t="shared" si="6"/>
        <v>-0.61267515177521747</v>
      </c>
      <c r="L46">
        <v>1</v>
      </c>
      <c r="M46">
        <f t="shared" si="7"/>
        <v>0.52232852958353415</v>
      </c>
      <c r="N46">
        <f t="shared" si="13"/>
        <v>3.4060999039999998E-2</v>
      </c>
      <c r="O46">
        <f t="shared" si="11"/>
        <v>2.4649407199999997E-2</v>
      </c>
      <c r="P46">
        <f t="shared" si="12"/>
        <v>3.1636215951683325E-2</v>
      </c>
      <c r="V46">
        <v>-1.80000000000001</v>
      </c>
      <c r="W46">
        <f t="shared" si="9"/>
        <v>-0.47923999999999961</v>
      </c>
    </row>
    <row r="47" spans="1:23" x14ac:dyDescent="0.3">
      <c r="A47">
        <v>2.2917733999999998</v>
      </c>
      <c r="B47">
        <v>0.60524999999999995</v>
      </c>
      <c r="C47">
        <f t="shared" si="1"/>
        <v>1.3870958503499997</v>
      </c>
      <c r="D47">
        <v>1.52E-2</v>
      </c>
      <c r="E47">
        <v>1.0999999999999999E-2</v>
      </c>
      <c r="F47">
        <f t="shared" si="2"/>
        <v>458.35467999999997</v>
      </c>
      <c r="G47">
        <f t="shared" si="3"/>
        <v>-0.60524999999999995</v>
      </c>
      <c r="H47">
        <f t="shared" si="4"/>
        <v>-277.41917006999995</v>
      </c>
      <c r="I47">
        <v>1</v>
      </c>
      <c r="J47">
        <f t="shared" si="5"/>
        <v>-0.7801119840886811</v>
      </c>
      <c r="K47">
        <f t="shared" si="6"/>
        <v>-0.6164751517752175</v>
      </c>
      <c r="L47">
        <v>1</v>
      </c>
      <c r="M47">
        <f t="shared" si="7"/>
        <v>0.52329916228736906</v>
      </c>
      <c r="N47">
        <f t="shared" si="13"/>
        <v>3.4834955679999995E-2</v>
      </c>
      <c r="O47">
        <f t="shared" si="11"/>
        <v>2.5209507399999997E-2</v>
      </c>
      <c r="P47">
        <f t="shared" si="12"/>
        <v>3.3131526407848451E-2</v>
      </c>
      <c r="V47">
        <v>-1.7000000000000199</v>
      </c>
      <c r="W47">
        <f t="shared" si="9"/>
        <v>-0.48355999999999921</v>
      </c>
    </row>
    <row r="48" spans="1:23" x14ac:dyDescent="0.3">
      <c r="A48">
        <v>2.3447285</v>
      </c>
      <c r="B48">
        <v>0.60138999999999998</v>
      </c>
      <c r="C48">
        <f t="shared" si="1"/>
        <v>1.4100962726149999</v>
      </c>
      <c r="D48">
        <v>1.52E-2</v>
      </c>
      <c r="E48">
        <v>1.0999999999999999E-2</v>
      </c>
      <c r="F48">
        <f t="shared" si="2"/>
        <v>468.94569999999999</v>
      </c>
      <c r="G48">
        <f t="shared" si="3"/>
        <v>-0.60138999999999998</v>
      </c>
      <c r="H48">
        <f t="shared" si="4"/>
        <v>-282.01925452299997</v>
      </c>
      <c r="I48">
        <v>1</v>
      </c>
      <c r="J48">
        <f t="shared" si="5"/>
        <v>-0.75726829549027608</v>
      </c>
      <c r="K48">
        <f t="shared" si="6"/>
        <v>-0.62033515177521747</v>
      </c>
      <c r="L48">
        <v>1</v>
      </c>
      <c r="M48">
        <f t="shared" si="7"/>
        <v>0.52428600963482008</v>
      </c>
      <c r="N48">
        <f t="shared" si="13"/>
        <v>3.5639873199999998E-2</v>
      </c>
      <c r="O48">
        <f t="shared" si="11"/>
        <v>2.5792013499999999E-2</v>
      </c>
      <c r="P48">
        <f t="shared" si="12"/>
        <v>3.4617255440397399E-2</v>
      </c>
      <c r="V48">
        <v>-1.6000000000000201</v>
      </c>
      <c r="W48">
        <f t="shared" si="9"/>
        <v>-0.4878799999999992</v>
      </c>
    </row>
    <row r="49" spans="1:23" x14ac:dyDescent="0.3">
      <c r="A49">
        <v>2.3956469999999999</v>
      </c>
      <c r="B49">
        <v>0.59753000000000001</v>
      </c>
      <c r="C49">
        <f t="shared" si="1"/>
        <v>1.43147095191</v>
      </c>
      <c r="D49">
        <v>1.52E-2</v>
      </c>
      <c r="E49">
        <v>1.0999999999999999E-2</v>
      </c>
      <c r="F49">
        <f t="shared" si="2"/>
        <v>479.12939999999998</v>
      </c>
      <c r="G49">
        <f t="shared" si="3"/>
        <v>-0.59753000000000001</v>
      </c>
      <c r="H49">
        <f t="shared" si="4"/>
        <v>-286.29419038200001</v>
      </c>
      <c r="I49">
        <v>1</v>
      </c>
      <c r="J49">
        <f t="shared" si="5"/>
        <v>-0.7357845719163324</v>
      </c>
      <c r="K49">
        <f t="shared" si="6"/>
        <v>-0.62419515177521745</v>
      </c>
      <c r="L49">
        <v>1</v>
      </c>
      <c r="M49">
        <f t="shared" si="7"/>
        <v>0.52521410649321454</v>
      </c>
      <c r="N49">
        <f t="shared" si="13"/>
        <v>3.6413834399999997E-2</v>
      </c>
      <c r="O49">
        <f t="shared" si="11"/>
        <v>2.6352116999999998E-2</v>
      </c>
      <c r="P49">
        <f t="shared" si="12"/>
        <v>3.6215093882002919E-2</v>
      </c>
      <c r="V49">
        <v>-1.50000000000002</v>
      </c>
      <c r="W49">
        <f t="shared" si="9"/>
        <v>-0.49219999999999919</v>
      </c>
    </row>
    <row r="50" spans="1:23" x14ac:dyDescent="0.3">
      <c r="A50">
        <v>2.4470744999999998</v>
      </c>
      <c r="B50">
        <v>0.59414</v>
      </c>
      <c r="C50">
        <f t="shared" si="1"/>
        <v>1.4539048434299999</v>
      </c>
      <c r="D50">
        <v>1.52E-2</v>
      </c>
      <c r="E50">
        <v>1.0999999999999999E-2</v>
      </c>
      <c r="F50">
        <f t="shared" si="2"/>
        <v>489.41489999999999</v>
      </c>
      <c r="G50">
        <f t="shared" si="3"/>
        <v>-0.59414</v>
      </c>
      <c r="H50">
        <f t="shared" si="4"/>
        <v>-290.78096868599999</v>
      </c>
      <c r="I50">
        <v>1</v>
      </c>
      <c r="J50">
        <f t="shared" si="5"/>
        <v>-0.71454468299361884</v>
      </c>
      <c r="K50">
        <f t="shared" si="6"/>
        <v>-0.62758515177521745</v>
      </c>
      <c r="L50">
        <v>1</v>
      </c>
      <c r="M50">
        <f t="shared" si="7"/>
        <v>0.52613166969467573</v>
      </c>
      <c r="N50">
        <f t="shared" si="13"/>
        <v>3.7195532399999995E-2</v>
      </c>
      <c r="O50">
        <f t="shared" si="11"/>
        <v>2.6917819499999995E-2</v>
      </c>
      <c r="P50">
        <f t="shared" si="12"/>
        <v>3.7340130180541733E-2</v>
      </c>
      <c r="V50">
        <v>-1.4000000000000199</v>
      </c>
      <c r="W50">
        <f t="shared" si="9"/>
        <v>-0.49651999999999918</v>
      </c>
    </row>
    <row r="51" spans="1:23" x14ac:dyDescent="0.3">
      <c r="A51">
        <v>2.4974835999999998</v>
      </c>
      <c r="B51">
        <v>0.59031999999999996</v>
      </c>
      <c r="C51">
        <f t="shared" si="1"/>
        <v>1.4743145187519997</v>
      </c>
      <c r="D51">
        <v>1.52E-2</v>
      </c>
      <c r="E51">
        <v>1.0999999999999999E-2</v>
      </c>
      <c r="F51">
        <f t="shared" si="2"/>
        <v>499.49671999999998</v>
      </c>
      <c r="G51">
        <f t="shared" si="3"/>
        <v>-0.59031999999999996</v>
      </c>
      <c r="H51">
        <f t="shared" si="4"/>
        <v>-294.86290375039994</v>
      </c>
      <c r="I51">
        <v>1</v>
      </c>
      <c r="J51">
        <f t="shared" si="5"/>
        <v>-0.69415424748165544</v>
      </c>
      <c r="K51">
        <f t="shared" si="6"/>
        <v>-0.6314051517752175</v>
      </c>
      <c r="L51">
        <v>1</v>
      </c>
      <c r="M51">
        <f t="shared" si="7"/>
        <v>0.52701253650879254</v>
      </c>
      <c r="N51">
        <f t="shared" si="13"/>
        <v>3.796175072E-2</v>
      </c>
      <c r="O51">
        <f t="shared" si="11"/>
        <v>2.7472319599999996E-2</v>
      </c>
      <c r="P51">
        <f t="shared" si="12"/>
        <v>3.8958544946424971E-2</v>
      </c>
      <c r="V51">
        <v>-1.30000000000002</v>
      </c>
      <c r="W51">
        <f t="shared" si="9"/>
        <v>-0.50083999999999917</v>
      </c>
    </row>
    <row r="52" spans="1:23" x14ac:dyDescent="0.3">
      <c r="A52">
        <v>2.5519661</v>
      </c>
      <c r="B52">
        <v>0.58667000000000002</v>
      </c>
      <c r="C52">
        <f t="shared" si="1"/>
        <v>1.4971619518870001</v>
      </c>
      <c r="D52">
        <v>1.52E-2</v>
      </c>
      <c r="E52">
        <v>1.0999999999999999E-2</v>
      </c>
      <c r="F52">
        <f t="shared" si="2"/>
        <v>510.39321999999999</v>
      </c>
      <c r="G52">
        <f t="shared" si="3"/>
        <v>-0.58667000000000002</v>
      </c>
      <c r="H52">
        <f t="shared" si="4"/>
        <v>-299.4323903774</v>
      </c>
      <c r="I52">
        <v>1</v>
      </c>
      <c r="J52">
        <f t="shared" si="5"/>
        <v>-0.67257383073884569</v>
      </c>
      <c r="K52">
        <f t="shared" si="6"/>
        <v>-0.63505515177521743</v>
      </c>
      <c r="L52">
        <v>1</v>
      </c>
      <c r="M52">
        <f t="shared" si="7"/>
        <v>0.52794481051208186</v>
      </c>
      <c r="N52">
        <f t="shared" si="13"/>
        <v>3.8789884720000001E-2</v>
      </c>
      <c r="O52">
        <f t="shared" si="11"/>
        <v>2.80716271E-2</v>
      </c>
      <c r="P52">
        <f t="shared" si="12"/>
        <v>4.024882944313557E-2</v>
      </c>
      <c r="V52">
        <v>-1.2000000000000199</v>
      </c>
      <c r="W52">
        <f t="shared" si="9"/>
        <v>-0.50515999999999917</v>
      </c>
    </row>
    <row r="53" spans="1:23" x14ac:dyDescent="0.3">
      <c r="A53">
        <v>2.6023752</v>
      </c>
      <c r="B53">
        <v>0.58287</v>
      </c>
      <c r="C53">
        <f t="shared" si="1"/>
        <v>1.5168464328239999</v>
      </c>
      <c r="D53">
        <v>1.52E-2</v>
      </c>
      <c r="E53">
        <v>1.0999999999999999E-2</v>
      </c>
      <c r="F53">
        <f t="shared" si="2"/>
        <v>520.47504000000004</v>
      </c>
      <c r="G53">
        <f t="shared" si="3"/>
        <v>-0.58287</v>
      </c>
      <c r="H53">
        <f t="shared" si="4"/>
        <v>-303.36928656479995</v>
      </c>
      <c r="I53">
        <v>1</v>
      </c>
      <c r="J53">
        <f t="shared" si="5"/>
        <v>-0.65301334596742799</v>
      </c>
      <c r="K53">
        <f t="shared" si="6"/>
        <v>-0.63885515177521746</v>
      </c>
      <c r="L53">
        <v>1</v>
      </c>
      <c r="M53" s="5">
        <f t="shared" si="7"/>
        <v>0.52878982345420711</v>
      </c>
      <c r="N53">
        <f t="shared" si="13"/>
        <v>3.9556103039999999E-2</v>
      </c>
      <c r="O53">
        <f t="shared" si="11"/>
        <v>2.8626127199999997E-2</v>
      </c>
      <c r="P53">
        <f t="shared" si="12"/>
        <v>4.1883098081010352E-2</v>
      </c>
      <c r="R53">
        <f>N2-M53</f>
        <v>0.69293532832101035</v>
      </c>
      <c r="V53">
        <v>-1.1000000000000201</v>
      </c>
      <c r="W53">
        <f t="shared" si="9"/>
        <v>-0.50947999999999916</v>
      </c>
    </row>
    <row r="54" spans="1:23" x14ac:dyDescent="0.3">
      <c r="A54">
        <v>2.6532934999999997</v>
      </c>
      <c r="B54">
        <v>0.57933999999999997</v>
      </c>
      <c r="C54">
        <f t="shared" si="1"/>
        <v>1.5371590562899997</v>
      </c>
      <c r="D54">
        <v>1.52E-2</v>
      </c>
      <c r="E54">
        <v>1.0999999999999999E-2</v>
      </c>
      <c r="F54">
        <f t="shared" si="2"/>
        <v>530.65869999999995</v>
      </c>
      <c r="G54">
        <f t="shared" si="3"/>
        <v>-0.57933999999999997</v>
      </c>
      <c r="H54">
        <f t="shared" si="4"/>
        <v>-307.43181125799993</v>
      </c>
      <c r="I54">
        <v>1</v>
      </c>
      <c r="J54">
        <f t="shared" si="5"/>
        <v>-0.63363621392142222</v>
      </c>
      <c r="K54">
        <f t="shared" si="6"/>
        <v>-0.64238515177521749</v>
      </c>
      <c r="L54">
        <v>1</v>
      </c>
      <c r="M54">
        <f t="shared" si="7"/>
        <v>0.52962691555859465</v>
      </c>
      <c r="N54">
        <f t="shared" si="13"/>
        <v>4.0330061199999996E-2</v>
      </c>
      <c r="O54">
        <f t="shared" si="11"/>
        <v>2.9186228499999994E-2</v>
      </c>
      <c r="P54">
        <f t="shared" si="12"/>
        <v>4.3241946516622859E-2</v>
      </c>
      <c r="V54">
        <v>-1.00000000000002</v>
      </c>
      <c r="W54">
        <f t="shared" si="9"/>
        <v>-0.51379999999999915</v>
      </c>
    </row>
    <row r="55" spans="1:23" x14ac:dyDescent="0.3">
      <c r="A55">
        <v>2.7047212000000003</v>
      </c>
      <c r="B55">
        <v>0.57628000000000001</v>
      </c>
      <c r="C55">
        <f t="shared" si="1"/>
        <v>1.5586767331360003</v>
      </c>
      <c r="D55">
        <v>1.52E-2</v>
      </c>
      <c r="E55">
        <v>1.0999999999999999E-2</v>
      </c>
      <c r="F55">
        <f t="shared" si="2"/>
        <v>540.94424000000004</v>
      </c>
      <c r="G55">
        <f t="shared" si="3"/>
        <v>-0.57628000000000001</v>
      </c>
      <c r="H55">
        <f t="shared" si="4"/>
        <v>-311.73534662720004</v>
      </c>
      <c r="I55">
        <v>1</v>
      </c>
      <c r="J55">
        <f t="shared" si="5"/>
        <v>-0.61443907383943397</v>
      </c>
      <c r="K55">
        <f t="shared" si="6"/>
        <v>-0.64544515177521744</v>
      </c>
      <c r="L55">
        <v>1</v>
      </c>
      <c r="M55">
        <f t="shared" si="7"/>
        <v>0.53045623201013647</v>
      </c>
      <c r="N55">
        <f t="shared" si="13"/>
        <v>4.1111762240000002E-2</v>
      </c>
      <c r="O55">
        <f t="shared" si="11"/>
        <v>2.97519332E-2</v>
      </c>
      <c r="P55">
        <f t="shared" si="12"/>
        <v>4.4125224325080967E-2</v>
      </c>
      <c r="V55">
        <v>-0.90000000000002001</v>
      </c>
      <c r="W55">
        <f t="shared" si="9"/>
        <v>-0.51811999999999914</v>
      </c>
    </row>
    <row r="56" spans="1:23" x14ac:dyDescent="0.3">
      <c r="A56">
        <v>2.7592036000000002</v>
      </c>
      <c r="B56">
        <v>0.57237000000000005</v>
      </c>
      <c r="C56">
        <f t="shared" si="1"/>
        <v>1.5792853645320002</v>
      </c>
      <c r="D56">
        <v>1.52E-2</v>
      </c>
      <c r="E56">
        <v>1.0999999999999999E-2</v>
      </c>
      <c r="F56">
        <f t="shared" si="2"/>
        <v>551.84072000000003</v>
      </c>
      <c r="G56">
        <f t="shared" si="3"/>
        <v>-0.57237000000000005</v>
      </c>
      <c r="H56">
        <f t="shared" si="4"/>
        <v>-315.85707290640005</v>
      </c>
      <c r="I56">
        <v>1</v>
      </c>
      <c r="J56">
        <f t="shared" si="5"/>
        <v>-0.59449582506844978</v>
      </c>
      <c r="K56">
        <f t="shared" si="6"/>
        <v>-0.64935515177521741</v>
      </c>
      <c r="L56">
        <v>1</v>
      </c>
      <c r="M56">
        <f t="shared" si="7"/>
        <v>0.53131778035704302</v>
      </c>
      <c r="N56">
        <f t="shared" si="13"/>
        <v>4.1939894720000002E-2</v>
      </c>
      <c r="O56">
        <f t="shared" si="11"/>
        <v>3.03512396E-2</v>
      </c>
      <c r="P56">
        <f t="shared" si="12"/>
        <v>4.574623709817438E-2</v>
      </c>
      <c r="V56">
        <v>-0.80000000000002003</v>
      </c>
      <c r="W56">
        <f t="shared" si="9"/>
        <v>-0.52243999999999913</v>
      </c>
    </row>
    <row r="57" spans="1:23" x14ac:dyDescent="0.3">
      <c r="A57">
        <v>2.8111405999999999</v>
      </c>
      <c r="B57">
        <v>0.56857000000000002</v>
      </c>
      <c r="C57">
        <f t="shared" si="1"/>
        <v>1.5983302109419999</v>
      </c>
      <c r="D57">
        <v>1.52E-2</v>
      </c>
      <c r="E57">
        <v>1.0999999999999999E-2</v>
      </c>
      <c r="F57">
        <f t="shared" si="2"/>
        <v>562.22811999999999</v>
      </c>
      <c r="G57">
        <f t="shared" si="3"/>
        <v>-0.56857000000000002</v>
      </c>
      <c r="H57">
        <f t="shared" si="4"/>
        <v>-319.66604218839996</v>
      </c>
      <c r="I57">
        <v>1</v>
      </c>
      <c r="J57">
        <f t="shared" si="5"/>
        <v>-0.57584760397328905</v>
      </c>
      <c r="K57">
        <f t="shared" si="6"/>
        <v>-0.65315515177521744</v>
      </c>
      <c r="L57">
        <v>1</v>
      </c>
      <c r="M57">
        <f t="shared" si="7"/>
        <v>0.53212338350835398</v>
      </c>
      <c r="N57">
        <f t="shared" si="13"/>
        <v>4.2729337119999995E-2</v>
      </c>
      <c r="O57">
        <f t="shared" si="11"/>
        <v>3.0922546599999996E-2</v>
      </c>
      <c r="P57">
        <f t="shared" si="12"/>
        <v>4.7379884546863475E-2</v>
      </c>
      <c r="V57">
        <v>-0.70000000000002005</v>
      </c>
      <c r="W57">
        <f t="shared" si="9"/>
        <v>-0.52675999999999923</v>
      </c>
    </row>
    <row r="58" spans="1:23" x14ac:dyDescent="0.3">
      <c r="A58">
        <v>2.8615496</v>
      </c>
      <c r="B58">
        <v>0.56474999999999997</v>
      </c>
      <c r="C58">
        <f t="shared" si="1"/>
        <v>1.6160601366</v>
      </c>
      <c r="D58">
        <v>1.52E-2</v>
      </c>
      <c r="E58">
        <v>1.0999999999999999E-2</v>
      </c>
      <c r="F58">
        <f t="shared" si="2"/>
        <v>572.30992000000003</v>
      </c>
      <c r="G58">
        <f t="shared" si="3"/>
        <v>-0.56474999999999997</v>
      </c>
      <c r="H58">
        <f t="shared" si="4"/>
        <v>-323.21202732</v>
      </c>
      <c r="I58">
        <v>1</v>
      </c>
      <c r="J58">
        <f t="shared" si="5"/>
        <v>-0.55807461615099352</v>
      </c>
      <c r="K58">
        <f t="shared" si="6"/>
        <v>-0.65697515177521748</v>
      </c>
      <c r="L58">
        <v>1</v>
      </c>
      <c r="M58">
        <f t="shared" si="7"/>
        <v>0.53289117658227714</v>
      </c>
      <c r="N58">
        <f t="shared" si="13"/>
        <v>4.3495553919999999E-2</v>
      </c>
      <c r="O58">
        <f t="shared" si="11"/>
        <v>3.1477045599999996E-2</v>
      </c>
      <c r="P58">
        <f t="shared" si="12"/>
        <v>4.9111375672940348E-2</v>
      </c>
      <c r="V58">
        <v>-0.60000000000001996</v>
      </c>
      <c r="W58">
        <f t="shared" si="9"/>
        <v>-0.53107999999999922</v>
      </c>
    </row>
    <row r="59" spans="1:23" x14ac:dyDescent="0.3">
      <c r="A59">
        <v>2.9165415000000001</v>
      </c>
      <c r="B59">
        <v>0.56118000000000001</v>
      </c>
      <c r="C59">
        <f t="shared" si="1"/>
        <v>1.6367047589700001</v>
      </c>
      <c r="D59">
        <v>1.52E-2</v>
      </c>
      <c r="E59">
        <v>1.0999999999999999E-2</v>
      </c>
      <c r="F59">
        <f t="shared" si="2"/>
        <v>583.30830000000003</v>
      </c>
      <c r="G59">
        <f t="shared" si="3"/>
        <v>-0.56118000000000001</v>
      </c>
      <c r="H59">
        <f t="shared" si="4"/>
        <v>-327.34095179400003</v>
      </c>
      <c r="I59">
        <v>1</v>
      </c>
      <c r="J59">
        <f t="shared" si="5"/>
        <v>-0.53903941593924554</v>
      </c>
      <c r="K59">
        <f t="shared" si="6"/>
        <v>-0.66054515177521744</v>
      </c>
      <c r="L59">
        <v>1</v>
      </c>
      <c r="M59">
        <f t="shared" si="7"/>
        <v>0.53371349723142469</v>
      </c>
      <c r="N59">
        <f t="shared" si="13"/>
        <v>4.4331430800000002E-2</v>
      </c>
      <c r="O59">
        <f t="shared" si="11"/>
        <v>3.2081956500000001E-2</v>
      </c>
      <c r="P59">
        <f t="shared" si="12"/>
        <v>5.0418267243792746E-2</v>
      </c>
      <c r="V59">
        <v>-0.50000000000001998</v>
      </c>
      <c r="W59">
        <f t="shared" si="9"/>
        <v>-0.53539999999999921</v>
      </c>
    </row>
    <row r="60" spans="1:23" x14ac:dyDescent="0.3">
      <c r="A60">
        <v>2.9679688</v>
      </c>
      <c r="B60">
        <v>0.55744000000000005</v>
      </c>
      <c r="C60">
        <f t="shared" si="1"/>
        <v>1.654464527872</v>
      </c>
      <c r="D60">
        <v>1.52E-2</v>
      </c>
      <c r="E60">
        <v>1.0999999999999999E-2</v>
      </c>
      <c r="F60">
        <f t="shared" si="2"/>
        <v>593.59375999999997</v>
      </c>
      <c r="G60">
        <f t="shared" si="3"/>
        <v>-0.55744000000000005</v>
      </c>
      <c r="H60">
        <f t="shared" si="4"/>
        <v>-330.8929055744</v>
      </c>
      <c r="I60">
        <v>1</v>
      </c>
      <c r="J60">
        <f t="shared" si="5"/>
        <v>-0.52156009931359926</v>
      </c>
      <c r="K60">
        <f t="shared" si="6"/>
        <v>-0.66428515177521741</v>
      </c>
      <c r="L60">
        <v>1</v>
      </c>
      <c r="M60">
        <f t="shared" si="7"/>
        <v>0.53446860370965255</v>
      </c>
      <c r="N60">
        <f t="shared" si="13"/>
        <v>4.5113125759999997E-2</v>
      </c>
      <c r="O60">
        <f t="shared" si="11"/>
        <v>3.2647656800000001E-2</v>
      </c>
      <c r="P60">
        <f t="shared" si="12"/>
        <v>5.2055765505564865E-2</v>
      </c>
      <c r="V60">
        <v>-0.40000000000002001</v>
      </c>
      <c r="W60">
        <f t="shared" si="9"/>
        <v>-0.5397199999999992</v>
      </c>
    </row>
    <row r="61" spans="1:23" x14ac:dyDescent="0.3">
      <c r="A61">
        <v>3.0188872</v>
      </c>
      <c r="B61">
        <v>0.5544</v>
      </c>
      <c r="C61">
        <f t="shared" si="1"/>
        <v>1.6736710636800001</v>
      </c>
      <c r="D61">
        <v>1.52E-2</v>
      </c>
      <c r="E61">
        <v>1.0999999999999999E-2</v>
      </c>
      <c r="F61">
        <f t="shared" si="2"/>
        <v>603.77743999999996</v>
      </c>
      <c r="G61">
        <f t="shared" si="3"/>
        <v>-0.5544</v>
      </c>
      <c r="H61">
        <f t="shared" si="4"/>
        <v>-334.73421273600002</v>
      </c>
      <c r="I61">
        <v>1</v>
      </c>
      <c r="J61">
        <f t="shared" si="5"/>
        <v>-0.50454962577277929</v>
      </c>
      <c r="K61">
        <f t="shared" si="6"/>
        <v>-0.66732515177521745</v>
      </c>
      <c r="L61">
        <v>1</v>
      </c>
      <c r="M61">
        <f t="shared" si="7"/>
        <v>0.53520345616661602</v>
      </c>
      <c r="N61">
        <f t="shared" si="13"/>
        <v>4.5887085440000003E-2</v>
      </c>
      <c r="O61">
        <f t="shared" si="11"/>
        <v>3.3207759199999999E-2</v>
      </c>
      <c r="P61">
        <f t="shared" si="12"/>
        <v>5.3026850968601429E-2</v>
      </c>
      <c r="V61">
        <v>-0.30000000000001997</v>
      </c>
      <c r="W61">
        <f t="shared" si="9"/>
        <v>-0.54403999999999919</v>
      </c>
    </row>
    <row r="62" spans="1:23" x14ac:dyDescent="0.3">
      <c r="A62">
        <v>3.0698056999999999</v>
      </c>
      <c r="B62">
        <v>0.55091000000000001</v>
      </c>
      <c r="C62">
        <f t="shared" si="1"/>
        <v>1.6911866581869999</v>
      </c>
      <c r="D62">
        <v>1.52E-2</v>
      </c>
      <c r="E62">
        <v>1.0999999999999999E-2</v>
      </c>
      <c r="F62">
        <f t="shared" si="2"/>
        <v>613.96114</v>
      </c>
      <c r="G62">
        <f t="shared" si="3"/>
        <v>-0.55091000000000001</v>
      </c>
      <c r="H62">
        <f t="shared" si="4"/>
        <v>-338.23733163739996</v>
      </c>
      <c r="I62">
        <v>1</v>
      </c>
      <c r="J62">
        <f t="shared" si="5"/>
        <v>-0.48782364274016504</v>
      </c>
      <c r="K62">
        <f t="shared" si="6"/>
        <v>-0.67081515177521744</v>
      </c>
      <c r="L62">
        <v>1</v>
      </c>
      <c r="M62">
        <f t="shared" si="7"/>
        <v>0.53592601863362488</v>
      </c>
      <c r="N62">
        <f t="shared" si="13"/>
        <v>4.6661046639999995E-2</v>
      </c>
      <c r="O62">
        <f t="shared" si="11"/>
        <v>3.3767862699999998E-2</v>
      </c>
      <c r="P62">
        <f t="shared" si="12"/>
        <v>5.4460223801592572E-2</v>
      </c>
      <c r="V62">
        <v>-0.20000000000002</v>
      </c>
      <c r="W62">
        <f t="shared" si="9"/>
        <v>-0.54835999999999918</v>
      </c>
    </row>
    <row r="63" spans="1:23" x14ac:dyDescent="0.3">
      <c r="A63">
        <v>3.1207238999999998</v>
      </c>
      <c r="B63">
        <v>0.54725999999999997</v>
      </c>
      <c r="C63">
        <f t="shared" si="1"/>
        <v>1.7078473615139997</v>
      </c>
      <c r="D63">
        <v>1.52E-2</v>
      </c>
      <c r="E63">
        <v>1.0999999999999999E-2</v>
      </c>
      <c r="F63">
        <f t="shared" si="2"/>
        <v>624.14477999999997</v>
      </c>
      <c r="G63">
        <f t="shared" si="3"/>
        <v>-0.54725999999999997</v>
      </c>
      <c r="H63">
        <f t="shared" si="4"/>
        <v>-341.56947230279997</v>
      </c>
      <c r="I63">
        <v>1</v>
      </c>
      <c r="J63">
        <f t="shared" si="5"/>
        <v>-0.47137291829423927</v>
      </c>
      <c r="K63">
        <f t="shared" si="6"/>
        <v>-0.67446515177521749</v>
      </c>
      <c r="L63">
        <v>1</v>
      </c>
      <c r="M63">
        <f t="shared" si="7"/>
        <v>0.53663668992968894</v>
      </c>
      <c r="N63">
        <f t="shared" si="13"/>
        <v>4.7435003279999999E-2</v>
      </c>
      <c r="O63">
        <f t="shared" si="11"/>
        <v>3.4327962899999995E-2</v>
      </c>
      <c r="P63">
        <f t="shared" si="12"/>
        <v>5.6065495665528556E-2</v>
      </c>
      <c r="V63">
        <v>-0.10000000000002</v>
      </c>
      <c r="W63">
        <f t="shared" si="9"/>
        <v>-0.55267999999999917</v>
      </c>
    </row>
    <row r="64" spans="1:23" x14ac:dyDescent="0.3">
      <c r="A64">
        <v>3.1767338999999999</v>
      </c>
      <c r="B64">
        <v>0.54359999999999997</v>
      </c>
      <c r="C64">
        <f t="shared" si="1"/>
        <v>1.7268725480399998</v>
      </c>
      <c r="D64">
        <v>1.52E-2</v>
      </c>
      <c r="E64">
        <v>1.0999999999999999E-2</v>
      </c>
      <c r="F64">
        <f t="shared" si="2"/>
        <v>635.34677999999997</v>
      </c>
      <c r="G64">
        <f t="shared" si="3"/>
        <v>-0.54359999999999997</v>
      </c>
      <c r="H64">
        <f t="shared" si="4"/>
        <v>-345.37450960799998</v>
      </c>
      <c r="I64">
        <v>1</v>
      </c>
      <c r="J64">
        <f t="shared" si="5"/>
        <v>-0.45358431891715223</v>
      </c>
      <c r="K64">
        <f t="shared" si="6"/>
        <v>-0.67812515177521748</v>
      </c>
      <c r="L64">
        <v>1</v>
      </c>
      <c r="M64">
        <f t="shared" si="7"/>
        <v>0.53740515742277906</v>
      </c>
      <c r="N64">
        <f t="shared" si="13"/>
        <v>4.8286355279999998E-2</v>
      </c>
      <c r="O64">
        <f t="shared" si="11"/>
        <v>3.4944072899999998E-2</v>
      </c>
      <c r="P64">
        <f t="shared" si="12"/>
        <v>5.748956617243843E-2</v>
      </c>
      <c r="V64">
        <v>-2.0428103653102899E-14</v>
      </c>
      <c r="W64">
        <f t="shared" si="9"/>
        <v>-0.55699999999999916</v>
      </c>
    </row>
    <row r="65" spans="1:23" x14ac:dyDescent="0.3">
      <c r="A65">
        <v>3.2281614000000003</v>
      </c>
      <c r="B65">
        <v>0.54003000000000001</v>
      </c>
      <c r="C65">
        <f t="shared" si="1"/>
        <v>1.7433040008420002</v>
      </c>
      <c r="D65">
        <v>1.52E-2</v>
      </c>
      <c r="E65">
        <v>1.0999999999999999E-2</v>
      </c>
      <c r="F65">
        <f t="shared" si="2"/>
        <v>645.63228000000004</v>
      </c>
      <c r="G65">
        <f t="shared" si="3"/>
        <v>-0.54003000000000001</v>
      </c>
      <c r="H65">
        <f t="shared" si="4"/>
        <v>-348.66080016840004</v>
      </c>
      <c r="I65">
        <v>1</v>
      </c>
      <c r="J65">
        <f t="shared" si="5"/>
        <v>-0.43752516327635627</v>
      </c>
      <c r="K65">
        <f t="shared" si="6"/>
        <v>-0.68169515177521744</v>
      </c>
      <c r="L65">
        <v>1</v>
      </c>
      <c r="M65">
        <f t="shared" si="7"/>
        <v>0.53809891294646151</v>
      </c>
      <c r="N65">
        <f t="shared" si="13"/>
        <v>4.9068053280000003E-2</v>
      </c>
      <c r="O65">
        <f t="shared" si="11"/>
        <v>3.5509775399999999E-2</v>
      </c>
      <c r="P65">
        <f t="shared" si="12"/>
        <v>5.9018410148755945E-2</v>
      </c>
      <c r="V65">
        <v>9.9999999999980105E-2</v>
      </c>
      <c r="W65">
        <f t="shared" si="9"/>
        <v>-0.56131999999999915</v>
      </c>
    </row>
    <row r="66" spans="1:23" x14ac:dyDescent="0.3">
      <c r="A66">
        <v>3.2785706000000001</v>
      </c>
      <c r="B66">
        <v>0.53666999999999998</v>
      </c>
      <c r="C66">
        <f t="shared" si="1"/>
        <v>1.7595104839019999</v>
      </c>
      <c r="D66">
        <v>1.52E-2</v>
      </c>
      <c r="E66">
        <v>1.0999999999999999E-2</v>
      </c>
      <c r="F66">
        <f t="shared" si="2"/>
        <v>655.71411999999998</v>
      </c>
      <c r="G66">
        <f t="shared" si="3"/>
        <v>-0.53666999999999998</v>
      </c>
      <c r="H66">
        <f t="shared" si="4"/>
        <v>-351.90209678039997</v>
      </c>
      <c r="I66">
        <v>1</v>
      </c>
      <c r="J66">
        <f t="shared" si="5"/>
        <v>-0.42203037770620305</v>
      </c>
      <c r="K66">
        <f t="shared" si="6"/>
        <v>-0.68505515177521747</v>
      </c>
      <c r="L66">
        <v>1</v>
      </c>
      <c r="M66">
        <f t="shared" si="7"/>
        <v>0.53876828768309204</v>
      </c>
      <c r="N66">
        <f t="shared" si="13"/>
        <v>4.9834273120000001E-2</v>
      </c>
      <c r="O66">
        <f t="shared" si="11"/>
        <v>3.60642766E-2</v>
      </c>
      <c r="P66">
        <f t="shared" si="12"/>
        <v>6.038831437212544E-2</v>
      </c>
      <c r="V66">
        <v>0.19999999999998</v>
      </c>
      <c r="W66">
        <f t="shared" si="9"/>
        <v>-0.56563999999999914</v>
      </c>
    </row>
    <row r="67" spans="1:23" x14ac:dyDescent="0.3">
      <c r="A67">
        <v>3.3294889999999997</v>
      </c>
      <c r="B67">
        <v>0.53327000000000002</v>
      </c>
      <c r="C67">
        <f t="shared" si="1"/>
        <v>1.7755165990299999</v>
      </c>
      <c r="D67">
        <v>1.52E-2</v>
      </c>
      <c r="E67">
        <v>1.0999999999999999E-2</v>
      </c>
      <c r="F67">
        <f t="shared" si="2"/>
        <v>665.89779999999996</v>
      </c>
      <c r="G67">
        <f t="shared" si="3"/>
        <v>-0.53327000000000002</v>
      </c>
      <c r="H67">
        <f t="shared" si="4"/>
        <v>-355.103319806</v>
      </c>
      <c r="I67">
        <v>1</v>
      </c>
      <c r="J67">
        <f t="shared" si="5"/>
        <v>-0.40661907367038724</v>
      </c>
      <c r="K67">
        <f t="shared" si="6"/>
        <v>-0.68845515177521743</v>
      </c>
      <c r="L67">
        <v>1</v>
      </c>
      <c r="M67">
        <f t="shared" si="7"/>
        <v>0.53943405601743932</v>
      </c>
      <c r="N67">
        <f t="shared" si="13"/>
        <v>5.0608232799999993E-2</v>
      </c>
      <c r="O67">
        <f t="shared" si="11"/>
        <v>3.6624378999999992E-2</v>
      </c>
      <c r="P67">
        <f t="shared" si="12"/>
        <v>6.1788483957778133E-2</v>
      </c>
      <c r="V67">
        <v>0.29999999999998</v>
      </c>
      <c r="W67">
        <f t="shared" si="9"/>
        <v>-0.56995999999999913</v>
      </c>
    </row>
    <row r="68" spans="1:23" x14ac:dyDescent="0.3">
      <c r="A68">
        <v>3.3829530999999999</v>
      </c>
      <c r="B68">
        <v>0.52961999999999998</v>
      </c>
      <c r="C68">
        <f t="shared" si="1"/>
        <v>1.7916796208219998</v>
      </c>
      <c r="D68">
        <v>1.52E-2</v>
      </c>
      <c r="E68">
        <v>1.0999999999999999E-2</v>
      </c>
      <c r="F68">
        <f t="shared" si="2"/>
        <v>676.59061999999994</v>
      </c>
      <c r="G68">
        <f t="shared" si="3"/>
        <v>-0.52961999999999998</v>
      </c>
      <c r="H68">
        <f t="shared" si="4"/>
        <v>-358.33592416439996</v>
      </c>
      <c r="I68">
        <v>1</v>
      </c>
      <c r="J68">
        <f t="shared" si="5"/>
        <v>-0.39068888616644853</v>
      </c>
      <c r="K68">
        <f t="shared" si="6"/>
        <v>-0.69210515177521748</v>
      </c>
      <c r="L68">
        <v>1</v>
      </c>
      <c r="M68">
        <f t="shared" si="7"/>
        <v>0.54012224011760945</v>
      </c>
      <c r="N68">
        <f t="shared" si="13"/>
        <v>5.1420887120000001E-2</v>
      </c>
      <c r="O68">
        <f t="shared" si="11"/>
        <v>3.7212484099999998E-2</v>
      </c>
      <c r="P68">
        <f t="shared" si="12"/>
        <v>6.3349540437608015E-2</v>
      </c>
      <c r="V68">
        <v>0.39999999999997998</v>
      </c>
      <c r="W68">
        <f t="shared" si="9"/>
        <v>-0.57427999999999924</v>
      </c>
    </row>
    <row r="69" spans="1:23" x14ac:dyDescent="0.3">
      <c r="A69">
        <v>3.4399813999999997</v>
      </c>
      <c r="B69">
        <v>0.52583999999999997</v>
      </c>
      <c r="C69">
        <f t="shared" ref="C69:C132" si="14">A69*B69</f>
        <v>1.8088798193759998</v>
      </c>
      <c r="D69">
        <v>1.52E-2</v>
      </c>
      <c r="E69">
        <v>1.0999999999999999E-2</v>
      </c>
      <c r="F69">
        <f t="shared" ref="F69:F132" si="15">A69*200</f>
        <v>687.99627999999996</v>
      </c>
      <c r="G69">
        <f t="shared" ref="G69:G132" si="16">-B69</f>
        <v>-0.52583999999999997</v>
      </c>
      <c r="H69">
        <f t="shared" ref="H69:H132" si="17">-C69*200</f>
        <v>-361.77596387519998</v>
      </c>
      <c r="I69">
        <v>1</v>
      </c>
      <c r="J69">
        <f t="shared" ref="J69:J132" si="18">LN(F69/1000)</f>
        <v>-0.37397184804015549</v>
      </c>
      <c r="K69">
        <f t="shared" ref="K69:K132" si="19">((-G69)-$N$2)</f>
        <v>-0.69588515177521748</v>
      </c>
      <c r="L69">
        <v>1</v>
      </c>
      <c r="M69">
        <f t="shared" ref="M69:M132" si="20">-1*($S$4+($S$5*J69))</f>
        <v>0.54084441616466528</v>
      </c>
      <c r="N69">
        <f t="shared" si="13"/>
        <v>5.2287717279999993E-2</v>
      </c>
      <c r="O69">
        <f t="shared" si="11"/>
        <v>3.7839795399999994E-2</v>
      </c>
      <c r="P69">
        <f t="shared" si="12"/>
        <v>6.4913222930552211E-2</v>
      </c>
      <c r="V69">
        <v>0.49999999999998002</v>
      </c>
      <c r="W69">
        <f t="shared" ref="W69:W132" si="21">V69*$S$5+$S$4</f>
        <v>-0.57859999999999923</v>
      </c>
    </row>
    <row r="70" spans="1:23" x14ac:dyDescent="0.3">
      <c r="A70">
        <v>3.4919182000000002</v>
      </c>
      <c r="B70">
        <v>0.52248000000000006</v>
      </c>
      <c r="C70">
        <f t="shared" si="14"/>
        <v>1.8244574211360003</v>
      </c>
      <c r="D70">
        <v>1.52E-2</v>
      </c>
      <c r="E70">
        <v>1.0999999999999999E-2</v>
      </c>
      <c r="F70">
        <f t="shared" si="15"/>
        <v>698.38364000000001</v>
      </c>
      <c r="G70">
        <f t="shared" si="16"/>
        <v>-0.52248000000000006</v>
      </c>
      <c r="H70">
        <f t="shared" si="17"/>
        <v>-364.89148422720007</v>
      </c>
      <c r="I70">
        <v>1</v>
      </c>
      <c r="J70">
        <f t="shared" si="18"/>
        <v>-0.35898669970247671</v>
      </c>
      <c r="K70">
        <f t="shared" si="19"/>
        <v>-0.6992451517752174</v>
      </c>
      <c r="L70">
        <v>1</v>
      </c>
      <c r="M70">
        <f t="shared" si="20"/>
        <v>0.54149177457285302</v>
      </c>
      <c r="N70">
        <f t="shared" si="13"/>
        <v>5.3077156640000005E-2</v>
      </c>
      <c r="O70">
        <f t="shared" ref="O70:O133" si="22">E70*A70</f>
        <v>3.8411100199999999E-2</v>
      </c>
      <c r="P70">
        <f t="shared" ref="P70:P133" si="23">-K70-M70-N70-O70</f>
        <v>6.6265120362364371E-2</v>
      </c>
      <c r="V70">
        <v>0.59999999999997999</v>
      </c>
      <c r="W70">
        <f t="shared" si="21"/>
        <v>-0.58291999999999922</v>
      </c>
    </row>
    <row r="71" spans="1:23" x14ac:dyDescent="0.3">
      <c r="A71">
        <v>3.5438549999999998</v>
      </c>
      <c r="B71">
        <v>0.51883000000000001</v>
      </c>
      <c r="C71">
        <f t="shared" si="14"/>
        <v>1.8386582896499999</v>
      </c>
      <c r="D71">
        <v>1.52E-2</v>
      </c>
      <c r="E71">
        <v>1.0999999999999999E-2</v>
      </c>
      <c r="F71">
        <f t="shared" si="15"/>
        <v>708.77099999999996</v>
      </c>
      <c r="G71">
        <f t="shared" si="16"/>
        <v>-0.51883000000000001</v>
      </c>
      <c r="H71">
        <f t="shared" si="17"/>
        <v>-367.73165792999998</v>
      </c>
      <c r="I71">
        <v>1</v>
      </c>
      <c r="J71">
        <f t="shared" si="18"/>
        <v>-0.34422279474949452</v>
      </c>
      <c r="K71">
        <f t="shared" si="19"/>
        <v>-0.70289515177521744</v>
      </c>
      <c r="L71">
        <v>1</v>
      </c>
      <c r="M71">
        <f t="shared" si="20"/>
        <v>0.54212957526682193</v>
      </c>
      <c r="N71">
        <f t="shared" ref="N71:N134" si="24">D71*A71</f>
        <v>5.3866595999999996E-2</v>
      </c>
      <c r="O71">
        <f t="shared" si="22"/>
        <v>3.8982404999999998E-2</v>
      </c>
      <c r="P71">
        <f t="shared" si="23"/>
        <v>6.7916575508395527E-2</v>
      </c>
      <c r="V71">
        <v>0.69999999999997997</v>
      </c>
      <c r="W71">
        <f t="shared" si="21"/>
        <v>-0.58723999999999921</v>
      </c>
    </row>
    <row r="72" spans="1:23" x14ac:dyDescent="0.3">
      <c r="A72">
        <v>3.5947734000000002</v>
      </c>
      <c r="B72">
        <v>0.51571999999999996</v>
      </c>
      <c r="C72">
        <f t="shared" si="14"/>
        <v>1.8538965378479999</v>
      </c>
      <c r="D72">
        <v>1.52E-2</v>
      </c>
      <c r="E72">
        <v>1.0999999999999999E-2</v>
      </c>
      <c r="F72">
        <f t="shared" si="15"/>
        <v>718.95468000000005</v>
      </c>
      <c r="G72">
        <f t="shared" si="16"/>
        <v>-0.51571999999999996</v>
      </c>
      <c r="H72">
        <f t="shared" si="17"/>
        <v>-370.77930756960001</v>
      </c>
      <c r="I72">
        <v>1</v>
      </c>
      <c r="J72">
        <f t="shared" si="18"/>
        <v>-0.32995695523656299</v>
      </c>
      <c r="K72">
        <f t="shared" si="19"/>
        <v>-0.7060051517752175</v>
      </c>
      <c r="L72">
        <v>1</v>
      </c>
      <c r="M72">
        <f t="shared" si="20"/>
        <v>0.54274585953378052</v>
      </c>
      <c r="N72">
        <f t="shared" si="24"/>
        <v>5.4640555680000001E-2</v>
      </c>
      <c r="O72">
        <f t="shared" si="22"/>
        <v>3.9542507400000003E-2</v>
      </c>
      <c r="P72">
        <f t="shared" si="23"/>
        <v>6.9076229161436964E-2</v>
      </c>
      <c r="V72">
        <v>0.79999999999997995</v>
      </c>
      <c r="W72">
        <f t="shared" si="21"/>
        <v>-0.5915599999999992</v>
      </c>
    </row>
    <row r="73" spans="1:23" x14ac:dyDescent="0.3">
      <c r="A73">
        <v>3.6451826000000001</v>
      </c>
      <c r="B73">
        <v>0.51214999999999999</v>
      </c>
      <c r="C73">
        <f t="shared" si="14"/>
        <v>1.8668802685900001</v>
      </c>
      <c r="D73">
        <v>1.52E-2</v>
      </c>
      <c r="E73">
        <v>1.0999999999999999E-2</v>
      </c>
      <c r="F73">
        <f t="shared" si="15"/>
        <v>729.03652</v>
      </c>
      <c r="G73">
        <f t="shared" si="16"/>
        <v>-0.51214999999999999</v>
      </c>
      <c r="H73">
        <f t="shared" si="17"/>
        <v>-373.37605371800004</v>
      </c>
      <c r="I73">
        <v>1</v>
      </c>
      <c r="J73">
        <f t="shared" si="18"/>
        <v>-0.31603145220629486</v>
      </c>
      <c r="K73">
        <f t="shared" si="19"/>
        <v>-0.70957515177521746</v>
      </c>
      <c r="L73">
        <v>1</v>
      </c>
      <c r="M73">
        <f t="shared" si="20"/>
        <v>0.54334744126468815</v>
      </c>
      <c r="N73">
        <f t="shared" si="24"/>
        <v>5.540677552E-2</v>
      </c>
      <c r="O73">
        <f t="shared" si="22"/>
        <v>4.0097008599999998E-2</v>
      </c>
      <c r="P73">
        <f t="shared" si="23"/>
        <v>7.072392639052931E-2</v>
      </c>
      <c r="V73">
        <v>0.89999999999998004</v>
      </c>
      <c r="W73">
        <f t="shared" si="21"/>
        <v>-0.59587999999999919</v>
      </c>
    </row>
    <row r="74" spans="1:23" x14ac:dyDescent="0.3">
      <c r="A74">
        <v>3.6966099000000003</v>
      </c>
      <c r="B74">
        <v>0.50876999999999994</v>
      </c>
      <c r="C74">
        <f t="shared" si="14"/>
        <v>1.880724218823</v>
      </c>
      <c r="D74">
        <v>1.52E-2</v>
      </c>
      <c r="E74">
        <v>1.0999999999999999E-2</v>
      </c>
      <c r="F74">
        <f t="shared" si="15"/>
        <v>739.32198000000005</v>
      </c>
      <c r="G74">
        <f t="shared" si="16"/>
        <v>-0.50876999999999994</v>
      </c>
      <c r="H74">
        <f t="shared" si="17"/>
        <v>-376.14484376460001</v>
      </c>
      <c r="I74">
        <v>1</v>
      </c>
      <c r="J74">
        <f t="shared" si="18"/>
        <v>-0.30202175603457743</v>
      </c>
      <c r="K74">
        <f t="shared" si="19"/>
        <v>-0.71295515177521751</v>
      </c>
      <c r="L74">
        <v>1</v>
      </c>
      <c r="M74">
        <f t="shared" si="20"/>
        <v>0.54395266013930632</v>
      </c>
      <c r="N74">
        <f t="shared" si="24"/>
        <v>5.6188470480000002E-2</v>
      </c>
      <c r="O74">
        <f t="shared" si="22"/>
        <v>4.0662708900000004E-2</v>
      </c>
      <c r="P74">
        <f t="shared" si="23"/>
        <v>7.2151312255911176E-2</v>
      </c>
      <c r="V74">
        <v>0.99999999999998002</v>
      </c>
      <c r="W74">
        <f t="shared" si="21"/>
        <v>-0.60019999999999918</v>
      </c>
    </row>
    <row r="75" spans="1:23" x14ac:dyDescent="0.3">
      <c r="A75">
        <v>3.7480376</v>
      </c>
      <c r="B75">
        <v>0.50526000000000004</v>
      </c>
      <c r="C75">
        <f t="shared" si="14"/>
        <v>1.8937334777760002</v>
      </c>
      <c r="D75">
        <v>1.52E-2</v>
      </c>
      <c r="E75">
        <v>1.0999999999999999E-2</v>
      </c>
      <c r="F75">
        <f t="shared" si="15"/>
        <v>749.60752000000002</v>
      </c>
      <c r="G75">
        <f t="shared" si="16"/>
        <v>-0.50526000000000004</v>
      </c>
      <c r="H75">
        <f t="shared" si="17"/>
        <v>-378.74669555520006</v>
      </c>
      <c r="I75">
        <v>1</v>
      </c>
      <c r="J75">
        <f t="shared" si="18"/>
        <v>-0.28820551609116923</v>
      </c>
      <c r="K75">
        <f t="shared" si="19"/>
        <v>-0.71646515177521741</v>
      </c>
      <c r="L75">
        <v>1</v>
      </c>
      <c r="M75">
        <f t="shared" si="20"/>
        <v>0.54454952170486148</v>
      </c>
      <c r="N75">
        <f t="shared" si="24"/>
        <v>5.6970171520000001E-2</v>
      </c>
      <c r="O75">
        <f t="shared" si="22"/>
        <v>4.12284136E-2</v>
      </c>
      <c r="P75">
        <f t="shared" si="23"/>
        <v>7.3717044950355928E-2</v>
      </c>
      <c r="V75">
        <v>1.0999999999999699</v>
      </c>
      <c r="W75">
        <f t="shared" si="21"/>
        <v>-0.60451999999999873</v>
      </c>
    </row>
    <row r="76" spans="1:23" x14ac:dyDescent="0.3">
      <c r="A76">
        <v>3.7999744</v>
      </c>
      <c r="B76">
        <v>0.50202999999999998</v>
      </c>
      <c r="C76">
        <f t="shared" si="14"/>
        <v>1.9077011480319999</v>
      </c>
      <c r="D76">
        <v>1.52E-2</v>
      </c>
      <c r="E76">
        <v>1.0999999999999999E-2</v>
      </c>
      <c r="F76">
        <f t="shared" si="15"/>
        <v>759.99487999999997</v>
      </c>
      <c r="G76">
        <f t="shared" si="16"/>
        <v>-0.50202999999999998</v>
      </c>
      <c r="H76">
        <f t="shared" si="17"/>
        <v>-381.54022960639998</v>
      </c>
      <c r="I76">
        <v>1</v>
      </c>
      <c r="J76">
        <f t="shared" si="18"/>
        <v>-0.27444358256655826</v>
      </c>
      <c r="K76">
        <f t="shared" si="19"/>
        <v>-0.71969515177521748</v>
      </c>
      <c r="L76">
        <v>1</v>
      </c>
      <c r="M76">
        <f t="shared" si="20"/>
        <v>0.54514403723312477</v>
      </c>
      <c r="N76">
        <f t="shared" si="24"/>
        <v>5.7759610879999999E-2</v>
      </c>
      <c r="O76">
        <f t="shared" si="22"/>
        <v>4.1799718399999998E-2</v>
      </c>
      <c r="P76">
        <f t="shared" si="23"/>
        <v>7.4991785262092714E-2</v>
      </c>
      <c r="V76">
        <v>1.19999999999997</v>
      </c>
      <c r="W76">
        <f t="shared" si="21"/>
        <v>-0.60883999999999872</v>
      </c>
    </row>
    <row r="77" spans="1:23" x14ac:dyDescent="0.3">
      <c r="A77">
        <v>3.8519108999999996</v>
      </c>
      <c r="B77">
        <v>0.49861</v>
      </c>
      <c r="C77">
        <f t="shared" si="14"/>
        <v>1.9206012938489998</v>
      </c>
      <c r="D77">
        <v>1.52E-2</v>
      </c>
      <c r="E77">
        <v>1.0999999999999999E-2</v>
      </c>
      <c r="F77">
        <f t="shared" si="15"/>
        <v>770.38217999999995</v>
      </c>
      <c r="G77">
        <f t="shared" si="16"/>
        <v>-0.49861</v>
      </c>
      <c r="H77">
        <f t="shared" si="17"/>
        <v>-384.12025876979999</v>
      </c>
      <c r="I77">
        <v>1</v>
      </c>
      <c r="J77">
        <f t="shared" si="18"/>
        <v>-0.2608685496068649</v>
      </c>
      <c r="K77">
        <f t="shared" si="19"/>
        <v>-0.72311515177521746</v>
      </c>
      <c r="L77">
        <v>1</v>
      </c>
      <c r="M77">
        <f t="shared" si="20"/>
        <v>0.54573047865698343</v>
      </c>
      <c r="N77">
        <f t="shared" si="24"/>
        <v>5.8549045679999995E-2</v>
      </c>
      <c r="O77">
        <f t="shared" si="22"/>
        <v>4.2371019899999994E-2</v>
      </c>
      <c r="P77">
        <f t="shared" si="23"/>
        <v>7.6464607538234031E-2</v>
      </c>
      <c r="V77">
        <v>1.2999999999999701</v>
      </c>
      <c r="W77">
        <f t="shared" si="21"/>
        <v>-0.61315999999999882</v>
      </c>
    </row>
    <row r="78" spans="1:23" x14ac:dyDescent="0.3">
      <c r="A78">
        <v>3.9043567000000001</v>
      </c>
      <c r="B78">
        <v>0.49508000000000002</v>
      </c>
      <c r="C78">
        <f t="shared" si="14"/>
        <v>1.9329689150360001</v>
      </c>
      <c r="D78">
        <v>1.52E-2</v>
      </c>
      <c r="E78">
        <v>1.0999999999999999E-2</v>
      </c>
      <c r="F78">
        <f t="shared" si="15"/>
        <v>780.87134000000003</v>
      </c>
      <c r="G78">
        <f t="shared" si="16"/>
        <v>-0.49508000000000002</v>
      </c>
      <c r="H78">
        <f t="shared" si="17"/>
        <v>-386.59378300720005</v>
      </c>
      <c r="I78">
        <v>1</v>
      </c>
      <c r="J78">
        <f t="shared" si="18"/>
        <v>-0.2473448802291712</v>
      </c>
      <c r="K78">
        <f t="shared" si="19"/>
        <v>-0.72664515177521749</v>
      </c>
      <c r="L78">
        <v>1</v>
      </c>
      <c r="M78">
        <f t="shared" si="20"/>
        <v>0.54631470117409986</v>
      </c>
      <c r="N78">
        <f t="shared" si="24"/>
        <v>5.9346221840000005E-2</v>
      </c>
      <c r="O78">
        <f t="shared" si="22"/>
        <v>4.2947923700000001E-2</v>
      </c>
      <c r="P78">
        <f t="shared" si="23"/>
        <v>7.8036305061117625E-2</v>
      </c>
      <c r="V78">
        <v>1.3999999999999699</v>
      </c>
      <c r="W78">
        <f t="shared" si="21"/>
        <v>-0.6174799999999987</v>
      </c>
    </row>
    <row r="79" spans="1:23" x14ac:dyDescent="0.3">
      <c r="A79">
        <v>3.9552751000000002</v>
      </c>
      <c r="B79">
        <v>0.49160999999999999</v>
      </c>
      <c r="C79">
        <f t="shared" si="14"/>
        <v>1.944452791911</v>
      </c>
      <c r="D79">
        <v>1.52E-2</v>
      </c>
      <c r="E79">
        <v>1.0999999999999999E-2</v>
      </c>
      <c r="F79">
        <f t="shared" si="15"/>
        <v>791.05502000000001</v>
      </c>
      <c r="G79">
        <f t="shared" si="16"/>
        <v>-0.49160999999999999</v>
      </c>
      <c r="H79">
        <f t="shared" si="17"/>
        <v>-388.89055838219997</v>
      </c>
      <c r="I79">
        <v>1</v>
      </c>
      <c r="J79">
        <f t="shared" si="18"/>
        <v>-0.2343877561113715</v>
      </c>
      <c r="K79">
        <f t="shared" si="19"/>
        <v>-0.73011515177521746</v>
      </c>
      <c r="L79">
        <v>1</v>
      </c>
      <c r="M79">
        <f t="shared" si="20"/>
        <v>0.5468744489359888</v>
      </c>
      <c r="N79">
        <f t="shared" si="24"/>
        <v>6.0120181520000003E-2</v>
      </c>
      <c r="O79">
        <f t="shared" si="22"/>
        <v>4.35080261E-2</v>
      </c>
      <c r="P79">
        <f t="shared" si="23"/>
        <v>7.9612495219228654E-2</v>
      </c>
      <c r="V79">
        <v>1.49999999999997</v>
      </c>
      <c r="W79">
        <f t="shared" si="21"/>
        <v>-0.6217999999999988</v>
      </c>
    </row>
    <row r="80" spans="1:23" x14ac:dyDescent="0.3">
      <c r="A80">
        <v>4.0061933999999999</v>
      </c>
      <c r="B80">
        <v>0.4884</v>
      </c>
      <c r="C80">
        <f t="shared" si="14"/>
        <v>1.95662485656</v>
      </c>
      <c r="D80">
        <v>1.52E-2</v>
      </c>
      <c r="E80">
        <v>1.0999999999999999E-2</v>
      </c>
      <c r="F80">
        <f t="shared" si="15"/>
        <v>801.23867999999993</v>
      </c>
      <c r="G80">
        <f t="shared" si="16"/>
        <v>-0.4884</v>
      </c>
      <c r="H80">
        <f t="shared" si="17"/>
        <v>-391.324971312</v>
      </c>
      <c r="I80">
        <v>1</v>
      </c>
      <c r="J80">
        <f t="shared" si="18"/>
        <v>-0.22159639877217435</v>
      </c>
      <c r="K80">
        <f t="shared" si="19"/>
        <v>-0.73332515177521751</v>
      </c>
      <c r="L80">
        <v>1</v>
      </c>
      <c r="M80">
        <f t="shared" si="20"/>
        <v>0.54742703557304206</v>
      </c>
      <c r="N80">
        <f t="shared" si="24"/>
        <v>6.0894139680000001E-2</v>
      </c>
      <c r="O80">
        <f t="shared" si="22"/>
        <v>4.4068127399999997E-2</v>
      </c>
      <c r="P80">
        <f t="shared" si="23"/>
        <v>8.0935849122175441E-2</v>
      </c>
      <c r="V80">
        <v>1.5999999999999699</v>
      </c>
      <c r="W80">
        <f t="shared" si="21"/>
        <v>-0.62611999999999879</v>
      </c>
    </row>
    <row r="81" spans="1:23" x14ac:dyDescent="0.3">
      <c r="A81">
        <v>4.0576211000000004</v>
      </c>
      <c r="B81">
        <v>0.48515000000000003</v>
      </c>
      <c r="C81">
        <f t="shared" si="14"/>
        <v>1.9685548766650003</v>
      </c>
      <c r="D81">
        <v>1.52E-2</v>
      </c>
      <c r="E81">
        <v>1.0999999999999999E-2</v>
      </c>
      <c r="F81">
        <f t="shared" si="15"/>
        <v>811.52422000000013</v>
      </c>
      <c r="G81">
        <f t="shared" si="16"/>
        <v>-0.48515000000000003</v>
      </c>
      <c r="H81">
        <f t="shared" si="17"/>
        <v>-393.71097533300008</v>
      </c>
      <c r="I81">
        <v>1</v>
      </c>
      <c r="J81">
        <f t="shared" si="18"/>
        <v>-0.20884104650860921</v>
      </c>
      <c r="K81">
        <f t="shared" si="19"/>
        <v>-0.73657515177521748</v>
      </c>
      <c r="L81">
        <v>1</v>
      </c>
      <c r="M81">
        <f t="shared" si="20"/>
        <v>0.54797806679082817</v>
      </c>
      <c r="N81">
        <f t="shared" si="24"/>
        <v>6.1675840720000007E-2</v>
      </c>
      <c r="O81">
        <f t="shared" si="22"/>
        <v>4.46338321E-2</v>
      </c>
      <c r="P81">
        <f t="shared" si="23"/>
        <v>8.2287412164389312E-2</v>
      </c>
      <c r="V81">
        <v>1.69999999999997</v>
      </c>
      <c r="W81">
        <f t="shared" si="21"/>
        <v>-0.63043999999999878</v>
      </c>
    </row>
    <row r="82" spans="1:23" x14ac:dyDescent="0.3">
      <c r="A82">
        <v>4.1095581000000001</v>
      </c>
      <c r="B82">
        <v>0.48175000000000001</v>
      </c>
      <c r="C82">
        <f t="shared" si="14"/>
        <v>1.9797796146750002</v>
      </c>
      <c r="D82">
        <v>1.52E-2</v>
      </c>
      <c r="E82">
        <v>1.0999999999999999E-2</v>
      </c>
      <c r="F82">
        <f t="shared" si="15"/>
        <v>821.91161999999997</v>
      </c>
      <c r="G82">
        <f t="shared" si="16"/>
        <v>-0.48175000000000001</v>
      </c>
      <c r="H82">
        <f t="shared" si="17"/>
        <v>-395.95592293500005</v>
      </c>
      <c r="I82">
        <v>1</v>
      </c>
      <c r="J82">
        <f t="shared" si="18"/>
        <v>-0.19612240795463357</v>
      </c>
      <c r="K82">
        <f t="shared" si="19"/>
        <v>-0.73997515177521744</v>
      </c>
      <c r="L82">
        <v>1</v>
      </c>
      <c r="M82">
        <f t="shared" si="20"/>
        <v>0.54852751197635985</v>
      </c>
      <c r="N82">
        <f t="shared" si="24"/>
        <v>6.2465283119999999E-2</v>
      </c>
      <c r="O82">
        <f t="shared" si="22"/>
        <v>4.52051391E-2</v>
      </c>
      <c r="P82">
        <f t="shared" si="23"/>
        <v>8.3777217578857602E-2</v>
      </c>
      <c r="V82">
        <v>1.7999999999999701</v>
      </c>
      <c r="W82">
        <f t="shared" si="21"/>
        <v>-0.63475999999999877</v>
      </c>
    </row>
    <row r="83" spans="1:23" x14ac:dyDescent="0.3">
      <c r="A83">
        <v>4.1609854000000004</v>
      </c>
      <c r="B83">
        <v>0.47838999999999998</v>
      </c>
      <c r="C83">
        <f t="shared" si="14"/>
        <v>1.990573805506</v>
      </c>
      <c r="D83">
        <v>1.52E-2</v>
      </c>
      <c r="E83">
        <v>1.0999999999999999E-2</v>
      </c>
      <c r="F83">
        <f t="shared" si="15"/>
        <v>832.19708000000003</v>
      </c>
      <c r="G83">
        <f t="shared" si="16"/>
        <v>-0.47838999999999998</v>
      </c>
      <c r="H83">
        <f t="shared" si="17"/>
        <v>-398.11476110120003</v>
      </c>
      <c r="I83">
        <v>1</v>
      </c>
      <c r="J83">
        <f t="shared" si="18"/>
        <v>-0.18368599121138168</v>
      </c>
      <c r="K83">
        <f t="shared" si="19"/>
        <v>-0.74333515177521747</v>
      </c>
      <c r="L83">
        <v>1</v>
      </c>
      <c r="M83">
        <f t="shared" si="20"/>
        <v>0.5490647651796684</v>
      </c>
      <c r="N83">
        <f t="shared" si="24"/>
        <v>6.3246978080000002E-2</v>
      </c>
      <c r="O83">
        <f t="shared" si="22"/>
        <v>4.5770839399999999E-2</v>
      </c>
      <c r="P83">
        <f t="shared" si="23"/>
        <v>8.5252569115549057E-2</v>
      </c>
      <c r="V83">
        <v>1.8999999999999699</v>
      </c>
      <c r="W83">
        <f t="shared" si="21"/>
        <v>-0.63907999999999876</v>
      </c>
    </row>
    <row r="84" spans="1:23" x14ac:dyDescent="0.3">
      <c r="A84">
        <v>4.2119038</v>
      </c>
      <c r="B84">
        <v>0.47502</v>
      </c>
      <c r="C84">
        <f t="shared" si="14"/>
        <v>2.0007385430759999</v>
      </c>
      <c r="D84">
        <v>1.52E-2</v>
      </c>
      <c r="E84">
        <v>1.0999999999999999E-2</v>
      </c>
      <c r="F84">
        <f t="shared" si="15"/>
        <v>842.38076000000001</v>
      </c>
      <c r="G84">
        <f t="shared" si="16"/>
        <v>-0.47502</v>
      </c>
      <c r="H84">
        <f t="shared" si="17"/>
        <v>-400.14770861519997</v>
      </c>
      <c r="I84">
        <v>1</v>
      </c>
      <c r="J84">
        <f t="shared" si="18"/>
        <v>-0.17152315792936956</v>
      </c>
      <c r="K84">
        <f t="shared" si="19"/>
        <v>-0.74670515177521746</v>
      </c>
      <c r="L84">
        <v>1</v>
      </c>
      <c r="M84">
        <f t="shared" si="20"/>
        <v>0.54959019957745125</v>
      </c>
      <c r="N84">
        <f t="shared" si="24"/>
        <v>6.4020937759999993E-2</v>
      </c>
      <c r="O84">
        <f t="shared" si="22"/>
        <v>4.6330941799999997E-2</v>
      </c>
      <c r="P84">
        <f t="shared" si="23"/>
        <v>8.6763072637766198E-2</v>
      </c>
      <c r="V84">
        <v>1.99999999999997</v>
      </c>
      <c r="W84">
        <f t="shared" si="21"/>
        <v>-0.64339999999999875</v>
      </c>
    </row>
    <row r="85" spans="1:23" x14ac:dyDescent="0.3">
      <c r="A85">
        <v>4.2623129999999998</v>
      </c>
      <c r="B85">
        <v>0.47192000000000001</v>
      </c>
      <c r="C85">
        <f t="shared" si="14"/>
        <v>2.0114707509600001</v>
      </c>
      <c r="D85">
        <v>1.52E-2</v>
      </c>
      <c r="E85">
        <v>1.0999999999999999E-2</v>
      </c>
      <c r="F85">
        <f t="shared" si="15"/>
        <v>852.46259999999995</v>
      </c>
      <c r="G85">
        <f t="shared" si="16"/>
        <v>-0.47192000000000001</v>
      </c>
      <c r="H85">
        <f t="shared" si="17"/>
        <v>-402.29415019200002</v>
      </c>
      <c r="I85">
        <v>1</v>
      </c>
      <c r="J85">
        <f t="shared" si="18"/>
        <v>-0.15962594175456624</v>
      </c>
      <c r="K85">
        <f t="shared" si="19"/>
        <v>-0.74980515177521745</v>
      </c>
      <c r="L85">
        <v>1</v>
      </c>
      <c r="M85">
        <f t="shared" si="20"/>
        <v>0.55010415931620282</v>
      </c>
      <c r="N85">
        <f t="shared" si="24"/>
        <v>6.4787157599999992E-2</v>
      </c>
      <c r="O85">
        <f t="shared" si="22"/>
        <v>4.6885442999999992E-2</v>
      </c>
      <c r="P85">
        <f t="shared" si="23"/>
        <v>8.8028391859014649E-2</v>
      </c>
      <c r="V85">
        <v>2.0999999999999699</v>
      </c>
      <c r="W85">
        <f t="shared" si="21"/>
        <v>-0.64771999999999874</v>
      </c>
    </row>
    <row r="86" spans="1:23" x14ac:dyDescent="0.3">
      <c r="A86">
        <v>4.3127221999999996</v>
      </c>
      <c r="B86">
        <v>0.46855999999999998</v>
      </c>
      <c r="C86">
        <f t="shared" si="14"/>
        <v>2.0207691140319999</v>
      </c>
      <c r="D86">
        <v>1.52E-2</v>
      </c>
      <c r="E86">
        <v>1.0999999999999999E-2</v>
      </c>
      <c r="F86">
        <f t="shared" si="15"/>
        <v>862.5444399999999</v>
      </c>
      <c r="G86">
        <f t="shared" si="16"/>
        <v>-0.46855999999999998</v>
      </c>
      <c r="H86">
        <f t="shared" si="17"/>
        <v>-404.1538228064</v>
      </c>
      <c r="I86">
        <v>1</v>
      </c>
      <c r="J86">
        <f t="shared" si="18"/>
        <v>-0.1478686067662898</v>
      </c>
      <c r="K86">
        <f t="shared" si="19"/>
        <v>-0.75316515177521748</v>
      </c>
      <c r="L86">
        <v>1</v>
      </c>
      <c r="M86">
        <f t="shared" si="20"/>
        <v>0.55061207618769636</v>
      </c>
      <c r="N86">
        <f t="shared" si="24"/>
        <v>6.5553377439999991E-2</v>
      </c>
      <c r="O86">
        <f t="shared" si="22"/>
        <v>4.7439944199999994E-2</v>
      </c>
      <c r="P86">
        <f t="shared" si="23"/>
        <v>8.9559753947521109E-2</v>
      </c>
      <c r="V86">
        <v>2.19999999999997</v>
      </c>
      <c r="W86">
        <f t="shared" si="21"/>
        <v>-0.65203999999999873</v>
      </c>
    </row>
    <row r="87" spans="1:23" x14ac:dyDescent="0.3">
      <c r="A87">
        <v>4.3636401000000005</v>
      </c>
      <c r="B87">
        <v>0.46505000000000002</v>
      </c>
      <c r="C87">
        <f t="shared" si="14"/>
        <v>2.0293108285050003</v>
      </c>
      <c r="D87">
        <v>1.52E-2</v>
      </c>
      <c r="E87">
        <v>1.0999999999999999E-2</v>
      </c>
      <c r="F87">
        <f t="shared" si="15"/>
        <v>872.72802000000013</v>
      </c>
      <c r="G87">
        <f t="shared" si="16"/>
        <v>-0.46505000000000002</v>
      </c>
      <c r="H87">
        <f t="shared" si="17"/>
        <v>-405.86216570100009</v>
      </c>
      <c r="I87">
        <v>1</v>
      </c>
      <c r="J87">
        <f t="shared" si="18"/>
        <v>-0.13613131807494638</v>
      </c>
      <c r="K87">
        <f t="shared" si="19"/>
        <v>-0.75667515177521749</v>
      </c>
      <c r="L87">
        <v>1</v>
      </c>
      <c r="M87">
        <f t="shared" si="20"/>
        <v>0.55111912705916233</v>
      </c>
      <c r="N87">
        <f t="shared" si="24"/>
        <v>6.6327329520000006E-2</v>
      </c>
      <c r="O87">
        <f t="shared" si="22"/>
        <v>4.8000041100000002E-2</v>
      </c>
      <c r="P87">
        <f t="shared" si="23"/>
        <v>9.1228654096055156E-2</v>
      </c>
      <c r="V87">
        <v>2.2999999999999701</v>
      </c>
      <c r="W87">
        <f t="shared" si="21"/>
        <v>-0.65635999999999872</v>
      </c>
    </row>
    <row r="88" spans="1:23" x14ac:dyDescent="0.3">
      <c r="A88">
        <v>4.4145591</v>
      </c>
      <c r="B88">
        <v>0.46212999999999999</v>
      </c>
      <c r="C88">
        <f t="shared" si="14"/>
        <v>2.0401001968829999</v>
      </c>
      <c r="D88">
        <v>1.52E-2</v>
      </c>
      <c r="E88">
        <v>1.0999999999999999E-2</v>
      </c>
      <c r="F88">
        <f t="shared" si="15"/>
        <v>882.91182000000003</v>
      </c>
      <c r="G88">
        <f t="shared" si="16"/>
        <v>-0.46212999999999999</v>
      </c>
      <c r="H88">
        <f t="shared" si="17"/>
        <v>-408.02003937659998</v>
      </c>
      <c r="I88">
        <v>1</v>
      </c>
      <c r="J88">
        <f t="shared" si="18"/>
        <v>-0.12452994746458847</v>
      </c>
      <c r="K88">
        <f t="shared" si="19"/>
        <v>-0.75959515177521753</v>
      </c>
      <c r="L88">
        <v>1</v>
      </c>
      <c r="M88">
        <f t="shared" si="20"/>
        <v>0.55162030626952985</v>
      </c>
      <c r="N88">
        <f t="shared" si="24"/>
        <v>6.7101298320000002E-2</v>
      </c>
      <c r="O88">
        <f t="shared" si="22"/>
        <v>4.8560150099999998E-2</v>
      </c>
      <c r="P88">
        <f t="shared" si="23"/>
        <v>9.2313397085687671E-2</v>
      </c>
      <c r="V88">
        <v>2.3999999999999702</v>
      </c>
      <c r="W88">
        <f t="shared" si="21"/>
        <v>-0.66067999999999882</v>
      </c>
    </row>
    <row r="89" spans="1:23" x14ac:dyDescent="0.3">
      <c r="A89">
        <v>4.4664956</v>
      </c>
      <c r="B89">
        <v>0.45851999999999998</v>
      </c>
      <c r="C89">
        <f t="shared" si="14"/>
        <v>2.047977562512</v>
      </c>
      <c r="D89">
        <v>1.52E-2</v>
      </c>
      <c r="E89">
        <v>1.0999999999999999E-2</v>
      </c>
      <c r="F89">
        <f t="shared" si="15"/>
        <v>893.29912000000002</v>
      </c>
      <c r="G89">
        <f t="shared" si="16"/>
        <v>-0.45851999999999998</v>
      </c>
      <c r="H89">
        <f t="shared" si="17"/>
        <v>-409.59551250240003</v>
      </c>
      <c r="I89">
        <v>1</v>
      </c>
      <c r="J89">
        <f t="shared" si="18"/>
        <v>-0.11283379338621363</v>
      </c>
      <c r="K89">
        <f t="shared" si="19"/>
        <v>-0.76320515177521742</v>
      </c>
      <c r="L89">
        <v>1</v>
      </c>
      <c r="M89">
        <f t="shared" si="20"/>
        <v>0.55212558012571566</v>
      </c>
      <c r="N89">
        <f t="shared" si="24"/>
        <v>6.7890733120000005E-2</v>
      </c>
      <c r="O89">
        <f t="shared" si="22"/>
        <v>4.9131451600000001E-2</v>
      </c>
      <c r="P89">
        <f t="shared" si="23"/>
        <v>9.405738692950176E-2</v>
      </c>
      <c r="V89">
        <v>2.4999999999999698</v>
      </c>
      <c r="W89">
        <f t="shared" si="21"/>
        <v>-0.6649999999999987</v>
      </c>
    </row>
    <row r="90" spans="1:23" x14ac:dyDescent="0.3">
      <c r="A90">
        <v>4.5174140999999999</v>
      </c>
      <c r="B90">
        <v>0.45524999999999999</v>
      </c>
      <c r="C90">
        <f t="shared" si="14"/>
        <v>2.0565527690250001</v>
      </c>
      <c r="D90">
        <v>1.52E-2</v>
      </c>
      <c r="E90">
        <v>1.0999999999999999E-2</v>
      </c>
      <c r="F90">
        <f t="shared" si="15"/>
        <v>903.48281999999995</v>
      </c>
      <c r="G90">
        <f t="shared" si="16"/>
        <v>-0.45524999999999999</v>
      </c>
      <c r="H90">
        <f t="shared" si="17"/>
        <v>-411.31055380500004</v>
      </c>
      <c r="I90">
        <v>1</v>
      </c>
      <c r="J90">
        <f t="shared" si="18"/>
        <v>-0.1014981840725329</v>
      </c>
      <c r="K90">
        <f t="shared" si="19"/>
        <v>-0.76647515177521752</v>
      </c>
      <c r="L90">
        <v>1</v>
      </c>
      <c r="M90">
        <f t="shared" si="20"/>
        <v>0.55261527844806668</v>
      </c>
      <c r="N90">
        <f t="shared" si="24"/>
        <v>6.8664694319999997E-2</v>
      </c>
      <c r="O90">
        <f t="shared" si="22"/>
        <v>4.9691555099999993E-2</v>
      </c>
      <c r="P90">
        <f t="shared" si="23"/>
        <v>9.550362390715085E-2</v>
      </c>
      <c r="V90">
        <v>2.5999999999999699</v>
      </c>
      <c r="W90">
        <f t="shared" si="21"/>
        <v>-0.6693199999999988</v>
      </c>
    </row>
    <row r="91" spans="1:23" x14ac:dyDescent="0.3">
      <c r="A91">
        <v>4.5688412999999999</v>
      </c>
      <c r="B91">
        <v>0.45193</v>
      </c>
      <c r="C91">
        <f t="shared" si="14"/>
        <v>2.064796448709</v>
      </c>
      <c r="D91">
        <v>1.52E-2</v>
      </c>
      <c r="E91">
        <v>1.0999999999999999E-2</v>
      </c>
      <c r="F91">
        <f t="shared" si="15"/>
        <v>913.76825999999994</v>
      </c>
      <c r="G91">
        <f t="shared" si="16"/>
        <v>-0.45193</v>
      </c>
      <c r="H91">
        <f t="shared" si="17"/>
        <v>-412.95928974180003</v>
      </c>
      <c r="I91">
        <v>1</v>
      </c>
      <c r="J91">
        <f t="shared" si="18"/>
        <v>-9.0178284533686745E-2</v>
      </c>
      <c r="K91">
        <f t="shared" si="19"/>
        <v>-0.76979515177521751</v>
      </c>
      <c r="L91">
        <v>1</v>
      </c>
      <c r="M91">
        <f t="shared" si="20"/>
        <v>0.55310429810814477</v>
      </c>
      <c r="N91">
        <f t="shared" si="24"/>
        <v>6.9446387759999992E-2</v>
      </c>
      <c r="O91">
        <f t="shared" si="22"/>
        <v>5.0257254299999998E-2</v>
      </c>
      <c r="P91">
        <f t="shared" si="23"/>
        <v>9.6987211607072743E-2</v>
      </c>
      <c r="V91">
        <v>2.69999999999997</v>
      </c>
      <c r="W91">
        <f t="shared" si="21"/>
        <v>-0.6736399999999988</v>
      </c>
    </row>
    <row r="92" spans="1:23" x14ac:dyDescent="0.3">
      <c r="A92">
        <v>4.6212871</v>
      </c>
      <c r="B92">
        <v>0.44827</v>
      </c>
      <c r="C92">
        <f t="shared" si="14"/>
        <v>2.0715843683170001</v>
      </c>
      <c r="D92">
        <v>1.52E-2</v>
      </c>
      <c r="E92">
        <v>1.0999999999999999E-2</v>
      </c>
      <c r="F92">
        <f t="shared" si="15"/>
        <v>924.25742000000002</v>
      </c>
      <c r="G92">
        <f t="shared" si="16"/>
        <v>-0.44827</v>
      </c>
      <c r="H92">
        <f t="shared" si="17"/>
        <v>-414.31687366340003</v>
      </c>
      <c r="I92">
        <v>1</v>
      </c>
      <c r="J92">
        <f t="shared" si="18"/>
        <v>-7.8764653066704077E-2</v>
      </c>
      <c r="K92">
        <f t="shared" si="19"/>
        <v>-0.77345515177521751</v>
      </c>
      <c r="L92">
        <v>1</v>
      </c>
      <c r="M92">
        <f t="shared" si="20"/>
        <v>0.55359736698751838</v>
      </c>
      <c r="N92">
        <f t="shared" si="24"/>
        <v>7.0243563920000002E-2</v>
      </c>
      <c r="O92">
        <f t="shared" si="22"/>
        <v>5.0834158099999999E-2</v>
      </c>
      <c r="P92">
        <f t="shared" si="23"/>
        <v>9.8780062767699128E-2</v>
      </c>
      <c r="V92">
        <v>2.7999999999999701</v>
      </c>
      <c r="W92">
        <f t="shared" si="21"/>
        <v>-0.67795999999999879</v>
      </c>
    </row>
    <row r="93" spans="1:23" x14ac:dyDescent="0.3">
      <c r="A93">
        <v>4.6747515000000002</v>
      </c>
      <c r="B93">
        <v>0.44506000000000001</v>
      </c>
      <c r="C93">
        <f t="shared" si="14"/>
        <v>2.0805449025900002</v>
      </c>
      <c r="D93">
        <v>1.52E-2</v>
      </c>
      <c r="E93">
        <v>1.0999999999999999E-2</v>
      </c>
      <c r="F93">
        <f t="shared" si="15"/>
        <v>934.95030000000008</v>
      </c>
      <c r="G93">
        <f t="shared" si="16"/>
        <v>-0.44506000000000001</v>
      </c>
      <c r="H93">
        <f t="shared" si="17"/>
        <v>-416.10898051800007</v>
      </c>
      <c r="I93">
        <v>1</v>
      </c>
      <c r="J93">
        <f t="shared" si="18"/>
        <v>-6.7261906186445161E-2</v>
      </c>
      <c r="K93">
        <f t="shared" si="19"/>
        <v>-0.77666515177521744</v>
      </c>
      <c r="L93">
        <v>1</v>
      </c>
      <c r="M93">
        <f t="shared" si="20"/>
        <v>0.55409428565274566</v>
      </c>
      <c r="N93">
        <f t="shared" si="24"/>
        <v>7.1056222799999999E-2</v>
      </c>
      <c r="O93">
        <f t="shared" si="22"/>
        <v>5.1422266500000001E-2</v>
      </c>
      <c r="P93">
        <f t="shared" si="23"/>
        <v>0.10009237682247177</v>
      </c>
      <c r="V93">
        <v>2.8999999999999702</v>
      </c>
      <c r="W93">
        <f t="shared" si="21"/>
        <v>-0.68227999999999878</v>
      </c>
    </row>
    <row r="94" spans="1:23" x14ac:dyDescent="0.3">
      <c r="A94">
        <v>4.7266879999999993</v>
      </c>
      <c r="B94">
        <v>0.44145000000000001</v>
      </c>
      <c r="C94">
        <f t="shared" si="14"/>
        <v>2.0865964175999996</v>
      </c>
      <c r="D94">
        <v>1.52E-2</v>
      </c>
      <c r="E94">
        <v>1.0999999999999999E-2</v>
      </c>
      <c r="F94">
        <f t="shared" si="15"/>
        <v>945.33759999999984</v>
      </c>
      <c r="G94">
        <f t="shared" si="16"/>
        <v>-0.44145000000000001</v>
      </c>
      <c r="H94">
        <f t="shared" si="17"/>
        <v>-417.31928351999994</v>
      </c>
      <c r="I94">
        <v>1</v>
      </c>
      <c r="J94">
        <f t="shared" si="18"/>
        <v>-5.6213166609260359E-2</v>
      </c>
      <c r="K94">
        <f t="shared" si="19"/>
        <v>-0.78027515177521745</v>
      </c>
      <c r="L94">
        <v>1</v>
      </c>
      <c r="M94">
        <f t="shared" si="20"/>
        <v>0.55457159120248001</v>
      </c>
      <c r="N94">
        <f t="shared" si="24"/>
        <v>7.1845657599999987E-2</v>
      </c>
      <c r="O94">
        <f t="shared" si="22"/>
        <v>5.199356799999999E-2</v>
      </c>
      <c r="P94">
        <f t="shared" si="23"/>
        <v>0.10186433497273745</v>
      </c>
      <c r="V94">
        <v>2.9999999999999698</v>
      </c>
      <c r="W94">
        <f t="shared" si="21"/>
        <v>-0.68659999999999877</v>
      </c>
    </row>
    <row r="95" spans="1:23" x14ac:dyDescent="0.3">
      <c r="A95">
        <v>4.7781156999999999</v>
      </c>
      <c r="B95">
        <v>0.43807000000000001</v>
      </c>
      <c r="C95">
        <f t="shared" si="14"/>
        <v>2.0931491446989998</v>
      </c>
      <c r="D95">
        <v>1.52E-2</v>
      </c>
      <c r="E95">
        <v>1.0999999999999999E-2</v>
      </c>
      <c r="F95">
        <f t="shared" si="15"/>
        <v>955.62313999999992</v>
      </c>
      <c r="G95">
        <f t="shared" si="16"/>
        <v>-0.43807000000000001</v>
      </c>
      <c r="H95">
        <f t="shared" si="17"/>
        <v>-418.62982893979995</v>
      </c>
      <c r="I95">
        <v>1</v>
      </c>
      <c r="J95">
        <f t="shared" si="18"/>
        <v>-4.5391648670881149E-2</v>
      </c>
      <c r="K95">
        <f t="shared" si="19"/>
        <v>-0.7836551517752175</v>
      </c>
      <c r="L95">
        <v>1</v>
      </c>
      <c r="M95">
        <f t="shared" si="20"/>
        <v>0.55503908077741804</v>
      </c>
      <c r="N95">
        <f t="shared" si="24"/>
        <v>7.262735864E-2</v>
      </c>
      <c r="O95">
        <f t="shared" si="22"/>
        <v>5.2559272699999993E-2</v>
      </c>
      <c r="P95">
        <f t="shared" si="23"/>
        <v>0.10342943965779947</v>
      </c>
      <c r="V95">
        <v>3.0999999999999699</v>
      </c>
      <c r="W95">
        <f t="shared" si="21"/>
        <v>-0.69091999999999876</v>
      </c>
    </row>
    <row r="96" spans="1:23" x14ac:dyDescent="0.3">
      <c r="A96">
        <v>4.8285248999999997</v>
      </c>
      <c r="B96">
        <v>0.43430999999999997</v>
      </c>
      <c r="C96">
        <f t="shared" si="14"/>
        <v>2.0970766493189998</v>
      </c>
      <c r="D96">
        <v>1.52E-2</v>
      </c>
      <c r="E96">
        <v>1.0999999999999999E-2</v>
      </c>
      <c r="F96">
        <f t="shared" si="15"/>
        <v>965.70497999999998</v>
      </c>
      <c r="G96">
        <f t="shared" si="16"/>
        <v>-0.43430999999999997</v>
      </c>
      <c r="H96">
        <f t="shared" si="17"/>
        <v>-419.41532986379997</v>
      </c>
      <c r="I96">
        <v>1</v>
      </c>
      <c r="J96">
        <f t="shared" si="18"/>
        <v>-3.4896895141542664E-2</v>
      </c>
      <c r="K96">
        <f t="shared" si="19"/>
        <v>-0.78741515177521748</v>
      </c>
      <c r="L96">
        <v>1</v>
      </c>
      <c r="M96">
        <f t="shared" si="20"/>
        <v>0.55549245412988546</v>
      </c>
      <c r="N96">
        <f t="shared" si="24"/>
        <v>7.3393578479999999E-2</v>
      </c>
      <c r="O96">
        <f t="shared" si="22"/>
        <v>5.3113773899999994E-2</v>
      </c>
      <c r="P96">
        <f t="shared" si="23"/>
        <v>0.10541534526533203</v>
      </c>
      <c r="V96">
        <v>3.19999999999997</v>
      </c>
      <c r="W96">
        <f t="shared" si="21"/>
        <v>-0.69523999999999875</v>
      </c>
    </row>
    <row r="97" spans="1:23" x14ac:dyDescent="0.3">
      <c r="A97">
        <v>4.8794428999999999</v>
      </c>
      <c r="B97">
        <v>0.43132999999999999</v>
      </c>
      <c r="C97">
        <f t="shared" si="14"/>
        <v>2.104650106057</v>
      </c>
      <c r="D97">
        <v>1.52E-2</v>
      </c>
      <c r="E97">
        <v>1.0999999999999999E-2</v>
      </c>
      <c r="F97">
        <f t="shared" si="15"/>
        <v>975.88857999999993</v>
      </c>
      <c r="G97">
        <f t="shared" si="16"/>
        <v>-0.43132999999999999</v>
      </c>
      <c r="H97">
        <f t="shared" si="17"/>
        <v>-420.9300212114</v>
      </c>
      <c r="I97">
        <v>1</v>
      </c>
      <c r="J97">
        <f t="shared" si="18"/>
        <v>-2.4406858921840302E-2</v>
      </c>
      <c r="K97">
        <f t="shared" si="19"/>
        <v>-0.79039515177521746</v>
      </c>
      <c r="L97">
        <v>1</v>
      </c>
      <c r="M97">
        <f t="shared" si="20"/>
        <v>0.55594562369457656</v>
      </c>
      <c r="N97">
        <f t="shared" si="24"/>
        <v>7.4167532080000001E-2</v>
      </c>
      <c r="O97">
        <f t="shared" si="22"/>
        <v>5.3673871899999996E-2</v>
      </c>
      <c r="P97">
        <f t="shared" si="23"/>
        <v>0.10660812410064091</v>
      </c>
      <c r="V97">
        <v>3.2999999999999701</v>
      </c>
      <c r="W97">
        <f t="shared" si="21"/>
        <v>-0.69955999999999874</v>
      </c>
    </row>
    <row r="98" spans="1:23" x14ac:dyDescent="0.3">
      <c r="A98">
        <v>4.9298525</v>
      </c>
      <c r="B98">
        <v>0.42781999999999998</v>
      </c>
      <c r="C98">
        <f t="shared" si="14"/>
        <v>2.1090894965499998</v>
      </c>
      <c r="D98">
        <v>1.52E-2</v>
      </c>
      <c r="E98">
        <v>1.0999999999999999E-2</v>
      </c>
      <c r="F98">
        <f t="shared" si="15"/>
        <v>985.97050000000002</v>
      </c>
      <c r="G98">
        <f t="shared" si="16"/>
        <v>-0.42781999999999998</v>
      </c>
      <c r="H98">
        <f t="shared" si="17"/>
        <v>-421.81789930999997</v>
      </c>
      <c r="I98">
        <v>1</v>
      </c>
      <c r="J98">
        <f t="shared" si="18"/>
        <v>-1.4128843691177168E-2</v>
      </c>
      <c r="K98">
        <f t="shared" si="19"/>
        <v>-0.79390515177521748</v>
      </c>
      <c r="L98">
        <v>1</v>
      </c>
      <c r="M98">
        <f t="shared" si="20"/>
        <v>0.55638963395254115</v>
      </c>
      <c r="N98">
        <f t="shared" si="24"/>
        <v>7.4933758000000003E-2</v>
      </c>
      <c r="O98">
        <f t="shared" si="22"/>
        <v>5.4228377499999994E-2</v>
      </c>
      <c r="P98">
        <f t="shared" si="23"/>
        <v>0.10835338232267631</v>
      </c>
      <c r="V98">
        <v>3.3999999999999702</v>
      </c>
      <c r="W98">
        <f t="shared" si="21"/>
        <v>-0.70387999999999873</v>
      </c>
    </row>
    <row r="99" spans="1:23" x14ac:dyDescent="0.3">
      <c r="A99">
        <v>4.9807705000000002</v>
      </c>
      <c r="B99">
        <v>0.42474000000000001</v>
      </c>
      <c r="C99">
        <f t="shared" si="14"/>
        <v>2.11553246217</v>
      </c>
      <c r="D99">
        <v>1.52E-2</v>
      </c>
      <c r="E99">
        <v>1.0999999999999999E-2</v>
      </c>
      <c r="F99">
        <f t="shared" si="15"/>
        <v>996.15410000000008</v>
      </c>
      <c r="G99">
        <f t="shared" si="16"/>
        <v>-0.42474000000000001</v>
      </c>
      <c r="H99">
        <f t="shared" si="17"/>
        <v>-423.10649243400002</v>
      </c>
      <c r="I99">
        <v>1</v>
      </c>
      <c r="J99">
        <f t="shared" si="18"/>
        <v>-3.8533144897675794E-3</v>
      </c>
      <c r="K99">
        <f t="shared" si="19"/>
        <v>-0.79698515177521745</v>
      </c>
      <c r="L99">
        <v>1</v>
      </c>
      <c r="M99">
        <f t="shared" si="20"/>
        <v>0.55683353681404213</v>
      </c>
      <c r="N99">
        <f t="shared" si="24"/>
        <v>7.5707711600000005E-2</v>
      </c>
      <c r="O99">
        <f t="shared" si="22"/>
        <v>5.4788475499999996E-2</v>
      </c>
      <c r="P99">
        <f t="shared" si="23"/>
        <v>0.10965542786117533</v>
      </c>
      <c r="V99">
        <v>3.4999999999999698</v>
      </c>
      <c r="W99">
        <f t="shared" si="21"/>
        <v>-0.70819999999999872</v>
      </c>
    </row>
    <row r="100" spans="1:23" x14ac:dyDescent="0.3">
      <c r="A100">
        <v>5.0332167999999999</v>
      </c>
      <c r="B100">
        <v>0.42081000000000002</v>
      </c>
      <c r="C100">
        <f t="shared" si="14"/>
        <v>2.118027961608</v>
      </c>
      <c r="D100">
        <v>1.52E-2</v>
      </c>
      <c r="E100">
        <v>1.0999999999999999E-2</v>
      </c>
      <c r="F100">
        <f t="shared" si="15"/>
        <v>1006.64336</v>
      </c>
      <c r="G100">
        <f t="shared" si="16"/>
        <v>-0.42081000000000002</v>
      </c>
      <c r="H100">
        <f t="shared" si="17"/>
        <v>-423.6055923216</v>
      </c>
      <c r="I100">
        <v>1</v>
      </c>
      <c r="J100">
        <f t="shared" si="18"/>
        <v>6.6213901327687227E-3</v>
      </c>
      <c r="K100">
        <f t="shared" si="19"/>
        <v>-0.80091515177521744</v>
      </c>
      <c r="L100">
        <v>1</v>
      </c>
      <c r="M100">
        <f t="shared" si="20"/>
        <v>0.55728604405373561</v>
      </c>
      <c r="N100">
        <f t="shared" si="24"/>
        <v>7.6504895360000005E-2</v>
      </c>
      <c r="O100">
        <f t="shared" si="22"/>
        <v>5.5365384799999993E-2</v>
      </c>
      <c r="P100">
        <f t="shared" si="23"/>
        <v>0.11175882756148184</v>
      </c>
      <c r="V100">
        <v>3.5999999999999699</v>
      </c>
      <c r="W100">
        <f t="shared" si="21"/>
        <v>-0.71251999999999871</v>
      </c>
    </row>
    <row r="101" spans="1:23" x14ac:dyDescent="0.3">
      <c r="A101">
        <v>5.0851533</v>
      </c>
      <c r="B101">
        <v>0.41733999999999999</v>
      </c>
      <c r="C101">
        <f t="shared" si="14"/>
        <v>2.1222378782219997</v>
      </c>
      <c r="D101">
        <v>1.52E-2</v>
      </c>
      <c r="E101">
        <v>1.0999999999999999E-2</v>
      </c>
      <c r="F101">
        <f t="shared" si="15"/>
        <v>1017.03066</v>
      </c>
      <c r="G101">
        <f t="shared" si="16"/>
        <v>-0.41733999999999999</v>
      </c>
      <c r="H101">
        <f t="shared" si="17"/>
        <v>-424.44757564439993</v>
      </c>
      <c r="I101">
        <v>1</v>
      </c>
      <c r="J101">
        <f t="shared" si="18"/>
        <v>1.6887264104621831E-2</v>
      </c>
      <c r="K101">
        <f t="shared" si="19"/>
        <v>-0.80438515177521741</v>
      </c>
      <c r="L101">
        <v>1</v>
      </c>
      <c r="M101">
        <f t="shared" si="20"/>
        <v>0.55772952980931967</v>
      </c>
      <c r="N101">
        <f t="shared" si="24"/>
        <v>7.7294330159999994E-2</v>
      </c>
      <c r="O101">
        <f t="shared" si="22"/>
        <v>5.5936686299999996E-2</v>
      </c>
      <c r="P101">
        <f t="shared" si="23"/>
        <v>0.11342460550589777</v>
      </c>
      <c r="V101">
        <v>3.69999999999997</v>
      </c>
      <c r="W101">
        <f t="shared" si="21"/>
        <v>-0.71683999999999881</v>
      </c>
    </row>
    <row r="102" spans="1:23" x14ac:dyDescent="0.3">
      <c r="A102">
        <v>5.1355620000000002</v>
      </c>
      <c r="B102">
        <v>0.41409000000000001</v>
      </c>
      <c r="C102">
        <f t="shared" si="14"/>
        <v>2.1265848685800002</v>
      </c>
      <c r="D102">
        <v>1.52E-2</v>
      </c>
      <c r="E102">
        <v>1.0999999999999999E-2</v>
      </c>
      <c r="F102">
        <f t="shared" si="15"/>
        <v>1027.1124</v>
      </c>
      <c r="G102">
        <f t="shared" si="16"/>
        <v>-0.41409000000000001</v>
      </c>
      <c r="H102">
        <f t="shared" si="17"/>
        <v>-425.31697371600001</v>
      </c>
      <c r="I102">
        <v>1</v>
      </c>
      <c r="J102">
        <f t="shared" si="18"/>
        <v>2.67513699431501E-2</v>
      </c>
      <c r="K102">
        <f t="shared" si="19"/>
        <v>-0.80763515177521739</v>
      </c>
      <c r="L102">
        <v>1</v>
      </c>
      <c r="M102">
        <f t="shared" si="20"/>
        <v>0.55815565918154408</v>
      </c>
      <c r="N102">
        <f t="shared" si="24"/>
        <v>7.8060542400000002E-2</v>
      </c>
      <c r="O102">
        <f t="shared" si="22"/>
        <v>5.6491182000000001E-2</v>
      </c>
      <c r="P102">
        <f t="shared" si="23"/>
        <v>0.11492776819367331</v>
      </c>
      <c r="V102">
        <v>3.7999999999999701</v>
      </c>
      <c r="W102">
        <f t="shared" si="21"/>
        <v>-0.7211599999999988</v>
      </c>
    </row>
    <row r="103" spans="1:23" x14ac:dyDescent="0.3">
      <c r="A103">
        <v>5.1890269</v>
      </c>
      <c r="B103">
        <v>0.41077000000000002</v>
      </c>
      <c r="C103">
        <f t="shared" si="14"/>
        <v>2.1314965797130001</v>
      </c>
      <c r="D103">
        <v>1.52E-2</v>
      </c>
      <c r="E103">
        <v>1.0999999999999999E-2</v>
      </c>
      <c r="F103">
        <f t="shared" si="15"/>
        <v>1037.80538</v>
      </c>
      <c r="G103">
        <f t="shared" si="16"/>
        <v>-0.41077000000000002</v>
      </c>
      <c r="H103">
        <f t="shared" si="17"/>
        <v>-426.2993159426</v>
      </c>
      <c r="I103">
        <v>1</v>
      </c>
      <c r="J103">
        <f t="shared" si="18"/>
        <v>3.7108271981233343E-2</v>
      </c>
      <c r="K103">
        <f t="shared" si="19"/>
        <v>-0.81095515177521738</v>
      </c>
      <c r="L103">
        <v>1</v>
      </c>
      <c r="M103">
        <f t="shared" si="20"/>
        <v>0.55860307734958936</v>
      </c>
      <c r="N103">
        <f t="shared" si="24"/>
        <v>7.8873208880000004E-2</v>
      </c>
      <c r="O103">
        <f t="shared" si="22"/>
        <v>5.7079295899999993E-2</v>
      </c>
      <c r="P103">
        <f t="shared" si="23"/>
        <v>0.11639956964562803</v>
      </c>
      <c r="V103">
        <v>3.8999999999999599</v>
      </c>
      <c r="W103">
        <f t="shared" si="21"/>
        <v>-0.72547999999999835</v>
      </c>
    </row>
    <row r="104" spans="1:23" x14ac:dyDescent="0.3">
      <c r="A104">
        <v>5.2394354999999999</v>
      </c>
      <c r="B104">
        <v>0.40722000000000003</v>
      </c>
      <c r="C104">
        <f t="shared" si="14"/>
        <v>2.1336029243100003</v>
      </c>
      <c r="D104">
        <v>1.52E-2</v>
      </c>
      <c r="E104">
        <v>1.0999999999999999E-2</v>
      </c>
      <c r="F104">
        <f t="shared" si="15"/>
        <v>1047.8870999999999</v>
      </c>
      <c r="G104">
        <f t="shared" si="16"/>
        <v>-0.40722000000000003</v>
      </c>
      <c r="H104">
        <f t="shared" si="17"/>
        <v>-426.72058486200007</v>
      </c>
      <c r="I104">
        <v>1</v>
      </c>
      <c r="J104">
        <f t="shared" si="18"/>
        <v>4.6775851088030361E-2</v>
      </c>
      <c r="K104">
        <f t="shared" si="19"/>
        <v>-0.81450515177521743</v>
      </c>
      <c r="L104">
        <v>1</v>
      </c>
      <c r="M104">
        <f t="shared" si="20"/>
        <v>0.55902071676700293</v>
      </c>
      <c r="N104">
        <f t="shared" si="24"/>
        <v>7.9639419599999997E-2</v>
      </c>
      <c r="O104">
        <f t="shared" si="22"/>
        <v>5.7633790499999997E-2</v>
      </c>
      <c r="P104">
        <f t="shared" si="23"/>
        <v>0.11821122490821451</v>
      </c>
      <c r="V104">
        <v>3.99999999999996</v>
      </c>
      <c r="W104">
        <f t="shared" si="21"/>
        <v>-0.72979999999999834</v>
      </c>
    </row>
    <row r="105" spans="1:23" x14ac:dyDescent="0.3">
      <c r="A105">
        <v>5.2934086999999996</v>
      </c>
      <c r="B105">
        <v>0.40338000000000002</v>
      </c>
      <c r="C105">
        <f t="shared" si="14"/>
        <v>2.1352552014059998</v>
      </c>
      <c r="D105">
        <v>1.52E-2</v>
      </c>
      <c r="E105">
        <v>1.0999999999999999E-2</v>
      </c>
      <c r="F105">
        <f t="shared" si="15"/>
        <v>1058.68174</v>
      </c>
      <c r="G105">
        <f t="shared" si="16"/>
        <v>-0.40338000000000002</v>
      </c>
      <c r="H105">
        <f t="shared" si="17"/>
        <v>-427.05104028119996</v>
      </c>
      <c r="I105">
        <v>1</v>
      </c>
      <c r="J105">
        <f t="shared" si="18"/>
        <v>5.7024492650684148E-2</v>
      </c>
      <c r="K105">
        <f t="shared" si="19"/>
        <v>-0.81834515177521738</v>
      </c>
      <c r="L105">
        <v>1</v>
      </c>
      <c r="M105">
        <f t="shared" si="20"/>
        <v>0.55946345808250963</v>
      </c>
      <c r="N105">
        <f t="shared" si="24"/>
        <v>8.0459812239999998E-2</v>
      </c>
      <c r="O105">
        <f t="shared" si="22"/>
        <v>5.8227495699999993E-2</v>
      </c>
      <c r="P105">
        <f t="shared" si="23"/>
        <v>0.12019438575270777</v>
      </c>
      <c r="V105">
        <v>4.0999999999999996</v>
      </c>
      <c r="W105">
        <f t="shared" si="21"/>
        <v>-0.73412000000000011</v>
      </c>
    </row>
    <row r="106" spans="1:23" x14ac:dyDescent="0.3">
      <c r="A106">
        <v>5.3438184</v>
      </c>
      <c r="B106">
        <v>0.40028999999999998</v>
      </c>
      <c r="C106">
        <f t="shared" si="14"/>
        <v>2.1390770673359998</v>
      </c>
      <c r="D106">
        <v>1.52E-2</v>
      </c>
      <c r="E106">
        <v>1.0999999999999999E-2</v>
      </c>
      <c r="F106">
        <f t="shared" si="15"/>
        <v>1068.76368</v>
      </c>
      <c r="G106">
        <f t="shared" si="16"/>
        <v>-0.40028999999999998</v>
      </c>
      <c r="H106">
        <f t="shared" si="17"/>
        <v>-427.81541346719996</v>
      </c>
      <c r="I106">
        <v>1</v>
      </c>
      <c r="J106">
        <f t="shared" si="18"/>
        <v>6.6502541186913608E-2</v>
      </c>
      <c r="K106">
        <f t="shared" si="19"/>
        <v>-0.82143515177521742</v>
      </c>
      <c r="L106">
        <v>1</v>
      </c>
      <c r="M106">
        <f t="shared" si="20"/>
        <v>0.55987290977927473</v>
      </c>
      <c r="N106">
        <f t="shared" si="24"/>
        <v>8.1226039680000001E-2</v>
      </c>
      <c r="O106">
        <f t="shared" si="22"/>
        <v>5.8782002399999998E-2</v>
      </c>
      <c r="P106">
        <f t="shared" si="23"/>
        <v>0.12155419991594268</v>
      </c>
      <c r="V106">
        <v>4.2</v>
      </c>
      <c r="W106">
        <f t="shared" si="21"/>
        <v>-0.7384400000000001</v>
      </c>
    </row>
    <row r="107" spans="1:23" x14ac:dyDescent="0.3">
      <c r="A107">
        <v>5.3952455999999991</v>
      </c>
      <c r="B107">
        <v>0.39654</v>
      </c>
      <c r="C107">
        <f t="shared" si="14"/>
        <v>2.1394306902239997</v>
      </c>
      <c r="D107">
        <v>1.52E-2</v>
      </c>
      <c r="E107">
        <v>1.0999999999999999E-2</v>
      </c>
      <c r="F107">
        <f t="shared" si="15"/>
        <v>1079.0491199999999</v>
      </c>
      <c r="G107">
        <f t="shared" si="16"/>
        <v>-0.39654</v>
      </c>
      <c r="H107">
        <f t="shared" si="17"/>
        <v>-427.88613804479996</v>
      </c>
      <c r="I107">
        <v>1</v>
      </c>
      <c r="J107">
        <f t="shared" si="18"/>
        <v>7.6080208872821853E-2</v>
      </c>
      <c r="K107">
        <f t="shared" si="19"/>
        <v>-0.82518515177521745</v>
      </c>
      <c r="L107">
        <v>1</v>
      </c>
      <c r="M107">
        <f t="shared" si="20"/>
        <v>0.56028666502330593</v>
      </c>
      <c r="N107">
        <f t="shared" si="24"/>
        <v>8.2007733119999981E-2</v>
      </c>
      <c r="O107">
        <f t="shared" si="22"/>
        <v>5.934770159999999E-2</v>
      </c>
      <c r="P107">
        <f t="shared" si="23"/>
        <v>0.12354305203191154</v>
      </c>
      <c r="V107">
        <v>4.3</v>
      </c>
      <c r="W107">
        <f t="shared" si="21"/>
        <v>-0.74276000000000009</v>
      </c>
    </row>
    <row r="108" spans="1:23" x14ac:dyDescent="0.3">
      <c r="A108">
        <v>5.4476914000000001</v>
      </c>
      <c r="B108">
        <v>0.39323999999999998</v>
      </c>
      <c r="C108">
        <f t="shared" si="14"/>
        <v>2.1422501661359998</v>
      </c>
      <c r="D108">
        <v>1.52E-2</v>
      </c>
      <c r="E108">
        <v>1.0999999999999999E-2</v>
      </c>
      <c r="F108">
        <f t="shared" si="15"/>
        <v>1089.53828</v>
      </c>
      <c r="G108">
        <f t="shared" si="16"/>
        <v>-0.39323999999999998</v>
      </c>
      <c r="H108">
        <f t="shared" si="17"/>
        <v>-428.45003322719998</v>
      </c>
      <c r="I108">
        <v>1</v>
      </c>
      <c r="J108">
        <f t="shared" si="18"/>
        <v>8.5754010168507672E-2</v>
      </c>
      <c r="K108">
        <f t="shared" si="19"/>
        <v>-0.82848515177521742</v>
      </c>
      <c r="L108">
        <v>1</v>
      </c>
      <c r="M108">
        <f t="shared" si="20"/>
        <v>0.56070457323927958</v>
      </c>
      <c r="N108">
        <f t="shared" si="24"/>
        <v>8.2804909280000005E-2</v>
      </c>
      <c r="O108">
        <f t="shared" si="22"/>
        <v>5.9924605399999997E-2</v>
      </c>
      <c r="P108">
        <f t="shared" si="23"/>
        <v>0.12505106385593784</v>
      </c>
      <c r="V108">
        <v>4.4000000000000004</v>
      </c>
      <c r="W108">
        <f t="shared" si="21"/>
        <v>-0.74708000000000008</v>
      </c>
    </row>
    <row r="109" spans="1:23" x14ac:dyDescent="0.3">
      <c r="A109">
        <v>5.4986098999999999</v>
      </c>
      <c r="B109">
        <v>0.38929000000000002</v>
      </c>
      <c r="C109">
        <f t="shared" si="14"/>
        <v>2.1405538479710002</v>
      </c>
      <c r="D109">
        <v>1.52E-2</v>
      </c>
      <c r="E109">
        <v>1.0999999999999999E-2</v>
      </c>
      <c r="F109">
        <f t="shared" si="15"/>
        <v>1099.72198</v>
      </c>
      <c r="G109">
        <f t="shared" si="16"/>
        <v>-0.38929000000000002</v>
      </c>
      <c r="H109">
        <f t="shared" si="17"/>
        <v>-428.11076959420006</v>
      </c>
      <c r="I109">
        <v>1</v>
      </c>
      <c r="J109">
        <f t="shared" si="18"/>
        <v>9.5057402404264163E-2</v>
      </c>
      <c r="K109">
        <f t="shared" si="19"/>
        <v>-0.83243515177521743</v>
      </c>
      <c r="L109">
        <v>1</v>
      </c>
      <c r="M109">
        <f t="shared" si="20"/>
        <v>0.5611064797838643</v>
      </c>
      <c r="N109">
        <f t="shared" si="24"/>
        <v>8.3578870479999998E-2</v>
      </c>
      <c r="O109">
        <f t="shared" si="22"/>
        <v>6.0484708899999996E-2</v>
      </c>
      <c r="P109">
        <f t="shared" si="23"/>
        <v>0.12726509261135313</v>
      </c>
      <c r="V109">
        <v>4.5</v>
      </c>
      <c r="W109">
        <f t="shared" si="21"/>
        <v>-0.75140000000000007</v>
      </c>
    </row>
    <row r="110" spans="1:23" x14ac:dyDescent="0.3">
      <c r="A110">
        <v>5.5490186000000001</v>
      </c>
      <c r="B110">
        <v>0.38590999999999998</v>
      </c>
      <c r="C110">
        <f t="shared" si="14"/>
        <v>2.1414217679259999</v>
      </c>
      <c r="D110">
        <v>1.52E-2</v>
      </c>
      <c r="E110">
        <v>1.0999999999999999E-2</v>
      </c>
      <c r="F110">
        <f t="shared" si="15"/>
        <v>1109.8037200000001</v>
      </c>
      <c r="G110">
        <f t="shared" si="16"/>
        <v>-0.38590999999999998</v>
      </c>
      <c r="H110">
        <f t="shared" si="17"/>
        <v>-428.28435358519999</v>
      </c>
      <c r="I110">
        <v>1</v>
      </c>
      <c r="J110">
        <f t="shared" si="18"/>
        <v>0.10418317085935343</v>
      </c>
      <c r="K110">
        <f t="shared" si="19"/>
        <v>-0.83581515177521748</v>
      </c>
      <c r="L110">
        <v>1</v>
      </c>
      <c r="M110">
        <f t="shared" si="20"/>
        <v>0.56150071298112414</v>
      </c>
      <c r="N110">
        <f t="shared" si="24"/>
        <v>8.4345082720000006E-2</v>
      </c>
      <c r="O110">
        <f t="shared" si="22"/>
        <v>6.1039204600000001E-2</v>
      </c>
      <c r="P110">
        <f t="shared" si="23"/>
        <v>0.12893015147409331</v>
      </c>
      <c r="V110">
        <v>4.5999999999999996</v>
      </c>
      <c r="W110">
        <f t="shared" si="21"/>
        <v>-0.75572000000000006</v>
      </c>
    </row>
    <row r="111" spans="1:23" x14ac:dyDescent="0.3">
      <c r="A111">
        <v>5.6014647999999996</v>
      </c>
      <c r="B111">
        <v>0.38242999999999999</v>
      </c>
      <c r="C111">
        <f t="shared" si="14"/>
        <v>2.1421681834639998</v>
      </c>
      <c r="D111">
        <v>1.52E-2</v>
      </c>
      <c r="E111">
        <v>1.0999999999999999E-2</v>
      </c>
      <c r="F111">
        <f t="shared" si="15"/>
        <v>1120.29296</v>
      </c>
      <c r="G111">
        <f t="shared" si="16"/>
        <v>-0.38242999999999999</v>
      </c>
      <c r="H111">
        <f t="shared" si="17"/>
        <v>-428.43363669279995</v>
      </c>
      <c r="I111">
        <v>1</v>
      </c>
      <c r="J111">
        <f t="shared" si="18"/>
        <v>0.11359022253173286</v>
      </c>
      <c r="K111">
        <f t="shared" si="19"/>
        <v>-0.83929515177521741</v>
      </c>
      <c r="L111">
        <v>1</v>
      </c>
      <c r="M111">
        <f t="shared" si="20"/>
        <v>0.56190709761337088</v>
      </c>
      <c r="N111">
        <f t="shared" si="24"/>
        <v>8.5142264959999991E-2</v>
      </c>
      <c r="O111">
        <f t="shared" si="22"/>
        <v>6.1616112799999991E-2</v>
      </c>
      <c r="P111">
        <f t="shared" si="23"/>
        <v>0.13062967640184656</v>
      </c>
      <c r="V111">
        <v>4.7</v>
      </c>
      <c r="W111">
        <f t="shared" si="21"/>
        <v>-0.76004000000000005</v>
      </c>
    </row>
    <row r="112" spans="1:23" x14ac:dyDescent="0.3">
      <c r="A112">
        <v>5.6528920999999999</v>
      </c>
      <c r="B112">
        <v>0.37884000000000001</v>
      </c>
      <c r="C112">
        <f t="shared" si="14"/>
        <v>2.141541643164</v>
      </c>
      <c r="D112">
        <v>1.52E-2</v>
      </c>
      <c r="E112">
        <v>1.0999999999999999E-2</v>
      </c>
      <c r="F112">
        <f t="shared" si="15"/>
        <v>1130.5784200000001</v>
      </c>
      <c r="G112">
        <f t="shared" si="16"/>
        <v>-0.37884000000000001</v>
      </c>
      <c r="H112">
        <f t="shared" si="17"/>
        <v>-428.3083286328</v>
      </c>
      <c r="I112">
        <v>1</v>
      </c>
      <c r="J112">
        <f t="shared" si="18"/>
        <v>0.12272937786655944</v>
      </c>
      <c r="K112">
        <f t="shared" si="19"/>
        <v>-0.84288515177521739</v>
      </c>
      <c r="L112">
        <v>1</v>
      </c>
      <c r="M112">
        <f t="shared" si="20"/>
        <v>0.56230190912383538</v>
      </c>
      <c r="N112">
        <f t="shared" si="24"/>
        <v>8.5923959920000001E-2</v>
      </c>
      <c r="O112">
        <f t="shared" si="22"/>
        <v>6.2181813099999997E-2</v>
      </c>
      <c r="P112">
        <f t="shared" si="23"/>
        <v>0.13247746963138202</v>
      </c>
      <c r="V112">
        <v>4.8</v>
      </c>
      <c r="W112">
        <f t="shared" si="21"/>
        <v>-0.76436000000000004</v>
      </c>
    </row>
    <row r="113" spans="1:23" x14ac:dyDescent="0.3">
      <c r="A113">
        <v>5.7043197999999995</v>
      </c>
      <c r="B113">
        <v>0.37509999999999999</v>
      </c>
      <c r="C113">
        <f t="shared" si="14"/>
        <v>2.1396903569799997</v>
      </c>
      <c r="D113">
        <v>1.52E-2</v>
      </c>
      <c r="E113">
        <v>1.0999999999999999E-2</v>
      </c>
      <c r="F113">
        <f t="shared" si="15"/>
        <v>1140.8639599999999</v>
      </c>
      <c r="G113">
        <f t="shared" si="16"/>
        <v>-0.37509999999999999</v>
      </c>
      <c r="H113">
        <f t="shared" si="17"/>
        <v>-427.93807139599994</v>
      </c>
      <c r="I113">
        <v>1</v>
      </c>
      <c r="J113">
        <f t="shared" si="18"/>
        <v>0.13178583502491306</v>
      </c>
      <c r="K113">
        <f t="shared" si="19"/>
        <v>-0.84662515177521747</v>
      </c>
      <c r="L113">
        <v>1</v>
      </c>
      <c r="M113">
        <f t="shared" si="20"/>
        <v>0.56269314807307624</v>
      </c>
      <c r="N113">
        <f t="shared" si="24"/>
        <v>8.6705660959999986E-2</v>
      </c>
      <c r="O113">
        <f t="shared" si="22"/>
        <v>6.2747517799999986E-2</v>
      </c>
      <c r="P113">
        <f t="shared" si="23"/>
        <v>0.13447882494214125</v>
      </c>
      <c r="V113">
        <v>4.9000000000000004</v>
      </c>
      <c r="W113">
        <f t="shared" si="21"/>
        <v>-0.76868000000000003</v>
      </c>
    </row>
    <row r="114" spans="1:23" x14ac:dyDescent="0.3">
      <c r="A114">
        <v>5.7567655999999996</v>
      </c>
      <c r="B114">
        <v>0.37175999999999998</v>
      </c>
      <c r="C114">
        <f t="shared" si="14"/>
        <v>2.1401351794559997</v>
      </c>
      <c r="D114">
        <v>1.52E-2</v>
      </c>
      <c r="E114">
        <v>1.0999999999999999E-2</v>
      </c>
      <c r="F114">
        <f t="shared" si="15"/>
        <v>1151.35312</v>
      </c>
      <c r="G114">
        <f t="shared" si="16"/>
        <v>-0.37175999999999998</v>
      </c>
      <c r="H114">
        <f t="shared" si="17"/>
        <v>-428.02703589119994</v>
      </c>
      <c r="I114">
        <v>1</v>
      </c>
      <c r="J114">
        <f t="shared" si="18"/>
        <v>0.14093787678015515</v>
      </c>
      <c r="K114">
        <f t="shared" si="19"/>
        <v>-0.84996515177521748</v>
      </c>
      <c r="L114">
        <v>1</v>
      </c>
      <c r="M114">
        <f t="shared" si="20"/>
        <v>0.56308851627690271</v>
      </c>
      <c r="N114">
        <f t="shared" si="24"/>
        <v>8.7502837119999996E-2</v>
      </c>
      <c r="O114">
        <f t="shared" si="22"/>
        <v>6.3324421599999986E-2</v>
      </c>
      <c r="P114">
        <f t="shared" si="23"/>
        <v>0.13604937677831477</v>
      </c>
      <c r="V114">
        <v>5</v>
      </c>
      <c r="W114">
        <f t="shared" si="21"/>
        <v>-0.77300000000000013</v>
      </c>
    </row>
    <row r="115" spans="1:23" x14ac:dyDescent="0.3">
      <c r="A115">
        <v>5.8071748000000003</v>
      </c>
      <c r="B115">
        <v>0.36782999999999999</v>
      </c>
      <c r="C115">
        <f t="shared" si="14"/>
        <v>2.1360531066839998</v>
      </c>
      <c r="D115">
        <v>1.52E-2</v>
      </c>
      <c r="E115">
        <v>1.0999999999999999E-2</v>
      </c>
      <c r="F115">
        <f t="shared" si="15"/>
        <v>1161.43496</v>
      </c>
      <c r="G115">
        <f t="shared" si="16"/>
        <v>-0.36782999999999999</v>
      </c>
      <c r="H115">
        <f t="shared" si="17"/>
        <v>-427.21062133679999</v>
      </c>
      <c r="I115">
        <v>1</v>
      </c>
      <c r="J115">
        <f t="shared" si="18"/>
        <v>0.14965627510428375</v>
      </c>
      <c r="K115">
        <f t="shared" si="19"/>
        <v>-0.85389515177521746</v>
      </c>
      <c r="L115">
        <v>1</v>
      </c>
      <c r="M115">
        <f t="shared" si="20"/>
        <v>0.56346515108450512</v>
      </c>
      <c r="N115">
        <f t="shared" si="24"/>
        <v>8.8269056960000009E-2</v>
      </c>
      <c r="O115">
        <f t="shared" si="22"/>
        <v>6.3878922800000001E-2</v>
      </c>
      <c r="P115">
        <f t="shared" si="23"/>
        <v>0.13828202093071235</v>
      </c>
      <c r="V115">
        <v>5.0999999999999996</v>
      </c>
      <c r="W115">
        <f t="shared" si="21"/>
        <v>-0.77732000000000001</v>
      </c>
    </row>
    <row r="116" spans="1:23" x14ac:dyDescent="0.3">
      <c r="A116">
        <v>5.8580933000000002</v>
      </c>
      <c r="B116">
        <v>0.36404999999999998</v>
      </c>
      <c r="C116">
        <f t="shared" si="14"/>
        <v>2.1326388658650002</v>
      </c>
      <c r="D116">
        <v>1.52E-2</v>
      </c>
      <c r="E116">
        <v>1.0999999999999999E-2</v>
      </c>
      <c r="F116">
        <f t="shared" si="15"/>
        <v>1171.6186600000001</v>
      </c>
      <c r="G116">
        <f t="shared" si="16"/>
        <v>-0.36404999999999998</v>
      </c>
      <c r="H116">
        <f t="shared" si="17"/>
        <v>-426.52777317300001</v>
      </c>
      <c r="I116">
        <v>1</v>
      </c>
      <c r="J116">
        <f t="shared" si="18"/>
        <v>0.15838626278213042</v>
      </c>
      <c r="K116">
        <f t="shared" si="19"/>
        <v>-0.85767515177521747</v>
      </c>
      <c r="L116">
        <v>1</v>
      </c>
      <c r="M116">
        <f t="shared" si="20"/>
        <v>0.56384228655218804</v>
      </c>
      <c r="N116">
        <f t="shared" si="24"/>
        <v>8.9043018160000001E-2</v>
      </c>
      <c r="O116">
        <f t="shared" si="22"/>
        <v>6.4439026299999994E-2</v>
      </c>
      <c r="P116">
        <f t="shared" si="23"/>
        <v>0.14035082076302946</v>
      </c>
      <c r="V116">
        <v>5.2</v>
      </c>
      <c r="W116">
        <f t="shared" si="21"/>
        <v>-0.78164000000000011</v>
      </c>
    </row>
    <row r="117" spans="1:23" x14ac:dyDescent="0.3">
      <c r="A117">
        <v>5.9085023999999997</v>
      </c>
      <c r="B117">
        <v>0.36076000000000003</v>
      </c>
      <c r="C117">
        <f t="shared" si="14"/>
        <v>2.1315513258240002</v>
      </c>
      <c r="D117">
        <v>1.52E-2</v>
      </c>
      <c r="E117">
        <v>1.0999999999999999E-2</v>
      </c>
      <c r="F117">
        <f t="shared" si="15"/>
        <v>1181.70048</v>
      </c>
      <c r="G117">
        <f t="shared" si="16"/>
        <v>-0.36076000000000003</v>
      </c>
      <c r="H117">
        <f t="shared" si="17"/>
        <v>-426.31026516480006</v>
      </c>
      <c r="I117">
        <v>1</v>
      </c>
      <c r="J117">
        <f t="shared" si="18"/>
        <v>0.1669544858572159</v>
      </c>
      <c r="K117">
        <f t="shared" si="19"/>
        <v>-0.86096515177521749</v>
      </c>
      <c r="L117">
        <v>1</v>
      </c>
      <c r="M117">
        <f t="shared" si="20"/>
        <v>0.56421243378903174</v>
      </c>
      <c r="N117">
        <f t="shared" si="24"/>
        <v>8.9809236479999999E-2</v>
      </c>
      <c r="O117">
        <f t="shared" si="22"/>
        <v>6.4993526399999987E-2</v>
      </c>
      <c r="P117">
        <f t="shared" si="23"/>
        <v>0.14194995510618574</v>
      </c>
      <c r="V117">
        <v>5.3</v>
      </c>
      <c r="W117">
        <f t="shared" si="21"/>
        <v>-0.78595999999999999</v>
      </c>
    </row>
    <row r="118" spans="1:23" x14ac:dyDescent="0.3">
      <c r="A118">
        <v>5.9599301999999996</v>
      </c>
      <c r="B118">
        <v>0.35664000000000001</v>
      </c>
      <c r="C118">
        <f t="shared" si="14"/>
        <v>2.1255495065279999</v>
      </c>
      <c r="D118">
        <v>1.52E-2</v>
      </c>
      <c r="E118">
        <v>1.0999999999999999E-2</v>
      </c>
      <c r="F118">
        <f t="shared" si="15"/>
        <v>1191.98604</v>
      </c>
      <c r="G118">
        <f t="shared" si="16"/>
        <v>-0.35664000000000001</v>
      </c>
      <c r="H118">
        <f t="shared" si="17"/>
        <v>-425.10990130559998</v>
      </c>
      <c r="I118">
        <v>1</v>
      </c>
      <c r="J118">
        <f t="shared" si="18"/>
        <v>0.17562085716518291</v>
      </c>
      <c r="K118">
        <f t="shared" si="19"/>
        <v>-0.86508515177521739</v>
      </c>
      <c r="L118">
        <v>1</v>
      </c>
      <c r="M118">
        <f t="shared" si="20"/>
        <v>0.56458682102953595</v>
      </c>
      <c r="N118">
        <f t="shared" si="24"/>
        <v>9.0590939039999999E-2</v>
      </c>
      <c r="O118">
        <f t="shared" si="22"/>
        <v>6.5559232199999998E-2</v>
      </c>
      <c r="P118">
        <f t="shared" si="23"/>
        <v>0.14434815950568147</v>
      </c>
      <c r="V118">
        <v>5.4</v>
      </c>
      <c r="W118">
        <f t="shared" si="21"/>
        <v>-0.79028000000000009</v>
      </c>
    </row>
    <row r="119" spans="1:23" x14ac:dyDescent="0.3">
      <c r="A119">
        <v>6.0108486000000001</v>
      </c>
      <c r="B119">
        <v>0.35306999999999999</v>
      </c>
      <c r="C119">
        <f t="shared" si="14"/>
        <v>2.1222503152019998</v>
      </c>
      <c r="D119">
        <v>1.52E-2</v>
      </c>
      <c r="E119">
        <v>1.0999999999999999E-2</v>
      </c>
      <c r="F119">
        <f t="shared" si="15"/>
        <v>1202.1697200000001</v>
      </c>
      <c r="G119">
        <f t="shared" si="16"/>
        <v>-0.35306999999999999</v>
      </c>
      <c r="H119">
        <f t="shared" si="17"/>
        <v>-424.45006304039998</v>
      </c>
      <c r="I119">
        <v>1</v>
      </c>
      <c r="J119">
        <f t="shared" si="18"/>
        <v>0.18412802414884388</v>
      </c>
      <c r="K119">
        <f t="shared" si="19"/>
        <v>-0.86865515177521746</v>
      </c>
      <c r="L119">
        <v>1</v>
      </c>
      <c r="M119">
        <f t="shared" si="20"/>
        <v>0.56495433064323008</v>
      </c>
      <c r="N119">
        <f t="shared" si="24"/>
        <v>9.1364898720000004E-2</v>
      </c>
      <c r="O119">
        <f t="shared" si="22"/>
        <v>6.6119334599999996E-2</v>
      </c>
      <c r="P119">
        <f t="shared" si="23"/>
        <v>0.14621658781198738</v>
      </c>
      <c r="V119">
        <v>5.5</v>
      </c>
      <c r="W119">
        <f t="shared" si="21"/>
        <v>-0.79460000000000008</v>
      </c>
    </row>
    <row r="120" spans="1:23" x14ac:dyDescent="0.3">
      <c r="A120">
        <v>6.0638031999999997</v>
      </c>
      <c r="B120">
        <v>0.34925</v>
      </c>
      <c r="C120">
        <f t="shared" si="14"/>
        <v>2.1177832676000001</v>
      </c>
      <c r="D120">
        <v>1.52E-2</v>
      </c>
      <c r="E120">
        <v>1.0999999999999999E-2</v>
      </c>
      <c r="F120">
        <f t="shared" si="15"/>
        <v>1212.76064</v>
      </c>
      <c r="G120">
        <f t="shared" si="16"/>
        <v>-0.34925</v>
      </c>
      <c r="H120">
        <f t="shared" si="17"/>
        <v>-423.55665352000005</v>
      </c>
      <c r="I120">
        <v>1</v>
      </c>
      <c r="J120">
        <f t="shared" si="18"/>
        <v>0.1928992815534758</v>
      </c>
      <c r="K120">
        <f t="shared" si="19"/>
        <v>-0.87247515177521739</v>
      </c>
      <c r="L120">
        <v>1</v>
      </c>
      <c r="M120">
        <f t="shared" si="20"/>
        <v>0.56533324896311021</v>
      </c>
      <c r="N120">
        <f t="shared" si="24"/>
        <v>9.2169808639999989E-2</v>
      </c>
      <c r="O120">
        <f t="shared" si="22"/>
        <v>6.670183519999999E-2</v>
      </c>
      <c r="P120">
        <f t="shared" si="23"/>
        <v>0.14827025897210722</v>
      </c>
      <c r="V120">
        <v>5.6</v>
      </c>
      <c r="W120">
        <f t="shared" si="21"/>
        <v>-0.79892000000000007</v>
      </c>
    </row>
    <row r="121" spans="1:23" x14ac:dyDescent="0.3">
      <c r="A121">
        <v>6.1172671000000003</v>
      </c>
      <c r="B121">
        <v>0.34517999999999999</v>
      </c>
      <c r="C121">
        <f t="shared" si="14"/>
        <v>2.1115582575779999</v>
      </c>
      <c r="D121">
        <v>1.52E-2</v>
      </c>
      <c r="E121">
        <v>1.0999999999999999E-2</v>
      </c>
      <c r="F121">
        <f t="shared" si="15"/>
        <v>1223.4534200000001</v>
      </c>
      <c r="G121">
        <f t="shared" si="16"/>
        <v>-0.34517999999999999</v>
      </c>
      <c r="H121">
        <f t="shared" si="17"/>
        <v>-422.31165151559998</v>
      </c>
      <c r="I121">
        <v>1</v>
      </c>
      <c r="J121">
        <f t="shared" si="18"/>
        <v>0.20167753206838776</v>
      </c>
      <c r="K121">
        <f t="shared" si="19"/>
        <v>-0.87654515177521741</v>
      </c>
      <c r="L121">
        <v>1</v>
      </c>
      <c r="M121">
        <f t="shared" si="20"/>
        <v>0.56571246938535436</v>
      </c>
      <c r="N121">
        <f t="shared" si="24"/>
        <v>9.298245992000001E-2</v>
      </c>
      <c r="O121">
        <f t="shared" si="22"/>
        <v>6.7289938100000002E-2</v>
      </c>
      <c r="P121">
        <f t="shared" si="23"/>
        <v>0.15056028436986305</v>
      </c>
      <c r="V121">
        <v>5.7</v>
      </c>
      <c r="W121">
        <f t="shared" si="21"/>
        <v>-0.80324000000000007</v>
      </c>
    </row>
    <row r="122" spans="1:23" x14ac:dyDescent="0.3">
      <c r="A122">
        <v>6.1686953000000004</v>
      </c>
      <c r="B122">
        <v>0.34145999999999999</v>
      </c>
      <c r="C122">
        <f t="shared" si="14"/>
        <v>2.1063626971380001</v>
      </c>
      <c r="D122">
        <v>1.52E-2</v>
      </c>
      <c r="E122">
        <v>1.0999999999999999E-2</v>
      </c>
      <c r="F122">
        <f t="shared" si="15"/>
        <v>1233.7390600000001</v>
      </c>
      <c r="G122">
        <f t="shared" si="16"/>
        <v>-0.34145999999999999</v>
      </c>
      <c r="H122">
        <f t="shared" si="17"/>
        <v>-421.27253942760001</v>
      </c>
      <c r="I122">
        <v>1</v>
      </c>
      <c r="J122">
        <f t="shared" si="18"/>
        <v>0.21004944445167037</v>
      </c>
      <c r="K122">
        <f t="shared" si="19"/>
        <v>-0.88026515177521747</v>
      </c>
      <c r="L122">
        <v>1</v>
      </c>
      <c r="M122">
        <f t="shared" si="20"/>
        <v>0.5660741360003122</v>
      </c>
      <c r="N122">
        <f t="shared" si="24"/>
        <v>9.376416856E-2</v>
      </c>
      <c r="O122">
        <f t="shared" si="22"/>
        <v>6.7855648300000002E-2</v>
      </c>
      <c r="P122">
        <f t="shared" si="23"/>
        <v>0.15257119891490528</v>
      </c>
      <c r="V122">
        <v>5.8</v>
      </c>
      <c r="W122">
        <f t="shared" si="21"/>
        <v>-0.80756000000000006</v>
      </c>
    </row>
    <row r="123" spans="1:23" x14ac:dyDescent="0.3">
      <c r="A123">
        <v>6.2191039999999997</v>
      </c>
      <c r="B123">
        <v>0.33778000000000002</v>
      </c>
      <c r="C123">
        <f t="shared" si="14"/>
        <v>2.1006889491200003</v>
      </c>
      <c r="D123">
        <v>1.52E-2</v>
      </c>
      <c r="E123">
        <v>1.0999999999999999E-2</v>
      </c>
      <c r="F123">
        <f t="shared" si="15"/>
        <v>1243.8208</v>
      </c>
      <c r="G123">
        <f t="shared" si="16"/>
        <v>-0.33778000000000002</v>
      </c>
      <c r="H123">
        <f t="shared" si="17"/>
        <v>-420.13778982400004</v>
      </c>
      <c r="I123">
        <v>1</v>
      </c>
      <c r="J123">
        <f t="shared" si="18"/>
        <v>0.21818793249363613</v>
      </c>
      <c r="K123">
        <f t="shared" si="19"/>
        <v>-0.88394515177521749</v>
      </c>
      <c r="L123">
        <v>1</v>
      </c>
      <c r="M123">
        <f t="shared" si="20"/>
        <v>0.56642571868372515</v>
      </c>
      <c r="N123">
        <f t="shared" si="24"/>
        <v>9.4530380799999994E-2</v>
      </c>
      <c r="O123">
        <f t="shared" si="22"/>
        <v>6.8410143999999992E-2</v>
      </c>
      <c r="P123">
        <f t="shared" si="23"/>
        <v>0.15457890829149235</v>
      </c>
      <c r="V123">
        <v>5.9</v>
      </c>
      <c r="W123">
        <f t="shared" si="21"/>
        <v>-0.81188000000000016</v>
      </c>
    </row>
    <row r="124" spans="1:23" x14ac:dyDescent="0.3">
      <c r="A124">
        <v>6.2725683999999999</v>
      </c>
      <c r="B124">
        <v>0.33367000000000002</v>
      </c>
      <c r="C124">
        <f t="shared" si="14"/>
        <v>2.0929678980280002</v>
      </c>
      <c r="D124">
        <v>1.52E-2</v>
      </c>
      <c r="E124">
        <v>1.0999999999999999E-2</v>
      </c>
      <c r="F124">
        <f t="shared" si="15"/>
        <v>1254.51368</v>
      </c>
      <c r="G124">
        <f t="shared" si="16"/>
        <v>-0.33367000000000002</v>
      </c>
      <c r="H124">
        <f t="shared" si="17"/>
        <v>-418.59357960560004</v>
      </c>
      <c r="I124">
        <v>1</v>
      </c>
      <c r="J124">
        <f t="shared" si="18"/>
        <v>0.22674799150780917</v>
      </c>
      <c r="K124">
        <f t="shared" si="19"/>
        <v>-0.88805515177521743</v>
      </c>
      <c r="L124">
        <v>1</v>
      </c>
      <c r="M124">
        <f t="shared" si="20"/>
        <v>0.56679551323313737</v>
      </c>
      <c r="N124">
        <f t="shared" si="24"/>
        <v>9.5343039680000005E-2</v>
      </c>
      <c r="O124">
        <f t="shared" si="22"/>
        <v>6.8998252400000001E-2</v>
      </c>
      <c r="P124">
        <f t="shared" si="23"/>
        <v>0.15691834646208003</v>
      </c>
      <c r="V124">
        <v>6</v>
      </c>
      <c r="W124">
        <f t="shared" si="21"/>
        <v>-0.81620000000000004</v>
      </c>
    </row>
    <row r="125" spans="1:23" x14ac:dyDescent="0.3">
      <c r="A125">
        <v>6.3229780000000009</v>
      </c>
      <c r="B125">
        <v>0.32951000000000003</v>
      </c>
      <c r="C125">
        <f t="shared" si="14"/>
        <v>2.0834844807800006</v>
      </c>
      <c r="D125">
        <v>1.52E-2</v>
      </c>
      <c r="E125">
        <v>1.0999999999999999E-2</v>
      </c>
      <c r="F125">
        <f t="shared" si="15"/>
        <v>1264.5956000000001</v>
      </c>
      <c r="G125">
        <f t="shared" si="16"/>
        <v>-0.32951000000000003</v>
      </c>
      <c r="H125">
        <f t="shared" si="17"/>
        <v>-416.69689615600009</v>
      </c>
      <c r="I125">
        <v>1</v>
      </c>
      <c r="J125">
        <f t="shared" si="18"/>
        <v>0.23475238727526004</v>
      </c>
      <c r="K125">
        <f t="shared" si="19"/>
        <v>-0.89221515177521749</v>
      </c>
      <c r="L125">
        <v>1</v>
      </c>
      <c r="M125">
        <f t="shared" si="20"/>
        <v>0.56714130313029132</v>
      </c>
      <c r="N125">
        <f t="shared" si="24"/>
        <v>9.6109265600000007E-2</v>
      </c>
      <c r="O125">
        <f t="shared" si="22"/>
        <v>6.9552758000000006E-2</v>
      </c>
      <c r="P125">
        <f t="shared" si="23"/>
        <v>0.15941182504492618</v>
      </c>
      <c r="V125">
        <v>6.1</v>
      </c>
      <c r="W125">
        <f t="shared" si="21"/>
        <v>-0.82052000000000003</v>
      </c>
    </row>
    <row r="126" spans="1:23" x14ac:dyDescent="0.3">
      <c r="A126">
        <v>6.3769501999999996</v>
      </c>
      <c r="B126">
        <v>0.32582</v>
      </c>
      <c r="C126">
        <f t="shared" si="14"/>
        <v>2.077737914164</v>
      </c>
      <c r="D126">
        <v>1.52E-2</v>
      </c>
      <c r="E126">
        <v>1.0999999999999999E-2</v>
      </c>
      <c r="F126">
        <f t="shared" si="15"/>
        <v>1275.39004</v>
      </c>
      <c r="G126">
        <f t="shared" si="16"/>
        <v>-0.32582</v>
      </c>
      <c r="H126">
        <f t="shared" si="17"/>
        <v>-415.5475828328</v>
      </c>
      <c r="I126">
        <v>1</v>
      </c>
      <c r="J126">
        <f t="shared" si="18"/>
        <v>0.24325204555381655</v>
      </c>
      <c r="K126">
        <f t="shared" si="19"/>
        <v>-0.89590515177521746</v>
      </c>
      <c r="L126">
        <v>1</v>
      </c>
      <c r="M126">
        <f t="shared" si="20"/>
        <v>0.56750848836792489</v>
      </c>
      <c r="N126">
        <f t="shared" si="24"/>
        <v>9.6929643039999999E-2</v>
      </c>
      <c r="O126">
        <f t="shared" si="22"/>
        <v>7.0146452199999987E-2</v>
      </c>
      <c r="P126">
        <f t="shared" si="23"/>
        <v>0.16132056816729257</v>
      </c>
      <c r="V126">
        <v>6.2</v>
      </c>
      <c r="W126">
        <f t="shared" si="21"/>
        <v>-0.82484000000000002</v>
      </c>
    </row>
    <row r="127" spans="1:23" x14ac:dyDescent="0.3">
      <c r="A127">
        <v>6.4273598999999999</v>
      </c>
      <c r="B127">
        <v>0.32157000000000002</v>
      </c>
      <c r="C127">
        <f t="shared" si="14"/>
        <v>2.0668461230430002</v>
      </c>
      <c r="D127">
        <v>1.52E-2</v>
      </c>
      <c r="E127">
        <v>1.0999999999999999E-2</v>
      </c>
      <c r="F127">
        <f t="shared" si="15"/>
        <v>1285.47198</v>
      </c>
      <c r="G127">
        <f t="shared" si="16"/>
        <v>-0.32157000000000002</v>
      </c>
      <c r="H127">
        <f t="shared" si="17"/>
        <v>-413.36922460860006</v>
      </c>
      <c r="I127">
        <v>1</v>
      </c>
      <c r="J127">
        <f t="shared" si="18"/>
        <v>0.25112595052008885</v>
      </c>
      <c r="K127">
        <f t="shared" si="19"/>
        <v>-0.90015515177521743</v>
      </c>
      <c r="L127">
        <v>1</v>
      </c>
      <c r="M127">
        <f t="shared" si="20"/>
        <v>0.56784864106246791</v>
      </c>
      <c r="N127">
        <f t="shared" si="24"/>
        <v>9.7695870480000002E-2</v>
      </c>
      <c r="O127">
        <f t="shared" si="22"/>
        <v>7.0700958899999999E-2</v>
      </c>
      <c r="P127">
        <f t="shared" si="23"/>
        <v>0.16390968133274952</v>
      </c>
      <c r="V127">
        <v>6.3</v>
      </c>
      <c r="W127">
        <f t="shared" si="21"/>
        <v>-0.82916000000000012</v>
      </c>
    </row>
    <row r="128" spans="1:23" x14ac:dyDescent="0.3">
      <c r="A128">
        <v>6.477768600000001</v>
      </c>
      <c r="B128">
        <v>0.31741999999999998</v>
      </c>
      <c r="C128">
        <f t="shared" si="14"/>
        <v>2.0561733090120002</v>
      </c>
      <c r="D128">
        <v>1.52E-2</v>
      </c>
      <c r="E128">
        <v>1.0999999999999999E-2</v>
      </c>
      <c r="F128">
        <f t="shared" si="15"/>
        <v>1295.5537200000001</v>
      </c>
      <c r="G128">
        <f t="shared" si="16"/>
        <v>-0.31741999999999998</v>
      </c>
      <c r="H128">
        <f t="shared" si="17"/>
        <v>-411.23466180240007</v>
      </c>
      <c r="I128">
        <v>1</v>
      </c>
      <c r="J128">
        <f t="shared" si="18"/>
        <v>0.25893818677551778</v>
      </c>
      <c r="K128">
        <f t="shared" si="19"/>
        <v>-0.90430515177521742</v>
      </c>
      <c r="L128">
        <v>1</v>
      </c>
      <c r="M128">
        <f t="shared" si="20"/>
        <v>0.56818612966870241</v>
      </c>
      <c r="N128">
        <f t="shared" si="24"/>
        <v>9.846208272000001E-2</v>
      </c>
      <c r="O128">
        <f t="shared" si="22"/>
        <v>7.1255454600000004E-2</v>
      </c>
      <c r="P128">
        <f t="shared" si="23"/>
        <v>0.16640148478651501</v>
      </c>
      <c r="V128">
        <v>6.4</v>
      </c>
      <c r="W128">
        <f t="shared" si="21"/>
        <v>-0.83348</v>
      </c>
    </row>
    <row r="129" spans="1:23" x14ac:dyDescent="0.3">
      <c r="A129">
        <v>6.5332699999999999</v>
      </c>
      <c r="B129">
        <v>0.31372</v>
      </c>
      <c r="C129">
        <f t="shared" si="14"/>
        <v>2.0496174643999998</v>
      </c>
      <c r="D129">
        <v>1.52E-2</v>
      </c>
      <c r="E129">
        <v>1.0999999999999999E-2</v>
      </c>
      <c r="F129">
        <f t="shared" si="15"/>
        <v>1306.654</v>
      </c>
      <c r="G129">
        <f t="shared" si="16"/>
        <v>-0.31372</v>
      </c>
      <c r="H129">
        <f t="shared" si="17"/>
        <v>-409.92349287999997</v>
      </c>
      <c r="I129">
        <v>1</v>
      </c>
      <c r="J129">
        <f t="shared" si="18"/>
        <v>0.26746967120972454</v>
      </c>
      <c r="K129">
        <f t="shared" si="19"/>
        <v>-0.90800515177521746</v>
      </c>
      <c r="L129">
        <v>1</v>
      </c>
      <c r="M129">
        <f t="shared" si="20"/>
        <v>0.56855468979626012</v>
      </c>
      <c r="N129">
        <f t="shared" si="24"/>
        <v>9.9305703999999995E-2</v>
      </c>
      <c r="O129">
        <f t="shared" si="22"/>
        <v>7.1865970000000001E-2</v>
      </c>
      <c r="P129">
        <f t="shared" si="23"/>
        <v>0.16827878797895734</v>
      </c>
      <c r="V129">
        <v>6.5</v>
      </c>
      <c r="W129">
        <f t="shared" si="21"/>
        <v>-0.8378000000000001</v>
      </c>
    </row>
    <row r="130" spans="1:23" x14ac:dyDescent="0.3">
      <c r="A130">
        <v>6.5841884999999998</v>
      </c>
      <c r="B130">
        <v>0.30930999999999997</v>
      </c>
      <c r="C130">
        <f t="shared" si="14"/>
        <v>2.0365553449349996</v>
      </c>
      <c r="D130">
        <v>1.52E-2</v>
      </c>
      <c r="E130">
        <v>1.0999999999999999E-2</v>
      </c>
      <c r="F130">
        <f t="shared" si="15"/>
        <v>1316.8377</v>
      </c>
      <c r="G130">
        <f t="shared" si="16"/>
        <v>-0.30930999999999997</v>
      </c>
      <c r="H130">
        <f t="shared" si="17"/>
        <v>-407.31106898699989</v>
      </c>
      <c r="I130">
        <v>1</v>
      </c>
      <c r="J130">
        <f t="shared" si="18"/>
        <v>0.27523318054298801</v>
      </c>
      <c r="K130">
        <f t="shared" si="19"/>
        <v>-0.91241515177521748</v>
      </c>
      <c r="L130">
        <v>1</v>
      </c>
      <c r="M130">
        <f t="shared" si="20"/>
        <v>0.56889007339945719</v>
      </c>
      <c r="N130">
        <f t="shared" si="24"/>
        <v>0.1000796652</v>
      </c>
      <c r="O130">
        <f t="shared" si="22"/>
        <v>7.2426073499999993E-2</v>
      </c>
      <c r="P130">
        <f t="shared" si="23"/>
        <v>0.1710193396757603</v>
      </c>
      <c r="V130">
        <v>6.6</v>
      </c>
      <c r="W130">
        <f t="shared" si="21"/>
        <v>-0.84211999999999998</v>
      </c>
    </row>
    <row r="131" spans="1:23" x14ac:dyDescent="0.3">
      <c r="A131">
        <v>6.6366342999999999</v>
      </c>
      <c r="B131">
        <v>0.30518000000000001</v>
      </c>
      <c r="C131">
        <f t="shared" si="14"/>
        <v>2.0253680556739999</v>
      </c>
      <c r="D131">
        <v>1.52E-2</v>
      </c>
      <c r="E131">
        <v>1.0999999999999999E-2</v>
      </c>
      <c r="F131">
        <f t="shared" si="15"/>
        <v>1327.3268599999999</v>
      </c>
      <c r="G131">
        <f t="shared" si="16"/>
        <v>-0.30518000000000001</v>
      </c>
      <c r="H131">
        <f t="shared" si="17"/>
        <v>-405.07361113479999</v>
      </c>
      <c r="I131">
        <v>1</v>
      </c>
      <c r="J131">
        <f t="shared" si="18"/>
        <v>0.28316704001574428</v>
      </c>
      <c r="K131">
        <f t="shared" si="19"/>
        <v>-0.91654515177521745</v>
      </c>
      <c r="L131">
        <v>1</v>
      </c>
      <c r="M131">
        <f t="shared" si="20"/>
        <v>0.56923281612868015</v>
      </c>
      <c r="N131">
        <f t="shared" si="24"/>
        <v>0.10087684136</v>
      </c>
      <c r="O131">
        <f t="shared" si="22"/>
        <v>7.3002977299999994E-2</v>
      </c>
      <c r="P131">
        <f t="shared" si="23"/>
        <v>0.17343251698653731</v>
      </c>
      <c r="V131">
        <v>6.7</v>
      </c>
      <c r="W131">
        <f t="shared" si="21"/>
        <v>-0.84644000000000008</v>
      </c>
    </row>
    <row r="132" spans="1:23" x14ac:dyDescent="0.3">
      <c r="A132">
        <v>6.6880619999999995</v>
      </c>
      <c r="B132">
        <v>0.30116999999999999</v>
      </c>
      <c r="C132">
        <f t="shared" si="14"/>
        <v>2.0142436325399999</v>
      </c>
      <c r="D132">
        <v>1.52E-2</v>
      </c>
      <c r="E132">
        <v>1.0999999999999999E-2</v>
      </c>
      <c r="F132">
        <f t="shared" si="15"/>
        <v>1337.6124</v>
      </c>
      <c r="G132">
        <f t="shared" si="16"/>
        <v>-0.30116999999999999</v>
      </c>
      <c r="H132">
        <f t="shared" si="17"/>
        <v>-402.84872650799997</v>
      </c>
      <c r="I132">
        <v>1</v>
      </c>
      <c r="J132">
        <f t="shared" si="18"/>
        <v>0.29088623364025912</v>
      </c>
      <c r="K132">
        <f t="shared" si="19"/>
        <v>-0.92055515177521752</v>
      </c>
      <c r="L132">
        <v>1</v>
      </c>
      <c r="M132">
        <f t="shared" si="20"/>
        <v>0.56956628529325926</v>
      </c>
      <c r="N132">
        <f t="shared" si="24"/>
        <v>0.1016585424</v>
      </c>
      <c r="O132">
        <f t="shared" si="22"/>
        <v>7.3568681999999996E-2</v>
      </c>
      <c r="P132">
        <f t="shared" si="23"/>
        <v>0.17576164208195827</v>
      </c>
      <c r="V132">
        <v>6.8</v>
      </c>
      <c r="W132">
        <f t="shared" si="21"/>
        <v>-0.85076000000000007</v>
      </c>
    </row>
    <row r="133" spans="1:23" x14ac:dyDescent="0.3">
      <c r="A133">
        <v>6.7389800000000006</v>
      </c>
      <c r="B133">
        <v>0.29697000000000001</v>
      </c>
      <c r="C133">
        <f t="shared" ref="C133:C196" si="25">A133*B133</f>
        <v>2.0012748906000004</v>
      </c>
      <c r="D133">
        <v>1.52E-2</v>
      </c>
      <c r="E133">
        <v>1.0999999999999999E-2</v>
      </c>
      <c r="F133">
        <f t="shared" ref="F133:F196" si="26">A133*200</f>
        <v>1347.796</v>
      </c>
      <c r="G133">
        <f t="shared" ref="G133:G144" si="27">-B133</f>
        <v>-0.29697000000000001</v>
      </c>
      <c r="H133">
        <f t="shared" ref="H133:H196" si="28">-C133*200</f>
        <v>-400.25497812000009</v>
      </c>
      <c r="I133">
        <v>1</v>
      </c>
      <c r="J133">
        <f t="shared" ref="J133:J196" si="29">LN(F133/1000)</f>
        <v>0.2984706657261989</v>
      </c>
      <c r="K133">
        <f t="shared" ref="K133:K187" si="30">((-G133)-$N$2)</f>
        <v>-0.9247551517752175</v>
      </c>
      <c r="L133">
        <v>1</v>
      </c>
      <c r="M133">
        <f t="shared" ref="M133:M196" si="31">-1*($S$4+($S$5*J133))</f>
        <v>0.56989393275937184</v>
      </c>
      <c r="N133">
        <f t="shared" si="24"/>
        <v>0.10243249600000001</v>
      </c>
      <c r="O133">
        <f t="shared" si="22"/>
        <v>7.4128780000000005E-2</v>
      </c>
      <c r="P133">
        <f t="shared" si="23"/>
        <v>0.17829994301584562</v>
      </c>
      <c r="V133">
        <v>6.9</v>
      </c>
      <c r="W133">
        <f t="shared" ref="W133:W139" si="32">V133*$S$5+$S$4</f>
        <v>-0.85508000000000006</v>
      </c>
    </row>
    <row r="134" spans="1:23" x14ac:dyDescent="0.3">
      <c r="A134">
        <v>6.7904082000000008</v>
      </c>
      <c r="B134">
        <v>0.29241</v>
      </c>
      <c r="C134">
        <f t="shared" si="25"/>
        <v>1.9855832617620002</v>
      </c>
      <c r="D134">
        <v>1.52E-2</v>
      </c>
      <c r="E134">
        <v>1.0999999999999999E-2</v>
      </c>
      <c r="F134">
        <f t="shared" si="26"/>
        <v>1358.0816400000001</v>
      </c>
      <c r="G134">
        <f t="shared" si="27"/>
        <v>-0.29241</v>
      </c>
      <c r="H134">
        <f t="shared" si="28"/>
        <v>-397.11665235240002</v>
      </c>
      <c r="I134">
        <v>1</v>
      </c>
      <c r="J134">
        <f t="shared" si="29"/>
        <v>0.30607314514982481</v>
      </c>
      <c r="K134">
        <f t="shared" si="30"/>
        <v>-0.9293151517752174</v>
      </c>
      <c r="L134">
        <v>1</v>
      </c>
      <c r="M134">
        <f t="shared" si="31"/>
        <v>0.57022235987047254</v>
      </c>
      <c r="N134">
        <f t="shared" si="24"/>
        <v>0.10321420464000002</v>
      </c>
      <c r="O134">
        <f t="shared" ref="O134:O144" si="33">E134*A134</f>
        <v>7.4694490200000005E-2</v>
      </c>
      <c r="P134">
        <f t="shared" ref="P134:P144" si="34">-K134-M134-N134-O134</f>
        <v>0.18118409706474481</v>
      </c>
      <c r="V134">
        <v>7</v>
      </c>
      <c r="W134">
        <f t="shared" si="32"/>
        <v>-0.85940000000000005</v>
      </c>
    </row>
    <row r="135" spans="1:23" x14ac:dyDescent="0.3">
      <c r="A135">
        <v>6.8413262000000001</v>
      </c>
      <c r="B135">
        <v>0.28828999999999999</v>
      </c>
      <c r="C135">
        <f t="shared" si="25"/>
        <v>1.972285930198</v>
      </c>
      <c r="D135">
        <v>1.52E-2</v>
      </c>
      <c r="E135">
        <v>1.0999999999999999E-2</v>
      </c>
      <c r="F135">
        <f t="shared" si="26"/>
        <v>1368.2652399999999</v>
      </c>
      <c r="G135">
        <f t="shared" si="27"/>
        <v>-0.28828999999999999</v>
      </c>
      <c r="H135">
        <f t="shared" si="28"/>
        <v>-394.4571860396</v>
      </c>
      <c r="I135">
        <v>1</v>
      </c>
      <c r="J135">
        <f t="shared" si="29"/>
        <v>0.31354368929522619</v>
      </c>
      <c r="K135">
        <f t="shared" si="30"/>
        <v>-0.93343515177521752</v>
      </c>
      <c r="L135">
        <v>1</v>
      </c>
      <c r="M135">
        <f t="shared" si="31"/>
        <v>0.57054508737755383</v>
      </c>
      <c r="N135">
        <f t="shared" ref="N135:N144" si="35">D135*A135</f>
        <v>0.10398815824</v>
      </c>
      <c r="O135">
        <f t="shared" si="33"/>
        <v>7.52545882E-2</v>
      </c>
      <c r="P135">
        <f t="shared" si="34"/>
        <v>0.18364731795766367</v>
      </c>
      <c r="V135">
        <v>7.1</v>
      </c>
      <c r="W135">
        <f t="shared" si="32"/>
        <v>-0.86372000000000004</v>
      </c>
    </row>
    <row r="136" spans="1:23" x14ac:dyDescent="0.3">
      <c r="A136">
        <v>6.8922446000000006</v>
      </c>
      <c r="B136">
        <v>0.28394999999999998</v>
      </c>
      <c r="C136">
        <f t="shared" si="25"/>
        <v>1.9570528541700001</v>
      </c>
      <c r="D136">
        <v>1.52E-2</v>
      </c>
      <c r="E136">
        <v>1.0999999999999999E-2</v>
      </c>
      <c r="F136">
        <f t="shared" si="26"/>
        <v>1378.44892</v>
      </c>
      <c r="G136">
        <f t="shared" si="27"/>
        <v>-0.28394999999999998</v>
      </c>
      <c r="H136">
        <f t="shared" si="28"/>
        <v>-391.410570834</v>
      </c>
      <c r="I136">
        <v>1</v>
      </c>
      <c r="J136">
        <f t="shared" si="29"/>
        <v>0.32095889602549232</v>
      </c>
      <c r="K136">
        <f t="shared" si="30"/>
        <v>-0.93777515177521753</v>
      </c>
      <c r="L136">
        <v>1</v>
      </c>
      <c r="M136">
        <f t="shared" si="31"/>
        <v>0.57086542430830134</v>
      </c>
      <c r="N136">
        <f t="shared" si="35"/>
        <v>0.10476211792000001</v>
      </c>
      <c r="O136">
        <f t="shared" si="33"/>
        <v>7.5814690599999998E-2</v>
      </c>
      <c r="P136">
        <f t="shared" si="34"/>
        <v>0.18633291894691617</v>
      </c>
      <c r="V136">
        <v>7.2</v>
      </c>
      <c r="W136">
        <f t="shared" si="32"/>
        <v>-0.86804000000000014</v>
      </c>
    </row>
    <row r="137" spans="1:23" x14ac:dyDescent="0.3">
      <c r="A137">
        <v>6.9426532999999999</v>
      </c>
      <c r="B137">
        <v>0.27972999999999998</v>
      </c>
      <c r="C137">
        <f t="shared" si="25"/>
        <v>1.9420684076089998</v>
      </c>
      <c r="D137">
        <v>1.52E-2</v>
      </c>
      <c r="E137">
        <v>1.0999999999999999E-2</v>
      </c>
      <c r="F137">
        <f t="shared" si="26"/>
        <v>1388.5306599999999</v>
      </c>
      <c r="G137">
        <f t="shared" si="27"/>
        <v>-0.27972999999999998</v>
      </c>
      <c r="H137">
        <f t="shared" si="28"/>
        <v>-388.41368152179996</v>
      </c>
      <c r="I137">
        <v>1</v>
      </c>
      <c r="J137">
        <f t="shared" si="29"/>
        <v>0.32824610890371408</v>
      </c>
      <c r="K137">
        <f t="shared" si="30"/>
        <v>-0.94199515177521742</v>
      </c>
      <c r="L137">
        <v>1</v>
      </c>
      <c r="M137">
        <f t="shared" si="31"/>
        <v>0.57118023190464051</v>
      </c>
      <c r="N137">
        <f t="shared" si="35"/>
        <v>0.10552833016</v>
      </c>
      <c r="O137">
        <f t="shared" si="33"/>
        <v>7.6369186299999989E-2</v>
      </c>
      <c r="P137">
        <f t="shared" si="34"/>
        <v>0.18891740341057689</v>
      </c>
      <c r="V137">
        <v>7.3</v>
      </c>
      <c r="W137">
        <f t="shared" si="32"/>
        <v>-0.87236000000000002</v>
      </c>
    </row>
    <row r="138" spans="1:23" x14ac:dyDescent="0.3">
      <c r="A138">
        <v>6.9940806000000002</v>
      </c>
      <c r="B138">
        <v>0.27550999999999998</v>
      </c>
      <c r="C138">
        <f t="shared" si="25"/>
        <v>1.9269391461059999</v>
      </c>
      <c r="D138">
        <v>1.52E-2</v>
      </c>
      <c r="E138">
        <v>1.0999999999999999E-2</v>
      </c>
      <c r="F138">
        <f t="shared" si="26"/>
        <v>1398.81612</v>
      </c>
      <c r="G138">
        <f t="shared" si="27"/>
        <v>-0.27550999999999998</v>
      </c>
      <c r="H138">
        <f t="shared" si="28"/>
        <v>-385.38782922119998</v>
      </c>
      <c r="I138">
        <v>1</v>
      </c>
      <c r="J138">
        <f t="shared" si="29"/>
        <v>0.33562625030424981</v>
      </c>
      <c r="K138">
        <f t="shared" si="30"/>
        <v>-0.94621515177521753</v>
      </c>
      <c r="L138">
        <v>1</v>
      </c>
      <c r="M138">
        <f t="shared" si="31"/>
        <v>0.5714990540131436</v>
      </c>
      <c r="N138">
        <f t="shared" si="35"/>
        <v>0.10631002512</v>
      </c>
      <c r="O138">
        <f t="shared" si="33"/>
        <v>7.6934886600000002E-2</v>
      </c>
      <c r="P138">
        <f t="shared" si="34"/>
        <v>0.19147118604207394</v>
      </c>
      <c r="V138">
        <v>7.4</v>
      </c>
      <c r="W138">
        <f t="shared" si="32"/>
        <v>-0.87668000000000013</v>
      </c>
    </row>
    <row r="139" spans="1:23" x14ac:dyDescent="0.3">
      <c r="A139">
        <v>7.0444897000000006</v>
      </c>
      <c r="B139">
        <v>0.27089000000000002</v>
      </c>
      <c r="C139">
        <f t="shared" si="25"/>
        <v>1.9082818148330003</v>
      </c>
      <c r="D139">
        <v>1.52E-2</v>
      </c>
      <c r="E139">
        <v>1.0999999999999999E-2</v>
      </c>
      <c r="F139">
        <f t="shared" si="26"/>
        <v>1408.8979400000001</v>
      </c>
      <c r="G139">
        <f t="shared" si="27"/>
        <v>-0.27089000000000002</v>
      </c>
      <c r="H139">
        <f t="shared" si="28"/>
        <v>-381.65636296660006</v>
      </c>
      <c r="I139">
        <v>1</v>
      </c>
      <c r="J139">
        <f t="shared" si="29"/>
        <v>0.3428077959424457</v>
      </c>
      <c r="K139">
        <f t="shared" si="30"/>
        <v>-0.95083515177521738</v>
      </c>
      <c r="L139">
        <v>1</v>
      </c>
      <c r="M139">
        <f t="shared" si="31"/>
        <v>0.57180929678471371</v>
      </c>
      <c r="N139">
        <f t="shared" si="35"/>
        <v>0.10707624344000001</v>
      </c>
      <c r="O139">
        <f t="shared" si="33"/>
        <v>7.7489386699999996E-2</v>
      </c>
      <c r="P139">
        <f t="shared" si="34"/>
        <v>0.19446022485050368</v>
      </c>
      <c r="V139">
        <v>7.5</v>
      </c>
      <c r="W139">
        <f t="shared" si="32"/>
        <v>-0.88100000000000001</v>
      </c>
    </row>
    <row r="140" spans="1:23" x14ac:dyDescent="0.3">
      <c r="A140">
        <v>7.0954087000000001</v>
      </c>
      <c r="B140">
        <v>0.26651999999999998</v>
      </c>
      <c r="C140">
        <f t="shared" si="25"/>
        <v>1.8910683267239998</v>
      </c>
      <c r="D140">
        <v>1.52E-2</v>
      </c>
      <c r="E140">
        <v>1.0999999999999999E-2</v>
      </c>
      <c r="F140">
        <f t="shared" si="26"/>
        <v>1419.0817400000001</v>
      </c>
      <c r="G140">
        <f t="shared" si="27"/>
        <v>-0.26651999999999998</v>
      </c>
      <c r="H140">
        <f t="shared" si="28"/>
        <v>-378.21366534479995</v>
      </c>
      <c r="I140">
        <v>1</v>
      </c>
      <c r="J140">
        <f t="shared" si="29"/>
        <v>0.35001000046530312</v>
      </c>
      <c r="K140">
        <f t="shared" si="30"/>
        <v>-0.95520515177521748</v>
      </c>
      <c r="L140">
        <v>1</v>
      </c>
      <c r="M140">
        <f t="shared" si="31"/>
        <v>0.5721204320201011</v>
      </c>
      <c r="N140">
        <f t="shared" si="35"/>
        <v>0.10785021224000001</v>
      </c>
      <c r="O140">
        <f t="shared" si="33"/>
        <v>7.8049495699999999E-2</v>
      </c>
      <c r="P140">
        <f t="shared" si="34"/>
        <v>0.19718501181511636</v>
      </c>
    </row>
    <row r="141" spans="1:23" x14ac:dyDescent="0.3">
      <c r="A141">
        <v>7.1468353999999996</v>
      </c>
      <c r="B141">
        <v>0.26218999999999998</v>
      </c>
      <c r="C141">
        <f t="shared" si="25"/>
        <v>1.8738287735259997</v>
      </c>
      <c r="D141">
        <v>1.52E-2</v>
      </c>
      <c r="E141">
        <v>1.0999999999999999E-2</v>
      </c>
      <c r="F141">
        <f t="shared" si="26"/>
        <v>1429.36708</v>
      </c>
      <c r="G141">
        <f t="shared" si="27"/>
        <v>-0.26218999999999998</v>
      </c>
      <c r="H141">
        <f t="shared" si="28"/>
        <v>-374.76575470519992</v>
      </c>
      <c r="I141">
        <v>1</v>
      </c>
      <c r="J141">
        <f t="shared" si="29"/>
        <v>0.3572317448963046</v>
      </c>
      <c r="K141">
        <f t="shared" si="30"/>
        <v>-0.95953515177521753</v>
      </c>
      <c r="L141">
        <v>1</v>
      </c>
      <c r="M141">
        <f t="shared" si="31"/>
        <v>0.57243241137952039</v>
      </c>
      <c r="N141">
        <f t="shared" si="35"/>
        <v>0.10863189808</v>
      </c>
      <c r="O141">
        <f t="shared" si="33"/>
        <v>7.8615189399999993E-2</v>
      </c>
      <c r="P141">
        <f t="shared" si="34"/>
        <v>0.19985565291569712</v>
      </c>
    </row>
    <row r="142" spans="1:23" x14ac:dyDescent="0.3">
      <c r="A142">
        <v>7.2002997999999998</v>
      </c>
      <c r="B142">
        <v>0.25738</v>
      </c>
      <c r="C142">
        <f t="shared" si="25"/>
        <v>1.853213162524</v>
      </c>
      <c r="D142">
        <v>1.52E-2</v>
      </c>
      <c r="E142">
        <v>1.0999999999999999E-2</v>
      </c>
      <c r="F142">
        <f t="shared" si="26"/>
        <v>1440.05996</v>
      </c>
      <c r="G142">
        <f t="shared" si="27"/>
        <v>-0.25738</v>
      </c>
      <c r="H142">
        <f t="shared" si="28"/>
        <v>-370.64263250480002</v>
      </c>
      <c r="I142">
        <v>1</v>
      </c>
      <c r="J142">
        <f t="shared" si="29"/>
        <v>0.36468475160992375</v>
      </c>
      <c r="K142">
        <f t="shared" si="30"/>
        <v>-0.96434515177521751</v>
      </c>
      <c r="L142">
        <v>1</v>
      </c>
      <c r="M142">
        <f t="shared" si="31"/>
        <v>0.57275438126954881</v>
      </c>
      <c r="N142">
        <f t="shared" si="35"/>
        <v>0.10944455695999999</v>
      </c>
      <c r="O142">
        <f t="shared" si="33"/>
        <v>7.9203297799999989E-2</v>
      </c>
      <c r="P142">
        <f t="shared" si="34"/>
        <v>0.20294291574566872</v>
      </c>
    </row>
    <row r="143" spans="1:23" x14ac:dyDescent="0.3">
      <c r="C143">
        <f t="shared" si="25"/>
        <v>0</v>
      </c>
      <c r="D143">
        <v>1.52E-2</v>
      </c>
      <c r="E143">
        <v>1.0999999999999999E-2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1:23" x14ac:dyDescent="0.3">
      <c r="C144">
        <f t="shared" si="25"/>
        <v>0</v>
      </c>
      <c r="D144">
        <v>1.52E-2</v>
      </c>
      <c r="E144">
        <v>1.0999999999999999E-2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1.52E-2</v>
      </c>
      <c r="E145">
        <v>1.0999999999999999E-2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1.52E-2</v>
      </c>
      <c r="E146">
        <v>1.0999999999999999E-2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1.52E-2</v>
      </c>
      <c r="E147">
        <v>1.0999999999999999E-2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1.52E-2</v>
      </c>
      <c r="E148">
        <v>1.0999999999999999E-2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1.52E-2</v>
      </c>
      <c r="E149">
        <v>1.0999999999999999E-2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1.52E-2</v>
      </c>
      <c r="E150">
        <v>1.0999999999999999E-2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1.52E-2</v>
      </c>
      <c r="E151">
        <v>1.0999999999999999E-2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1.52E-2</v>
      </c>
      <c r="E152">
        <v>1.0999999999999999E-2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1.52E-2</v>
      </c>
      <c r="E153">
        <v>1.0999999999999999E-2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1.52E-2</v>
      </c>
      <c r="E154">
        <v>1.0999999999999999E-2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1.52E-2</v>
      </c>
      <c r="E155">
        <v>1.0999999999999999E-2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1.52E-2</v>
      </c>
      <c r="E156">
        <v>1.0999999999999999E-2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1.52E-2</v>
      </c>
      <c r="E157">
        <v>1.0999999999999999E-2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1.52E-2</v>
      </c>
      <c r="E158">
        <v>1.0999999999999999E-2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1.52E-2</v>
      </c>
      <c r="E159">
        <v>1.0999999999999999E-2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1.52E-2</v>
      </c>
      <c r="E160">
        <v>1.0999999999999999E-2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1.52E-2</v>
      </c>
      <c r="E161">
        <v>1.0999999999999999E-2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1.52E-2</v>
      </c>
      <c r="E162">
        <v>1.0999999999999999E-2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1.52E-2</v>
      </c>
      <c r="E163">
        <v>1.0999999999999999E-2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1.52E-2</v>
      </c>
      <c r="E164">
        <v>1.0999999999999999E-2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1.52E-2</v>
      </c>
      <c r="E165">
        <v>1.0999999999999999E-2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1.52E-2</v>
      </c>
      <c r="E166">
        <v>1.0999999999999999E-2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1.52E-2</v>
      </c>
      <c r="E167">
        <v>1.0999999999999999E-2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1.52E-2</v>
      </c>
      <c r="E168">
        <v>1.0999999999999999E-2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1.52E-2</v>
      </c>
      <c r="E169">
        <v>1.0999999999999999E-2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1.52E-2</v>
      </c>
      <c r="E170">
        <v>1.0999999999999999E-2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1.52E-2</v>
      </c>
      <c r="E171">
        <v>1.0999999999999999E-2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1.52E-2</v>
      </c>
      <c r="E172">
        <v>1.0999999999999999E-2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1.52E-2</v>
      </c>
      <c r="E173">
        <v>1.0999999999999999E-2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1.52E-2</v>
      </c>
      <c r="E174">
        <v>1.0999999999999999E-2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1.52E-2</v>
      </c>
      <c r="E175">
        <v>1.0999999999999999E-2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1.52E-2</v>
      </c>
      <c r="E176">
        <v>1.0999999999999999E-2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1.52E-2</v>
      </c>
      <c r="E177">
        <v>1.0999999999999999E-2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1.52E-2</v>
      </c>
      <c r="E178">
        <v>1.0999999999999999E-2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1.52E-2</v>
      </c>
      <c r="E179">
        <v>1.0999999999999999E-2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1.52E-2</v>
      </c>
      <c r="E180">
        <v>1.0999999999999999E-2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1.52E-2</v>
      </c>
      <c r="E181">
        <v>1.0999999999999999E-2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1.52E-2</v>
      </c>
      <c r="E182">
        <v>1.0999999999999999E-2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1.52E-2</v>
      </c>
      <c r="E183">
        <v>1.0999999999999999E-2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1.52E-2</v>
      </c>
      <c r="E184">
        <v>1.0999999999999999E-2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1.52E-2</v>
      </c>
      <c r="E185">
        <v>1.0999999999999999E-2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1.52E-2</v>
      </c>
      <c r="E186">
        <v>1.0999999999999999E-2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1.52E-2</v>
      </c>
      <c r="E187">
        <v>1.0999999999999999E-2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1.52E-2</v>
      </c>
      <c r="E188">
        <v>1.0999999999999999E-2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1.52E-2</v>
      </c>
      <c r="E189">
        <v>1.0999999999999999E-2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1.52E-2</v>
      </c>
      <c r="E190">
        <v>1.0999999999999999E-2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1.52E-2</v>
      </c>
      <c r="E191">
        <v>1.0999999999999999E-2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1.52E-2</v>
      </c>
      <c r="E192">
        <v>1.0999999999999999E-2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1.52E-2</v>
      </c>
      <c r="E193">
        <v>1.0999999999999999E-2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1.52E-2</v>
      </c>
      <c r="E194">
        <v>1.0999999999999999E-2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1.52E-2</v>
      </c>
      <c r="E195">
        <v>1.0999999999999999E-2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1.52E-2</v>
      </c>
      <c r="E196">
        <v>1.0999999999999999E-2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1.52E-2</v>
      </c>
      <c r="E197">
        <v>1.0999999999999999E-2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1.52E-2</v>
      </c>
      <c r="E198">
        <v>1.0999999999999999E-2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1.52E-2</v>
      </c>
      <c r="E199">
        <v>1.0999999999999999E-2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1.52E-2</v>
      </c>
      <c r="E200">
        <v>1.0999999999999999E-2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1.52E-2</v>
      </c>
      <c r="E201">
        <v>1.0999999999999999E-2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1.52E-2</v>
      </c>
      <c r="E202">
        <v>1.0999999999999999E-2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1.52E-2</v>
      </c>
      <c r="E203">
        <v>1.0999999999999999E-2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1.52E-2</v>
      </c>
      <c r="E204">
        <v>1.0999999999999999E-2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1.52E-2</v>
      </c>
      <c r="E205">
        <v>1.0999999999999999E-2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1.52E-2</v>
      </c>
      <c r="E206">
        <v>1.0999999999999999E-2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1.52E-2</v>
      </c>
      <c r="E207">
        <v>1.0999999999999999E-2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1.52E-2</v>
      </c>
      <c r="E208">
        <v>1.0999999999999999E-2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1.52E-2</v>
      </c>
      <c r="E209">
        <v>1.0999999999999999E-2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1.52E-2</v>
      </c>
      <c r="E210">
        <v>1.0999999999999999E-2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1.52E-2</v>
      </c>
      <c r="E211">
        <v>1.0999999999999999E-2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1.52E-2</v>
      </c>
      <c r="E212">
        <v>1.0999999999999999E-2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1.52E-2</v>
      </c>
      <c r="E213">
        <v>1.0999999999999999E-2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1.52E-2</v>
      </c>
      <c r="E214">
        <v>1.0999999999999999E-2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1.52E-2</v>
      </c>
      <c r="E215">
        <v>1.0999999999999999E-2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1.52E-2</v>
      </c>
      <c r="E216">
        <v>1.0999999999999999E-2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1.52E-2</v>
      </c>
      <c r="E217">
        <v>1.0999999999999999E-2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1.52E-2</v>
      </c>
      <c r="E218">
        <v>1.0999999999999999E-2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1.52E-2</v>
      </c>
      <c r="E219">
        <v>1.0999999999999999E-2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1.52E-2</v>
      </c>
      <c r="E220">
        <v>1.0999999999999999E-2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1.52E-2</v>
      </c>
      <c r="E221">
        <v>1.0999999999999999E-2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1.52E-2</v>
      </c>
      <c r="E222">
        <v>1.0999999999999999E-2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1.52E-2</v>
      </c>
      <c r="E223">
        <v>1.0999999999999999E-2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1.52E-2</v>
      </c>
      <c r="E224">
        <v>1.0999999999999999E-2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1.52E-2</v>
      </c>
      <c r="E225">
        <v>1.0999999999999999E-2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1.52E-2</v>
      </c>
      <c r="E226">
        <v>1.0999999999999999E-2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1.52E-2</v>
      </c>
      <c r="E227">
        <v>1.0999999999999999E-2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1.52E-2</v>
      </c>
      <c r="E228">
        <v>1.0999999999999999E-2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1.52E-2</v>
      </c>
      <c r="E229">
        <v>1.0999999999999999E-2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1.52E-2</v>
      </c>
      <c r="E230">
        <v>1.0999999999999999E-2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1.52E-2</v>
      </c>
      <c r="E231">
        <v>1.0999999999999999E-2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1.52E-2</v>
      </c>
      <c r="E232">
        <v>1.0999999999999999E-2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1.52E-2</v>
      </c>
      <c r="E233">
        <v>1.0999999999999999E-2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1.52E-2</v>
      </c>
      <c r="E234">
        <v>1.0999999999999999E-2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1.52E-2</v>
      </c>
      <c r="E235">
        <v>1.0999999999999999E-2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1.52E-2</v>
      </c>
      <c r="E236">
        <v>1.0999999999999999E-2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1.52E-2</v>
      </c>
      <c r="E237">
        <v>1.0999999999999999E-2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1.52E-2</v>
      </c>
      <c r="E238">
        <v>1.0999999999999999E-2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1.52E-2</v>
      </c>
      <c r="E239">
        <v>1.0999999999999999E-2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1.52E-2</v>
      </c>
      <c r="E240">
        <v>1.0999999999999999E-2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1.52E-2</v>
      </c>
      <c r="E241">
        <v>1.0999999999999999E-2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1.52E-2</v>
      </c>
      <c r="E242">
        <v>1.0999999999999999E-2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1.52E-2</v>
      </c>
      <c r="E243">
        <v>1.0999999999999999E-2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1.52E-2</v>
      </c>
      <c r="E244">
        <v>1.0999999999999999E-2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1.52E-2</v>
      </c>
      <c r="E245">
        <v>1.0999999999999999E-2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1.52E-2</v>
      </c>
      <c r="E246">
        <v>1.0999999999999999E-2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1.52E-2</v>
      </c>
      <c r="E247">
        <v>1.0999999999999999E-2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1.52E-2</v>
      </c>
      <c r="E248">
        <v>1.0999999999999999E-2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1.52E-2</v>
      </c>
      <c r="E249">
        <v>1.0999999999999999E-2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1.52E-2</v>
      </c>
      <c r="E250">
        <v>1.0999999999999999E-2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1.52E-2</v>
      </c>
      <c r="E251">
        <v>1.0999999999999999E-2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1.52E-2</v>
      </c>
      <c r="E252">
        <v>1.0999999999999999E-2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1.52E-2</v>
      </c>
      <c r="E253">
        <v>1.0999999999999999E-2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1.52E-2</v>
      </c>
      <c r="E254">
        <v>1.0999999999999999E-2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1.52E-2</v>
      </c>
      <c r="E255">
        <v>1.0999999999999999E-2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1.52E-2</v>
      </c>
      <c r="E256">
        <v>1.0999999999999999E-2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1.52E-2</v>
      </c>
      <c r="E257">
        <v>1.0999999999999999E-2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1.52E-2</v>
      </c>
      <c r="E258">
        <v>1.0999999999999999E-2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1.52E-2</v>
      </c>
      <c r="E259">
        <v>1.0999999999999999E-2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1.52E-2</v>
      </c>
      <c r="E260">
        <v>1.0999999999999999E-2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1.52E-2</v>
      </c>
      <c r="E261">
        <v>1.0999999999999999E-2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1.52E-2</v>
      </c>
      <c r="E262">
        <v>1.0999999999999999E-2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1.52E-2</v>
      </c>
      <c r="E263">
        <v>1.0999999999999999E-2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1.52E-2</v>
      </c>
      <c r="E264">
        <v>1.0999999999999999E-2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1.52E-2</v>
      </c>
      <c r="E265">
        <v>1.0999999999999999E-2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1.52E-2</v>
      </c>
      <c r="E266">
        <v>1.0999999999999999E-2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1.52E-2</v>
      </c>
      <c r="E267">
        <v>1.0999999999999999E-2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1.52E-2</v>
      </c>
      <c r="E268">
        <v>1.0999999999999999E-2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1.52E-2</v>
      </c>
      <c r="E269">
        <v>1.0999999999999999E-2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1.52E-2</v>
      </c>
      <c r="E270">
        <v>1.0999999999999999E-2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1.52E-2</v>
      </c>
      <c r="E271">
        <v>1.0999999999999999E-2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1.52E-2</v>
      </c>
      <c r="E272">
        <v>1.0999999999999999E-2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1.52E-2</v>
      </c>
      <c r="E273">
        <v>1.0999999999999999E-2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1.52E-2</v>
      </c>
      <c r="E274">
        <v>1.0999999999999999E-2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1.52E-2</v>
      </c>
      <c r="E275">
        <v>1.0999999999999999E-2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1.52E-2</v>
      </c>
      <c r="E276">
        <v>1.0999999999999999E-2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1.52E-2</v>
      </c>
      <c r="E277">
        <v>1.0999999999999999E-2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1.52E-2</v>
      </c>
      <c r="E278">
        <v>1.0999999999999999E-2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1.52E-2</v>
      </c>
      <c r="E279">
        <v>1.0999999999999999E-2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1.52E-2</v>
      </c>
      <c r="E280">
        <v>1.0999999999999999E-2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1.52E-2</v>
      </c>
      <c r="E281">
        <v>1.0999999999999999E-2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1.52E-2</v>
      </c>
      <c r="E282">
        <v>1.0999999999999999E-2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1.52E-2</v>
      </c>
      <c r="E283">
        <v>1.0999999999999999E-2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1.52E-2</v>
      </c>
      <c r="E284">
        <v>1.0999999999999999E-2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1.52E-2</v>
      </c>
      <c r="E285">
        <v>1.0999999999999999E-2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1.52E-2</v>
      </c>
      <c r="E286">
        <v>1.0999999999999999E-2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1.52E-2</v>
      </c>
      <c r="E287">
        <v>1.0999999999999999E-2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1.52E-2</v>
      </c>
      <c r="E288">
        <v>1.0999999999999999E-2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1.52E-2</v>
      </c>
      <c r="E289">
        <v>1.0999999999999999E-2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1.52E-2</v>
      </c>
      <c r="E290">
        <v>1.0999999999999999E-2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1.52E-2</v>
      </c>
      <c r="E291">
        <v>1.0999999999999999E-2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1.52E-2</v>
      </c>
      <c r="E292">
        <v>1.0999999999999999E-2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1.52E-2</v>
      </c>
      <c r="E293">
        <v>1.0999999999999999E-2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1.52E-2</v>
      </c>
      <c r="E294">
        <v>1.0999999999999999E-2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1.52E-2</v>
      </c>
      <c r="E295">
        <v>1.0999999999999999E-2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1.52E-2</v>
      </c>
      <c r="E296">
        <v>1.0999999999999999E-2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1.52E-2</v>
      </c>
      <c r="E297">
        <v>1.0999999999999999E-2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1.52E-2</v>
      </c>
      <c r="E298">
        <v>1.0999999999999999E-2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1.52E-2</v>
      </c>
      <c r="E299">
        <v>1.0999999999999999E-2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1.52E-2</v>
      </c>
      <c r="E300">
        <v>1.0999999999999999E-2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1.52E-2</v>
      </c>
      <c r="E301">
        <v>1.0999999999999999E-2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1.52E-2</v>
      </c>
      <c r="E302">
        <v>1.0999999999999999E-2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1.52E-2</v>
      </c>
      <c r="E303">
        <v>1.0999999999999999E-2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2026-03-24T12:54:12Z</dcterms:modified>
</cp:coreProperties>
</file>