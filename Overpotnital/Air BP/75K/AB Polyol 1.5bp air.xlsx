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KAIST MASc 2021\Laboratory Work\Protocol\overpotential calculation\For paper SI\Overpotnital\Air BP\75K\"/>
    </mc:Choice>
  </mc:AlternateContent>
  <xr:revisionPtr revIDLastSave="0" documentId="13_ncr:1_{C8293775-63DE-4D44-B940-6D743B353D82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3" sheetId="4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L177" i="3" l="1"/>
  <c r="L192" i="3"/>
  <c r="L188" i="3"/>
  <c r="L157" i="3"/>
  <c r="L195" i="3"/>
  <c r="L187" i="3"/>
  <c r="L179" i="3"/>
  <c r="L175" i="3"/>
  <c r="L171" i="3"/>
  <c r="L163" i="3"/>
  <c r="L159" i="3"/>
  <c r="L155" i="3"/>
  <c r="L151" i="3"/>
  <c r="L147" i="3"/>
  <c r="L143" i="3"/>
  <c r="L139" i="3"/>
  <c r="L135" i="3"/>
  <c r="L131" i="3"/>
  <c r="L127" i="3"/>
  <c r="L123" i="3"/>
  <c r="L119" i="3"/>
  <c r="L185" i="3"/>
  <c r="L189" i="3"/>
  <c r="L169" i="3"/>
  <c r="L161" i="3"/>
  <c r="L153" i="3"/>
  <c r="L145" i="3"/>
  <c r="L137" i="3"/>
  <c r="L125" i="3"/>
  <c r="L121" i="3"/>
  <c r="L193" i="3"/>
  <c r="L129" i="3"/>
  <c r="L173" i="3"/>
  <c r="L141" i="3"/>
  <c r="L191" i="3"/>
  <c r="L183" i="3"/>
  <c r="L167" i="3"/>
  <c r="L194" i="3"/>
  <c r="L190" i="3"/>
  <c r="L186" i="3"/>
  <c r="L182" i="3"/>
  <c r="L178" i="3"/>
  <c r="L174" i="3"/>
  <c r="L170" i="3"/>
  <c r="L166" i="3"/>
  <c r="L162" i="3"/>
  <c r="L158" i="3"/>
  <c r="L154" i="3"/>
  <c r="L150" i="3"/>
  <c r="L146" i="3"/>
  <c r="L142" i="3"/>
  <c r="L138" i="3"/>
  <c r="L134" i="3"/>
  <c r="L130" i="3"/>
  <c r="L126" i="3"/>
  <c r="L122" i="3"/>
  <c r="L118" i="3"/>
  <c r="L114" i="3"/>
  <c r="L110" i="3"/>
  <c r="L106" i="3"/>
  <c r="L102" i="3"/>
  <c r="L98" i="3"/>
  <c r="L94" i="3"/>
  <c r="L90" i="3"/>
  <c r="L86" i="3"/>
  <c r="L82" i="3"/>
  <c r="L78" i="3"/>
  <c r="L74" i="3"/>
  <c r="L70" i="3"/>
  <c r="L66" i="3"/>
  <c r="L62" i="3"/>
  <c r="L58" i="3"/>
  <c r="L54" i="3"/>
  <c r="L50" i="3"/>
  <c r="L46" i="3"/>
  <c r="L42" i="3"/>
  <c r="L38" i="3"/>
  <c r="L34" i="3"/>
  <c r="L30" i="3"/>
  <c r="L26" i="3"/>
  <c r="L22" i="3"/>
  <c r="L18" i="3"/>
  <c r="L14" i="3"/>
  <c r="L10" i="3"/>
  <c r="L6" i="3"/>
  <c r="L181" i="3"/>
  <c r="L165" i="3"/>
  <c r="L149" i="3"/>
  <c r="L133" i="3"/>
  <c r="L117" i="3"/>
  <c r="L113" i="3"/>
  <c r="L109" i="3"/>
  <c r="L105" i="3"/>
  <c r="L101" i="3"/>
  <c r="L97" i="3"/>
  <c r="L93" i="3"/>
  <c r="L89" i="3"/>
  <c r="L85" i="3"/>
  <c r="L81" i="3"/>
  <c r="L77" i="3"/>
  <c r="L73" i="3"/>
  <c r="L69" i="3"/>
  <c r="L65" i="3"/>
  <c r="L61" i="3"/>
  <c r="L57" i="3"/>
  <c r="L53" i="3"/>
  <c r="L49" i="3"/>
  <c r="L45" i="3"/>
  <c r="L41" i="3"/>
  <c r="L37" i="3"/>
  <c r="L33" i="3"/>
  <c r="L29" i="3"/>
  <c r="L25" i="3"/>
  <c r="L21" i="3"/>
  <c r="L17" i="3"/>
  <c r="L13" i="3"/>
  <c r="L9" i="3"/>
  <c r="L5" i="3"/>
  <c r="L184" i="3"/>
  <c r="L176" i="3"/>
  <c r="L172" i="3"/>
  <c r="L168" i="3"/>
  <c r="L160" i="3"/>
  <c r="L156" i="3"/>
  <c r="L152" i="3"/>
  <c r="L115" i="3"/>
  <c r="L111" i="3"/>
  <c r="L107" i="3"/>
  <c r="L103" i="3"/>
  <c r="L99" i="3"/>
  <c r="L95" i="3"/>
  <c r="L91" i="3"/>
  <c r="L87" i="3"/>
  <c r="L83" i="3"/>
  <c r="L79" i="3"/>
  <c r="L75" i="3"/>
  <c r="L71" i="3"/>
  <c r="L67" i="3"/>
  <c r="L63" i="3"/>
  <c r="L59" i="3"/>
  <c r="L55" i="3"/>
  <c r="L51" i="3"/>
  <c r="L47" i="3"/>
  <c r="L43" i="3"/>
  <c r="L39" i="3"/>
  <c r="L35" i="3"/>
  <c r="L31" i="3"/>
  <c r="L27" i="3"/>
  <c r="L23" i="3"/>
  <c r="L19" i="3"/>
  <c r="L15" i="3"/>
  <c r="L11" i="3"/>
  <c r="L7" i="3"/>
  <c r="L3" i="3"/>
  <c r="L2" i="3"/>
  <c r="L180" i="3"/>
  <c r="L164" i="3"/>
  <c r="L148" i="3"/>
  <c r="L144" i="3"/>
  <c r="L140" i="3"/>
  <c r="L136" i="3"/>
  <c r="L132" i="3"/>
  <c r="L128" i="3"/>
  <c r="L124" i="3"/>
  <c r="L120" i="3"/>
  <c r="L116" i="3"/>
  <c r="L112" i="3"/>
  <c r="L108" i="3"/>
  <c r="L104" i="3"/>
  <c r="L100" i="3"/>
  <c r="L96" i="3"/>
  <c r="L92" i="3"/>
  <c r="L88" i="3"/>
  <c r="L84" i="3"/>
  <c r="L80" i="3"/>
  <c r="L76" i="3"/>
  <c r="L72" i="3"/>
  <c r="L68" i="3"/>
  <c r="L64" i="3"/>
  <c r="L60" i="3"/>
  <c r="L56" i="3"/>
  <c r="L52" i="3"/>
  <c r="L48" i="3"/>
  <c r="L44" i="3"/>
  <c r="L40" i="3"/>
  <c r="L36" i="3"/>
  <c r="L32" i="3"/>
  <c r="L28" i="3"/>
  <c r="L24" i="3"/>
  <c r="L20" i="3"/>
  <c r="L16" i="3"/>
  <c r="L12" i="3"/>
  <c r="L8" i="3"/>
  <c r="L4" i="3"/>
  <c r="L218" i="3"/>
  <c r="L222" i="3"/>
  <c r="L198" i="3"/>
  <c r="L221" i="3"/>
  <c r="L217" i="3"/>
  <c r="L213" i="3"/>
  <c r="L209" i="3"/>
  <c r="L201" i="3"/>
  <c r="L197" i="3"/>
  <c r="L220" i="3"/>
  <c r="L216" i="3"/>
  <c r="L212" i="3"/>
  <c r="L223" i="3"/>
  <c r="L219" i="3"/>
  <c r="L215" i="3"/>
  <c r="L211" i="3"/>
  <c r="L207" i="3"/>
  <c r="L203" i="3"/>
  <c r="L214" i="3"/>
  <c r="L210" i="3"/>
  <c r="L206" i="3"/>
  <c r="L205" i="3"/>
  <c r="L208" i="3"/>
  <c r="L204" i="3"/>
  <c r="L202" i="3"/>
  <c r="L200" i="3"/>
  <c r="L196" i="3"/>
  <c r="L199" i="3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K288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K212" i="1" s="1"/>
  <c r="C213" i="1"/>
  <c r="H213" i="1" s="1"/>
  <c r="J213" i="1"/>
  <c r="M213" i="1" s="1"/>
  <c r="G213" i="1"/>
  <c r="K213" i="1" s="1"/>
  <c r="C214" i="1"/>
  <c r="H214" i="1" s="1"/>
  <c r="J214" i="1"/>
  <c r="M214" i="1" s="1"/>
  <c r="G214" i="1"/>
  <c r="K214" i="1" s="1"/>
  <c r="C215" i="1"/>
  <c r="H215" i="1" s="1"/>
  <c r="J215" i="1"/>
  <c r="M215" i="1" s="1"/>
  <c r="G215" i="1"/>
  <c r="K215" i="1" s="1"/>
  <c r="C216" i="1"/>
  <c r="H216" i="1" s="1"/>
  <c r="J216" i="1"/>
  <c r="M216" i="1" s="1"/>
  <c r="G216" i="1"/>
  <c r="K216" i="1" s="1"/>
  <c r="C217" i="1"/>
  <c r="H217" i="1" s="1"/>
  <c r="J217" i="1"/>
  <c r="M217" i="1" s="1"/>
  <c r="G217" i="1"/>
  <c r="K217" i="1" s="1"/>
  <c r="C218" i="1"/>
  <c r="H218" i="1" s="1"/>
  <c r="J218" i="1"/>
  <c r="M218" i="1" s="1"/>
  <c r="G218" i="1"/>
  <c r="K218" i="1" s="1"/>
  <c r="C219" i="1"/>
  <c r="H219" i="1" s="1"/>
  <c r="J219" i="1"/>
  <c r="M219" i="1" s="1"/>
  <c r="G219" i="1"/>
  <c r="K219" i="1" s="1"/>
  <c r="C220" i="1"/>
  <c r="H220" i="1" s="1"/>
  <c r="J220" i="1"/>
  <c r="M220" i="1" s="1"/>
  <c r="G220" i="1"/>
  <c r="K220" i="1" s="1"/>
  <c r="C221" i="1"/>
  <c r="H221" i="1" s="1"/>
  <c r="J221" i="1"/>
  <c r="M221" i="1" s="1"/>
  <c r="G221" i="1"/>
  <c r="K221" i="1" s="1"/>
  <c r="C222" i="1"/>
  <c r="H222" i="1" s="1"/>
  <c r="J222" i="1"/>
  <c r="M222" i="1" s="1"/>
  <c r="G222" i="1"/>
  <c r="K222" i="1" s="1"/>
  <c r="C223" i="1"/>
  <c r="H223" i="1" s="1"/>
  <c r="J223" i="1"/>
  <c r="M223" i="1" s="1"/>
  <c r="G223" i="1"/>
  <c r="K223" i="1" s="1"/>
  <c r="C224" i="1"/>
  <c r="H224" i="1" s="1"/>
  <c r="J224" i="1"/>
  <c r="M224" i="1" s="1"/>
  <c r="G224" i="1"/>
  <c r="K224" i="1" s="1"/>
  <c r="C225" i="1"/>
  <c r="H225" i="1" s="1"/>
  <c r="J225" i="1"/>
  <c r="M225" i="1" s="1"/>
  <c r="G225" i="1"/>
  <c r="K225" i="1" s="1"/>
  <c r="C226" i="1"/>
  <c r="H226" i="1" s="1"/>
  <c r="J226" i="1"/>
  <c r="M226" i="1" s="1"/>
  <c r="G226" i="1"/>
  <c r="K226" i="1" s="1"/>
  <c r="C227" i="1"/>
  <c r="H227" i="1" s="1"/>
  <c r="J227" i="1"/>
  <c r="M227" i="1" s="1"/>
  <c r="G227" i="1"/>
  <c r="K227" i="1" s="1"/>
  <c r="C228" i="1"/>
  <c r="H228" i="1" s="1"/>
  <c r="J228" i="1"/>
  <c r="M228" i="1" s="1"/>
  <c r="G228" i="1"/>
  <c r="K228" i="1" s="1"/>
  <c r="C229" i="1"/>
  <c r="H229" i="1" s="1"/>
  <c r="J229" i="1"/>
  <c r="M229" i="1" s="1"/>
  <c r="G229" i="1"/>
  <c r="K229" i="1" s="1"/>
  <c r="C230" i="1"/>
  <c r="H230" i="1" s="1"/>
  <c r="J230" i="1"/>
  <c r="M230" i="1" s="1"/>
  <c r="G230" i="1"/>
  <c r="K230" i="1" s="1"/>
  <c r="C231" i="1"/>
  <c r="H231" i="1" s="1"/>
  <c r="J231" i="1"/>
  <c r="M231" i="1" s="1"/>
  <c r="G231" i="1"/>
  <c r="K231" i="1" s="1"/>
  <c r="C232" i="1"/>
  <c r="H232" i="1" s="1"/>
  <c r="J232" i="1"/>
  <c r="M232" i="1" s="1"/>
  <c r="G232" i="1"/>
  <c r="K232" i="1" s="1"/>
  <c r="C233" i="1"/>
  <c r="H233" i="1" s="1"/>
  <c r="J233" i="1"/>
  <c r="M233" i="1" s="1"/>
  <c r="G233" i="1"/>
  <c r="K233" i="1" s="1"/>
  <c r="C234" i="1"/>
  <c r="H234" i="1" s="1"/>
  <c r="J234" i="1"/>
  <c r="M234" i="1" s="1"/>
  <c r="G234" i="1"/>
  <c r="K234" i="1" s="1"/>
  <c r="C235" i="1"/>
  <c r="H235" i="1" s="1"/>
  <c r="G235" i="1"/>
  <c r="K235" i="1" s="1"/>
  <c r="C236" i="1"/>
  <c r="H236" i="1" s="1"/>
  <c r="G236" i="1"/>
  <c r="K236" i="1" s="1"/>
  <c r="C237" i="1"/>
  <c r="H237" i="1" s="1"/>
  <c r="G237" i="1"/>
  <c r="K237" i="1" s="1"/>
  <c r="C238" i="1"/>
  <c r="H238" i="1" s="1"/>
  <c r="G238" i="1"/>
  <c r="K238" i="1" s="1"/>
  <c r="C239" i="1"/>
  <c r="H239" i="1" s="1"/>
  <c r="G239" i="1"/>
  <c r="K239" i="1" s="1"/>
  <c r="C240" i="1"/>
  <c r="H240" i="1" s="1"/>
  <c r="G240" i="1"/>
  <c r="K240" i="1" s="1"/>
  <c r="C241" i="1"/>
  <c r="H241" i="1" s="1"/>
  <c r="G241" i="1"/>
  <c r="K241" i="1" s="1"/>
  <c r="C242" i="1"/>
  <c r="H242" i="1" s="1"/>
  <c r="G242" i="1"/>
  <c r="K242" i="1" s="1"/>
  <c r="C243" i="1"/>
  <c r="H243" i="1" s="1"/>
  <c r="G243" i="1"/>
  <c r="K243" i="1" s="1"/>
  <c r="C244" i="1"/>
  <c r="H244" i="1" s="1"/>
  <c r="G244" i="1"/>
  <c r="K244" i="1" s="1"/>
  <c r="C245" i="1"/>
  <c r="H245" i="1" s="1"/>
  <c r="G245" i="1"/>
  <c r="K245" i="1" s="1"/>
  <c r="C246" i="1"/>
  <c r="H246" i="1" s="1"/>
  <c r="G246" i="1"/>
  <c r="K246" i="1" s="1"/>
  <c r="C247" i="1"/>
  <c r="H247" i="1" s="1"/>
  <c r="G247" i="1"/>
  <c r="K247" i="1" s="1"/>
  <c r="C248" i="1"/>
  <c r="H248" i="1" s="1"/>
  <c r="G248" i="1"/>
  <c r="K248" i="1" s="1"/>
  <c r="C249" i="1"/>
  <c r="H249" i="1" s="1"/>
  <c r="G249" i="1"/>
  <c r="K249" i="1" s="1"/>
  <c r="C250" i="1"/>
  <c r="H250" i="1" s="1"/>
  <c r="G250" i="1"/>
  <c r="K250" i="1" s="1"/>
  <c r="C251" i="1"/>
  <c r="H251" i="1" s="1"/>
  <c r="G251" i="1"/>
  <c r="K251" i="1" s="1"/>
  <c r="C252" i="1"/>
  <c r="H252" i="1" s="1"/>
  <c r="G252" i="1"/>
  <c r="K252" i="1" s="1"/>
  <c r="C253" i="1"/>
  <c r="H253" i="1" s="1"/>
  <c r="G253" i="1"/>
  <c r="K253" i="1" s="1"/>
  <c r="C254" i="1"/>
  <c r="H254" i="1" s="1"/>
  <c r="G254" i="1"/>
  <c r="K254" i="1" s="1"/>
  <c r="C255" i="1"/>
  <c r="H255" i="1" s="1"/>
  <c r="G255" i="1"/>
  <c r="K255" i="1" s="1"/>
  <c r="C256" i="1"/>
  <c r="H256" i="1" s="1"/>
  <c r="G256" i="1"/>
  <c r="K256" i="1" s="1"/>
  <c r="C257" i="1"/>
  <c r="H257" i="1" s="1"/>
  <c r="G257" i="1"/>
  <c r="K257" i="1" s="1"/>
  <c r="C258" i="1"/>
  <c r="H258" i="1" s="1"/>
  <c r="G258" i="1"/>
  <c r="K258" i="1" s="1"/>
  <c r="C259" i="1"/>
  <c r="H259" i="1" s="1"/>
  <c r="G259" i="1"/>
  <c r="K259" i="1" s="1"/>
  <c r="C260" i="1"/>
  <c r="H260" i="1" s="1"/>
  <c r="G260" i="1"/>
  <c r="K260" i="1" s="1"/>
  <c r="C261" i="1"/>
  <c r="H261" i="1" s="1"/>
  <c r="G261" i="1"/>
  <c r="K261" i="1" s="1"/>
  <c r="C262" i="1"/>
  <c r="H262" i="1" s="1"/>
  <c r="G262" i="1"/>
  <c r="K262" i="1" s="1"/>
  <c r="C263" i="1"/>
  <c r="H263" i="1" s="1"/>
  <c r="G263" i="1"/>
  <c r="K263" i="1" s="1"/>
  <c r="C264" i="1"/>
  <c r="H264" i="1" s="1"/>
  <c r="G264" i="1"/>
  <c r="K264" i="1" s="1"/>
  <c r="C265" i="1"/>
  <c r="H265" i="1" s="1"/>
  <c r="G265" i="1"/>
  <c r="K265" i="1" s="1"/>
  <c r="C266" i="1"/>
  <c r="H266" i="1" s="1"/>
  <c r="G266" i="1"/>
  <c r="K266" i="1" s="1"/>
  <c r="C267" i="1"/>
  <c r="H267" i="1" s="1"/>
  <c r="G267" i="1"/>
  <c r="K267" i="1" s="1"/>
  <c r="C268" i="1"/>
  <c r="H268" i="1" s="1"/>
  <c r="G268" i="1"/>
  <c r="K268" i="1" s="1"/>
  <c r="C269" i="1"/>
  <c r="H269" i="1" s="1"/>
  <c r="G269" i="1"/>
  <c r="K269" i="1" s="1"/>
  <c r="C270" i="1"/>
  <c r="H270" i="1" s="1"/>
  <c r="G270" i="1"/>
  <c r="K270" i="1" s="1"/>
  <c r="C271" i="1"/>
  <c r="H271" i="1" s="1"/>
  <c r="G271" i="1"/>
  <c r="K271" i="1" s="1"/>
  <c r="C272" i="1"/>
  <c r="H272" i="1" s="1"/>
  <c r="G272" i="1"/>
  <c r="K272" i="1" s="1"/>
  <c r="C273" i="1"/>
  <c r="H273" i="1" s="1"/>
  <c r="G273" i="1"/>
  <c r="K273" i="1" s="1"/>
  <c r="C274" i="1"/>
  <c r="H274" i="1" s="1"/>
  <c r="G274" i="1"/>
  <c r="K274" i="1" s="1"/>
  <c r="C275" i="1"/>
  <c r="H275" i="1" s="1"/>
  <c r="G275" i="1"/>
  <c r="K275" i="1" s="1"/>
  <c r="C276" i="1"/>
  <c r="H276" i="1" s="1"/>
  <c r="G276" i="1"/>
  <c r="K276" i="1" s="1"/>
  <c r="C277" i="1"/>
  <c r="H277" i="1" s="1"/>
  <c r="G277" i="1"/>
  <c r="K277" i="1" s="1"/>
  <c r="C278" i="1"/>
  <c r="H278" i="1" s="1"/>
  <c r="G278" i="1"/>
  <c r="K278" i="1" s="1"/>
  <c r="C279" i="1"/>
  <c r="H279" i="1" s="1"/>
  <c r="G279" i="1"/>
  <c r="K279" i="1" s="1"/>
  <c r="C280" i="1"/>
  <c r="H280" i="1" s="1"/>
  <c r="G280" i="1"/>
  <c r="K280" i="1" s="1"/>
  <c r="C281" i="1"/>
  <c r="H281" i="1" s="1"/>
  <c r="G281" i="1"/>
  <c r="K281" i="1" s="1"/>
  <c r="C282" i="1"/>
  <c r="H282" i="1" s="1"/>
  <c r="G282" i="1"/>
  <c r="K282" i="1" s="1"/>
  <c r="C283" i="1"/>
  <c r="H283" i="1" s="1"/>
  <c r="G283" i="1"/>
  <c r="K283" i="1" s="1"/>
  <c r="C284" i="1"/>
  <c r="H284" i="1" s="1"/>
  <c r="G284" i="1"/>
  <c r="K284" i="1" s="1"/>
  <c r="C285" i="1"/>
  <c r="H285" i="1" s="1"/>
  <c r="G285" i="1"/>
  <c r="K285" i="1" s="1"/>
  <c r="C286" i="1"/>
  <c r="H286" i="1" s="1"/>
  <c r="G286" i="1"/>
  <c r="K286" i="1" s="1"/>
  <c r="C287" i="1"/>
  <c r="H287" i="1" s="1"/>
  <c r="G287" i="1"/>
  <c r="K287" i="1" s="1"/>
  <c r="C288" i="1"/>
  <c r="H288" i="1" s="1"/>
  <c r="G288" i="1"/>
  <c r="C289" i="1"/>
  <c r="H289" i="1" s="1"/>
  <c r="G289" i="1"/>
  <c r="K289" i="1" s="1"/>
  <c r="C290" i="1"/>
  <c r="H290" i="1" s="1"/>
  <c r="G290" i="1"/>
  <c r="K290" i="1" s="1"/>
  <c r="C291" i="1"/>
  <c r="H291" i="1" s="1"/>
  <c r="G291" i="1"/>
  <c r="K291" i="1" s="1"/>
  <c r="C292" i="1"/>
  <c r="H292" i="1" s="1"/>
  <c r="G292" i="1"/>
  <c r="K292" i="1" s="1"/>
  <c r="C293" i="1"/>
  <c r="H293" i="1" s="1"/>
  <c r="G293" i="1"/>
  <c r="K293" i="1" s="1"/>
  <c r="C294" i="1"/>
  <c r="H294" i="1" s="1"/>
  <c r="G294" i="1"/>
  <c r="K294" i="1" s="1"/>
  <c r="C295" i="1"/>
  <c r="H295" i="1" s="1"/>
  <c r="G295" i="1"/>
  <c r="K295" i="1" s="1"/>
  <c r="C296" i="1"/>
  <c r="H296" i="1" s="1"/>
  <c r="G296" i="1"/>
  <c r="K296" i="1" s="1"/>
  <c r="C297" i="1"/>
  <c r="H297" i="1" s="1"/>
  <c r="G297" i="1"/>
  <c r="K297" i="1" s="1"/>
  <c r="C298" i="1"/>
  <c r="H298" i="1" s="1"/>
  <c r="G298" i="1"/>
  <c r="K298" i="1" s="1"/>
  <c r="C299" i="1"/>
  <c r="H299" i="1" s="1"/>
  <c r="G299" i="1"/>
  <c r="K299" i="1" s="1"/>
  <c r="C300" i="1"/>
  <c r="H300" i="1" s="1"/>
  <c r="G300" i="1"/>
  <c r="K300" i="1" s="1"/>
  <c r="C301" i="1"/>
  <c r="H301" i="1" s="1"/>
  <c r="G301" i="1"/>
  <c r="K301" i="1" s="1"/>
  <c r="C302" i="1"/>
  <c r="H302" i="1" s="1"/>
  <c r="G302" i="1"/>
  <c r="K302" i="1" s="1"/>
  <c r="C303" i="1"/>
  <c r="H303" i="1" s="1"/>
  <c r="G303" i="1"/>
  <c r="K303" i="1" s="1"/>
  <c r="P293" i="1" l="1"/>
  <c r="R225" i="1"/>
  <c r="P290" i="1"/>
  <c r="P298" i="1"/>
  <c r="P300" i="1"/>
  <c r="P292" i="1"/>
  <c r="P284" i="1"/>
  <c r="P276" i="1"/>
  <c r="P268" i="1"/>
  <c r="P260" i="1"/>
  <c r="P253" i="1"/>
  <c r="P252" i="1"/>
  <c r="P244" i="1"/>
  <c r="P236" i="1"/>
  <c r="P213" i="1"/>
  <c r="P242" i="1"/>
  <c r="P272" i="1"/>
  <c r="P248" i="1"/>
  <c r="P273" i="1"/>
  <c r="P269" i="1"/>
  <c r="P261" i="1"/>
  <c r="P232" i="1"/>
  <c r="P226" i="1"/>
  <c r="P218" i="1"/>
  <c r="P282" i="1"/>
  <c r="P274" i="1"/>
  <c r="P266" i="1"/>
  <c r="P258" i="1"/>
  <c r="P250" i="1"/>
  <c r="P234" i="1"/>
  <c r="P237" i="1"/>
  <c r="P224" i="1"/>
  <c r="P221" i="1"/>
  <c r="P220" i="1"/>
  <c r="P219" i="1"/>
  <c r="P296" i="1"/>
  <c r="P288" i="1"/>
  <c r="P280" i="1"/>
  <c r="P264" i="1"/>
  <c r="P256" i="1"/>
  <c r="P240" i="1"/>
  <c r="P216" i="1"/>
  <c r="P303" i="1"/>
  <c r="P302" i="1"/>
  <c r="P295" i="1"/>
  <c r="P294" i="1"/>
  <c r="P287" i="1"/>
  <c r="P286" i="1"/>
  <c r="P278" i="1"/>
  <c r="P271" i="1"/>
  <c r="P270" i="1"/>
  <c r="P263" i="1"/>
  <c r="P262" i="1"/>
  <c r="P255" i="1"/>
  <c r="P254" i="1"/>
  <c r="P247" i="1"/>
  <c r="P246" i="1"/>
  <c r="P239" i="1"/>
  <c r="P238" i="1"/>
  <c r="P231" i="1"/>
  <c r="P230" i="1"/>
  <c r="P223" i="1"/>
  <c r="P222" i="1"/>
  <c r="P214" i="1"/>
  <c r="P279" i="1"/>
  <c r="P228" i="1"/>
  <c r="P212" i="1"/>
  <c r="P215" i="1"/>
  <c r="P245" i="1"/>
  <c r="P301" i="1"/>
  <c r="P285" i="1"/>
  <c r="P277" i="1"/>
  <c r="P229" i="1"/>
  <c r="P299" i="1"/>
  <c r="P291" i="1"/>
  <c r="P283" i="1"/>
  <c r="P275" i="1"/>
  <c r="P267" i="1"/>
  <c r="P259" i="1"/>
  <c r="P251" i="1"/>
  <c r="P243" i="1"/>
  <c r="P235" i="1"/>
  <c r="P227" i="1"/>
  <c r="P297" i="1"/>
  <c r="P289" i="1"/>
  <c r="P281" i="1"/>
  <c r="P265" i="1"/>
  <c r="P257" i="1"/>
  <c r="P249" i="1"/>
  <c r="P241" i="1"/>
  <c r="P233" i="1"/>
  <c r="P225" i="1"/>
  <c r="P217" i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K188" i="1" s="1"/>
  <c r="J189" i="1"/>
  <c r="M189" i="1" s="1"/>
  <c r="G189" i="1"/>
  <c r="K189" i="1" s="1"/>
  <c r="J190" i="1"/>
  <c r="M190" i="1" s="1"/>
  <c r="G190" i="1"/>
  <c r="K190" i="1" s="1"/>
  <c r="J191" i="1"/>
  <c r="M191" i="1" s="1"/>
  <c r="G191" i="1"/>
  <c r="K191" i="1" s="1"/>
  <c r="J192" i="1"/>
  <c r="M192" i="1" s="1"/>
  <c r="G192" i="1"/>
  <c r="K192" i="1" s="1"/>
  <c r="J193" i="1"/>
  <c r="M193" i="1" s="1"/>
  <c r="G193" i="1"/>
  <c r="K193" i="1" s="1"/>
  <c r="J194" i="1"/>
  <c r="M194" i="1" s="1"/>
  <c r="G194" i="1"/>
  <c r="K194" i="1" s="1"/>
  <c r="J195" i="1"/>
  <c r="M195" i="1" s="1"/>
  <c r="G195" i="1"/>
  <c r="K195" i="1" s="1"/>
  <c r="J196" i="1"/>
  <c r="M196" i="1" s="1"/>
  <c r="G196" i="1"/>
  <c r="K196" i="1" s="1"/>
  <c r="J197" i="1"/>
  <c r="M197" i="1" s="1"/>
  <c r="G197" i="1"/>
  <c r="K197" i="1" s="1"/>
  <c r="J198" i="1"/>
  <c r="M198" i="1" s="1"/>
  <c r="G198" i="1"/>
  <c r="K198" i="1" s="1"/>
  <c r="J199" i="1"/>
  <c r="M199" i="1" s="1"/>
  <c r="G199" i="1"/>
  <c r="K199" i="1" s="1"/>
  <c r="J200" i="1"/>
  <c r="M200" i="1" s="1"/>
  <c r="G200" i="1"/>
  <c r="K200" i="1" s="1"/>
  <c r="J201" i="1"/>
  <c r="M201" i="1" s="1"/>
  <c r="G201" i="1"/>
  <c r="K201" i="1" s="1"/>
  <c r="J202" i="1"/>
  <c r="M202" i="1" s="1"/>
  <c r="G202" i="1"/>
  <c r="K202" i="1" s="1"/>
  <c r="J203" i="1"/>
  <c r="M203" i="1" s="1"/>
  <c r="G203" i="1"/>
  <c r="K203" i="1" s="1"/>
  <c r="J204" i="1"/>
  <c r="M204" i="1" s="1"/>
  <c r="G204" i="1"/>
  <c r="K204" i="1" s="1"/>
  <c r="J205" i="1"/>
  <c r="M205" i="1" s="1"/>
  <c r="G205" i="1"/>
  <c r="K205" i="1" s="1"/>
  <c r="J206" i="1"/>
  <c r="M206" i="1" s="1"/>
  <c r="G206" i="1"/>
  <c r="K206" i="1" s="1"/>
  <c r="J207" i="1"/>
  <c r="M207" i="1" s="1"/>
  <c r="G207" i="1"/>
  <c r="K207" i="1" s="1"/>
  <c r="J208" i="1"/>
  <c r="M208" i="1" s="1"/>
  <c r="G208" i="1"/>
  <c r="K208" i="1" s="1"/>
  <c r="J209" i="1"/>
  <c r="M209" i="1" s="1"/>
  <c r="G209" i="1"/>
  <c r="K209" i="1" s="1"/>
  <c r="J210" i="1"/>
  <c r="M210" i="1" s="1"/>
  <c r="G210" i="1"/>
  <c r="K210" i="1" s="1"/>
  <c r="J211" i="1"/>
  <c r="M211" i="1" s="1"/>
  <c r="G211" i="1"/>
  <c r="K211" i="1" s="1"/>
  <c r="J5" i="1"/>
  <c r="M5" i="1" s="1"/>
  <c r="G5" i="1"/>
  <c r="K5" i="1" s="1"/>
  <c r="J6" i="1"/>
  <c r="M6" i="1" s="1"/>
  <c r="G6" i="1"/>
  <c r="K6" i="1" s="1"/>
  <c r="J7" i="1"/>
  <c r="M7" i="1" s="1"/>
  <c r="G7" i="1"/>
  <c r="K7" i="1" s="1"/>
  <c r="J8" i="1"/>
  <c r="M8" i="1" s="1"/>
  <c r="G8" i="1"/>
  <c r="K8" i="1" s="1"/>
  <c r="J9" i="1"/>
  <c r="M9" i="1" s="1"/>
  <c r="G9" i="1"/>
  <c r="K9" i="1" s="1"/>
  <c r="J10" i="1"/>
  <c r="M10" i="1" s="1"/>
  <c r="G10" i="1"/>
  <c r="K10" i="1" s="1"/>
  <c r="J11" i="1"/>
  <c r="M11" i="1" s="1"/>
  <c r="G11" i="1"/>
  <c r="K11" i="1" s="1"/>
  <c r="J12" i="1"/>
  <c r="M12" i="1" s="1"/>
  <c r="G12" i="1"/>
  <c r="K12" i="1" s="1"/>
  <c r="J13" i="1"/>
  <c r="M13" i="1" s="1"/>
  <c r="G13" i="1"/>
  <c r="K13" i="1" s="1"/>
  <c r="J14" i="1"/>
  <c r="M14" i="1" s="1"/>
  <c r="G14" i="1"/>
  <c r="K14" i="1" s="1"/>
  <c r="J15" i="1"/>
  <c r="M15" i="1" s="1"/>
  <c r="G15" i="1"/>
  <c r="K15" i="1" s="1"/>
  <c r="J16" i="1"/>
  <c r="M16" i="1" s="1"/>
  <c r="G16" i="1"/>
  <c r="K16" i="1" s="1"/>
  <c r="J17" i="1"/>
  <c r="M17" i="1" s="1"/>
  <c r="G17" i="1"/>
  <c r="K17" i="1" s="1"/>
  <c r="J18" i="1"/>
  <c r="M18" i="1" s="1"/>
  <c r="G18" i="1"/>
  <c r="K18" i="1" s="1"/>
  <c r="J19" i="1"/>
  <c r="M19" i="1" s="1"/>
  <c r="G19" i="1"/>
  <c r="K19" i="1" s="1"/>
  <c r="J20" i="1"/>
  <c r="M20" i="1" s="1"/>
  <c r="G20" i="1"/>
  <c r="K20" i="1" s="1"/>
  <c r="J21" i="1"/>
  <c r="M21" i="1" s="1"/>
  <c r="G21" i="1"/>
  <c r="K21" i="1" s="1"/>
  <c r="J22" i="1"/>
  <c r="M22" i="1" s="1"/>
  <c r="G22" i="1"/>
  <c r="K22" i="1" s="1"/>
  <c r="J23" i="1"/>
  <c r="M23" i="1" s="1"/>
  <c r="G23" i="1"/>
  <c r="K23" i="1" s="1"/>
  <c r="J24" i="1"/>
  <c r="M24" i="1" s="1"/>
  <c r="G24" i="1"/>
  <c r="K24" i="1" s="1"/>
  <c r="J25" i="1"/>
  <c r="M25" i="1" s="1"/>
  <c r="G25" i="1"/>
  <c r="K25" i="1" s="1"/>
  <c r="J26" i="1"/>
  <c r="M26" i="1" s="1"/>
  <c r="G26" i="1"/>
  <c r="K26" i="1" s="1"/>
  <c r="J27" i="1"/>
  <c r="M27" i="1" s="1"/>
  <c r="G27" i="1"/>
  <c r="K27" i="1" s="1"/>
  <c r="J28" i="1"/>
  <c r="M28" i="1" s="1"/>
  <c r="G28" i="1"/>
  <c r="K28" i="1" s="1"/>
  <c r="J29" i="1"/>
  <c r="M29" i="1" s="1"/>
  <c r="G29" i="1"/>
  <c r="K29" i="1" s="1"/>
  <c r="J30" i="1"/>
  <c r="M30" i="1" s="1"/>
  <c r="G30" i="1"/>
  <c r="K30" i="1" s="1"/>
  <c r="J31" i="1"/>
  <c r="M31" i="1" s="1"/>
  <c r="G31" i="1"/>
  <c r="K31" i="1" s="1"/>
  <c r="J32" i="1"/>
  <c r="M32" i="1" s="1"/>
  <c r="G32" i="1"/>
  <c r="K32" i="1" s="1"/>
  <c r="J33" i="1"/>
  <c r="M33" i="1" s="1"/>
  <c r="G33" i="1"/>
  <c r="K33" i="1" s="1"/>
  <c r="J34" i="1"/>
  <c r="M34" i="1" s="1"/>
  <c r="G34" i="1"/>
  <c r="K34" i="1" s="1"/>
  <c r="J35" i="1"/>
  <c r="M35" i="1" s="1"/>
  <c r="G35" i="1"/>
  <c r="K35" i="1" s="1"/>
  <c r="J36" i="1"/>
  <c r="M36" i="1" s="1"/>
  <c r="G36" i="1"/>
  <c r="K36" i="1" s="1"/>
  <c r="J37" i="1"/>
  <c r="M37" i="1" s="1"/>
  <c r="G37" i="1"/>
  <c r="K37" i="1" s="1"/>
  <c r="J38" i="1"/>
  <c r="M38" i="1" s="1"/>
  <c r="G38" i="1"/>
  <c r="K38" i="1" s="1"/>
  <c r="J39" i="1"/>
  <c r="M39" i="1" s="1"/>
  <c r="G39" i="1"/>
  <c r="K39" i="1" s="1"/>
  <c r="J40" i="1"/>
  <c r="M40" i="1" s="1"/>
  <c r="G40" i="1"/>
  <c r="K40" i="1" s="1"/>
  <c r="J41" i="1"/>
  <c r="M41" i="1" s="1"/>
  <c r="G41" i="1"/>
  <c r="K41" i="1" s="1"/>
  <c r="J42" i="1"/>
  <c r="M42" i="1" s="1"/>
  <c r="G42" i="1"/>
  <c r="K42" i="1" s="1"/>
  <c r="J43" i="1"/>
  <c r="M43" i="1" s="1"/>
  <c r="G43" i="1"/>
  <c r="K43" i="1" s="1"/>
  <c r="J44" i="1"/>
  <c r="M44" i="1" s="1"/>
  <c r="G44" i="1"/>
  <c r="K44" i="1" s="1"/>
  <c r="J45" i="1"/>
  <c r="M45" i="1" s="1"/>
  <c r="G45" i="1"/>
  <c r="K45" i="1" s="1"/>
  <c r="J46" i="1"/>
  <c r="M46" i="1" s="1"/>
  <c r="G46" i="1"/>
  <c r="K46" i="1" s="1"/>
  <c r="J47" i="1"/>
  <c r="M47" i="1" s="1"/>
  <c r="G47" i="1"/>
  <c r="K47" i="1" s="1"/>
  <c r="J48" i="1"/>
  <c r="M48" i="1" s="1"/>
  <c r="G48" i="1"/>
  <c r="K48" i="1" s="1"/>
  <c r="J49" i="1"/>
  <c r="M49" i="1" s="1"/>
  <c r="G49" i="1"/>
  <c r="K49" i="1" s="1"/>
  <c r="J50" i="1"/>
  <c r="M50" i="1" s="1"/>
  <c r="G50" i="1"/>
  <c r="K50" i="1" s="1"/>
  <c r="J51" i="1"/>
  <c r="M51" i="1" s="1"/>
  <c r="G51" i="1"/>
  <c r="K51" i="1" s="1"/>
  <c r="J52" i="1"/>
  <c r="M52" i="1" s="1"/>
  <c r="G52" i="1"/>
  <c r="K52" i="1" s="1"/>
  <c r="J53" i="1"/>
  <c r="M53" i="1" s="1"/>
  <c r="G53" i="1"/>
  <c r="K53" i="1" s="1"/>
  <c r="J54" i="1"/>
  <c r="M54" i="1" s="1"/>
  <c r="G54" i="1"/>
  <c r="K54" i="1" s="1"/>
  <c r="J55" i="1"/>
  <c r="M55" i="1" s="1"/>
  <c r="G55" i="1"/>
  <c r="K55" i="1" s="1"/>
  <c r="J56" i="1"/>
  <c r="M56" i="1" s="1"/>
  <c r="G56" i="1"/>
  <c r="K56" i="1" s="1"/>
  <c r="J57" i="1"/>
  <c r="M57" i="1" s="1"/>
  <c r="G57" i="1"/>
  <c r="K57" i="1" s="1"/>
  <c r="J58" i="1"/>
  <c r="M58" i="1" s="1"/>
  <c r="G58" i="1"/>
  <c r="K58" i="1" s="1"/>
  <c r="J59" i="1"/>
  <c r="M59" i="1" s="1"/>
  <c r="G59" i="1"/>
  <c r="K59" i="1" s="1"/>
  <c r="J60" i="1"/>
  <c r="M60" i="1" s="1"/>
  <c r="G60" i="1"/>
  <c r="K60" i="1" s="1"/>
  <c r="J61" i="1"/>
  <c r="M61" i="1" s="1"/>
  <c r="G61" i="1"/>
  <c r="K61" i="1" s="1"/>
  <c r="J62" i="1"/>
  <c r="M62" i="1" s="1"/>
  <c r="G62" i="1"/>
  <c r="K62" i="1" s="1"/>
  <c r="J63" i="1"/>
  <c r="M63" i="1" s="1"/>
  <c r="G63" i="1"/>
  <c r="K63" i="1" s="1"/>
  <c r="J64" i="1"/>
  <c r="M64" i="1" s="1"/>
  <c r="G64" i="1"/>
  <c r="K64" i="1" s="1"/>
  <c r="J65" i="1"/>
  <c r="M65" i="1" s="1"/>
  <c r="G65" i="1"/>
  <c r="K65" i="1" s="1"/>
  <c r="J66" i="1"/>
  <c r="M66" i="1" s="1"/>
  <c r="G66" i="1"/>
  <c r="K66" i="1" s="1"/>
  <c r="J67" i="1"/>
  <c r="M67" i="1" s="1"/>
  <c r="G67" i="1"/>
  <c r="K67" i="1" s="1"/>
  <c r="J68" i="1"/>
  <c r="M68" i="1" s="1"/>
  <c r="G68" i="1"/>
  <c r="K68" i="1" s="1"/>
  <c r="J69" i="1"/>
  <c r="M69" i="1" s="1"/>
  <c r="G69" i="1"/>
  <c r="K69" i="1" s="1"/>
  <c r="J70" i="1"/>
  <c r="M70" i="1" s="1"/>
  <c r="G70" i="1"/>
  <c r="K70" i="1" s="1"/>
  <c r="J71" i="1"/>
  <c r="M71" i="1" s="1"/>
  <c r="G71" i="1"/>
  <c r="K71" i="1" s="1"/>
  <c r="J72" i="1"/>
  <c r="M72" i="1" s="1"/>
  <c r="G72" i="1"/>
  <c r="K72" i="1" s="1"/>
  <c r="J73" i="1"/>
  <c r="M73" i="1" s="1"/>
  <c r="G73" i="1"/>
  <c r="K73" i="1" s="1"/>
  <c r="J74" i="1"/>
  <c r="M74" i="1" s="1"/>
  <c r="G74" i="1"/>
  <c r="K74" i="1" s="1"/>
  <c r="J75" i="1"/>
  <c r="M75" i="1" s="1"/>
  <c r="G75" i="1"/>
  <c r="K75" i="1" s="1"/>
  <c r="J76" i="1"/>
  <c r="M76" i="1" s="1"/>
  <c r="G76" i="1"/>
  <c r="K76" i="1" s="1"/>
  <c r="J77" i="1"/>
  <c r="M77" i="1" s="1"/>
  <c r="G77" i="1"/>
  <c r="K77" i="1" s="1"/>
  <c r="J78" i="1"/>
  <c r="M78" i="1" s="1"/>
  <c r="G78" i="1"/>
  <c r="K78" i="1" s="1"/>
  <c r="J79" i="1"/>
  <c r="M79" i="1" s="1"/>
  <c r="G79" i="1"/>
  <c r="K79" i="1" s="1"/>
  <c r="J80" i="1"/>
  <c r="M80" i="1" s="1"/>
  <c r="G80" i="1"/>
  <c r="K80" i="1" s="1"/>
  <c r="J81" i="1"/>
  <c r="M81" i="1" s="1"/>
  <c r="G81" i="1"/>
  <c r="K81" i="1" s="1"/>
  <c r="J82" i="1"/>
  <c r="M82" i="1" s="1"/>
  <c r="G82" i="1"/>
  <c r="K82" i="1" s="1"/>
  <c r="J83" i="1"/>
  <c r="M83" i="1" s="1"/>
  <c r="G83" i="1"/>
  <c r="K83" i="1" s="1"/>
  <c r="J84" i="1"/>
  <c r="M84" i="1" s="1"/>
  <c r="G84" i="1"/>
  <c r="K84" i="1" s="1"/>
  <c r="J85" i="1"/>
  <c r="M85" i="1" s="1"/>
  <c r="G85" i="1"/>
  <c r="K85" i="1" s="1"/>
  <c r="J86" i="1"/>
  <c r="M86" i="1" s="1"/>
  <c r="G86" i="1"/>
  <c r="K86" i="1" s="1"/>
  <c r="J87" i="1"/>
  <c r="M87" i="1" s="1"/>
  <c r="G87" i="1"/>
  <c r="K87" i="1" s="1"/>
  <c r="J88" i="1"/>
  <c r="M88" i="1" s="1"/>
  <c r="G88" i="1"/>
  <c r="K88" i="1" s="1"/>
  <c r="J89" i="1"/>
  <c r="M89" i="1" s="1"/>
  <c r="G89" i="1"/>
  <c r="K89" i="1" s="1"/>
  <c r="J90" i="1"/>
  <c r="M90" i="1" s="1"/>
  <c r="G90" i="1"/>
  <c r="K90" i="1" s="1"/>
  <c r="J91" i="1"/>
  <c r="M91" i="1" s="1"/>
  <c r="G91" i="1"/>
  <c r="K91" i="1" s="1"/>
  <c r="J92" i="1"/>
  <c r="M92" i="1" s="1"/>
  <c r="G92" i="1"/>
  <c r="K92" i="1" s="1"/>
  <c r="J93" i="1"/>
  <c r="M93" i="1" s="1"/>
  <c r="G93" i="1"/>
  <c r="K93" i="1" s="1"/>
  <c r="J94" i="1"/>
  <c r="M94" i="1" s="1"/>
  <c r="G94" i="1"/>
  <c r="K94" i="1" s="1"/>
  <c r="J95" i="1"/>
  <c r="M95" i="1" s="1"/>
  <c r="G95" i="1"/>
  <c r="K95" i="1" s="1"/>
  <c r="J96" i="1"/>
  <c r="M96" i="1" s="1"/>
  <c r="G96" i="1"/>
  <c r="K96" i="1" s="1"/>
  <c r="J97" i="1"/>
  <c r="M97" i="1" s="1"/>
  <c r="G97" i="1"/>
  <c r="K97" i="1" s="1"/>
  <c r="J98" i="1"/>
  <c r="M98" i="1" s="1"/>
  <c r="G98" i="1"/>
  <c r="K98" i="1" s="1"/>
  <c r="J99" i="1"/>
  <c r="M99" i="1" s="1"/>
  <c r="G99" i="1"/>
  <c r="K99" i="1" s="1"/>
  <c r="J100" i="1"/>
  <c r="M100" i="1" s="1"/>
  <c r="G100" i="1"/>
  <c r="K100" i="1" s="1"/>
  <c r="J101" i="1"/>
  <c r="M101" i="1" s="1"/>
  <c r="G101" i="1"/>
  <c r="K101" i="1" s="1"/>
  <c r="J102" i="1"/>
  <c r="M102" i="1" s="1"/>
  <c r="G102" i="1"/>
  <c r="K102" i="1" s="1"/>
  <c r="J103" i="1"/>
  <c r="M103" i="1" s="1"/>
  <c r="G103" i="1"/>
  <c r="K103" i="1" s="1"/>
  <c r="J104" i="1"/>
  <c r="M104" i="1" s="1"/>
  <c r="G104" i="1"/>
  <c r="K104" i="1" s="1"/>
  <c r="J105" i="1"/>
  <c r="M105" i="1" s="1"/>
  <c r="G105" i="1"/>
  <c r="K105" i="1" s="1"/>
  <c r="J106" i="1"/>
  <c r="M106" i="1" s="1"/>
  <c r="G106" i="1"/>
  <c r="K106" i="1" s="1"/>
  <c r="J107" i="1"/>
  <c r="M107" i="1" s="1"/>
  <c r="G107" i="1"/>
  <c r="K107" i="1" s="1"/>
  <c r="J108" i="1"/>
  <c r="M108" i="1" s="1"/>
  <c r="G108" i="1"/>
  <c r="K108" i="1" s="1"/>
  <c r="J109" i="1"/>
  <c r="M109" i="1" s="1"/>
  <c r="G109" i="1"/>
  <c r="K109" i="1" s="1"/>
  <c r="J110" i="1"/>
  <c r="M110" i="1" s="1"/>
  <c r="G110" i="1"/>
  <c r="K110" i="1" s="1"/>
  <c r="J111" i="1"/>
  <c r="M111" i="1" s="1"/>
  <c r="G111" i="1"/>
  <c r="K111" i="1" s="1"/>
  <c r="J112" i="1"/>
  <c r="M112" i="1" s="1"/>
  <c r="G112" i="1"/>
  <c r="K112" i="1" s="1"/>
  <c r="J113" i="1"/>
  <c r="M113" i="1" s="1"/>
  <c r="G113" i="1"/>
  <c r="K113" i="1" s="1"/>
  <c r="J114" i="1"/>
  <c r="M114" i="1" s="1"/>
  <c r="G114" i="1"/>
  <c r="K114" i="1" s="1"/>
  <c r="J115" i="1"/>
  <c r="M115" i="1" s="1"/>
  <c r="G115" i="1"/>
  <c r="K115" i="1" s="1"/>
  <c r="J116" i="1"/>
  <c r="M116" i="1" s="1"/>
  <c r="G116" i="1"/>
  <c r="K116" i="1" s="1"/>
  <c r="J117" i="1"/>
  <c r="M117" i="1" s="1"/>
  <c r="G117" i="1"/>
  <c r="K117" i="1" s="1"/>
  <c r="J118" i="1"/>
  <c r="M118" i="1" s="1"/>
  <c r="G118" i="1"/>
  <c r="K118" i="1" s="1"/>
  <c r="J119" i="1"/>
  <c r="M119" i="1" s="1"/>
  <c r="G119" i="1"/>
  <c r="K119" i="1" s="1"/>
  <c r="J120" i="1"/>
  <c r="M120" i="1" s="1"/>
  <c r="G120" i="1"/>
  <c r="K120" i="1" s="1"/>
  <c r="J121" i="1"/>
  <c r="M121" i="1" s="1"/>
  <c r="G121" i="1"/>
  <c r="K121" i="1" s="1"/>
  <c r="J122" i="1"/>
  <c r="M122" i="1" s="1"/>
  <c r="G122" i="1"/>
  <c r="K122" i="1" s="1"/>
  <c r="J123" i="1"/>
  <c r="M123" i="1" s="1"/>
  <c r="G123" i="1"/>
  <c r="K123" i="1" s="1"/>
  <c r="J124" i="1"/>
  <c r="M124" i="1" s="1"/>
  <c r="G124" i="1"/>
  <c r="K124" i="1" s="1"/>
  <c r="J125" i="1"/>
  <c r="M125" i="1" s="1"/>
  <c r="G125" i="1"/>
  <c r="K125" i="1" s="1"/>
  <c r="J126" i="1"/>
  <c r="M126" i="1" s="1"/>
  <c r="G126" i="1"/>
  <c r="K126" i="1" s="1"/>
  <c r="J127" i="1"/>
  <c r="M127" i="1" s="1"/>
  <c r="G127" i="1"/>
  <c r="K127" i="1" s="1"/>
  <c r="J128" i="1"/>
  <c r="M128" i="1" s="1"/>
  <c r="G128" i="1"/>
  <c r="K128" i="1" s="1"/>
  <c r="J129" i="1"/>
  <c r="M129" i="1" s="1"/>
  <c r="G129" i="1"/>
  <c r="K129" i="1" s="1"/>
  <c r="J130" i="1"/>
  <c r="M130" i="1" s="1"/>
  <c r="G130" i="1"/>
  <c r="K130" i="1" s="1"/>
  <c r="J131" i="1"/>
  <c r="M131" i="1" s="1"/>
  <c r="G131" i="1"/>
  <c r="K131" i="1" s="1"/>
  <c r="J132" i="1"/>
  <c r="M132" i="1" s="1"/>
  <c r="G132" i="1"/>
  <c r="K132" i="1" s="1"/>
  <c r="J133" i="1"/>
  <c r="M133" i="1" s="1"/>
  <c r="G133" i="1"/>
  <c r="K133" i="1" s="1"/>
  <c r="J134" i="1"/>
  <c r="M134" i="1" s="1"/>
  <c r="G134" i="1"/>
  <c r="K134" i="1" s="1"/>
  <c r="J135" i="1"/>
  <c r="M135" i="1" s="1"/>
  <c r="G135" i="1"/>
  <c r="K135" i="1" s="1"/>
  <c r="J136" i="1"/>
  <c r="M136" i="1" s="1"/>
  <c r="G136" i="1"/>
  <c r="K136" i="1" s="1"/>
  <c r="J137" i="1"/>
  <c r="M137" i="1" s="1"/>
  <c r="G137" i="1"/>
  <c r="K137" i="1" s="1"/>
  <c r="J138" i="1"/>
  <c r="M138" i="1" s="1"/>
  <c r="G138" i="1"/>
  <c r="K138" i="1" s="1"/>
  <c r="J139" i="1"/>
  <c r="M139" i="1" s="1"/>
  <c r="G139" i="1"/>
  <c r="K139" i="1" s="1"/>
  <c r="J140" i="1"/>
  <c r="M140" i="1" s="1"/>
  <c r="G140" i="1"/>
  <c r="K140" i="1" s="1"/>
  <c r="J141" i="1"/>
  <c r="M141" i="1" s="1"/>
  <c r="G141" i="1"/>
  <c r="K141" i="1" s="1"/>
  <c r="J142" i="1"/>
  <c r="M142" i="1" s="1"/>
  <c r="G142" i="1"/>
  <c r="K142" i="1" s="1"/>
  <c r="J143" i="1"/>
  <c r="M143" i="1" s="1"/>
  <c r="G143" i="1"/>
  <c r="K143" i="1" s="1"/>
  <c r="J144" i="1"/>
  <c r="M144" i="1" s="1"/>
  <c r="G144" i="1"/>
  <c r="K144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K145" i="1" s="1"/>
  <c r="J146" i="1"/>
  <c r="M146" i="1" s="1"/>
  <c r="G146" i="1"/>
  <c r="K146" i="1" s="1"/>
  <c r="J147" i="1"/>
  <c r="M147" i="1" s="1"/>
  <c r="G147" i="1"/>
  <c r="K147" i="1" s="1"/>
  <c r="J148" i="1"/>
  <c r="M148" i="1" s="1"/>
  <c r="G148" i="1"/>
  <c r="K148" i="1" s="1"/>
  <c r="J149" i="1"/>
  <c r="M149" i="1" s="1"/>
  <c r="G149" i="1"/>
  <c r="K149" i="1" s="1"/>
  <c r="J150" i="1"/>
  <c r="M150" i="1" s="1"/>
  <c r="G150" i="1"/>
  <c r="K150" i="1" s="1"/>
  <c r="J151" i="1"/>
  <c r="M151" i="1" s="1"/>
  <c r="G151" i="1"/>
  <c r="K151" i="1" s="1"/>
  <c r="J152" i="1"/>
  <c r="M152" i="1" s="1"/>
  <c r="G152" i="1"/>
  <c r="K152" i="1" s="1"/>
  <c r="J153" i="1"/>
  <c r="M153" i="1" s="1"/>
  <c r="G153" i="1"/>
  <c r="K153" i="1" s="1"/>
  <c r="J154" i="1"/>
  <c r="M154" i="1" s="1"/>
  <c r="G154" i="1"/>
  <c r="K154" i="1" s="1"/>
  <c r="J155" i="1"/>
  <c r="M155" i="1" s="1"/>
  <c r="G155" i="1"/>
  <c r="K155" i="1" s="1"/>
  <c r="J156" i="1"/>
  <c r="M156" i="1" s="1"/>
  <c r="G156" i="1"/>
  <c r="K156" i="1" s="1"/>
  <c r="J157" i="1"/>
  <c r="M157" i="1" s="1"/>
  <c r="G157" i="1"/>
  <c r="K157" i="1" s="1"/>
  <c r="J158" i="1"/>
  <c r="M158" i="1" s="1"/>
  <c r="G158" i="1"/>
  <c r="K158" i="1" s="1"/>
  <c r="J159" i="1"/>
  <c r="M159" i="1" s="1"/>
  <c r="G159" i="1"/>
  <c r="K159" i="1" s="1"/>
  <c r="J160" i="1"/>
  <c r="M160" i="1" s="1"/>
  <c r="G160" i="1"/>
  <c r="K160" i="1" s="1"/>
  <c r="J161" i="1"/>
  <c r="M161" i="1" s="1"/>
  <c r="G161" i="1"/>
  <c r="K161" i="1" s="1"/>
  <c r="J162" i="1"/>
  <c r="M162" i="1" s="1"/>
  <c r="G162" i="1"/>
  <c r="K162" i="1" s="1"/>
  <c r="J163" i="1"/>
  <c r="M163" i="1" s="1"/>
  <c r="G163" i="1"/>
  <c r="K163" i="1" s="1"/>
  <c r="J164" i="1"/>
  <c r="M164" i="1" s="1"/>
  <c r="G164" i="1"/>
  <c r="K164" i="1" s="1"/>
  <c r="J165" i="1"/>
  <c r="M165" i="1" s="1"/>
  <c r="G165" i="1"/>
  <c r="K165" i="1" s="1"/>
  <c r="J166" i="1"/>
  <c r="M166" i="1" s="1"/>
  <c r="G166" i="1"/>
  <c r="K166" i="1" s="1"/>
  <c r="J167" i="1"/>
  <c r="M167" i="1" s="1"/>
  <c r="G167" i="1"/>
  <c r="K167" i="1" s="1"/>
  <c r="J168" i="1"/>
  <c r="M168" i="1" s="1"/>
  <c r="G168" i="1"/>
  <c r="K168" i="1" s="1"/>
  <c r="J169" i="1"/>
  <c r="M169" i="1" s="1"/>
  <c r="G169" i="1"/>
  <c r="K169" i="1" s="1"/>
  <c r="J170" i="1"/>
  <c r="M170" i="1" s="1"/>
  <c r="G170" i="1"/>
  <c r="K170" i="1" s="1"/>
  <c r="J171" i="1"/>
  <c r="M171" i="1" s="1"/>
  <c r="G171" i="1"/>
  <c r="K171" i="1" s="1"/>
  <c r="J172" i="1"/>
  <c r="M172" i="1" s="1"/>
  <c r="G172" i="1"/>
  <c r="K172" i="1" s="1"/>
  <c r="J173" i="1"/>
  <c r="M173" i="1" s="1"/>
  <c r="G173" i="1"/>
  <c r="K173" i="1" s="1"/>
  <c r="J174" i="1"/>
  <c r="M174" i="1" s="1"/>
  <c r="G174" i="1"/>
  <c r="K174" i="1" s="1"/>
  <c r="J175" i="1"/>
  <c r="M175" i="1" s="1"/>
  <c r="G175" i="1"/>
  <c r="K175" i="1" s="1"/>
  <c r="J176" i="1"/>
  <c r="M176" i="1" s="1"/>
  <c r="G176" i="1"/>
  <c r="K176" i="1" s="1"/>
  <c r="J177" i="1"/>
  <c r="M177" i="1" s="1"/>
  <c r="G177" i="1"/>
  <c r="K177" i="1" s="1"/>
  <c r="J178" i="1"/>
  <c r="M178" i="1" s="1"/>
  <c r="G178" i="1"/>
  <c r="K178" i="1" s="1"/>
  <c r="J179" i="1"/>
  <c r="M179" i="1" s="1"/>
  <c r="G179" i="1"/>
  <c r="K179" i="1" s="1"/>
  <c r="J180" i="1"/>
  <c r="M180" i="1" s="1"/>
  <c r="G180" i="1"/>
  <c r="K180" i="1" s="1"/>
  <c r="J181" i="1"/>
  <c r="M181" i="1" s="1"/>
  <c r="G181" i="1"/>
  <c r="K181" i="1" s="1"/>
  <c r="J182" i="1"/>
  <c r="M182" i="1" s="1"/>
  <c r="G182" i="1"/>
  <c r="K182" i="1" s="1"/>
  <c r="J183" i="1"/>
  <c r="M183" i="1" s="1"/>
  <c r="G183" i="1"/>
  <c r="K183" i="1" s="1"/>
  <c r="J184" i="1"/>
  <c r="M184" i="1" s="1"/>
  <c r="G184" i="1"/>
  <c r="K184" i="1" s="1"/>
  <c r="J185" i="1"/>
  <c r="M185" i="1" s="1"/>
  <c r="G185" i="1"/>
  <c r="K185" i="1" s="1"/>
  <c r="J186" i="1"/>
  <c r="M186" i="1" s="1"/>
  <c r="G186" i="1"/>
  <c r="K186" i="1" s="1"/>
  <c r="J187" i="1"/>
  <c r="M187" i="1" s="1"/>
  <c r="G187" i="1"/>
  <c r="K187" i="1" s="1"/>
  <c r="P209" i="1" l="1"/>
  <c r="P205" i="1"/>
  <c r="P201" i="1"/>
  <c r="P197" i="1"/>
  <c r="P193" i="1"/>
  <c r="P189" i="1"/>
  <c r="P202" i="1"/>
  <c r="P210" i="1"/>
  <c r="P206" i="1"/>
  <c r="P198" i="1"/>
  <c r="P190" i="1"/>
  <c r="P188" i="1"/>
  <c r="P194" i="1"/>
  <c r="P211" i="1"/>
  <c r="P207" i="1"/>
  <c r="P203" i="1"/>
  <c r="P199" i="1"/>
  <c r="P195" i="1"/>
  <c r="P191" i="1"/>
  <c r="P208" i="1"/>
  <c r="P204" i="1"/>
  <c r="P200" i="1"/>
  <c r="P196" i="1"/>
  <c r="P192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P146" i="1" l="1"/>
  <c r="P148" i="1"/>
  <c r="P150" i="1"/>
  <c r="P152" i="1"/>
  <c r="P154" i="1"/>
  <c r="P156" i="1"/>
  <c r="P158" i="1"/>
  <c r="P160" i="1"/>
  <c r="P162" i="1"/>
  <c r="P164" i="1"/>
  <c r="P166" i="1"/>
  <c r="P168" i="1"/>
  <c r="P170" i="1"/>
  <c r="P172" i="1"/>
  <c r="P174" i="1"/>
  <c r="P176" i="1"/>
  <c r="P178" i="1"/>
  <c r="P180" i="1"/>
  <c r="P182" i="1"/>
  <c r="P184" i="1"/>
  <c r="P186" i="1"/>
  <c r="P149" i="1"/>
  <c r="P157" i="1"/>
  <c r="P165" i="1"/>
  <c r="P173" i="1"/>
  <c r="P181" i="1"/>
  <c r="P151" i="1"/>
  <c r="P159" i="1"/>
  <c r="P167" i="1"/>
  <c r="P175" i="1"/>
  <c r="P183" i="1"/>
  <c r="P145" i="1"/>
  <c r="P153" i="1"/>
  <c r="P161" i="1"/>
  <c r="P169" i="1"/>
  <c r="P177" i="1"/>
  <c r="P185" i="1"/>
  <c r="P147" i="1"/>
  <c r="P155" i="1"/>
  <c r="P163" i="1"/>
  <c r="P171" i="1"/>
  <c r="P179" i="1"/>
  <c r="P187" i="1"/>
  <c r="J4" i="1" l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<sst xmlns="http://schemas.openxmlformats.org/spreadsheetml/2006/main" count="40" uniqueCount="36">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</sst>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1" fontId="0" fillId="0" borderId="0" xfId="0" applyNumberForma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A76" zoomScale="85" zoomScaleNormal="85" workbookViewId="0">
      <selection activeCell="L86" sqref="L86"/>
    </sheetView>
  </sheetViews>
  <sheetFormatPr defaultRowHeight="15"/>
  <cols>
    <col min="10" max="10" width="12.28515625" customWidth="1"/>
    <col min="11" max="11" width="13.5703125" bestFit="1" customWidth="1"/>
    <col min="28" max="28" width="14" bestFit="1" customWidth="1"/>
  </cols>
  <sheetData>
    <row r="1" spans="1:29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27</v>
      </c>
    </row>
    <row r="3" spans="1:29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-0.44789000000000001</v>
      </c>
      <c r="AC3" t="s">
        <v>30</v>
      </c>
    </row>
    <row r="4" spans="1:29">
      <c r="A4" s="5">
        <v>5.5399049999999998E-2</v>
      </c>
      <c r="B4" s="5">
        <v>0.91781000000000001</v>
      </c>
      <c r="C4">
        <f>A4*B4</f>
        <v>5.0845802080499998E-2</v>
      </c>
      <c r="D4">
        <v>1.7000000000000001E-2</v>
      </c>
      <c r="E4">
        <v>3.8999999999999998E-3</v>
      </c>
      <c r="F4">
        <f>A4*200</f>
        <v>11.07981</v>
      </c>
      <c r="G4">
        <f>-B4</f>
        <v>-0.91781000000000001</v>
      </c>
      <c r="H4">
        <f t="shared" ref="H4" si="0">-C4*200</f>
        <v>-10.1691604161</v>
      </c>
      <c r="I4">
        <v>1</v>
      </c>
      <c r="J4">
        <f>LN(F4/1000)</f>
        <v>-4.5026307458244688</v>
      </c>
      <c r="K4">
        <f>((-G4)-$N$2)</f>
        <v>-0.30391515177521744</v>
      </c>
      <c r="L4">
        <v>1</v>
      </c>
      <c r="M4">
        <f>-1*($S$4+($S$5*J4))</f>
        <v>0.34429743257151585</v>
      </c>
      <c r="N4">
        <f>D4*A4</f>
        <v>9.4178385000000004E-4</v>
      </c>
      <c r="O4">
        <f>E4*A4</f>
        <v>2.1605629499999999E-4</v>
      </c>
      <c r="P4">
        <f>-K4-M4-N4-O4</f>
        <v>-4.1540120941298414E-2</v>
      </c>
      <c r="R4" s="2" t="s">
        <v>16</v>
      </c>
      <c r="S4">
        <v>-0.69099999999999995</v>
      </c>
      <c r="V4">
        <v>-6</v>
      </c>
      <c r="W4">
        <f>V4*$S$5+$S$4</f>
        <v>-0.22899999999999998</v>
      </c>
      <c r="Y4">
        <v>0</v>
      </c>
      <c r="Z4">
        <f>$AB$4*Y4+$AB$3</f>
        <v>-0.44789000000000001</v>
      </c>
      <c r="AB4">
        <v>12.781650000000001</v>
      </c>
      <c r="AC4" t="s">
        <v>31</v>
      </c>
    </row>
    <row r="5" spans="1:29">
      <c r="A5" s="5">
        <v>0.11372525</v>
      </c>
      <c r="B5" s="5">
        <v>0.83</v>
      </c>
      <c r="C5">
        <f t="shared" ref="C5:C68" si="1">A5*B5</f>
        <v>9.4391957499999998E-2</v>
      </c>
      <c r="D5">
        <v>1.7000000000000001E-2</v>
      </c>
      <c r="E5">
        <v>3.8999999999999998E-3</v>
      </c>
      <c r="F5">
        <f t="shared" ref="F5:F68" si="2">A5*200</f>
        <v>22.745049999999999</v>
      </c>
      <c r="G5">
        <f t="shared" ref="G5:G68" si="3">-B5</f>
        <v>-0.83</v>
      </c>
      <c r="H5">
        <f t="shared" ref="H5:H68" si="4">-C5*200</f>
        <v>-18.878391499999999</v>
      </c>
      <c r="I5">
        <v>1</v>
      </c>
      <c r="J5">
        <f t="shared" ref="J5:J68" si="5">LN(F5/1000)</f>
        <v>-3.7834077396772483</v>
      </c>
      <c r="K5">
        <f t="shared" ref="K5:K68" si="6">((-G5)-$N$2)</f>
        <v>-0.39172515177521749</v>
      </c>
      <c r="L5">
        <v>1</v>
      </c>
      <c r="M5">
        <f t="shared" ref="M5:M68" si="7">-1*($S$4+($S$5*J5))</f>
        <v>0.39967760404485181</v>
      </c>
      <c r="N5">
        <f t="shared" ref="N5:N6" si="8">D5*A5</f>
        <v>1.9333292500000002E-3</v>
      </c>
      <c r="O5">
        <f>E5*A5</f>
        <v>4.43528475E-4</v>
      </c>
      <c r="P5">
        <f>-K5-M5-N5-O5</f>
        <v>-1.0329309994634314E-2</v>
      </c>
      <c r="R5" s="2" t="s">
        <v>17</v>
      </c>
      <c r="S5">
        <v>-7.6999999999999999E-2</v>
      </c>
      <c r="V5">
        <v>-5.9</v>
      </c>
      <c r="W5">
        <f t="shared" ref="W5:W68" si="9">V5*$S$5+$S$4</f>
        <v>-0.23669999999999991</v>
      </c>
      <c r="Y5">
        <v>0.01</v>
      </c>
      <c r="Z5">
        <f t="shared" ref="Z5:Z31" si="10">$AB$4*Y5+$AB$3</f>
        <v>-0.32007350000000001</v>
      </c>
    </row>
    <row r="6" spans="1:29">
      <c r="A6" s="5">
        <v>0.17433869999999999</v>
      </c>
      <c r="B6" s="5">
        <v>0.78934000000000004</v>
      </c>
      <c r="C6">
        <f t="shared" si="1"/>
        <v>0.13761250945799999</v>
      </c>
      <c r="D6">
        <v>1.7000000000000001E-2</v>
      </c>
      <c r="E6">
        <v>3.8999999999999998E-3</v>
      </c>
      <c r="F6">
        <f t="shared" si="2"/>
        <v>34.867739999999998</v>
      </c>
      <c r="G6">
        <f t="shared" si="3"/>
        <v>-0.78934000000000004</v>
      </c>
      <c r="H6">
        <f t="shared" si="4"/>
        <v>-27.522501891599997</v>
      </c>
      <c r="I6">
        <v>1</v>
      </c>
      <c r="J6">
        <f t="shared" si="5"/>
        <v>-3.3561932325544257</v>
      </c>
      <c r="K6">
        <f t="shared" si="6"/>
        <v>-0.43238515177521741</v>
      </c>
      <c r="L6">
        <v>1</v>
      </c>
      <c r="M6">
        <f t="shared" si="7"/>
        <v>0.4325731210933092</v>
      </c>
      <c r="N6">
        <f t="shared" si="8"/>
        <v>2.9637578999999999E-3</v>
      </c>
      <c r="O6">
        <f t="shared" ref="O6:O69" si="11">E6*A6</f>
        <v>6.7992092999999995E-4</v>
      </c>
      <c r="P6">
        <f t="shared" ref="P6:P69" si="12">-K6-M6-N6-O6</f>
        <v>-3.8316481480917849E-3</v>
      </c>
      <c r="V6">
        <v>-5.8</v>
      </c>
      <c r="W6">
        <f t="shared" si="9"/>
        <v>-0.24439999999999995</v>
      </c>
      <c r="Y6">
        <v>0.02</v>
      </c>
      <c r="Z6">
        <f t="shared" si="10"/>
        <v>-0.19225700000000001</v>
      </c>
      <c r="AB6" t="s">
        <v>32</v>
      </c>
    </row>
    <row r="7" spans="1:29">
      <c r="A7" s="5">
        <v>0.23094935</v>
      </c>
      <c r="B7" s="5">
        <v>0.76749000000000001</v>
      </c>
      <c r="C7">
        <f t="shared" si="1"/>
        <v>0.17725131663150001</v>
      </c>
      <c r="D7">
        <v>1.7000000000000001E-2</v>
      </c>
      <c r="E7">
        <v>3.8999999999999998E-3</v>
      </c>
      <c r="F7">
        <f t="shared" si="2"/>
        <v>46.189869999999999</v>
      </c>
      <c r="G7">
        <f t="shared" si="3"/>
        <v>-0.76749000000000001</v>
      </c>
      <c r="H7">
        <f t="shared" si="4"/>
        <v>-35.450263326300004</v>
      </c>
      <c r="I7">
        <v>1</v>
      </c>
      <c r="J7">
        <f t="shared" si="5"/>
        <v>-3.0749947690055883</v>
      </c>
      <c r="K7">
        <f t="shared" si="6"/>
        <v>-0.45423515177521745</v>
      </c>
      <c r="L7">
        <v>1</v>
      </c>
      <c r="M7">
        <f t="shared" si="7"/>
        <v>0.45422540278656964</v>
      </c>
      <c r="N7">
        <f t="shared" ref="N7:N70" si="13">D7*A7</f>
        <v>3.9261389500000006E-3</v>
      </c>
      <c r="O7">
        <f t="shared" si="11"/>
        <v>9.0070246499999995E-4</v>
      </c>
      <c r="P7">
        <f t="shared" si="12"/>
        <v>-4.8170924263521942E-3</v>
      </c>
      <c r="V7">
        <v>-5.7</v>
      </c>
      <c r="W7">
        <f t="shared" si="9"/>
        <v>-0.25209999999999994</v>
      </c>
      <c r="Y7">
        <v>0.03</v>
      </c>
      <c r="Z7">
        <f t="shared" si="10"/>
        <v>-6.4440500000000012E-2</v>
      </c>
      <c r="AB7" t="s">
        <v>33</v>
      </c>
      <c r="AC7">
        <f>-AB3/AB4</f>
        <v>3.5041641728571819E-2</v>
      </c>
    </row>
    <row r="8" spans="1:29">
      <c r="A8" s="5">
        <v>0.28927554999999999</v>
      </c>
      <c r="B8" s="5">
        <v>0.75097999999999998</v>
      </c>
      <c r="C8">
        <f t="shared" si="1"/>
        <v>0.21724015253899998</v>
      </c>
      <c r="D8">
        <v>1.7000000000000001E-2</v>
      </c>
      <c r="E8">
        <v>3.8999999999999998E-3</v>
      </c>
      <c r="F8">
        <f t="shared" si="2"/>
        <v>57.855109999999996</v>
      </c>
      <c r="G8">
        <f t="shared" si="3"/>
        <v>-0.75097999999999998</v>
      </c>
      <c r="H8">
        <f t="shared" si="4"/>
        <v>-43.448030507799999</v>
      </c>
      <c r="I8">
        <v>1</v>
      </c>
      <c r="J8">
        <f t="shared" si="5"/>
        <v>-2.8498134973506573</v>
      </c>
      <c r="K8">
        <f t="shared" si="6"/>
        <v>-0.47074515177521747</v>
      </c>
      <c r="L8">
        <v>1</v>
      </c>
      <c r="M8">
        <f t="shared" si="7"/>
        <v>0.47156436070399932</v>
      </c>
      <c r="N8">
        <f t="shared" si="13"/>
        <v>4.9176843500000006E-3</v>
      </c>
      <c r="O8">
        <f t="shared" si="11"/>
        <v>1.1281746449999998E-3</v>
      </c>
      <c r="P8">
        <f t="shared" si="12"/>
        <v>-6.8650679237818452E-3</v>
      </c>
      <c r="V8">
        <v>-5.6</v>
      </c>
      <c r="W8">
        <f t="shared" si="9"/>
        <v>-0.25979999999999998</v>
      </c>
      <c r="Y8">
        <v>0.04</v>
      </c>
      <c r="Z8">
        <f t="shared" si="10"/>
        <v>6.3375999999999988E-2</v>
      </c>
    </row>
    <row r="9" spans="1:29">
      <c r="A9" s="5">
        <v>0.34645809999999999</v>
      </c>
      <c r="B9" s="5">
        <v>0.73612</v>
      </c>
      <c r="C9">
        <f t="shared" si="1"/>
        <v>0.25503473657199999</v>
      </c>
      <c r="D9">
        <v>1.7000000000000001E-2</v>
      </c>
      <c r="E9">
        <v>3.8999999999999998E-3</v>
      </c>
      <c r="F9">
        <f t="shared" si="2"/>
        <v>69.291619999999995</v>
      </c>
      <c r="G9">
        <f t="shared" si="3"/>
        <v>-0.73612</v>
      </c>
      <c r="H9">
        <f t="shared" si="4"/>
        <v>-51.006947314399994</v>
      </c>
      <c r="I9">
        <v>1</v>
      </c>
      <c r="J9">
        <f t="shared" si="5"/>
        <v>-2.6694313036190414</v>
      </c>
      <c r="K9">
        <f t="shared" si="6"/>
        <v>-0.48560515177521746</v>
      </c>
      <c r="L9">
        <v>1</v>
      </c>
      <c r="M9">
        <f t="shared" si="7"/>
        <v>0.48545378962133379</v>
      </c>
      <c r="N9">
        <f t="shared" si="13"/>
        <v>5.8897877000000003E-3</v>
      </c>
      <c r="O9">
        <f t="shared" si="11"/>
        <v>1.3511865899999999E-3</v>
      </c>
      <c r="P9">
        <f t="shared" si="12"/>
        <v>-7.0896121361163286E-3</v>
      </c>
      <c r="V9">
        <v>-5.5</v>
      </c>
      <c r="W9">
        <f t="shared" si="9"/>
        <v>-0.26749999999999996</v>
      </c>
      <c r="Y9">
        <v>0.05</v>
      </c>
      <c r="Z9">
        <f t="shared" si="10"/>
        <v>0.1911925000000001</v>
      </c>
      <c r="AB9" t="s">
        <v>35</v>
      </c>
      <c r="AC9">
        <v>3.4079999999999999E-2</v>
      </c>
    </row>
    <row r="10" spans="1:29">
      <c r="A10" s="5">
        <v>0.40935879999999997</v>
      </c>
      <c r="B10" s="5">
        <v>0.72372999999999998</v>
      </c>
      <c r="C10">
        <f t="shared" si="1"/>
        <v>0.29626524432399998</v>
      </c>
      <c r="D10">
        <v>1.7000000000000001E-2</v>
      </c>
      <c r="E10">
        <v>3.8999999999999998E-3</v>
      </c>
      <c r="F10">
        <f t="shared" si="2"/>
        <v>81.871759999999995</v>
      </c>
      <c r="G10">
        <f t="shared" si="3"/>
        <v>-0.72372999999999998</v>
      </c>
      <c r="H10">
        <f t="shared" si="4"/>
        <v>-59.253048864799993</v>
      </c>
      <c r="I10">
        <v>1</v>
      </c>
      <c r="J10">
        <f t="shared" si="5"/>
        <v>-2.5026011583288179</v>
      </c>
      <c r="K10">
        <f t="shared" si="6"/>
        <v>-0.49799515177521747</v>
      </c>
      <c r="L10">
        <v>1</v>
      </c>
      <c r="M10">
        <f t="shared" si="7"/>
        <v>0.49829971080868096</v>
      </c>
      <c r="N10">
        <f t="shared" si="13"/>
        <v>6.9590996E-3</v>
      </c>
      <c r="O10">
        <f t="shared" si="11"/>
        <v>1.5964993199999997E-3</v>
      </c>
      <c r="P10">
        <f t="shared" si="12"/>
        <v>-8.8601579534634909E-3</v>
      </c>
      <c r="V10">
        <v>-5.4</v>
      </c>
      <c r="W10">
        <f t="shared" si="9"/>
        <v>-0.27519999999999994</v>
      </c>
      <c r="Y10">
        <v>0.06</v>
      </c>
      <c r="Z10">
        <f t="shared" si="10"/>
        <v>0.31900899999999999</v>
      </c>
    </row>
    <row r="11" spans="1:29">
      <c r="A11" s="5">
        <v>0.46711314999999998</v>
      </c>
      <c r="B11" s="5">
        <v>0.71199000000000001</v>
      </c>
      <c r="C11">
        <f t="shared" si="1"/>
        <v>0.33257989166849999</v>
      </c>
      <c r="D11">
        <v>1.7000000000000001E-2</v>
      </c>
      <c r="E11">
        <v>3.8999999999999998E-3</v>
      </c>
      <c r="F11">
        <f t="shared" si="2"/>
        <v>93.422629999999998</v>
      </c>
      <c r="G11">
        <f t="shared" si="3"/>
        <v>-0.71199000000000001</v>
      </c>
      <c r="H11">
        <f t="shared" si="4"/>
        <v>-66.515978333700005</v>
      </c>
      <c r="I11">
        <v>1</v>
      </c>
      <c r="J11">
        <f t="shared" si="5"/>
        <v>-2.3706216718745607</v>
      </c>
      <c r="K11">
        <f t="shared" si="6"/>
        <v>-0.50973515177521744</v>
      </c>
      <c r="L11">
        <v>1</v>
      </c>
      <c r="M11">
        <f t="shared" si="7"/>
        <v>0.50846213126565876</v>
      </c>
      <c r="N11">
        <f t="shared" si="13"/>
        <v>7.9409235499999994E-3</v>
      </c>
      <c r="O11">
        <f t="shared" si="11"/>
        <v>1.8217412849999999E-3</v>
      </c>
      <c r="P11">
        <f t="shared" si="12"/>
        <v>-8.4896443254413121E-3</v>
      </c>
      <c r="V11">
        <v>-5.3</v>
      </c>
      <c r="W11">
        <f t="shared" si="9"/>
        <v>-0.28289999999999998</v>
      </c>
      <c r="Y11">
        <v>7.0000000000000007E-2</v>
      </c>
      <c r="Z11">
        <f t="shared" si="10"/>
        <v>0.4468255000000001</v>
      </c>
      <c r="AB11" t="s">
        <v>34</v>
      </c>
      <c r="AC11">
        <f>AC7-AC9</f>
        <v>9.6164172857182012E-4</v>
      </c>
    </row>
    <row r="12" spans="1:29">
      <c r="A12" s="5">
        <v>0.52372384999999999</v>
      </c>
      <c r="B12" s="5">
        <v>0.70272999999999997</v>
      </c>
      <c r="C12">
        <f t="shared" si="1"/>
        <v>0.36803646111049998</v>
      </c>
      <c r="D12">
        <v>1.7000000000000001E-2</v>
      </c>
      <c r="E12">
        <v>3.8999999999999998E-3</v>
      </c>
      <c r="F12">
        <f t="shared" si="2"/>
        <v>104.74477</v>
      </c>
      <c r="G12">
        <f t="shared" si="3"/>
        <v>-0.70272999999999997</v>
      </c>
      <c r="H12">
        <f t="shared" si="4"/>
        <v>-73.6072922221</v>
      </c>
      <c r="I12">
        <v>1</v>
      </c>
      <c r="J12">
        <f t="shared" si="5"/>
        <v>-2.2562286498273085</v>
      </c>
      <c r="K12">
        <f t="shared" si="6"/>
        <v>-0.51899515177521749</v>
      </c>
      <c r="L12">
        <v>1</v>
      </c>
      <c r="M12">
        <f t="shared" si="7"/>
        <v>0.51727039396329721</v>
      </c>
      <c r="N12">
        <f t="shared" si="13"/>
        <v>8.9033054500000011E-3</v>
      </c>
      <c r="O12">
        <f t="shared" si="11"/>
        <v>2.042523015E-3</v>
      </c>
      <c r="P12">
        <f t="shared" si="12"/>
        <v>-9.2210706530797271E-3</v>
      </c>
      <c r="V12">
        <v>-5.2</v>
      </c>
      <c r="W12">
        <f t="shared" si="9"/>
        <v>-0.29059999999999991</v>
      </c>
      <c r="Y12">
        <v>0.08</v>
      </c>
      <c r="Z12">
        <f t="shared" si="10"/>
        <v>0.57464199999999999</v>
      </c>
      <c r="AC12">
        <f>AC11*3</f>
        <v>2.8849251857154604E-3</v>
      </c>
    </row>
    <row r="13" spans="1:29">
      <c r="A13" s="5">
        <v>0.58033460000000003</v>
      </c>
      <c r="B13" s="5">
        <v>0.69260999999999995</v>
      </c>
      <c r="C13">
        <f t="shared" si="1"/>
        <v>0.40194554730600002</v>
      </c>
      <c r="D13">
        <v>1.7000000000000001E-2</v>
      </c>
      <c r="E13">
        <v>3.8999999999999998E-3</v>
      </c>
      <c r="F13">
        <f t="shared" si="2"/>
        <v>116.06692000000001</v>
      </c>
      <c r="G13">
        <f t="shared" si="3"/>
        <v>-0.69260999999999995</v>
      </c>
      <c r="H13">
        <f t="shared" si="4"/>
        <v>-80.389109461200007</v>
      </c>
      <c r="I13">
        <v>1</v>
      </c>
      <c r="J13">
        <f t="shared" si="5"/>
        <v>-2.1535883576648929</v>
      </c>
      <c r="K13">
        <f t="shared" si="6"/>
        <v>-0.52911515177521751</v>
      </c>
      <c r="L13">
        <v>1</v>
      </c>
      <c r="M13">
        <f t="shared" si="7"/>
        <v>0.52517369645980316</v>
      </c>
      <c r="N13">
        <f t="shared" si="13"/>
        <v>9.8656882000000019E-3</v>
      </c>
      <c r="O13">
        <f t="shared" si="11"/>
        <v>2.26330494E-3</v>
      </c>
      <c r="P13">
        <f t="shared" si="12"/>
        <v>-8.1875378245856584E-3</v>
      </c>
      <c r="V13">
        <v>-5.0999999999999996</v>
      </c>
      <c r="W13">
        <f t="shared" si="9"/>
        <v>-0.29829999999999995</v>
      </c>
      <c r="Y13">
        <v>0.09</v>
      </c>
      <c r="Z13">
        <f t="shared" si="10"/>
        <v>0.70245849999999999</v>
      </c>
    </row>
    <row r="14" spans="1:29">
      <c r="A14" s="5">
        <v>0.63923255000000001</v>
      </c>
      <c r="B14" s="5">
        <v>0.68444000000000005</v>
      </c>
      <c r="C14">
        <f t="shared" si="1"/>
        <v>0.43751632652200007</v>
      </c>
      <c r="D14">
        <v>1.7000000000000001E-2</v>
      </c>
      <c r="E14">
        <v>3.8999999999999998E-3</v>
      </c>
      <c r="F14">
        <f t="shared" si="2"/>
        <v>127.84650999999999</v>
      </c>
      <c r="G14">
        <f t="shared" si="3"/>
        <v>-0.68444000000000005</v>
      </c>
      <c r="H14">
        <f t="shared" si="4"/>
        <v>-87.503265304400017</v>
      </c>
      <c r="I14">
        <v>1</v>
      </c>
      <c r="J14">
        <f t="shared" si="5"/>
        <v>-2.0569248752319198</v>
      </c>
      <c r="K14">
        <f t="shared" si="6"/>
        <v>-0.53728515177521741</v>
      </c>
      <c r="L14">
        <v>1</v>
      </c>
      <c r="M14">
        <f t="shared" si="7"/>
        <v>0.53261678460714212</v>
      </c>
      <c r="N14">
        <f t="shared" si="13"/>
        <v>1.0866953350000002E-2</v>
      </c>
      <c r="O14">
        <f t="shared" si="11"/>
        <v>2.493006945E-3</v>
      </c>
      <c r="P14">
        <f t="shared" si="12"/>
        <v>-8.6915931269247182E-3</v>
      </c>
      <c r="V14">
        <v>-5</v>
      </c>
      <c r="W14">
        <f t="shared" si="9"/>
        <v>-0.30599999999999994</v>
      </c>
      <c r="Y14">
        <v>0.1</v>
      </c>
      <c r="Z14">
        <f t="shared" si="10"/>
        <v>0.83027500000000021</v>
      </c>
    </row>
    <row r="15" spans="1:29">
      <c r="A15" s="5">
        <v>0.69813049999999999</v>
      </c>
      <c r="B15" s="5">
        <v>0.67661000000000004</v>
      </c>
      <c r="C15">
        <f t="shared" si="1"/>
        <v>0.47236207760500004</v>
      </c>
      <c r="D15">
        <v>1.7000000000000001E-2</v>
      </c>
      <c r="E15">
        <v>3.8999999999999998E-3</v>
      </c>
      <c r="F15">
        <f t="shared" si="2"/>
        <v>139.62610000000001</v>
      </c>
      <c r="G15">
        <f t="shared" si="3"/>
        <v>-0.67661000000000004</v>
      </c>
      <c r="H15">
        <f t="shared" si="4"/>
        <v>-94.472415521000002</v>
      </c>
      <c r="I15">
        <v>1</v>
      </c>
      <c r="J15">
        <f t="shared" si="5"/>
        <v>-1.9687871433785056</v>
      </c>
      <c r="K15">
        <f t="shared" si="6"/>
        <v>-0.54511515177521741</v>
      </c>
      <c r="L15">
        <v>1</v>
      </c>
      <c r="M15">
        <f t="shared" si="7"/>
        <v>0.53940338995985504</v>
      </c>
      <c r="N15">
        <f t="shared" si="13"/>
        <v>1.1868218500000001E-2</v>
      </c>
      <c r="O15">
        <f t="shared" si="11"/>
        <v>2.72270895E-3</v>
      </c>
      <c r="P15">
        <f t="shared" si="12"/>
        <v>-8.8791656346376303E-3</v>
      </c>
      <c r="V15">
        <v>-4.9000000000000004</v>
      </c>
      <c r="W15">
        <f t="shared" si="9"/>
        <v>-0.31369999999999992</v>
      </c>
      <c r="Y15">
        <v>0.11</v>
      </c>
      <c r="Z15">
        <f t="shared" si="10"/>
        <v>0.95809149999999998</v>
      </c>
    </row>
    <row r="16" spans="1:29">
      <c r="A16" s="5">
        <v>0.75531294999999998</v>
      </c>
      <c r="B16" s="5">
        <v>0.66927999999999999</v>
      </c>
      <c r="C16">
        <f t="shared" si="1"/>
        <v>0.50551585117599995</v>
      </c>
      <c r="D16">
        <v>1.7000000000000001E-2</v>
      </c>
      <c r="E16">
        <v>3.8999999999999998E-3</v>
      </c>
      <c r="F16">
        <f t="shared" si="2"/>
        <v>151.06259</v>
      </c>
      <c r="G16">
        <f t="shared" si="3"/>
        <v>-0.66927999999999999</v>
      </c>
      <c r="H16">
        <f t="shared" si="4"/>
        <v>-101.1031702352</v>
      </c>
      <c r="I16">
        <v>1</v>
      </c>
      <c r="J16">
        <f t="shared" si="5"/>
        <v>-1.8900610247387204</v>
      </c>
      <c r="K16">
        <f t="shared" si="6"/>
        <v>-0.55244515177521747</v>
      </c>
      <c r="L16">
        <v>1</v>
      </c>
      <c r="M16">
        <f t="shared" si="7"/>
        <v>0.54546530109511848</v>
      </c>
      <c r="N16">
        <f t="shared" si="13"/>
        <v>1.2840320150000001E-2</v>
      </c>
      <c r="O16">
        <f t="shared" si="11"/>
        <v>2.9457205049999999E-3</v>
      </c>
      <c r="P16">
        <f t="shared" si="12"/>
        <v>-8.8061899749010131E-3</v>
      </c>
      <c r="V16">
        <v>-4.8</v>
      </c>
      <c r="W16">
        <f t="shared" si="9"/>
        <v>-0.32139999999999996</v>
      </c>
      <c r="Y16">
        <v>0.12</v>
      </c>
      <c r="Z16">
        <f t="shared" si="10"/>
        <v>1.0859079999999999</v>
      </c>
    </row>
    <row r="17" spans="1:26">
      <c r="A17" s="5">
        <v>0.81192374999999994</v>
      </c>
      <c r="B17" s="5">
        <v>0.66198999999999997</v>
      </c>
      <c r="C17">
        <f t="shared" si="1"/>
        <v>0.53748540326249994</v>
      </c>
      <c r="D17">
        <v>1.7000000000000001E-2</v>
      </c>
      <c r="E17">
        <v>3.8999999999999998E-3</v>
      </c>
      <c r="F17">
        <f t="shared" si="2"/>
        <v>162.38475</v>
      </c>
      <c r="G17">
        <f t="shared" si="3"/>
        <v>-0.66198999999999997</v>
      </c>
      <c r="H17">
        <f t="shared" si="4"/>
        <v>-107.49708065249999</v>
      </c>
      <c r="I17">
        <v>1</v>
      </c>
      <c r="J17">
        <f t="shared" si="5"/>
        <v>-1.8177867596046973</v>
      </c>
      <c r="K17">
        <f t="shared" si="6"/>
        <v>-0.55973515177521749</v>
      </c>
      <c r="L17">
        <v>1</v>
      </c>
      <c r="M17">
        <f t="shared" si="7"/>
        <v>0.5510304195104383</v>
      </c>
      <c r="N17">
        <f t="shared" si="13"/>
        <v>1.3802703750000001E-2</v>
      </c>
      <c r="O17">
        <f t="shared" si="11"/>
        <v>3.1665026249999995E-3</v>
      </c>
      <c r="P17">
        <f t="shared" si="12"/>
        <v>-8.264474110220809E-3</v>
      </c>
      <c r="V17">
        <v>-4.7</v>
      </c>
      <c r="W17">
        <f t="shared" si="9"/>
        <v>-0.32909999999999995</v>
      </c>
      <c r="Y17">
        <v>0.13</v>
      </c>
      <c r="Z17">
        <f t="shared" si="10"/>
        <v>1.2137245000000001</v>
      </c>
    </row>
    <row r="18" spans="1:26">
      <c r="A18" s="5">
        <v>0.87253709999999995</v>
      </c>
      <c r="B18" s="5">
        <v>0.65563000000000005</v>
      </c>
      <c r="C18">
        <f t="shared" si="1"/>
        <v>0.57206149887300006</v>
      </c>
      <c r="D18">
        <v>1.7000000000000001E-2</v>
      </c>
      <c r="E18">
        <v>3.8999999999999998E-3</v>
      </c>
      <c r="F18">
        <f t="shared" si="2"/>
        <v>174.50742</v>
      </c>
      <c r="G18">
        <f t="shared" si="3"/>
        <v>-0.65563000000000005</v>
      </c>
      <c r="H18">
        <f t="shared" si="4"/>
        <v>-114.41229977460002</v>
      </c>
      <c r="I18">
        <v>1</v>
      </c>
      <c r="J18">
        <f t="shared" si="5"/>
        <v>-1.7457880167536968</v>
      </c>
      <c r="K18">
        <f t="shared" si="6"/>
        <v>-0.56609515177521741</v>
      </c>
      <c r="L18">
        <v>1</v>
      </c>
      <c r="M18">
        <f t="shared" si="7"/>
        <v>0.55657432270996532</v>
      </c>
      <c r="N18">
        <f t="shared" si="13"/>
        <v>1.4833130700000001E-2</v>
      </c>
      <c r="O18">
        <f t="shared" si="11"/>
        <v>3.4028946899999995E-3</v>
      </c>
      <c r="P18">
        <f t="shared" si="12"/>
        <v>-8.7151963247479106E-3</v>
      </c>
      <c r="V18">
        <v>-4.5999999999999996</v>
      </c>
      <c r="W18">
        <f t="shared" si="9"/>
        <v>-0.33679999999999999</v>
      </c>
      <c r="Y18">
        <v>0.14000000000000001</v>
      </c>
      <c r="Z18">
        <f t="shared" si="10"/>
        <v>1.3415410000000003</v>
      </c>
    </row>
    <row r="19" spans="1:26">
      <c r="A19" s="5">
        <v>0.92971959999999998</v>
      </c>
      <c r="B19" s="5">
        <v>0.64856000000000003</v>
      </c>
      <c r="C19">
        <f t="shared" si="1"/>
        <v>0.60297894377600003</v>
      </c>
      <c r="D19">
        <v>1.7000000000000001E-2</v>
      </c>
      <c r="E19">
        <v>3.8999999999999998E-3</v>
      </c>
      <c r="F19">
        <f t="shared" si="2"/>
        <v>185.94391999999999</v>
      </c>
      <c r="G19">
        <f t="shared" si="3"/>
        <v>-0.64856000000000003</v>
      </c>
      <c r="H19">
        <f t="shared" si="4"/>
        <v>-120.5957887552</v>
      </c>
      <c r="I19">
        <v>1</v>
      </c>
      <c r="J19">
        <f t="shared" si="5"/>
        <v>-1.6823101561071643</v>
      </c>
      <c r="K19">
        <f t="shared" si="6"/>
        <v>-0.57316515177521743</v>
      </c>
      <c r="L19">
        <v>1</v>
      </c>
      <c r="M19">
        <f t="shared" si="7"/>
        <v>0.56146211797974832</v>
      </c>
      <c r="N19">
        <f t="shared" si="13"/>
        <v>1.5805233200000001E-2</v>
      </c>
      <c r="O19">
        <f t="shared" si="11"/>
        <v>3.6259064399999999E-3</v>
      </c>
      <c r="P19">
        <f t="shared" si="12"/>
        <v>-7.7281058445308921E-3</v>
      </c>
      <c r="V19">
        <v>-4.5000000000000098</v>
      </c>
      <c r="W19">
        <f t="shared" si="9"/>
        <v>-0.3444999999999992</v>
      </c>
      <c r="Y19">
        <v>0.15</v>
      </c>
      <c r="Z19">
        <f t="shared" si="10"/>
        <v>1.4693575000000001</v>
      </c>
    </row>
    <row r="20" spans="1:26">
      <c r="A20" s="5">
        <v>0.98690219999999995</v>
      </c>
      <c r="B20" s="5">
        <v>0.64281999999999995</v>
      </c>
      <c r="C20">
        <f t="shared" si="1"/>
        <v>0.63440047220399987</v>
      </c>
      <c r="D20">
        <v>1.7000000000000001E-2</v>
      </c>
      <c r="E20">
        <v>3.8999999999999998E-3</v>
      </c>
      <c r="F20">
        <f t="shared" si="2"/>
        <v>197.38043999999999</v>
      </c>
      <c r="G20">
        <f t="shared" si="3"/>
        <v>-0.64281999999999995</v>
      </c>
      <c r="H20">
        <f t="shared" si="4"/>
        <v>-126.88009444079998</v>
      </c>
      <c r="I20">
        <v>1</v>
      </c>
      <c r="J20">
        <f t="shared" si="5"/>
        <v>-1.6226222450382073</v>
      </c>
      <c r="K20">
        <f t="shared" si="6"/>
        <v>-0.57890515177521751</v>
      </c>
      <c r="L20">
        <v>1</v>
      </c>
      <c r="M20">
        <f t="shared" si="7"/>
        <v>0.56605808713205796</v>
      </c>
      <c r="N20">
        <f t="shared" si="13"/>
        <v>1.6777337400000002E-2</v>
      </c>
      <c r="O20">
        <f t="shared" si="11"/>
        <v>3.8489185799999996E-3</v>
      </c>
      <c r="P20">
        <f t="shared" si="12"/>
        <v>-7.7791913368404561E-3</v>
      </c>
      <c r="V20">
        <v>-4.4000000000000101</v>
      </c>
      <c r="W20">
        <f t="shared" si="9"/>
        <v>-0.35219999999999918</v>
      </c>
      <c r="Y20">
        <v>0.16</v>
      </c>
      <c r="Z20">
        <f t="shared" si="10"/>
        <v>1.5971739999999999</v>
      </c>
    </row>
    <row r="21" spans="1:26">
      <c r="A21" s="5">
        <v>1.0435128499999999</v>
      </c>
      <c r="B21" s="5">
        <v>0.63746999999999998</v>
      </c>
      <c r="C21">
        <f t="shared" si="1"/>
        <v>0.66520813648949995</v>
      </c>
      <c r="D21">
        <v>1.7000000000000001E-2</v>
      </c>
      <c r="E21">
        <v>3.8999999999999998E-3</v>
      </c>
      <c r="F21">
        <f t="shared" si="2"/>
        <v>208.70256999999998</v>
      </c>
      <c r="G21">
        <f t="shared" si="3"/>
        <v>-0.63746999999999998</v>
      </c>
      <c r="H21">
        <f t="shared" si="4"/>
        <v>-133.04162729789999</v>
      </c>
      <c r="I21">
        <v>1</v>
      </c>
      <c r="J21">
        <f t="shared" si="5"/>
        <v>-1.5668451506480179</v>
      </c>
      <c r="K21">
        <f t="shared" si="6"/>
        <v>-0.58425515177521747</v>
      </c>
      <c r="L21">
        <v>1</v>
      </c>
      <c r="M21">
        <f t="shared" si="7"/>
        <v>0.57035292340010257</v>
      </c>
      <c r="N21">
        <f t="shared" si="13"/>
        <v>1.7739718450000001E-2</v>
      </c>
      <c r="O21">
        <f t="shared" si="11"/>
        <v>4.0697001149999999E-3</v>
      </c>
      <c r="P21">
        <f t="shared" si="12"/>
        <v>-7.9071901898851004E-3</v>
      </c>
      <c r="V21">
        <v>-4.3000000000000096</v>
      </c>
      <c r="W21">
        <f t="shared" si="9"/>
        <v>-0.35989999999999922</v>
      </c>
      <c r="Y21">
        <v>0.17</v>
      </c>
      <c r="Z21">
        <f t="shared" si="10"/>
        <v>1.7249905000000001</v>
      </c>
    </row>
    <row r="22" spans="1:26">
      <c r="A22" s="5">
        <v>1.1006952999999999</v>
      </c>
      <c r="B22" s="5">
        <v>0.63180000000000003</v>
      </c>
      <c r="C22">
        <f t="shared" si="1"/>
        <v>0.69541929053999996</v>
      </c>
      <c r="D22">
        <v>1.7000000000000001E-2</v>
      </c>
      <c r="E22">
        <v>3.8999999999999998E-3</v>
      </c>
      <c r="F22">
        <f t="shared" si="2"/>
        <v>220.13905999999997</v>
      </c>
      <c r="G22">
        <f t="shared" si="3"/>
        <v>-0.63180000000000003</v>
      </c>
      <c r="H22">
        <f t="shared" si="4"/>
        <v>-139.08385810799999</v>
      </c>
      <c r="I22">
        <v>1</v>
      </c>
      <c r="J22">
        <f t="shared" si="5"/>
        <v>-1.5134958414060016</v>
      </c>
      <c r="K22">
        <f t="shared" si="6"/>
        <v>-0.58992515177521743</v>
      </c>
      <c r="L22">
        <v>1</v>
      </c>
      <c r="M22">
        <f t="shared" si="7"/>
        <v>0.57446082021173783</v>
      </c>
      <c r="N22">
        <f t="shared" si="13"/>
        <v>1.8711820100000002E-2</v>
      </c>
      <c r="O22">
        <f t="shared" si="11"/>
        <v>4.2927116699999993E-3</v>
      </c>
      <c r="P22">
        <f t="shared" si="12"/>
        <v>-7.5402002065204071E-3</v>
      </c>
      <c r="V22">
        <v>-4.2000000000000099</v>
      </c>
      <c r="W22">
        <f t="shared" si="9"/>
        <v>-0.36759999999999921</v>
      </c>
      <c r="Y22">
        <v>0.18</v>
      </c>
      <c r="Z22">
        <f t="shared" si="10"/>
        <v>1.8528069999999999</v>
      </c>
    </row>
    <row r="23" spans="1:26">
      <c r="A23" s="5">
        <v>1.15787785</v>
      </c>
      <c r="B23" s="5">
        <v>0.62609000000000004</v>
      </c>
      <c r="C23">
        <f t="shared" si="1"/>
        <v>0.7249357431065</v>
      </c>
      <c r="D23">
        <v>1.7000000000000001E-2</v>
      </c>
      <c r="E23">
        <v>3.8999999999999998E-3</v>
      </c>
      <c r="F23">
        <f t="shared" si="2"/>
        <v>231.57557</v>
      </c>
      <c r="G23">
        <f t="shared" si="3"/>
        <v>-0.62609000000000004</v>
      </c>
      <c r="H23">
        <f t="shared" si="4"/>
        <v>-144.98714862130001</v>
      </c>
      <c r="I23">
        <v>1</v>
      </c>
      <c r="J23">
        <f t="shared" si="5"/>
        <v>-1.462849022439483</v>
      </c>
      <c r="K23">
        <f t="shared" si="6"/>
        <v>-0.59563515177521742</v>
      </c>
      <c r="L23">
        <v>1</v>
      </c>
      <c r="M23">
        <f t="shared" si="7"/>
        <v>0.57836062527215981</v>
      </c>
      <c r="N23">
        <f t="shared" si="13"/>
        <v>1.9683923450000002E-2</v>
      </c>
      <c r="O23">
        <f t="shared" si="11"/>
        <v>4.5157236149999998E-3</v>
      </c>
      <c r="P23">
        <f t="shared" si="12"/>
        <v>-6.9251205619423935E-3</v>
      </c>
      <c r="V23">
        <v>-4.1000000000000103</v>
      </c>
      <c r="W23">
        <f t="shared" si="9"/>
        <v>-0.37529999999999913</v>
      </c>
      <c r="Y23">
        <v>0.19</v>
      </c>
      <c r="Z23">
        <f t="shared" si="10"/>
        <v>1.9806235000000001</v>
      </c>
    </row>
    <row r="24" spans="1:26">
      <c r="A24" s="5">
        <v>1.21506045</v>
      </c>
      <c r="B24" s="5">
        <v>0.62056999999999995</v>
      </c>
      <c r="C24">
        <f t="shared" si="1"/>
        <v>0.75403006345649992</v>
      </c>
      <c r="D24">
        <v>1.7000000000000001E-2</v>
      </c>
      <c r="E24">
        <v>3.8999999999999998E-3</v>
      </c>
      <c r="F24">
        <f t="shared" si="2"/>
        <v>243.01209</v>
      </c>
      <c r="G24">
        <f t="shared" si="3"/>
        <v>-0.62056999999999995</v>
      </c>
      <c r="H24">
        <f t="shared" si="4"/>
        <v>-150.8060126913</v>
      </c>
      <c r="I24">
        <v>1</v>
      </c>
      <c r="J24">
        <f t="shared" si="5"/>
        <v>-1.4146440837928125</v>
      </c>
      <c r="K24">
        <f t="shared" si="6"/>
        <v>-0.6011551517752175</v>
      </c>
      <c r="L24">
        <v>1</v>
      </c>
      <c r="M24">
        <f t="shared" si="7"/>
        <v>0.58207240554795336</v>
      </c>
      <c r="N24">
        <f t="shared" si="13"/>
        <v>2.0656027650000002E-2</v>
      </c>
      <c r="O24">
        <f t="shared" si="11"/>
        <v>4.738735755E-3</v>
      </c>
      <c r="P24">
        <f t="shared" si="12"/>
        <v>-6.3120171777358665E-3</v>
      </c>
      <c r="V24">
        <v>-4.0000000000000098</v>
      </c>
      <c r="W24">
        <f t="shared" si="9"/>
        <v>-0.38299999999999917</v>
      </c>
      <c r="Y24">
        <v>0.2</v>
      </c>
      <c r="Z24">
        <f t="shared" si="10"/>
        <v>2.1084400000000003</v>
      </c>
    </row>
    <row r="25" spans="1:26">
      <c r="A25" s="5">
        <v>1.2716711999999999</v>
      </c>
      <c r="B25" s="5">
        <v>0.61595</v>
      </c>
      <c r="C25">
        <f t="shared" si="1"/>
        <v>0.78328587563999996</v>
      </c>
      <c r="D25">
        <v>1.7000000000000001E-2</v>
      </c>
      <c r="E25">
        <v>3.8999999999999998E-3</v>
      </c>
      <c r="F25">
        <f t="shared" si="2"/>
        <v>254.33423999999997</v>
      </c>
      <c r="G25">
        <f t="shared" si="3"/>
        <v>-0.61595</v>
      </c>
      <c r="H25">
        <f t="shared" si="4"/>
        <v>-156.65717512800001</v>
      </c>
      <c r="I25">
        <v>1</v>
      </c>
      <c r="J25">
        <f t="shared" si="5"/>
        <v>-1.3691059714966525</v>
      </c>
      <c r="K25">
        <f t="shared" si="6"/>
        <v>-0.60577515177521746</v>
      </c>
      <c r="L25">
        <v>1</v>
      </c>
      <c r="M25">
        <f t="shared" si="7"/>
        <v>0.5855788401947577</v>
      </c>
      <c r="N25">
        <f t="shared" si="13"/>
        <v>2.1618410399999999E-2</v>
      </c>
      <c r="O25">
        <f t="shared" si="11"/>
        <v>4.9595176799999991E-3</v>
      </c>
      <c r="P25">
        <f t="shared" si="12"/>
        <v>-6.3816164995402404E-3</v>
      </c>
      <c r="V25">
        <v>-3.9000000000000101</v>
      </c>
      <c r="W25">
        <f t="shared" si="9"/>
        <v>-0.39069999999999916</v>
      </c>
      <c r="Y25">
        <v>0.21</v>
      </c>
      <c r="Z25">
        <f t="shared" si="10"/>
        <v>2.2362565000000001</v>
      </c>
    </row>
    <row r="26" spans="1:26">
      <c r="A26" s="5">
        <v>1.32999735</v>
      </c>
      <c r="B26" s="5">
        <v>0.61107</v>
      </c>
      <c r="C26">
        <f t="shared" si="1"/>
        <v>0.81272148066450001</v>
      </c>
      <c r="D26">
        <v>1.7000000000000001E-2</v>
      </c>
      <c r="E26">
        <v>3.8999999999999998E-3</v>
      </c>
      <c r="F26">
        <f t="shared" si="2"/>
        <v>265.99946999999997</v>
      </c>
      <c r="G26">
        <f t="shared" si="3"/>
        <v>-0.61107</v>
      </c>
      <c r="H26">
        <f t="shared" si="4"/>
        <v>-162.5442961329</v>
      </c>
      <c r="I26">
        <v>1</v>
      </c>
      <c r="J26">
        <f t="shared" si="5"/>
        <v>-1.3242609626836261</v>
      </c>
      <c r="K26">
        <f t="shared" si="6"/>
        <v>-0.61065515177521745</v>
      </c>
      <c r="L26">
        <v>1</v>
      </c>
      <c r="M26">
        <f t="shared" si="7"/>
        <v>0.58903190587336074</v>
      </c>
      <c r="N26">
        <f t="shared" si="13"/>
        <v>2.260995495E-2</v>
      </c>
      <c r="O26">
        <f t="shared" si="11"/>
        <v>5.1869896649999999E-3</v>
      </c>
      <c r="P26">
        <f t="shared" si="12"/>
        <v>-6.1736987131432866E-3</v>
      </c>
      <c r="V26">
        <v>-3.80000000000001</v>
      </c>
      <c r="W26">
        <f t="shared" si="9"/>
        <v>-0.3983999999999992</v>
      </c>
      <c r="Y26">
        <v>0.22</v>
      </c>
      <c r="Z26">
        <f t="shared" si="10"/>
        <v>2.3640729999999999</v>
      </c>
    </row>
    <row r="27" spans="1:26">
      <c r="A27" s="5">
        <v>1.3877516999999999</v>
      </c>
      <c r="B27" s="5">
        <v>0.60594999999999999</v>
      </c>
      <c r="C27">
        <f t="shared" si="1"/>
        <v>0.84090814261499991</v>
      </c>
      <c r="D27">
        <v>1.7000000000000001E-2</v>
      </c>
      <c r="E27">
        <v>3.8999999999999998E-3</v>
      </c>
      <c r="F27">
        <f t="shared" si="2"/>
        <v>277.55034000000001</v>
      </c>
      <c r="G27">
        <f t="shared" si="3"/>
        <v>-0.60594999999999999</v>
      </c>
      <c r="H27">
        <f t="shared" si="4"/>
        <v>-168.18162852299997</v>
      </c>
      <c r="I27">
        <v>1</v>
      </c>
      <c r="J27">
        <f t="shared" si="5"/>
        <v>-1.2817529568422135</v>
      </c>
      <c r="K27">
        <f t="shared" si="6"/>
        <v>-0.61577515177521747</v>
      </c>
      <c r="L27">
        <v>1</v>
      </c>
      <c r="M27">
        <f t="shared" si="7"/>
        <v>0.59230502232314952</v>
      </c>
      <c r="N27">
        <f t="shared" si="13"/>
        <v>2.3591778899999999E-2</v>
      </c>
      <c r="O27">
        <f t="shared" si="11"/>
        <v>5.4122316299999992E-3</v>
      </c>
      <c r="P27">
        <f t="shared" si="12"/>
        <v>-5.5338810779320532E-3</v>
      </c>
      <c r="V27">
        <v>-3.7000000000000099</v>
      </c>
      <c r="W27">
        <f t="shared" si="9"/>
        <v>-0.40609999999999918</v>
      </c>
      <c r="Y27">
        <v>0.23</v>
      </c>
      <c r="Z27">
        <f t="shared" si="10"/>
        <v>2.4918895000000001</v>
      </c>
    </row>
    <row r="28" spans="1:26">
      <c r="A28" s="5">
        <v>1.4455058999999999</v>
      </c>
      <c r="B28" s="5">
        <v>0.60091000000000006</v>
      </c>
      <c r="C28">
        <f t="shared" si="1"/>
        <v>0.86861895036900005</v>
      </c>
      <c r="D28">
        <v>1.7000000000000001E-2</v>
      </c>
      <c r="E28">
        <v>3.8999999999999998E-3</v>
      </c>
      <c r="F28">
        <f t="shared" si="2"/>
        <v>289.10118</v>
      </c>
      <c r="G28">
        <f t="shared" si="3"/>
        <v>-0.60091000000000006</v>
      </c>
      <c r="H28">
        <f t="shared" si="4"/>
        <v>-173.72379007380002</v>
      </c>
      <c r="I28">
        <v>1</v>
      </c>
      <c r="J28">
        <f t="shared" si="5"/>
        <v>-1.2409785483355134</v>
      </c>
      <c r="K28">
        <f t="shared" si="6"/>
        <v>-0.6208151517752174</v>
      </c>
      <c r="L28">
        <v>1</v>
      </c>
      <c r="M28">
        <f t="shared" si="7"/>
        <v>0.59544465177816541</v>
      </c>
      <c r="N28">
        <f t="shared" si="13"/>
        <v>2.4573600300000002E-2</v>
      </c>
      <c r="O28">
        <f t="shared" si="11"/>
        <v>5.6374730099999996E-3</v>
      </c>
      <c r="P28">
        <f t="shared" si="12"/>
        <v>-4.8405733129480138E-3</v>
      </c>
      <c r="V28">
        <v>-3.6000000000000099</v>
      </c>
      <c r="W28">
        <f t="shared" si="9"/>
        <v>-0.41379999999999917</v>
      </c>
      <c r="Y28">
        <v>0.24</v>
      </c>
      <c r="Z28">
        <f t="shared" si="10"/>
        <v>2.6197059999999999</v>
      </c>
    </row>
    <row r="29" spans="1:26">
      <c r="A29" s="5">
        <v>1.5021163999999998</v>
      </c>
      <c r="B29" s="5">
        <v>0.59633000000000003</v>
      </c>
      <c r="C29">
        <f t="shared" si="1"/>
        <v>0.8957570728119999</v>
      </c>
      <c r="D29">
        <v>1.7000000000000001E-2</v>
      </c>
      <c r="E29">
        <v>3.8999999999999998E-3</v>
      </c>
      <c r="F29">
        <f t="shared" si="2"/>
        <v>300.42327999999998</v>
      </c>
      <c r="G29">
        <f t="shared" si="3"/>
        <v>-0.59633000000000003</v>
      </c>
      <c r="H29">
        <f t="shared" si="4"/>
        <v>-179.15141456239999</v>
      </c>
      <c r="I29">
        <v>1</v>
      </c>
      <c r="J29">
        <f t="shared" si="5"/>
        <v>-1.2025628654237641</v>
      </c>
      <c r="K29">
        <f t="shared" si="6"/>
        <v>-0.62539515177521743</v>
      </c>
      <c r="L29">
        <v>1</v>
      </c>
      <c r="M29">
        <f t="shared" si="7"/>
        <v>0.59840265936237014</v>
      </c>
      <c r="N29">
        <f t="shared" si="13"/>
        <v>2.5535978799999998E-2</v>
      </c>
      <c r="O29">
        <f t="shared" si="11"/>
        <v>5.8582539599999987E-3</v>
      </c>
      <c r="P29">
        <f t="shared" si="12"/>
        <v>-4.4017403471527054E-3</v>
      </c>
      <c r="V29">
        <v>-3.5000000000000102</v>
      </c>
      <c r="W29">
        <f t="shared" si="9"/>
        <v>-0.42149999999999915</v>
      </c>
      <c r="Y29">
        <v>0.25</v>
      </c>
      <c r="Z29">
        <f t="shared" si="10"/>
        <v>2.7475225000000001</v>
      </c>
    </row>
    <row r="30" spans="1:26">
      <c r="A30" s="5">
        <v>1.5604427999999999</v>
      </c>
      <c r="B30" s="5">
        <v>0.59175999999999995</v>
      </c>
      <c r="C30">
        <f t="shared" si="1"/>
        <v>0.92340763132799986</v>
      </c>
      <c r="D30">
        <v>1.7000000000000001E-2</v>
      </c>
      <c r="E30">
        <v>3.8999999999999998E-3</v>
      </c>
      <c r="F30">
        <f t="shared" si="2"/>
        <v>312.08855999999997</v>
      </c>
      <c r="G30">
        <f t="shared" si="3"/>
        <v>-0.59175999999999995</v>
      </c>
      <c r="H30">
        <f t="shared" si="4"/>
        <v>-184.68152626559998</v>
      </c>
      <c r="I30">
        <v>1</v>
      </c>
      <c r="J30">
        <f t="shared" si="5"/>
        <v>-1.1644682852955068</v>
      </c>
      <c r="K30">
        <f t="shared" si="6"/>
        <v>-0.6299651517752175</v>
      </c>
      <c r="L30">
        <v>1</v>
      </c>
      <c r="M30">
        <f t="shared" si="7"/>
        <v>0.60133594203224594</v>
      </c>
      <c r="N30">
        <f t="shared" si="13"/>
        <v>2.65275276E-2</v>
      </c>
      <c r="O30">
        <f t="shared" si="11"/>
        <v>6.0857269199999994E-3</v>
      </c>
      <c r="P30">
        <f t="shared" si="12"/>
        <v>-3.9840447770284372E-3</v>
      </c>
      <c r="V30">
        <v>-3.4000000000000101</v>
      </c>
      <c r="W30">
        <f t="shared" si="9"/>
        <v>-0.42919999999999919</v>
      </c>
      <c r="Y30">
        <v>0.26</v>
      </c>
      <c r="Z30">
        <f t="shared" si="10"/>
        <v>2.8753390000000003</v>
      </c>
    </row>
    <row r="31" spans="1:26">
      <c r="A31" s="5">
        <v>1.6176254000000001</v>
      </c>
      <c r="B31" s="5">
        <v>0.58735000000000004</v>
      </c>
      <c r="C31">
        <f t="shared" si="1"/>
        <v>0.95011227869000014</v>
      </c>
      <c r="D31">
        <v>1.7000000000000001E-2</v>
      </c>
      <c r="E31">
        <v>3.8999999999999998E-3</v>
      </c>
      <c r="F31">
        <f t="shared" si="2"/>
        <v>323.52508</v>
      </c>
      <c r="G31">
        <f t="shared" si="3"/>
        <v>-0.58735000000000004</v>
      </c>
      <c r="H31">
        <f t="shared" si="4"/>
        <v>-190.02245573800002</v>
      </c>
      <c r="I31">
        <v>1</v>
      </c>
      <c r="J31">
        <f t="shared" si="5"/>
        <v>-1.1284786409983345</v>
      </c>
      <c r="K31">
        <f t="shared" si="6"/>
        <v>-0.63437515177521742</v>
      </c>
      <c r="L31">
        <v>1</v>
      </c>
      <c r="M31">
        <f t="shared" si="7"/>
        <v>0.6041071446431282</v>
      </c>
      <c r="N31">
        <f t="shared" si="13"/>
        <v>2.7499631800000004E-2</v>
      </c>
      <c r="O31">
        <f t="shared" si="11"/>
        <v>6.3087390600000005E-3</v>
      </c>
      <c r="P31">
        <f t="shared" si="12"/>
        <v>-3.5403637279107902E-3</v>
      </c>
      <c r="V31">
        <v>-3.30000000000001</v>
      </c>
      <c r="W31">
        <f t="shared" si="9"/>
        <v>-0.43689999999999918</v>
      </c>
      <c r="Y31">
        <v>0.27</v>
      </c>
      <c r="Z31">
        <f t="shared" si="10"/>
        <v>3.0031555000000005</v>
      </c>
    </row>
    <row r="32" spans="1:26">
      <c r="A32" s="5">
        <v>1.6742359</v>
      </c>
      <c r="B32" s="5">
        <v>0.58299999999999996</v>
      </c>
      <c r="C32">
        <f t="shared" si="1"/>
        <v>0.97607952969999989</v>
      </c>
      <c r="D32">
        <v>1.7000000000000001E-2</v>
      </c>
      <c r="E32">
        <v>3.8999999999999998E-3</v>
      </c>
      <c r="F32">
        <f t="shared" si="2"/>
        <v>334.84717999999998</v>
      </c>
      <c r="G32">
        <f t="shared" si="3"/>
        <v>-0.58299999999999996</v>
      </c>
      <c r="H32">
        <f t="shared" si="4"/>
        <v>-195.21590593999997</v>
      </c>
      <c r="I32">
        <v>1</v>
      </c>
      <c r="J32">
        <f t="shared" si="5"/>
        <v>-1.0940810303428903</v>
      </c>
      <c r="K32">
        <f t="shared" si="6"/>
        <v>-0.63872515177521749</v>
      </c>
      <c r="L32">
        <v>1</v>
      </c>
      <c r="M32">
        <f t="shared" si="7"/>
        <v>0.60675576066359738</v>
      </c>
      <c r="N32">
        <f t="shared" si="13"/>
        <v>2.8462010300000003E-2</v>
      </c>
      <c r="O32">
        <f t="shared" si="11"/>
        <v>6.5295200099999996E-3</v>
      </c>
      <c r="P32">
        <f t="shared" si="12"/>
        <v>-3.0221391983798872E-3</v>
      </c>
      <c r="V32">
        <v>-3.2000000000000099</v>
      </c>
      <c r="W32">
        <f t="shared" si="9"/>
        <v>-0.44459999999999922</v>
      </c>
    </row>
    <row r="33" spans="1:23">
      <c r="A33" s="5">
        <v>1.7308466499999999</v>
      </c>
      <c r="B33" s="5">
        <v>0.57874000000000003</v>
      </c>
      <c r="C33">
        <f t="shared" si="1"/>
        <v>1.0017101902209999</v>
      </c>
      <c r="D33">
        <v>1.7000000000000001E-2</v>
      </c>
      <c r="E33">
        <v>3.8999999999999998E-3</v>
      </c>
      <c r="F33">
        <f t="shared" si="2"/>
        <v>346.16933</v>
      </c>
      <c r="G33">
        <f t="shared" si="3"/>
        <v>-0.57874000000000003</v>
      </c>
      <c r="H33">
        <f t="shared" si="4"/>
        <v>-200.3420380442</v>
      </c>
      <c r="I33">
        <v>1</v>
      </c>
      <c r="J33">
        <f t="shared" si="5"/>
        <v>-1.0608272305745579</v>
      </c>
      <c r="K33">
        <f t="shared" si="6"/>
        <v>-0.64298515177521742</v>
      </c>
      <c r="L33">
        <v>1</v>
      </c>
      <c r="M33">
        <f t="shared" si="7"/>
        <v>0.60931630324575903</v>
      </c>
      <c r="N33">
        <f t="shared" si="13"/>
        <v>2.9424393050000001E-2</v>
      </c>
      <c r="O33">
        <f t="shared" si="11"/>
        <v>6.7503019349999995E-3</v>
      </c>
      <c r="P33">
        <f t="shared" si="12"/>
        <v>-2.5058464555416052E-3</v>
      </c>
      <c r="V33">
        <v>-3.1000000000000099</v>
      </c>
      <c r="W33">
        <f t="shared" si="9"/>
        <v>-0.4522999999999992</v>
      </c>
    </row>
    <row r="34" spans="1:23">
      <c r="A34" s="5">
        <v>1.7903164</v>
      </c>
      <c r="B34" s="5">
        <v>0.57443</v>
      </c>
      <c r="C34">
        <f t="shared" si="1"/>
        <v>1.028411449652</v>
      </c>
      <c r="D34">
        <v>1.7000000000000001E-2</v>
      </c>
      <c r="E34">
        <v>3.8999999999999998E-3</v>
      </c>
      <c r="F34">
        <f t="shared" si="2"/>
        <v>358.06328000000002</v>
      </c>
      <c r="G34">
        <f t="shared" si="3"/>
        <v>-0.57443</v>
      </c>
      <c r="H34">
        <f t="shared" si="4"/>
        <v>-205.6822899304</v>
      </c>
      <c r="I34">
        <v>1</v>
      </c>
      <c r="J34">
        <f t="shared" si="5"/>
        <v>-1.0270455484250689</v>
      </c>
      <c r="K34">
        <f t="shared" si="6"/>
        <v>-0.64729515177521746</v>
      </c>
      <c r="L34">
        <v>1</v>
      </c>
      <c r="M34">
        <f t="shared" si="7"/>
        <v>0.61191749277126961</v>
      </c>
      <c r="N34">
        <f t="shared" si="13"/>
        <v>3.0435378800000003E-2</v>
      </c>
      <c r="O34">
        <f t="shared" si="11"/>
        <v>6.9822339599999996E-3</v>
      </c>
      <c r="P34">
        <f t="shared" si="12"/>
        <v>-2.0399537560521546E-3</v>
      </c>
      <c r="V34">
        <v>-3.0000000000000102</v>
      </c>
      <c r="W34">
        <f t="shared" si="9"/>
        <v>-0.45999999999999919</v>
      </c>
    </row>
    <row r="35" spans="1:23">
      <c r="A35" s="5">
        <v>1.8503579999999999</v>
      </c>
      <c r="B35" s="5">
        <v>0.57038</v>
      </c>
      <c r="C35">
        <f t="shared" si="1"/>
        <v>1.05540719604</v>
      </c>
      <c r="D35">
        <v>1.7000000000000001E-2</v>
      </c>
      <c r="E35">
        <v>3.8999999999999998E-3</v>
      </c>
      <c r="F35">
        <f t="shared" si="2"/>
        <v>370.07159999999999</v>
      </c>
      <c r="G35">
        <f t="shared" si="3"/>
        <v>-0.57038</v>
      </c>
      <c r="H35">
        <f t="shared" si="4"/>
        <v>-211.08143920800001</v>
      </c>
      <c r="I35">
        <v>1</v>
      </c>
      <c r="J35">
        <f t="shared" si="5"/>
        <v>-0.99405877855167823</v>
      </c>
      <c r="K35">
        <f t="shared" si="6"/>
        <v>-0.65134515177521746</v>
      </c>
      <c r="L35">
        <v>1</v>
      </c>
      <c r="M35">
        <f t="shared" si="7"/>
        <v>0.61445747405152074</v>
      </c>
      <c r="N35">
        <f t="shared" si="13"/>
        <v>3.1456086000000001E-2</v>
      </c>
      <c r="O35">
        <f t="shared" si="11"/>
        <v>7.2163961999999991E-3</v>
      </c>
      <c r="P35">
        <f t="shared" si="12"/>
        <v>-1.784804476303279E-3</v>
      </c>
      <c r="V35">
        <v>-2.9000000000000101</v>
      </c>
      <c r="W35">
        <f t="shared" si="9"/>
        <v>-0.46769999999999917</v>
      </c>
    </row>
    <row r="36" spans="1:23">
      <c r="A36" s="5">
        <v>1.90696865</v>
      </c>
      <c r="B36" s="5">
        <v>0.56586999999999998</v>
      </c>
      <c r="C36">
        <f t="shared" si="1"/>
        <v>1.0790963499755</v>
      </c>
      <c r="D36">
        <v>1.7000000000000001E-2</v>
      </c>
      <c r="E36">
        <v>3.8999999999999998E-3</v>
      </c>
      <c r="F36">
        <f t="shared" si="2"/>
        <v>381.39373000000001</v>
      </c>
      <c r="G36">
        <f t="shared" si="3"/>
        <v>-0.56586999999999998</v>
      </c>
      <c r="H36">
        <f t="shared" si="4"/>
        <v>-215.8192699951</v>
      </c>
      <c r="I36">
        <v>1</v>
      </c>
      <c r="J36">
        <f t="shared" si="5"/>
        <v>-0.96392302538461283</v>
      </c>
      <c r="K36">
        <f t="shared" si="6"/>
        <v>-0.65585515177521747</v>
      </c>
      <c r="L36">
        <v>1</v>
      </c>
      <c r="M36">
        <f t="shared" si="7"/>
        <v>0.61677792704538481</v>
      </c>
      <c r="N36">
        <f t="shared" si="13"/>
        <v>3.2418467050000004E-2</v>
      </c>
      <c r="O36">
        <f t="shared" si="11"/>
        <v>7.4371777349999998E-3</v>
      </c>
      <c r="P36">
        <f t="shared" si="12"/>
        <v>-7.7842005516734307E-4</v>
      </c>
      <c r="V36">
        <v>-2.80000000000001</v>
      </c>
      <c r="W36">
        <f t="shared" si="9"/>
        <v>-0.47539999999999916</v>
      </c>
    </row>
    <row r="37" spans="1:23">
      <c r="A37" s="5">
        <v>1.96357925</v>
      </c>
      <c r="B37" s="5">
        <v>0.56181000000000003</v>
      </c>
      <c r="C37">
        <f t="shared" si="1"/>
        <v>1.1031584584425</v>
      </c>
      <c r="D37">
        <v>1.7000000000000001E-2</v>
      </c>
      <c r="E37">
        <v>3.8999999999999998E-3</v>
      </c>
      <c r="F37">
        <f t="shared" si="2"/>
        <v>392.71584999999999</v>
      </c>
      <c r="G37">
        <f t="shared" si="3"/>
        <v>-0.56181000000000003</v>
      </c>
      <c r="H37">
        <f t="shared" si="4"/>
        <v>-220.63169168850001</v>
      </c>
      <c r="I37">
        <v>1</v>
      </c>
      <c r="J37">
        <f t="shared" si="5"/>
        <v>-0.93466895661349547</v>
      </c>
      <c r="K37">
        <f t="shared" si="6"/>
        <v>-0.65991515177521742</v>
      </c>
      <c r="L37">
        <v>1</v>
      </c>
      <c r="M37">
        <f t="shared" si="7"/>
        <v>0.61903049034076085</v>
      </c>
      <c r="N37">
        <f t="shared" si="13"/>
        <v>3.3380847250000005E-2</v>
      </c>
      <c r="O37">
        <f t="shared" si="11"/>
        <v>7.6579590749999999E-3</v>
      </c>
      <c r="P37">
        <f t="shared" si="12"/>
        <v>-1.5414489054343429E-4</v>
      </c>
      <c r="V37">
        <v>-2.7000000000000099</v>
      </c>
      <c r="W37">
        <f t="shared" si="9"/>
        <v>-0.4830999999999992</v>
      </c>
    </row>
    <row r="38" spans="1:23">
      <c r="A38" s="5">
        <v>2.0201899999999999</v>
      </c>
      <c r="B38" s="5">
        <v>0.55806</v>
      </c>
      <c r="C38">
        <f t="shared" si="1"/>
        <v>1.1273872314</v>
      </c>
      <c r="D38">
        <v>1.7000000000000001E-2</v>
      </c>
      <c r="E38">
        <v>3.8999999999999998E-3</v>
      </c>
      <c r="F38">
        <f t="shared" si="2"/>
        <v>404.03800000000001</v>
      </c>
      <c r="G38">
        <f t="shared" si="3"/>
        <v>-0.55806</v>
      </c>
      <c r="H38">
        <f t="shared" si="4"/>
        <v>-225.47744627999998</v>
      </c>
      <c r="I38">
        <v>1</v>
      </c>
      <c r="J38">
        <f t="shared" si="5"/>
        <v>-0.90624634603835497</v>
      </c>
      <c r="K38">
        <f t="shared" si="6"/>
        <v>-0.66366515177521745</v>
      </c>
      <c r="L38">
        <v>1</v>
      </c>
      <c r="M38">
        <f t="shared" si="7"/>
        <v>0.62121903135504664</v>
      </c>
      <c r="N38">
        <f t="shared" si="13"/>
        <v>3.4343230000000002E-2</v>
      </c>
      <c r="O38">
        <f t="shared" si="11"/>
        <v>7.8787409999999999E-3</v>
      </c>
      <c r="P38">
        <f t="shared" si="12"/>
        <v>2.2414942017081642E-4</v>
      </c>
      <c r="V38">
        <v>-2.6000000000000099</v>
      </c>
      <c r="W38">
        <f t="shared" si="9"/>
        <v>-0.49079999999999918</v>
      </c>
    </row>
    <row r="39" spans="1:23">
      <c r="A39" s="5">
        <v>2.0773726999999997</v>
      </c>
      <c r="B39" s="5">
        <v>0.55423</v>
      </c>
      <c r="C39">
        <f t="shared" si="1"/>
        <v>1.1513422715209998</v>
      </c>
      <c r="D39">
        <v>1.7000000000000001E-2</v>
      </c>
      <c r="E39">
        <v>3.8999999999999998E-3</v>
      </c>
      <c r="F39">
        <f t="shared" si="2"/>
        <v>415.47453999999993</v>
      </c>
      <c r="G39">
        <f t="shared" si="3"/>
        <v>-0.55423</v>
      </c>
      <c r="H39">
        <f t="shared" si="4"/>
        <v>-230.26845430419996</v>
      </c>
      <c r="I39">
        <v>1</v>
      </c>
      <c r="J39">
        <f t="shared" si="5"/>
        <v>-0.8783339421356593</v>
      </c>
      <c r="K39">
        <f t="shared" si="6"/>
        <v>-0.66749515177521745</v>
      </c>
      <c r="L39">
        <v>1</v>
      </c>
      <c r="M39">
        <f t="shared" si="7"/>
        <v>0.6233682864555542</v>
      </c>
      <c r="N39">
        <f t="shared" si="13"/>
        <v>3.5315335900000001E-2</v>
      </c>
      <c r="O39">
        <f t="shared" si="11"/>
        <v>8.1017535299999985E-3</v>
      </c>
      <c r="P39">
        <f t="shared" si="12"/>
        <v>7.0977588966325555E-4</v>
      </c>
      <c r="V39">
        <v>-2.5000000000000102</v>
      </c>
      <c r="W39">
        <f t="shared" si="9"/>
        <v>-0.49849999999999917</v>
      </c>
    </row>
    <row r="40" spans="1:23">
      <c r="A40" s="5">
        <v>2.1374142000000003</v>
      </c>
      <c r="B40" s="5">
        <v>0.55018</v>
      </c>
      <c r="C40">
        <f t="shared" si="1"/>
        <v>1.1759625445560002</v>
      </c>
      <c r="D40">
        <v>1.7000000000000001E-2</v>
      </c>
      <c r="E40">
        <v>3.8999999999999998E-3</v>
      </c>
      <c r="F40">
        <f t="shared" si="2"/>
        <v>427.48284000000007</v>
      </c>
      <c r="G40">
        <f t="shared" si="3"/>
        <v>-0.55018</v>
      </c>
      <c r="H40">
        <f t="shared" si="4"/>
        <v>-235.19250891120004</v>
      </c>
      <c r="I40">
        <v>1</v>
      </c>
      <c r="J40">
        <f t="shared" si="5"/>
        <v>-0.84984113176184461</v>
      </c>
      <c r="K40">
        <f t="shared" si="6"/>
        <v>-0.67154515177521745</v>
      </c>
      <c r="L40">
        <v>1</v>
      </c>
      <c r="M40">
        <f t="shared" si="7"/>
        <v>0.62556223285433787</v>
      </c>
      <c r="N40">
        <f t="shared" si="13"/>
        <v>3.6336041400000005E-2</v>
      </c>
      <c r="O40">
        <f t="shared" si="11"/>
        <v>8.3359153800000012E-3</v>
      </c>
      <c r="P40">
        <f t="shared" si="12"/>
        <v>1.3109621408795725E-3</v>
      </c>
      <c r="V40">
        <v>-2.4000000000000101</v>
      </c>
      <c r="W40">
        <f t="shared" si="9"/>
        <v>-0.50619999999999921</v>
      </c>
    </row>
    <row r="41" spans="1:23">
      <c r="A41" s="5">
        <v>2.1940249499999998</v>
      </c>
      <c r="B41" s="5">
        <v>0.54622999999999999</v>
      </c>
      <c r="C41">
        <f t="shared" si="1"/>
        <v>1.1984422484384998</v>
      </c>
      <c r="D41">
        <v>1.7000000000000001E-2</v>
      </c>
      <c r="E41">
        <v>3.8999999999999998E-3</v>
      </c>
      <c r="F41">
        <f t="shared" si="2"/>
        <v>438.80498999999998</v>
      </c>
      <c r="G41">
        <f t="shared" si="3"/>
        <v>-0.54622999999999999</v>
      </c>
      <c r="H41">
        <f t="shared" si="4"/>
        <v>-239.68844968769994</v>
      </c>
      <c r="I41">
        <v>1</v>
      </c>
      <c r="J41">
        <f t="shared" si="5"/>
        <v>-0.82370017872229429</v>
      </c>
      <c r="K41">
        <f t="shared" si="6"/>
        <v>-0.67549515177521746</v>
      </c>
      <c r="L41">
        <v>1</v>
      </c>
      <c r="M41">
        <f t="shared" si="7"/>
        <v>0.62757508623838332</v>
      </c>
      <c r="N41">
        <f t="shared" si="13"/>
        <v>3.7298424149999995E-2</v>
      </c>
      <c r="O41">
        <f t="shared" si="11"/>
        <v>8.5566973049999995E-3</v>
      </c>
      <c r="P41">
        <f t="shared" si="12"/>
        <v>2.0649440818341497E-3</v>
      </c>
      <c r="V41">
        <v>-2.30000000000001</v>
      </c>
      <c r="W41">
        <f t="shared" si="9"/>
        <v>-0.51389999999999914</v>
      </c>
    </row>
    <row r="42" spans="1:23">
      <c r="A42" s="5">
        <v>2.25177915</v>
      </c>
      <c r="B42" s="5">
        <v>0.54261999999999999</v>
      </c>
      <c r="C42">
        <f t="shared" si="1"/>
        <v>1.221860402373</v>
      </c>
      <c r="D42">
        <v>1.7000000000000001E-2</v>
      </c>
      <c r="E42">
        <v>3.8999999999999998E-3</v>
      </c>
      <c r="F42">
        <f t="shared" si="2"/>
        <v>450.35582999999997</v>
      </c>
      <c r="G42">
        <f t="shared" si="3"/>
        <v>-0.54261999999999999</v>
      </c>
      <c r="H42">
        <f t="shared" si="4"/>
        <v>-244.37208047459998</v>
      </c>
      <c r="I42">
        <v>1</v>
      </c>
      <c r="J42">
        <f t="shared" si="5"/>
        <v>-0.79771727534933379</v>
      </c>
      <c r="K42">
        <f t="shared" si="6"/>
        <v>-0.67910515177521746</v>
      </c>
      <c r="L42">
        <v>1</v>
      </c>
      <c r="M42">
        <f t="shared" si="7"/>
        <v>0.62957576979810126</v>
      </c>
      <c r="N42">
        <f t="shared" si="13"/>
        <v>3.8280245550000001E-2</v>
      </c>
      <c r="O42">
        <f t="shared" si="11"/>
        <v>8.781938684999999E-3</v>
      </c>
      <c r="P42">
        <f t="shared" si="12"/>
        <v>2.4671977421162044E-3</v>
      </c>
      <c r="V42">
        <v>-2.2000000000000099</v>
      </c>
      <c r="W42">
        <f t="shared" si="9"/>
        <v>-0.52159999999999918</v>
      </c>
    </row>
    <row r="43" spans="1:23">
      <c r="A43" s="5">
        <v>2.3095337000000002</v>
      </c>
      <c r="B43" s="5">
        <v>0.53866999999999998</v>
      </c>
      <c r="C43">
        <f t="shared" si="1"/>
        <v>1.2440765181790001</v>
      </c>
      <c r="D43">
        <v>1.7000000000000001E-2</v>
      </c>
      <c r="E43">
        <v>3.8999999999999998E-3</v>
      </c>
      <c r="F43">
        <f t="shared" si="2"/>
        <v>461.90674000000007</v>
      </c>
      <c r="G43">
        <f t="shared" si="3"/>
        <v>-0.53866999999999998</v>
      </c>
      <c r="H43">
        <f t="shared" si="4"/>
        <v>-248.81530363580003</v>
      </c>
      <c r="I43">
        <v>1</v>
      </c>
      <c r="J43">
        <f t="shared" si="5"/>
        <v>-0.77239226974902864</v>
      </c>
      <c r="K43">
        <f t="shared" si="6"/>
        <v>-0.68305515177521747</v>
      </c>
      <c r="L43">
        <v>1</v>
      </c>
      <c r="M43">
        <f t="shared" si="7"/>
        <v>0.63152579522932473</v>
      </c>
      <c r="N43">
        <f t="shared" si="13"/>
        <v>3.9262072900000007E-2</v>
      </c>
      <c r="O43">
        <f t="shared" si="11"/>
        <v>9.0071814300000004E-3</v>
      </c>
      <c r="P43">
        <f t="shared" si="12"/>
        <v>3.2601022158927385E-3</v>
      </c>
      <c r="V43">
        <v>-2.1000000000000099</v>
      </c>
      <c r="W43">
        <f t="shared" si="9"/>
        <v>-0.52929999999999922</v>
      </c>
    </row>
    <row r="44" spans="1:23">
      <c r="A44" s="5">
        <v>2.3661443499999999</v>
      </c>
      <c r="B44" s="5">
        <v>0.53503999999999996</v>
      </c>
      <c r="C44">
        <f t="shared" si="1"/>
        <v>1.2659818730239998</v>
      </c>
      <c r="D44">
        <v>1.7000000000000001E-2</v>
      </c>
      <c r="E44">
        <v>3.8999999999999998E-3</v>
      </c>
      <c r="F44">
        <f t="shared" si="2"/>
        <v>473.22886999999997</v>
      </c>
      <c r="G44">
        <f t="shared" si="3"/>
        <v>-0.53503999999999996</v>
      </c>
      <c r="H44">
        <f t="shared" si="4"/>
        <v>-253.19637460479996</v>
      </c>
      <c r="I44">
        <v>1</v>
      </c>
      <c r="J44">
        <f t="shared" si="5"/>
        <v>-0.74817613859524612</v>
      </c>
      <c r="K44">
        <f t="shared" si="6"/>
        <v>-0.68668515177521749</v>
      </c>
      <c r="L44">
        <v>1</v>
      </c>
      <c r="M44">
        <f t="shared" si="7"/>
        <v>0.63339043732816602</v>
      </c>
      <c r="N44">
        <f t="shared" si="13"/>
        <v>4.0224453950000003E-2</v>
      </c>
      <c r="O44">
        <f t="shared" si="11"/>
        <v>9.2279629649999993E-3</v>
      </c>
      <c r="P44">
        <f t="shared" si="12"/>
        <v>3.8422975320514703E-3</v>
      </c>
      <c r="V44">
        <v>-2.0000000000000102</v>
      </c>
      <c r="W44">
        <f t="shared" si="9"/>
        <v>-0.53699999999999914</v>
      </c>
    </row>
    <row r="45" spans="1:23">
      <c r="A45" s="5">
        <v>2.4233270500000001</v>
      </c>
      <c r="B45" s="5">
        <v>0.53108999999999995</v>
      </c>
      <c r="C45">
        <f t="shared" si="1"/>
        <v>1.2870047629845001</v>
      </c>
      <c r="D45">
        <v>1.7000000000000001E-2</v>
      </c>
      <c r="E45">
        <v>3.8999999999999998E-3</v>
      </c>
      <c r="F45">
        <f t="shared" si="2"/>
        <v>484.66541000000001</v>
      </c>
      <c r="G45">
        <f t="shared" si="3"/>
        <v>-0.53108999999999995</v>
      </c>
      <c r="H45">
        <f t="shared" si="4"/>
        <v>-257.40095259690003</v>
      </c>
      <c r="I45">
        <v>1</v>
      </c>
      <c r="J45">
        <f t="shared" si="5"/>
        <v>-0.72429650240746124</v>
      </c>
      <c r="K45">
        <f t="shared" si="6"/>
        <v>-0.6906351517752175</v>
      </c>
      <c r="L45">
        <v>1</v>
      </c>
      <c r="M45">
        <f t="shared" si="7"/>
        <v>0.63522916931462547</v>
      </c>
      <c r="N45">
        <f t="shared" si="13"/>
        <v>4.1196559850000009E-2</v>
      </c>
      <c r="O45">
        <f t="shared" si="11"/>
        <v>9.4509754949999997E-3</v>
      </c>
      <c r="P45">
        <f t="shared" si="12"/>
        <v>4.758447115592021E-3</v>
      </c>
      <c r="V45">
        <v>-1.9000000000000099</v>
      </c>
      <c r="W45">
        <f t="shared" si="9"/>
        <v>-0.54469999999999918</v>
      </c>
    </row>
    <row r="46" spans="1:23">
      <c r="A46" s="5">
        <v>2.4805093999999999</v>
      </c>
      <c r="B46" s="5">
        <v>0.52759</v>
      </c>
      <c r="C46">
        <f t="shared" si="1"/>
        <v>1.3086919543459998</v>
      </c>
      <c r="D46">
        <v>1.7000000000000001E-2</v>
      </c>
      <c r="E46">
        <v>3.8999999999999998E-3</v>
      </c>
      <c r="F46">
        <f t="shared" si="2"/>
        <v>496.10187999999999</v>
      </c>
      <c r="G46">
        <f t="shared" si="3"/>
        <v>-0.52759</v>
      </c>
      <c r="H46">
        <f t="shared" si="4"/>
        <v>-261.73839086919997</v>
      </c>
      <c r="I46">
        <v>1</v>
      </c>
      <c r="J46">
        <f t="shared" si="5"/>
        <v>-0.70097397012375751</v>
      </c>
      <c r="K46">
        <f t="shared" si="6"/>
        <v>-0.69413515177521745</v>
      </c>
      <c r="L46">
        <v>1</v>
      </c>
      <c r="M46">
        <f t="shared" si="7"/>
        <v>0.6370250043004706</v>
      </c>
      <c r="N46">
        <f t="shared" si="13"/>
        <v>4.2168659800000001E-2</v>
      </c>
      <c r="O46">
        <f t="shared" si="11"/>
        <v>9.6739866599999998E-3</v>
      </c>
      <c r="P46">
        <f t="shared" si="12"/>
        <v>5.2675010147468521E-3</v>
      </c>
      <c r="V46">
        <v>-1.80000000000001</v>
      </c>
      <c r="W46">
        <f t="shared" si="9"/>
        <v>-0.55239999999999911</v>
      </c>
    </row>
    <row r="47" spans="1:23">
      <c r="A47" s="5">
        <v>2.5371201500000002</v>
      </c>
      <c r="B47" s="5">
        <v>0.52405999999999997</v>
      </c>
      <c r="C47">
        <f t="shared" si="1"/>
        <v>1.3296031858090001</v>
      </c>
      <c r="D47">
        <v>1.7000000000000001E-2</v>
      </c>
      <c r="E47">
        <v>3.8999999999999998E-3</v>
      </c>
      <c r="F47">
        <f t="shared" si="2"/>
        <v>507.42403000000007</v>
      </c>
      <c r="G47">
        <f t="shared" si="3"/>
        <v>-0.52405999999999997</v>
      </c>
      <c r="H47">
        <f t="shared" si="4"/>
        <v>-265.92063716180002</v>
      </c>
      <c r="I47">
        <v>1</v>
      </c>
      <c r="J47">
        <f t="shared" si="5"/>
        <v>-0.67840827385282754</v>
      </c>
      <c r="K47">
        <f t="shared" si="6"/>
        <v>-0.69766515177521748</v>
      </c>
      <c r="L47">
        <v>1</v>
      </c>
      <c r="M47">
        <f t="shared" si="7"/>
        <v>0.63876256291333222</v>
      </c>
      <c r="N47">
        <f t="shared" si="13"/>
        <v>4.3131042550000005E-2</v>
      </c>
      <c r="O47">
        <f t="shared" si="11"/>
        <v>9.8947685849999998E-3</v>
      </c>
      <c r="P47">
        <f t="shared" si="12"/>
        <v>5.8767777268852583E-3</v>
      </c>
      <c r="V47">
        <v>-1.7000000000000199</v>
      </c>
      <c r="W47">
        <f t="shared" si="9"/>
        <v>-0.56009999999999838</v>
      </c>
    </row>
    <row r="48" spans="1:23">
      <c r="A48" s="5">
        <v>2.59716185</v>
      </c>
      <c r="B48" s="5">
        <v>0.52037</v>
      </c>
      <c r="C48">
        <f t="shared" si="1"/>
        <v>1.3514851118844999</v>
      </c>
      <c r="D48">
        <v>1.7000000000000001E-2</v>
      </c>
      <c r="E48">
        <v>3.8999999999999998E-3</v>
      </c>
      <c r="F48">
        <f t="shared" si="2"/>
        <v>519.43236999999999</v>
      </c>
      <c r="G48">
        <f t="shared" si="3"/>
        <v>-0.52037</v>
      </c>
      <c r="H48">
        <f t="shared" si="4"/>
        <v>-270.29702237689997</v>
      </c>
      <c r="I48">
        <v>1</v>
      </c>
      <c r="J48">
        <f t="shared" si="5"/>
        <v>-0.65501865978552254</v>
      </c>
      <c r="K48">
        <f t="shared" si="6"/>
        <v>-0.70135515177521746</v>
      </c>
      <c r="L48">
        <v>1</v>
      </c>
      <c r="M48">
        <f t="shared" si="7"/>
        <v>0.64056356319651475</v>
      </c>
      <c r="N48">
        <f t="shared" si="13"/>
        <v>4.4151751450000006E-2</v>
      </c>
      <c r="O48">
        <f t="shared" si="11"/>
        <v>1.0128931214999999E-2</v>
      </c>
      <c r="P48">
        <f t="shared" si="12"/>
        <v>6.5109059137026994E-3</v>
      </c>
      <c r="V48">
        <v>-1.6000000000000201</v>
      </c>
      <c r="W48">
        <f t="shared" si="9"/>
        <v>-0.56779999999999842</v>
      </c>
    </row>
    <row r="49" spans="1:23">
      <c r="A49" s="5">
        <v>2.6566316999999997</v>
      </c>
      <c r="B49" s="5">
        <v>0.51656000000000002</v>
      </c>
      <c r="C49">
        <f t="shared" si="1"/>
        <v>1.372309670952</v>
      </c>
      <c r="D49">
        <v>1.7000000000000001E-2</v>
      </c>
      <c r="E49">
        <v>3.8999999999999998E-3</v>
      </c>
      <c r="F49">
        <f t="shared" si="2"/>
        <v>531.32633999999996</v>
      </c>
      <c r="G49">
        <f t="shared" si="3"/>
        <v>-0.51656000000000002</v>
      </c>
      <c r="H49">
        <f t="shared" si="4"/>
        <v>-274.46193419039997</v>
      </c>
      <c r="I49">
        <v>1</v>
      </c>
      <c r="J49">
        <f t="shared" si="5"/>
        <v>-0.63237887024366801</v>
      </c>
      <c r="K49">
        <f t="shared" si="6"/>
        <v>-0.70516515177521744</v>
      </c>
      <c r="L49">
        <v>1</v>
      </c>
      <c r="M49">
        <f t="shared" si="7"/>
        <v>0.64230682699123753</v>
      </c>
      <c r="N49">
        <f t="shared" si="13"/>
        <v>4.5162738899999999E-2</v>
      </c>
      <c r="O49">
        <f t="shared" si="11"/>
        <v>1.0360863629999998E-2</v>
      </c>
      <c r="P49">
        <f t="shared" si="12"/>
        <v>7.3347222539799049E-3</v>
      </c>
      <c r="V49">
        <v>-1.50000000000002</v>
      </c>
      <c r="W49">
        <f t="shared" si="9"/>
        <v>-0.57549999999999846</v>
      </c>
    </row>
    <row r="50" spans="1:23">
      <c r="A50" s="5">
        <v>2.7155293999999999</v>
      </c>
      <c r="B50" s="5">
        <v>0.51319999999999999</v>
      </c>
      <c r="C50">
        <f t="shared" si="1"/>
        <v>1.39360968808</v>
      </c>
      <c r="D50">
        <v>1.7000000000000001E-2</v>
      </c>
      <c r="E50">
        <v>3.8999999999999998E-3</v>
      </c>
      <c r="F50">
        <f t="shared" si="2"/>
        <v>543.10587999999996</v>
      </c>
      <c r="G50">
        <f t="shared" si="3"/>
        <v>-0.51319999999999999</v>
      </c>
      <c r="H50">
        <f t="shared" si="4"/>
        <v>-278.72193761599999</v>
      </c>
      <c r="I50">
        <v>1</v>
      </c>
      <c r="J50">
        <f t="shared" si="5"/>
        <v>-0.61045098726453839</v>
      </c>
      <c r="K50">
        <f t="shared" si="6"/>
        <v>-0.70852515177521747</v>
      </c>
      <c r="L50">
        <v>1</v>
      </c>
      <c r="M50">
        <f t="shared" si="7"/>
        <v>0.6439952739806305</v>
      </c>
      <c r="N50">
        <f t="shared" si="13"/>
        <v>4.6163999800000001E-2</v>
      </c>
      <c r="O50">
        <f t="shared" si="11"/>
        <v>1.0590564659999999E-2</v>
      </c>
      <c r="P50">
        <f t="shared" si="12"/>
        <v>7.7753133345869647E-3</v>
      </c>
      <c r="V50">
        <v>-1.4000000000000199</v>
      </c>
      <c r="W50">
        <f t="shared" si="9"/>
        <v>-0.58319999999999839</v>
      </c>
    </row>
    <row r="51" spans="1:23">
      <c r="A51" s="5">
        <v>2.7727119499999997</v>
      </c>
      <c r="B51" s="5">
        <v>0.50961000000000001</v>
      </c>
      <c r="C51">
        <f t="shared" si="1"/>
        <v>1.4130017368394998</v>
      </c>
      <c r="D51">
        <v>1.7000000000000001E-2</v>
      </c>
      <c r="E51">
        <v>3.8999999999999998E-3</v>
      </c>
      <c r="F51">
        <f t="shared" si="2"/>
        <v>554.54238999999995</v>
      </c>
      <c r="G51">
        <f t="shared" si="3"/>
        <v>-0.50961000000000001</v>
      </c>
      <c r="H51">
        <f t="shared" si="4"/>
        <v>-282.60034736789999</v>
      </c>
      <c r="I51">
        <v>1</v>
      </c>
      <c r="J51">
        <f t="shared" si="5"/>
        <v>-0.58961202786388289</v>
      </c>
      <c r="K51">
        <f t="shared" si="6"/>
        <v>-0.71211515177521745</v>
      </c>
      <c r="L51">
        <v>1</v>
      </c>
      <c r="M51">
        <f t="shared" si="7"/>
        <v>0.64559987385448092</v>
      </c>
      <c r="N51">
        <f t="shared" si="13"/>
        <v>4.7136103149999997E-2</v>
      </c>
      <c r="O51">
        <f t="shared" si="11"/>
        <v>1.0813576604999998E-2</v>
      </c>
      <c r="P51">
        <f t="shared" si="12"/>
        <v>8.5655981657365311E-3</v>
      </c>
      <c r="V51">
        <v>-1.30000000000002</v>
      </c>
      <c r="W51">
        <f t="shared" si="9"/>
        <v>-0.59089999999999843</v>
      </c>
    </row>
    <row r="52" spans="1:23">
      <c r="A52" s="5">
        <v>2.83561255</v>
      </c>
      <c r="B52" s="5">
        <v>0.50563000000000002</v>
      </c>
      <c r="C52">
        <f t="shared" si="1"/>
        <v>1.4337707736565</v>
      </c>
      <c r="D52">
        <v>1.7000000000000001E-2</v>
      </c>
      <c r="E52">
        <v>3.8999999999999998E-3</v>
      </c>
      <c r="F52">
        <f t="shared" si="2"/>
        <v>567.12251000000003</v>
      </c>
      <c r="G52">
        <f t="shared" si="3"/>
        <v>-0.50563000000000002</v>
      </c>
      <c r="H52">
        <f t="shared" si="4"/>
        <v>-286.75415473129999</v>
      </c>
      <c r="I52">
        <v>1</v>
      </c>
      <c r="J52">
        <f t="shared" si="5"/>
        <v>-0.56717993157410118</v>
      </c>
      <c r="K52">
        <f t="shared" si="6"/>
        <v>-0.71609515177521743</v>
      </c>
      <c r="L52">
        <v>1</v>
      </c>
      <c r="M52">
        <f t="shared" si="7"/>
        <v>0.6473271452687942</v>
      </c>
      <c r="N52">
        <f t="shared" si="13"/>
        <v>4.8205413350000004E-2</v>
      </c>
      <c r="O52">
        <f t="shared" si="11"/>
        <v>1.1058888944999999E-2</v>
      </c>
      <c r="P52">
        <f t="shared" si="12"/>
        <v>9.5037042114232261E-3</v>
      </c>
      <c r="V52">
        <v>-1.2000000000000199</v>
      </c>
      <c r="W52">
        <f t="shared" si="9"/>
        <v>-0.59859999999999847</v>
      </c>
    </row>
    <row r="53" spans="1:23">
      <c r="A53" s="5">
        <v>2.8927952499999998</v>
      </c>
      <c r="B53" s="5">
        <v>0.50226000000000004</v>
      </c>
      <c r="C53">
        <f t="shared" si="1"/>
        <v>1.452935342265</v>
      </c>
      <c r="D53">
        <v>1.7000000000000001E-2</v>
      </c>
      <c r="E53">
        <v>3.8999999999999998E-3</v>
      </c>
      <c r="F53">
        <f t="shared" si="2"/>
        <v>578.55904999999996</v>
      </c>
      <c r="G53">
        <f t="shared" si="3"/>
        <v>-0.50226000000000004</v>
      </c>
      <c r="H53">
        <f t="shared" si="4"/>
        <v>-290.58706845299997</v>
      </c>
      <c r="I53">
        <v>1</v>
      </c>
      <c r="J53">
        <f t="shared" si="5"/>
        <v>-0.54721466322747159</v>
      </c>
      <c r="K53">
        <f t="shared" si="6"/>
        <v>-0.71946515177521742</v>
      </c>
      <c r="L53">
        <v>1</v>
      </c>
      <c r="M53">
        <f t="shared" si="7"/>
        <v>0.64886447093148458</v>
      </c>
      <c r="N53">
        <f t="shared" si="13"/>
        <v>4.9177519250000003E-2</v>
      </c>
      <c r="O53">
        <f t="shared" si="11"/>
        <v>1.1281901474999998E-2</v>
      </c>
      <c r="P53">
        <f t="shared" si="12"/>
        <v>1.0141260118732832E-2</v>
      </c>
      <c r="V53">
        <v>-1.1000000000000201</v>
      </c>
      <c r="W53">
        <f t="shared" si="9"/>
        <v>-0.6062999999999984</v>
      </c>
    </row>
    <row r="54" spans="1:23">
      <c r="A54" s="5">
        <v>2.9545524999999997</v>
      </c>
      <c r="B54" s="5">
        <v>0.49869999999999998</v>
      </c>
      <c r="C54">
        <f t="shared" si="1"/>
        <v>1.4734353317499997</v>
      </c>
      <c r="D54">
        <v>1.7000000000000001E-2</v>
      </c>
      <c r="E54">
        <v>3.8999999999999998E-3</v>
      </c>
      <c r="F54">
        <f t="shared" si="2"/>
        <v>590.91049999999996</v>
      </c>
      <c r="G54">
        <f t="shared" si="3"/>
        <v>-0.49869999999999998</v>
      </c>
      <c r="H54">
        <f t="shared" si="4"/>
        <v>-294.68706634999995</v>
      </c>
      <c r="I54">
        <v>1</v>
      </c>
      <c r="J54">
        <f t="shared" si="5"/>
        <v>-0.52609071128423768</v>
      </c>
      <c r="K54">
        <f t="shared" si="6"/>
        <v>-0.72302515177521753</v>
      </c>
      <c r="L54">
        <v>1</v>
      </c>
      <c r="M54">
        <f t="shared" si="7"/>
        <v>0.65049101523111363</v>
      </c>
      <c r="N54">
        <f t="shared" si="13"/>
        <v>5.0227392499999995E-2</v>
      </c>
      <c r="O54">
        <f t="shared" si="11"/>
        <v>1.1522754749999998E-2</v>
      </c>
      <c r="P54">
        <f t="shared" si="12"/>
        <v>1.0783989294103907E-2</v>
      </c>
      <c r="V54">
        <v>-1.00000000000002</v>
      </c>
      <c r="W54">
        <f t="shared" si="9"/>
        <v>-0.61399999999999844</v>
      </c>
    </row>
    <row r="55" spans="1:23">
      <c r="A55" s="5">
        <v>3.0117351999999999</v>
      </c>
      <c r="B55" s="5">
        <v>0.49497999999999998</v>
      </c>
      <c r="C55">
        <f t="shared" si="1"/>
        <v>1.4907486892959998</v>
      </c>
      <c r="D55">
        <v>1.7000000000000001E-2</v>
      </c>
      <c r="E55">
        <v>3.8999999999999998E-3</v>
      </c>
      <c r="F55">
        <f t="shared" si="2"/>
        <v>602.34703999999999</v>
      </c>
      <c r="G55">
        <f t="shared" si="3"/>
        <v>-0.49497999999999998</v>
      </c>
      <c r="H55">
        <f t="shared" si="4"/>
        <v>-298.14973785919994</v>
      </c>
      <c r="I55">
        <v>1</v>
      </c>
      <c r="J55">
        <f t="shared" si="5"/>
        <v>-0.50692152136784419</v>
      </c>
      <c r="K55">
        <f t="shared" si="6"/>
        <v>-0.72674515177521748</v>
      </c>
      <c r="L55">
        <v>1</v>
      </c>
      <c r="M55">
        <f t="shared" si="7"/>
        <v>0.65196704285467599</v>
      </c>
      <c r="N55">
        <f t="shared" si="13"/>
        <v>5.1199498400000001E-2</v>
      </c>
      <c r="O55">
        <f t="shared" si="11"/>
        <v>1.174576728E-2</v>
      </c>
      <c r="P55">
        <f t="shared" si="12"/>
        <v>1.1832843240541485E-2</v>
      </c>
      <c r="V55">
        <v>-0.90000000000002001</v>
      </c>
      <c r="W55">
        <f t="shared" si="9"/>
        <v>-0.62169999999999837</v>
      </c>
    </row>
    <row r="56" spans="1:23">
      <c r="A56" s="5">
        <v>3.0683456000000002</v>
      </c>
      <c r="B56" s="5">
        <v>0.49158000000000002</v>
      </c>
      <c r="C56">
        <f t="shared" si="1"/>
        <v>1.5083373300480001</v>
      </c>
      <c r="D56">
        <v>1.7000000000000001E-2</v>
      </c>
      <c r="E56">
        <v>3.8999999999999998E-3</v>
      </c>
      <c r="F56">
        <f t="shared" si="2"/>
        <v>613.66912000000002</v>
      </c>
      <c r="G56">
        <f t="shared" si="3"/>
        <v>-0.49158000000000002</v>
      </c>
      <c r="H56">
        <f t="shared" si="4"/>
        <v>-301.66746600959999</v>
      </c>
      <c r="I56">
        <v>1</v>
      </c>
      <c r="J56">
        <f t="shared" si="5"/>
        <v>-0.48829938859789229</v>
      </c>
      <c r="K56">
        <f t="shared" si="6"/>
        <v>-0.73014515177521744</v>
      </c>
      <c r="L56">
        <v>1</v>
      </c>
      <c r="M56">
        <f t="shared" si="7"/>
        <v>0.65340094707796226</v>
      </c>
      <c r="N56">
        <f t="shared" si="13"/>
        <v>5.2161875200000006E-2</v>
      </c>
      <c r="O56">
        <f t="shared" si="11"/>
        <v>1.1966547840000001E-2</v>
      </c>
      <c r="P56">
        <f t="shared" si="12"/>
        <v>1.2615781657255173E-2</v>
      </c>
      <c r="V56">
        <v>-0.80000000000002003</v>
      </c>
      <c r="W56">
        <f t="shared" si="9"/>
        <v>-0.62939999999999841</v>
      </c>
    </row>
    <row r="57" spans="1:23">
      <c r="A57" s="5">
        <v>3.1278152499999998</v>
      </c>
      <c r="B57" s="5">
        <v>0.48793999999999998</v>
      </c>
      <c r="C57">
        <f t="shared" si="1"/>
        <v>1.5261861730849999</v>
      </c>
      <c r="D57">
        <v>1.7000000000000001E-2</v>
      </c>
      <c r="E57">
        <v>3.8999999999999998E-3</v>
      </c>
      <c r="F57">
        <f t="shared" si="2"/>
        <v>625.56304999999998</v>
      </c>
      <c r="G57">
        <f t="shared" si="3"/>
        <v>-0.48793999999999998</v>
      </c>
      <c r="H57">
        <f t="shared" si="4"/>
        <v>-305.23723461700001</v>
      </c>
      <c r="I57">
        <v>1</v>
      </c>
      <c r="J57">
        <f t="shared" si="5"/>
        <v>-0.46910315479457382</v>
      </c>
      <c r="K57">
        <f t="shared" si="6"/>
        <v>-0.73378515177521741</v>
      </c>
      <c r="L57">
        <v>1</v>
      </c>
      <c r="M57">
        <f t="shared" si="7"/>
        <v>0.65487905708081773</v>
      </c>
      <c r="N57">
        <f t="shared" si="13"/>
        <v>5.3172859250000003E-2</v>
      </c>
      <c r="O57">
        <f t="shared" si="11"/>
        <v>1.2198479474999999E-2</v>
      </c>
      <c r="P57">
        <f t="shared" si="12"/>
        <v>1.3534755969399685E-2</v>
      </c>
      <c r="V57">
        <v>-0.70000000000002005</v>
      </c>
      <c r="W57">
        <f t="shared" si="9"/>
        <v>-0.63709999999999845</v>
      </c>
    </row>
    <row r="58" spans="1:23">
      <c r="A58" s="5">
        <v>3.1849977999999997</v>
      </c>
      <c r="B58" s="5">
        <v>0.48454000000000003</v>
      </c>
      <c r="C58">
        <f t="shared" si="1"/>
        <v>1.5432588340119999</v>
      </c>
      <c r="D58">
        <v>1.7000000000000001E-2</v>
      </c>
      <c r="E58">
        <v>3.8999999999999998E-3</v>
      </c>
      <c r="F58">
        <f t="shared" si="2"/>
        <v>636.99955999999997</v>
      </c>
      <c r="G58">
        <f t="shared" si="3"/>
        <v>-0.48454000000000003</v>
      </c>
      <c r="H58">
        <f t="shared" si="4"/>
        <v>-308.6517668024</v>
      </c>
      <c r="I58">
        <v>1</v>
      </c>
      <c r="J58">
        <f t="shared" si="5"/>
        <v>-0.45098631414804585</v>
      </c>
      <c r="K58">
        <f t="shared" si="6"/>
        <v>-0.73718515177521748</v>
      </c>
      <c r="L58">
        <v>1</v>
      </c>
      <c r="M58">
        <f t="shared" si="7"/>
        <v>0.65627405381060044</v>
      </c>
      <c r="N58">
        <f t="shared" si="13"/>
        <v>5.4144962599999999E-2</v>
      </c>
      <c r="O58">
        <f t="shared" si="11"/>
        <v>1.2421491419999998E-2</v>
      </c>
      <c r="P58">
        <f t="shared" si="12"/>
        <v>1.4344643944617043E-2</v>
      </c>
      <c r="V58">
        <v>-0.60000000000001996</v>
      </c>
      <c r="W58">
        <f t="shared" si="9"/>
        <v>-0.64479999999999837</v>
      </c>
    </row>
    <row r="59" spans="1:23">
      <c r="A59" s="5">
        <v>3.24332435</v>
      </c>
      <c r="B59" s="5">
        <v>0.48104000000000002</v>
      </c>
      <c r="C59">
        <f t="shared" si="1"/>
        <v>1.5601687453240001</v>
      </c>
      <c r="D59">
        <v>1.7000000000000001E-2</v>
      </c>
      <c r="E59">
        <v>3.8999999999999998E-3</v>
      </c>
      <c r="F59">
        <f t="shared" si="2"/>
        <v>648.66486999999995</v>
      </c>
      <c r="G59">
        <f t="shared" si="3"/>
        <v>-0.48104000000000002</v>
      </c>
      <c r="H59">
        <f t="shared" si="4"/>
        <v>-312.03374906480002</v>
      </c>
      <c r="I59">
        <v>1</v>
      </c>
      <c r="J59">
        <f t="shared" si="5"/>
        <v>-0.43283907469230498</v>
      </c>
      <c r="K59">
        <f t="shared" si="6"/>
        <v>-0.74068515177521743</v>
      </c>
      <c r="L59">
        <v>1</v>
      </c>
      <c r="M59">
        <f t="shared" si="7"/>
        <v>0.65767139124869245</v>
      </c>
      <c r="N59">
        <f t="shared" si="13"/>
        <v>5.513651395E-2</v>
      </c>
      <c r="O59">
        <f t="shared" si="11"/>
        <v>1.2648964964999999E-2</v>
      </c>
      <c r="P59">
        <f t="shared" si="12"/>
        <v>1.5228281611524983E-2</v>
      </c>
      <c r="V59">
        <v>-0.50000000000001998</v>
      </c>
      <c r="W59">
        <f t="shared" si="9"/>
        <v>-0.65249999999999841</v>
      </c>
    </row>
    <row r="60" spans="1:23">
      <c r="A60" s="5">
        <v>3.2999348500000001</v>
      </c>
      <c r="B60" s="5">
        <v>0.47774</v>
      </c>
      <c r="C60">
        <f t="shared" si="1"/>
        <v>1.576510875239</v>
      </c>
      <c r="D60">
        <v>1.7000000000000001E-2</v>
      </c>
      <c r="E60">
        <v>3.8999999999999998E-3</v>
      </c>
      <c r="F60">
        <f t="shared" si="2"/>
        <v>659.98697000000004</v>
      </c>
      <c r="G60">
        <f t="shared" si="3"/>
        <v>-0.47774</v>
      </c>
      <c r="H60">
        <f t="shared" si="4"/>
        <v>-315.30217504780001</v>
      </c>
      <c r="I60">
        <v>1</v>
      </c>
      <c r="J60">
        <f t="shared" si="5"/>
        <v>-0.41553518658079236</v>
      </c>
      <c r="K60">
        <f t="shared" si="6"/>
        <v>-0.7439851517752174</v>
      </c>
      <c r="L60">
        <v>1</v>
      </c>
      <c r="M60">
        <f t="shared" si="7"/>
        <v>0.65900379063327896</v>
      </c>
      <c r="N60">
        <f t="shared" si="13"/>
        <v>5.6098892450000007E-2</v>
      </c>
      <c r="O60">
        <f t="shared" si="11"/>
        <v>1.2869745915E-2</v>
      </c>
      <c r="P60">
        <f t="shared" si="12"/>
        <v>1.601272277693843E-2</v>
      </c>
      <c r="V60">
        <v>-0.40000000000002001</v>
      </c>
      <c r="W60">
        <f t="shared" si="9"/>
        <v>-0.66019999999999845</v>
      </c>
    </row>
    <row r="61" spans="1:23">
      <c r="A61" s="5">
        <v>3.3599765500000003</v>
      </c>
      <c r="B61" s="5">
        <v>0.47421000000000002</v>
      </c>
      <c r="C61">
        <f t="shared" si="1"/>
        <v>1.5933344797755002</v>
      </c>
      <c r="D61">
        <v>1.7000000000000001E-2</v>
      </c>
      <c r="E61">
        <v>3.8999999999999998E-3</v>
      </c>
      <c r="F61">
        <f t="shared" si="2"/>
        <v>671.99531000000002</v>
      </c>
      <c r="G61">
        <f t="shared" si="3"/>
        <v>-0.47421000000000002</v>
      </c>
      <c r="H61">
        <f t="shared" si="4"/>
        <v>-318.66689595510007</v>
      </c>
      <c r="I61">
        <v>1</v>
      </c>
      <c r="J61">
        <f t="shared" si="5"/>
        <v>-0.39750391765000864</v>
      </c>
      <c r="K61">
        <f t="shared" si="6"/>
        <v>-0.74751515177521743</v>
      </c>
      <c r="L61">
        <v>1</v>
      </c>
      <c r="M61">
        <f t="shared" si="7"/>
        <v>0.66039219834094931</v>
      </c>
      <c r="N61">
        <f t="shared" si="13"/>
        <v>5.7119601350000007E-2</v>
      </c>
      <c r="O61">
        <f t="shared" si="11"/>
        <v>1.3103908545000001E-2</v>
      </c>
      <c r="P61">
        <f t="shared" si="12"/>
        <v>1.6899443539268116E-2</v>
      </c>
      <c r="V61">
        <v>-0.30000000000001997</v>
      </c>
      <c r="W61">
        <f t="shared" si="9"/>
        <v>-0.66789999999999838</v>
      </c>
    </row>
    <row r="62" spans="1:23">
      <c r="A62" s="5">
        <v>3.4183028499999999</v>
      </c>
      <c r="B62" s="5">
        <v>0.47071000000000002</v>
      </c>
      <c r="C62">
        <f t="shared" si="1"/>
        <v>1.6090293345235001</v>
      </c>
      <c r="D62">
        <v>1.7000000000000001E-2</v>
      </c>
      <c r="E62">
        <v>3.8999999999999998E-3</v>
      </c>
      <c r="F62">
        <f t="shared" si="2"/>
        <v>683.66057000000001</v>
      </c>
      <c r="G62">
        <f t="shared" si="3"/>
        <v>-0.47071000000000002</v>
      </c>
      <c r="H62">
        <f t="shared" si="4"/>
        <v>-321.8058669047</v>
      </c>
      <c r="I62">
        <v>1</v>
      </c>
      <c r="J62">
        <f t="shared" si="5"/>
        <v>-0.38029372721879828</v>
      </c>
      <c r="K62">
        <f t="shared" si="6"/>
        <v>-0.75101515177521749</v>
      </c>
      <c r="L62">
        <v>1</v>
      </c>
      <c r="M62">
        <f t="shared" si="7"/>
        <v>0.6617173830041525</v>
      </c>
      <c r="N62">
        <f t="shared" si="13"/>
        <v>5.8111148450000004E-2</v>
      </c>
      <c r="O62">
        <f t="shared" si="11"/>
        <v>1.3331381114999999E-2</v>
      </c>
      <c r="P62">
        <f t="shared" si="12"/>
        <v>1.7855239206064986E-2</v>
      </c>
      <c r="V62">
        <v>-0.20000000000002</v>
      </c>
      <c r="W62">
        <f t="shared" si="9"/>
        <v>-0.67559999999999842</v>
      </c>
    </row>
    <row r="63" spans="1:23">
      <c r="A63" s="5">
        <v>3.4749135999999998</v>
      </c>
      <c r="B63" s="5">
        <v>0.46734999999999999</v>
      </c>
      <c r="C63">
        <f t="shared" si="1"/>
        <v>1.6240008709599998</v>
      </c>
      <c r="D63">
        <v>1.7000000000000001E-2</v>
      </c>
      <c r="E63">
        <v>3.8999999999999998E-3</v>
      </c>
      <c r="F63">
        <f t="shared" si="2"/>
        <v>694.98271999999997</v>
      </c>
      <c r="G63">
        <f t="shared" si="3"/>
        <v>-0.46734999999999999</v>
      </c>
      <c r="H63">
        <f t="shared" si="4"/>
        <v>-324.80017419199999</v>
      </c>
      <c r="I63">
        <v>1</v>
      </c>
      <c r="J63">
        <f t="shared" si="5"/>
        <v>-0.36386829703579471</v>
      </c>
      <c r="K63">
        <f t="shared" si="6"/>
        <v>-0.75437515177521752</v>
      </c>
      <c r="L63">
        <v>1</v>
      </c>
      <c r="M63">
        <f t="shared" si="7"/>
        <v>0.66298214112824372</v>
      </c>
      <c r="N63">
        <f t="shared" si="13"/>
        <v>5.9073531200000001E-2</v>
      </c>
      <c r="O63">
        <f t="shared" si="11"/>
        <v>1.3552163039999999E-2</v>
      </c>
      <c r="P63">
        <f t="shared" si="12"/>
        <v>1.8767316406973805E-2</v>
      </c>
      <c r="V63">
        <v>-0.10000000000002</v>
      </c>
      <c r="W63">
        <f t="shared" si="9"/>
        <v>-0.68329999999999835</v>
      </c>
    </row>
    <row r="64" spans="1:23">
      <c r="A64" s="5">
        <v>3.5349547000000001</v>
      </c>
      <c r="B64" s="5">
        <v>0.46394000000000002</v>
      </c>
      <c r="C64">
        <f t="shared" si="1"/>
        <v>1.6400068835180002</v>
      </c>
      <c r="D64">
        <v>1.7000000000000001E-2</v>
      </c>
      <c r="E64">
        <v>3.8999999999999998E-3</v>
      </c>
      <c r="F64">
        <f t="shared" si="2"/>
        <v>706.99094000000002</v>
      </c>
      <c r="G64">
        <f t="shared" si="3"/>
        <v>-0.46394000000000002</v>
      </c>
      <c r="H64">
        <f t="shared" si="4"/>
        <v>-328.00137670360004</v>
      </c>
      <c r="I64">
        <v>1</v>
      </c>
      <c r="J64">
        <f t="shared" si="5"/>
        <v>-0.34673742787771572</v>
      </c>
      <c r="K64">
        <f t="shared" si="6"/>
        <v>-0.75778515177521744</v>
      </c>
      <c r="L64">
        <v>1</v>
      </c>
      <c r="M64">
        <f t="shared" si="7"/>
        <v>0.6643012180534158</v>
      </c>
      <c r="N64">
        <f t="shared" si="13"/>
        <v>6.0094229900000004E-2</v>
      </c>
      <c r="O64">
        <f t="shared" si="11"/>
        <v>1.3786323329999999E-2</v>
      </c>
      <c r="P64">
        <f t="shared" si="12"/>
        <v>1.9603380491801634E-2</v>
      </c>
      <c r="V64">
        <v>-2.0428103653102899E-14</v>
      </c>
      <c r="W64">
        <f t="shared" si="9"/>
        <v>-0.69099999999999839</v>
      </c>
    </row>
    <row r="65" spans="1:23">
      <c r="A65" s="5">
        <v>3.5921372000000003</v>
      </c>
      <c r="B65" s="5">
        <v>0.46024999999999999</v>
      </c>
      <c r="C65">
        <f t="shared" si="1"/>
        <v>1.6532811463000001</v>
      </c>
      <c r="D65">
        <v>1.7000000000000001E-2</v>
      </c>
      <c r="E65">
        <v>3.8999999999999998E-3</v>
      </c>
      <c r="F65">
        <f t="shared" si="2"/>
        <v>718.42744000000005</v>
      </c>
      <c r="G65">
        <f t="shared" si="3"/>
        <v>-0.46024999999999999</v>
      </c>
      <c r="H65">
        <f t="shared" si="4"/>
        <v>-330.65622926000003</v>
      </c>
      <c r="I65">
        <v>1</v>
      </c>
      <c r="J65">
        <f t="shared" si="5"/>
        <v>-0.33069056673250413</v>
      </c>
      <c r="K65">
        <f t="shared" si="6"/>
        <v>-0.76147515177521741</v>
      </c>
      <c r="L65">
        <v>1</v>
      </c>
      <c r="M65">
        <f t="shared" si="7"/>
        <v>0.66553682636159717</v>
      </c>
      <c r="N65">
        <f t="shared" si="13"/>
        <v>6.1066332400000006E-2</v>
      </c>
      <c r="O65">
        <f t="shared" si="11"/>
        <v>1.4009335080000001E-2</v>
      </c>
      <c r="P65">
        <f t="shared" si="12"/>
        <v>2.0862657933620233E-2</v>
      </c>
      <c r="V65">
        <v>9.9999999999980105E-2</v>
      </c>
      <c r="W65">
        <f t="shared" si="9"/>
        <v>-0.69869999999999843</v>
      </c>
    </row>
    <row r="66" spans="1:23">
      <c r="A66" s="5">
        <v>3.6493200999999997</v>
      </c>
      <c r="B66" s="5">
        <v>0.45689000000000002</v>
      </c>
      <c r="C66">
        <f t="shared" si="1"/>
        <v>1.6673378604889999</v>
      </c>
      <c r="D66">
        <v>1.7000000000000001E-2</v>
      </c>
      <c r="E66">
        <v>3.8999999999999998E-3</v>
      </c>
      <c r="F66">
        <f t="shared" si="2"/>
        <v>729.86401999999998</v>
      </c>
      <c r="G66">
        <f t="shared" si="3"/>
        <v>-0.45689000000000002</v>
      </c>
      <c r="H66">
        <f t="shared" si="4"/>
        <v>-333.46757209779997</v>
      </c>
      <c r="I66">
        <v>1</v>
      </c>
      <c r="J66">
        <f t="shared" si="5"/>
        <v>-0.31489703616345421</v>
      </c>
      <c r="K66">
        <f t="shared" si="6"/>
        <v>-0.76483515177521744</v>
      </c>
      <c r="L66">
        <v>1</v>
      </c>
      <c r="M66">
        <f t="shared" si="7"/>
        <v>0.66675292821541399</v>
      </c>
      <c r="N66">
        <f t="shared" si="13"/>
        <v>6.2038441700000002E-2</v>
      </c>
      <c r="O66">
        <f t="shared" si="11"/>
        <v>1.4232348389999998E-2</v>
      </c>
      <c r="P66">
        <f t="shared" si="12"/>
        <v>2.1811433469803451E-2</v>
      </c>
      <c r="V66">
        <v>0.19999999999998</v>
      </c>
      <c r="W66">
        <f t="shared" si="9"/>
        <v>-0.70639999999999836</v>
      </c>
    </row>
    <row r="67" spans="1:23">
      <c r="A67" s="5">
        <v>3.7087896499999999</v>
      </c>
      <c r="B67" s="5">
        <v>0.45352999999999999</v>
      </c>
      <c r="C67">
        <f t="shared" si="1"/>
        <v>1.6820473699645</v>
      </c>
      <c r="D67">
        <v>1.7000000000000001E-2</v>
      </c>
      <c r="E67">
        <v>3.8999999999999998E-3</v>
      </c>
      <c r="F67">
        <f t="shared" si="2"/>
        <v>741.75792999999999</v>
      </c>
      <c r="G67">
        <f t="shared" si="3"/>
        <v>-0.45352999999999999</v>
      </c>
      <c r="H67">
        <f t="shared" si="4"/>
        <v>-336.40947399290002</v>
      </c>
      <c r="I67">
        <v>1</v>
      </c>
      <c r="J67">
        <f t="shared" si="5"/>
        <v>-0.29873232893475049</v>
      </c>
      <c r="K67">
        <f t="shared" si="6"/>
        <v>-0.76819515177521747</v>
      </c>
      <c r="L67">
        <v>1</v>
      </c>
      <c r="M67">
        <f t="shared" si="7"/>
        <v>0.66799761067202412</v>
      </c>
      <c r="N67">
        <f t="shared" si="13"/>
        <v>6.3049424049999997E-2</v>
      </c>
      <c r="O67">
        <f t="shared" si="11"/>
        <v>1.4464279634999999E-2</v>
      </c>
      <c r="P67">
        <f t="shared" si="12"/>
        <v>2.2683837418193346E-2</v>
      </c>
      <c r="V67">
        <v>0.29999999999998</v>
      </c>
      <c r="W67">
        <f t="shared" si="9"/>
        <v>-0.7140999999999984</v>
      </c>
    </row>
    <row r="68" spans="1:23">
      <c r="A68" s="5">
        <v>3.7676877499999999</v>
      </c>
      <c r="B68" s="5">
        <v>0.44996000000000003</v>
      </c>
      <c r="C68">
        <f t="shared" si="1"/>
        <v>1.69530877999</v>
      </c>
      <c r="D68">
        <v>1.7000000000000001E-2</v>
      </c>
      <c r="E68">
        <v>3.8999999999999998E-3</v>
      </c>
      <c r="F68">
        <f t="shared" si="2"/>
        <v>753.53755000000001</v>
      </c>
      <c r="G68">
        <f t="shared" si="3"/>
        <v>-0.44996000000000003</v>
      </c>
      <c r="H68">
        <f t="shared" si="4"/>
        <v>-339.06175599799997</v>
      </c>
      <c r="I68">
        <v>1</v>
      </c>
      <c r="J68">
        <f t="shared" si="5"/>
        <v>-0.28297642804976647</v>
      </c>
      <c r="K68">
        <f t="shared" si="6"/>
        <v>-0.77176515177521743</v>
      </c>
      <c r="L68">
        <v>1</v>
      </c>
      <c r="M68">
        <f t="shared" si="7"/>
        <v>0.66921081504016788</v>
      </c>
      <c r="N68">
        <f t="shared" si="13"/>
        <v>6.4050691749999999E-2</v>
      </c>
      <c r="O68">
        <f t="shared" si="11"/>
        <v>1.4693982224999999E-2</v>
      </c>
      <c r="P68">
        <f t="shared" si="12"/>
        <v>2.3809662760049546E-2</v>
      </c>
      <c r="V68">
        <v>0.39999999999997998</v>
      </c>
      <c r="W68">
        <f t="shared" si="9"/>
        <v>-0.72179999999999844</v>
      </c>
    </row>
    <row r="69" spans="1:23">
      <c r="A69" s="5">
        <v>3.8277293500000003</v>
      </c>
      <c r="B69" s="5">
        <v>0.44639000000000001</v>
      </c>
      <c r="C69">
        <f t="shared" ref="C69:C132" si="14">A69*B69</f>
        <v>1.7086601045465002</v>
      </c>
      <c r="D69">
        <v>1.7000000000000001E-2</v>
      </c>
      <c r="E69">
        <v>3.8999999999999998E-3</v>
      </c>
      <c r="F69">
        <f t="shared" ref="F69:F132" si="15">A69*200</f>
        <v>765.54587000000004</v>
      </c>
      <c r="G69">
        <f t="shared" ref="G69:G132" si="16">-B69</f>
        <v>-0.44639000000000001</v>
      </c>
      <c r="H69">
        <f t="shared" ref="H69:H132" si="17">-C69*200</f>
        <v>-341.73202090930005</v>
      </c>
      <c r="I69">
        <v>1</v>
      </c>
      <c r="J69">
        <f t="shared" ref="J69:J132" si="18">LN(F69/1000)</f>
        <v>-0.26716614405977074</v>
      </c>
      <c r="K69">
        <f t="shared" ref="K69:K132" si="19">((-G69)-$N$2)</f>
        <v>-0.77533515177521739</v>
      </c>
      <c r="L69">
        <v>1</v>
      </c>
      <c r="M69">
        <f t="shared" ref="M69:M132" si="20">-1*($S$4+($S$5*J69))</f>
        <v>0.67042820690739757</v>
      </c>
      <c r="N69">
        <f t="shared" si="13"/>
        <v>6.5071398950000012E-2</v>
      </c>
      <c r="O69">
        <f t="shared" si="11"/>
        <v>1.4928144465000001E-2</v>
      </c>
      <c r="P69">
        <f t="shared" si="12"/>
        <v>2.4907401452819805E-2</v>
      </c>
      <c r="V69">
        <v>0.49999999999998002</v>
      </c>
      <c r="W69">
        <f t="shared" ref="W69:W132" si="21">V69*$S$5+$S$4</f>
        <v>-0.72949999999999837</v>
      </c>
    </row>
    <row r="70" spans="1:23">
      <c r="A70" s="5">
        <v>3.8849117</v>
      </c>
      <c r="B70" s="5">
        <v>0.44263000000000002</v>
      </c>
      <c r="C70">
        <f t="shared" si="14"/>
        <v>1.719578465771</v>
      </c>
      <c r="D70">
        <v>1.7000000000000001E-2</v>
      </c>
      <c r="E70">
        <v>3.8999999999999998E-3</v>
      </c>
      <c r="F70">
        <f t="shared" si="15"/>
        <v>776.98234000000002</v>
      </c>
      <c r="G70">
        <f t="shared" si="16"/>
        <v>-0.44263000000000002</v>
      </c>
      <c r="H70">
        <f t="shared" si="17"/>
        <v>-343.91569315420003</v>
      </c>
      <c r="I70">
        <v>1</v>
      </c>
      <c r="J70">
        <f t="shared" si="18"/>
        <v>-0.25233765731551305</v>
      </c>
      <c r="K70">
        <f t="shared" si="19"/>
        <v>-0.77909515177521738</v>
      </c>
      <c r="L70">
        <v>1</v>
      </c>
      <c r="M70">
        <f t="shared" si="20"/>
        <v>0.67157000038670545</v>
      </c>
      <c r="N70">
        <f t="shared" si="13"/>
        <v>6.6043498900000011E-2</v>
      </c>
      <c r="O70">
        <f t="shared" ref="O70:O133" si="22">E70*A70</f>
        <v>1.515115563E-2</v>
      </c>
      <c r="P70">
        <f t="shared" ref="P70:P133" si="23">-K70-M70-N70-O70</f>
        <v>2.633049685851192E-2</v>
      </c>
      <c r="V70">
        <v>0.59999999999997999</v>
      </c>
      <c r="W70">
        <f t="shared" si="21"/>
        <v>-0.73719999999999841</v>
      </c>
    </row>
    <row r="71" spans="1:23">
      <c r="A71" s="5">
        <v>3.9432378999999997</v>
      </c>
      <c r="B71" s="5">
        <v>0.43946000000000002</v>
      </c>
      <c r="C71">
        <f t="shared" si="14"/>
        <v>1.732895327534</v>
      </c>
      <c r="D71">
        <v>1.7000000000000001E-2</v>
      </c>
      <c r="E71">
        <v>3.8999999999999998E-3</v>
      </c>
      <c r="F71">
        <f t="shared" si="15"/>
        <v>788.64757999999995</v>
      </c>
      <c r="G71">
        <f t="shared" si="16"/>
        <v>-0.43946000000000002</v>
      </c>
      <c r="H71">
        <f t="shared" si="17"/>
        <v>-346.57906550680002</v>
      </c>
      <c r="I71">
        <v>1</v>
      </c>
      <c r="J71">
        <f t="shared" si="18"/>
        <v>-0.23743572458820009</v>
      </c>
      <c r="K71">
        <f t="shared" si="19"/>
        <v>-0.78226515177521749</v>
      </c>
      <c r="L71">
        <v>1</v>
      </c>
      <c r="M71">
        <f t="shared" si="20"/>
        <v>0.67271744920670851</v>
      </c>
      <c r="N71">
        <f t="shared" ref="N71:N134" si="24">D71*A71</f>
        <v>6.7035044299999999E-2</v>
      </c>
      <c r="O71">
        <f t="shared" si="22"/>
        <v>1.5378627809999998E-2</v>
      </c>
      <c r="P71">
        <f t="shared" si="23"/>
        <v>2.7134030458508991E-2</v>
      </c>
      <c r="V71">
        <v>0.69999999999997997</v>
      </c>
      <c r="W71">
        <f t="shared" si="21"/>
        <v>-0.74489999999999845</v>
      </c>
    </row>
    <row r="72" spans="1:23">
      <c r="A72" s="5">
        <v>4.0027080999999995</v>
      </c>
      <c r="B72" s="5">
        <v>0.43623000000000001</v>
      </c>
      <c r="C72">
        <f t="shared" si="14"/>
        <v>1.7461013544629997</v>
      </c>
      <c r="D72">
        <v>1.7000000000000001E-2</v>
      </c>
      <c r="E72">
        <v>3.8999999999999998E-3</v>
      </c>
      <c r="F72">
        <f t="shared" si="15"/>
        <v>800.54161999999997</v>
      </c>
      <c r="G72">
        <f t="shared" si="16"/>
        <v>-0.43623000000000001</v>
      </c>
      <c r="H72">
        <f t="shared" si="17"/>
        <v>-349.22027089259996</v>
      </c>
      <c r="I72">
        <v>1</v>
      </c>
      <c r="J72">
        <f t="shared" si="18"/>
        <v>-0.22246675539224658</v>
      </c>
      <c r="K72">
        <f t="shared" si="19"/>
        <v>-0.78549515177521745</v>
      </c>
      <c r="L72">
        <v>1</v>
      </c>
      <c r="M72">
        <f t="shared" si="20"/>
        <v>0.67387005983479698</v>
      </c>
      <c r="N72">
        <f t="shared" si="24"/>
        <v>6.8046037699999992E-2</v>
      </c>
      <c r="O72">
        <f t="shared" si="22"/>
        <v>1.5610561589999997E-2</v>
      </c>
      <c r="P72">
        <f t="shared" si="23"/>
        <v>2.7968492650420486E-2</v>
      </c>
      <c r="V72">
        <v>0.79999999999997995</v>
      </c>
      <c r="W72">
        <f t="shared" si="21"/>
        <v>-0.75259999999999838</v>
      </c>
    </row>
    <row r="73" spans="1:23">
      <c r="A73" s="5">
        <v>4.0616059499999997</v>
      </c>
      <c r="B73" s="5">
        <v>0.43230000000000002</v>
      </c>
      <c r="C73">
        <f t="shared" si="14"/>
        <v>1.7558322521849998</v>
      </c>
      <c r="D73">
        <v>1.7000000000000001E-2</v>
      </c>
      <c r="E73">
        <v>3.8999999999999998E-3</v>
      </c>
      <c r="F73">
        <f t="shared" si="15"/>
        <v>812.32118999999989</v>
      </c>
      <c r="G73">
        <f t="shared" si="16"/>
        <v>-0.43230000000000002</v>
      </c>
      <c r="H73">
        <f t="shared" si="17"/>
        <v>-351.16645043699998</v>
      </c>
      <c r="I73">
        <v>1</v>
      </c>
      <c r="J73">
        <f t="shared" si="18"/>
        <v>-0.20785946284420082</v>
      </c>
      <c r="K73">
        <f t="shared" si="19"/>
        <v>-0.78942515177521744</v>
      </c>
      <c r="L73">
        <v>1</v>
      </c>
      <c r="M73">
        <f t="shared" si="20"/>
        <v>0.67499482136099653</v>
      </c>
      <c r="N73">
        <f t="shared" si="24"/>
        <v>6.9047301150000004E-2</v>
      </c>
      <c r="O73">
        <f t="shared" si="22"/>
        <v>1.5840263204999996E-2</v>
      </c>
      <c r="P73">
        <f t="shared" si="23"/>
        <v>2.9542766059220904E-2</v>
      </c>
      <c r="V73">
        <v>0.89999999999998004</v>
      </c>
      <c r="W73">
        <f t="shared" si="21"/>
        <v>-0.76029999999999842</v>
      </c>
    </row>
    <row r="74" spans="1:23">
      <c r="A74" s="5">
        <v>4.1199319000000001</v>
      </c>
      <c r="B74" s="5">
        <v>0.42881000000000002</v>
      </c>
      <c r="C74">
        <f t="shared" si="14"/>
        <v>1.7666679980390001</v>
      </c>
      <c r="D74">
        <v>1.7000000000000001E-2</v>
      </c>
      <c r="E74">
        <v>3.8999999999999998E-3</v>
      </c>
      <c r="F74">
        <f t="shared" si="15"/>
        <v>823.98638000000005</v>
      </c>
      <c r="G74">
        <f t="shared" si="16"/>
        <v>-0.42881000000000002</v>
      </c>
      <c r="H74">
        <f t="shared" si="17"/>
        <v>-353.33359960780001</v>
      </c>
      <c r="I74">
        <v>1</v>
      </c>
      <c r="J74">
        <f t="shared" si="18"/>
        <v>-0.19360127833548643</v>
      </c>
      <c r="K74">
        <f t="shared" si="19"/>
        <v>-0.79291515177521743</v>
      </c>
      <c r="L74">
        <v>1</v>
      </c>
      <c r="M74">
        <f t="shared" si="20"/>
        <v>0.67609270156816748</v>
      </c>
      <c r="N74">
        <f t="shared" si="24"/>
        <v>7.0038842300000001E-2</v>
      </c>
      <c r="O74">
        <f t="shared" si="22"/>
        <v>1.6067734409999999E-2</v>
      </c>
      <c r="P74">
        <f t="shared" si="23"/>
        <v>3.0715873497049954E-2</v>
      </c>
      <c r="V74">
        <v>0.99999999999998002</v>
      </c>
      <c r="W74">
        <f t="shared" si="21"/>
        <v>-0.76799999999999846</v>
      </c>
    </row>
    <row r="75" spans="1:23">
      <c r="A75" s="5">
        <v>4.1782580999999999</v>
      </c>
      <c r="B75" s="5">
        <v>0.42515999999999998</v>
      </c>
      <c r="C75">
        <f t="shared" si="14"/>
        <v>1.7764282137959999</v>
      </c>
      <c r="D75">
        <v>1.7000000000000001E-2</v>
      </c>
      <c r="E75">
        <v>3.8999999999999998E-3</v>
      </c>
      <c r="F75">
        <f t="shared" si="15"/>
        <v>835.65161999999998</v>
      </c>
      <c r="G75">
        <f t="shared" si="16"/>
        <v>-0.42515999999999998</v>
      </c>
      <c r="H75">
        <f t="shared" si="17"/>
        <v>-355.28564275919996</v>
      </c>
      <c r="I75">
        <v>1</v>
      </c>
      <c r="J75">
        <f t="shared" si="18"/>
        <v>-0.17954347523841971</v>
      </c>
      <c r="K75">
        <f t="shared" si="19"/>
        <v>-0.79656515177521747</v>
      </c>
      <c r="L75">
        <v>1</v>
      </c>
      <c r="M75">
        <f t="shared" si="20"/>
        <v>0.67717515240664161</v>
      </c>
      <c r="N75">
        <f t="shared" si="24"/>
        <v>7.1030387700000003E-2</v>
      </c>
      <c r="O75">
        <f t="shared" si="22"/>
        <v>1.629520659E-2</v>
      </c>
      <c r="P75">
        <f t="shared" si="23"/>
        <v>3.2064405078575858E-2</v>
      </c>
      <c r="V75">
        <v>1.0999999999999699</v>
      </c>
      <c r="W75">
        <f t="shared" si="21"/>
        <v>-0.77569999999999761</v>
      </c>
    </row>
    <row r="76" spans="1:23">
      <c r="A76" s="5">
        <v>4.2360123999999999</v>
      </c>
      <c r="B76" s="5">
        <v>0.42193000000000003</v>
      </c>
      <c r="C76">
        <f t="shared" si="14"/>
        <v>1.7873007119320001</v>
      </c>
      <c r="D76">
        <v>1.7000000000000001E-2</v>
      </c>
      <c r="E76">
        <v>3.8999999999999998E-3</v>
      </c>
      <c r="F76">
        <f t="shared" si="15"/>
        <v>847.20247999999992</v>
      </c>
      <c r="G76">
        <f t="shared" si="16"/>
        <v>-0.42193000000000003</v>
      </c>
      <c r="H76">
        <f t="shared" si="17"/>
        <v>-357.46014238640004</v>
      </c>
      <c r="I76">
        <v>1</v>
      </c>
      <c r="J76">
        <f t="shared" si="18"/>
        <v>-0.16581555740932888</v>
      </c>
      <c r="K76">
        <f t="shared" si="19"/>
        <v>-0.79979515177521743</v>
      </c>
      <c r="L76">
        <v>1</v>
      </c>
      <c r="M76">
        <f t="shared" si="20"/>
        <v>0.67823220207948165</v>
      </c>
      <c r="N76">
        <f t="shared" si="24"/>
        <v>7.2012210800000004E-2</v>
      </c>
      <c r="O76">
        <f t="shared" si="22"/>
        <v>1.6520448359999999E-2</v>
      </c>
      <c r="P76">
        <f t="shared" si="23"/>
        <v>3.3030290535735779E-2</v>
      </c>
      <c r="V76">
        <v>1.19999999999997</v>
      </c>
      <c r="W76">
        <f t="shared" si="21"/>
        <v>-0.78339999999999765</v>
      </c>
    </row>
    <row r="77" spans="1:23">
      <c r="A77" s="5">
        <v>4.2931951000000002</v>
      </c>
      <c r="B77" s="5">
        <v>0.41853000000000001</v>
      </c>
      <c r="C77">
        <f t="shared" si="14"/>
        <v>1.796830945203</v>
      </c>
      <c r="D77">
        <v>1.7000000000000001E-2</v>
      </c>
      <c r="E77">
        <v>3.8999999999999998E-3</v>
      </c>
      <c r="F77">
        <f t="shared" si="15"/>
        <v>858.63902000000007</v>
      </c>
      <c r="G77">
        <f t="shared" si="16"/>
        <v>-0.41853000000000001</v>
      </c>
      <c r="H77">
        <f t="shared" si="17"/>
        <v>-359.36618904059998</v>
      </c>
      <c r="I77">
        <v>1</v>
      </c>
      <c r="J77">
        <f t="shared" si="18"/>
        <v>-0.15240667814931255</v>
      </c>
      <c r="K77">
        <f t="shared" si="19"/>
        <v>-0.80319515177521739</v>
      </c>
      <c r="L77">
        <v>1</v>
      </c>
      <c r="M77">
        <f t="shared" si="20"/>
        <v>0.67926468578250287</v>
      </c>
      <c r="N77">
        <f t="shared" si="24"/>
        <v>7.298431670000001E-2</v>
      </c>
      <c r="O77">
        <f t="shared" si="22"/>
        <v>1.6743460889999999E-2</v>
      </c>
      <c r="P77">
        <f t="shared" si="23"/>
        <v>3.4202688402714503E-2</v>
      </c>
      <c r="V77">
        <v>1.2999999999999701</v>
      </c>
      <c r="W77">
        <f t="shared" si="21"/>
        <v>-0.79109999999999769</v>
      </c>
    </row>
    <row r="78" spans="1:23">
      <c r="A78" s="5">
        <v>4.3498058500000001</v>
      </c>
      <c r="B78" s="5">
        <v>0.41522999999999999</v>
      </c>
      <c r="C78">
        <f t="shared" si="14"/>
        <v>1.8061698830955</v>
      </c>
      <c r="D78">
        <v>1.7000000000000001E-2</v>
      </c>
      <c r="E78">
        <v>3.8999999999999998E-3</v>
      </c>
      <c r="F78">
        <f t="shared" si="15"/>
        <v>869.96117000000004</v>
      </c>
      <c r="G78">
        <f t="shared" si="16"/>
        <v>-0.41522999999999999</v>
      </c>
      <c r="H78">
        <f t="shared" si="17"/>
        <v>-361.23397661910002</v>
      </c>
      <c r="I78">
        <v>1</v>
      </c>
      <c r="J78">
        <f t="shared" si="18"/>
        <v>-0.1393067005134612</v>
      </c>
      <c r="K78">
        <f t="shared" si="19"/>
        <v>-0.80649515177521747</v>
      </c>
      <c r="L78">
        <v>1</v>
      </c>
      <c r="M78">
        <f t="shared" si="20"/>
        <v>0.68027338406046345</v>
      </c>
      <c r="N78">
        <f t="shared" si="24"/>
        <v>7.394669945E-2</v>
      </c>
      <c r="O78">
        <f t="shared" si="22"/>
        <v>1.6964242814999999E-2</v>
      </c>
      <c r="P78">
        <f t="shared" si="23"/>
        <v>3.5310825449754016E-2</v>
      </c>
      <c r="V78">
        <v>1.3999999999999699</v>
      </c>
      <c r="W78">
        <f t="shared" si="21"/>
        <v>-0.79879999999999762</v>
      </c>
    </row>
    <row r="79" spans="1:23">
      <c r="A79" s="5">
        <v>4.4069878999999998</v>
      </c>
      <c r="B79" s="5">
        <v>0.41193000000000002</v>
      </c>
      <c r="C79">
        <f t="shared" si="14"/>
        <v>1.8153705256470001</v>
      </c>
      <c r="D79">
        <v>1.7000000000000001E-2</v>
      </c>
      <c r="E79">
        <v>3.8999999999999998E-3</v>
      </c>
      <c r="F79">
        <f t="shared" si="15"/>
        <v>881.39757999999995</v>
      </c>
      <c r="G79">
        <f t="shared" si="16"/>
        <v>-0.41193000000000002</v>
      </c>
      <c r="H79">
        <f t="shared" si="17"/>
        <v>-363.07410512940004</v>
      </c>
      <c r="I79">
        <v>1</v>
      </c>
      <c r="J79">
        <f t="shared" si="18"/>
        <v>-0.12624647220996896</v>
      </c>
      <c r="K79">
        <f t="shared" si="19"/>
        <v>-0.80979515177521744</v>
      </c>
      <c r="L79">
        <v>1</v>
      </c>
      <c r="M79">
        <f t="shared" si="20"/>
        <v>0.68127902163983234</v>
      </c>
      <c r="N79">
        <f t="shared" si="24"/>
        <v>7.4918794300000008E-2</v>
      </c>
      <c r="O79">
        <f t="shared" si="22"/>
        <v>1.7187252809999998E-2</v>
      </c>
      <c r="P79">
        <f t="shared" si="23"/>
        <v>3.6410083025385093E-2</v>
      </c>
      <c r="V79">
        <v>1.49999999999997</v>
      </c>
      <c r="W79">
        <f t="shared" si="21"/>
        <v>-0.80649999999999766</v>
      </c>
    </row>
    <row r="80" spans="1:23">
      <c r="A80" s="5">
        <v>4.4641706000000001</v>
      </c>
      <c r="B80" s="5">
        <v>0.40809000000000001</v>
      </c>
      <c r="C80">
        <f t="shared" si="14"/>
        <v>1.821783380154</v>
      </c>
      <c r="D80">
        <v>1.7000000000000001E-2</v>
      </c>
      <c r="E80">
        <v>3.8999999999999998E-3</v>
      </c>
      <c r="F80">
        <f t="shared" si="15"/>
        <v>892.83411999999998</v>
      </c>
      <c r="G80">
        <f t="shared" si="16"/>
        <v>-0.40809000000000001</v>
      </c>
      <c r="H80">
        <f t="shared" si="17"/>
        <v>-364.35667603079997</v>
      </c>
      <c r="I80">
        <v>1</v>
      </c>
      <c r="J80">
        <f t="shared" si="18"/>
        <v>-0.11335447123945752</v>
      </c>
      <c r="K80">
        <f t="shared" si="19"/>
        <v>-0.81363515177521739</v>
      </c>
      <c r="L80">
        <v>1</v>
      </c>
      <c r="M80">
        <f t="shared" si="20"/>
        <v>0.68227170571456175</v>
      </c>
      <c r="N80">
        <f t="shared" si="24"/>
        <v>7.5890900200000014E-2</v>
      </c>
      <c r="O80">
        <f t="shared" si="22"/>
        <v>1.7410265339999998E-2</v>
      </c>
      <c r="P80">
        <f t="shared" si="23"/>
        <v>3.8062280520655634E-2</v>
      </c>
      <c r="V80">
        <v>1.5999999999999699</v>
      </c>
      <c r="W80">
        <f t="shared" si="21"/>
        <v>-0.81419999999999759</v>
      </c>
    </row>
    <row r="81" spans="1:23">
      <c r="A81" s="5">
        <v>4.5213529499999998</v>
      </c>
      <c r="B81" s="5">
        <v>0.40478999999999998</v>
      </c>
      <c r="C81">
        <f t="shared" si="14"/>
        <v>1.8301984606305</v>
      </c>
      <c r="D81">
        <v>1.7000000000000001E-2</v>
      </c>
      <c r="E81">
        <v>3.8999999999999998E-3</v>
      </c>
      <c r="F81">
        <f t="shared" si="15"/>
        <v>904.27058999999997</v>
      </c>
      <c r="G81">
        <f t="shared" si="16"/>
        <v>-0.40478999999999998</v>
      </c>
      <c r="H81">
        <f t="shared" si="17"/>
        <v>-366.03969212609996</v>
      </c>
      <c r="I81">
        <v>1</v>
      </c>
      <c r="J81">
        <f t="shared" si="18"/>
        <v>-0.10062663815757827</v>
      </c>
      <c r="K81">
        <f t="shared" si="19"/>
        <v>-0.81693515177521747</v>
      </c>
      <c r="L81">
        <v>1</v>
      </c>
      <c r="M81">
        <f t="shared" si="20"/>
        <v>0.68325174886186646</v>
      </c>
      <c r="N81">
        <f t="shared" si="24"/>
        <v>7.6863000149999999E-2</v>
      </c>
      <c r="O81">
        <f t="shared" si="22"/>
        <v>1.7633276505E-2</v>
      </c>
      <c r="P81">
        <f t="shared" si="23"/>
        <v>3.918712625835101E-2</v>
      </c>
      <c r="V81">
        <v>1.69999999999997</v>
      </c>
      <c r="W81">
        <f t="shared" si="21"/>
        <v>-0.82189999999999763</v>
      </c>
    </row>
    <row r="82" spans="1:23">
      <c r="A82" s="5">
        <v>4.5779637000000006</v>
      </c>
      <c r="B82" s="5">
        <v>0.40111999999999998</v>
      </c>
      <c r="C82">
        <f t="shared" si="14"/>
        <v>1.836312799344</v>
      </c>
      <c r="D82">
        <v>1.7000000000000001E-2</v>
      </c>
      <c r="E82">
        <v>3.8999999999999998E-3</v>
      </c>
      <c r="F82">
        <f t="shared" si="15"/>
        <v>915.59274000000016</v>
      </c>
      <c r="G82">
        <f t="shared" si="16"/>
        <v>-0.40111999999999998</v>
      </c>
      <c r="H82">
        <f t="shared" si="17"/>
        <v>-367.2625598688</v>
      </c>
      <c r="I82">
        <v>1</v>
      </c>
      <c r="J82">
        <f t="shared" si="18"/>
        <v>-8.8183620161898332E-2</v>
      </c>
      <c r="K82">
        <f t="shared" si="19"/>
        <v>-0.82060515177521753</v>
      </c>
      <c r="L82">
        <v>1</v>
      </c>
      <c r="M82">
        <f t="shared" si="20"/>
        <v>0.6842098612475338</v>
      </c>
      <c r="N82">
        <f t="shared" si="24"/>
        <v>7.7825382900000017E-2</v>
      </c>
      <c r="O82">
        <f t="shared" si="22"/>
        <v>1.785405843E-2</v>
      </c>
      <c r="P82">
        <f t="shared" si="23"/>
        <v>4.0715849197683715E-2</v>
      </c>
      <c r="V82">
        <v>1.7999999999999701</v>
      </c>
      <c r="W82">
        <f t="shared" si="21"/>
        <v>-0.82959999999999767</v>
      </c>
    </row>
    <row r="83" spans="1:23">
      <c r="A83" s="5">
        <v>4.6368618499999998</v>
      </c>
      <c r="B83" s="5">
        <v>0.39766000000000001</v>
      </c>
      <c r="C83">
        <f t="shared" si="14"/>
        <v>1.843894483271</v>
      </c>
      <c r="D83">
        <v>1.7000000000000001E-2</v>
      </c>
      <c r="E83">
        <v>3.8999999999999998E-3</v>
      </c>
      <c r="F83">
        <f t="shared" si="15"/>
        <v>927.37236999999993</v>
      </c>
      <c r="G83">
        <f t="shared" si="16"/>
        <v>-0.39766000000000001</v>
      </c>
      <c r="H83">
        <f t="shared" si="17"/>
        <v>-368.77889665420003</v>
      </c>
      <c r="I83">
        <v>1</v>
      </c>
      <c r="J83">
        <f t="shared" si="18"/>
        <v>-7.54001004381884E-2</v>
      </c>
      <c r="K83">
        <f t="shared" si="19"/>
        <v>-0.82406515177521744</v>
      </c>
      <c r="L83">
        <v>1</v>
      </c>
      <c r="M83">
        <f t="shared" si="20"/>
        <v>0.68519419226625944</v>
      </c>
      <c r="N83">
        <f t="shared" si="24"/>
        <v>7.8826651450000007E-2</v>
      </c>
      <c r="O83">
        <f t="shared" si="22"/>
        <v>1.8083761214999997E-2</v>
      </c>
      <c r="P83">
        <f t="shared" si="23"/>
        <v>4.1960546843958002E-2</v>
      </c>
      <c r="V83">
        <v>1.8999999999999699</v>
      </c>
      <c r="W83">
        <f t="shared" si="21"/>
        <v>-0.8372999999999976</v>
      </c>
    </row>
    <row r="84" spans="1:23">
      <c r="A84" s="5">
        <v>4.6940445500000001</v>
      </c>
      <c r="B84" s="5">
        <v>0.39415</v>
      </c>
      <c r="C84">
        <f t="shared" si="14"/>
        <v>1.8501576593825</v>
      </c>
      <c r="D84">
        <v>1.7000000000000001E-2</v>
      </c>
      <c r="E84">
        <v>3.8999999999999998E-3</v>
      </c>
      <c r="F84">
        <f t="shared" si="15"/>
        <v>938.80890999999997</v>
      </c>
      <c r="G84">
        <f t="shared" si="16"/>
        <v>-0.39415</v>
      </c>
      <c r="H84">
        <f t="shared" si="17"/>
        <v>-370.03153187650003</v>
      </c>
      <c r="I84">
        <v>1</v>
      </c>
      <c r="J84">
        <f t="shared" si="18"/>
        <v>-6.3143324210936935E-2</v>
      </c>
      <c r="K84">
        <f t="shared" si="19"/>
        <v>-0.82757515177521745</v>
      </c>
      <c r="L84">
        <v>1</v>
      </c>
      <c r="M84">
        <f t="shared" si="20"/>
        <v>0.68613796403575777</v>
      </c>
      <c r="N84">
        <f t="shared" si="24"/>
        <v>7.9798757350000013E-2</v>
      </c>
      <c r="O84">
        <f t="shared" si="22"/>
        <v>1.8306773745000001E-2</v>
      </c>
      <c r="P84">
        <f t="shared" si="23"/>
        <v>4.3331656644459662E-2</v>
      </c>
      <c r="V84">
        <v>1.99999999999997</v>
      </c>
      <c r="W84">
        <f t="shared" si="21"/>
        <v>-0.84499999999999764</v>
      </c>
    </row>
    <row r="85" spans="1:23">
      <c r="A85" s="5">
        <v>4.7517991000000004</v>
      </c>
      <c r="B85" s="5">
        <v>0.39056000000000002</v>
      </c>
      <c r="C85">
        <f t="shared" si="14"/>
        <v>1.8558626564960001</v>
      </c>
      <c r="D85">
        <v>1.7000000000000001E-2</v>
      </c>
      <c r="E85">
        <v>3.8999999999999998E-3</v>
      </c>
      <c r="F85">
        <f t="shared" si="15"/>
        <v>950.35982000000013</v>
      </c>
      <c r="G85">
        <f t="shared" si="16"/>
        <v>-0.39056000000000002</v>
      </c>
      <c r="H85">
        <f t="shared" si="17"/>
        <v>-371.17253129920005</v>
      </c>
      <c r="I85">
        <v>1</v>
      </c>
      <c r="J85">
        <f t="shared" si="18"/>
        <v>-5.0914608203478276E-2</v>
      </c>
      <c r="K85">
        <f t="shared" si="19"/>
        <v>-0.83116515177521744</v>
      </c>
      <c r="L85">
        <v>1</v>
      </c>
      <c r="M85">
        <f t="shared" si="20"/>
        <v>0.68707957516833207</v>
      </c>
      <c r="N85">
        <f t="shared" si="24"/>
        <v>8.0780584700000019E-2</v>
      </c>
      <c r="O85">
        <f t="shared" si="22"/>
        <v>1.8532016490000001E-2</v>
      </c>
      <c r="P85">
        <f t="shared" si="23"/>
        <v>4.4772975416885352E-2</v>
      </c>
      <c r="V85">
        <v>2.0999999999999699</v>
      </c>
      <c r="W85">
        <f t="shared" si="21"/>
        <v>-0.85269999999999757</v>
      </c>
    </row>
    <row r="86" spans="1:23">
      <c r="A86" s="5">
        <v>4.8089811999999998</v>
      </c>
      <c r="B86" s="5">
        <v>0.38673999999999997</v>
      </c>
      <c r="C86">
        <f t="shared" si="14"/>
        <v>1.8598253892879999</v>
      </c>
      <c r="D86">
        <v>1.7000000000000001E-2</v>
      </c>
      <c r="E86">
        <v>3.8999999999999998E-3</v>
      </c>
      <c r="F86">
        <f t="shared" si="15"/>
        <v>961.79624000000001</v>
      </c>
      <c r="G86">
        <f t="shared" si="16"/>
        <v>-0.38673999999999997</v>
      </c>
      <c r="H86">
        <f t="shared" si="17"/>
        <v>-371.96507785759997</v>
      </c>
      <c r="I86">
        <v>1</v>
      </c>
      <c r="J86">
        <f t="shared" si="18"/>
        <v>-3.8952659482876718E-2</v>
      </c>
      <c r="K86">
        <f t="shared" si="19"/>
        <v>-0.83498515177521748</v>
      </c>
      <c r="L86">
        <v>1</v>
      </c>
      <c r="M86">
        <f t="shared" si="20"/>
        <v>0.68800064521981841</v>
      </c>
      <c r="N86">
        <f t="shared" si="24"/>
        <v>8.17526804E-2</v>
      </c>
      <c r="O86">
        <f t="shared" si="22"/>
        <v>1.8755026679999998E-2</v>
      </c>
      <c r="P86">
        <f t="shared" si="23"/>
        <v>4.647679947539908E-2</v>
      </c>
      <c r="V86">
        <v>2.19999999999997</v>
      </c>
      <c r="W86">
        <f t="shared" si="21"/>
        <v>-0.86039999999999761</v>
      </c>
    </row>
    <row r="87" spans="1:23">
      <c r="A87" s="5">
        <v>4.8655919499999998</v>
      </c>
      <c r="B87" s="5">
        <v>0.38352000000000003</v>
      </c>
      <c r="C87">
        <f t="shared" si="14"/>
        <v>1.8660518246640001</v>
      </c>
      <c r="D87">
        <v>1.7000000000000001E-2</v>
      </c>
      <c r="E87">
        <v>3.8999999999999998E-3</v>
      </c>
      <c r="F87">
        <f t="shared" si="15"/>
        <v>973.11838999999998</v>
      </c>
      <c r="G87">
        <f t="shared" si="16"/>
        <v>-0.38352000000000003</v>
      </c>
      <c r="H87">
        <f t="shared" si="17"/>
        <v>-373.21036493280002</v>
      </c>
      <c r="I87">
        <v>1</v>
      </c>
      <c r="J87">
        <f t="shared" si="18"/>
        <v>-2.7249528966718957E-2</v>
      </c>
      <c r="K87">
        <f t="shared" si="19"/>
        <v>-0.83820515177521737</v>
      </c>
      <c r="L87">
        <v>1</v>
      </c>
      <c r="M87">
        <f t="shared" si="20"/>
        <v>0.68890178626956255</v>
      </c>
      <c r="N87">
        <f t="shared" si="24"/>
        <v>8.2715063150000004E-2</v>
      </c>
      <c r="O87">
        <f t="shared" si="22"/>
        <v>1.8975808604999998E-2</v>
      </c>
      <c r="P87">
        <f t="shared" si="23"/>
        <v>4.7612493750654815E-2</v>
      </c>
      <c r="V87">
        <v>2.2999999999999701</v>
      </c>
      <c r="W87">
        <f t="shared" si="21"/>
        <v>-0.86809999999999765</v>
      </c>
    </row>
    <row r="88" spans="1:23">
      <c r="A88" s="5">
        <v>4.9233465000000001</v>
      </c>
      <c r="B88" s="5">
        <v>0.37939000000000001</v>
      </c>
      <c r="C88">
        <f t="shared" si="14"/>
        <v>1.867868428635</v>
      </c>
      <c r="D88">
        <v>1.7000000000000001E-2</v>
      </c>
      <c r="E88">
        <v>3.8999999999999998E-3</v>
      </c>
      <c r="F88">
        <f t="shared" si="15"/>
        <v>984.66930000000002</v>
      </c>
      <c r="G88">
        <f t="shared" si="16"/>
        <v>-0.37939000000000001</v>
      </c>
      <c r="H88">
        <f t="shared" si="17"/>
        <v>-373.573685727</v>
      </c>
      <c r="I88">
        <v>1</v>
      </c>
      <c r="J88">
        <f t="shared" si="18"/>
        <v>-1.5449430222619574E-2</v>
      </c>
      <c r="K88">
        <f t="shared" si="19"/>
        <v>-0.84233515177521745</v>
      </c>
      <c r="L88">
        <v>1</v>
      </c>
      <c r="M88">
        <f t="shared" si="20"/>
        <v>0.68981039387285825</v>
      </c>
      <c r="N88">
        <f t="shared" si="24"/>
        <v>8.369689050000001E-2</v>
      </c>
      <c r="O88">
        <f t="shared" si="22"/>
        <v>1.9201051349999998E-2</v>
      </c>
      <c r="P88">
        <f t="shared" si="23"/>
        <v>4.9626816052359191E-2</v>
      </c>
      <c r="V88">
        <v>2.3999999999999702</v>
      </c>
      <c r="W88">
        <f t="shared" si="21"/>
        <v>-0.87579999999999769</v>
      </c>
    </row>
    <row r="89" spans="1:23">
      <c r="A89" s="5">
        <v>4.9822443999999999</v>
      </c>
      <c r="B89" s="5">
        <v>0.37574999999999997</v>
      </c>
      <c r="C89">
        <f t="shared" si="14"/>
        <v>1.8720783332999997</v>
      </c>
      <c r="D89">
        <v>1.7000000000000001E-2</v>
      </c>
      <c r="E89">
        <v>3.8999999999999998E-3</v>
      </c>
      <c r="F89">
        <f t="shared" si="15"/>
        <v>996.44888000000003</v>
      </c>
      <c r="G89">
        <f t="shared" si="16"/>
        <v>-0.37574999999999997</v>
      </c>
      <c r="H89">
        <f t="shared" si="17"/>
        <v>-374.41566665999994</v>
      </c>
      <c r="I89">
        <v>1</v>
      </c>
      <c r="J89">
        <f t="shared" si="18"/>
        <v>-3.5574401935739661E-3</v>
      </c>
      <c r="K89">
        <f t="shared" si="19"/>
        <v>-0.84597515177521743</v>
      </c>
      <c r="L89">
        <v>1</v>
      </c>
      <c r="M89">
        <f t="shared" si="20"/>
        <v>0.6907260771050947</v>
      </c>
      <c r="N89">
        <f t="shared" si="24"/>
        <v>8.4698154800000008E-2</v>
      </c>
      <c r="O89">
        <f t="shared" si="22"/>
        <v>1.9430753159999998E-2</v>
      </c>
      <c r="P89">
        <f t="shared" si="23"/>
        <v>5.1120166710122719E-2</v>
      </c>
      <c r="V89">
        <v>2.4999999999999698</v>
      </c>
      <c r="W89">
        <f t="shared" si="21"/>
        <v>-0.88349999999999762</v>
      </c>
    </row>
    <row r="90" spans="1:23">
      <c r="A90" s="5">
        <v>5.0445734</v>
      </c>
      <c r="B90" s="5">
        <v>0.37226999999999999</v>
      </c>
      <c r="C90">
        <f t="shared" si="14"/>
        <v>1.8779433396179999</v>
      </c>
      <c r="D90">
        <v>1.7000000000000001E-2</v>
      </c>
      <c r="E90">
        <v>3.8999999999999998E-3</v>
      </c>
      <c r="F90">
        <f t="shared" si="15"/>
        <v>1008.91468</v>
      </c>
      <c r="G90">
        <f t="shared" si="16"/>
        <v>-0.37226999999999999</v>
      </c>
      <c r="H90">
        <f t="shared" si="17"/>
        <v>-375.58866792359998</v>
      </c>
      <c r="I90">
        <v>1</v>
      </c>
      <c r="J90">
        <f t="shared" si="18"/>
        <v>8.8751788268841524E-3</v>
      </c>
      <c r="K90">
        <f t="shared" si="19"/>
        <v>-0.84945515177521747</v>
      </c>
      <c r="L90">
        <v>1</v>
      </c>
      <c r="M90">
        <f t="shared" si="20"/>
        <v>0.69168338876967006</v>
      </c>
      <c r="N90">
        <f t="shared" si="24"/>
        <v>8.5757747800000006E-2</v>
      </c>
      <c r="O90">
        <f t="shared" si="22"/>
        <v>1.9673836259999997E-2</v>
      </c>
      <c r="P90">
        <f t="shared" si="23"/>
        <v>5.2340178945547405E-2</v>
      </c>
      <c r="V90">
        <v>2.5999999999999699</v>
      </c>
      <c r="W90">
        <f t="shared" si="21"/>
        <v>-0.89119999999999766</v>
      </c>
    </row>
    <row r="91" spans="1:23">
      <c r="A91" s="5">
        <v>5.1011841499999999</v>
      </c>
      <c r="B91" s="5">
        <v>0.36854999999999999</v>
      </c>
      <c r="C91">
        <f t="shared" si="14"/>
        <v>1.8800414184824998</v>
      </c>
      <c r="D91">
        <v>1.7000000000000001E-2</v>
      </c>
      <c r="E91">
        <v>3.8999999999999998E-3</v>
      </c>
      <c r="F91">
        <f t="shared" si="15"/>
        <v>1020.2368299999999</v>
      </c>
      <c r="G91">
        <f t="shared" si="16"/>
        <v>-0.36854999999999999</v>
      </c>
      <c r="H91">
        <f t="shared" si="17"/>
        <v>-376.00828369649997</v>
      </c>
      <c r="I91">
        <v>1</v>
      </c>
      <c r="J91">
        <f t="shared" si="18"/>
        <v>2.0034786619628164E-2</v>
      </c>
      <c r="K91">
        <f t="shared" si="19"/>
        <v>-0.85317515177521752</v>
      </c>
      <c r="L91">
        <v>1</v>
      </c>
      <c r="M91">
        <f t="shared" si="20"/>
        <v>0.6925426785697113</v>
      </c>
      <c r="N91">
        <f t="shared" si="24"/>
        <v>8.672013055000001E-2</v>
      </c>
      <c r="O91">
        <f t="shared" si="22"/>
        <v>1.9894618184999997E-2</v>
      </c>
      <c r="P91">
        <f t="shared" si="23"/>
        <v>5.4017724470506213E-2</v>
      </c>
      <c r="V91">
        <v>2.69999999999997</v>
      </c>
      <c r="W91">
        <f t="shared" si="21"/>
        <v>-0.89889999999999759</v>
      </c>
    </row>
    <row r="92" spans="1:23">
      <c r="A92" s="5">
        <v>5.1583667000000002</v>
      </c>
      <c r="B92" s="5">
        <v>0.36442000000000002</v>
      </c>
      <c r="C92">
        <f t="shared" si="14"/>
        <v>1.8798119928140002</v>
      </c>
      <c r="D92">
        <v>1.7000000000000001E-2</v>
      </c>
      <c r="E92">
        <v>3.8999999999999998E-3</v>
      </c>
      <c r="F92">
        <f t="shared" si="15"/>
        <v>1031.6733400000001</v>
      </c>
      <c r="G92">
        <f t="shared" si="16"/>
        <v>-0.36442000000000002</v>
      </c>
      <c r="H92">
        <f t="shared" si="17"/>
        <v>-375.96239856280005</v>
      </c>
      <c r="I92">
        <v>1</v>
      </c>
      <c r="J92">
        <f t="shared" si="18"/>
        <v>3.1182085945105825E-2</v>
      </c>
      <c r="K92">
        <f t="shared" si="19"/>
        <v>-0.85730515177521749</v>
      </c>
      <c r="L92">
        <v>1</v>
      </c>
      <c r="M92">
        <f t="shared" si="20"/>
        <v>0.69340102061777309</v>
      </c>
      <c r="N92">
        <f t="shared" si="24"/>
        <v>8.7692233900000013E-2</v>
      </c>
      <c r="O92">
        <f t="shared" si="22"/>
        <v>2.0117630130000001E-2</v>
      </c>
      <c r="P92">
        <f t="shared" si="23"/>
        <v>5.6094267127444385E-2</v>
      </c>
      <c r="V92">
        <v>2.7999999999999701</v>
      </c>
      <c r="W92">
        <f t="shared" si="21"/>
        <v>-0.90659999999999763</v>
      </c>
    </row>
    <row r="93" spans="1:23">
      <c r="A93" s="5">
        <v>5.2195517500000008</v>
      </c>
      <c r="B93" s="5">
        <v>0.36071999999999999</v>
      </c>
      <c r="C93">
        <f t="shared" si="14"/>
        <v>1.8827967072600003</v>
      </c>
      <c r="D93">
        <v>1.7000000000000001E-2</v>
      </c>
      <c r="E93">
        <v>3.8999999999999998E-3</v>
      </c>
      <c r="F93">
        <f t="shared" si="15"/>
        <v>1043.9103500000001</v>
      </c>
      <c r="G93">
        <f t="shared" si="16"/>
        <v>-0.36071999999999999</v>
      </c>
      <c r="H93">
        <f t="shared" si="17"/>
        <v>-376.55934145200007</v>
      </c>
      <c r="I93">
        <v>1</v>
      </c>
      <c r="J93">
        <f t="shared" si="18"/>
        <v>4.2973614125756593E-2</v>
      </c>
      <c r="K93">
        <f t="shared" si="19"/>
        <v>-0.86100515177521753</v>
      </c>
      <c r="L93">
        <v>1</v>
      </c>
      <c r="M93">
        <f t="shared" si="20"/>
        <v>0.69430896828768318</v>
      </c>
      <c r="N93">
        <f t="shared" si="24"/>
        <v>8.8732379750000021E-2</v>
      </c>
      <c r="O93">
        <f t="shared" si="22"/>
        <v>2.0356251825000001E-2</v>
      </c>
      <c r="P93">
        <f t="shared" si="23"/>
        <v>5.7607551912534319E-2</v>
      </c>
      <c r="V93">
        <v>2.8999999999999702</v>
      </c>
      <c r="W93">
        <f t="shared" si="21"/>
        <v>-0.91429999999999767</v>
      </c>
    </row>
    <row r="94" spans="1:23">
      <c r="A94" s="5">
        <v>5.2761625000000008</v>
      </c>
      <c r="B94" s="5">
        <v>0.35686000000000001</v>
      </c>
      <c r="C94">
        <f t="shared" si="14"/>
        <v>1.8828513497500003</v>
      </c>
      <c r="D94">
        <v>1.7000000000000001E-2</v>
      </c>
      <c r="E94">
        <v>3.8999999999999998E-3</v>
      </c>
      <c r="F94">
        <f t="shared" si="15"/>
        <v>1055.2325000000001</v>
      </c>
      <c r="G94">
        <f t="shared" si="16"/>
        <v>-0.35686000000000001</v>
      </c>
      <c r="H94">
        <f t="shared" si="17"/>
        <v>-376.57026995000007</v>
      </c>
      <c r="I94">
        <v>1</v>
      </c>
      <c r="J94">
        <f t="shared" si="18"/>
        <v>5.3761121795032195E-2</v>
      </c>
      <c r="K94">
        <f t="shared" si="19"/>
        <v>-0.8648651517752175</v>
      </c>
      <c r="L94">
        <v>1</v>
      </c>
      <c r="M94">
        <f t="shared" si="20"/>
        <v>0.69513960637821748</v>
      </c>
      <c r="N94">
        <f t="shared" si="24"/>
        <v>8.9694762500000025E-2</v>
      </c>
      <c r="O94">
        <f t="shared" si="22"/>
        <v>2.0577033750000001E-2</v>
      </c>
      <c r="P94">
        <f t="shared" si="23"/>
        <v>5.9453749146999996E-2</v>
      </c>
      <c r="V94">
        <v>2.9999999999999698</v>
      </c>
      <c r="W94">
        <f t="shared" si="21"/>
        <v>-0.9219999999999976</v>
      </c>
    </row>
    <row r="95" spans="1:23">
      <c r="A95" s="5">
        <v>5.3350603999999997</v>
      </c>
      <c r="B95" s="5">
        <v>0.35270000000000001</v>
      </c>
      <c r="C95">
        <f t="shared" si="14"/>
        <v>1.88167580308</v>
      </c>
      <c r="D95">
        <v>1.7000000000000001E-2</v>
      </c>
      <c r="E95">
        <v>3.8999999999999998E-3</v>
      </c>
      <c r="F95">
        <f t="shared" si="15"/>
        <v>1067.01208</v>
      </c>
      <c r="G95">
        <f t="shared" si="16"/>
        <v>-0.35270000000000001</v>
      </c>
      <c r="H95">
        <f t="shared" si="17"/>
        <v>-376.335160616</v>
      </c>
      <c r="I95">
        <v>1</v>
      </c>
      <c r="J95">
        <f t="shared" si="18"/>
        <v>6.4862293717572184E-2</v>
      </c>
      <c r="K95">
        <f t="shared" si="19"/>
        <v>-0.86902515177521744</v>
      </c>
      <c r="L95">
        <v>1</v>
      </c>
      <c r="M95">
        <f t="shared" si="20"/>
        <v>0.69599439661625295</v>
      </c>
      <c r="N95">
        <f t="shared" si="24"/>
        <v>9.0696026799999996E-2</v>
      </c>
      <c r="O95">
        <f t="shared" si="22"/>
        <v>2.0806735559999998E-2</v>
      </c>
      <c r="P95">
        <f t="shared" si="23"/>
        <v>6.1527992798964495E-2</v>
      </c>
      <c r="V95">
        <v>3.0999999999999699</v>
      </c>
      <c r="W95">
        <f t="shared" si="21"/>
        <v>-0.92969999999999764</v>
      </c>
    </row>
    <row r="96" spans="1:23">
      <c r="A96" s="5">
        <v>5.3916711499999996</v>
      </c>
      <c r="B96" s="5">
        <v>0.34875</v>
      </c>
      <c r="C96">
        <f t="shared" si="14"/>
        <v>1.8803453135624999</v>
      </c>
      <c r="D96">
        <v>1.7000000000000001E-2</v>
      </c>
      <c r="E96">
        <v>3.8999999999999998E-3</v>
      </c>
      <c r="F96">
        <f t="shared" si="15"/>
        <v>1078.3342299999999</v>
      </c>
      <c r="G96">
        <f t="shared" si="16"/>
        <v>-0.34875</v>
      </c>
      <c r="H96">
        <f t="shared" si="17"/>
        <v>-376.0690627125</v>
      </c>
      <c r="I96">
        <v>1</v>
      </c>
      <c r="J96">
        <f t="shared" si="18"/>
        <v>7.541747081454743E-2</v>
      </c>
      <c r="K96">
        <f t="shared" si="19"/>
        <v>-0.87297515177521745</v>
      </c>
      <c r="L96">
        <v>1</v>
      </c>
      <c r="M96">
        <f t="shared" si="20"/>
        <v>0.69680714525272014</v>
      </c>
      <c r="N96">
        <f t="shared" si="24"/>
        <v>9.165840955E-2</v>
      </c>
      <c r="O96">
        <f t="shared" si="22"/>
        <v>2.1027517484999998E-2</v>
      </c>
      <c r="P96">
        <f t="shared" si="23"/>
        <v>6.3482079487497317E-2</v>
      </c>
      <c r="V96">
        <v>3.19999999999997</v>
      </c>
      <c r="W96">
        <f t="shared" si="21"/>
        <v>-0.93739999999999757</v>
      </c>
    </row>
    <row r="97" spans="1:23">
      <c r="A97" s="5">
        <v>5.4494257000000008</v>
      </c>
      <c r="B97" s="5">
        <v>0.34497</v>
      </c>
      <c r="C97">
        <f t="shared" si="14"/>
        <v>1.8798883837290004</v>
      </c>
      <c r="D97">
        <v>1.7000000000000001E-2</v>
      </c>
      <c r="E97">
        <v>3.8999999999999998E-3</v>
      </c>
      <c r="F97">
        <f t="shared" si="15"/>
        <v>1089.8851400000001</v>
      </c>
      <c r="G97">
        <f t="shared" si="16"/>
        <v>-0.34497</v>
      </c>
      <c r="H97">
        <f t="shared" si="17"/>
        <v>-375.97767674580007</v>
      </c>
      <c r="I97">
        <v>1</v>
      </c>
      <c r="J97">
        <f t="shared" si="18"/>
        <v>8.6072314541807152E-2</v>
      </c>
      <c r="K97">
        <f t="shared" si="19"/>
        <v>-0.87675515177521746</v>
      </c>
      <c r="L97">
        <v>1</v>
      </c>
      <c r="M97">
        <f t="shared" si="20"/>
        <v>0.69762756821971905</v>
      </c>
      <c r="N97">
        <f t="shared" si="24"/>
        <v>9.264023690000002E-2</v>
      </c>
      <c r="O97">
        <f t="shared" si="22"/>
        <v>2.1252760230000001E-2</v>
      </c>
      <c r="P97">
        <f t="shared" si="23"/>
        <v>6.5234586425498384E-2</v>
      </c>
      <c r="V97">
        <v>3.2999999999999701</v>
      </c>
      <c r="W97">
        <f t="shared" si="21"/>
        <v>-0.94509999999999761</v>
      </c>
    </row>
    <row r="98" spans="1:23">
      <c r="A98" s="5">
        <v>5.5060364499999999</v>
      </c>
      <c r="B98" s="5">
        <v>0.34089999999999998</v>
      </c>
      <c r="C98">
        <f t="shared" si="14"/>
        <v>1.8770078258049998</v>
      </c>
      <c r="D98">
        <v>1.7000000000000001E-2</v>
      </c>
      <c r="E98">
        <v>3.8999999999999998E-3</v>
      </c>
      <c r="F98">
        <f t="shared" si="15"/>
        <v>1101.2072900000001</v>
      </c>
      <c r="G98">
        <f t="shared" si="16"/>
        <v>-0.34089999999999998</v>
      </c>
      <c r="H98">
        <f t="shared" si="17"/>
        <v>-375.40156516099995</v>
      </c>
      <c r="I98">
        <v>1</v>
      </c>
      <c r="J98">
        <f t="shared" si="18"/>
        <v>9.640711431525642E-2</v>
      </c>
      <c r="K98">
        <f t="shared" si="19"/>
        <v>-0.88082515177521747</v>
      </c>
      <c r="L98">
        <v>1</v>
      </c>
      <c r="M98">
        <f t="shared" si="20"/>
        <v>0.69842334780227466</v>
      </c>
      <c r="N98">
        <f t="shared" si="24"/>
        <v>9.360261965000001E-2</v>
      </c>
      <c r="O98">
        <f t="shared" si="22"/>
        <v>2.1473542154999997E-2</v>
      </c>
      <c r="P98">
        <f t="shared" si="23"/>
        <v>6.7325642167942804E-2</v>
      </c>
      <c r="V98">
        <v>3.3999999999999702</v>
      </c>
      <c r="W98">
        <f t="shared" si="21"/>
        <v>-0.95279999999999765</v>
      </c>
    </row>
    <row r="99" spans="1:23">
      <c r="A99" s="5">
        <v>5.5683654000000002</v>
      </c>
      <c r="B99" s="5">
        <v>0.33734999999999998</v>
      </c>
      <c r="C99">
        <f t="shared" si="14"/>
        <v>1.87848806769</v>
      </c>
      <c r="D99">
        <v>1.7000000000000001E-2</v>
      </c>
      <c r="E99">
        <v>3.8999999999999998E-3</v>
      </c>
      <c r="F99">
        <f t="shared" si="15"/>
        <v>1113.67308</v>
      </c>
      <c r="G99">
        <f t="shared" si="16"/>
        <v>-0.33734999999999998</v>
      </c>
      <c r="H99">
        <f t="shared" si="17"/>
        <v>-375.69761353799998</v>
      </c>
      <c r="I99">
        <v>1</v>
      </c>
      <c r="J99">
        <f t="shared" si="18"/>
        <v>0.10766363344479213</v>
      </c>
      <c r="K99">
        <f t="shared" si="19"/>
        <v>-0.88437515177521742</v>
      </c>
      <c r="L99">
        <v>1</v>
      </c>
      <c r="M99">
        <f t="shared" si="20"/>
        <v>0.69929009977524892</v>
      </c>
      <c r="N99">
        <f t="shared" si="24"/>
        <v>9.4662211800000007E-2</v>
      </c>
      <c r="O99">
        <f t="shared" si="22"/>
        <v>2.1716625060000001E-2</v>
      </c>
      <c r="P99">
        <f t="shared" si="23"/>
        <v>6.8706215139968496E-2</v>
      </c>
      <c r="V99">
        <v>3.4999999999999698</v>
      </c>
      <c r="W99">
        <f t="shared" si="21"/>
        <v>-0.96049999999999769</v>
      </c>
    </row>
    <row r="100" spans="1:23">
      <c r="A100" s="5">
        <v>5.6261194000000003</v>
      </c>
      <c r="B100" s="5">
        <v>0.33298</v>
      </c>
      <c r="C100">
        <f t="shared" si="14"/>
        <v>1.8733852378120002</v>
      </c>
      <c r="D100">
        <v>1.7000000000000001E-2</v>
      </c>
      <c r="E100">
        <v>3.8999999999999998E-3</v>
      </c>
      <c r="F100">
        <f t="shared" si="15"/>
        <v>1125.22388</v>
      </c>
      <c r="G100">
        <f t="shared" si="16"/>
        <v>-0.33298</v>
      </c>
      <c r="H100">
        <f t="shared" si="17"/>
        <v>-374.67704756240005</v>
      </c>
      <c r="I100">
        <v>1</v>
      </c>
      <c r="J100">
        <f t="shared" si="18"/>
        <v>0.11798202030207015</v>
      </c>
      <c r="K100">
        <f t="shared" si="19"/>
        <v>-0.8887451517752174</v>
      </c>
      <c r="L100">
        <v>1</v>
      </c>
      <c r="M100">
        <f t="shared" si="20"/>
        <v>0.7000846155632594</v>
      </c>
      <c r="N100">
        <f t="shared" si="24"/>
        <v>9.5644029800000016E-2</v>
      </c>
      <c r="O100">
        <f t="shared" si="22"/>
        <v>2.194186566E-2</v>
      </c>
      <c r="P100">
        <f t="shared" si="23"/>
        <v>7.1074640751957976E-2</v>
      </c>
      <c r="V100">
        <v>3.5999999999999699</v>
      </c>
      <c r="W100">
        <f t="shared" si="21"/>
        <v>-0.96819999999999762</v>
      </c>
    </row>
    <row r="101" spans="1:23">
      <c r="A101" s="5">
        <v>5.6838734999999998</v>
      </c>
      <c r="B101" s="5">
        <v>0.32899</v>
      </c>
      <c r="C101">
        <f t="shared" si="14"/>
        <v>1.869937542765</v>
      </c>
      <c r="D101">
        <v>1.7000000000000001E-2</v>
      </c>
      <c r="E101">
        <v>3.8999999999999998E-3</v>
      </c>
      <c r="F101">
        <f t="shared" si="15"/>
        <v>1136.7746999999999</v>
      </c>
      <c r="G101">
        <f t="shared" si="16"/>
        <v>-0.32899</v>
      </c>
      <c r="H101">
        <f t="shared" si="17"/>
        <v>-373.987508553</v>
      </c>
      <c r="I101">
        <v>1</v>
      </c>
      <c r="J101">
        <f t="shared" si="18"/>
        <v>0.12819504209919177</v>
      </c>
      <c r="K101">
        <f t="shared" si="19"/>
        <v>-0.89273515177521745</v>
      </c>
      <c r="L101">
        <v>1</v>
      </c>
      <c r="M101">
        <f t="shared" si="20"/>
        <v>0.70087101824163767</v>
      </c>
      <c r="N101">
        <f t="shared" si="24"/>
        <v>9.66258495E-2</v>
      </c>
      <c r="O101">
        <f t="shared" si="22"/>
        <v>2.2167106649999997E-2</v>
      </c>
      <c r="P101">
        <f t="shared" si="23"/>
        <v>7.3071177383579794E-2</v>
      </c>
      <c r="V101">
        <v>3.69999999999997</v>
      </c>
      <c r="W101">
        <f t="shared" si="21"/>
        <v>-0.97589999999999766</v>
      </c>
    </row>
    <row r="102" spans="1:23">
      <c r="A102" s="5">
        <v>5.7433439000000002</v>
      </c>
      <c r="B102" s="5">
        <v>0.32501999999999998</v>
      </c>
      <c r="C102">
        <f t="shared" si="14"/>
        <v>1.8667016343779999</v>
      </c>
      <c r="D102">
        <v>1.7000000000000001E-2</v>
      </c>
      <c r="E102">
        <v>3.8999999999999998E-3</v>
      </c>
      <c r="F102">
        <f t="shared" si="15"/>
        <v>1148.66878</v>
      </c>
      <c r="G102">
        <f t="shared" si="16"/>
        <v>-0.32501999999999998</v>
      </c>
      <c r="H102">
        <f t="shared" si="17"/>
        <v>-373.3403268756</v>
      </c>
      <c r="I102">
        <v>1</v>
      </c>
      <c r="J102">
        <f t="shared" si="18"/>
        <v>0.1386036892502131</v>
      </c>
      <c r="K102">
        <f t="shared" si="19"/>
        <v>-0.89670515177521748</v>
      </c>
      <c r="L102">
        <v>1</v>
      </c>
      <c r="M102">
        <f t="shared" si="20"/>
        <v>0.70167248407226634</v>
      </c>
      <c r="N102">
        <f t="shared" si="24"/>
        <v>9.763684630000001E-2</v>
      </c>
      <c r="O102">
        <f t="shared" si="22"/>
        <v>2.2399041209999998E-2</v>
      </c>
      <c r="P102">
        <f t="shared" si="23"/>
        <v>7.4996780192951126E-2</v>
      </c>
      <c r="V102">
        <v>3.7999999999999701</v>
      </c>
      <c r="W102">
        <f t="shared" si="21"/>
        <v>-0.98359999999999759</v>
      </c>
    </row>
    <row r="103" spans="1:23">
      <c r="A103" s="5">
        <v>5.7999545499999998</v>
      </c>
      <c r="B103" s="5">
        <v>0.32081999999999999</v>
      </c>
      <c r="C103">
        <f t="shared" si="14"/>
        <v>1.8607414187309999</v>
      </c>
      <c r="D103">
        <v>1.7000000000000001E-2</v>
      </c>
      <c r="E103">
        <v>3.8999999999999998E-3</v>
      </c>
      <c r="F103">
        <f t="shared" si="15"/>
        <v>1159.99091</v>
      </c>
      <c r="G103">
        <f t="shared" si="16"/>
        <v>-0.32081999999999999</v>
      </c>
      <c r="H103">
        <f t="shared" si="17"/>
        <v>-372.14828374619998</v>
      </c>
      <c r="I103">
        <v>1</v>
      </c>
      <c r="J103">
        <f t="shared" si="18"/>
        <v>0.14841216888067338</v>
      </c>
      <c r="K103">
        <f t="shared" si="19"/>
        <v>-0.90090515177521746</v>
      </c>
      <c r="L103">
        <v>1</v>
      </c>
      <c r="M103">
        <f t="shared" si="20"/>
        <v>0.70242773700381178</v>
      </c>
      <c r="N103">
        <f t="shared" si="24"/>
        <v>9.8599227349999999E-2</v>
      </c>
      <c r="O103">
        <f t="shared" si="22"/>
        <v>2.2619822744999997E-2</v>
      </c>
      <c r="P103">
        <f t="shared" si="23"/>
        <v>7.7258364676405678E-2</v>
      </c>
      <c r="V103">
        <v>3.8999999999999599</v>
      </c>
      <c r="W103">
        <f t="shared" si="21"/>
        <v>-0.99129999999999685</v>
      </c>
    </row>
    <row r="104" spans="1:23">
      <c r="A104" s="5">
        <v>5.8588520000000006</v>
      </c>
      <c r="B104" s="5">
        <v>0.31670999999999999</v>
      </c>
      <c r="C104">
        <f t="shared" si="14"/>
        <v>1.8555570169200002</v>
      </c>
      <c r="D104">
        <v>1.7000000000000001E-2</v>
      </c>
      <c r="E104">
        <v>3.8999999999999998E-3</v>
      </c>
      <c r="F104">
        <f t="shared" si="15"/>
        <v>1171.7704000000001</v>
      </c>
      <c r="G104">
        <f t="shared" si="16"/>
        <v>-0.31670999999999999</v>
      </c>
      <c r="H104">
        <f t="shared" si="17"/>
        <v>-371.11140338400003</v>
      </c>
      <c r="I104">
        <v>1</v>
      </c>
      <c r="J104">
        <f t="shared" si="18"/>
        <v>0.15851576752618024</v>
      </c>
      <c r="K104">
        <f t="shared" si="19"/>
        <v>-0.90501515177521741</v>
      </c>
      <c r="L104">
        <v>1</v>
      </c>
      <c r="M104">
        <f t="shared" si="20"/>
        <v>0.70320571409951582</v>
      </c>
      <c r="N104">
        <f t="shared" si="24"/>
        <v>9.9600484000000017E-2</v>
      </c>
      <c r="O104">
        <f t="shared" si="22"/>
        <v>2.2849522800000001E-2</v>
      </c>
      <c r="P104">
        <f t="shared" si="23"/>
        <v>7.9359430875701575E-2</v>
      </c>
      <c r="V104">
        <v>3.99999999999996</v>
      </c>
      <c r="W104">
        <f t="shared" si="21"/>
        <v>-0.99899999999999689</v>
      </c>
    </row>
    <row r="105" spans="1:23">
      <c r="A105" s="5">
        <v>5.9171779500000001</v>
      </c>
      <c r="B105" s="5">
        <v>0.31265999999999999</v>
      </c>
      <c r="C105">
        <f t="shared" si="14"/>
        <v>1.850064857847</v>
      </c>
      <c r="D105">
        <v>1.7000000000000001E-2</v>
      </c>
      <c r="E105">
        <v>3.8999999999999998E-3</v>
      </c>
      <c r="F105">
        <f t="shared" si="15"/>
        <v>1183.43559</v>
      </c>
      <c r="G105">
        <f t="shared" si="16"/>
        <v>-0.31265999999999999</v>
      </c>
      <c r="H105">
        <f t="shared" si="17"/>
        <v>-370.01297156940001</v>
      </c>
      <c r="I105">
        <v>1</v>
      </c>
      <c r="J105">
        <f t="shared" si="18"/>
        <v>0.16842172517023984</v>
      </c>
      <c r="K105">
        <f t="shared" si="19"/>
        <v>-0.90906515177521752</v>
      </c>
      <c r="L105">
        <v>1</v>
      </c>
      <c r="M105">
        <f t="shared" si="20"/>
        <v>0.70396847283810837</v>
      </c>
      <c r="N105">
        <f t="shared" si="24"/>
        <v>0.10059202515000001</v>
      </c>
      <c r="O105">
        <f t="shared" si="22"/>
        <v>2.3076994005E-2</v>
      </c>
      <c r="P105">
        <f t="shared" si="23"/>
        <v>8.1427659782109127E-2</v>
      </c>
      <c r="V105">
        <v>4.0999999999999996</v>
      </c>
      <c r="W105">
        <f t="shared" si="21"/>
        <v>-1.0066999999999999</v>
      </c>
    </row>
    <row r="106" spans="1:23">
      <c r="A106" s="5">
        <v>5.9760763999999993</v>
      </c>
      <c r="B106" s="5">
        <v>0.30820999999999998</v>
      </c>
      <c r="C106">
        <f t="shared" si="14"/>
        <v>1.8418865072439996</v>
      </c>
      <c r="D106">
        <v>1.7000000000000001E-2</v>
      </c>
      <c r="E106">
        <v>3.8999999999999998E-3</v>
      </c>
      <c r="F106">
        <f t="shared" si="15"/>
        <v>1195.2152799999999</v>
      </c>
      <c r="G106">
        <f t="shared" si="16"/>
        <v>-0.30820999999999998</v>
      </c>
      <c r="H106">
        <f t="shared" si="17"/>
        <v>-368.37730144879993</v>
      </c>
      <c r="I106">
        <v>1</v>
      </c>
      <c r="J106">
        <f t="shared" si="18"/>
        <v>0.17832631978591335</v>
      </c>
      <c r="K106">
        <f t="shared" si="19"/>
        <v>-0.91351515177521747</v>
      </c>
      <c r="L106">
        <v>1</v>
      </c>
      <c r="M106">
        <f t="shared" si="20"/>
        <v>0.70473112662351522</v>
      </c>
      <c r="N106">
        <f t="shared" si="24"/>
        <v>0.1015932988</v>
      </c>
      <c r="O106">
        <f t="shared" si="22"/>
        <v>2.3306697959999997E-2</v>
      </c>
      <c r="P106">
        <f t="shared" si="23"/>
        <v>8.3884028391702253E-2</v>
      </c>
      <c r="V106">
        <v>4.2</v>
      </c>
      <c r="W106">
        <f t="shared" si="21"/>
        <v>-1.0144</v>
      </c>
    </row>
    <row r="107" spans="1:23">
      <c r="A107" s="5">
        <v>6.0349748500000002</v>
      </c>
      <c r="B107" s="5">
        <v>0.30404999999999999</v>
      </c>
      <c r="C107">
        <f t="shared" si="14"/>
        <v>1.8349341031424999</v>
      </c>
      <c r="D107">
        <v>1.7000000000000001E-2</v>
      </c>
      <c r="E107">
        <v>3.8999999999999998E-3</v>
      </c>
      <c r="F107">
        <f t="shared" si="15"/>
        <v>1206.99497</v>
      </c>
      <c r="G107">
        <f t="shared" si="16"/>
        <v>-0.30404999999999999</v>
      </c>
      <c r="H107">
        <f t="shared" si="17"/>
        <v>-366.98682062849997</v>
      </c>
      <c r="I107">
        <v>1</v>
      </c>
      <c r="J107">
        <f t="shared" si="18"/>
        <v>0.18813377474962731</v>
      </c>
      <c r="K107">
        <f t="shared" si="19"/>
        <v>-0.91767515177521752</v>
      </c>
      <c r="L107">
        <v>1</v>
      </c>
      <c r="M107">
        <f t="shared" si="20"/>
        <v>0.70548630065572127</v>
      </c>
      <c r="N107">
        <f t="shared" si="24"/>
        <v>0.10259457245</v>
      </c>
      <c r="O107">
        <f t="shared" si="22"/>
        <v>2.3536401915000001E-2</v>
      </c>
      <c r="P107">
        <f t="shared" si="23"/>
        <v>8.6057876754496249E-2</v>
      </c>
      <c r="V107">
        <v>4.3</v>
      </c>
      <c r="W107">
        <f t="shared" si="21"/>
        <v>-1.0221</v>
      </c>
    </row>
    <row r="108" spans="1:23">
      <c r="A108" s="5">
        <v>6.0944440499999999</v>
      </c>
      <c r="B108" s="5">
        <v>0.29958000000000001</v>
      </c>
      <c r="C108">
        <f t="shared" si="14"/>
        <v>1.8257735484990001</v>
      </c>
      <c r="D108">
        <v>1.7000000000000001E-2</v>
      </c>
      <c r="E108">
        <v>3.8999999999999998E-3</v>
      </c>
      <c r="F108">
        <f t="shared" si="15"/>
        <v>1218.8888099999999</v>
      </c>
      <c r="G108">
        <f t="shared" si="16"/>
        <v>-0.29958000000000001</v>
      </c>
      <c r="H108">
        <f t="shared" si="17"/>
        <v>-365.15470969980004</v>
      </c>
      <c r="I108">
        <v>1</v>
      </c>
      <c r="J108">
        <f t="shared" si="18"/>
        <v>0.19793963222894834</v>
      </c>
      <c r="K108">
        <f t="shared" si="19"/>
        <v>-0.9221451517752175</v>
      </c>
      <c r="L108">
        <v>1</v>
      </c>
      <c r="M108">
        <f t="shared" si="20"/>
        <v>0.70624135168162894</v>
      </c>
      <c r="N108">
        <f t="shared" si="24"/>
        <v>0.10360554885000001</v>
      </c>
      <c r="O108">
        <f t="shared" si="22"/>
        <v>2.3768331795E-2</v>
      </c>
      <c r="P108">
        <f t="shared" si="23"/>
        <v>8.8529919448588554E-2</v>
      </c>
      <c r="V108">
        <v>4.4000000000000004</v>
      </c>
      <c r="W108">
        <f t="shared" si="21"/>
        <v>-1.0298</v>
      </c>
    </row>
    <row r="109" spans="1:23">
      <c r="A109" s="5">
        <v>6.1521981500000003</v>
      </c>
      <c r="B109" s="5">
        <v>0.29532999999999998</v>
      </c>
      <c r="C109">
        <f t="shared" si="14"/>
        <v>1.8169286796394999</v>
      </c>
      <c r="D109">
        <v>1.7000000000000001E-2</v>
      </c>
      <c r="E109">
        <v>3.8999999999999998E-3</v>
      </c>
      <c r="F109">
        <f t="shared" si="15"/>
        <v>1230.4396300000001</v>
      </c>
      <c r="G109">
        <f t="shared" si="16"/>
        <v>-0.29532999999999998</v>
      </c>
      <c r="H109">
        <f t="shared" si="17"/>
        <v>-363.38573592789999</v>
      </c>
      <c r="I109">
        <v>1</v>
      </c>
      <c r="J109">
        <f t="shared" si="18"/>
        <v>0.20737152828825386</v>
      </c>
      <c r="K109">
        <f t="shared" si="19"/>
        <v>-0.92639515177521747</v>
      </c>
      <c r="L109">
        <v>1</v>
      </c>
      <c r="M109">
        <f t="shared" si="20"/>
        <v>0.70696760767819544</v>
      </c>
      <c r="N109">
        <f t="shared" si="24"/>
        <v>0.10458736855000002</v>
      </c>
      <c r="O109">
        <f t="shared" si="22"/>
        <v>2.3993572785E-2</v>
      </c>
      <c r="P109">
        <f t="shared" si="23"/>
        <v>9.0846602762022013E-2</v>
      </c>
      <c r="V109">
        <v>4.5</v>
      </c>
      <c r="W109">
        <f t="shared" si="21"/>
        <v>-1.0374999999999999</v>
      </c>
    </row>
    <row r="110" spans="1:23">
      <c r="A110" s="5">
        <v>6.2088094500000004</v>
      </c>
      <c r="B110" s="5">
        <v>0.29077999999999998</v>
      </c>
      <c r="C110">
        <f t="shared" si="14"/>
        <v>1.805397611871</v>
      </c>
      <c r="D110">
        <v>1.7000000000000001E-2</v>
      </c>
      <c r="E110">
        <v>3.8999999999999998E-3</v>
      </c>
      <c r="F110">
        <f t="shared" si="15"/>
        <v>1241.76189</v>
      </c>
      <c r="G110">
        <f t="shared" si="16"/>
        <v>-0.29077999999999998</v>
      </c>
      <c r="H110">
        <f t="shared" si="17"/>
        <v>-361.0795223742</v>
      </c>
      <c r="I110">
        <v>1</v>
      </c>
      <c r="J110">
        <f t="shared" si="18"/>
        <v>0.21653125015577651</v>
      </c>
      <c r="K110">
        <f t="shared" si="19"/>
        <v>-0.93094515177521742</v>
      </c>
      <c r="L110">
        <v>1</v>
      </c>
      <c r="M110">
        <f t="shared" si="20"/>
        <v>0.70767290626199475</v>
      </c>
      <c r="N110">
        <f t="shared" si="24"/>
        <v>0.10554976065000002</v>
      </c>
      <c r="O110">
        <f t="shared" si="22"/>
        <v>2.4214356855000001E-2</v>
      </c>
      <c r="P110">
        <f t="shared" si="23"/>
        <v>9.3508128008222641E-2</v>
      </c>
      <c r="V110">
        <v>4.5999999999999996</v>
      </c>
      <c r="W110">
        <f t="shared" si="21"/>
        <v>-1.0451999999999999</v>
      </c>
    </row>
    <row r="111" spans="1:23">
      <c r="A111" s="5">
        <v>6.2688505999999995</v>
      </c>
      <c r="B111" s="5">
        <v>0.28616000000000003</v>
      </c>
      <c r="C111">
        <f t="shared" si="14"/>
        <v>1.793894287696</v>
      </c>
      <c r="D111">
        <v>1.7000000000000001E-2</v>
      </c>
      <c r="E111">
        <v>3.8999999999999998E-3</v>
      </c>
      <c r="F111">
        <f t="shared" si="15"/>
        <v>1253.7701199999999</v>
      </c>
      <c r="G111">
        <f t="shared" si="16"/>
        <v>-0.28616000000000003</v>
      </c>
      <c r="H111">
        <f t="shared" si="17"/>
        <v>-358.77885753919998</v>
      </c>
      <c r="I111">
        <v>1</v>
      </c>
      <c r="J111">
        <f t="shared" si="18"/>
        <v>0.22615510802167346</v>
      </c>
      <c r="K111">
        <f t="shared" si="19"/>
        <v>-0.93556515177521749</v>
      </c>
      <c r="L111">
        <v>1</v>
      </c>
      <c r="M111">
        <f t="shared" si="20"/>
        <v>0.70841394331766883</v>
      </c>
      <c r="N111">
        <f t="shared" si="24"/>
        <v>0.10657046019999999</v>
      </c>
      <c r="O111">
        <f t="shared" si="22"/>
        <v>2.4448517339999996E-2</v>
      </c>
      <c r="P111">
        <f t="shared" si="23"/>
        <v>9.6132230917548661E-2</v>
      </c>
      <c r="V111">
        <v>4.7</v>
      </c>
      <c r="W111">
        <f t="shared" si="21"/>
        <v>-1.0528999999999999</v>
      </c>
    </row>
    <row r="112" spans="1:23">
      <c r="A112" s="5">
        <v>6.3254619000000005</v>
      </c>
      <c r="B112" s="5">
        <v>0.28140999999999999</v>
      </c>
      <c r="C112">
        <f t="shared" si="14"/>
        <v>1.7800482332790002</v>
      </c>
      <c r="D112">
        <v>1.7000000000000001E-2</v>
      </c>
      <c r="E112">
        <v>3.8999999999999998E-3</v>
      </c>
      <c r="F112">
        <f t="shared" si="15"/>
        <v>1265.09238</v>
      </c>
      <c r="G112">
        <f t="shared" si="16"/>
        <v>-0.28140999999999999</v>
      </c>
      <c r="H112">
        <f t="shared" si="17"/>
        <v>-356.00964665580005</v>
      </c>
      <c r="I112">
        <v>1</v>
      </c>
      <c r="J112">
        <f t="shared" si="18"/>
        <v>0.23514514718107743</v>
      </c>
      <c r="K112">
        <f t="shared" si="19"/>
        <v>-0.94031515177521752</v>
      </c>
      <c r="L112">
        <v>1</v>
      </c>
      <c r="M112">
        <f t="shared" si="20"/>
        <v>0.70910617633294293</v>
      </c>
      <c r="N112">
        <f t="shared" si="24"/>
        <v>0.10753285230000002</v>
      </c>
      <c r="O112">
        <f t="shared" si="22"/>
        <v>2.466930141E-2</v>
      </c>
      <c r="P112">
        <f t="shared" si="23"/>
        <v>9.9006821732274569E-2</v>
      </c>
      <c r="V112">
        <v>4.8</v>
      </c>
      <c r="W112">
        <f t="shared" si="21"/>
        <v>-1.0606</v>
      </c>
    </row>
    <row r="113" spans="1:23">
      <c r="A113">
        <v>6.3820721000000002</v>
      </c>
      <c r="B113">
        <v>0.27660000000000001</v>
      </c>
      <c r="C113">
        <f t="shared" si="14"/>
        <v>1.7652811428600002</v>
      </c>
      <c r="D113">
        <v>1.7000000000000001E-2</v>
      </c>
      <c r="E113">
        <v>3.8999999999999998E-3</v>
      </c>
      <c r="F113">
        <f t="shared" si="15"/>
        <v>1276.4144200000001</v>
      </c>
      <c r="G113">
        <f t="shared" si="16"/>
        <v>-0.27660000000000001</v>
      </c>
      <c r="H113">
        <f t="shared" si="17"/>
        <v>-353.05622857200001</v>
      </c>
      <c r="I113">
        <v>1</v>
      </c>
      <c r="J113">
        <f t="shared" si="18"/>
        <v>0.24405491275707081</v>
      </c>
      <c r="K113">
        <f t="shared" si="19"/>
        <v>-0.9451251517752175</v>
      </c>
      <c r="L113">
        <v>1</v>
      </c>
      <c r="M113">
        <f t="shared" si="20"/>
        <v>0.70979222828229438</v>
      </c>
      <c r="N113">
        <f t="shared" si="24"/>
        <v>0.10849522570000002</v>
      </c>
      <c r="O113">
        <f t="shared" si="22"/>
        <v>2.489008119E-2</v>
      </c>
      <c r="P113">
        <f t="shared" si="23"/>
        <v>0.10194761660292309</v>
      </c>
      <c r="V113">
        <v>4.9000000000000004</v>
      </c>
      <c r="W113">
        <f t="shared" si="21"/>
        <v>-1.0683</v>
      </c>
    </row>
    <row r="114" spans="1:23">
      <c r="A114">
        <v>6.4403980499999998</v>
      </c>
      <c r="B114">
        <v>0.27200999999999997</v>
      </c>
      <c r="C114">
        <f t="shared" si="14"/>
        <v>1.7518526735804998</v>
      </c>
      <c r="D114">
        <v>1.7000000000000001E-2</v>
      </c>
      <c r="E114">
        <v>3.8999999999999998E-3</v>
      </c>
      <c r="F114">
        <f t="shared" si="15"/>
        <v>1288.07961</v>
      </c>
      <c r="G114">
        <f t="shared" si="16"/>
        <v>-0.27200999999999997</v>
      </c>
      <c r="H114">
        <f t="shared" si="17"/>
        <v>-350.37053471609994</v>
      </c>
      <c r="I114">
        <v>1</v>
      </c>
      <c r="J114">
        <f t="shared" si="18"/>
        <v>0.25315243477827515</v>
      </c>
      <c r="K114">
        <f t="shared" si="19"/>
        <v>-0.94971515177521748</v>
      </c>
      <c r="L114">
        <v>1</v>
      </c>
      <c r="M114">
        <f t="shared" si="20"/>
        <v>0.71049273747792718</v>
      </c>
      <c r="N114">
        <f t="shared" si="24"/>
        <v>0.10948676685</v>
      </c>
      <c r="O114">
        <f t="shared" si="22"/>
        <v>2.5117552394999999E-2</v>
      </c>
      <c r="P114">
        <f t="shared" si="23"/>
        <v>0.10461809505229031</v>
      </c>
      <c r="V114">
        <v>5</v>
      </c>
      <c r="W114">
        <f t="shared" si="21"/>
        <v>-1.0760000000000001</v>
      </c>
    </row>
    <row r="115" spans="1:23">
      <c r="A115">
        <v>6.49758075</v>
      </c>
      <c r="B115">
        <v>0.26699000000000001</v>
      </c>
      <c r="C115">
        <f t="shared" si="14"/>
        <v>1.7347890844425</v>
      </c>
      <c r="D115">
        <v>1.7000000000000001E-2</v>
      </c>
      <c r="E115">
        <v>3.8999999999999998E-3</v>
      </c>
      <c r="F115">
        <f t="shared" si="15"/>
        <v>1299.5161499999999</v>
      </c>
      <c r="G115">
        <f t="shared" si="16"/>
        <v>-0.26699000000000001</v>
      </c>
      <c r="H115">
        <f t="shared" si="17"/>
        <v>-346.95781688850002</v>
      </c>
      <c r="I115">
        <v>1</v>
      </c>
      <c r="J115">
        <f t="shared" si="18"/>
        <v>0.26199200287905067</v>
      </c>
      <c r="K115">
        <f t="shared" si="19"/>
        <v>-0.95473515177521739</v>
      </c>
      <c r="L115">
        <v>1</v>
      </c>
      <c r="M115">
        <f t="shared" si="20"/>
        <v>0.71117338422168686</v>
      </c>
      <c r="N115">
        <f t="shared" si="24"/>
        <v>0.11045887275000001</v>
      </c>
      <c r="O115">
        <f t="shared" si="22"/>
        <v>2.5340564925E-2</v>
      </c>
      <c r="P115">
        <f t="shared" si="23"/>
        <v>0.10776232987853054</v>
      </c>
      <c r="V115">
        <v>5.0999999999999996</v>
      </c>
      <c r="W115">
        <f t="shared" si="21"/>
        <v>-1.0836999999999999</v>
      </c>
    </row>
    <row r="116" spans="1:23">
      <c r="A116">
        <v>6.5553353000000003</v>
      </c>
      <c r="B116">
        <v>0.26201000000000002</v>
      </c>
      <c r="C116">
        <f t="shared" si="14"/>
        <v>1.7175634019530002</v>
      </c>
      <c r="D116">
        <v>1.7000000000000001E-2</v>
      </c>
      <c r="E116">
        <v>3.8999999999999998E-3</v>
      </c>
      <c r="F116">
        <f t="shared" si="15"/>
        <v>1311.0670600000001</v>
      </c>
      <c r="G116">
        <f t="shared" si="16"/>
        <v>-0.26201000000000002</v>
      </c>
      <c r="H116">
        <f t="shared" si="17"/>
        <v>-343.51268039060005</v>
      </c>
      <c r="I116">
        <v>1</v>
      </c>
      <c r="J116">
        <f t="shared" si="18"/>
        <v>0.27084135526587932</v>
      </c>
      <c r="K116">
        <f t="shared" si="19"/>
        <v>-0.95971515177521738</v>
      </c>
      <c r="L116">
        <v>1</v>
      </c>
      <c r="M116">
        <f t="shared" si="20"/>
        <v>0.71185478435547267</v>
      </c>
      <c r="N116">
        <f t="shared" si="24"/>
        <v>0.11144070010000001</v>
      </c>
      <c r="O116">
        <f t="shared" si="22"/>
        <v>2.5565807669999999E-2</v>
      </c>
      <c r="P116">
        <f t="shared" si="23"/>
        <v>0.1108538596497447</v>
      </c>
      <c r="V116">
        <v>5.2</v>
      </c>
      <c r="W116">
        <f t="shared" si="21"/>
        <v>-1.0913999999999999</v>
      </c>
    </row>
    <row r="117" spans="1:23">
      <c r="A117">
        <v>6.6125179999999997</v>
      </c>
      <c r="B117">
        <v>0.25713999999999998</v>
      </c>
      <c r="C117">
        <f t="shared" si="14"/>
        <v>1.7003428785199999</v>
      </c>
      <c r="D117">
        <v>1.7000000000000001E-2</v>
      </c>
      <c r="E117">
        <v>3.8999999999999998E-3</v>
      </c>
      <c r="F117">
        <f t="shared" si="15"/>
        <v>1322.5036</v>
      </c>
      <c r="G117">
        <f t="shared" si="16"/>
        <v>-0.25713999999999998</v>
      </c>
      <c r="H117">
        <f t="shared" si="17"/>
        <v>-340.06857570399995</v>
      </c>
      <c r="I117">
        <v>1</v>
      </c>
      <c r="J117">
        <f t="shared" si="18"/>
        <v>0.27952660686381481</v>
      </c>
      <c r="K117">
        <f t="shared" si="19"/>
        <v>-0.96458515177521753</v>
      </c>
      <c r="L117">
        <v>1</v>
      </c>
      <c r="M117">
        <f t="shared" si="20"/>
        <v>0.71252354872851364</v>
      </c>
      <c r="N117">
        <f t="shared" si="24"/>
        <v>0.112412806</v>
      </c>
      <c r="O117">
        <f t="shared" si="22"/>
        <v>2.5788820199999996E-2</v>
      </c>
      <c r="P117">
        <f t="shared" si="23"/>
        <v>0.11385997684670389</v>
      </c>
      <c r="V117">
        <v>5.3</v>
      </c>
      <c r="W117">
        <f t="shared" si="21"/>
        <v>-1.0991</v>
      </c>
    </row>
    <row r="118" spans="1:23">
      <c r="A118">
        <v>6.6702719500000001</v>
      </c>
      <c r="B118">
        <v>0.25216</v>
      </c>
      <c r="C118">
        <f t="shared" si="14"/>
        <v>1.6819757749119999</v>
      </c>
      <c r="D118">
        <v>1.7000000000000001E-2</v>
      </c>
      <c r="E118">
        <v>3.8999999999999998E-3</v>
      </c>
      <c r="F118">
        <f t="shared" si="15"/>
        <v>1334.05439</v>
      </c>
      <c r="G118">
        <f t="shared" si="16"/>
        <v>-0.25216</v>
      </c>
      <c r="H118">
        <f t="shared" si="17"/>
        <v>-336.39515498239996</v>
      </c>
      <c r="I118">
        <v>1</v>
      </c>
      <c r="J118">
        <f t="shared" si="18"/>
        <v>0.28822271877621491</v>
      </c>
      <c r="K118">
        <f t="shared" si="19"/>
        <v>-0.96956515177521752</v>
      </c>
      <c r="L118">
        <v>1</v>
      </c>
      <c r="M118">
        <f t="shared" si="20"/>
        <v>0.7131931493457685</v>
      </c>
      <c r="N118">
        <f t="shared" si="24"/>
        <v>0.11339462315000001</v>
      </c>
      <c r="O118">
        <f t="shared" si="22"/>
        <v>2.6014060605E-2</v>
      </c>
      <c r="P118">
        <f t="shared" si="23"/>
        <v>0.11696331867444901</v>
      </c>
      <c r="V118">
        <v>5.4</v>
      </c>
      <c r="W118">
        <f t="shared" si="21"/>
        <v>-1.1068</v>
      </c>
    </row>
    <row r="119" spans="1:23">
      <c r="A119">
        <v>6.6759907499999995</v>
      </c>
      <c r="B119">
        <v>0.25124000000000002</v>
      </c>
      <c r="C119">
        <f t="shared" si="14"/>
        <v>1.6772759160299999</v>
      </c>
      <c r="D119">
        <v>1.7000000000000001E-2</v>
      </c>
      <c r="E119">
        <v>3.8999999999999998E-3</v>
      </c>
      <c r="F119">
        <f t="shared" si="15"/>
        <v>1335.1981499999999</v>
      </c>
      <c r="G119">
        <f t="shared" si="16"/>
        <v>-0.25124000000000002</v>
      </c>
      <c r="H119">
        <f t="shared" si="17"/>
        <v>-335.45518320599996</v>
      </c>
      <c r="I119">
        <v>1</v>
      </c>
      <c r="J119">
        <f t="shared" si="18"/>
        <v>0.28907970780431258</v>
      </c>
      <c r="K119">
        <f t="shared" si="19"/>
        <v>-0.97048515177521744</v>
      </c>
      <c r="L119">
        <v>1</v>
      </c>
      <c r="M119">
        <f t="shared" si="20"/>
        <v>0.71325913750093206</v>
      </c>
      <c r="N119">
        <f t="shared" si="24"/>
        <v>0.11349184275</v>
      </c>
      <c r="O119">
        <f t="shared" si="22"/>
        <v>2.6036363924999997E-2</v>
      </c>
      <c r="P119">
        <f t="shared" si="23"/>
        <v>0.11769780759928536</v>
      </c>
      <c r="V119">
        <v>5.5</v>
      </c>
      <c r="W119">
        <f t="shared" si="21"/>
        <v>-1.1145</v>
      </c>
    </row>
    <row r="120" spans="1:23">
      <c r="C120">
        <f t="shared" si="14"/>
        <v>0</v>
      </c>
      <c r="D120">
        <v>1.7000000000000001E-2</v>
      </c>
      <c r="E120">
        <v>3.8999999999999998E-3</v>
      </c>
      <c r="F120">
        <f t="shared" si="15"/>
        <v>0</v>
      </c>
      <c r="G120">
        <f t="shared" si="16"/>
        <v>0</v>
      </c>
      <c r="H120">
        <f t="shared" si="17"/>
        <v>0</v>
      </c>
      <c r="I120">
        <v>1</v>
      </c>
      <c r="J120" t="e">
        <f t="shared" si="18"/>
        <v>#NUM!</v>
      </c>
      <c r="K120">
        <f t="shared" si="19"/>
        <v>-1.2217251517752175</v>
      </c>
      <c r="L120">
        <v>1</v>
      </c>
      <c r="M120" t="e">
        <f t="shared" si="20"/>
        <v>#NUM!</v>
      </c>
      <c r="N120">
        <f t="shared" si="24"/>
        <v>0</v>
      </c>
      <c r="O120">
        <f t="shared" si="22"/>
        <v>0</v>
      </c>
      <c r="P120" t="e">
        <f t="shared" si="23"/>
        <v>#NUM!</v>
      </c>
      <c r="V120">
        <v>5.6</v>
      </c>
      <c r="W120">
        <f t="shared" si="21"/>
        <v>-1.1221999999999999</v>
      </c>
    </row>
    <row r="121" spans="1:23">
      <c r="C121">
        <f t="shared" si="14"/>
        <v>0</v>
      </c>
      <c r="D121">
        <v>1.7000000000000001E-2</v>
      </c>
      <c r="E121">
        <v>3.8999999999999998E-3</v>
      </c>
      <c r="F121">
        <f t="shared" si="15"/>
        <v>0</v>
      </c>
      <c r="G121">
        <f t="shared" si="16"/>
        <v>0</v>
      </c>
      <c r="H121">
        <f t="shared" si="17"/>
        <v>0</v>
      </c>
      <c r="I121">
        <v>1</v>
      </c>
      <c r="J121" t="e">
        <f t="shared" si="18"/>
        <v>#NUM!</v>
      </c>
      <c r="K121">
        <f t="shared" si="19"/>
        <v>-1.2217251517752175</v>
      </c>
      <c r="L121">
        <v>1</v>
      </c>
      <c r="M121" t="e">
        <f t="shared" si="20"/>
        <v>#NUM!</v>
      </c>
      <c r="N121">
        <f t="shared" si="24"/>
        <v>0</v>
      </c>
      <c r="O121">
        <f t="shared" si="22"/>
        <v>0</v>
      </c>
      <c r="P121" t="e">
        <f t="shared" si="23"/>
        <v>#NUM!</v>
      </c>
      <c r="V121">
        <v>5.7</v>
      </c>
      <c r="W121">
        <f t="shared" si="21"/>
        <v>-1.1298999999999999</v>
      </c>
    </row>
    <row r="122" spans="1:23">
      <c r="C122">
        <f t="shared" si="14"/>
        <v>0</v>
      </c>
      <c r="D122">
        <v>1.7000000000000001E-2</v>
      </c>
      <c r="E122">
        <v>3.8999999999999998E-3</v>
      </c>
      <c r="F122">
        <f t="shared" si="15"/>
        <v>0</v>
      </c>
      <c r="G122">
        <f t="shared" si="16"/>
        <v>0</v>
      </c>
      <c r="H122">
        <f t="shared" si="17"/>
        <v>0</v>
      </c>
      <c r="I122">
        <v>1</v>
      </c>
      <c r="J122" t="e">
        <f t="shared" si="18"/>
        <v>#NUM!</v>
      </c>
      <c r="K122">
        <f t="shared" si="19"/>
        <v>-1.2217251517752175</v>
      </c>
      <c r="L122">
        <v>1</v>
      </c>
      <c r="M122" t="e">
        <f t="shared" si="20"/>
        <v>#NUM!</v>
      </c>
      <c r="N122">
        <f t="shared" si="24"/>
        <v>0</v>
      </c>
      <c r="O122">
        <f t="shared" si="22"/>
        <v>0</v>
      </c>
      <c r="P122" t="e">
        <f t="shared" si="23"/>
        <v>#NUM!</v>
      </c>
      <c r="V122">
        <v>5.8</v>
      </c>
      <c r="W122">
        <f t="shared" si="21"/>
        <v>-1.1375999999999999</v>
      </c>
    </row>
    <row r="123" spans="1:23">
      <c r="C123">
        <f t="shared" si="14"/>
        <v>0</v>
      </c>
      <c r="D123">
        <v>1.7000000000000001E-2</v>
      </c>
      <c r="E123">
        <v>3.8999999999999998E-3</v>
      </c>
      <c r="F123">
        <f t="shared" si="15"/>
        <v>0</v>
      </c>
      <c r="G123">
        <f t="shared" si="16"/>
        <v>0</v>
      </c>
      <c r="H123">
        <f t="shared" si="17"/>
        <v>0</v>
      </c>
      <c r="I123">
        <v>1</v>
      </c>
      <c r="J123" t="e">
        <f t="shared" si="18"/>
        <v>#NUM!</v>
      </c>
      <c r="K123">
        <f t="shared" si="19"/>
        <v>-1.2217251517752175</v>
      </c>
      <c r="L123">
        <v>1</v>
      </c>
      <c r="M123" t="e">
        <f t="shared" si="20"/>
        <v>#NUM!</v>
      </c>
      <c r="N123">
        <f t="shared" si="24"/>
        <v>0</v>
      </c>
      <c r="O123">
        <f t="shared" si="22"/>
        <v>0</v>
      </c>
      <c r="P123" t="e">
        <f t="shared" si="23"/>
        <v>#NUM!</v>
      </c>
      <c r="V123">
        <v>5.9</v>
      </c>
      <c r="W123">
        <f t="shared" si="21"/>
        <v>-1.1453</v>
      </c>
    </row>
    <row r="124" spans="1:23">
      <c r="C124">
        <f t="shared" si="14"/>
        <v>0</v>
      </c>
      <c r="D124">
        <v>1.7000000000000001E-2</v>
      </c>
      <c r="E124">
        <v>3.8999999999999998E-3</v>
      </c>
      <c r="F124">
        <f t="shared" si="15"/>
        <v>0</v>
      </c>
      <c r="G124">
        <f t="shared" si="16"/>
        <v>0</v>
      </c>
      <c r="H124">
        <f t="shared" si="17"/>
        <v>0</v>
      </c>
      <c r="I124">
        <v>1</v>
      </c>
      <c r="J124" t="e">
        <f t="shared" si="18"/>
        <v>#NUM!</v>
      </c>
      <c r="K124">
        <f t="shared" si="19"/>
        <v>-1.2217251517752175</v>
      </c>
      <c r="L124">
        <v>1</v>
      </c>
      <c r="M124" t="e">
        <f t="shared" si="20"/>
        <v>#NUM!</v>
      </c>
      <c r="N124">
        <f t="shared" si="24"/>
        <v>0</v>
      </c>
      <c r="O124">
        <f t="shared" si="22"/>
        <v>0</v>
      </c>
      <c r="P124" t="e">
        <f t="shared" si="23"/>
        <v>#NUM!</v>
      </c>
      <c r="V124">
        <v>6</v>
      </c>
      <c r="W124">
        <f t="shared" si="21"/>
        <v>-1.153</v>
      </c>
    </row>
    <row r="125" spans="1:23">
      <c r="C125">
        <f t="shared" si="14"/>
        <v>0</v>
      </c>
      <c r="D125">
        <v>1.7000000000000001E-2</v>
      </c>
      <c r="E125">
        <v>3.8999999999999998E-3</v>
      </c>
      <c r="F125">
        <f t="shared" si="15"/>
        <v>0</v>
      </c>
      <c r="G125">
        <f t="shared" si="16"/>
        <v>0</v>
      </c>
      <c r="H125">
        <f t="shared" si="17"/>
        <v>0</v>
      </c>
      <c r="I125">
        <v>1</v>
      </c>
      <c r="J125" t="e">
        <f t="shared" si="18"/>
        <v>#NUM!</v>
      </c>
      <c r="K125">
        <f t="shared" si="19"/>
        <v>-1.2217251517752175</v>
      </c>
      <c r="L125">
        <v>1</v>
      </c>
      <c r="M125" t="e">
        <f t="shared" si="20"/>
        <v>#NUM!</v>
      </c>
      <c r="N125">
        <f t="shared" si="24"/>
        <v>0</v>
      </c>
      <c r="O125">
        <f t="shared" si="22"/>
        <v>0</v>
      </c>
      <c r="P125" t="e">
        <f t="shared" si="23"/>
        <v>#NUM!</v>
      </c>
      <c r="V125">
        <v>6.1</v>
      </c>
      <c r="W125">
        <f t="shared" si="21"/>
        <v>-1.1606999999999998</v>
      </c>
    </row>
    <row r="126" spans="1:23">
      <c r="C126">
        <f t="shared" si="14"/>
        <v>0</v>
      </c>
      <c r="D126">
        <v>1.7000000000000001E-2</v>
      </c>
      <c r="E126">
        <v>3.8999999999999998E-3</v>
      </c>
      <c r="F126">
        <f t="shared" si="15"/>
        <v>0</v>
      </c>
      <c r="G126">
        <f t="shared" si="16"/>
        <v>0</v>
      </c>
      <c r="H126">
        <f t="shared" si="17"/>
        <v>0</v>
      </c>
      <c r="I126">
        <v>1</v>
      </c>
      <c r="J126" t="e">
        <f t="shared" si="18"/>
        <v>#NUM!</v>
      </c>
      <c r="K126">
        <f t="shared" si="19"/>
        <v>-1.2217251517752175</v>
      </c>
      <c r="L126">
        <v>1</v>
      </c>
      <c r="M126" t="e">
        <f t="shared" si="20"/>
        <v>#NUM!</v>
      </c>
      <c r="N126">
        <f t="shared" si="24"/>
        <v>0</v>
      </c>
      <c r="O126">
        <f t="shared" si="22"/>
        <v>0</v>
      </c>
      <c r="P126" t="e">
        <f t="shared" si="23"/>
        <v>#NUM!</v>
      </c>
      <c r="V126">
        <v>6.2</v>
      </c>
      <c r="W126">
        <f t="shared" si="21"/>
        <v>-1.1683999999999999</v>
      </c>
    </row>
    <row r="127" spans="1:23">
      <c r="C127">
        <f t="shared" si="14"/>
        <v>0</v>
      </c>
      <c r="D127">
        <v>1.7000000000000001E-2</v>
      </c>
      <c r="E127">
        <v>3.8999999999999998E-3</v>
      </c>
      <c r="F127">
        <f t="shared" si="15"/>
        <v>0</v>
      </c>
      <c r="G127">
        <f t="shared" si="16"/>
        <v>0</v>
      </c>
      <c r="H127">
        <f t="shared" si="17"/>
        <v>0</v>
      </c>
      <c r="I127">
        <v>1</v>
      </c>
      <c r="J127" t="e">
        <f t="shared" si="18"/>
        <v>#NUM!</v>
      </c>
      <c r="K127">
        <f t="shared" si="19"/>
        <v>-1.2217251517752175</v>
      </c>
      <c r="L127">
        <v>1</v>
      </c>
      <c r="M127" t="e">
        <f t="shared" si="20"/>
        <v>#NUM!</v>
      </c>
      <c r="N127">
        <f t="shared" si="24"/>
        <v>0</v>
      </c>
      <c r="O127">
        <f t="shared" si="22"/>
        <v>0</v>
      </c>
      <c r="P127" t="e">
        <f t="shared" si="23"/>
        <v>#NUM!</v>
      </c>
      <c r="V127">
        <v>6.3</v>
      </c>
      <c r="W127">
        <f t="shared" si="21"/>
        <v>-1.1760999999999999</v>
      </c>
    </row>
    <row r="128" spans="1:23">
      <c r="C128">
        <f t="shared" si="14"/>
        <v>0</v>
      </c>
      <c r="D128">
        <v>1.7000000000000001E-2</v>
      </c>
      <c r="E128">
        <v>3.8999999999999998E-3</v>
      </c>
      <c r="F128">
        <f t="shared" si="15"/>
        <v>0</v>
      </c>
      <c r="G128">
        <f t="shared" si="16"/>
        <v>0</v>
      </c>
      <c r="H128">
        <f t="shared" si="17"/>
        <v>0</v>
      </c>
      <c r="I128">
        <v>1</v>
      </c>
      <c r="J128" t="e">
        <f t="shared" si="18"/>
        <v>#NUM!</v>
      </c>
      <c r="K128">
        <f t="shared" si="19"/>
        <v>-1.2217251517752175</v>
      </c>
      <c r="L128">
        <v>1</v>
      </c>
      <c r="M128" t="e">
        <f t="shared" si="20"/>
        <v>#NUM!</v>
      </c>
      <c r="N128">
        <f t="shared" si="24"/>
        <v>0</v>
      </c>
      <c r="O128">
        <f t="shared" si="22"/>
        <v>0</v>
      </c>
      <c r="P128" t="e">
        <f t="shared" si="23"/>
        <v>#NUM!</v>
      </c>
      <c r="V128">
        <v>6.4</v>
      </c>
      <c r="W128">
        <f t="shared" si="21"/>
        <v>-1.1838</v>
      </c>
    </row>
    <row r="129" spans="2:23">
      <c r="C129">
        <f t="shared" si="14"/>
        <v>0</v>
      </c>
      <c r="D129">
        <v>1.7000000000000001E-2</v>
      </c>
      <c r="E129">
        <v>3.8999999999999998E-3</v>
      </c>
      <c r="F129">
        <f t="shared" si="15"/>
        <v>0</v>
      </c>
      <c r="G129">
        <f t="shared" si="16"/>
        <v>0</v>
      </c>
      <c r="H129">
        <f t="shared" si="17"/>
        <v>0</v>
      </c>
      <c r="I129">
        <v>1</v>
      </c>
      <c r="J129" t="e">
        <f t="shared" si="18"/>
        <v>#NUM!</v>
      </c>
      <c r="K129">
        <f t="shared" si="19"/>
        <v>-1.2217251517752175</v>
      </c>
      <c r="L129">
        <v>1</v>
      </c>
      <c r="M129" t="e">
        <f t="shared" si="20"/>
        <v>#NUM!</v>
      </c>
      <c r="N129">
        <f t="shared" si="24"/>
        <v>0</v>
      </c>
      <c r="O129">
        <f t="shared" si="22"/>
        <v>0</v>
      </c>
      <c r="P129" t="e">
        <f t="shared" si="23"/>
        <v>#NUM!</v>
      </c>
      <c r="V129">
        <v>6.5</v>
      </c>
      <c r="W129">
        <f t="shared" si="21"/>
        <v>-1.1915</v>
      </c>
    </row>
    <row r="130" spans="2:23">
      <c r="C130">
        <f t="shared" si="14"/>
        <v>0</v>
      </c>
      <c r="D130">
        <v>1.7000000000000001E-2</v>
      </c>
      <c r="E130">
        <v>3.8999999999999998E-3</v>
      </c>
      <c r="F130">
        <f t="shared" si="15"/>
        <v>0</v>
      </c>
      <c r="G130">
        <f t="shared" si="16"/>
        <v>0</v>
      </c>
      <c r="H130">
        <f t="shared" si="17"/>
        <v>0</v>
      </c>
      <c r="I130">
        <v>1</v>
      </c>
      <c r="J130" t="e">
        <f t="shared" si="18"/>
        <v>#NUM!</v>
      </c>
      <c r="K130">
        <f t="shared" si="19"/>
        <v>-1.2217251517752175</v>
      </c>
      <c r="L130">
        <v>1</v>
      </c>
      <c r="M130" t="e">
        <f t="shared" si="20"/>
        <v>#NUM!</v>
      </c>
      <c r="N130">
        <f t="shared" si="24"/>
        <v>0</v>
      </c>
      <c r="O130">
        <f t="shared" si="22"/>
        <v>0</v>
      </c>
      <c r="P130" t="e">
        <f t="shared" si="23"/>
        <v>#NUM!</v>
      </c>
      <c r="V130">
        <v>6.6</v>
      </c>
      <c r="W130">
        <f t="shared" si="21"/>
        <v>-1.1991999999999998</v>
      </c>
    </row>
    <row r="131" spans="2:23">
      <c r="C131">
        <f t="shared" si="14"/>
        <v>0</v>
      </c>
      <c r="D131">
        <v>1.7000000000000001E-2</v>
      </c>
      <c r="E131">
        <v>3.8999999999999998E-3</v>
      </c>
      <c r="F131">
        <f t="shared" si="15"/>
        <v>0</v>
      </c>
      <c r="G131">
        <f t="shared" si="16"/>
        <v>0</v>
      </c>
      <c r="H131">
        <f t="shared" si="17"/>
        <v>0</v>
      </c>
      <c r="I131">
        <v>1</v>
      </c>
      <c r="J131" t="e">
        <f t="shared" si="18"/>
        <v>#NUM!</v>
      </c>
      <c r="K131">
        <f t="shared" si="19"/>
        <v>-1.2217251517752175</v>
      </c>
      <c r="L131">
        <v>1</v>
      </c>
      <c r="M131" t="e">
        <f t="shared" si="20"/>
        <v>#NUM!</v>
      </c>
      <c r="N131">
        <f t="shared" si="24"/>
        <v>0</v>
      </c>
      <c r="O131">
        <f t="shared" si="22"/>
        <v>0</v>
      </c>
      <c r="P131" t="e">
        <f t="shared" si="23"/>
        <v>#NUM!</v>
      </c>
      <c r="V131">
        <v>6.7</v>
      </c>
      <c r="W131">
        <f t="shared" si="21"/>
        <v>-1.2069000000000001</v>
      </c>
    </row>
    <row r="132" spans="2:23">
      <c r="C132">
        <f t="shared" si="14"/>
        <v>0</v>
      </c>
      <c r="D132">
        <v>1.7000000000000001E-2</v>
      </c>
      <c r="E132">
        <v>3.8999999999999998E-3</v>
      </c>
      <c r="F132">
        <f t="shared" si="15"/>
        <v>0</v>
      </c>
      <c r="G132">
        <f t="shared" si="16"/>
        <v>0</v>
      </c>
      <c r="H132">
        <f t="shared" si="17"/>
        <v>0</v>
      </c>
      <c r="I132">
        <v>1</v>
      </c>
      <c r="J132" t="e">
        <f t="shared" si="18"/>
        <v>#NUM!</v>
      </c>
      <c r="K132">
        <f t="shared" si="19"/>
        <v>-1.2217251517752175</v>
      </c>
      <c r="L132">
        <v>1</v>
      </c>
      <c r="M132" t="e">
        <f t="shared" si="20"/>
        <v>#NUM!</v>
      </c>
      <c r="N132">
        <f t="shared" si="24"/>
        <v>0</v>
      </c>
      <c r="O132">
        <f t="shared" si="22"/>
        <v>0</v>
      </c>
      <c r="P132" t="e">
        <f t="shared" si="23"/>
        <v>#NUM!</v>
      </c>
      <c r="V132">
        <v>6.8</v>
      </c>
      <c r="W132">
        <f t="shared" si="21"/>
        <v>-1.2145999999999999</v>
      </c>
    </row>
    <row r="133" spans="2:23">
      <c r="C133">
        <f t="shared" ref="C133:C196" si="25">A133*B133</f>
        <v>0</v>
      </c>
      <c r="D133">
        <v>1.7000000000000001E-2</v>
      </c>
      <c r="E133">
        <v>3.8999999999999998E-3</v>
      </c>
      <c r="F133">
        <f t="shared" ref="F133:F196" si="26">A133*200</f>
        <v>0</v>
      </c>
      <c r="G133">
        <f t="shared" ref="G133:G144" si="27">-B133</f>
        <v>0</v>
      </c>
      <c r="H133">
        <f t="shared" ref="H133:H196" si="28">-C133*200</f>
        <v>0</v>
      </c>
      <c r="I133">
        <v>1</v>
      </c>
      <c r="J133" t="e">
        <f t="shared" ref="J133:J196" si="29">LN(F133/1000)</f>
        <v>#NUM!</v>
      </c>
      <c r="K133">
        <f t="shared" ref="K133:K187" si="30">((-G133)-$N$2)</f>
        <v>-1.2217251517752175</v>
      </c>
      <c r="L133">
        <v>1</v>
      </c>
      <c r="M133" t="e">
        <f t="shared" ref="M133:M196" si="31">-1*($S$4+($S$5*J133))</f>
        <v>#NUM!</v>
      </c>
      <c r="N133">
        <f t="shared" si="24"/>
        <v>0</v>
      </c>
      <c r="O133">
        <f t="shared" si="22"/>
        <v>0</v>
      </c>
      <c r="P133" t="e">
        <f t="shared" si="23"/>
        <v>#NUM!</v>
      </c>
      <c r="V133">
        <v>6.9</v>
      </c>
      <c r="W133">
        <f t="shared" ref="W133:W139" si="32">V133*$S$5+$S$4</f>
        <v>-1.2222999999999999</v>
      </c>
    </row>
    <row r="134" spans="2:23">
      <c r="C134">
        <f t="shared" si="25"/>
        <v>0</v>
      </c>
      <c r="D134">
        <v>1.7000000000000001E-2</v>
      </c>
      <c r="E134">
        <v>3.8999999999999998E-3</v>
      </c>
      <c r="F134">
        <f t="shared" si="26"/>
        <v>0</v>
      </c>
      <c r="G134">
        <f t="shared" si="27"/>
        <v>0</v>
      </c>
      <c r="H134">
        <f t="shared" si="28"/>
        <v>0</v>
      </c>
      <c r="I134">
        <v>1</v>
      </c>
      <c r="J134" t="e">
        <f t="shared" si="29"/>
        <v>#NUM!</v>
      </c>
      <c r="K134">
        <f t="shared" si="30"/>
        <v>-1.2217251517752175</v>
      </c>
      <c r="L134">
        <v>1</v>
      </c>
      <c r="M134" t="e">
        <f t="shared" si="31"/>
        <v>#NUM!</v>
      </c>
      <c r="N134">
        <f t="shared" si="24"/>
        <v>0</v>
      </c>
      <c r="O134">
        <f t="shared" ref="O134:O144" si="33">E134*A134</f>
        <v>0</v>
      </c>
      <c r="P134" t="e">
        <f t="shared" ref="P134:P144" si="34">-K134-M134-N134-O134</f>
        <v>#NUM!</v>
      </c>
      <c r="V134">
        <v>7</v>
      </c>
      <c r="W134">
        <f t="shared" si="32"/>
        <v>-1.23</v>
      </c>
    </row>
    <row r="135" spans="2:23">
      <c r="C135">
        <f t="shared" si="25"/>
        <v>0</v>
      </c>
      <c r="D135">
        <v>1.7000000000000001E-2</v>
      </c>
      <c r="E135">
        <v>3.8999999999999998E-3</v>
      </c>
      <c r="F135">
        <f t="shared" si="26"/>
        <v>0</v>
      </c>
      <c r="G135">
        <f t="shared" si="27"/>
        <v>0</v>
      </c>
      <c r="H135">
        <f t="shared" si="28"/>
        <v>0</v>
      </c>
      <c r="I135">
        <v>1</v>
      </c>
      <c r="J135" t="e">
        <f t="shared" si="29"/>
        <v>#NUM!</v>
      </c>
      <c r="K135">
        <f t="shared" si="30"/>
        <v>-1.2217251517752175</v>
      </c>
      <c r="L135">
        <v>1</v>
      </c>
      <c r="M135" t="e">
        <f t="shared" si="31"/>
        <v>#NUM!</v>
      </c>
      <c r="N135">
        <f t="shared" ref="N135:N144" si="35">D135*A135</f>
        <v>0</v>
      </c>
      <c r="O135">
        <f t="shared" si="33"/>
        <v>0</v>
      </c>
      <c r="P135" t="e">
        <f t="shared" si="34"/>
        <v>#NUM!</v>
      </c>
      <c r="V135">
        <v>7.1</v>
      </c>
      <c r="W135">
        <f t="shared" si="32"/>
        <v>-1.2376999999999998</v>
      </c>
    </row>
    <row r="136" spans="2:23">
      <c r="C136">
        <f t="shared" si="25"/>
        <v>0</v>
      </c>
      <c r="D136">
        <v>1.7000000000000001E-2</v>
      </c>
      <c r="E136">
        <v>3.8999999999999998E-3</v>
      </c>
      <c r="F136">
        <f t="shared" si="26"/>
        <v>0</v>
      </c>
      <c r="G136">
        <f t="shared" si="27"/>
        <v>0</v>
      </c>
      <c r="H136">
        <f t="shared" si="28"/>
        <v>0</v>
      </c>
      <c r="I136">
        <v>1</v>
      </c>
      <c r="J136" t="e">
        <f t="shared" si="29"/>
        <v>#NUM!</v>
      </c>
      <c r="K136">
        <f t="shared" si="30"/>
        <v>-1.2217251517752175</v>
      </c>
      <c r="L136">
        <v>1</v>
      </c>
      <c r="M136" t="e">
        <f t="shared" si="31"/>
        <v>#NUM!</v>
      </c>
      <c r="N136">
        <f t="shared" si="35"/>
        <v>0</v>
      </c>
      <c r="O136">
        <f t="shared" si="33"/>
        <v>0</v>
      </c>
      <c r="P136" t="e">
        <f t="shared" si="34"/>
        <v>#NUM!</v>
      </c>
      <c r="V136">
        <v>7.2</v>
      </c>
      <c r="W136">
        <f t="shared" si="32"/>
        <v>-1.2454000000000001</v>
      </c>
    </row>
    <row r="137" spans="2:23">
      <c r="B137" s="1"/>
      <c r="C137">
        <f t="shared" si="25"/>
        <v>0</v>
      </c>
      <c r="D137">
        <v>1.7000000000000001E-2</v>
      </c>
      <c r="E137">
        <v>3.8999999999999998E-3</v>
      </c>
      <c r="F137">
        <f t="shared" si="26"/>
        <v>0</v>
      </c>
      <c r="G137">
        <f t="shared" si="27"/>
        <v>0</v>
      </c>
      <c r="H137">
        <f t="shared" si="28"/>
        <v>0</v>
      </c>
      <c r="I137">
        <v>1</v>
      </c>
      <c r="J137" t="e">
        <f t="shared" si="29"/>
        <v>#NUM!</v>
      </c>
      <c r="K137">
        <f t="shared" si="30"/>
        <v>-1.2217251517752175</v>
      </c>
      <c r="L137">
        <v>1</v>
      </c>
      <c r="M137" t="e">
        <f t="shared" si="31"/>
        <v>#NUM!</v>
      </c>
      <c r="N137">
        <f t="shared" si="35"/>
        <v>0</v>
      </c>
      <c r="O137">
        <f t="shared" si="33"/>
        <v>0</v>
      </c>
      <c r="P137" t="e">
        <f t="shared" si="34"/>
        <v>#NUM!</v>
      </c>
      <c r="V137">
        <v>7.3</v>
      </c>
      <c r="W137">
        <f t="shared" si="32"/>
        <v>-1.2530999999999999</v>
      </c>
    </row>
    <row r="138" spans="2:23">
      <c r="B138" s="1"/>
      <c r="C138">
        <f t="shared" si="25"/>
        <v>0</v>
      </c>
      <c r="D138">
        <v>1.7000000000000001E-2</v>
      </c>
      <c r="E138">
        <v>3.8999999999999998E-3</v>
      </c>
      <c r="F138">
        <f t="shared" si="26"/>
        <v>0</v>
      </c>
      <c r="G138">
        <f t="shared" si="27"/>
        <v>0</v>
      </c>
      <c r="H138">
        <f t="shared" si="28"/>
        <v>0</v>
      </c>
      <c r="I138">
        <v>1</v>
      </c>
      <c r="J138" t="e">
        <f t="shared" si="29"/>
        <v>#NUM!</v>
      </c>
      <c r="K138">
        <f t="shared" si="30"/>
        <v>-1.2217251517752175</v>
      </c>
      <c r="L138">
        <v>1</v>
      </c>
      <c r="M138" t="e">
        <f t="shared" si="31"/>
        <v>#NUM!</v>
      </c>
      <c r="N138">
        <f t="shared" si="35"/>
        <v>0</v>
      </c>
      <c r="O138">
        <f t="shared" si="33"/>
        <v>0</v>
      </c>
      <c r="P138" t="e">
        <f t="shared" si="34"/>
        <v>#NUM!</v>
      </c>
      <c r="V138">
        <v>7.4</v>
      </c>
      <c r="W138">
        <f t="shared" si="32"/>
        <v>-1.2607999999999999</v>
      </c>
    </row>
    <row r="139" spans="2:23">
      <c r="B139" s="1"/>
      <c r="C139">
        <f t="shared" si="25"/>
        <v>0</v>
      </c>
      <c r="D139">
        <v>1.7000000000000001E-2</v>
      </c>
      <c r="E139">
        <v>3.8999999999999998E-3</v>
      </c>
      <c r="F139">
        <f t="shared" si="26"/>
        <v>0</v>
      </c>
      <c r="G139">
        <f t="shared" si="27"/>
        <v>0</v>
      </c>
      <c r="H139">
        <f t="shared" si="28"/>
        <v>0</v>
      </c>
      <c r="I139">
        <v>1</v>
      </c>
      <c r="J139" t="e">
        <f t="shared" si="29"/>
        <v>#NUM!</v>
      </c>
      <c r="K139">
        <f t="shared" si="30"/>
        <v>-1.2217251517752175</v>
      </c>
      <c r="L139">
        <v>1</v>
      </c>
      <c r="M139" t="e">
        <f t="shared" si="31"/>
        <v>#NUM!</v>
      </c>
      <c r="N139">
        <f t="shared" si="35"/>
        <v>0</v>
      </c>
      <c r="O139">
        <f t="shared" si="33"/>
        <v>0</v>
      </c>
      <c r="P139" t="e">
        <f t="shared" si="34"/>
        <v>#NUM!</v>
      </c>
      <c r="V139">
        <v>7.5</v>
      </c>
      <c r="W139">
        <f t="shared" si="32"/>
        <v>-1.2685</v>
      </c>
    </row>
    <row r="140" spans="2:23">
      <c r="B140" s="1"/>
      <c r="C140">
        <f t="shared" si="25"/>
        <v>0</v>
      </c>
      <c r="D140">
        <v>1.7000000000000001E-2</v>
      </c>
      <c r="E140">
        <v>3.8999999999999998E-3</v>
      </c>
      <c r="F140">
        <f t="shared" si="26"/>
        <v>0</v>
      </c>
      <c r="G140">
        <f t="shared" si="27"/>
        <v>0</v>
      </c>
      <c r="H140">
        <f t="shared" si="28"/>
        <v>0</v>
      </c>
      <c r="I140">
        <v>1</v>
      </c>
      <c r="J140" t="e">
        <f t="shared" si="29"/>
        <v>#NUM!</v>
      </c>
      <c r="K140">
        <f t="shared" si="30"/>
        <v>-1.2217251517752175</v>
      </c>
      <c r="L140">
        <v>1</v>
      </c>
      <c r="M140" t="e">
        <f t="shared" si="31"/>
        <v>#NUM!</v>
      </c>
      <c r="N140">
        <f t="shared" si="35"/>
        <v>0</v>
      </c>
      <c r="O140">
        <f t="shared" si="33"/>
        <v>0</v>
      </c>
      <c r="P140" t="e">
        <f t="shared" si="34"/>
        <v>#NUM!</v>
      </c>
    </row>
    <row r="141" spans="2:23">
      <c r="B141" s="1"/>
      <c r="C141">
        <f t="shared" si="25"/>
        <v>0</v>
      </c>
      <c r="D141">
        <v>1.7000000000000001E-2</v>
      </c>
      <c r="E141">
        <v>3.8999999999999998E-3</v>
      </c>
      <c r="F141">
        <f t="shared" si="26"/>
        <v>0</v>
      </c>
      <c r="G141">
        <f t="shared" si="27"/>
        <v>0</v>
      </c>
      <c r="H141">
        <f t="shared" si="28"/>
        <v>0</v>
      </c>
      <c r="I141">
        <v>1</v>
      </c>
      <c r="J141" t="e">
        <f t="shared" si="29"/>
        <v>#NUM!</v>
      </c>
      <c r="K141">
        <f t="shared" si="30"/>
        <v>-1.2217251517752175</v>
      </c>
      <c r="L141">
        <v>1</v>
      </c>
      <c r="M141" t="e">
        <f t="shared" si="31"/>
        <v>#NUM!</v>
      </c>
      <c r="N141">
        <f t="shared" si="35"/>
        <v>0</v>
      </c>
      <c r="O141">
        <f t="shared" si="33"/>
        <v>0</v>
      </c>
      <c r="P141" t="e">
        <f t="shared" si="34"/>
        <v>#NUM!</v>
      </c>
    </row>
    <row r="142" spans="2:23">
      <c r="B142" s="1"/>
      <c r="C142">
        <f t="shared" si="25"/>
        <v>0</v>
      </c>
      <c r="D142">
        <v>1.7000000000000001E-2</v>
      </c>
      <c r="E142">
        <v>3.8999999999999998E-3</v>
      </c>
      <c r="F142">
        <f t="shared" si="26"/>
        <v>0</v>
      </c>
      <c r="G142">
        <f t="shared" si="27"/>
        <v>0</v>
      </c>
      <c r="H142">
        <f t="shared" si="28"/>
        <v>0</v>
      </c>
      <c r="I142">
        <v>1</v>
      </c>
      <c r="J142" t="e">
        <f t="shared" si="29"/>
        <v>#NUM!</v>
      </c>
      <c r="K142">
        <f t="shared" si="30"/>
        <v>-1.2217251517752175</v>
      </c>
      <c r="L142">
        <v>1</v>
      </c>
      <c r="M142" t="e">
        <f t="shared" si="31"/>
        <v>#NUM!</v>
      </c>
      <c r="N142">
        <f t="shared" si="35"/>
        <v>0</v>
      </c>
      <c r="O142">
        <f t="shared" si="33"/>
        <v>0</v>
      </c>
      <c r="P142" t="e">
        <f t="shared" si="34"/>
        <v>#NUM!</v>
      </c>
    </row>
    <row r="143" spans="2:23">
      <c r="C143">
        <f t="shared" si="25"/>
        <v>0</v>
      </c>
      <c r="D143">
        <v>1.7000000000000001E-2</v>
      </c>
      <c r="E143">
        <v>3.8999999999999998E-3</v>
      </c>
      <c r="F143">
        <f t="shared" si="26"/>
        <v>0</v>
      </c>
      <c r="G143">
        <f t="shared" si="27"/>
        <v>0</v>
      </c>
      <c r="H143">
        <f t="shared" si="28"/>
        <v>0</v>
      </c>
      <c r="I143">
        <v>1</v>
      </c>
      <c r="J143" t="e">
        <f t="shared" si="29"/>
        <v>#NUM!</v>
      </c>
      <c r="K143">
        <f t="shared" si="30"/>
        <v>-1.2217251517752175</v>
      </c>
      <c r="L143">
        <v>1</v>
      </c>
      <c r="M143" t="e">
        <f t="shared" si="31"/>
        <v>#NUM!</v>
      </c>
      <c r="N143">
        <f t="shared" si="35"/>
        <v>0</v>
      </c>
      <c r="O143">
        <f t="shared" si="33"/>
        <v>0</v>
      </c>
      <c r="P143" t="e">
        <f t="shared" si="34"/>
        <v>#NUM!</v>
      </c>
    </row>
    <row r="144" spans="2:23">
      <c r="C144">
        <f t="shared" si="25"/>
        <v>0</v>
      </c>
      <c r="D144">
        <v>1.7000000000000001E-2</v>
      </c>
      <c r="E144">
        <v>3.8999999999999998E-3</v>
      </c>
      <c r="F144">
        <f t="shared" si="26"/>
        <v>0</v>
      </c>
      <c r="G144">
        <f t="shared" si="27"/>
        <v>0</v>
      </c>
      <c r="H144">
        <f t="shared" si="28"/>
        <v>0</v>
      </c>
      <c r="I144">
        <v>1</v>
      </c>
      <c r="J144" t="e">
        <f t="shared" si="29"/>
        <v>#NUM!</v>
      </c>
      <c r="K144">
        <f t="shared" si="30"/>
        <v>-1.2217251517752175</v>
      </c>
      <c r="L144">
        <v>1</v>
      </c>
      <c r="M144" t="e">
        <f t="shared" si="31"/>
        <v>#NUM!</v>
      </c>
      <c r="N144">
        <f t="shared" si="35"/>
        <v>0</v>
      </c>
      <c r="O144">
        <f t="shared" si="33"/>
        <v>0</v>
      </c>
      <c r="P144" t="e">
        <f t="shared" si="34"/>
        <v>#NUM!</v>
      </c>
    </row>
    <row r="145" spans="3:16">
      <c r="C145">
        <f t="shared" si="25"/>
        <v>0</v>
      </c>
      <c r="D145">
        <v>1.7000000000000001E-2</v>
      </c>
      <c r="E145">
        <v>3.8999999999999998E-3</v>
      </c>
      <c r="F145">
        <f t="shared" si="26"/>
        <v>0</v>
      </c>
      <c r="G145">
        <f t="shared" ref="G145:G187" si="36">-B145</f>
        <v>0</v>
      </c>
      <c r="H145">
        <f t="shared" si="28"/>
        <v>0</v>
      </c>
      <c r="I145">
        <v>1</v>
      </c>
      <c r="J145" t="e">
        <f t="shared" si="29"/>
        <v>#NUM!</v>
      </c>
      <c r="K145">
        <f t="shared" si="30"/>
        <v>-1.2217251517752175</v>
      </c>
      <c r="L145">
        <v>1</v>
      </c>
      <c r="M145" t="e">
        <f t="shared" si="31"/>
        <v>#NUM!</v>
      </c>
      <c r="N145">
        <f t="shared" ref="N145:N187" si="37">D145*A145</f>
        <v>0</v>
      </c>
      <c r="O145">
        <f t="shared" ref="O145:O187" si="38">E145*A145</f>
        <v>0</v>
      </c>
      <c r="P145" t="e">
        <f t="shared" ref="P145:P187" si="39">-K145-M145-N145-O145</f>
        <v>#NUM!</v>
      </c>
    </row>
    <row r="146" spans="3:16">
      <c r="C146">
        <f t="shared" si="25"/>
        <v>0</v>
      </c>
      <c r="D146">
        <v>1.7000000000000001E-2</v>
      </c>
      <c r="E146">
        <v>3.8999999999999998E-3</v>
      </c>
      <c r="F146">
        <f t="shared" si="26"/>
        <v>0</v>
      </c>
      <c r="G146">
        <f t="shared" si="36"/>
        <v>0</v>
      </c>
      <c r="H146">
        <f t="shared" si="28"/>
        <v>0</v>
      </c>
      <c r="I146">
        <v>1</v>
      </c>
      <c r="J146" t="e">
        <f t="shared" si="29"/>
        <v>#NUM!</v>
      </c>
      <c r="K146">
        <f t="shared" si="30"/>
        <v>-1.2217251517752175</v>
      </c>
      <c r="L146">
        <v>1</v>
      </c>
      <c r="M146" t="e">
        <f t="shared" si="31"/>
        <v>#NUM!</v>
      </c>
      <c r="N146">
        <f t="shared" si="37"/>
        <v>0</v>
      </c>
      <c r="O146">
        <f t="shared" si="38"/>
        <v>0</v>
      </c>
      <c r="P146" t="e">
        <f t="shared" si="39"/>
        <v>#NUM!</v>
      </c>
    </row>
    <row r="147" spans="3:16">
      <c r="C147">
        <f t="shared" si="25"/>
        <v>0</v>
      </c>
      <c r="D147">
        <v>1.7000000000000001E-2</v>
      </c>
      <c r="E147">
        <v>3.8999999999999998E-3</v>
      </c>
      <c r="F147">
        <f t="shared" si="26"/>
        <v>0</v>
      </c>
      <c r="G147">
        <f t="shared" si="36"/>
        <v>0</v>
      </c>
      <c r="H147">
        <f t="shared" si="28"/>
        <v>0</v>
      </c>
      <c r="I147">
        <v>1</v>
      </c>
      <c r="J147" t="e">
        <f t="shared" si="29"/>
        <v>#NUM!</v>
      </c>
      <c r="K147">
        <f t="shared" si="30"/>
        <v>-1.2217251517752175</v>
      </c>
      <c r="L147">
        <v>1</v>
      </c>
      <c r="M147" t="e">
        <f t="shared" si="31"/>
        <v>#NUM!</v>
      </c>
      <c r="N147">
        <f t="shared" si="37"/>
        <v>0</v>
      </c>
      <c r="O147">
        <f t="shared" si="38"/>
        <v>0</v>
      </c>
      <c r="P147" t="e">
        <f t="shared" si="39"/>
        <v>#NUM!</v>
      </c>
    </row>
    <row r="148" spans="3:16">
      <c r="C148">
        <f t="shared" si="25"/>
        <v>0</v>
      </c>
      <c r="D148">
        <v>1.7000000000000001E-2</v>
      </c>
      <c r="E148">
        <v>3.8999999999999998E-3</v>
      </c>
      <c r="F148">
        <f t="shared" si="26"/>
        <v>0</v>
      </c>
      <c r="G148">
        <f t="shared" si="36"/>
        <v>0</v>
      </c>
      <c r="H148">
        <f t="shared" si="28"/>
        <v>0</v>
      </c>
      <c r="I148">
        <v>1</v>
      </c>
      <c r="J148" t="e">
        <f t="shared" si="29"/>
        <v>#NUM!</v>
      </c>
      <c r="K148">
        <f t="shared" si="30"/>
        <v>-1.2217251517752175</v>
      </c>
      <c r="L148">
        <v>1</v>
      </c>
      <c r="M148" t="e">
        <f t="shared" si="31"/>
        <v>#NUM!</v>
      </c>
      <c r="N148">
        <f t="shared" si="37"/>
        <v>0</v>
      </c>
      <c r="O148">
        <f t="shared" si="38"/>
        <v>0</v>
      </c>
      <c r="P148" t="e">
        <f t="shared" si="39"/>
        <v>#NUM!</v>
      </c>
    </row>
    <row r="149" spans="3:16">
      <c r="C149">
        <f t="shared" si="25"/>
        <v>0</v>
      </c>
      <c r="D149">
        <v>1.7000000000000001E-2</v>
      </c>
      <c r="E149">
        <v>3.8999999999999998E-3</v>
      </c>
      <c r="F149">
        <f t="shared" si="26"/>
        <v>0</v>
      </c>
      <c r="G149">
        <f t="shared" si="36"/>
        <v>0</v>
      </c>
      <c r="H149">
        <f t="shared" si="28"/>
        <v>0</v>
      </c>
      <c r="I149">
        <v>1</v>
      </c>
      <c r="J149" t="e">
        <f t="shared" si="29"/>
        <v>#NUM!</v>
      </c>
      <c r="K149">
        <f t="shared" si="30"/>
        <v>-1.2217251517752175</v>
      </c>
      <c r="L149">
        <v>1</v>
      </c>
      <c r="M149" t="e">
        <f t="shared" si="31"/>
        <v>#NUM!</v>
      </c>
      <c r="N149">
        <f t="shared" si="37"/>
        <v>0</v>
      </c>
      <c r="O149">
        <f t="shared" si="38"/>
        <v>0</v>
      </c>
      <c r="P149" t="e">
        <f t="shared" si="39"/>
        <v>#NUM!</v>
      </c>
    </row>
    <row r="150" spans="3:16">
      <c r="C150">
        <f t="shared" si="25"/>
        <v>0</v>
      </c>
      <c r="D150">
        <v>1.7000000000000001E-2</v>
      </c>
      <c r="E150">
        <v>3.8999999999999998E-3</v>
      </c>
      <c r="F150">
        <f t="shared" si="26"/>
        <v>0</v>
      </c>
      <c r="G150">
        <f t="shared" si="36"/>
        <v>0</v>
      </c>
      <c r="H150">
        <f t="shared" si="28"/>
        <v>0</v>
      </c>
      <c r="I150">
        <v>1</v>
      </c>
      <c r="J150" t="e">
        <f t="shared" si="29"/>
        <v>#NUM!</v>
      </c>
      <c r="K150">
        <f t="shared" si="30"/>
        <v>-1.2217251517752175</v>
      </c>
      <c r="L150">
        <v>1</v>
      </c>
      <c r="M150" t="e">
        <f t="shared" si="31"/>
        <v>#NUM!</v>
      </c>
      <c r="N150">
        <f t="shared" si="37"/>
        <v>0</v>
      </c>
      <c r="O150">
        <f t="shared" si="38"/>
        <v>0</v>
      </c>
      <c r="P150" t="e">
        <f t="shared" si="39"/>
        <v>#NUM!</v>
      </c>
    </row>
    <row r="151" spans="3:16">
      <c r="C151">
        <f t="shared" si="25"/>
        <v>0</v>
      </c>
      <c r="D151">
        <v>1.7000000000000001E-2</v>
      </c>
      <c r="E151">
        <v>3.8999999999999998E-3</v>
      </c>
      <c r="F151">
        <f t="shared" si="26"/>
        <v>0</v>
      </c>
      <c r="G151">
        <f t="shared" si="36"/>
        <v>0</v>
      </c>
      <c r="H151">
        <f t="shared" si="28"/>
        <v>0</v>
      </c>
      <c r="I151">
        <v>1</v>
      </c>
      <c r="J151" t="e">
        <f t="shared" si="29"/>
        <v>#NUM!</v>
      </c>
      <c r="K151">
        <f t="shared" si="30"/>
        <v>-1.2217251517752175</v>
      </c>
      <c r="L151">
        <v>1</v>
      </c>
      <c r="M151" t="e">
        <f t="shared" si="31"/>
        <v>#NUM!</v>
      </c>
      <c r="N151">
        <f t="shared" si="37"/>
        <v>0</v>
      </c>
      <c r="O151">
        <f t="shared" si="38"/>
        <v>0</v>
      </c>
      <c r="P151" t="e">
        <f t="shared" si="39"/>
        <v>#NUM!</v>
      </c>
    </row>
    <row r="152" spans="3:16">
      <c r="C152">
        <f t="shared" si="25"/>
        <v>0</v>
      </c>
      <c r="D152">
        <v>1.7000000000000001E-2</v>
      </c>
      <c r="E152">
        <v>3.8999999999999998E-3</v>
      </c>
      <c r="F152">
        <f t="shared" si="26"/>
        <v>0</v>
      </c>
      <c r="G152">
        <f t="shared" si="36"/>
        <v>0</v>
      </c>
      <c r="H152">
        <f t="shared" si="28"/>
        <v>0</v>
      </c>
      <c r="I152">
        <v>1</v>
      </c>
      <c r="J152" t="e">
        <f t="shared" si="29"/>
        <v>#NUM!</v>
      </c>
      <c r="K152">
        <f t="shared" si="30"/>
        <v>-1.2217251517752175</v>
      </c>
      <c r="L152">
        <v>1</v>
      </c>
      <c r="M152" t="e">
        <f t="shared" si="31"/>
        <v>#NUM!</v>
      </c>
      <c r="N152">
        <f t="shared" si="37"/>
        <v>0</v>
      </c>
      <c r="O152">
        <f t="shared" si="38"/>
        <v>0</v>
      </c>
      <c r="P152" t="e">
        <f t="shared" si="39"/>
        <v>#NUM!</v>
      </c>
    </row>
    <row r="153" spans="3:16">
      <c r="C153">
        <f t="shared" si="25"/>
        <v>0</v>
      </c>
      <c r="D153">
        <v>1.7000000000000001E-2</v>
      </c>
      <c r="E153">
        <v>3.8999999999999998E-3</v>
      </c>
      <c r="F153">
        <f t="shared" si="26"/>
        <v>0</v>
      </c>
      <c r="G153">
        <f t="shared" si="36"/>
        <v>0</v>
      </c>
      <c r="H153">
        <f t="shared" si="28"/>
        <v>0</v>
      </c>
      <c r="I153">
        <v>1</v>
      </c>
      <c r="J153" t="e">
        <f t="shared" si="29"/>
        <v>#NUM!</v>
      </c>
      <c r="K153">
        <f t="shared" si="30"/>
        <v>-1.2217251517752175</v>
      </c>
      <c r="L153">
        <v>1</v>
      </c>
      <c r="M153" t="e">
        <f t="shared" si="31"/>
        <v>#NUM!</v>
      </c>
      <c r="N153">
        <f t="shared" si="37"/>
        <v>0</v>
      </c>
      <c r="O153">
        <f t="shared" si="38"/>
        <v>0</v>
      </c>
      <c r="P153" t="e">
        <f t="shared" si="39"/>
        <v>#NUM!</v>
      </c>
    </row>
    <row r="154" spans="3:16">
      <c r="C154">
        <f t="shared" si="25"/>
        <v>0</v>
      </c>
      <c r="D154">
        <v>1.7000000000000001E-2</v>
      </c>
      <c r="E154">
        <v>3.8999999999999998E-3</v>
      </c>
      <c r="F154">
        <f t="shared" si="26"/>
        <v>0</v>
      </c>
      <c r="G154">
        <f t="shared" si="36"/>
        <v>0</v>
      </c>
      <c r="H154">
        <f t="shared" si="28"/>
        <v>0</v>
      </c>
      <c r="I154">
        <v>1</v>
      </c>
      <c r="J154" t="e">
        <f t="shared" si="29"/>
        <v>#NUM!</v>
      </c>
      <c r="K154">
        <f t="shared" si="30"/>
        <v>-1.2217251517752175</v>
      </c>
      <c r="L154">
        <v>1</v>
      </c>
      <c r="M154" t="e">
        <f t="shared" si="31"/>
        <v>#NUM!</v>
      </c>
      <c r="N154">
        <f t="shared" si="37"/>
        <v>0</v>
      </c>
      <c r="O154">
        <f t="shared" si="38"/>
        <v>0</v>
      </c>
      <c r="P154" t="e">
        <f t="shared" si="39"/>
        <v>#NUM!</v>
      </c>
    </row>
    <row r="155" spans="3:16">
      <c r="C155">
        <f t="shared" si="25"/>
        <v>0</v>
      </c>
      <c r="D155">
        <v>1.7000000000000001E-2</v>
      </c>
      <c r="E155">
        <v>3.8999999999999998E-3</v>
      </c>
      <c r="F155">
        <f t="shared" si="26"/>
        <v>0</v>
      </c>
      <c r="G155">
        <f t="shared" si="36"/>
        <v>0</v>
      </c>
      <c r="H155">
        <f t="shared" si="28"/>
        <v>0</v>
      </c>
      <c r="I155">
        <v>1</v>
      </c>
      <c r="J155" t="e">
        <f t="shared" si="29"/>
        <v>#NUM!</v>
      </c>
      <c r="K155">
        <f t="shared" si="30"/>
        <v>-1.2217251517752175</v>
      </c>
      <c r="L155">
        <v>1</v>
      </c>
      <c r="M155" t="e">
        <f t="shared" si="31"/>
        <v>#NUM!</v>
      </c>
      <c r="N155">
        <f t="shared" si="37"/>
        <v>0</v>
      </c>
      <c r="O155">
        <f t="shared" si="38"/>
        <v>0</v>
      </c>
      <c r="P155" t="e">
        <f t="shared" si="39"/>
        <v>#NUM!</v>
      </c>
    </row>
    <row r="156" spans="3:16">
      <c r="C156">
        <f t="shared" si="25"/>
        <v>0</v>
      </c>
      <c r="D156">
        <v>1.7000000000000001E-2</v>
      </c>
      <c r="E156">
        <v>3.8999999999999998E-3</v>
      </c>
      <c r="F156">
        <f t="shared" si="26"/>
        <v>0</v>
      </c>
      <c r="G156">
        <f t="shared" si="36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-1.2217251517752175</v>
      </c>
      <c r="L156">
        <v>1</v>
      </c>
      <c r="M156" t="e">
        <f t="shared" si="31"/>
        <v>#NUM!</v>
      </c>
      <c r="N156">
        <f t="shared" si="37"/>
        <v>0</v>
      </c>
      <c r="O156">
        <f t="shared" si="38"/>
        <v>0</v>
      </c>
      <c r="P156" t="e">
        <f t="shared" si="39"/>
        <v>#NUM!</v>
      </c>
    </row>
    <row r="157" spans="3:16">
      <c r="C157">
        <f t="shared" si="25"/>
        <v>0</v>
      </c>
      <c r="D157">
        <v>1.7000000000000001E-2</v>
      </c>
      <c r="E157">
        <v>3.8999999999999998E-3</v>
      </c>
      <c r="F157">
        <f t="shared" si="26"/>
        <v>0</v>
      </c>
      <c r="G157">
        <f t="shared" si="36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-1.2217251517752175</v>
      </c>
      <c r="L157">
        <v>1</v>
      </c>
      <c r="M157" t="e">
        <f t="shared" si="31"/>
        <v>#NUM!</v>
      </c>
      <c r="N157">
        <f t="shared" si="37"/>
        <v>0</v>
      </c>
      <c r="O157">
        <f t="shared" si="38"/>
        <v>0</v>
      </c>
      <c r="P157" t="e">
        <f t="shared" si="39"/>
        <v>#NUM!</v>
      </c>
    </row>
    <row r="158" spans="3:16">
      <c r="C158">
        <f t="shared" si="25"/>
        <v>0</v>
      </c>
      <c r="D158">
        <v>1.7000000000000001E-2</v>
      </c>
      <c r="E158">
        <v>3.8999999999999998E-3</v>
      </c>
      <c r="F158">
        <f t="shared" si="26"/>
        <v>0</v>
      </c>
      <c r="G158">
        <f t="shared" si="36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-1.2217251517752175</v>
      </c>
      <c r="L158">
        <v>1</v>
      </c>
      <c r="M158" t="e">
        <f t="shared" si="31"/>
        <v>#NUM!</v>
      </c>
      <c r="N158">
        <f t="shared" si="37"/>
        <v>0</v>
      </c>
      <c r="O158">
        <f t="shared" si="38"/>
        <v>0</v>
      </c>
      <c r="P158" t="e">
        <f t="shared" si="39"/>
        <v>#NUM!</v>
      </c>
    </row>
    <row r="159" spans="3:16">
      <c r="C159">
        <f t="shared" si="25"/>
        <v>0</v>
      </c>
      <c r="D159">
        <v>1.7000000000000001E-2</v>
      </c>
      <c r="E159">
        <v>3.8999999999999998E-3</v>
      </c>
      <c r="F159">
        <f t="shared" si="26"/>
        <v>0</v>
      </c>
      <c r="G159">
        <f t="shared" si="36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-1.2217251517752175</v>
      </c>
      <c r="L159">
        <v>1</v>
      </c>
      <c r="M159" t="e">
        <f t="shared" si="31"/>
        <v>#NUM!</v>
      </c>
      <c r="N159">
        <f t="shared" si="37"/>
        <v>0</v>
      </c>
      <c r="O159">
        <f t="shared" si="38"/>
        <v>0</v>
      </c>
      <c r="P159" t="e">
        <f t="shared" si="39"/>
        <v>#NUM!</v>
      </c>
    </row>
    <row r="160" spans="3:16">
      <c r="C160">
        <f t="shared" si="25"/>
        <v>0</v>
      </c>
      <c r="D160">
        <v>1.7000000000000001E-2</v>
      </c>
      <c r="E160">
        <v>3.8999999999999998E-3</v>
      </c>
      <c r="F160">
        <f t="shared" si="26"/>
        <v>0</v>
      </c>
      <c r="G160">
        <f t="shared" si="36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-1.2217251517752175</v>
      </c>
      <c r="L160">
        <v>1</v>
      </c>
      <c r="M160" t="e">
        <f t="shared" si="31"/>
        <v>#NUM!</v>
      </c>
      <c r="N160">
        <f t="shared" si="37"/>
        <v>0</v>
      </c>
      <c r="O160">
        <f t="shared" si="38"/>
        <v>0</v>
      </c>
      <c r="P160" t="e">
        <f t="shared" si="39"/>
        <v>#NUM!</v>
      </c>
    </row>
    <row r="161" spans="3:16">
      <c r="C161">
        <f t="shared" si="25"/>
        <v>0</v>
      </c>
      <c r="D161">
        <v>1.7000000000000001E-2</v>
      </c>
      <c r="E161">
        <v>3.8999999999999998E-3</v>
      </c>
      <c r="F161">
        <f t="shared" si="26"/>
        <v>0</v>
      </c>
      <c r="G161">
        <f t="shared" si="36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-1.2217251517752175</v>
      </c>
      <c r="L161">
        <v>1</v>
      </c>
      <c r="M161" t="e">
        <f t="shared" si="31"/>
        <v>#NUM!</v>
      </c>
      <c r="N161">
        <f t="shared" si="37"/>
        <v>0</v>
      </c>
      <c r="O161">
        <f t="shared" si="38"/>
        <v>0</v>
      </c>
      <c r="P161" t="e">
        <f t="shared" si="39"/>
        <v>#NUM!</v>
      </c>
    </row>
    <row r="162" spans="3:16">
      <c r="C162">
        <f t="shared" si="25"/>
        <v>0</v>
      </c>
      <c r="D162">
        <v>1.7000000000000001E-2</v>
      </c>
      <c r="E162">
        <v>3.8999999999999998E-3</v>
      </c>
      <c r="F162">
        <f t="shared" si="26"/>
        <v>0</v>
      </c>
      <c r="G162">
        <f t="shared" si="36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-1.2217251517752175</v>
      </c>
      <c r="L162">
        <v>1</v>
      </c>
      <c r="M162" t="e">
        <f t="shared" si="31"/>
        <v>#NUM!</v>
      </c>
      <c r="N162">
        <f t="shared" si="37"/>
        <v>0</v>
      </c>
      <c r="O162">
        <f t="shared" si="38"/>
        <v>0</v>
      </c>
      <c r="P162" t="e">
        <f t="shared" si="39"/>
        <v>#NUM!</v>
      </c>
    </row>
    <row r="163" spans="3:16">
      <c r="C163">
        <f t="shared" si="25"/>
        <v>0</v>
      </c>
      <c r="D163">
        <v>1.7000000000000001E-2</v>
      </c>
      <c r="E163">
        <v>3.8999999999999998E-3</v>
      </c>
      <c r="F163">
        <f t="shared" si="26"/>
        <v>0</v>
      </c>
      <c r="G163">
        <f t="shared" si="36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-1.2217251517752175</v>
      </c>
      <c r="L163">
        <v>1</v>
      </c>
      <c r="M163" t="e">
        <f t="shared" si="31"/>
        <v>#NUM!</v>
      </c>
      <c r="N163">
        <f t="shared" si="37"/>
        <v>0</v>
      </c>
      <c r="O163">
        <f t="shared" si="38"/>
        <v>0</v>
      </c>
      <c r="P163" t="e">
        <f t="shared" si="39"/>
        <v>#NUM!</v>
      </c>
    </row>
    <row r="164" spans="3:16">
      <c r="C164">
        <f t="shared" si="25"/>
        <v>0</v>
      </c>
      <c r="D164">
        <v>1.7000000000000001E-2</v>
      </c>
      <c r="E164">
        <v>3.8999999999999998E-3</v>
      </c>
      <c r="F164">
        <f t="shared" si="26"/>
        <v>0</v>
      </c>
      <c r="G164">
        <f t="shared" si="36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-1.2217251517752175</v>
      </c>
      <c r="L164">
        <v>1</v>
      </c>
      <c r="M164" t="e">
        <f t="shared" si="31"/>
        <v>#NUM!</v>
      </c>
      <c r="N164">
        <f t="shared" si="37"/>
        <v>0</v>
      </c>
      <c r="O164">
        <f t="shared" si="38"/>
        <v>0</v>
      </c>
      <c r="P164" t="e">
        <f t="shared" si="39"/>
        <v>#NUM!</v>
      </c>
    </row>
    <row r="165" spans="3:16">
      <c r="C165">
        <f t="shared" si="25"/>
        <v>0</v>
      </c>
      <c r="D165">
        <v>1.7000000000000001E-2</v>
      </c>
      <c r="E165">
        <v>3.8999999999999998E-3</v>
      </c>
      <c r="F165">
        <f t="shared" si="26"/>
        <v>0</v>
      </c>
      <c r="G165">
        <f t="shared" si="36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-1.2217251517752175</v>
      </c>
      <c r="L165">
        <v>1</v>
      </c>
      <c r="M165" t="e">
        <f t="shared" si="31"/>
        <v>#NUM!</v>
      </c>
      <c r="N165">
        <f t="shared" si="37"/>
        <v>0</v>
      </c>
      <c r="O165">
        <f t="shared" si="38"/>
        <v>0</v>
      </c>
      <c r="P165" t="e">
        <f t="shared" si="39"/>
        <v>#NUM!</v>
      </c>
    </row>
    <row r="166" spans="3:16">
      <c r="C166">
        <f t="shared" si="25"/>
        <v>0</v>
      </c>
      <c r="D166">
        <v>1.7000000000000001E-2</v>
      </c>
      <c r="E166">
        <v>3.8999999999999998E-3</v>
      </c>
      <c r="F166">
        <f t="shared" si="26"/>
        <v>0</v>
      </c>
      <c r="G166">
        <f t="shared" si="36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-1.2217251517752175</v>
      </c>
      <c r="L166">
        <v>1</v>
      </c>
      <c r="M166" t="e">
        <f t="shared" si="31"/>
        <v>#NUM!</v>
      </c>
      <c r="N166">
        <f t="shared" si="37"/>
        <v>0</v>
      </c>
      <c r="O166">
        <f t="shared" si="38"/>
        <v>0</v>
      </c>
      <c r="P166" t="e">
        <f t="shared" si="39"/>
        <v>#NUM!</v>
      </c>
    </row>
    <row r="167" spans="3:16">
      <c r="C167">
        <f t="shared" si="25"/>
        <v>0</v>
      </c>
      <c r="D167">
        <v>1.7000000000000001E-2</v>
      </c>
      <c r="E167">
        <v>3.8999999999999998E-3</v>
      </c>
      <c r="F167">
        <f t="shared" si="26"/>
        <v>0</v>
      </c>
      <c r="G167">
        <f t="shared" si="36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-1.2217251517752175</v>
      </c>
      <c r="L167">
        <v>1</v>
      </c>
      <c r="M167" t="e">
        <f t="shared" si="31"/>
        <v>#NUM!</v>
      </c>
      <c r="N167">
        <f t="shared" si="37"/>
        <v>0</v>
      </c>
      <c r="O167">
        <f t="shared" si="38"/>
        <v>0</v>
      </c>
      <c r="P167" t="e">
        <f t="shared" si="39"/>
        <v>#NUM!</v>
      </c>
    </row>
    <row r="168" spans="3:16">
      <c r="C168">
        <f t="shared" si="25"/>
        <v>0</v>
      </c>
      <c r="D168">
        <v>1.7000000000000001E-2</v>
      </c>
      <c r="E168">
        <v>3.8999999999999998E-3</v>
      </c>
      <c r="F168">
        <f t="shared" si="26"/>
        <v>0</v>
      </c>
      <c r="G168">
        <f t="shared" si="36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-1.2217251517752175</v>
      </c>
      <c r="L168">
        <v>1</v>
      </c>
      <c r="M168" t="e">
        <f t="shared" si="31"/>
        <v>#NUM!</v>
      </c>
      <c r="N168">
        <f t="shared" si="37"/>
        <v>0</v>
      </c>
      <c r="O168">
        <f t="shared" si="38"/>
        <v>0</v>
      </c>
      <c r="P168" t="e">
        <f t="shared" si="39"/>
        <v>#NUM!</v>
      </c>
    </row>
    <row r="169" spans="3:16">
      <c r="C169">
        <f t="shared" si="25"/>
        <v>0</v>
      </c>
      <c r="D169">
        <v>1.7000000000000001E-2</v>
      </c>
      <c r="E169">
        <v>3.8999999999999998E-3</v>
      </c>
      <c r="F169">
        <f t="shared" si="26"/>
        <v>0</v>
      </c>
      <c r="G169">
        <f t="shared" si="36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-1.2217251517752175</v>
      </c>
      <c r="L169">
        <v>1</v>
      </c>
      <c r="M169" t="e">
        <f t="shared" si="31"/>
        <v>#NUM!</v>
      </c>
      <c r="N169">
        <f t="shared" si="37"/>
        <v>0</v>
      </c>
      <c r="O169">
        <f t="shared" si="38"/>
        <v>0</v>
      </c>
      <c r="P169" t="e">
        <f t="shared" si="39"/>
        <v>#NUM!</v>
      </c>
    </row>
    <row r="170" spans="3:16">
      <c r="C170">
        <f t="shared" si="25"/>
        <v>0</v>
      </c>
      <c r="D170">
        <v>1.7000000000000001E-2</v>
      </c>
      <c r="E170">
        <v>3.8999999999999998E-3</v>
      </c>
      <c r="F170">
        <f t="shared" si="26"/>
        <v>0</v>
      </c>
      <c r="G170">
        <f t="shared" si="36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-1.2217251517752175</v>
      </c>
      <c r="L170">
        <v>1</v>
      </c>
      <c r="M170" t="e">
        <f t="shared" si="31"/>
        <v>#NUM!</v>
      </c>
      <c r="N170">
        <f t="shared" si="37"/>
        <v>0</v>
      </c>
      <c r="O170">
        <f t="shared" si="38"/>
        <v>0</v>
      </c>
      <c r="P170" t="e">
        <f t="shared" si="39"/>
        <v>#NUM!</v>
      </c>
    </row>
    <row r="171" spans="3:16">
      <c r="C171">
        <f t="shared" si="25"/>
        <v>0</v>
      </c>
      <c r="D171">
        <v>1.7000000000000001E-2</v>
      </c>
      <c r="E171">
        <v>3.8999999999999998E-3</v>
      </c>
      <c r="F171">
        <f t="shared" si="26"/>
        <v>0</v>
      </c>
      <c r="G171">
        <f t="shared" si="36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-1.2217251517752175</v>
      </c>
      <c r="L171">
        <v>1</v>
      </c>
      <c r="M171" t="e">
        <f t="shared" si="31"/>
        <v>#NUM!</v>
      </c>
      <c r="N171">
        <f t="shared" si="37"/>
        <v>0</v>
      </c>
      <c r="O171">
        <f t="shared" si="38"/>
        <v>0</v>
      </c>
      <c r="P171" t="e">
        <f t="shared" si="39"/>
        <v>#NUM!</v>
      </c>
    </row>
    <row r="172" spans="3:16">
      <c r="C172">
        <f t="shared" si="25"/>
        <v>0</v>
      </c>
      <c r="D172">
        <v>1.7000000000000001E-2</v>
      </c>
      <c r="E172">
        <v>3.8999999999999998E-3</v>
      </c>
      <c r="F172">
        <f t="shared" si="26"/>
        <v>0</v>
      </c>
      <c r="G172">
        <f t="shared" si="36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-1.2217251517752175</v>
      </c>
      <c r="L172">
        <v>1</v>
      </c>
      <c r="M172" t="e">
        <f t="shared" si="31"/>
        <v>#NUM!</v>
      </c>
      <c r="N172">
        <f t="shared" si="37"/>
        <v>0</v>
      </c>
      <c r="O172">
        <f t="shared" si="38"/>
        <v>0</v>
      </c>
      <c r="P172" t="e">
        <f t="shared" si="39"/>
        <v>#NUM!</v>
      </c>
    </row>
    <row r="173" spans="3:16">
      <c r="C173">
        <f t="shared" si="25"/>
        <v>0</v>
      </c>
      <c r="D173">
        <v>1.7000000000000001E-2</v>
      </c>
      <c r="E173">
        <v>3.8999999999999998E-3</v>
      </c>
      <c r="F173">
        <f t="shared" si="26"/>
        <v>0</v>
      </c>
      <c r="G173">
        <f t="shared" si="36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-1.2217251517752175</v>
      </c>
      <c r="L173">
        <v>1</v>
      </c>
      <c r="M173" t="e">
        <f t="shared" si="31"/>
        <v>#NUM!</v>
      </c>
      <c r="N173">
        <f t="shared" si="37"/>
        <v>0</v>
      </c>
      <c r="O173">
        <f t="shared" si="38"/>
        <v>0</v>
      </c>
      <c r="P173" t="e">
        <f t="shared" si="39"/>
        <v>#NUM!</v>
      </c>
    </row>
    <row r="174" spans="3:16">
      <c r="C174">
        <f t="shared" si="25"/>
        <v>0</v>
      </c>
      <c r="D174">
        <v>1.7000000000000001E-2</v>
      </c>
      <c r="E174">
        <v>3.8999999999999998E-3</v>
      </c>
      <c r="F174">
        <f t="shared" si="26"/>
        <v>0</v>
      </c>
      <c r="G174">
        <f t="shared" si="36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-1.2217251517752175</v>
      </c>
      <c r="L174">
        <v>1</v>
      </c>
      <c r="M174" t="e">
        <f t="shared" si="31"/>
        <v>#NUM!</v>
      </c>
      <c r="N174">
        <f t="shared" si="37"/>
        <v>0</v>
      </c>
      <c r="O174">
        <f t="shared" si="38"/>
        <v>0</v>
      </c>
      <c r="P174" t="e">
        <f t="shared" si="39"/>
        <v>#NUM!</v>
      </c>
    </row>
    <row r="175" spans="3:16">
      <c r="C175">
        <f t="shared" si="25"/>
        <v>0</v>
      </c>
      <c r="D175">
        <v>1.7000000000000001E-2</v>
      </c>
      <c r="E175">
        <v>3.8999999999999998E-3</v>
      </c>
      <c r="F175">
        <f t="shared" si="26"/>
        <v>0</v>
      </c>
      <c r="G175">
        <f t="shared" si="36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-1.2217251517752175</v>
      </c>
      <c r="L175">
        <v>1</v>
      </c>
      <c r="M175" t="e">
        <f t="shared" si="31"/>
        <v>#NUM!</v>
      </c>
      <c r="N175">
        <f t="shared" si="37"/>
        <v>0</v>
      </c>
      <c r="O175">
        <f t="shared" si="38"/>
        <v>0</v>
      </c>
      <c r="P175" t="e">
        <f t="shared" si="39"/>
        <v>#NUM!</v>
      </c>
    </row>
    <row r="176" spans="3:16">
      <c r="C176">
        <f t="shared" si="25"/>
        <v>0</v>
      </c>
      <c r="D176">
        <v>1.7000000000000001E-2</v>
      </c>
      <c r="E176">
        <v>3.8999999999999998E-3</v>
      </c>
      <c r="F176">
        <f t="shared" si="26"/>
        <v>0</v>
      </c>
      <c r="G176">
        <f t="shared" si="36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-1.2217251517752175</v>
      </c>
      <c r="L176">
        <v>1</v>
      </c>
      <c r="M176" t="e">
        <f t="shared" si="31"/>
        <v>#NUM!</v>
      </c>
      <c r="N176">
        <f t="shared" si="37"/>
        <v>0</v>
      </c>
      <c r="O176">
        <f t="shared" si="38"/>
        <v>0</v>
      </c>
      <c r="P176" t="e">
        <f t="shared" si="39"/>
        <v>#NUM!</v>
      </c>
    </row>
    <row r="177" spans="3:16">
      <c r="C177">
        <f t="shared" si="25"/>
        <v>0</v>
      </c>
      <c r="D177">
        <v>1.7000000000000001E-2</v>
      </c>
      <c r="E177">
        <v>3.8999999999999998E-3</v>
      </c>
      <c r="F177">
        <f t="shared" si="26"/>
        <v>0</v>
      </c>
      <c r="G177">
        <f t="shared" si="36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-1.2217251517752175</v>
      </c>
      <c r="L177">
        <v>1</v>
      </c>
      <c r="M177" t="e">
        <f t="shared" si="31"/>
        <v>#NUM!</v>
      </c>
      <c r="N177">
        <f t="shared" si="37"/>
        <v>0</v>
      </c>
      <c r="O177">
        <f t="shared" si="38"/>
        <v>0</v>
      </c>
      <c r="P177" t="e">
        <f t="shared" si="39"/>
        <v>#NUM!</v>
      </c>
    </row>
    <row r="178" spans="3:16">
      <c r="C178">
        <f t="shared" si="25"/>
        <v>0</v>
      </c>
      <c r="D178">
        <v>1.7000000000000001E-2</v>
      </c>
      <c r="E178">
        <v>3.8999999999999998E-3</v>
      </c>
      <c r="F178">
        <f t="shared" si="26"/>
        <v>0</v>
      </c>
      <c r="G178">
        <f t="shared" si="36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-1.2217251517752175</v>
      </c>
      <c r="L178">
        <v>1</v>
      </c>
      <c r="M178" t="e">
        <f t="shared" si="31"/>
        <v>#NUM!</v>
      </c>
      <c r="N178">
        <f t="shared" si="37"/>
        <v>0</v>
      </c>
      <c r="O178">
        <f t="shared" si="38"/>
        <v>0</v>
      </c>
      <c r="P178" t="e">
        <f t="shared" si="39"/>
        <v>#NUM!</v>
      </c>
    </row>
    <row r="179" spans="3:16">
      <c r="C179">
        <f t="shared" si="25"/>
        <v>0</v>
      </c>
      <c r="D179">
        <v>1.7000000000000001E-2</v>
      </c>
      <c r="E179">
        <v>3.8999999999999998E-3</v>
      </c>
      <c r="F179">
        <f t="shared" si="26"/>
        <v>0</v>
      </c>
      <c r="G179">
        <f t="shared" si="36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-1.2217251517752175</v>
      </c>
      <c r="L179">
        <v>1</v>
      </c>
      <c r="M179" t="e">
        <f t="shared" si="31"/>
        <v>#NUM!</v>
      </c>
      <c r="N179">
        <f t="shared" si="37"/>
        <v>0</v>
      </c>
      <c r="O179">
        <f t="shared" si="38"/>
        <v>0</v>
      </c>
      <c r="P179" t="e">
        <f t="shared" si="39"/>
        <v>#NUM!</v>
      </c>
    </row>
    <row r="180" spans="3:16">
      <c r="C180">
        <f t="shared" si="25"/>
        <v>0</v>
      </c>
      <c r="D180">
        <v>1.7000000000000001E-2</v>
      </c>
      <c r="E180">
        <v>3.8999999999999998E-3</v>
      </c>
      <c r="F180">
        <f t="shared" si="26"/>
        <v>0</v>
      </c>
      <c r="G180">
        <f t="shared" si="36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-1.2217251517752175</v>
      </c>
      <c r="L180">
        <v>1</v>
      </c>
      <c r="M180" t="e">
        <f t="shared" si="31"/>
        <v>#NUM!</v>
      </c>
      <c r="N180">
        <f t="shared" si="37"/>
        <v>0</v>
      </c>
      <c r="O180">
        <f t="shared" si="38"/>
        <v>0</v>
      </c>
      <c r="P180" t="e">
        <f t="shared" si="39"/>
        <v>#NUM!</v>
      </c>
    </row>
    <row r="181" spans="3:16">
      <c r="C181">
        <f t="shared" si="25"/>
        <v>0</v>
      </c>
      <c r="D181">
        <v>1.7000000000000001E-2</v>
      </c>
      <c r="E181">
        <v>3.8999999999999998E-3</v>
      </c>
      <c r="F181">
        <f t="shared" si="26"/>
        <v>0</v>
      </c>
      <c r="G181">
        <f t="shared" si="36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-1.2217251517752175</v>
      </c>
      <c r="L181">
        <v>1</v>
      </c>
      <c r="M181" t="e">
        <f t="shared" si="31"/>
        <v>#NUM!</v>
      </c>
      <c r="N181">
        <f t="shared" si="37"/>
        <v>0</v>
      </c>
      <c r="O181">
        <f t="shared" si="38"/>
        <v>0</v>
      </c>
      <c r="P181" t="e">
        <f t="shared" si="39"/>
        <v>#NUM!</v>
      </c>
    </row>
    <row r="182" spans="3:16">
      <c r="C182">
        <f t="shared" si="25"/>
        <v>0</v>
      </c>
      <c r="D182">
        <v>1.7000000000000001E-2</v>
      </c>
      <c r="E182">
        <v>3.8999999999999998E-3</v>
      </c>
      <c r="F182">
        <f t="shared" si="26"/>
        <v>0</v>
      </c>
      <c r="G182">
        <f t="shared" si="36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-1.2217251517752175</v>
      </c>
      <c r="L182">
        <v>1</v>
      </c>
      <c r="M182" t="e">
        <f t="shared" si="31"/>
        <v>#NUM!</v>
      </c>
      <c r="N182">
        <f t="shared" si="37"/>
        <v>0</v>
      </c>
      <c r="O182">
        <f t="shared" si="38"/>
        <v>0</v>
      </c>
      <c r="P182" t="e">
        <f t="shared" si="39"/>
        <v>#NUM!</v>
      </c>
    </row>
    <row r="183" spans="3:16">
      <c r="C183">
        <f t="shared" si="25"/>
        <v>0</v>
      </c>
      <c r="D183">
        <v>1.7000000000000001E-2</v>
      </c>
      <c r="E183">
        <v>3.8999999999999998E-3</v>
      </c>
      <c r="F183">
        <f t="shared" si="26"/>
        <v>0</v>
      </c>
      <c r="G183">
        <f t="shared" si="36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-1.2217251517752175</v>
      </c>
      <c r="L183">
        <v>1</v>
      </c>
      <c r="M183" t="e">
        <f t="shared" si="31"/>
        <v>#NUM!</v>
      </c>
      <c r="N183">
        <f t="shared" si="37"/>
        <v>0</v>
      </c>
      <c r="O183">
        <f t="shared" si="38"/>
        <v>0</v>
      </c>
      <c r="P183" t="e">
        <f t="shared" si="39"/>
        <v>#NUM!</v>
      </c>
    </row>
    <row r="184" spans="3:16">
      <c r="C184">
        <f t="shared" si="25"/>
        <v>0</v>
      </c>
      <c r="D184">
        <v>1.7000000000000001E-2</v>
      </c>
      <c r="E184">
        <v>3.8999999999999998E-3</v>
      </c>
      <c r="F184">
        <f t="shared" si="26"/>
        <v>0</v>
      </c>
      <c r="G184">
        <f t="shared" si="36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-1.2217251517752175</v>
      </c>
      <c r="L184">
        <v>1</v>
      </c>
      <c r="M184" t="e">
        <f t="shared" si="31"/>
        <v>#NUM!</v>
      </c>
      <c r="N184">
        <f t="shared" si="37"/>
        <v>0</v>
      </c>
      <c r="O184">
        <f t="shared" si="38"/>
        <v>0</v>
      </c>
      <c r="P184" t="e">
        <f t="shared" si="39"/>
        <v>#NUM!</v>
      </c>
    </row>
    <row r="185" spans="3:16">
      <c r="C185">
        <f t="shared" si="25"/>
        <v>0</v>
      </c>
      <c r="D185">
        <v>1.7000000000000001E-2</v>
      </c>
      <c r="E185">
        <v>3.8999999999999998E-3</v>
      </c>
      <c r="F185">
        <f t="shared" si="26"/>
        <v>0</v>
      </c>
      <c r="G185">
        <f t="shared" si="36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-1.2217251517752175</v>
      </c>
      <c r="L185">
        <v>1</v>
      </c>
      <c r="M185" t="e">
        <f t="shared" si="31"/>
        <v>#NUM!</v>
      </c>
      <c r="N185">
        <f t="shared" si="37"/>
        <v>0</v>
      </c>
      <c r="O185">
        <f t="shared" si="38"/>
        <v>0</v>
      </c>
      <c r="P185" t="e">
        <f t="shared" si="39"/>
        <v>#NUM!</v>
      </c>
    </row>
    <row r="186" spans="3:16">
      <c r="C186">
        <f t="shared" si="25"/>
        <v>0</v>
      </c>
      <c r="D186">
        <v>1.7000000000000001E-2</v>
      </c>
      <c r="E186">
        <v>3.8999999999999998E-3</v>
      </c>
      <c r="F186">
        <f t="shared" si="26"/>
        <v>0</v>
      </c>
      <c r="G186">
        <f t="shared" si="36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-1.2217251517752175</v>
      </c>
      <c r="L186">
        <v>1</v>
      </c>
      <c r="M186" t="e">
        <f t="shared" si="31"/>
        <v>#NUM!</v>
      </c>
      <c r="N186">
        <f t="shared" si="37"/>
        <v>0</v>
      </c>
      <c r="O186">
        <f t="shared" si="38"/>
        <v>0</v>
      </c>
      <c r="P186" t="e">
        <f t="shared" si="39"/>
        <v>#NUM!</v>
      </c>
    </row>
    <row r="187" spans="3:16">
      <c r="C187">
        <f t="shared" si="25"/>
        <v>0</v>
      </c>
      <c r="D187">
        <v>1.7000000000000001E-2</v>
      </c>
      <c r="E187">
        <v>3.8999999999999998E-3</v>
      </c>
      <c r="F187">
        <f t="shared" si="26"/>
        <v>0</v>
      </c>
      <c r="G187">
        <f t="shared" si="36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-1.2217251517752175</v>
      </c>
      <c r="L187">
        <v>1</v>
      </c>
      <c r="M187" t="e">
        <f t="shared" si="31"/>
        <v>#NUM!</v>
      </c>
      <c r="N187">
        <f t="shared" si="37"/>
        <v>0</v>
      </c>
      <c r="O187">
        <f t="shared" si="38"/>
        <v>0</v>
      </c>
      <c r="P187" t="e">
        <f t="shared" si="39"/>
        <v>#NUM!</v>
      </c>
    </row>
    <row r="188" spans="3:16">
      <c r="C188">
        <f t="shared" si="25"/>
        <v>0</v>
      </c>
      <c r="D188">
        <v>1.7000000000000001E-2</v>
      </c>
      <c r="E188">
        <v>3.8999999999999998E-3</v>
      </c>
      <c r="F188">
        <f t="shared" si="26"/>
        <v>0</v>
      </c>
      <c r="G188">
        <f t="shared" ref="G188:G211" si="40">-B188</f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ref="K188:K211" si="41">((-G188)-$N$2)</f>
        <v>-1.2217251517752175</v>
      </c>
      <c r="L188">
        <v>1</v>
      </c>
      <c r="M188" t="e">
        <f t="shared" si="31"/>
        <v>#NUM!</v>
      </c>
      <c r="N188">
        <f t="shared" ref="N188:N211" si="42">D188*A188</f>
        <v>0</v>
      </c>
      <c r="O188">
        <f t="shared" ref="O188:O211" si="43">E188*A188</f>
        <v>0</v>
      </c>
      <c r="P188" t="e">
        <f t="shared" ref="P188:P211" si="44">-K188-M188-N188-O188</f>
        <v>#NUM!</v>
      </c>
    </row>
    <row r="189" spans="3:16">
      <c r="C189">
        <f t="shared" si="25"/>
        <v>0</v>
      </c>
      <c r="D189">
        <v>1.7000000000000001E-2</v>
      </c>
      <c r="E189">
        <v>3.8999999999999998E-3</v>
      </c>
      <c r="F189">
        <f t="shared" si="26"/>
        <v>0</v>
      </c>
      <c r="G189">
        <f t="shared" si="40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41"/>
        <v>-1.2217251517752175</v>
      </c>
      <c r="L189">
        <v>1</v>
      </c>
      <c r="M189" t="e">
        <f t="shared" si="31"/>
        <v>#NUM!</v>
      </c>
      <c r="N189">
        <f t="shared" si="42"/>
        <v>0</v>
      </c>
      <c r="O189">
        <f t="shared" si="43"/>
        <v>0</v>
      </c>
      <c r="P189" t="e">
        <f t="shared" si="44"/>
        <v>#NUM!</v>
      </c>
    </row>
    <row r="190" spans="3:16">
      <c r="C190">
        <f t="shared" si="25"/>
        <v>0</v>
      </c>
      <c r="D190">
        <v>1.7000000000000001E-2</v>
      </c>
      <c r="E190">
        <v>3.8999999999999998E-3</v>
      </c>
      <c r="F190">
        <f t="shared" si="26"/>
        <v>0</v>
      </c>
      <c r="G190">
        <f t="shared" si="40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41"/>
        <v>-1.2217251517752175</v>
      </c>
      <c r="L190">
        <v>1</v>
      </c>
      <c r="M190" t="e">
        <f t="shared" si="31"/>
        <v>#NUM!</v>
      </c>
      <c r="N190">
        <f t="shared" si="42"/>
        <v>0</v>
      </c>
      <c r="O190">
        <f t="shared" si="43"/>
        <v>0</v>
      </c>
      <c r="P190" t="e">
        <f t="shared" si="44"/>
        <v>#NUM!</v>
      </c>
    </row>
    <row r="191" spans="3:16">
      <c r="C191">
        <f t="shared" si="25"/>
        <v>0</v>
      </c>
      <c r="D191">
        <v>1.7000000000000001E-2</v>
      </c>
      <c r="E191">
        <v>3.8999999999999998E-3</v>
      </c>
      <c r="F191">
        <f t="shared" si="26"/>
        <v>0</v>
      </c>
      <c r="G191">
        <f t="shared" si="40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41"/>
        <v>-1.2217251517752175</v>
      </c>
      <c r="L191">
        <v>1</v>
      </c>
      <c r="M191" t="e">
        <f t="shared" si="31"/>
        <v>#NUM!</v>
      </c>
      <c r="N191">
        <f t="shared" si="42"/>
        <v>0</v>
      </c>
      <c r="O191">
        <f t="shared" si="43"/>
        <v>0</v>
      </c>
      <c r="P191" t="e">
        <f t="shared" si="44"/>
        <v>#NUM!</v>
      </c>
    </row>
    <row r="192" spans="3:16">
      <c r="C192">
        <f t="shared" si="25"/>
        <v>0</v>
      </c>
      <c r="D192">
        <v>1.7000000000000001E-2</v>
      </c>
      <c r="E192">
        <v>3.8999999999999998E-3</v>
      </c>
      <c r="F192">
        <f t="shared" si="26"/>
        <v>0</v>
      </c>
      <c r="G192">
        <f t="shared" si="40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41"/>
        <v>-1.2217251517752175</v>
      </c>
      <c r="L192">
        <v>1</v>
      </c>
      <c r="M192" t="e">
        <f t="shared" si="31"/>
        <v>#NUM!</v>
      </c>
      <c r="N192">
        <f t="shared" si="42"/>
        <v>0</v>
      </c>
      <c r="O192">
        <f t="shared" si="43"/>
        <v>0</v>
      </c>
      <c r="P192" t="e">
        <f t="shared" si="44"/>
        <v>#NUM!</v>
      </c>
    </row>
    <row r="193" spans="3:16">
      <c r="C193">
        <f t="shared" si="25"/>
        <v>0</v>
      </c>
      <c r="D193">
        <v>1.7000000000000001E-2</v>
      </c>
      <c r="E193">
        <v>3.8999999999999998E-3</v>
      </c>
      <c r="F193">
        <f t="shared" si="26"/>
        <v>0</v>
      </c>
      <c r="G193">
        <f t="shared" si="40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41"/>
        <v>-1.2217251517752175</v>
      </c>
      <c r="L193">
        <v>1</v>
      </c>
      <c r="M193" t="e">
        <f t="shared" si="31"/>
        <v>#NUM!</v>
      </c>
      <c r="N193">
        <f t="shared" si="42"/>
        <v>0</v>
      </c>
      <c r="O193">
        <f t="shared" si="43"/>
        <v>0</v>
      </c>
      <c r="P193" t="e">
        <f t="shared" si="44"/>
        <v>#NUM!</v>
      </c>
    </row>
    <row r="194" spans="3:16">
      <c r="C194">
        <f t="shared" si="25"/>
        <v>0</v>
      </c>
      <c r="D194">
        <v>1.7000000000000001E-2</v>
      </c>
      <c r="E194">
        <v>3.8999999999999998E-3</v>
      </c>
      <c r="F194">
        <f t="shared" si="26"/>
        <v>0</v>
      </c>
      <c r="G194">
        <f t="shared" si="40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41"/>
        <v>-1.2217251517752175</v>
      </c>
      <c r="L194">
        <v>1</v>
      </c>
      <c r="M194" t="e">
        <f t="shared" si="31"/>
        <v>#NUM!</v>
      </c>
      <c r="N194">
        <f t="shared" si="42"/>
        <v>0</v>
      </c>
      <c r="O194">
        <f t="shared" si="43"/>
        <v>0</v>
      </c>
      <c r="P194" t="e">
        <f t="shared" si="44"/>
        <v>#NUM!</v>
      </c>
    </row>
    <row r="195" spans="3:16">
      <c r="C195">
        <f t="shared" si="25"/>
        <v>0</v>
      </c>
      <c r="D195">
        <v>1.7000000000000001E-2</v>
      </c>
      <c r="E195">
        <v>3.8999999999999998E-3</v>
      </c>
      <c r="F195">
        <f t="shared" si="26"/>
        <v>0</v>
      </c>
      <c r="G195">
        <f t="shared" si="40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41"/>
        <v>-1.2217251517752175</v>
      </c>
      <c r="L195">
        <v>1</v>
      </c>
      <c r="M195" t="e">
        <f t="shared" si="31"/>
        <v>#NUM!</v>
      </c>
      <c r="N195">
        <f t="shared" si="42"/>
        <v>0</v>
      </c>
      <c r="O195">
        <f t="shared" si="43"/>
        <v>0</v>
      </c>
      <c r="P195" t="e">
        <f t="shared" si="44"/>
        <v>#NUM!</v>
      </c>
    </row>
    <row r="196" spans="3:16">
      <c r="C196">
        <f t="shared" si="25"/>
        <v>0</v>
      </c>
      <c r="D196">
        <v>1.7000000000000001E-2</v>
      </c>
      <c r="E196">
        <v>3.8999999999999998E-3</v>
      </c>
      <c r="F196">
        <f t="shared" si="26"/>
        <v>0</v>
      </c>
      <c r="G196">
        <f t="shared" si="40"/>
        <v>0</v>
      </c>
      <c r="H196">
        <f t="shared" si="28"/>
        <v>0</v>
      </c>
      <c r="I196">
        <v>1</v>
      </c>
      <c r="J196" t="e">
        <f t="shared" si="29"/>
        <v>#NUM!</v>
      </c>
      <c r="K196">
        <f t="shared" si="41"/>
        <v>-1.2217251517752175</v>
      </c>
      <c r="L196">
        <v>1</v>
      </c>
      <c r="M196" t="e">
        <f t="shared" si="31"/>
        <v>#NUM!</v>
      </c>
      <c r="N196">
        <f t="shared" si="42"/>
        <v>0</v>
      </c>
      <c r="O196">
        <f t="shared" si="43"/>
        <v>0</v>
      </c>
      <c r="P196" t="e">
        <f t="shared" si="44"/>
        <v>#NUM!</v>
      </c>
    </row>
    <row r="197" spans="3:16">
      <c r="C197">
        <f t="shared" ref="C197:C211" si="45">A197*B197</f>
        <v>0</v>
      </c>
      <c r="D197">
        <v>1.7000000000000001E-2</v>
      </c>
      <c r="E197">
        <v>3.8999999999999998E-3</v>
      </c>
      <c r="F197">
        <f t="shared" ref="F197:F260" si="46">A197*200</f>
        <v>0</v>
      </c>
      <c r="G197">
        <f t="shared" si="40"/>
        <v>0</v>
      </c>
      <c r="H197">
        <f t="shared" ref="H197:H211" si="47">-C197*200</f>
        <v>0</v>
      </c>
      <c r="I197">
        <v>1</v>
      </c>
      <c r="J197" t="e">
        <f t="shared" ref="J197:J260" si="48">LN(F197/1000)</f>
        <v>#NUM!</v>
      </c>
      <c r="K197">
        <f t="shared" si="41"/>
        <v>-1.2217251517752175</v>
      </c>
      <c r="L197">
        <v>1</v>
      </c>
      <c r="M197" t="e">
        <f t="shared" ref="M197:M260" si="49">-1*($S$4+($S$5*J197))</f>
        <v>#NUM!</v>
      </c>
      <c r="N197">
        <f t="shared" si="42"/>
        <v>0</v>
      </c>
      <c r="O197">
        <f t="shared" si="43"/>
        <v>0</v>
      </c>
      <c r="P197" t="e">
        <f t="shared" si="44"/>
        <v>#NUM!</v>
      </c>
    </row>
    <row r="198" spans="3:16">
      <c r="C198">
        <f t="shared" si="45"/>
        <v>0</v>
      </c>
      <c r="D198">
        <v>1.7000000000000001E-2</v>
      </c>
      <c r="E198">
        <v>3.8999999999999998E-3</v>
      </c>
      <c r="F198">
        <f t="shared" si="46"/>
        <v>0</v>
      </c>
      <c r="G198">
        <f t="shared" si="40"/>
        <v>0</v>
      </c>
      <c r="H198">
        <f t="shared" si="47"/>
        <v>0</v>
      </c>
      <c r="I198">
        <v>1</v>
      </c>
      <c r="J198" t="e">
        <f t="shared" si="48"/>
        <v>#NUM!</v>
      </c>
      <c r="K198">
        <f t="shared" si="41"/>
        <v>-1.2217251517752175</v>
      </c>
      <c r="L198">
        <v>1</v>
      </c>
      <c r="M198" t="e">
        <f t="shared" si="49"/>
        <v>#NUM!</v>
      </c>
      <c r="N198">
        <f t="shared" si="42"/>
        <v>0</v>
      </c>
      <c r="O198">
        <f t="shared" si="43"/>
        <v>0</v>
      </c>
      <c r="P198" t="e">
        <f t="shared" si="44"/>
        <v>#NUM!</v>
      </c>
    </row>
    <row r="199" spans="3:16">
      <c r="C199">
        <f t="shared" si="45"/>
        <v>0</v>
      </c>
      <c r="D199">
        <v>1.7000000000000001E-2</v>
      </c>
      <c r="E199">
        <v>3.8999999999999998E-3</v>
      </c>
      <c r="F199">
        <f t="shared" si="46"/>
        <v>0</v>
      </c>
      <c r="G199">
        <f t="shared" si="40"/>
        <v>0</v>
      </c>
      <c r="H199">
        <f t="shared" si="47"/>
        <v>0</v>
      </c>
      <c r="I199">
        <v>1</v>
      </c>
      <c r="J199" t="e">
        <f t="shared" si="48"/>
        <v>#NUM!</v>
      </c>
      <c r="K199">
        <f t="shared" si="41"/>
        <v>-1.2217251517752175</v>
      </c>
      <c r="L199">
        <v>1</v>
      </c>
      <c r="M199" t="e">
        <f t="shared" si="49"/>
        <v>#NUM!</v>
      </c>
      <c r="N199">
        <f t="shared" si="42"/>
        <v>0</v>
      </c>
      <c r="O199">
        <f t="shared" si="43"/>
        <v>0</v>
      </c>
      <c r="P199" t="e">
        <f t="shared" si="44"/>
        <v>#NUM!</v>
      </c>
    </row>
    <row r="200" spans="3:16">
      <c r="C200">
        <f t="shared" si="45"/>
        <v>0</v>
      </c>
      <c r="D200">
        <v>1.7000000000000001E-2</v>
      </c>
      <c r="E200">
        <v>3.8999999999999998E-3</v>
      </c>
      <c r="F200">
        <f t="shared" si="46"/>
        <v>0</v>
      </c>
      <c r="G200">
        <f t="shared" si="40"/>
        <v>0</v>
      </c>
      <c r="H200">
        <f t="shared" si="47"/>
        <v>0</v>
      </c>
      <c r="I200">
        <v>1</v>
      </c>
      <c r="J200" t="e">
        <f t="shared" si="48"/>
        <v>#NUM!</v>
      </c>
      <c r="K200">
        <f t="shared" si="41"/>
        <v>-1.2217251517752175</v>
      </c>
      <c r="L200">
        <v>1</v>
      </c>
      <c r="M200" t="e">
        <f t="shared" si="49"/>
        <v>#NUM!</v>
      </c>
      <c r="N200">
        <f t="shared" si="42"/>
        <v>0</v>
      </c>
      <c r="O200">
        <f t="shared" si="43"/>
        <v>0</v>
      </c>
      <c r="P200" t="e">
        <f t="shared" si="44"/>
        <v>#NUM!</v>
      </c>
    </row>
    <row r="201" spans="3:16">
      <c r="C201">
        <f t="shared" si="45"/>
        <v>0</v>
      </c>
      <c r="D201">
        <v>1.7000000000000001E-2</v>
      </c>
      <c r="E201">
        <v>3.8999999999999998E-3</v>
      </c>
      <c r="F201">
        <f t="shared" si="46"/>
        <v>0</v>
      </c>
      <c r="G201">
        <f t="shared" si="40"/>
        <v>0</v>
      </c>
      <c r="H201">
        <f t="shared" si="47"/>
        <v>0</v>
      </c>
      <c r="I201">
        <v>1</v>
      </c>
      <c r="J201" t="e">
        <f t="shared" si="48"/>
        <v>#NUM!</v>
      </c>
      <c r="K201">
        <f t="shared" si="41"/>
        <v>-1.2217251517752175</v>
      </c>
      <c r="L201">
        <v>1</v>
      </c>
      <c r="M201" t="e">
        <f t="shared" si="49"/>
        <v>#NUM!</v>
      </c>
      <c r="N201">
        <f t="shared" si="42"/>
        <v>0</v>
      </c>
      <c r="O201">
        <f t="shared" si="43"/>
        <v>0</v>
      </c>
      <c r="P201" t="e">
        <f t="shared" si="44"/>
        <v>#NUM!</v>
      </c>
    </row>
    <row r="202" spans="3:16">
      <c r="C202">
        <f t="shared" si="45"/>
        <v>0</v>
      </c>
      <c r="D202">
        <v>1.7000000000000001E-2</v>
      </c>
      <c r="E202">
        <v>3.8999999999999998E-3</v>
      </c>
      <c r="F202">
        <f t="shared" si="46"/>
        <v>0</v>
      </c>
      <c r="G202">
        <f t="shared" si="40"/>
        <v>0</v>
      </c>
      <c r="H202">
        <f t="shared" si="47"/>
        <v>0</v>
      </c>
      <c r="I202">
        <v>1</v>
      </c>
      <c r="J202" t="e">
        <f t="shared" si="48"/>
        <v>#NUM!</v>
      </c>
      <c r="K202">
        <f t="shared" si="41"/>
        <v>-1.2217251517752175</v>
      </c>
      <c r="L202">
        <v>1</v>
      </c>
      <c r="M202" t="e">
        <f t="shared" si="49"/>
        <v>#NUM!</v>
      </c>
      <c r="N202">
        <f t="shared" si="42"/>
        <v>0</v>
      </c>
      <c r="O202">
        <f t="shared" si="43"/>
        <v>0</v>
      </c>
      <c r="P202" t="e">
        <f t="shared" si="44"/>
        <v>#NUM!</v>
      </c>
    </row>
    <row r="203" spans="3:16">
      <c r="C203">
        <f t="shared" si="45"/>
        <v>0</v>
      </c>
      <c r="D203">
        <v>1.7000000000000001E-2</v>
      </c>
      <c r="E203">
        <v>3.8999999999999998E-3</v>
      </c>
      <c r="F203">
        <f t="shared" si="46"/>
        <v>0</v>
      </c>
      <c r="G203">
        <f t="shared" si="40"/>
        <v>0</v>
      </c>
      <c r="H203">
        <f t="shared" si="47"/>
        <v>0</v>
      </c>
      <c r="I203">
        <v>1</v>
      </c>
      <c r="J203" t="e">
        <f t="shared" si="48"/>
        <v>#NUM!</v>
      </c>
      <c r="K203">
        <f t="shared" si="41"/>
        <v>-1.2217251517752175</v>
      </c>
      <c r="L203">
        <v>1</v>
      </c>
      <c r="M203" t="e">
        <f t="shared" si="49"/>
        <v>#NUM!</v>
      </c>
      <c r="N203">
        <f t="shared" si="42"/>
        <v>0</v>
      </c>
      <c r="O203">
        <f t="shared" si="43"/>
        <v>0</v>
      </c>
      <c r="P203" t="e">
        <f t="shared" si="44"/>
        <v>#NUM!</v>
      </c>
    </row>
    <row r="204" spans="3:16">
      <c r="C204">
        <f t="shared" si="45"/>
        <v>0</v>
      </c>
      <c r="D204">
        <v>1.7000000000000001E-2</v>
      </c>
      <c r="E204">
        <v>3.8999999999999998E-3</v>
      </c>
      <c r="F204">
        <f t="shared" si="46"/>
        <v>0</v>
      </c>
      <c r="G204">
        <f t="shared" si="40"/>
        <v>0</v>
      </c>
      <c r="H204">
        <f t="shared" si="47"/>
        <v>0</v>
      </c>
      <c r="I204">
        <v>1</v>
      </c>
      <c r="J204" t="e">
        <f t="shared" si="48"/>
        <v>#NUM!</v>
      </c>
      <c r="K204">
        <f t="shared" si="41"/>
        <v>-1.2217251517752175</v>
      </c>
      <c r="L204">
        <v>1</v>
      </c>
      <c r="M204" t="e">
        <f t="shared" si="49"/>
        <v>#NUM!</v>
      </c>
      <c r="N204">
        <f t="shared" si="42"/>
        <v>0</v>
      </c>
      <c r="O204">
        <f t="shared" si="43"/>
        <v>0</v>
      </c>
      <c r="P204" t="e">
        <f t="shared" si="44"/>
        <v>#NUM!</v>
      </c>
    </row>
    <row r="205" spans="3:16">
      <c r="C205">
        <f t="shared" si="45"/>
        <v>0</v>
      </c>
      <c r="D205">
        <v>1.7000000000000001E-2</v>
      </c>
      <c r="E205">
        <v>3.8999999999999998E-3</v>
      </c>
      <c r="F205">
        <f t="shared" si="46"/>
        <v>0</v>
      </c>
      <c r="G205">
        <f t="shared" si="40"/>
        <v>0</v>
      </c>
      <c r="H205">
        <f t="shared" si="47"/>
        <v>0</v>
      </c>
      <c r="I205">
        <v>1</v>
      </c>
      <c r="J205" t="e">
        <f t="shared" si="48"/>
        <v>#NUM!</v>
      </c>
      <c r="K205">
        <f t="shared" si="41"/>
        <v>-1.2217251517752175</v>
      </c>
      <c r="L205">
        <v>1</v>
      </c>
      <c r="M205" t="e">
        <f t="shared" si="49"/>
        <v>#NUM!</v>
      </c>
      <c r="N205">
        <f t="shared" si="42"/>
        <v>0</v>
      </c>
      <c r="O205">
        <f t="shared" si="43"/>
        <v>0</v>
      </c>
      <c r="P205" t="e">
        <f t="shared" si="44"/>
        <v>#NUM!</v>
      </c>
    </row>
    <row r="206" spans="3:16">
      <c r="C206">
        <f t="shared" si="45"/>
        <v>0</v>
      </c>
      <c r="D206">
        <v>1.7000000000000001E-2</v>
      </c>
      <c r="E206">
        <v>3.8999999999999998E-3</v>
      </c>
      <c r="F206">
        <f t="shared" si="46"/>
        <v>0</v>
      </c>
      <c r="G206">
        <f t="shared" si="40"/>
        <v>0</v>
      </c>
      <c r="H206">
        <f t="shared" si="47"/>
        <v>0</v>
      </c>
      <c r="I206">
        <v>1</v>
      </c>
      <c r="J206" t="e">
        <f t="shared" si="48"/>
        <v>#NUM!</v>
      </c>
      <c r="K206">
        <f t="shared" si="41"/>
        <v>-1.2217251517752175</v>
      </c>
      <c r="L206">
        <v>1</v>
      </c>
      <c r="M206" t="e">
        <f t="shared" si="49"/>
        <v>#NUM!</v>
      </c>
      <c r="N206">
        <f t="shared" si="42"/>
        <v>0</v>
      </c>
      <c r="O206">
        <f t="shared" si="43"/>
        <v>0</v>
      </c>
      <c r="P206" t="e">
        <f t="shared" si="44"/>
        <v>#NUM!</v>
      </c>
    </row>
    <row r="207" spans="3:16">
      <c r="C207">
        <f t="shared" si="45"/>
        <v>0</v>
      </c>
      <c r="D207">
        <v>1.7000000000000001E-2</v>
      </c>
      <c r="E207">
        <v>3.8999999999999998E-3</v>
      </c>
      <c r="F207">
        <f t="shared" si="46"/>
        <v>0</v>
      </c>
      <c r="G207">
        <f t="shared" si="40"/>
        <v>0</v>
      </c>
      <c r="H207">
        <f t="shared" si="47"/>
        <v>0</v>
      </c>
      <c r="I207">
        <v>1</v>
      </c>
      <c r="J207" t="e">
        <f t="shared" si="48"/>
        <v>#NUM!</v>
      </c>
      <c r="K207">
        <f t="shared" si="41"/>
        <v>-1.2217251517752175</v>
      </c>
      <c r="L207">
        <v>1</v>
      </c>
      <c r="M207" t="e">
        <f t="shared" si="49"/>
        <v>#NUM!</v>
      </c>
      <c r="N207">
        <f t="shared" si="42"/>
        <v>0</v>
      </c>
      <c r="O207">
        <f t="shared" si="43"/>
        <v>0</v>
      </c>
      <c r="P207" t="e">
        <f t="shared" si="44"/>
        <v>#NUM!</v>
      </c>
    </row>
    <row r="208" spans="3:16">
      <c r="C208">
        <f t="shared" si="45"/>
        <v>0</v>
      </c>
      <c r="D208">
        <v>1.7000000000000001E-2</v>
      </c>
      <c r="E208">
        <v>3.8999999999999998E-3</v>
      </c>
      <c r="F208">
        <f t="shared" si="46"/>
        <v>0</v>
      </c>
      <c r="G208">
        <f t="shared" si="40"/>
        <v>0</v>
      </c>
      <c r="H208">
        <f t="shared" si="47"/>
        <v>0</v>
      </c>
      <c r="I208">
        <v>1</v>
      </c>
      <c r="J208" t="e">
        <f t="shared" si="48"/>
        <v>#NUM!</v>
      </c>
      <c r="K208">
        <f t="shared" si="41"/>
        <v>-1.2217251517752175</v>
      </c>
      <c r="L208">
        <v>1</v>
      </c>
      <c r="M208" t="e">
        <f t="shared" si="49"/>
        <v>#NUM!</v>
      </c>
      <c r="N208">
        <f t="shared" si="42"/>
        <v>0</v>
      </c>
      <c r="O208">
        <f t="shared" si="43"/>
        <v>0</v>
      </c>
      <c r="P208" t="e">
        <f t="shared" si="44"/>
        <v>#NUM!</v>
      </c>
    </row>
    <row r="209" spans="3:16">
      <c r="C209">
        <f t="shared" si="45"/>
        <v>0</v>
      </c>
      <c r="D209">
        <v>1.7000000000000001E-2</v>
      </c>
      <c r="E209">
        <v>3.8999999999999998E-3</v>
      </c>
      <c r="F209">
        <f t="shared" si="46"/>
        <v>0</v>
      </c>
      <c r="G209">
        <f t="shared" si="40"/>
        <v>0</v>
      </c>
      <c r="H209">
        <f t="shared" si="47"/>
        <v>0</v>
      </c>
      <c r="I209">
        <v>1</v>
      </c>
      <c r="J209" t="e">
        <f t="shared" si="48"/>
        <v>#NUM!</v>
      </c>
      <c r="K209">
        <f t="shared" si="41"/>
        <v>-1.2217251517752175</v>
      </c>
      <c r="L209">
        <v>1</v>
      </c>
      <c r="M209" t="e">
        <f t="shared" si="49"/>
        <v>#NUM!</v>
      </c>
      <c r="N209">
        <f t="shared" si="42"/>
        <v>0</v>
      </c>
      <c r="O209">
        <f t="shared" si="43"/>
        <v>0</v>
      </c>
      <c r="P209" t="e">
        <f t="shared" si="44"/>
        <v>#NUM!</v>
      </c>
    </row>
    <row r="210" spans="3:16">
      <c r="C210">
        <f t="shared" si="45"/>
        <v>0</v>
      </c>
      <c r="D210">
        <v>1.7000000000000001E-2</v>
      </c>
      <c r="E210">
        <v>3.8999999999999998E-3</v>
      </c>
      <c r="F210">
        <f t="shared" si="46"/>
        <v>0</v>
      </c>
      <c r="G210">
        <f t="shared" si="40"/>
        <v>0</v>
      </c>
      <c r="H210">
        <f t="shared" si="47"/>
        <v>0</v>
      </c>
      <c r="I210">
        <v>1</v>
      </c>
      <c r="J210" t="e">
        <f t="shared" si="48"/>
        <v>#NUM!</v>
      </c>
      <c r="K210">
        <f t="shared" si="41"/>
        <v>-1.2217251517752175</v>
      </c>
      <c r="L210">
        <v>1</v>
      </c>
      <c r="M210" t="e">
        <f t="shared" si="49"/>
        <v>#NUM!</v>
      </c>
      <c r="N210">
        <f t="shared" si="42"/>
        <v>0</v>
      </c>
      <c r="O210">
        <f t="shared" si="43"/>
        <v>0</v>
      </c>
      <c r="P210" t="e">
        <f t="shared" si="44"/>
        <v>#NUM!</v>
      </c>
    </row>
    <row r="211" spans="3:16">
      <c r="C211">
        <f t="shared" si="45"/>
        <v>0</v>
      </c>
      <c r="D211">
        <v>1.7000000000000001E-2</v>
      </c>
      <c r="E211">
        <v>3.8999999999999998E-3</v>
      </c>
      <c r="F211">
        <f t="shared" si="46"/>
        <v>0</v>
      </c>
      <c r="G211">
        <f t="shared" si="40"/>
        <v>0</v>
      </c>
      <c r="H211">
        <f t="shared" si="47"/>
        <v>0</v>
      </c>
      <c r="I211">
        <v>1</v>
      </c>
      <c r="J211" t="e">
        <f t="shared" si="48"/>
        <v>#NUM!</v>
      </c>
      <c r="K211">
        <f t="shared" si="41"/>
        <v>-1.2217251517752175</v>
      </c>
      <c r="L211">
        <v>1</v>
      </c>
      <c r="M211" t="e">
        <f t="shared" si="49"/>
        <v>#NUM!</v>
      </c>
      <c r="N211">
        <f t="shared" si="42"/>
        <v>0</v>
      </c>
      <c r="O211">
        <f t="shared" si="43"/>
        <v>0</v>
      </c>
      <c r="P211" t="e">
        <f t="shared" si="44"/>
        <v>#NUM!</v>
      </c>
    </row>
    <row r="212" spans="3:16">
      <c r="C212">
        <f t="shared" ref="C212:C275" si="50">A212*B212</f>
        <v>0</v>
      </c>
      <c r="D212">
        <v>1.7000000000000001E-2</v>
      </c>
      <c r="E212">
        <v>3.8999999999999998E-3</v>
      </c>
      <c r="F212">
        <f t="shared" si="46"/>
        <v>0</v>
      </c>
      <c r="G212">
        <f t="shared" ref="G212:G275" si="51">-B212</f>
        <v>0</v>
      </c>
      <c r="H212">
        <f t="shared" ref="H212:H275" si="52">-C212*200</f>
        <v>0</v>
      </c>
      <c r="I212">
        <v>1</v>
      </c>
      <c r="J212" t="e">
        <f t="shared" si="48"/>
        <v>#NUM!</v>
      </c>
      <c r="K212">
        <f t="shared" ref="K212:K275" si="53">((-G212)-$N$2)</f>
        <v>-1.2217251517752175</v>
      </c>
      <c r="L212">
        <v>1</v>
      </c>
      <c r="M212" t="e">
        <f t="shared" si="49"/>
        <v>#NUM!</v>
      </c>
      <c r="N212">
        <f t="shared" ref="N212:N275" si="54">D212*A212</f>
        <v>0</v>
      </c>
      <c r="O212">
        <f t="shared" ref="O212:O275" si="55">E212*A212</f>
        <v>0</v>
      </c>
      <c r="P212" t="e">
        <f t="shared" ref="P212:P275" si="56">-K212-M212-N212-O212</f>
        <v>#NUM!</v>
      </c>
    </row>
    <row r="213" spans="3:16">
      <c r="C213">
        <f t="shared" si="50"/>
        <v>0</v>
      </c>
      <c r="D213">
        <v>1.7000000000000001E-2</v>
      </c>
      <c r="E213">
        <v>3.8999999999999998E-3</v>
      </c>
      <c r="F213">
        <f t="shared" si="46"/>
        <v>0</v>
      </c>
      <c r="G213">
        <f t="shared" si="51"/>
        <v>0</v>
      </c>
      <c r="H213">
        <f t="shared" si="52"/>
        <v>0</v>
      </c>
      <c r="I213">
        <v>1</v>
      </c>
      <c r="J213" t="e">
        <f t="shared" si="48"/>
        <v>#NUM!</v>
      </c>
      <c r="K213">
        <f t="shared" si="53"/>
        <v>-1.2217251517752175</v>
      </c>
      <c r="L213">
        <v>1</v>
      </c>
      <c r="M213" t="e">
        <f t="shared" si="49"/>
        <v>#NUM!</v>
      </c>
      <c r="N213">
        <f t="shared" si="54"/>
        <v>0</v>
      </c>
      <c r="O213">
        <f t="shared" si="55"/>
        <v>0</v>
      </c>
      <c r="P213" t="e">
        <f t="shared" si="56"/>
        <v>#NUM!</v>
      </c>
    </row>
    <row r="214" spans="3:16">
      <c r="C214">
        <f t="shared" si="50"/>
        <v>0</v>
      </c>
      <c r="D214">
        <v>1.7000000000000001E-2</v>
      </c>
      <c r="E214">
        <v>3.8999999999999998E-3</v>
      </c>
      <c r="F214">
        <f t="shared" si="46"/>
        <v>0</v>
      </c>
      <c r="G214">
        <f t="shared" si="51"/>
        <v>0</v>
      </c>
      <c r="H214">
        <f t="shared" si="52"/>
        <v>0</v>
      </c>
      <c r="I214">
        <v>1</v>
      </c>
      <c r="J214" t="e">
        <f t="shared" si="48"/>
        <v>#NUM!</v>
      </c>
      <c r="K214">
        <f t="shared" si="53"/>
        <v>-1.2217251517752175</v>
      </c>
      <c r="L214">
        <v>1</v>
      </c>
      <c r="M214" t="e">
        <f t="shared" si="49"/>
        <v>#NUM!</v>
      </c>
      <c r="N214">
        <f t="shared" si="54"/>
        <v>0</v>
      </c>
      <c r="O214">
        <f t="shared" si="55"/>
        <v>0</v>
      </c>
      <c r="P214" t="e">
        <f t="shared" si="56"/>
        <v>#NUM!</v>
      </c>
    </row>
    <row r="215" spans="3:16">
      <c r="C215">
        <f t="shared" si="50"/>
        <v>0</v>
      </c>
      <c r="D215">
        <v>1.7000000000000001E-2</v>
      </c>
      <c r="E215">
        <v>3.8999999999999998E-3</v>
      </c>
      <c r="F215">
        <f t="shared" si="46"/>
        <v>0</v>
      </c>
      <c r="G215">
        <f t="shared" si="51"/>
        <v>0</v>
      </c>
      <c r="H215">
        <f t="shared" si="52"/>
        <v>0</v>
      </c>
      <c r="I215">
        <v>1</v>
      </c>
      <c r="J215" t="e">
        <f t="shared" si="48"/>
        <v>#NUM!</v>
      </c>
      <c r="K215">
        <f t="shared" si="53"/>
        <v>-1.2217251517752175</v>
      </c>
      <c r="L215">
        <v>1</v>
      </c>
      <c r="M215" t="e">
        <f t="shared" si="49"/>
        <v>#NUM!</v>
      </c>
      <c r="N215">
        <f t="shared" si="54"/>
        <v>0</v>
      </c>
      <c r="O215">
        <f t="shared" si="55"/>
        <v>0</v>
      </c>
      <c r="P215" t="e">
        <f t="shared" si="56"/>
        <v>#NUM!</v>
      </c>
    </row>
    <row r="216" spans="3:16">
      <c r="C216">
        <f t="shared" si="50"/>
        <v>0</v>
      </c>
      <c r="D216">
        <v>1.7000000000000001E-2</v>
      </c>
      <c r="E216">
        <v>3.8999999999999998E-3</v>
      </c>
      <c r="F216">
        <f t="shared" si="46"/>
        <v>0</v>
      </c>
      <c r="G216">
        <f t="shared" si="51"/>
        <v>0</v>
      </c>
      <c r="H216">
        <f t="shared" si="52"/>
        <v>0</v>
      </c>
      <c r="I216">
        <v>1</v>
      </c>
      <c r="J216" t="e">
        <f t="shared" si="48"/>
        <v>#NUM!</v>
      </c>
      <c r="K216">
        <f t="shared" si="53"/>
        <v>-1.2217251517752175</v>
      </c>
      <c r="L216">
        <v>1</v>
      </c>
      <c r="M216" t="e">
        <f t="shared" si="49"/>
        <v>#NUM!</v>
      </c>
      <c r="N216">
        <f t="shared" si="54"/>
        <v>0</v>
      </c>
      <c r="O216">
        <f t="shared" si="55"/>
        <v>0</v>
      </c>
      <c r="P216" t="e">
        <f t="shared" si="56"/>
        <v>#NUM!</v>
      </c>
    </row>
    <row r="217" spans="3:16">
      <c r="C217">
        <f t="shared" si="50"/>
        <v>0</v>
      </c>
      <c r="D217">
        <v>1.7000000000000001E-2</v>
      </c>
      <c r="E217">
        <v>3.8999999999999998E-3</v>
      </c>
      <c r="F217">
        <f t="shared" si="46"/>
        <v>0</v>
      </c>
      <c r="G217">
        <f t="shared" si="51"/>
        <v>0</v>
      </c>
      <c r="H217">
        <f t="shared" si="52"/>
        <v>0</v>
      </c>
      <c r="I217">
        <v>1</v>
      </c>
      <c r="J217" t="e">
        <f t="shared" si="48"/>
        <v>#NUM!</v>
      </c>
      <c r="K217">
        <f t="shared" si="53"/>
        <v>-1.2217251517752175</v>
      </c>
      <c r="L217">
        <v>1</v>
      </c>
      <c r="M217" t="e">
        <f t="shared" si="49"/>
        <v>#NUM!</v>
      </c>
      <c r="N217">
        <f t="shared" si="54"/>
        <v>0</v>
      </c>
      <c r="O217">
        <f t="shared" si="55"/>
        <v>0</v>
      </c>
      <c r="P217" t="e">
        <f t="shared" si="56"/>
        <v>#NUM!</v>
      </c>
    </row>
    <row r="218" spans="3:16">
      <c r="C218">
        <f t="shared" si="50"/>
        <v>0</v>
      </c>
      <c r="D218">
        <v>1.7000000000000001E-2</v>
      </c>
      <c r="E218">
        <v>3.8999999999999998E-3</v>
      </c>
      <c r="F218">
        <f t="shared" si="46"/>
        <v>0</v>
      </c>
      <c r="G218">
        <f t="shared" si="51"/>
        <v>0</v>
      </c>
      <c r="H218">
        <f t="shared" si="52"/>
        <v>0</v>
      </c>
      <c r="I218">
        <v>1</v>
      </c>
      <c r="J218" t="e">
        <f t="shared" si="48"/>
        <v>#NUM!</v>
      </c>
      <c r="K218">
        <f t="shared" si="53"/>
        <v>-1.2217251517752175</v>
      </c>
      <c r="L218">
        <v>1</v>
      </c>
      <c r="M218" t="e">
        <f t="shared" si="49"/>
        <v>#NUM!</v>
      </c>
      <c r="N218">
        <f t="shared" si="54"/>
        <v>0</v>
      </c>
      <c r="O218">
        <f t="shared" si="55"/>
        <v>0</v>
      </c>
      <c r="P218" t="e">
        <f t="shared" si="56"/>
        <v>#NUM!</v>
      </c>
    </row>
    <row r="219" spans="3:16">
      <c r="C219">
        <f t="shared" si="50"/>
        <v>0</v>
      </c>
      <c r="D219">
        <v>1.7000000000000001E-2</v>
      </c>
      <c r="E219">
        <v>3.8999999999999998E-3</v>
      </c>
      <c r="F219">
        <f t="shared" si="46"/>
        <v>0</v>
      </c>
      <c r="G219">
        <f t="shared" si="51"/>
        <v>0</v>
      </c>
      <c r="H219">
        <f t="shared" si="52"/>
        <v>0</v>
      </c>
      <c r="I219">
        <v>1</v>
      </c>
      <c r="J219" t="e">
        <f t="shared" si="48"/>
        <v>#NUM!</v>
      </c>
      <c r="K219">
        <f t="shared" si="53"/>
        <v>-1.2217251517752175</v>
      </c>
      <c r="L219">
        <v>1</v>
      </c>
      <c r="M219" t="e">
        <f t="shared" si="49"/>
        <v>#NUM!</v>
      </c>
      <c r="N219">
        <f t="shared" si="54"/>
        <v>0</v>
      </c>
      <c r="O219">
        <f t="shared" si="55"/>
        <v>0</v>
      </c>
      <c r="P219" t="e">
        <f t="shared" si="56"/>
        <v>#NUM!</v>
      </c>
    </row>
    <row r="220" spans="3:16">
      <c r="C220">
        <f t="shared" si="50"/>
        <v>0</v>
      </c>
      <c r="D220">
        <v>1.7000000000000001E-2</v>
      </c>
      <c r="E220">
        <v>3.8999999999999998E-3</v>
      </c>
      <c r="F220">
        <f t="shared" si="46"/>
        <v>0</v>
      </c>
      <c r="G220">
        <f t="shared" si="51"/>
        <v>0</v>
      </c>
      <c r="H220">
        <f t="shared" si="52"/>
        <v>0</v>
      </c>
      <c r="I220">
        <v>1</v>
      </c>
      <c r="J220" t="e">
        <f t="shared" si="48"/>
        <v>#NUM!</v>
      </c>
      <c r="K220">
        <f t="shared" si="53"/>
        <v>-1.2217251517752175</v>
      </c>
      <c r="L220">
        <v>1</v>
      </c>
      <c r="M220" t="e">
        <f t="shared" si="49"/>
        <v>#NUM!</v>
      </c>
      <c r="N220">
        <f t="shared" si="54"/>
        <v>0</v>
      </c>
      <c r="O220">
        <f t="shared" si="55"/>
        <v>0</v>
      </c>
      <c r="P220" t="e">
        <f t="shared" si="56"/>
        <v>#NUM!</v>
      </c>
    </row>
    <row r="221" spans="3:16">
      <c r="C221">
        <f t="shared" si="50"/>
        <v>0</v>
      </c>
      <c r="D221">
        <v>1.7000000000000001E-2</v>
      </c>
      <c r="E221">
        <v>3.8999999999999998E-3</v>
      </c>
      <c r="F221">
        <f t="shared" si="46"/>
        <v>0</v>
      </c>
      <c r="G221">
        <f t="shared" si="51"/>
        <v>0</v>
      </c>
      <c r="H221">
        <f t="shared" si="52"/>
        <v>0</v>
      </c>
      <c r="I221">
        <v>1</v>
      </c>
      <c r="J221" t="e">
        <f t="shared" si="48"/>
        <v>#NUM!</v>
      </c>
      <c r="K221">
        <f t="shared" si="53"/>
        <v>-1.2217251517752175</v>
      </c>
      <c r="L221">
        <v>1</v>
      </c>
      <c r="M221" t="e">
        <f t="shared" si="49"/>
        <v>#NUM!</v>
      </c>
      <c r="N221">
        <f t="shared" si="54"/>
        <v>0</v>
      </c>
      <c r="O221">
        <f t="shared" si="55"/>
        <v>0</v>
      </c>
      <c r="P221" t="e">
        <f t="shared" si="56"/>
        <v>#NUM!</v>
      </c>
    </row>
    <row r="222" spans="3:16">
      <c r="C222">
        <f t="shared" si="50"/>
        <v>0</v>
      </c>
      <c r="D222">
        <v>1.7000000000000001E-2</v>
      </c>
      <c r="E222">
        <v>3.8999999999999998E-3</v>
      </c>
      <c r="F222">
        <f t="shared" si="46"/>
        <v>0</v>
      </c>
      <c r="G222">
        <f t="shared" si="51"/>
        <v>0</v>
      </c>
      <c r="H222">
        <f t="shared" si="52"/>
        <v>0</v>
      </c>
      <c r="I222">
        <v>1</v>
      </c>
      <c r="J222" t="e">
        <f t="shared" si="48"/>
        <v>#NUM!</v>
      </c>
      <c r="K222">
        <f t="shared" si="53"/>
        <v>-1.2217251517752175</v>
      </c>
      <c r="L222">
        <v>1</v>
      </c>
      <c r="M222" t="e">
        <f t="shared" si="49"/>
        <v>#NUM!</v>
      </c>
      <c r="N222">
        <f t="shared" si="54"/>
        <v>0</v>
      </c>
      <c r="O222">
        <f t="shared" si="55"/>
        <v>0</v>
      </c>
      <c r="P222" t="e">
        <f t="shared" si="56"/>
        <v>#NUM!</v>
      </c>
    </row>
    <row r="223" spans="3:16">
      <c r="C223">
        <f t="shared" si="50"/>
        <v>0</v>
      </c>
      <c r="D223">
        <v>1.7000000000000001E-2</v>
      </c>
      <c r="E223">
        <v>3.8999999999999998E-3</v>
      </c>
      <c r="F223">
        <f t="shared" si="46"/>
        <v>0</v>
      </c>
      <c r="G223">
        <f t="shared" si="51"/>
        <v>0</v>
      </c>
      <c r="H223">
        <f t="shared" si="52"/>
        <v>0</v>
      </c>
      <c r="I223">
        <v>1</v>
      </c>
      <c r="J223" t="e">
        <f t="shared" si="48"/>
        <v>#NUM!</v>
      </c>
      <c r="K223">
        <f t="shared" si="53"/>
        <v>-1.2217251517752175</v>
      </c>
      <c r="L223">
        <v>1</v>
      </c>
      <c r="M223" t="e">
        <f t="shared" si="49"/>
        <v>#NUM!</v>
      </c>
      <c r="N223">
        <f t="shared" si="54"/>
        <v>0</v>
      </c>
      <c r="O223">
        <f t="shared" si="55"/>
        <v>0</v>
      </c>
      <c r="P223" t="e">
        <f t="shared" si="56"/>
        <v>#NUM!</v>
      </c>
    </row>
    <row r="224" spans="3:16">
      <c r="C224">
        <f t="shared" si="50"/>
        <v>0</v>
      </c>
      <c r="D224">
        <v>1.7000000000000001E-2</v>
      </c>
      <c r="E224">
        <v>3.8999999999999998E-3</v>
      </c>
      <c r="F224">
        <f t="shared" si="46"/>
        <v>0</v>
      </c>
      <c r="G224">
        <f t="shared" si="51"/>
        <v>0</v>
      </c>
      <c r="H224">
        <f t="shared" si="52"/>
        <v>0</v>
      </c>
      <c r="I224">
        <v>1</v>
      </c>
      <c r="J224" t="e">
        <f t="shared" si="48"/>
        <v>#NUM!</v>
      </c>
      <c r="K224">
        <f t="shared" si="53"/>
        <v>-1.2217251517752175</v>
      </c>
      <c r="L224">
        <v>1</v>
      </c>
      <c r="M224" t="e">
        <f t="shared" si="49"/>
        <v>#NUM!</v>
      </c>
      <c r="N224">
        <f t="shared" si="54"/>
        <v>0</v>
      </c>
      <c r="O224">
        <f t="shared" si="55"/>
        <v>0</v>
      </c>
      <c r="P224" t="e">
        <f t="shared" si="56"/>
        <v>#NUM!</v>
      </c>
    </row>
    <row r="225" spans="3:18">
      <c r="C225">
        <f t="shared" si="50"/>
        <v>0</v>
      </c>
      <c r="D225">
        <v>1.7000000000000001E-2</v>
      </c>
      <c r="E225">
        <v>3.8999999999999998E-3</v>
      </c>
      <c r="F225">
        <f t="shared" si="46"/>
        <v>0</v>
      </c>
      <c r="G225">
        <f t="shared" si="51"/>
        <v>0</v>
      </c>
      <c r="H225">
        <f t="shared" si="52"/>
        <v>0</v>
      </c>
      <c r="I225">
        <v>1</v>
      </c>
      <c r="J225" t="e">
        <f t="shared" si="48"/>
        <v>#NUM!</v>
      </c>
      <c r="K225">
        <f t="shared" si="53"/>
        <v>-1.2217251517752175</v>
      </c>
      <c r="L225">
        <v>1</v>
      </c>
      <c r="M225" t="e">
        <f t="shared" si="49"/>
        <v>#NUM!</v>
      </c>
      <c r="N225">
        <f t="shared" si="54"/>
        <v>0</v>
      </c>
      <c r="O225">
        <f t="shared" si="55"/>
        <v>0</v>
      </c>
      <c r="P225" t="e">
        <f t="shared" si="56"/>
        <v>#NUM!</v>
      </c>
      <c r="R225" t="e">
        <f>O225+N225+M225</f>
        <v>#NUM!</v>
      </c>
    </row>
    <row r="226" spans="3:18">
      <c r="C226">
        <f t="shared" si="50"/>
        <v>0</v>
      </c>
      <c r="D226">
        <v>1.7000000000000001E-2</v>
      </c>
      <c r="E226">
        <v>3.8999999999999998E-3</v>
      </c>
      <c r="F226">
        <f t="shared" si="46"/>
        <v>0</v>
      </c>
      <c r="G226">
        <f t="shared" si="51"/>
        <v>0</v>
      </c>
      <c r="H226">
        <f t="shared" si="52"/>
        <v>0</v>
      </c>
      <c r="I226">
        <v>1</v>
      </c>
      <c r="J226" t="e">
        <f t="shared" si="48"/>
        <v>#NUM!</v>
      </c>
      <c r="K226">
        <f t="shared" si="53"/>
        <v>-1.2217251517752175</v>
      </c>
      <c r="L226">
        <v>1</v>
      </c>
      <c r="M226" t="e">
        <f t="shared" si="49"/>
        <v>#NUM!</v>
      </c>
      <c r="N226">
        <f t="shared" si="54"/>
        <v>0</v>
      </c>
      <c r="O226">
        <f t="shared" si="55"/>
        <v>0</v>
      </c>
      <c r="P226" t="e">
        <f t="shared" si="56"/>
        <v>#NUM!</v>
      </c>
    </row>
    <row r="227" spans="3:18">
      <c r="C227">
        <f t="shared" si="50"/>
        <v>0</v>
      </c>
      <c r="D227">
        <v>1.7000000000000001E-2</v>
      </c>
      <c r="E227">
        <v>3.8999999999999998E-3</v>
      </c>
      <c r="F227">
        <f t="shared" si="46"/>
        <v>0</v>
      </c>
      <c r="G227">
        <f t="shared" si="51"/>
        <v>0</v>
      </c>
      <c r="H227">
        <f t="shared" si="52"/>
        <v>0</v>
      </c>
      <c r="I227">
        <v>1</v>
      </c>
      <c r="J227" t="e">
        <f t="shared" si="48"/>
        <v>#NUM!</v>
      </c>
      <c r="K227">
        <f t="shared" si="53"/>
        <v>-1.2217251517752175</v>
      </c>
      <c r="L227">
        <v>1</v>
      </c>
      <c r="M227" t="e">
        <f t="shared" si="49"/>
        <v>#NUM!</v>
      </c>
      <c r="N227">
        <f t="shared" si="54"/>
        <v>0</v>
      </c>
      <c r="O227">
        <f t="shared" si="55"/>
        <v>0</v>
      </c>
      <c r="P227" t="e">
        <f t="shared" si="56"/>
        <v>#NUM!</v>
      </c>
    </row>
    <row r="228" spans="3:18">
      <c r="C228">
        <f t="shared" si="50"/>
        <v>0</v>
      </c>
      <c r="D228">
        <v>1.7000000000000001E-2</v>
      </c>
      <c r="E228">
        <v>3.8999999999999998E-3</v>
      </c>
      <c r="F228">
        <f t="shared" si="46"/>
        <v>0</v>
      </c>
      <c r="G228">
        <f t="shared" si="51"/>
        <v>0</v>
      </c>
      <c r="H228">
        <f t="shared" si="52"/>
        <v>0</v>
      </c>
      <c r="I228">
        <v>1</v>
      </c>
      <c r="J228" t="e">
        <f t="shared" si="48"/>
        <v>#NUM!</v>
      </c>
      <c r="K228">
        <f t="shared" si="53"/>
        <v>-1.2217251517752175</v>
      </c>
      <c r="L228">
        <v>1</v>
      </c>
      <c r="M228" t="e">
        <f t="shared" si="49"/>
        <v>#NUM!</v>
      </c>
      <c r="N228">
        <f t="shared" si="54"/>
        <v>0</v>
      </c>
      <c r="O228">
        <f t="shared" si="55"/>
        <v>0</v>
      </c>
      <c r="P228" t="e">
        <f t="shared" si="56"/>
        <v>#NUM!</v>
      </c>
    </row>
    <row r="229" spans="3:18">
      <c r="C229">
        <f t="shared" si="50"/>
        <v>0</v>
      </c>
      <c r="D229">
        <v>1.7000000000000001E-2</v>
      </c>
      <c r="E229">
        <v>3.8999999999999998E-3</v>
      </c>
      <c r="F229">
        <f t="shared" si="46"/>
        <v>0</v>
      </c>
      <c r="G229">
        <f t="shared" si="51"/>
        <v>0</v>
      </c>
      <c r="H229">
        <f t="shared" si="52"/>
        <v>0</v>
      </c>
      <c r="I229">
        <v>1</v>
      </c>
      <c r="J229" t="e">
        <f t="shared" si="48"/>
        <v>#NUM!</v>
      </c>
      <c r="K229">
        <f t="shared" si="53"/>
        <v>-1.2217251517752175</v>
      </c>
      <c r="L229">
        <v>1</v>
      </c>
      <c r="M229" t="e">
        <f t="shared" si="49"/>
        <v>#NUM!</v>
      </c>
      <c r="N229">
        <f t="shared" si="54"/>
        <v>0</v>
      </c>
      <c r="O229">
        <f t="shared" si="55"/>
        <v>0</v>
      </c>
      <c r="P229" t="e">
        <f t="shared" si="56"/>
        <v>#NUM!</v>
      </c>
    </row>
    <row r="230" spans="3:18">
      <c r="C230">
        <f t="shared" si="50"/>
        <v>0</v>
      </c>
      <c r="D230">
        <v>1.7000000000000001E-2</v>
      </c>
      <c r="E230">
        <v>3.8999999999999998E-3</v>
      </c>
      <c r="F230">
        <f t="shared" si="46"/>
        <v>0</v>
      </c>
      <c r="G230">
        <f t="shared" si="51"/>
        <v>0</v>
      </c>
      <c r="H230">
        <f t="shared" si="52"/>
        <v>0</v>
      </c>
      <c r="I230">
        <v>1</v>
      </c>
      <c r="J230" t="e">
        <f t="shared" si="48"/>
        <v>#NUM!</v>
      </c>
      <c r="K230">
        <f t="shared" si="53"/>
        <v>-1.2217251517752175</v>
      </c>
      <c r="L230">
        <v>1</v>
      </c>
      <c r="M230" t="e">
        <f t="shared" si="49"/>
        <v>#NUM!</v>
      </c>
      <c r="N230">
        <f t="shared" si="54"/>
        <v>0</v>
      </c>
      <c r="O230">
        <f t="shared" si="55"/>
        <v>0</v>
      </c>
      <c r="P230" t="e">
        <f t="shared" si="56"/>
        <v>#NUM!</v>
      </c>
    </row>
    <row r="231" spans="3:18">
      <c r="C231">
        <f t="shared" si="50"/>
        <v>0</v>
      </c>
      <c r="D231">
        <v>1.7000000000000001E-2</v>
      </c>
      <c r="E231">
        <v>3.8999999999999998E-3</v>
      </c>
      <c r="F231">
        <f t="shared" si="46"/>
        <v>0</v>
      </c>
      <c r="G231">
        <f t="shared" si="51"/>
        <v>0</v>
      </c>
      <c r="H231">
        <f t="shared" si="52"/>
        <v>0</v>
      </c>
      <c r="I231">
        <v>1</v>
      </c>
      <c r="J231" t="e">
        <f t="shared" si="48"/>
        <v>#NUM!</v>
      </c>
      <c r="K231">
        <f t="shared" si="53"/>
        <v>-1.2217251517752175</v>
      </c>
      <c r="L231">
        <v>1</v>
      </c>
      <c r="M231" t="e">
        <f t="shared" si="49"/>
        <v>#NUM!</v>
      </c>
      <c r="N231">
        <f t="shared" si="54"/>
        <v>0</v>
      </c>
      <c r="O231">
        <f t="shared" si="55"/>
        <v>0</v>
      </c>
      <c r="P231" t="e">
        <f t="shared" si="56"/>
        <v>#NUM!</v>
      </c>
    </row>
    <row r="232" spans="3:18">
      <c r="C232">
        <f t="shared" si="50"/>
        <v>0</v>
      </c>
      <c r="D232">
        <v>1.7000000000000001E-2</v>
      </c>
      <c r="E232">
        <v>3.8999999999999998E-3</v>
      </c>
      <c r="F232">
        <f t="shared" si="46"/>
        <v>0</v>
      </c>
      <c r="G232">
        <f t="shared" si="51"/>
        <v>0</v>
      </c>
      <c r="H232">
        <f t="shared" si="52"/>
        <v>0</v>
      </c>
      <c r="I232">
        <v>1</v>
      </c>
      <c r="J232" t="e">
        <f t="shared" si="48"/>
        <v>#NUM!</v>
      </c>
      <c r="K232">
        <f t="shared" si="53"/>
        <v>-1.2217251517752175</v>
      </c>
      <c r="L232">
        <v>1</v>
      </c>
      <c r="M232" t="e">
        <f t="shared" si="49"/>
        <v>#NUM!</v>
      </c>
      <c r="N232">
        <f t="shared" si="54"/>
        <v>0</v>
      </c>
      <c r="O232">
        <f t="shared" si="55"/>
        <v>0</v>
      </c>
      <c r="P232" t="e">
        <f t="shared" si="56"/>
        <v>#NUM!</v>
      </c>
    </row>
    <row r="233" spans="3:18">
      <c r="C233">
        <f t="shared" si="50"/>
        <v>0</v>
      </c>
      <c r="D233">
        <v>1.7000000000000001E-2</v>
      </c>
      <c r="E233">
        <v>3.8999999999999998E-3</v>
      </c>
      <c r="F233">
        <f t="shared" si="46"/>
        <v>0</v>
      </c>
      <c r="G233">
        <f t="shared" si="51"/>
        <v>0</v>
      </c>
      <c r="H233">
        <f t="shared" si="52"/>
        <v>0</v>
      </c>
      <c r="I233">
        <v>1</v>
      </c>
      <c r="J233" t="e">
        <f t="shared" si="48"/>
        <v>#NUM!</v>
      </c>
      <c r="K233">
        <f t="shared" si="53"/>
        <v>-1.2217251517752175</v>
      </c>
      <c r="L233">
        <v>1</v>
      </c>
      <c r="M233" t="e">
        <f t="shared" si="49"/>
        <v>#NUM!</v>
      </c>
      <c r="N233">
        <f t="shared" si="54"/>
        <v>0</v>
      </c>
      <c r="O233">
        <f t="shared" si="55"/>
        <v>0</v>
      </c>
      <c r="P233" t="e">
        <f t="shared" si="56"/>
        <v>#NUM!</v>
      </c>
    </row>
    <row r="234" spans="3:18">
      <c r="C234">
        <f t="shared" si="50"/>
        <v>0</v>
      </c>
      <c r="D234">
        <v>1.7000000000000001E-2</v>
      </c>
      <c r="E234">
        <v>3.8999999999999998E-3</v>
      </c>
      <c r="F234">
        <f t="shared" si="46"/>
        <v>0</v>
      </c>
      <c r="G234">
        <f t="shared" si="51"/>
        <v>0</v>
      </c>
      <c r="H234">
        <f t="shared" si="52"/>
        <v>0</v>
      </c>
      <c r="I234">
        <v>1</v>
      </c>
      <c r="J234" t="e">
        <f t="shared" si="48"/>
        <v>#NUM!</v>
      </c>
      <c r="K234">
        <f t="shared" si="53"/>
        <v>-1.2217251517752175</v>
      </c>
      <c r="L234">
        <v>1</v>
      </c>
      <c r="M234" t="e">
        <f t="shared" si="49"/>
        <v>#NUM!</v>
      </c>
      <c r="N234">
        <f t="shared" si="54"/>
        <v>0</v>
      </c>
      <c r="O234">
        <f t="shared" si="55"/>
        <v>0</v>
      </c>
      <c r="P234" t="e">
        <f t="shared" si="56"/>
        <v>#NUM!</v>
      </c>
    </row>
    <row r="235" spans="3:18">
      <c r="C235">
        <f t="shared" si="50"/>
        <v>0</v>
      </c>
      <c r="D235">
        <v>1.7000000000000001E-2</v>
      </c>
      <c r="E235">
        <v>3.8999999999999998E-3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-1.2217251517752175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3:18">
      <c r="C236">
        <f t="shared" si="50"/>
        <v>0</v>
      </c>
      <c r="D236">
        <v>1.7000000000000001E-2</v>
      </c>
      <c r="E236">
        <v>3.8999999999999998E-3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-1.2217251517752175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3:18">
      <c r="C237">
        <f t="shared" si="50"/>
        <v>0</v>
      </c>
      <c r="D237">
        <v>1.7000000000000001E-2</v>
      </c>
      <c r="E237">
        <v>3.8999999999999998E-3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-1.2217251517752175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3:18">
      <c r="C238">
        <f t="shared" si="50"/>
        <v>0</v>
      </c>
      <c r="D238">
        <v>1.7000000000000001E-2</v>
      </c>
      <c r="E238">
        <v>3.8999999999999998E-3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-1.2217251517752175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3:18">
      <c r="C239">
        <f t="shared" si="50"/>
        <v>0</v>
      </c>
      <c r="D239">
        <v>1.7000000000000001E-2</v>
      </c>
      <c r="E239">
        <v>3.8999999999999998E-3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-1.2217251517752175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3:18">
      <c r="C240">
        <f t="shared" si="50"/>
        <v>0</v>
      </c>
      <c r="D240">
        <v>1.7000000000000001E-2</v>
      </c>
      <c r="E240">
        <v>3.8999999999999998E-3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-1.2217251517752175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>
      <c r="C241">
        <f t="shared" si="50"/>
        <v>0</v>
      </c>
      <c r="D241">
        <v>1.7000000000000001E-2</v>
      </c>
      <c r="E241">
        <v>3.8999999999999998E-3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-1.2217251517752175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>
      <c r="C242">
        <f t="shared" si="50"/>
        <v>0</v>
      </c>
      <c r="D242">
        <v>1.7000000000000001E-2</v>
      </c>
      <c r="E242">
        <v>3.8999999999999998E-3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-1.2217251517752175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>
      <c r="C243">
        <f t="shared" si="50"/>
        <v>0</v>
      </c>
      <c r="D243">
        <v>1.7000000000000001E-2</v>
      </c>
      <c r="E243">
        <v>3.8999999999999998E-3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-1.2217251517752175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>
      <c r="C244">
        <f t="shared" si="50"/>
        <v>0</v>
      </c>
      <c r="D244">
        <v>1.7000000000000001E-2</v>
      </c>
      <c r="E244">
        <v>3.8999999999999998E-3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-1.2217251517752175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>
      <c r="C245">
        <f t="shared" si="50"/>
        <v>0</v>
      </c>
      <c r="D245">
        <v>1.7000000000000001E-2</v>
      </c>
      <c r="E245">
        <v>3.8999999999999998E-3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-1.2217251517752175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>
      <c r="C246">
        <f t="shared" si="50"/>
        <v>0</v>
      </c>
      <c r="D246">
        <v>1.7000000000000001E-2</v>
      </c>
      <c r="E246">
        <v>3.8999999999999998E-3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-1.2217251517752175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>
      <c r="C247">
        <f t="shared" si="50"/>
        <v>0</v>
      </c>
      <c r="D247">
        <v>1.7000000000000001E-2</v>
      </c>
      <c r="E247">
        <v>3.8999999999999998E-3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-1.2217251517752175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>
      <c r="C248">
        <f t="shared" si="50"/>
        <v>0</v>
      </c>
      <c r="D248">
        <v>1.7000000000000001E-2</v>
      </c>
      <c r="E248">
        <v>3.8999999999999998E-3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-1.2217251517752175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>
      <c r="C249">
        <f t="shared" si="50"/>
        <v>0</v>
      </c>
      <c r="D249">
        <v>1.7000000000000001E-2</v>
      </c>
      <c r="E249">
        <v>3.8999999999999998E-3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-1.2217251517752175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>
      <c r="C250">
        <f t="shared" si="50"/>
        <v>0</v>
      </c>
      <c r="D250">
        <v>1.7000000000000001E-2</v>
      </c>
      <c r="E250">
        <v>3.8999999999999998E-3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-1.2217251517752175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>
      <c r="C251">
        <f t="shared" si="50"/>
        <v>0</v>
      </c>
      <c r="D251">
        <v>1.7000000000000001E-2</v>
      </c>
      <c r="E251">
        <v>3.8999999999999998E-3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-1.2217251517752175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>
      <c r="C252">
        <f t="shared" si="50"/>
        <v>0</v>
      </c>
      <c r="D252">
        <v>1.7000000000000001E-2</v>
      </c>
      <c r="E252">
        <v>3.8999999999999998E-3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-1.2217251517752175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>
      <c r="C253">
        <f t="shared" si="50"/>
        <v>0</v>
      </c>
      <c r="D253">
        <v>1.7000000000000001E-2</v>
      </c>
      <c r="E253">
        <v>3.8999999999999998E-3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-1.2217251517752175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>
      <c r="C254">
        <f t="shared" si="50"/>
        <v>0</v>
      </c>
      <c r="D254">
        <v>1.7000000000000001E-2</v>
      </c>
      <c r="E254">
        <v>3.8999999999999998E-3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-1.2217251517752175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>
      <c r="C255">
        <f t="shared" si="50"/>
        <v>0</v>
      </c>
      <c r="D255">
        <v>1.7000000000000001E-2</v>
      </c>
      <c r="E255">
        <v>3.8999999999999998E-3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-1.2217251517752175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>
      <c r="C256">
        <f t="shared" si="50"/>
        <v>0</v>
      </c>
      <c r="D256">
        <v>1.7000000000000001E-2</v>
      </c>
      <c r="E256">
        <v>3.8999999999999998E-3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-1.2217251517752175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>
      <c r="C257">
        <f t="shared" si="50"/>
        <v>0</v>
      </c>
      <c r="D257">
        <v>1.7000000000000001E-2</v>
      </c>
      <c r="E257">
        <v>3.8999999999999998E-3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-1.2217251517752175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>
      <c r="C258">
        <f t="shared" si="50"/>
        <v>0</v>
      </c>
      <c r="D258">
        <v>1.7000000000000001E-2</v>
      </c>
      <c r="E258">
        <v>3.8999999999999998E-3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-1.2217251517752175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>
      <c r="C259">
        <f t="shared" si="50"/>
        <v>0</v>
      </c>
      <c r="D259">
        <v>1.7000000000000001E-2</v>
      </c>
      <c r="E259">
        <v>3.8999999999999998E-3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-1.2217251517752175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>
      <c r="C260">
        <f t="shared" si="50"/>
        <v>0</v>
      </c>
      <c r="D260">
        <v>1.7000000000000001E-2</v>
      </c>
      <c r="E260">
        <v>3.8999999999999998E-3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-1.2217251517752175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>
      <c r="C261">
        <f t="shared" si="50"/>
        <v>0</v>
      </c>
      <c r="D261">
        <v>1.7000000000000001E-2</v>
      </c>
      <c r="E261">
        <v>3.8999999999999998E-3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-1.2217251517752175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>
      <c r="C262">
        <f t="shared" si="50"/>
        <v>0</v>
      </c>
      <c r="D262">
        <v>1.7000000000000001E-2</v>
      </c>
      <c r="E262">
        <v>3.8999999999999998E-3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-1.2217251517752175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>
      <c r="C263">
        <f t="shared" si="50"/>
        <v>0</v>
      </c>
      <c r="D263">
        <v>1.7000000000000001E-2</v>
      </c>
      <c r="E263">
        <v>3.8999999999999998E-3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-1.2217251517752175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>
      <c r="C264">
        <f t="shared" si="50"/>
        <v>0</v>
      </c>
      <c r="D264">
        <v>1.7000000000000001E-2</v>
      </c>
      <c r="E264">
        <v>3.8999999999999998E-3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-1.2217251517752175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>
      <c r="C265">
        <f t="shared" si="50"/>
        <v>0</v>
      </c>
      <c r="D265">
        <v>1.7000000000000001E-2</v>
      </c>
      <c r="E265">
        <v>3.8999999999999998E-3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-1.2217251517752175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>
      <c r="C266">
        <f t="shared" si="50"/>
        <v>0</v>
      </c>
      <c r="D266">
        <v>1.7000000000000001E-2</v>
      </c>
      <c r="E266">
        <v>3.8999999999999998E-3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-1.2217251517752175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>
      <c r="C267">
        <f t="shared" si="50"/>
        <v>0</v>
      </c>
      <c r="D267">
        <v>1.7000000000000001E-2</v>
      </c>
      <c r="E267">
        <v>3.8999999999999998E-3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-1.2217251517752175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>
      <c r="C268">
        <f t="shared" si="50"/>
        <v>0</v>
      </c>
      <c r="D268">
        <v>1.7000000000000001E-2</v>
      </c>
      <c r="E268">
        <v>3.8999999999999998E-3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-1.2217251517752175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>
      <c r="C269">
        <f t="shared" si="50"/>
        <v>0</v>
      </c>
      <c r="D269">
        <v>1.7000000000000001E-2</v>
      </c>
      <c r="E269">
        <v>3.8999999999999998E-3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-1.2217251517752175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>
      <c r="C270">
        <f t="shared" si="50"/>
        <v>0</v>
      </c>
      <c r="D270">
        <v>1.7000000000000001E-2</v>
      </c>
      <c r="E270">
        <v>3.8999999999999998E-3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-1.2217251517752175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>
      <c r="C271">
        <f t="shared" si="50"/>
        <v>0</v>
      </c>
      <c r="D271">
        <v>1.7000000000000001E-2</v>
      </c>
      <c r="E271">
        <v>3.8999999999999998E-3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-1.2217251517752175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>
      <c r="C272">
        <f t="shared" si="50"/>
        <v>0</v>
      </c>
      <c r="D272">
        <v>1.7000000000000001E-2</v>
      </c>
      <c r="E272">
        <v>3.8999999999999998E-3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-1.2217251517752175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>
      <c r="C273">
        <f t="shared" si="50"/>
        <v>0</v>
      </c>
      <c r="D273">
        <v>1.7000000000000001E-2</v>
      </c>
      <c r="E273">
        <v>3.8999999999999998E-3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-1.2217251517752175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>
      <c r="C274">
        <f t="shared" si="50"/>
        <v>0</v>
      </c>
      <c r="D274">
        <v>1.7000000000000001E-2</v>
      </c>
      <c r="E274">
        <v>3.8999999999999998E-3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-1.2217251517752175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>
      <c r="C275">
        <f t="shared" si="50"/>
        <v>0</v>
      </c>
      <c r="D275">
        <v>1.7000000000000001E-2</v>
      </c>
      <c r="E275">
        <v>3.8999999999999998E-3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-1.2217251517752175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>
      <c r="C276">
        <f t="shared" ref="C276:C303" si="60">A276*B276</f>
        <v>0</v>
      </c>
      <c r="D276">
        <v>1.7000000000000001E-2</v>
      </c>
      <c r="E276">
        <v>3.8999999999999998E-3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-1.2217251517752175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>
      <c r="C277">
        <f t="shared" si="60"/>
        <v>0</v>
      </c>
      <c r="D277">
        <v>1.7000000000000001E-2</v>
      </c>
      <c r="E277">
        <v>3.8999999999999998E-3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-1.2217251517752175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>
      <c r="C278">
        <f t="shared" si="60"/>
        <v>0</v>
      </c>
      <c r="D278">
        <v>1.7000000000000001E-2</v>
      </c>
      <c r="E278">
        <v>3.8999999999999998E-3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-1.2217251517752175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>
      <c r="C279">
        <f t="shared" si="60"/>
        <v>0</v>
      </c>
      <c r="D279">
        <v>1.7000000000000001E-2</v>
      </c>
      <c r="E279">
        <v>3.8999999999999998E-3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-1.2217251517752175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>
      <c r="C280">
        <f t="shared" si="60"/>
        <v>0</v>
      </c>
      <c r="D280">
        <v>1.7000000000000001E-2</v>
      </c>
      <c r="E280">
        <v>3.8999999999999998E-3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-1.2217251517752175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>
      <c r="C281">
        <f t="shared" si="60"/>
        <v>0</v>
      </c>
      <c r="D281">
        <v>1.7000000000000001E-2</v>
      </c>
      <c r="E281">
        <v>3.8999999999999998E-3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-1.2217251517752175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>
      <c r="C282">
        <f t="shared" si="60"/>
        <v>0</v>
      </c>
      <c r="D282">
        <v>1.7000000000000001E-2</v>
      </c>
      <c r="E282">
        <v>3.8999999999999998E-3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-1.2217251517752175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>
      <c r="C283">
        <f t="shared" si="60"/>
        <v>0</v>
      </c>
      <c r="D283">
        <v>1.7000000000000001E-2</v>
      </c>
      <c r="E283">
        <v>3.8999999999999998E-3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-1.2217251517752175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>
      <c r="C284">
        <f t="shared" si="60"/>
        <v>0</v>
      </c>
      <c r="D284">
        <v>1.7000000000000001E-2</v>
      </c>
      <c r="E284">
        <v>3.8999999999999998E-3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-1.2217251517752175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>
      <c r="C285">
        <f t="shared" si="60"/>
        <v>0</v>
      </c>
      <c r="D285">
        <v>1.7000000000000001E-2</v>
      </c>
      <c r="E285">
        <v>3.8999999999999998E-3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-1.2217251517752175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>
      <c r="C286">
        <f t="shared" si="60"/>
        <v>0</v>
      </c>
      <c r="D286">
        <v>1.7000000000000001E-2</v>
      </c>
      <c r="E286">
        <v>3.8999999999999998E-3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-1.2217251517752175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>
      <c r="C287">
        <f t="shared" si="60"/>
        <v>0</v>
      </c>
      <c r="D287">
        <v>1.7000000000000001E-2</v>
      </c>
      <c r="E287">
        <v>3.8999999999999998E-3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-1.2217251517752175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>
      <c r="C288">
        <f t="shared" si="60"/>
        <v>0</v>
      </c>
      <c r="D288">
        <v>1.7000000000000001E-2</v>
      </c>
      <c r="E288">
        <v>3.8999999999999998E-3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-1.2217251517752175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>
      <c r="C289">
        <f t="shared" si="60"/>
        <v>0</v>
      </c>
      <c r="D289">
        <v>1.7000000000000001E-2</v>
      </c>
      <c r="E289">
        <v>3.8999999999999998E-3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-1.2217251517752175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>
      <c r="C290">
        <f t="shared" si="60"/>
        <v>0</v>
      </c>
      <c r="D290">
        <v>1.7000000000000001E-2</v>
      </c>
      <c r="E290">
        <v>3.8999999999999998E-3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-1.2217251517752175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>
      <c r="C291">
        <f t="shared" si="60"/>
        <v>0</v>
      </c>
      <c r="D291">
        <v>1.7000000000000001E-2</v>
      </c>
      <c r="E291">
        <v>3.8999999999999998E-3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-1.2217251517752175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>
      <c r="C292">
        <f t="shared" si="60"/>
        <v>0</v>
      </c>
      <c r="D292">
        <v>1.7000000000000001E-2</v>
      </c>
      <c r="E292">
        <v>3.8999999999999998E-3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-1.2217251517752175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>
      <c r="C293">
        <f t="shared" si="60"/>
        <v>0</v>
      </c>
      <c r="D293">
        <v>1.7000000000000001E-2</v>
      </c>
      <c r="E293">
        <v>3.8999999999999998E-3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-1.2217251517752175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>
      <c r="C294">
        <f t="shared" si="60"/>
        <v>0</v>
      </c>
      <c r="D294">
        <v>1.7000000000000001E-2</v>
      </c>
      <c r="E294">
        <v>3.8999999999999998E-3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-1.2217251517752175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>
      <c r="C295">
        <f t="shared" si="60"/>
        <v>0</v>
      </c>
      <c r="D295">
        <v>1.7000000000000001E-2</v>
      </c>
      <c r="E295">
        <v>3.8999999999999998E-3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-1.2217251517752175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>
      <c r="C296">
        <f t="shared" si="60"/>
        <v>0</v>
      </c>
      <c r="D296">
        <v>1.7000000000000001E-2</v>
      </c>
      <c r="E296">
        <v>3.8999999999999998E-3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-1.2217251517752175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>
      <c r="C297">
        <f t="shared" si="60"/>
        <v>0</v>
      </c>
      <c r="D297">
        <v>1.7000000000000001E-2</v>
      </c>
      <c r="E297">
        <v>3.8999999999999998E-3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-1.2217251517752175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>
      <c r="C298">
        <f t="shared" si="60"/>
        <v>0</v>
      </c>
      <c r="D298">
        <v>1.7000000000000001E-2</v>
      </c>
      <c r="E298">
        <v>3.8999999999999998E-3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-1.2217251517752175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>
      <c r="C299">
        <f t="shared" si="60"/>
        <v>0</v>
      </c>
      <c r="D299">
        <v>1.7000000000000001E-2</v>
      </c>
      <c r="E299">
        <v>3.8999999999999998E-3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-1.2217251517752175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>
      <c r="C300">
        <f t="shared" si="60"/>
        <v>0</v>
      </c>
      <c r="D300">
        <v>1.7000000000000001E-2</v>
      </c>
      <c r="E300">
        <v>3.8999999999999998E-3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-1.2217251517752175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>
      <c r="C301">
        <f t="shared" si="60"/>
        <v>0</v>
      </c>
      <c r="D301">
        <v>1.7000000000000001E-2</v>
      </c>
      <c r="E301">
        <v>3.8999999999999998E-3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-1.2217251517752175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>
      <c r="C302">
        <f t="shared" si="60"/>
        <v>0</v>
      </c>
      <c r="D302">
        <v>1.7000000000000001E-2</v>
      </c>
      <c r="E302">
        <v>3.8999999999999998E-3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-1.2217251517752175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>
      <c r="C303">
        <f t="shared" si="60"/>
        <v>0</v>
      </c>
      <c r="D303">
        <v>1.7000000000000001E-2</v>
      </c>
      <c r="E303">
        <v>3.8999999999999998E-3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-1.2217251517752175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D7D9-6648-4951-9F68-CF9D4B729191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201" workbookViewId="0">
      <selection activeCell="O2" sqref="O2:O232"/>
    </sheetView>
  </sheetViews>
  <sheetFormatPr defaultRowHeight="15"/>
  <sheetData>
    <row r="1" spans="1:15">
      <c r="A1" t="s">
        <v>22</v>
      </c>
      <c r="B1" t="s">
        <v>22</v>
      </c>
      <c r="C1" t="s">
        <v>23</v>
      </c>
      <c r="D1" t="s">
        <v>24</v>
      </c>
      <c r="I1" s="2">
        <f>Sheet1!N2</f>
        <v>1.2217251517752175</v>
      </c>
    </row>
    <row r="2" spans="1:15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-0.35957107587267356</v>
      </c>
      <c r="N2">
        <v>5.2834000000000003</v>
      </c>
      <c r="O2">
        <f>N2/200</f>
        <v>2.6417000000000003E-2</v>
      </c>
    </row>
    <row r="3" spans="1:15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-0.36937152481255575</v>
      </c>
      <c r="N3">
        <v>15.97625</v>
      </c>
      <c r="O3">
        <f t="shared" ref="O3:O66" si="6">N3/200</f>
        <v>7.9881250000000001E-2</v>
      </c>
    </row>
    <row r="4" spans="1:15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-0.37728855955789142</v>
      </c>
      <c r="N4">
        <v>26.05808</v>
      </c>
      <c r="O4">
        <f t="shared" si="6"/>
        <v>0.1302904</v>
      </c>
    </row>
    <row r="5" spans="1:15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-0.38813282703602958</v>
      </c>
      <c r="N5">
        <v>36.547260000000001</v>
      </c>
      <c r="O5">
        <f t="shared" si="6"/>
        <v>0.18273630000000002</v>
      </c>
    </row>
    <row r="6" spans="1:15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-0.38952563905761284</v>
      </c>
      <c r="N6">
        <v>47.443779999999997</v>
      </c>
      <c r="O6">
        <f t="shared" si="6"/>
        <v>0.23721889999999998</v>
      </c>
    </row>
    <row r="7" spans="1:15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-0.39973201104143896</v>
      </c>
      <c r="N7">
        <v>57.52561</v>
      </c>
      <c r="O7">
        <f t="shared" si="6"/>
        <v>0.28762805000000002</v>
      </c>
    </row>
    <row r="8" spans="1:15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-0.40484373147187269</v>
      </c>
      <c r="N8">
        <v>68.014780000000002</v>
      </c>
      <c r="O8">
        <f t="shared" si="6"/>
        <v>0.34007389999999998</v>
      </c>
    </row>
    <row r="9" spans="1:15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-0.40918891308300831</v>
      </c>
      <c r="N9">
        <v>78.198440000000005</v>
      </c>
      <c r="O9">
        <f t="shared" si="6"/>
        <v>0.39099220000000001</v>
      </c>
    </row>
    <row r="10" spans="1:15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-0.41307957664046324</v>
      </c>
      <c r="N10">
        <v>88.483949999999993</v>
      </c>
      <c r="O10">
        <f t="shared" si="6"/>
        <v>0.44241974999999995</v>
      </c>
    </row>
    <row r="11" spans="1:15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-0.41901305309853587</v>
      </c>
      <c r="N11">
        <v>98.667609999999996</v>
      </c>
      <c r="O11">
        <f t="shared" si="6"/>
        <v>0.49333804999999997</v>
      </c>
    </row>
    <row r="12" spans="1:15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-0.42092876931912337</v>
      </c>
      <c r="N12">
        <v>109.05495999999999</v>
      </c>
      <c r="O12">
        <f t="shared" si="6"/>
        <v>0.54527479999999995</v>
      </c>
    </row>
    <row r="13" spans="1:15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-0.42817042144904172</v>
      </c>
      <c r="N13">
        <v>119.4423</v>
      </c>
      <c r="O13">
        <f t="shared" si="6"/>
        <v>0.59721150000000001</v>
      </c>
    </row>
    <row r="14" spans="1:15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-0.42981025428018615</v>
      </c>
      <c r="N14">
        <v>129.52412000000001</v>
      </c>
      <c r="O14">
        <f t="shared" si="6"/>
        <v>0.6476206000000001</v>
      </c>
    </row>
    <row r="15" spans="1:15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-0.43483159091851742</v>
      </c>
      <c r="N15">
        <v>139.60594</v>
      </c>
      <c r="O15">
        <f t="shared" si="6"/>
        <v>0.69802969999999998</v>
      </c>
    </row>
    <row r="16" spans="1:15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-0.43739216284326354</v>
      </c>
      <c r="N16">
        <v>150.29879</v>
      </c>
      <c r="O16">
        <f t="shared" si="6"/>
        <v>0.75149394999999997</v>
      </c>
    </row>
    <row r="17" spans="1:15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-0.44076777696031966</v>
      </c>
      <c r="N17">
        <v>160.38063</v>
      </c>
      <c r="O17">
        <f t="shared" si="6"/>
        <v>0.80190315000000001</v>
      </c>
    </row>
    <row r="18" spans="1:15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-0.44354502163172405</v>
      </c>
      <c r="N18">
        <v>170.76795999999999</v>
      </c>
      <c r="O18">
        <f t="shared" si="6"/>
        <v>0.85383979999999993</v>
      </c>
    </row>
    <row r="19" spans="1:15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-0.44561439442647144</v>
      </c>
      <c r="N19">
        <v>180.84979000000001</v>
      </c>
      <c r="O19">
        <f t="shared" si="6"/>
        <v>0.90424895000000005</v>
      </c>
    </row>
    <row r="20" spans="1:15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-0.44988485087742547</v>
      </c>
      <c r="N20">
        <v>191.54263</v>
      </c>
      <c r="O20">
        <f t="shared" si="6"/>
        <v>0.95771315000000001</v>
      </c>
    </row>
    <row r="21" spans="1:15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-0.45239713997418318</v>
      </c>
      <c r="N21">
        <v>201.92998</v>
      </c>
      <c r="O21">
        <f t="shared" si="6"/>
        <v>1.0096499000000001</v>
      </c>
    </row>
    <row r="22" spans="1:15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-0.45693665006517514</v>
      </c>
      <c r="N22">
        <v>212.72468000000001</v>
      </c>
      <c r="O22">
        <f t="shared" si="6"/>
        <v>1.0636234</v>
      </c>
    </row>
    <row r="23" spans="1:15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-0.45705759422928727</v>
      </c>
      <c r="N23">
        <v>223.0102</v>
      </c>
      <c r="O23">
        <f t="shared" si="6"/>
        <v>1.115051</v>
      </c>
    </row>
    <row r="24" spans="1:15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-0.46047181457278774</v>
      </c>
      <c r="N24">
        <v>233.39753999999999</v>
      </c>
      <c r="O24">
        <f t="shared" si="6"/>
        <v>1.1669877</v>
      </c>
    </row>
    <row r="25" spans="1:15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-0.46202166632483044</v>
      </c>
      <c r="N25">
        <v>243.47934000000001</v>
      </c>
      <c r="O25">
        <f t="shared" si="6"/>
        <v>1.2173967000000001</v>
      </c>
    </row>
    <row r="26" spans="1:15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-0.46747819575882599</v>
      </c>
      <c r="N26">
        <v>253.76483999999999</v>
      </c>
      <c r="O26">
        <f t="shared" si="6"/>
        <v>1.2688242000000001</v>
      </c>
    </row>
    <row r="27" spans="1:15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-0.46721658979699654</v>
      </c>
      <c r="N27">
        <v>264.66138000000001</v>
      </c>
      <c r="O27">
        <f t="shared" si="6"/>
        <v>1.3233069</v>
      </c>
    </row>
    <row r="28" spans="1:15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-0.47389944240157944</v>
      </c>
      <c r="N28">
        <v>275.35422</v>
      </c>
      <c r="O28">
        <f t="shared" si="6"/>
        <v>1.3767711</v>
      </c>
    </row>
    <row r="29" spans="1:15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-0.47331547321028167</v>
      </c>
      <c r="N29">
        <v>285.74155999999999</v>
      </c>
      <c r="O29">
        <f t="shared" si="6"/>
        <v>1.4287078</v>
      </c>
    </row>
    <row r="30" spans="1:15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-0.47629857945964382</v>
      </c>
      <c r="N30">
        <v>295.82337999999999</v>
      </c>
      <c r="O30">
        <f t="shared" si="6"/>
        <v>1.4791169</v>
      </c>
    </row>
    <row r="31" spans="1:15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-0.47785094061193512</v>
      </c>
      <c r="N31">
        <v>305.90519999999998</v>
      </c>
      <c r="O31">
        <f t="shared" si="6"/>
        <v>1.5295259999999999</v>
      </c>
    </row>
    <row r="32" spans="1:15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-0.48304017922855069</v>
      </c>
      <c r="N32">
        <v>316.29257999999999</v>
      </c>
      <c r="O32">
        <f t="shared" si="6"/>
        <v>1.5814629</v>
      </c>
    </row>
    <row r="33" spans="1:15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-0.48161013005071029</v>
      </c>
      <c r="N33">
        <v>326.57805999999999</v>
      </c>
      <c r="O33">
        <f t="shared" si="6"/>
        <v>1.6328902999999999</v>
      </c>
    </row>
    <row r="34" spans="1:15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-0.48739205411141251</v>
      </c>
      <c r="N34">
        <v>336.65987999999999</v>
      </c>
      <c r="O34">
        <f t="shared" si="6"/>
        <v>1.6832993999999999</v>
      </c>
    </row>
    <row r="35" spans="1:15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-0.48734349321208037</v>
      </c>
      <c r="N35">
        <v>347.14904000000001</v>
      </c>
      <c r="O35">
        <f t="shared" si="6"/>
        <v>1.7357452</v>
      </c>
    </row>
    <row r="36" spans="1:15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-0.49174598068319897</v>
      </c>
      <c r="N36">
        <v>357.33271999999999</v>
      </c>
      <c r="O36">
        <f t="shared" si="6"/>
        <v>1.7866636</v>
      </c>
    </row>
    <row r="37" spans="1:15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-0.49028377996275463</v>
      </c>
      <c r="N37">
        <v>367.92376000000002</v>
      </c>
      <c r="O37">
        <f t="shared" si="6"/>
        <v>1.8396188</v>
      </c>
    </row>
    <row r="38" spans="1:15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-0.49556648718584217</v>
      </c>
      <c r="N38">
        <v>378.51474000000002</v>
      </c>
      <c r="O38">
        <f t="shared" si="6"/>
        <v>1.8925737</v>
      </c>
    </row>
    <row r="39" spans="1:15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-0.4944516646355156</v>
      </c>
      <c r="N39">
        <v>388.59658000000002</v>
      </c>
      <c r="O39">
        <f t="shared" si="6"/>
        <v>1.9429829000000001</v>
      </c>
    </row>
    <row r="40" spans="1:15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-0.49949102983898552</v>
      </c>
      <c r="N40">
        <v>399.08575999999999</v>
      </c>
      <c r="O40">
        <f t="shared" si="6"/>
        <v>1.9954288</v>
      </c>
    </row>
    <row r="41" spans="1:15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-0.49878262371227777</v>
      </c>
      <c r="N41">
        <v>409.67680000000001</v>
      </c>
      <c r="O41">
        <f t="shared" si="6"/>
        <v>2.048384</v>
      </c>
    </row>
    <row r="42" spans="1:15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-0.50340933722416192</v>
      </c>
      <c r="N42">
        <v>419.7586</v>
      </c>
      <c r="O42">
        <f t="shared" si="6"/>
        <v>2.0987930000000001</v>
      </c>
    </row>
    <row r="43" spans="1:15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-0.50403393355298676</v>
      </c>
      <c r="N43">
        <v>429.94227999999998</v>
      </c>
      <c r="O43">
        <f t="shared" si="6"/>
        <v>2.1497113999999997</v>
      </c>
    </row>
    <row r="44" spans="1:15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-0.50646497726296524</v>
      </c>
      <c r="N44">
        <v>440.32963999999998</v>
      </c>
      <c r="O44">
        <f t="shared" si="6"/>
        <v>2.2016481999999997</v>
      </c>
    </row>
    <row r="45" spans="1:15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-0.50779418955541289</v>
      </c>
      <c r="N45">
        <v>450.71694000000002</v>
      </c>
      <c r="O45">
        <f t="shared" si="6"/>
        <v>2.2535847000000002</v>
      </c>
    </row>
    <row r="46" spans="1:15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-0.50848618076295293</v>
      </c>
      <c r="N46">
        <v>461.20616000000001</v>
      </c>
      <c r="O46">
        <f t="shared" si="6"/>
        <v>2.3060308000000003</v>
      </c>
    </row>
    <row r="47" spans="1:15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-0.51073348547945052</v>
      </c>
      <c r="N47">
        <v>472.51006000000001</v>
      </c>
      <c r="O47">
        <f t="shared" si="6"/>
        <v>2.3625503000000001</v>
      </c>
    </row>
    <row r="48" spans="1:15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-0.51392292065188916</v>
      </c>
      <c r="N48">
        <v>483.71206000000001</v>
      </c>
      <c r="O48">
        <f t="shared" si="6"/>
        <v>2.4185603000000002</v>
      </c>
    </row>
    <row r="49" spans="1:15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-0.51436170393372216</v>
      </c>
      <c r="N49">
        <v>494.91406000000001</v>
      </c>
      <c r="O49">
        <f t="shared" si="6"/>
        <v>2.4745702999999999</v>
      </c>
    </row>
    <row r="50" spans="1:15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-0.51703951394829784</v>
      </c>
      <c r="N50">
        <v>505.19956000000002</v>
      </c>
      <c r="O50">
        <f t="shared" si="6"/>
        <v>2.5259978000000003</v>
      </c>
    </row>
    <row r="51" spans="1:15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-0.5197570701672648</v>
      </c>
      <c r="N51">
        <v>515.79052000000001</v>
      </c>
      <c r="O51">
        <f t="shared" si="6"/>
        <v>2.5789526</v>
      </c>
    </row>
    <row r="52" spans="1:15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-0.52177826805940908</v>
      </c>
      <c r="N52">
        <v>526.17791999999997</v>
      </c>
      <c r="O52">
        <f t="shared" si="6"/>
        <v>2.6308895999999997</v>
      </c>
    </row>
    <row r="53" spans="1:15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-0.52126646058917692</v>
      </c>
      <c r="N53">
        <v>536.25972000000002</v>
      </c>
      <c r="O53">
        <f t="shared" si="6"/>
        <v>2.6812985999999999</v>
      </c>
    </row>
    <row r="54" spans="1:15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-0.52488251889369519</v>
      </c>
      <c r="N54">
        <v>546.74887999999999</v>
      </c>
      <c r="O54">
        <f t="shared" si="6"/>
        <v>2.7337444</v>
      </c>
    </row>
    <row r="55" spans="1:15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-0.52836515661702199</v>
      </c>
      <c r="N55">
        <v>557.33993999999996</v>
      </c>
      <c r="O55">
        <f t="shared" si="6"/>
        <v>2.7866996999999998</v>
      </c>
    </row>
    <row r="56" spans="1:15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-0.52721916692832749</v>
      </c>
      <c r="N56">
        <v>567.62544000000003</v>
      </c>
      <c r="O56">
        <f t="shared" si="6"/>
        <v>2.8381272000000002</v>
      </c>
    </row>
    <row r="57" spans="1:15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-0.52714151233338458</v>
      </c>
      <c r="N57">
        <v>578.52197999999999</v>
      </c>
      <c r="O57">
        <f t="shared" si="6"/>
        <v>2.8926099000000001</v>
      </c>
    </row>
    <row r="58" spans="1:15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-0.53226367622087045</v>
      </c>
      <c r="N58">
        <v>589.11293999999998</v>
      </c>
      <c r="O58">
        <f t="shared" si="6"/>
        <v>2.9455646999999998</v>
      </c>
    </row>
    <row r="59" spans="1:15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-0.53290042656633885</v>
      </c>
      <c r="N59">
        <v>599.29664000000002</v>
      </c>
      <c r="O59">
        <f t="shared" si="6"/>
        <v>2.9964832000000001</v>
      </c>
    </row>
    <row r="60" spans="1:15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-0.5345859502025907</v>
      </c>
      <c r="N60">
        <v>609.37846000000002</v>
      </c>
      <c r="O60">
        <f t="shared" si="6"/>
        <v>3.0468923000000001</v>
      </c>
    </row>
    <row r="61" spans="1:15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-0.53443632189247647</v>
      </c>
      <c r="N61">
        <v>619.46029999999996</v>
      </c>
      <c r="O61">
        <f t="shared" si="6"/>
        <v>3.0973014999999999</v>
      </c>
    </row>
    <row r="62" spans="1:15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-0.53431058035442869</v>
      </c>
      <c r="N62">
        <v>630.35684000000003</v>
      </c>
      <c r="O62">
        <f t="shared" si="6"/>
        <v>3.1517842000000003</v>
      </c>
    </row>
    <row r="63" spans="1:15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-0.5393394188393269</v>
      </c>
      <c r="N63">
        <v>640.43862000000001</v>
      </c>
      <c r="O63">
        <f t="shared" si="6"/>
        <v>3.2021931000000001</v>
      </c>
    </row>
    <row r="64" spans="1:15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-0.54229803580345848</v>
      </c>
      <c r="N64">
        <v>651.74252000000001</v>
      </c>
      <c r="O64">
        <f t="shared" si="6"/>
        <v>3.2587126</v>
      </c>
    </row>
    <row r="65" spans="1:15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-0.54228234730530422</v>
      </c>
      <c r="N65">
        <v>662.02797999999996</v>
      </c>
      <c r="O65">
        <f t="shared" si="6"/>
        <v>3.3101398999999998</v>
      </c>
    </row>
    <row r="66" spans="1:15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-0.54429490048808493</v>
      </c>
      <c r="N66">
        <v>672.72080000000005</v>
      </c>
      <c r="O66">
        <f t="shared" si="6"/>
        <v>3.3636040000000005</v>
      </c>
    </row>
    <row r="67" spans="1:15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-0.54392399335984032</v>
      </c>
      <c r="N67">
        <v>682.80264</v>
      </c>
      <c r="O67">
        <f t="shared" ref="O67:O130" si="13">N67/200</f>
        <v>3.4140131999999999</v>
      </c>
    </row>
    <row r="68" spans="1:15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-0.54578405801666419</v>
      </c>
      <c r="N68">
        <v>692.98631999999998</v>
      </c>
      <c r="O68">
        <f t="shared" si="13"/>
        <v>3.4649315999999999</v>
      </c>
    </row>
    <row r="69" spans="1:15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-0.54384688535380998</v>
      </c>
      <c r="N69">
        <v>703.06822</v>
      </c>
      <c r="O69">
        <f t="shared" si="13"/>
        <v>3.5153411000000001</v>
      </c>
    </row>
    <row r="70" spans="1:15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-0.54822192695354566</v>
      </c>
      <c r="N70">
        <v>713.45551999999998</v>
      </c>
      <c r="O70">
        <f t="shared" si="13"/>
        <v>3.5672775999999997</v>
      </c>
    </row>
    <row r="71" spans="1:15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-0.54986129096288128</v>
      </c>
      <c r="N71">
        <v>723.53736000000004</v>
      </c>
      <c r="O71">
        <f t="shared" si="13"/>
        <v>3.6176868</v>
      </c>
    </row>
    <row r="72" spans="1:15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-0.55387431482491545</v>
      </c>
      <c r="N72">
        <v>733.721</v>
      </c>
      <c r="O72">
        <f t="shared" si="13"/>
        <v>3.6686049999999999</v>
      </c>
    </row>
    <row r="73" spans="1:15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-0.55426389621052796</v>
      </c>
      <c r="N73">
        <v>744.21015999999997</v>
      </c>
      <c r="O73">
        <f t="shared" si="13"/>
        <v>3.7210508</v>
      </c>
    </row>
    <row r="74" spans="1:15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-0.55097319323385407</v>
      </c>
      <c r="N74">
        <v>754.39383999999995</v>
      </c>
      <c r="O74">
        <f t="shared" si="13"/>
        <v>3.7719691999999996</v>
      </c>
    </row>
    <row r="75" spans="1:15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-0.55359691666755717</v>
      </c>
      <c r="N75">
        <v>764.57754</v>
      </c>
      <c r="O75">
        <f t="shared" si="13"/>
        <v>3.8228876999999999</v>
      </c>
    </row>
    <row r="76" spans="1:15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-0.55503177799562253</v>
      </c>
      <c r="N76">
        <v>774.86303999999996</v>
      </c>
      <c r="O76">
        <f t="shared" si="13"/>
        <v>3.8743151999999998</v>
      </c>
    </row>
    <row r="77" spans="1:15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-0.55938656199011849</v>
      </c>
      <c r="N77">
        <v>785.14847999999995</v>
      </c>
      <c r="O77">
        <f t="shared" si="13"/>
        <v>3.9257423999999999</v>
      </c>
    </row>
    <row r="78" spans="1:15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-0.55940973210701983</v>
      </c>
      <c r="N78">
        <v>795.6377</v>
      </c>
      <c r="O78">
        <f t="shared" si="13"/>
        <v>3.9781884999999999</v>
      </c>
    </row>
    <row r="79" spans="1:15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-0.5610279499565427</v>
      </c>
      <c r="N79">
        <v>806.12685999999997</v>
      </c>
      <c r="O79">
        <f t="shared" si="13"/>
        <v>4.0306343</v>
      </c>
    </row>
    <row r="80" spans="1:15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-0.56067834604243083</v>
      </c>
      <c r="N80">
        <v>816.20870000000002</v>
      </c>
      <c r="O80">
        <f t="shared" si="13"/>
        <v>4.0810434999999998</v>
      </c>
    </row>
    <row r="81" spans="1:15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-0.56244938979343206</v>
      </c>
      <c r="N81">
        <v>826.49423999999999</v>
      </c>
      <c r="O81">
        <f t="shared" si="13"/>
        <v>4.1324712000000003</v>
      </c>
    </row>
    <row r="82" spans="1:15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-0.56038991101632152</v>
      </c>
      <c r="N82">
        <v>836.57608000000005</v>
      </c>
      <c r="O82">
        <f t="shared" si="13"/>
        <v>4.1828804000000002</v>
      </c>
    </row>
    <row r="83" spans="1:15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-0.56540888854250937</v>
      </c>
      <c r="N83">
        <v>846.65791999999999</v>
      </c>
      <c r="O83">
        <f t="shared" si="13"/>
        <v>4.2332896</v>
      </c>
    </row>
    <row r="84" spans="1:15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-0.56703822537980109</v>
      </c>
      <c r="N84">
        <v>857.04521999999997</v>
      </c>
      <c r="O84">
        <f t="shared" si="13"/>
        <v>4.2852261</v>
      </c>
    </row>
    <row r="85" spans="1:15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-0.56328804717809589</v>
      </c>
      <c r="N85">
        <v>867.73807999999997</v>
      </c>
      <c r="O85">
        <f t="shared" si="13"/>
        <v>4.3386903999999999</v>
      </c>
    </row>
    <row r="86" spans="1:15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-0.57107842900603145</v>
      </c>
      <c r="N86">
        <v>877.81992000000002</v>
      </c>
      <c r="O86">
        <f t="shared" si="13"/>
        <v>4.3890995999999998</v>
      </c>
    </row>
    <row r="87" spans="1:15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-0.5675831040249828</v>
      </c>
      <c r="N87">
        <v>887.90175999999997</v>
      </c>
      <c r="O87">
        <f t="shared" si="13"/>
        <v>4.4395087999999996</v>
      </c>
    </row>
    <row r="88" spans="1:15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-0.5699875166778926</v>
      </c>
      <c r="N88">
        <v>898.18730000000005</v>
      </c>
      <c r="O88">
        <f t="shared" si="13"/>
        <v>4.4909365000000001</v>
      </c>
    </row>
    <row r="89" spans="1:15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-0.57103634589774044</v>
      </c>
      <c r="N89">
        <v>909.18564000000003</v>
      </c>
      <c r="O89">
        <f t="shared" si="13"/>
        <v>4.5459282000000005</v>
      </c>
    </row>
    <row r="90" spans="1:15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-0.57191458257093175</v>
      </c>
      <c r="N90">
        <v>919.87851999999998</v>
      </c>
      <c r="O90">
        <f t="shared" si="13"/>
        <v>4.5993925999999998</v>
      </c>
    </row>
    <row r="91" spans="1:15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-0.573640129077709</v>
      </c>
      <c r="N91">
        <v>930.06209999999999</v>
      </c>
      <c r="O91">
        <f t="shared" si="13"/>
        <v>4.6503104999999998</v>
      </c>
    </row>
    <row r="92" spans="1:15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-0.57205932378850022</v>
      </c>
      <c r="N92">
        <v>940.55125999999996</v>
      </c>
      <c r="O92">
        <f t="shared" si="13"/>
        <v>4.7027562999999999</v>
      </c>
    </row>
    <row r="93" spans="1:15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-0.57645870088847617</v>
      </c>
      <c r="N93">
        <v>952.16063999999994</v>
      </c>
      <c r="O93">
        <f t="shared" si="13"/>
        <v>4.7608031999999998</v>
      </c>
    </row>
    <row r="94" spans="1:15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-0.57315960679579414</v>
      </c>
      <c r="N94">
        <v>962.75166000000002</v>
      </c>
      <c r="O94">
        <f t="shared" si="13"/>
        <v>4.8137582999999999</v>
      </c>
    </row>
    <row r="95" spans="1:15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-0.57904511094058186</v>
      </c>
      <c r="N95">
        <v>973.54638</v>
      </c>
      <c r="O95">
        <f t="shared" si="13"/>
        <v>4.8677318999999999</v>
      </c>
    </row>
    <row r="96" spans="1:15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-0.5758775087773863</v>
      </c>
      <c r="N96">
        <v>984.03563999999994</v>
      </c>
      <c r="O96">
        <f t="shared" si="13"/>
        <v>4.9201781999999996</v>
      </c>
    </row>
    <row r="97" spans="1:15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-0.58038301883152765</v>
      </c>
      <c r="N97">
        <v>994.62656000000004</v>
      </c>
      <c r="O97">
        <f t="shared" si="13"/>
        <v>4.9731328000000001</v>
      </c>
    </row>
    <row r="98" spans="1:15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-0.57909249611400693</v>
      </c>
      <c r="N98">
        <v>1005.93038</v>
      </c>
      <c r="O98">
        <f t="shared" si="13"/>
        <v>5.0296519000000002</v>
      </c>
    </row>
    <row r="99" spans="1:15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-0.58123611239320683</v>
      </c>
      <c r="N99">
        <v>1016.52138</v>
      </c>
      <c r="O99">
        <f t="shared" si="13"/>
        <v>5.0826069</v>
      </c>
    </row>
    <row r="100" spans="1:15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-0.58018356334356103</v>
      </c>
      <c r="N100">
        <v>1027.31612</v>
      </c>
      <c r="O100">
        <f t="shared" si="13"/>
        <v>5.1365805999999994</v>
      </c>
    </row>
    <row r="101" spans="1:15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-0.58409137706152248</v>
      </c>
      <c r="N101">
        <v>1037.4998000000001</v>
      </c>
      <c r="O101">
        <f t="shared" si="13"/>
        <v>5.1874989999999999</v>
      </c>
    </row>
    <row r="102" spans="1:15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-0.58336674153087176</v>
      </c>
      <c r="N102">
        <v>1047.6833999999999</v>
      </c>
      <c r="O102">
        <f t="shared" si="13"/>
        <v>5.2384169999999992</v>
      </c>
    </row>
    <row r="103" spans="1:15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-0.58569423178199564</v>
      </c>
      <c r="N103">
        <v>1057.7653399999999</v>
      </c>
      <c r="O103">
        <f t="shared" si="13"/>
        <v>5.2888266999999995</v>
      </c>
    </row>
    <row r="104" spans="1:15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-0.58675310426900429</v>
      </c>
      <c r="N104">
        <v>1069.3746000000001</v>
      </c>
      <c r="O104">
        <f t="shared" si="13"/>
        <v>5.3468730000000004</v>
      </c>
    </row>
    <row r="105" spans="1:15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-0.58922289531961713</v>
      </c>
      <c r="N105">
        <v>1079.7620199999999</v>
      </c>
      <c r="O105">
        <f t="shared" si="13"/>
        <v>5.3988100999999995</v>
      </c>
    </row>
    <row r="106" spans="1:15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-0.58824606991971173</v>
      </c>
      <c r="N106">
        <v>1090.04756</v>
      </c>
      <c r="O106">
        <f t="shared" si="13"/>
        <v>5.4502378</v>
      </c>
    </row>
    <row r="107" spans="1:15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-0.58822532052174847</v>
      </c>
      <c r="N107">
        <v>1100.3330000000001</v>
      </c>
      <c r="O107">
        <f t="shared" si="13"/>
        <v>5.501665</v>
      </c>
    </row>
    <row r="108" spans="1:15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-0.59159219234957439</v>
      </c>
      <c r="N108">
        <v>1111.53496</v>
      </c>
      <c r="O108">
        <f t="shared" si="13"/>
        <v>5.5576748</v>
      </c>
    </row>
    <row r="109" spans="1:15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-0.5891231171721284</v>
      </c>
      <c r="N109">
        <v>1122.12608</v>
      </c>
      <c r="O109">
        <f t="shared" si="13"/>
        <v>5.6106303999999998</v>
      </c>
    </row>
    <row r="110" spans="1:15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-0.5899284133543734</v>
      </c>
      <c r="N110">
        <v>1132.3097600000001</v>
      </c>
      <c r="O110">
        <f t="shared" si="13"/>
        <v>5.6615488000000003</v>
      </c>
    </row>
    <row r="111" spans="1:15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-0.59822507291672267</v>
      </c>
      <c r="N111">
        <v>1143.00254</v>
      </c>
      <c r="O111">
        <f t="shared" si="13"/>
        <v>5.7150126999999999</v>
      </c>
    </row>
    <row r="112" spans="1:15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-0.5912379085418944</v>
      </c>
      <c r="N112">
        <v>1153.08448</v>
      </c>
      <c r="O112">
        <f t="shared" si="13"/>
        <v>5.7654224000000003</v>
      </c>
    </row>
    <row r="113" spans="1:15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-0.59141322462568324</v>
      </c>
      <c r="N113">
        <v>1164.2864199999999</v>
      </c>
      <c r="O113">
        <f t="shared" si="13"/>
        <v>5.8214320999999991</v>
      </c>
    </row>
    <row r="114" spans="1:15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-0.59485580527659399</v>
      </c>
      <c r="N114">
        <v>1174.77568</v>
      </c>
      <c r="O114">
        <f t="shared" si="13"/>
        <v>5.8738783999999997</v>
      </c>
    </row>
    <row r="115" spans="1:15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-0.59402103878395895</v>
      </c>
      <c r="N115">
        <v>1185.57032</v>
      </c>
      <c r="O115">
        <f t="shared" si="13"/>
        <v>5.9278516000000003</v>
      </c>
    </row>
    <row r="116" spans="1:15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-0.59871896702968219</v>
      </c>
      <c r="N116">
        <v>1195.6520599999999</v>
      </c>
      <c r="O116">
        <f t="shared" si="13"/>
        <v>5.9782602999999996</v>
      </c>
    </row>
    <row r="117" spans="1:15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-0.59620688999763771</v>
      </c>
      <c r="N117">
        <v>1206.03946</v>
      </c>
      <c r="O117">
        <f t="shared" si="13"/>
        <v>6.0301973000000002</v>
      </c>
    </row>
    <row r="118" spans="1:15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-0.59654517390114714</v>
      </c>
      <c r="N118">
        <v>1216.2231400000001</v>
      </c>
      <c r="O118">
        <f t="shared" si="13"/>
        <v>6.0811157000000007</v>
      </c>
    </row>
    <row r="119" spans="1:15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-0.60170421878657376</v>
      </c>
      <c r="N119">
        <v>1226.4067399999999</v>
      </c>
      <c r="O119">
        <f t="shared" si="13"/>
        <v>6.1320336999999991</v>
      </c>
    </row>
    <row r="120" spans="1:15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-0.59658428971858957</v>
      </c>
      <c r="N120">
        <v>1236.4886799999999</v>
      </c>
      <c r="O120">
        <f t="shared" si="13"/>
        <v>6.1824433999999995</v>
      </c>
    </row>
    <row r="121" spans="1:15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-0.60228554533008383</v>
      </c>
      <c r="N121">
        <v>1247.0796800000001</v>
      </c>
      <c r="O121">
        <f t="shared" si="13"/>
        <v>6.2353984000000002</v>
      </c>
    </row>
    <row r="122" spans="1:15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-0.59862658847043548</v>
      </c>
      <c r="N122">
        <v>1257.3650399999999</v>
      </c>
      <c r="O122">
        <f t="shared" si="13"/>
        <v>6.2868251999999991</v>
      </c>
    </row>
    <row r="123" spans="1:15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-0.60003783212111028</v>
      </c>
      <c r="N123">
        <v>1267.54874</v>
      </c>
      <c r="O123">
        <f t="shared" si="13"/>
        <v>6.3377436999999999</v>
      </c>
    </row>
    <row r="124" spans="1:15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-0.60638659739337009</v>
      </c>
      <c r="N124">
        <v>1277.93604</v>
      </c>
      <c r="O124">
        <f t="shared" si="13"/>
        <v>6.3896801999999999</v>
      </c>
    </row>
    <row r="125" spans="1:15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-0.60215251055536312</v>
      </c>
      <c r="N125">
        <v>1288.6289999999999</v>
      </c>
      <c r="O125">
        <f t="shared" si="13"/>
        <v>6.4431449999999995</v>
      </c>
    </row>
    <row r="126" spans="1:15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-0.59961183116722738</v>
      </c>
      <c r="N126">
        <v>1299.11816</v>
      </c>
      <c r="O126">
        <f t="shared" si="13"/>
        <v>6.4955907999999996</v>
      </c>
    </row>
    <row r="127" spans="1:15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-0.60652160937810584</v>
      </c>
      <c r="N127">
        <v>1309.40362</v>
      </c>
      <c r="O127">
        <f t="shared" si="13"/>
        <v>6.5470180999999998</v>
      </c>
    </row>
    <row r="128" spans="1:15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-0.60045808445516857</v>
      </c>
      <c r="N128">
        <v>1320.1983399999999</v>
      </c>
      <c r="O128">
        <f t="shared" si="13"/>
        <v>6.6009916999999998</v>
      </c>
    </row>
    <row r="129" spans="1:15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-0.60684443606997174</v>
      </c>
      <c r="N129">
        <v>1330.6875</v>
      </c>
      <c r="O129">
        <f t="shared" si="13"/>
        <v>6.6534374999999999</v>
      </c>
    </row>
    <row r="130" spans="1:15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-0.60872153314352673</v>
      </c>
      <c r="N130">
        <v>1341.1766600000001</v>
      </c>
      <c r="O130">
        <f t="shared" si="13"/>
        <v>6.7058833</v>
      </c>
    </row>
    <row r="131" spans="1:15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-0.60596141201182352</v>
      </c>
      <c r="N131">
        <v>1352.48046</v>
      </c>
      <c r="O131">
        <f t="shared" ref="O131:O194" si="20">N131/200</f>
        <v>6.7624022999999998</v>
      </c>
    </row>
    <row r="132" spans="1:15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-0.61257952442651131</v>
      </c>
      <c r="N132">
        <v>1362.5623000000001</v>
      </c>
      <c r="O132">
        <f t="shared" si="20"/>
        <v>6.8128115000000005</v>
      </c>
    </row>
    <row r="133" spans="1:15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-0.60935605779882407</v>
      </c>
      <c r="N133">
        <v>1372.7460000000001</v>
      </c>
      <c r="O133">
        <f t="shared" si="20"/>
        <v>6.8637300000000003</v>
      </c>
    </row>
    <row r="134" spans="1:15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-0.61155443720886749</v>
      </c>
      <c r="N134">
        <v>1382.92958</v>
      </c>
      <c r="O134">
        <f t="shared" si="20"/>
        <v>6.9146479000000003</v>
      </c>
    </row>
    <row r="135" spans="1:15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-0.61048853634067524</v>
      </c>
      <c r="N135">
        <v>1393.3169</v>
      </c>
      <c r="O135">
        <f t="shared" si="20"/>
        <v>6.9665844999999997</v>
      </c>
    </row>
    <row r="136" spans="1:15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-0.61324217592096963</v>
      </c>
      <c r="N136">
        <v>1403.6025400000001</v>
      </c>
      <c r="O136">
        <f t="shared" si="20"/>
        <v>7.0180127000000008</v>
      </c>
    </row>
    <row r="137" spans="1:15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-0.61146722534922404</v>
      </c>
      <c r="N137">
        <v>1413.88798</v>
      </c>
      <c r="O137">
        <f t="shared" si="20"/>
        <v>7.0694398999999999</v>
      </c>
    </row>
    <row r="138" spans="1:15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-0.61421079247078936</v>
      </c>
      <c r="N138">
        <v>1424.17354</v>
      </c>
      <c r="O138">
        <f t="shared" si="20"/>
        <v>7.1208676999999998</v>
      </c>
    </row>
    <row r="139" spans="1:15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-0.61158378376779599</v>
      </c>
      <c r="N139">
        <v>1434.4589800000001</v>
      </c>
      <c r="O139">
        <f t="shared" si="20"/>
        <v>7.1722949000000007</v>
      </c>
    </row>
    <row r="140" spans="1:15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-0.61574881296906514</v>
      </c>
      <c r="N140">
        <v>1444.8464799999999</v>
      </c>
      <c r="O140">
        <f t="shared" si="20"/>
        <v>7.2242324</v>
      </c>
    </row>
    <row r="141" spans="1:15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-0.60964510752523582</v>
      </c>
      <c r="N141">
        <v>1455.53926</v>
      </c>
      <c r="O141">
        <f t="shared" si="20"/>
        <v>7.2776962999999997</v>
      </c>
    </row>
    <row r="142" spans="1:15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-0.61953841857836289</v>
      </c>
      <c r="N142">
        <v>1465.6210000000001</v>
      </c>
      <c r="O142">
        <f t="shared" si="20"/>
        <v>7.3281050000000008</v>
      </c>
    </row>
    <row r="143" spans="1:15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-0.6177470145393078</v>
      </c>
      <c r="N143">
        <v>1475.80458</v>
      </c>
      <c r="O143">
        <f t="shared" si="20"/>
        <v>7.3790228999999998</v>
      </c>
    </row>
    <row r="144" spans="1:15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-0.61758078477305811</v>
      </c>
      <c r="N144">
        <v>1486.29384</v>
      </c>
      <c r="O144">
        <f t="shared" si="20"/>
        <v>7.4314692000000004</v>
      </c>
    </row>
    <row r="145" spans="1:15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-0.62028361847732105</v>
      </c>
      <c r="N145">
        <v>1496.8848599999999</v>
      </c>
      <c r="O145">
        <f t="shared" si="20"/>
        <v>7.4844242999999997</v>
      </c>
    </row>
    <row r="146" spans="1:15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-0.61033650773832837</v>
      </c>
      <c r="N146">
        <v>1506.9666</v>
      </c>
      <c r="O146">
        <f t="shared" si="20"/>
        <v>7.5348329999999999</v>
      </c>
    </row>
    <row r="147" spans="1:15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-0.62219574898139274</v>
      </c>
      <c r="N147">
        <v>1517.76142</v>
      </c>
      <c r="O147">
        <f t="shared" si="20"/>
        <v>7.5888071000000004</v>
      </c>
    </row>
    <row r="148" spans="1:15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-0.61826563990274708</v>
      </c>
      <c r="N148">
        <v>1528.5561600000001</v>
      </c>
      <c r="O148">
        <f t="shared" si="20"/>
        <v>7.6427808000000006</v>
      </c>
    </row>
    <row r="149" spans="1:15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-0.62217223860443271</v>
      </c>
      <c r="N149">
        <v>1538.8416999999999</v>
      </c>
      <c r="O149">
        <f t="shared" si="20"/>
        <v>7.6942084999999993</v>
      </c>
    </row>
    <row r="150" spans="1:15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-0.6228553636883114</v>
      </c>
      <c r="N150">
        <v>1548.92344</v>
      </c>
      <c r="O150">
        <f t="shared" si="20"/>
        <v>7.7446172000000004</v>
      </c>
    </row>
    <row r="151" spans="1:15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-0.62225418844675173</v>
      </c>
      <c r="N151">
        <v>1559.7181599999999</v>
      </c>
      <c r="O151">
        <f t="shared" si="20"/>
        <v>7.7985907999999995</v>
      </c>
    </row>
    <row r="152" spans="1:15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-0.61893113707009584</v>
      </c>
      <c r="N152">
        <v>1569.7999</v>
      </c>
      <c r="O152">
        <f t="shared" si="20"/>
        <v>7.8489994999999997</v>
      </c>
    </row>
    <row r="153" spans="1:15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-0.62345012333581484</v>
      </c>
      <c r="N153">
        <v>1580.9001000000001</v>
      </c>
      <c r="O153">
        <f t="shared" si="20"/>
        <v>7.9045005000000002</v>
      </c>
    </row>
    <row r="154" spans="1:15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-0.62320961928666274</v>
      </c>
      <c r="N154">
        <v>1590.9819399999999</v>
      </c>
      <c r="O154">
        <f t="shared" si="20"/>
        <v>7.9549096999999991</v>
      </c>
    </row>
    <row r="155" spans="1:15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-0.62381012264526536</v>
      </c>
      <c r="N155">
        <v>1601.26748</v>
      </c>
      <c r="O155">
        <f t="shared" si="20"/>
        <v>8.0063373999999996</v>
      </c>
    </row>
    <row r="156" spans="1:15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-0.62851742425409596</v>
      </c>
      <c r="N156">
        <v>1612.2659200000001</v>
      </c>
      <c r="O156">
        <f t="shared" si="20"/>
        <v>8.0613296000000005</v>
      </c>
    </row>
    <row r="157" spans="1:15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-0.62589531196836268</v>
      </c>
      <c r="N157">
        <v>1622.5513599999999</v>
      </c>
      <c r="O157">
        <f t="shared" si="20"/>
        <v>8.1127567999999997</v>
      </c>
    </row>
    <row r="158" spans="1:15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-0.62918672545025378</v>
      </c>
      <c r="N158">
        <v>1632.73506</v>
      </c>
      <c r="O158">
        <f t="shared" si="20"/>
        <v>8.1636752999999995</v>
      </c>
    </row>
    <row r="159" spans="1:15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-0.62476775884155078</v>
      </c>
      <c r="N159">
        <v>1643.4279200000001</v>
      </c>
      <c r="O159">
        <f t="shared" si="20"/>
        <v>8.2171396000000012</v>
      </c>
    </row>
    <row r="160" spans="1:15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-0.63279908642033378</v>
      </c>
      <c r="N160">
        <v>1653.5097599999999</v>
      </c>
      <c r="O160">
        <f t="shared" si="20"/>
        <v>8.2675488000000001</v>
      </c>
    </row>
    <row r="161" spans="1:15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-0.62647026171357068</v>
      </c>
      <c r="N161">
        <v>1663.5916</v>
      </c>
      <c r="O161">
        <f t="shared" si="20"/>
        <v>8.3179579999999991</v>
      </c>
    </row>
    <row r="162" spans="1:15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-0.63240424717373289</v>
      </c>
      <c r="N162">
        <v>1674.08086</v>
      </c>
      <c r="O162">
        <f t="shared" si="20"/>
        <v>8.3704043000000006</v>
      </c>
    </row>
    <row r="163" spans="1:15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-0.62921238627774168</v>
      </c>
      <c r="N163">
        <v>1684.2644600000001</v>
      </c>
      <c r="O163">
        <f t="shared" si="20"/>
        <v>8.4213222999999999</v>
      </c>
    </row>
    <row r="164" spans="1:15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-0.63392510646287248</v>
      </c>
      <c r="N164">
        <v>1694.55</v>
      </c>
      <c r="O164">
        <f t="shared" si="20"/>
        <v>8.4727499999999996</v>
      </c>
    </row>
    <row r="165" spans="1:15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-0.6274818307984833</v>
      </c>
      <c r="N165">
        <v>1704.83554</v>
      </c>
      <c r="O165">
        <f t="shared" si="20"/>
        <v>8.524177700000001</v>
      </c>
    </row>
    <row r="166" spans="1:15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-0.63502774603832401</v>
      </c>
      <c r="N166">
        <v>1715.3248000000001</v>
      </c>
      <c r="O166">
        <f t="shared" si="20"/>
        <v>8.5766240000000007</v>
      </c>
    </row>
    <row r="167" spans="1:15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-0.63163068508113063</v>
      </c>
      <c r="N167">
        <v>1725.61016</v>
      </c>
      <c r="O167">
        <f t="shared" si="20"/>
        <v>8.6280508000000005</v>
      </c>
    </row>
    <row r="168" spans="1:15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-0.63495005582549313</v>
      </c>
      <c r="N168">
        <v>1735.79376</v>
      </c>
      <c r="O168">
        <f t="shared" si="20"/>
        <v>8.6789687999999998</v>
      </c>
    </row>
    <row r="169" spans="1:15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-0.63466196098229932</v>
      </c>
      <c r="N169">
        <v>1746.2829999999999</v>
      </c>
      <c r="O169">
        <f t="shared" si="20"/>
        <v>8.7314150000000001</v>
      </c>
    </row>
    <row r="170" spans="1:15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-0.63244912132074571</v>
      </c>
      <c r="N170">
        <v>1756.4666</v>
      </c>
      <c r="O170">
        <f t="shared" si="20"/>
        <v>8.7823329999999995</v>
      </c>
    </row>
    <row r="171" spans="1:15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-0.6335852059160535</v>
      </c>
      <c r="N171">
        <v>1766.54844</v>
      </c>
      <c r="O171">
        <f t="shared" si="20"/>
        <v>8.8327422000000002</v>
      </c>
    </row>
    <row r="172" spans="1:15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-0.64075867737186587</v>
      </c>
      <c r="N172">
        <v>1776.6302800000001</v>
      </c>
      <c r="O172">
        <f t="shared" si="20"/>
        <v>8.8831514000000009</v>
      </c>
    </row>
    <row r="173" spans="1:15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-0.63549035818212374</v>
      </c>
      <c r="N173">
        <v>1786.7121</v>
      </c>
      <c r="O173">
        <f t="shared" si="20"/>
        <v>8.9335605000000005</v>
      </c>
    </row>
    <row r="174" spans="1:15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-0.63796733239690107</v>
      </c>
      <c r="N174">
        <v>1796.79394</v>
      </c>
      <c r="O174">
        <f t="shared" si="20"/>
        <v>8.9839696999999994</v>
      </c>
    </row>
    <row r="175" spans="1:15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-0.63799782647923264</v>
      </c>
      <c r="N175">
        <v>1807.3849600000001</v>
      </c>
      <c r="O175">
        <f t="shared" si="20"/>
        <v>9.0369248000000013</v>
      </c>
    </row>
    <row r="176" spans="1:15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-0.63496386810711669</v>
      </c>
      <c r="N176">
        <v>1817.4667999999999</v>
      </c>
      <c r="O176">
        <f t="shared" si="20"/>
        <v>9.0873340000000002</v>
      </c>
    </row>
    <row r="177" spans="1:15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-0.64015808596370261</v>
      </c>
      <c r="N177">
        <v>1828.36348</v>
      </c>
      <c r="O177">
        <f t="shared" si="20"/>
        <v>9.1418174000000008</v>
      </c>
    </row>
    <row r="178" spans="1:15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-0.64181307046357428</v>
      </c>
      <c r="N178">
        <v>1838.5468800000001</v>
      </c>
      <c r="O178">
        <f t="shared" si="20"/>
        <v>9.1927344000000009</v>
      </c>
    </row>
    <row r="179" spans="1:15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-0.63852334748039286</v>
      </c>
      <c r="N179">
        <v>1849.0361399999999</v>
      </c>
      <c r="O179">
        <f t="shared" si="20"/>
        <v>9.2451806999999988</v>
      </c>
    </row>
    <row r="180" spans="1:15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-0.63661794611231126</v>
      </c>
      <c r="N180">
        <v>1859.11796</v>
      </c>
      <c r="O180">
        <f t="shared" si="20"/>
        <v>9.2955898000000001</v>
      </c>
    </row>
    <row r="181" spans="1:15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-0.6372447740911904</v>
      </c>
      <c r="N181">
        <v>1870.1164000000001</v>
      </c>
      <c r="O181">
        <f t="shared" si="20"/>
        <v>9.3505820000000011</v>
      </c>
    </row>
    <row r="182" spans="1:15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-0.63747916395284865</v>
      </c>
      <c r="N182">
        <v>1880.60546</v>
      </c>
      <c r="O182">
        <f t="shared" si="20"/>
        <v>9.4030272999999998</v>
      </c>
    </row>
    <row r="183" spans="1:15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-0.64303901493764548</v>
      </c>
      <c r="N183">
        <v>1890.99296</v>
      </c>
      <c r="O183">
        <f t="shared" si="20"/>
        <v>9.4549648000000008</v>
      </c>
    </row>
    <row r="184" spans="1:15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-0.64651055110794942</v>
      </c>
      <c r="N184">
        <v>1901.0748000000001</v>
      </c>
      <c r="O184">
        <f t="shared" si="20"/>
        <v>9.5053739999999998</v>
      </c>
    </row>
    <row r="185" spans="1:15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-0.65010916984964051</v>
      </c>
      <c r="N185">
        <v>1911.1566399999999</v>
      </c>
      <c r="O185">
        <f t="shared" si="20"/>
        <v>9.5557832000000005</v>
      </c>
    </row>
    <row r="186" spans="1:15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-0.64164634255791342</v>
      </c>
      <c r="N186">
        <v>1921.74746</v>
      </c>
      <c r="O186">
        <f t="shared" si="20"/>
        <v>9.6087372999999996</v>
      </c>
    </row>
    <row r="187" spans="1:15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-0.64524585491273445</v>
      </c>
      <c r="N187">
        <v>1931.9312600000001</v>
      </c>
      <c r="O187">
        <f t="shared" si="20"/>
        <v>9.6596563</v>
      </c>
    </row>
    <row r="188" spans="1:15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-0.6455377921778922</v>
      </c>
      <c r="N188">
        <v>1942.4203199999999</v>
      </c>
      <c r="O188">
        <f t="shared" si="20"/>
        <v>9.7121016000000004</v>
      </c>
    </row>
    <row r="189" spans="1:15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-0.64778470765036977</v>
      </c>
      <c r="N189">
        <v>1952.70606</v>
      </c>
      <c r="O189">
        <f t="shared" si="20"/>
        <v>9.7635302999999993</v>
      </c>
    </row>
    <row r="190" spans="1:15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-0.64640450171492136</v>
      </c>
      <c r="N190">
        <v>1962.8894600000001</v>
      </c>
      <c r="O190">
        <f t="shared" si="20"/>
        <v>9.8144473000000012</v>
      </c>
    </row>
    <row r="191" spans="1:15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-0.6522863818414274</v>
      </c>
      <c r="N191">
        <v>1973.0732399999999</v>
      </c>
      <c r="O191">
        <f t="shared" si="20"/>
        <v>9.8653662000000004</v>
      </c>
    </row>
    <row r="192" spans="1:15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-0.64184541029889031</v>
      </c>
      <c r="N192">
        <v>1983.25684</v>
      </c>
      <c r="O192">
        <f t="shared" si="20"/>
        <v>9.9162841999999998</v>
      </c>
    </row>
    <row r="193" spans="1:15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-0.65190939578203011</v>
      </c>
      <c r="N193">
        <v>1993.6443400000001</v>
      </c>
      <c r="O193">
        <f t="shared" si="20"/>
        <v>9.9682217000000009</v>
      </c>
    </row>
    <row r="194" spans="1:15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-0.65273690721887989</v>
      </c>
      <c r="N194">
        <v>2004.2352000000001</v>
      </c>
      <c r="O194">
        <f t="shared" si="20"/>
        <v>10.021176000000001</v>
      </c>
    </row>
    <row r="195" spans="1:15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-0.65230136694098151</v>
      </c>
      <c r="N195">
        <v>2014.4190000000001</v>
      </c>
      <c r="O195">
        <f t="shared" ref="O195:O232" si="27">N195/200</f>
        <v>10.072095000000001</v>
      </c>
    </row>
    <row r="196" spans="1:15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-0.65959008269131825</v>
      </c>
      <c r="N196">
        <v>2024.6025999999999</v>
      </c>
      <c r="O196">
        <f t="shared" si="27"/>
        <v>10.123013</v>
      </c>
    </row>
    <row r="197" spans="1:15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-0.66179204378171907</v>
      </c>
      <c r="N197">
        <v>2035.0917999999999</v>
      </c>
      <c r="O197">
        <f t="shared" si="27"/>
        <v>10.175459</v>
      </c>
    </row>
    <row r="198" spans="1:15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-0.66211599394739307</v>
      </c>
      <c r="N198">
        <v>2045.1733999999999</v>
      </c>
      <c r="O198">
        <f t="shared" si="27"/>
        <v>10.225866999999999</v>
      </c>
    </row>
    <row r="199" spans="1:15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-0.66440166725239791</v>
      </c>
      <c r="N199">
        <v>2056.0700000000002</v>
      </c>
      <c r="O199">
        <f t="shared" si="27"/>
        <v>10.28035</v>
      </c>
    </row>
    <row r="200" spans="1:15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-0.66518193215132393</v>
      </c>
      <c r="N200">
        <v>2066.1518000000001</v>
      </c>
      <c r="O200">
        <f t="shared" si="27"/>
        <v>10.330759</v>
      </c>
    </row>
    <row r="201" spans="1:15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-0.66719614845848718</v>
      </c>
      <c r="N201">
        <v>2076.2338</v>
      </c>
      <c r="O201">
        <f t="shared" si="27"/>
        <v>10.381169</v>
      </c>
    </row>
    <row r="202" spans="1:15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-0.66671488987428595</v>
      </c>
      <c r="N202">
        <v>2086.5194000000001</v>
      </c>
      <c r="O202">
        <f t="shared" si="27"/>
        <v>10.432597000000001</v>
      </c>
    </row>
    <row r="203" spans="1:15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-0.66889138687137417</v>
      </c>
      <c r="N203">
        <v>2097.1102000000001</v>
      </c>
      <c r="O203">
        <f t="shared" si="27"/>
        <v>10.485551000000001</v>
      </c>
    </row>
    <row r="204" spans="1:15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-0.66855632525230091</v>
      </c>
      <c r="N204">
        <v>2107.2939999999999</v>
      </c>
      <c r="O204">
        <f t="shared" si="27"/>
        <v>10.53647</v>
      </c>
    </row>
    <row r="205" spans="1:15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-0.67047849981740748</v>
      </c>
      <c r="N205">
        <v>2117.4776000000002</v>
      </c>
      <c r="O205">
        <f t="shared" si="27"/>
        <v>10.587388000000001</v>
      </c>
    </row>
    <row r="206" spans="1:15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-0.67105793440947581</v>
      </c>
      <c r="N206">
        <v>2127.6614</v>
      </c>
      <c r="O206">
        <f t="shared" si="27"/>
        <v>10.638306999999999</v>
      </c>
    </row>
    <row r="207" spans="1:15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-0.67318633161679553</v>
      </c>
      <c r="N207">
        <v>2138.6596</v>
      </c>
      <c r="O207">
        <f t="shared" si="27"/>
        <v>10.693298</v>
      </c>
    </row>
    <row r="208" spans="1:15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-0.67290301672003305</v>
      </c>
      <c r="N208">
        <v>2149.3524000000002</v>
      </c>
      <c r="O208">
        <f t="shared" si="27"/>
        <v>10.746762</v>
      </c>
    </row>
    <row r="209" spans="1:15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-0.67502150206235689</v>
      </c>
      <c r="N209">
        <v>2159.4342000000001</v>
      </c>
      <c r="O209">
        <f t="shared" si="27"/>
        <v>10.797171000000001</v>
      </c>
    </row>
    <row r="210" spans="1:15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-0.6754195889154736</v>
      </c>
      <c r="N210">
        <v>2170.0252</v>
      </c>
      <c r="O210">
        <f t="shared" si="27"/>
        <v>10.850125999999999</v>
      </c>
    </row>
    <row r="211" spans="1:15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-0.67751675055456806</v>
      </c>
      <c r="N211">
        <v>2180.107</v>
      </c>
      <c r="O211">
        <f t="shared" si="27"/>
        <v>10.900535</v>
      </c>
    </row>
    <row r="212" spans="1:15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-0.67714328110683597</v>
      </c>
      <c r="N212">
        <v>2190.6981999999998</v>
      </c>
      <c r="O212">
        <f t="shared" si="27"/>
        <v>10.953491</v>
      </c>
    </row>
    <row r="213" spans="1:15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-0.68002812259492906</v>
      </c>
      <c r="N213">
        <v>2200.7800000000002</v>
      </c>
      <c r="O213">
        <f t="shared" si="27"/>
        <v>11.003900000000002</v>
      </c>
    </row>
    <row r="214" spans="1:15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-0.67988653065297644</v>
      </c>
      <c r="N214">
        <v>2211.0654</v>
      </c>
      <c r="O214">
        <f t="shared" si="27"/>
        <v>11.055327</v>
      </c>
    </row>
    <row r="215" spans="1:15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-0.68203351436922588</v>
      </c>
      <c r="N215">
        <v>2221.1469999999999</v>
      </c>
      <c r="O215">
        <f t="shared" si="27"/>
        <v>11.105734999999999</v>
      </c>
    </row>
    <row r="216" spans="1:15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-0.68267034950453676</v>
      </c>
      <c r="N216">
        <v>2231.6363999999999</v>
      </c>
      <c r="O216">
        <f t="shared" si="27"/>
        <v>11.158182</v>
      </c>
    </row>
    <row r="217" spans="1:15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-0.68460293332422406</v>
      </c>
      <c r="N217">
        <v>2241.8200000000002</v>
      </c>
      <c r="O217">
        <f t="shared" si="27"/>
        <v>11.209100000000001</v>
      </c>
    </row>
    <row r="218" spans="1:15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-0.68436375299588481</v>
      </c>
      <c r="N218">
        <v>2252.3092000000001</v>
      </c>
      <c r="O218">
        <f t="shared" si="27"/>
        <v>11.261546000000001</v>
      </c>
    </row>
    <row r="219" spans="1:15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-0.68402574539489192</v>
      </c>
      <c r="N219">
        <v>2262.4929999999999</v>
      </c>
      <c r="O219">
        <f t="shared" si="27"/>
        <v>11.312465</v>
      </c>
    </row>
    <row r="220" spans="1:15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-0.68698170537934333</v>
      </c>
      <c r="N220">
        <v>2272.982</v>
      </c>
      <c r="O220">
        <f t="shared" si="27"/>
        <v>11.36491</v>
      </c>
    </row>
    <row r="221" spans="1:15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-0.68640513187891883</v>
      </c>
      <c r="N221">
        <v>2283.1658000000002</v>
      </c>
      <c r="O221">
        <f t="shared" si="27"/>
        <v>11.415829</v>
      </c>
    </row>
    <row r="222" spans="1:15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-0.68864910539445912</v>
      </c>
      <c r="N222">
        <v>2293.4512</v>
      </c>
      <c r="O222">
        <f t="shared" si="27"/>
        <v>11.467255999999999</v>
      </c>
    </row>
    <row r="223" spans="1:15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-0.68874943302032987</v>
      </c>
      <c r="N223">
        <v>2303.5331999999999</v>
      </c>
      <c r="O223">
        <f t="shared" si="27"/>
        <v>11.517665999999998</v>
      </c>
    </row>
    <row r="224" spans="1:15">
      <c r="N224">
        <v>2314.1242000000002</v>
      </c>
      <c r="O224">
        <f t="shared" si="27"/>
        <v>11.570621000000001</v>
      </c>
    </row>
    <row r="225" spans="14:15">
      <c r="N225">
        <v>2325.4281999999998</v>
      </c>
      <c r="O225">
        <f t="shared" si="27"/>
        <v>11.627141</v>
      </c>
    </row>
    <row r="226" spans="14:15">
      <c r="N226">
        <v>2335.8152</v>
      </c>
      <c r="O226">
        <f t="shared" si="27"/>
        <v>11.679076</v>
      </c>
    </row>
    <row r="227" spans="14:15">
      <c r="N227">
        <v>2345.9987999999998</v>
      </c>
      <c r="O227">
        <f t="shared" si="27"/>
        <v>11.729994</v>
      </c>
    </row>
    <row r="228" spans="14:15">
      <c r="N228">
        <v>2356.7937999999999</v>
      </c>
      <c r="O228">
        <f t="shared" si="27"/>
        <v>11.783968999999999</v>
      </c>
    </row>
    <row r="229" spans="14:15">
      <c r="N229">
        <v>2366.8755999999998</v>
      </c>
      <c r="O229">
        <f t="shared" si="27"/>
        <v>11.834377999999999</v>
      </c>
    </row>
    <row r="230" spans="14:15">
      <c r="N230">
        <v>2377.0594000000001</v>
      </c>
      <c r="O230">
        <f t="shared" si="27"/>
        <v>11.885297000000001</v>
      </c>
    </row>
    <row r="231" spans="14:15">
      <c r="N231">
        <v>2387.1410000000001</v>
      </c>
      <c r="O231">
        <f t="shared" si="27"/>
        <v>11.935705</v>
      </c>
    </row>
    <row r="232" spans="14:15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DavidOHalla</cp:lastModifiedBy>
  <dcterms:created xsi:type="dcterms:W3CDTF">2025-09-17T02:43:03Z</dcterms:created>
  <dcterms:modified xsi:type="dcterms:W3CDTF">2026-03-24T15:26:55Z</dcterms:modified>
</cp:coreProperties>
</file>