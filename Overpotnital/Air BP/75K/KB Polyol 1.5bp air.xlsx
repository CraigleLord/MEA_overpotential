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 BP\"/>
    </mc:Choice>
  </mc:AlternateContent>
  <xr:revisionPtr revIDLastSave="0" documentId="13_ncr:1_{926AACD1-D926-4D97-91EE-543DAC5E0026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" i="3" l="1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2" i="3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2" i="3"/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C213" i="1"/>
  <c r="H213" i="1" s="1"/>
  <c r="J213" i="1"/>
  <c r="M213" i="1" s="1"/>
  <c r="G213" i="1"/>
  <c r="C214" i="1"/>
  <c r="H214" i="1" s="1"/>
  <c r="J214" i="1"/>
  <c r="M214" i="1" s="1"/>
  <c r="G214" i="1"/>
  <c r="C215" i="1"/>
  <c r="H215" i="1" s="1"/>
  <c r="J215" i="1"/>
  <c r="M215" i="1" s="1"/>
  <c r="G215" i="1"/>
  <c r="C216" i="1"/>
  <c r="H216" i="1" s="1"/>
  <c r="J216" i="1"/>
  <c r="M216" i="1" s="1"/>
  <c r="G216" i="1"/>
  <c r="C217" i="1"/>
  <c r="H217" i="1" s="1"/>
  <c r="J217" i="1"/>
  <c r="M217" i="1" s="1"/>
  <c r="G217" i="1"/>
  <c r="C218" i="1"/>
  <c r="H218" i="1" s="1"/>
  <c r="J218" i="1"/>
  <c r="M218" i="1" s="1"/>
  <c r="G218" i="1"/>
  <c r="C219" i="1"/>
  <c r="H219" i="1" s="1"/>
  <c r="J219" i="1"/>
  <c r="M219" i="1" s="1"/>
  <c r="G219" i="1"/>
  <c r="C220" i="1"/>
  <c r="H220" i="1" s="1"/>
  <c r="J220" i="1"/>
  <c r="M220" i="1" s="1"/>
  <c r="G220" i="1"/>
  <c r="C221" i="1"/>
  <c r="H221" i="1" s="1"/>
  <c r="J221" i="1"/>
  <c r="M221" i="1" s="1"/>
  <c r="G221" i="1"/>
  <c r="C222" i="1"/>
  <c r="H222" i="1" s="1"/>
  <c r="J222" i="1"/>
  <c r="M222" i="1" s="1"/>
  <c r="G222" i="1"/>
  <c r="C223" i="1"/>
  <c r="H223" i="1" s="1"/>
  <c r="J223" i="1"/>
  <c r="M223" i="1" s="1"/>
  <c r="G223" i="1"/>
  <c r="C224" i="1"/>
  <c r="H224" i="1" s="1"/>
  <c r="J224" i="1"/>
  <c r="M224" i="1" s="1"/>
  <c r="G224" i="1"/>
  <c r="C225" i="1"/>
  <c r="H225" i="1" s="1"/>
  <c r="J225" i="1"/>
  <c r="M225" i="1" s="1"/>
  <c r="G225" i="1"/>
  <c r="C226" i="1"/>
  <c r="H226" i="1" s="1"/>
  <c r="J226" i="1"/>
  <c r="M226" i="1" s="1"/>
  <c r="G226" i="1"/>
  <c r="C227" i="1"/>
  <c r="H227" i="1" s="1"/>
  <c r="J227" i="1"/>
  <c r="M227" i="1" s="1"/>
  <c r="G227" i="1"/>
  <c r="C228" i="1"/>
  <c r="H228" i="1" s="1"/>
  <c r="J228" i="1"/>
  <c r="M228" i="1" s="1"/>
  <c r="G228" i="1"/>
  <c r="C229" i="1"/>
  <c r="H229" i="1" s="1"/>
  <c r="J229" i="1"/>
  <c r="M229" i="1" s="1"/>
  <c r="G229" i="1"/>
  <c r="C230" i="1"/>
  <c r="H230" i="1" s="1"/>
  <c r="J230" i="1"/>
  <c r="M230" i="1" s="1"/>
  <c r="G230" i="1"/>
  <c r="C231" i="1"/>
  <c r="H231" i="1" s="1"/>
  <c r="J231" i="1"/>
  <c r="M231" i="1" s="1"/>
  <c r="G231" i="1"/>
  <c r="C232" i="1"/>
  <c r="H232" i="1" s="1"/>
  <c r="J232" i="1"/>
  <c r="M232" i="1" s="1"/>
  <c r="G232" i="1"/>
  <c r="C233" i="1"/>
  <c r="H233" i="1" s="1"/>
  <c r="J233" i="1"/>
  <c r="M233" i="1" s="1"/>
  <c r="G233" i="1"/>
  <c r="C234" i="1"/>
  <c r="H234" i="1" s="1"/>
  <c r="J234" i="1"/>
  <c r="M234" i="1" s="1"/>
  <c r="G234" i="1"/>
  <c r="C235" i="1"/>
  <c r="H235" i="1" s="1"/>
  <c r="G235" i="1"/>
  <c r="C236" i="1"/>
  <c r="H236" i="1" s="1"/>
  <c r="G236" i="1"/>
  <c r="C237" i="1"/>
  <c r="H237" i="1" s="1"/>
  <c r="G237" i="1"/>
  <c r="C238" i="1"/>
  <c r="H238" i="1" s="1"/>
  <c r="G238" i="1"/>
  <c r="C239" i="1"/>
  <c r="H239" i="1" s="1"/>
  <c r="G239" i="1"/>
  <c r="C240" i="1"/>
  <c r="H240" i="1" s="1"/>
  <c r="G240" i="1"/>
  <c r="C241" i="1"/>
  <c r="H241" i="1" s="1"/>
  <c r="G241" i="1"/>
  <c r="C242" i="1"/>
  <c r="H242" i="1" s="1"/>
  <c r="G242" i="1"/>
  <c r="C243" i="1"/>
  <c r="H243" i="1" s="1"/>
  <c r="G243" i="1"/>
  <c r="C244" i="1"/>
  <c r="H244" i="1" s="1"/>
  <c r="G244" i="1"/>
  <c r="C245" i="1"/>
  <c r="H245" i="1" s="1"/>
  <c r="G245" i="1"/>
  <c r="C246" i="1"/>
  <c r="H246" i="1" s="1"/>
  <c r="G246" i="1"/>
  <c r="C247" i="1"/>
  <c r="H247" i="1" s="1"/>
  <c r="G247" i="1"/>
  <c r="C248" i="1"/>
  <c r="H248" i="1" s="1"/>
  <c r="G248" i="1"/>
  <c r="C249" i="1"/>
  <c r="H249" i="1" s="1"/>
  <c r="G249" i="1"/>
  <c r="C250" i="1"/>
  <c r="H250" i="1" s="1"/>
  <c r="G250" i="1"/>
  <c r="C251" i="1"/>
  <c r="H251" i="1" s="1"/>
  <c r="G251" i="1"/>
  <c r="C252" i="1"/>
  <c r="H252" i="1" s="1"/>
  <c r="G252" i="1"/>
  <c r="C253" i="1"/>
  <c r="H253" i="1" s="1"/>
  <c r="G253" i="1"/>
  <c r="C254" i="1"/>
  <c r="H254" i="1" s="1"/>
  <c r="G254" i="1"/>
  <c r="C255" i="1"/>
  <c r="H255" i="1" s="1"/>
  <c r="G255" i="1"/>
  <c r="C256" i="1"/>
  <c r="H256" i="1" s="1"/>
  <c r="G256" i="1"/>
  <c r="C257" i="1"/>
  <c r="H257" i="1" s="1"/>
  <c r="G257" i="1"/>
  <c r="C258" i="1"/>
  <c r="H258" i="1" s="1"/>
  <c r="G258" i="1"/>
  <c r="C259" i="1"/>
  <c r="H259" i="1" s="1"/>
  <c r="G259" i="1"/>
  <c r="C260" i="1"/>
  <c r="H260" i="1" s="1"/>
  <c r="G260" i="1"/>
  <c r="C261" i="1"/>
  <c r="H261" i="1" s="1"/>
  <c r="G261" i="1"/>
  <c r="C262" i="1"/>
  <c r="H262" i="1" s="1"/>
  <c r="G262" i="1"/>
  <c r="C263" i="1"/>
  <c r="H263" i="1" s="1"/>
  <c r="G263" i="1"/>
  <c r="C264" i="1"/>
  <c r="H264" i="1" s="1"/>
  <c r="G264" i="1"/>
  <c r="C265" i="1"/>
  <c r="H265" i="1" s="1"/>
  <c r="G265" i="1"/>
  <c r="C266" i="1"/>
  <c r="H266" i="1" s="1"/>
  <c r="G266" i="1"/>
  <c r="C267" i="1"/>
  <c r="H267" i="1" s="1"/>
  <c r="G267" i="1"/>
  <c r="C268" i="1"/>
  <c r="H268" i="1" s="1"/>
  <c r="G268" i="1"/>
  <c r="C269" i="1"/>
  <c r="H269" i="1" s="1"/>
  <c r="G269" i="1"/>
  <c r="C270" i="1"/>
  <c r="H270" i="1" s="1"/>
  <c r="G270" i="1"/>
  <c r="C271" i="1"/>
  <c r="H271" i="1" s="1"/>
  <c r="G271" i="1"/>
  <c r="C272" i="1"/>
  <c r="H272" i="1" s="1"/>
  <c r="G272" i="1"/>
  <c r="C273" i="1"/>
  <c r="H273" i="1" s="1"/>
  <c r="G273" i="1"/>
  <c r="C274" i="1"/>
  <c r="H274" i="1" s="1"/>
  <c r="G274" i="1"/>
  <c r="C275" i="1"/>
  <c r="H275" i="1" s="1"/>
  <c r="G275" i="1"/>
  <c r="C276" i="1"/>
  <c r="H276" i="1" s="1"/>
  <c r="G276" i="1"/>
  <c r="C277" i="1"/>
  <c r="H277" i="1" s="1"/>
  <c r="G277" i="1"/>
  <c r="C278" i="1"/>
  <c r="H278" i="1" s="1"/>
  <c r="G278" i="1"/>
  <c r="C279" i="1"/>
  <c r="H279" i="1" s="1"/>
  <c r="G279" i="1"/>
  <c r="C280" i="1"/>
  <c r="H280" i="1" s="1"/>
  <c r="G280" i="1"/>
  <c r="C281" i="1"/>
  <c r="H281" i="1" s="1"/>
  <c r="G281" i="1"/>
  <c r="C282" i="1"/>
  <c r="H282" i="1" s="1"/>
  <c r="G282" i="1"/>
  <c r="C283" i="1"/>
  <c r="H283" i="1" s="1"/>
  <c r="G283" i="1"/>
  <c r="C284" i="1"/>
  <c r="H284" i="1" s="1"/>
  <c r="G284" i="1"/>
  <c r="C285" i="1"/>
  <c r="H285" i="1" s="1"/>
  <c r="G285" i="1"/>
  <c r="C286" i="1"/>
  <c r="H286" i="1" s="1"/>
  <c r="G286" i="1"/>
  <c r="C287" i="1"/>
  <c r="H287" i="1" s="1"/>
  <c r="G287" i="1"/>
  <c r="C288" i="1"/>
  <c r="H288" i="1" s="1"/>
  <c r="G288" i="1"/>
  <c r="C289" i="1"/>
  <c r="H289" i="1" s="1"/>
  <c r="G289" i="1"/>
  <c r="C290" i="1"/>
  <c r="H290" i="1" s="1"/>
  <c r="G290" i="1"/>
  <c r="C291" i="1"/>
  <c r="H291" i="1" s="1"/>
  <c r="G291" i="1"/>
  <c r="C292" i="1"/>
  <c r="H292" i="1" s="1"/>
  <c r="G292" i="1"/>
  <c r="C293" i="1"/>
  <c r="H293" i="1" s="1"/>
  <c r="G293" i="1"/>
  <c r="C294" i="1"/>
  <c r="H294" i="1" s="1"/>
  <c r="G294" i="1"/>
  <c r="C295" i="1"/>
  <c r="H295" i="1" s="1"/>
  <c r="G295" i="1"/>
  <c r="C296" i="1"/>
  <c r="H296" i="1" s="1"/>
  <c r="G296" i="1"/>
  <c r="C297" i="1"/>
  <c r="H297" i="1" s="1"/>
  <c r="G297" i="1"/>
  <c r="C298" i="1"/>
  <c r="H298" i="1" s="1"/>
  <c r="G298" i="1"/>
  <c r="C299" i="1"/>
  <c r="H299" i="1" s="1"/>
  <c r="G299" i="1"/>
  <c r="C300" i="1"/>
  <c r="H300" i="1" s="1"/>
  <c r="G300" i="1"/>
  <c r="C301" i="1"/>
  <c r="H301" i="1" s="1"/>
  <c r="G301" i="1"/>
  <c r="C302" i="1"/>
  <c r="H302" i="1" s="1"/>
  <c r="G302" i="1"/>
  <c r="C303" i="1"/>
  <c r="H303" i="1" s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J189" i="1"/>
  <c r="M189" i="1" s="1"/>
  <c r="G189" i="1"/>
  <c r="J190" i="1"/>
  <c r="M190" i="1" s="1"/>
  <c r="G190" i="1"/>
  <c r="J191" i="1"/>
  <c r="M191" i="1" s="1"/>
  <c r="G191" i="1"/>
  <c r="J192" i="1"/>
  <c r="M192" i="1" s="1"/>
  <c r="G192" i="1"/>
  <c r="J193" i="1"/>
  <c r="M193" i="1" s="1"/>
  <c r="G193" i="1"/>
  <c r="J194" i="1"/>
  <c r="M194" i="1" s="1"/>
  <c r="G194" i="1"/>
  <c r="J195" i="1"/>
  <c r="M195" i="1" s="1"/>
  <c r="G195" i="1"/>
  <c r="J196" i="1"/>
  <c r="M196" i="1" s="1"/>
  <c r="G196" i="1"/>
  <c r="J197" i="1"/>
  <c r="M197" i="1" s="1"/>
  <c r="G197" i="1"/>
  <c r="J198" i="1"/>
  <c r="M198" i="1" s="1"/>
  <c r="G198" i="1"/>
  <c r="J199" i="1"/>
  <c r="M199" i="1" s="1"/>
  <c r="G199" i="1"/>
  <c r="J200" i="1"/>
  <c r="M200" i="1" s="1"/>
  <c r="G200" i="1"/>
  <c r="J201" i="1"/>
  <c r="M201" i="1" s="1"/>
  <c r="G201" i="1"/>
  <c r="J202" i="1"/>
  <c r="M202" i="1" s="1"/>
  <c r="G202" i="1"/>
  <c r="J203" i="1"/>
  <c r="M203" i="1" s="1"/>
  <c r="G203" i="1"/>
  <c r="J204" i="1"/>
  <c r="M204" i="1" s="1"/>
  <c r="G204" i="1"/>
  <c r="J205" i="1"/>
  <c r="M205" i="1" s="1"/>
  <c r="G205" i="1"/>
  <c r="J206" i="1"/>
  <c r="M206" i="1" s="1"/>
  <c r="G206" i="1"/>
  <c r="J207" i="1"/>
  <c r="M207" i="1" s="1"/>
  <c r="G207" i="1"/>
  <c r="J208" i="1"/>
  <c r="M208" i="1" s="1"/>
  <c r="G208" i="1"/>
  <c r="J209" i="1"/>
  <c r="M209" i="1" s="1"/>
  <c r="G209" i="1"/>
  <c r="J210" i="1"/>
  <c r="M210" i="1" s="1"/>
  <c r="G210" i="1"/>
  <c r="J211" i="1"/>
  <c r="M211" i="1" s="1"/>
  <c r="G211" i="1"/>
  <c r="J5" i="1"/>
  <c r="M5" i="1" s="1"/>
  <c r="G5" i="1"/>
  <c r="J6" i="1"/>
  <c r="M6" i="1" s="1"/>
  <c r="G6" i="1"/>
  <c r="J7" i="1"/>
  <c r="M7" i="1" s="1"/>
  <c r="G7" i="1"/>
  <c r="J8" i="1"/>
  <c r="M8" i="1" s="1"/>
  <c r="G8" i="1"/>
  <c r="J9" i="1"/>
  <c r="M9" i="1" s="1"/>
  <c r="G9" i="1"/>
  <c r="J10" i="1"/>
  <c r="M10" i="1" s="1"/>
  <c r="G10" i="1"/>
  <c r="J11" i="1"/>
  <c r="M11" i="1" s="1"/>
  <c r="G11" i="1"/>
  <c r="J12" i="1"/>
  <c r="M12" i="1" s="1"/>
  <c r="G12" i="1"/>
  <c r="J13" i="1"/>
  <c r="M13" i="1" s="1"/>
  <c r="G13" i="1"/>
  <c r="J14" i="1"/>
  <c r="M14" i="1" s="1"/>
  <c r="G14" i="1"/>
  <c r="J15" i="1"/>
  <c r="M15" i="1" s="1"/>
  <c r="G15" i="1"/>
  <c r="J16" i="1"/>
  <c r="M16" i="1" s="1"/>
  <c r="G16" i="1"/>
  <c r="J17" i="1"/>
  <c r="M17" i="1" s="1"/>
  <c r="G17" i="1"/>
  <c r="J18" i="1"/>
  <c r="M18" i="1" s="1"/>
  <c r="G18" i="1"/>
  <c r="J19" i="1"/>
  <c r="M19" i="1" s="1"/>
  <c r="G19" i="1"/>
  <c r="J20" i="1"/>
  <c r="M20" i="1" s="1"/>
  <c r="G20" i="1"/>
  <c r="J21" i="1"/>
  <c r="M21" i="1" s="1"/>
  <c r="G21" i="1"/>
  <c r="J22" i="1"/>
  <c r="M22" i="1" s="1"/>
  <c r="G22" i="1"/>
  <c r="J23" i="1"/>
  <c r="M23" i="1" s="1"/>
  <c r="G23" i="1"/>
  <c r="J24" i="1"/>
  <c r="M24" i="1" s="1"/>
  <c r="G24" i="1"/>
  <c r="J25" i="1"/>
  <c r="M25" i="1" s="1"/>
  <c r="G25" i="1"/>
  <c r="J26" i="1"/>
  <c r="M26" i="1" s="1"/>
  <c r="G26" i="1"/>
  <c r="J27" i="1"/>
  <c r="M27" i="1" s="1"/>
  <c r="G27" i="1"/>
  <c r="J28" i="1"/>
  <c r="M28" i="1" s="1"/>
  <c r="G28" i="1"/>
  <c r="J29" i="1"/>
  <c r="M29" i="1" s="1"/>
  <c r="G29" i="1"/>
  <c r="J30" i="1"/>
  <c r="M30" i="1" s="1"/>
  <c r="G30" i="1"/>
  <c r="J31" i="1"/>
  <c r="M31" i="1" s="1"/>
  <c r="G31" i="1"/>
  <c r="J32" i="1"/>
  <c r="M32" i="1" s="1"/>
  <c r="G32" i="1"/>
  <c r="J33" i="1"/>
  <c r="M33" i="1" s="1"/>
  <c r="G33" i="1"/>
  <c r="J34" i="1"/>
  <c r="M34" i="1" s="1"/>
  <c r="G34" i="1"/>
  <c r="J35" i="1"/>
  <c r="M35" i="1" s="1"/>
  <c r="G35" i="1"/>
  <c r="J36" i="1"/>
  <c r="M36" i="1" s="1"/>
  <c r="G36" i="1"/>
  <c r="J37" i="1"/>
  <c r="M37" i="1" s="1"/>
  <c r="G37" i="1"/>
  <c r="J38" i="1"/>
  <c r="M38" i="1" s="1"/>
  <c r="G38" i="1"/>
  <c r="J39" i="1"/>
  <c r="M39" i="1" s="1"/>
  <c r="G39" i="1"/>
  <c r="J40" i="1"/>
  <c r="M40" i="1" s="1"/>
  <c r="G40" i="1"/>
  <c r="J41" i="1"/>
  <c r="M41" i="1" s="1"/>
  <c r="G41" i="1"/>
  <c r="J42" i="1"/>
  <c r="M42" i="1" s="1"/>
  <c r="G42" i="1"/>
  <c r="J43" i="1"/>
  <c r="M43" i="1" s="1"/>
  <c r="G43" i="1"/>
  <c r="J44" i="1"/>
  <c r="M44" i="1" s="1"/>
  <c r="G44" i="1"/>
  <c r="J45" i="1"/>
  <c r="M45" i="1" s="1"/>
  <c r="G45" i="1"/>
  <c r="J46" i="1"/>
  <c r="M46" i="1" s="1"/>
  <c r="G46" i="1"/>
  <c r="J47" i="1"/>
  <c r="M47" i="1" s="1"/>
  <c r="G47" i="1"/>
  <c r="J48" i="1"/>
  <c r="M48" i="1" s="1"/>
  <c r="G48" i="1"/>
  <c r="J49" i="1"/>
  <c r="M49" i="1" s="1"/>
  <c r="G49" i="1"/>
  <c r="J50" i="1"/>
  <c r="M50" i="1" s="1"/>
  <c r="G50" i="1"/>
  <c r="J51" i="1"/>
  <c r="M51" i="1" s="1"/>
  <c r="G51" i="1"/>
  <c r="J52" i="1"/>
  <c r="M52" i="1" s="1"/>
  <c r="G52" i="1"/>
  <c r="J53" i="1"/>
  <c r="M53" i="1" s="1"/>
  <c r="G53" i="1"/>
  <c r="J54" i="1"/>
  <c r="M54" i="1" s="1"/>
  <c r="G54" i="1"/>
  <c r="J55" i="1"/>
  <c r="M55" i="1" s="1"/>
  <c r="G55" i="1"/>
  <c r="J56" i="1"/>
  <c r="M56" i="1" s="1"/>
  <c r="G56" i="1"/>
  <c r="J57" i="1"/>
  <c r="M57" i="1" s="1"/>
  <c r="G57" i="1"/>
  <c r="J58" i="1"/>
  <c r="M58" i="1" s="1"/>
  <c r="G58" i="1"/>
  <c r="J59" i="1"/>
  <c r="M59" i="1" s="1"/>
  <c r="G59" i="1"/>
  <c r="J60" i="1"/>
  <c r="M60" i="1" s="1"/>
  <c r="G60" i="1"/>
  <c r="J61" i="1"/>
  <c r="M61" i="1" s="1"/>
  <c r="G61" i="1"/>
  <c r="J62" i="1"/>
  <c r="M62" i="1" s="1"/>
  <c r="G62" i="1"/>
  <c r="J63" i="1"/>
  <c r="M63" i="1" s="1"/>
  <c r="G63" i="1"/>
  <c r="J64" i="1"/>
  <c r="M64" i="1" s="1"/>
  <c r="G64" i="1"/>
  <c r="J65" i="1"/>
  <c r="M65" i="1" s="1"/>
  <c r="G65" i="1"/>
  <c r="J66" i="1"/>
  <c r="M66" i="1" s="1"/>
  <c r="G66" i="1"/>
  <c r="J67" i="1"/>
  <c r="M67" i="1" s="1"/>
  <c r="G67" i="1"/>
  <c r="J68" i="1"/>
  <c r="M68" i="1" s="1"/>
  <c r="G68" i="1"/>
  <c r="J69" i="1"/>
  <c r="M69" i="1" s="1"/>
  <c r="G69" i="1"/>
  <c r="J70" i="1"/>
  <c r="M70" i="1" s="1"/>
  <c r="G70" i="1"/>
  <c r="J71" i="1"/>
  <c r="M71" i="1" s="1"/>
  <c r="G71" i="1"/>
  <c r="J72" i="1"/>
  <c r="M72" i="1" s="1"/>
  <c r="G72" i="1"/>
  <c r="J73" i="1"/>
  <c r="M73" i="1" s="1"/>
  <c r="G73" i="1"/>
  <c r="J74" i="1"/>
  <c r="M74" i="1" s="1"/>
  <c r="G74" i="1"/>
  <c r="J75" i="1"/>
  <c r="M75" i="1" s="1"/>
  <c r="G75" i="1"/>
  <c r="J76" i="1"/>
  <c r="M76" i="1" s="1"/>
  <c r="G76" i="1"/>
  <c r="J77" i="1"/>
  <c r="M77" i="1" s="1"/>
  <c r="G77" i="1"/>
  <c r="J78" i="1"/>
  <c r="M78" i="1" s="1"/>
  <c r="G78" i="1"/>
  <c r="J79" i="1"/>
  <c r="M79" i="1" s="1"/>
  <c r="G79" i="1"/>
  <c r="J80" i="1"/>
  <c r="M80" i="1" s="1"/>
  <c r="G80" i="1"/>
  <c r="J81" i="1"/>
  <c r="M81" i="1" s="1"/>
  <c r="G81" i="1"/>
  <c r="J82" i="1"/>
  <c r="M82" i="1" s="1"/>
  <c r="G82" i="1"/>
  <c r="J83" i="1"/>
  <c r="M83" i="1" s="1"/>
  <c r="G83" i="1"/>
  <c r="J84" i="1"/>
  <c r="M84" i="1" s="1"/>
  <c r="G84" i="1"/>
  <c r="J85" i="1"/>
  <c r="M85" i="1" s="1"/>
  <c r="G85" i="1"/>
  <c r="J86" i="1"/>
  <c r="M86" i="1" s="1"/>
  <c r="G86" i="1"/>
  <c r="J87" i="1"/>
  <c r="M87" i="1" s="1"/>
  <c r="G87" i="1"/>
  <c r="J88" i="1"/>
  <c r="M88" i="1" s="1"/>
  <c r="G88" i="1"/>
  <c r="J89" i="1"/>
  <c r="M89" i="1" s="1"/>
  <c r="G89" i="1"/>
  <c r="J90" i="1"/>
  <c r="M90" i="1" s="1"/>
  <c r="G90" i="1"/>
  <c r="J91" i="1"/>
  <c r="M91" i="1" s="1"/>
  <c r="G91" i="1"/>
  <c r="J92" i="1"/>
  <c r="M92" i="1" s="1"/>
  <c r="G92" i="1"/>
  <c r="J93" i="1"/>
  <c r="M93" i="1" s="1"/>
  <c r="G93" i="1"/>
  <c r="J94" i="1"/>
  <c r="M94" i="1" s="1"/>
  <c r="G94" i="1"/>
  <c r="J95" i="1"/>
  <c r="M95" i="1" s="1"/>
  <c r="G95" i="1"/>
  <c r="J96" i="1"/>
  <c r="M96" i="1" s="1"/>
  <c r="G96" i="1"/>
  <c r="J97" i="1"/>
  <c r="M97" i="1" s="1"/>
  <c r="G97" i="1"/>
  <c r="J98" i="1"/>
  <c r="M98" i="1" s="1"/>
  <c r="G98" i="1"/>
  <c r="J99" i="1"/>
  <c r="M99" i="1" s="1"/>
  <c r="G99" i="1"/>
  <c r="J100" i="1"/>
  <c r="M100" i="1" s="1"/>
  <c r="G100" i="1"/>
  <c r="J101" i="1"/>
  <c r="M101" i="1" s="1"/>
  <c r="G101" i="1"/>
  <c r="J102" i="1"/>
  <c r="M102" i="1" s="1"/>
  <c r="G102" i="1"/>
  <c r="J103" i="1"/>
  <c r="M103" i="1" s="1"/>
  <c r="G103" i="1"/>
  <c r="J104" i="1"/>
  <c r="M104" i="1" s="1"/>
  <c r="G104" i="1"/>
  <c r="J105" i="1"/>
  <c r="M105" i="1" s="1"/>
  <c r="G105" i="1"/>
  <c r="J106" i="1"/>
  <c r="M106" i="1" s="1"/>
  <c r="G106" i="1"/>
  <c r="J107" i="1"/>
  <c r="M107" i="1" s="1"/>
  <c r="G107" i="1"/>
  <c r="J108" i="1"/>
  <c r="M108" i="1" s="1"/>
  <c r="G108" i="1"/>
  <c r="J109" i="1"/>
  <c r="M109" i="1" s="1"/>
  <c r="G109" i="1"/>
  <c r="J110" i="1"/>
  <c r="M110" i="1" s="1"/>
  <c r="G110" i="1"/>
  <c r="J111" i="1"/>
  <c r="M111" i="1" s="1"/>
  <c r="G111" i="1"/>
  <c r="J112" i="1"/>
  <c r="M112" i="1" s="1"/>
  <c r="G112" i="1"/>
  <c r="J113" i="1"/>
  <c r="M113" i="1" s="1"/>
  <c r="G113" i="1"/>
  <c r="J114" i="1"/>
  <c r="M114" i="1" s="1"/>
  <c r="G114" i="1"/>
  <c r="J115" i="1"/>
  <c r="M115" i="1" s="1"/>
  <c r="G115" i="1"/>
  <c r="J116" i="1"/>
  <c r="M116" i="1" s="1"/>
  <c r="G116" i="1"/>
  <c r="J117" i="1"/>
  <c r="M117" i="1" s="1"/>
  <c r="G117" i="1"/>
  <c r="J118" i="1"/>
  <c r="M118" i="1" s="1"/>
  <c r="G118" i="1"/>
  <c r="J119" i="1"/>
  <c r="M119" i="1" s="1"/>
  <c r="G119" i="1"/>
  <c r="J120" i="1"/>
  <c r="M120" i="1" s="1"/>
  <c r="G120" i="1"/>
  <c r="J121" i="1"/>
  <c r="M121" i="1" s="1"/>
  <c r="G121" i="1"/>
  <c r="J122" i="1"/>
  <c r="M122" i="1" s="1"/>
  <c r="G122" i="1"/>
  <c r="J123" i="1"/>
  <c r="M123" i="1" s="1"/>
  <c r="G123" i="1"/>
  <c r="J124" i="1"/>
  <c r="M124" i="1" s="1"/>
  <c r="G124" i="1"/>
  <c r="J125" i="1"/>
  <c r="M125" i="1" s="1"/>
  <c r="G125" i="1"/>
  <c r="J126" i="1"/>
  <c r="M126" i="1" s="1"/>
  <c r="G126" i="1"/>
  <c r="J127" i="1"/>
  <c r="M127" i="1" s="1"/>
  <c r="G127" i="1"/>
  <c r="J128" i="1"/>
  <c r="M128" i="1" s="1"/>
  <c r="G128" i="1"/>
  <c r="J129" i="1"/>
  <c r="M129" i="1" s="1"/>
  <c r="G129" i="1"/>
  <c r="J130" i="1"/>
  <c r="M130" i="1" s="1"/>
  <c r="G130" i="1"/>
  <c r="J131" i="1"/>
  <c r="M131" i="1" s="1"/>
  <c r="G131" i="1"/>
  <c r="J132" i="1"/>
  <c r="M132" i="1" s="1"/>
  <c r="G132" i="1"/>
  <c r="J133" i="1"/>
  <c r="M133" i="1" s="1"/>
  <c r="G133" i="1"/>
  <c r="J134" i="1"/>
  <c r="M134" i="1" s="1"/>
  <c r="G134" i="1"/>
  <c r="J135" i="1"/>
  <c r="M135" i="1" s="1"/>
  <c r="G135" i="1"/>
  <c r="J136" i="1"/>
  <c r="M136" i="1" s="1"/>
  <c r="G136" i="1"/>
  <c r="J137" i="1"/>
  <c r="M137" i="1" s="1"/>
  <c r="G137" i="1"/>
  <c r="J138" i="1"/>
  <c r="M138" i="1" s="1"/>
  <c r="G138" i="1"/>
  <c r="J139" i="1"/>
  <c r="M139" i="1" s="1"/>
  <c r="G139" i="1"/>
  <c r="J140" i="1"/>
  <c r="M140" i="1" s="1"/>
  <c r="G140" i="1"/>
  <c r="J141" i="1"/>
  <c r="M141" i="1" s="1"/>
  <c r="G141" i="1"/>
  <c r="J142" i="1"/>
  <c r="M142" i="1" s="1"/>
  <c r="G142" i="1"/>
  <c r="J143" i="1"/>
  <c r="M143" i="1" s="1"/>
  <c r="G143" i="1"/>
  <c r="J144" i="1"/>
  <c r="M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J146" i="1"/>
  <c r="M146" i="1" s="1"/>
  <c r="G146" i="1"/>
  <c r="J147" i="1"/>
  <c r="M147" i="1" s="1"/>
  <c r="G147" i="1"/>
  <c r="J148" i="1"/>
  <c r="M148" i="1" s="1"/>
  <c r="G148" i="1"/>
  <c r="J149" i="1"/>
  <c r="M149" i="1" s="1"/>
  <c r="G149" i="1"/>
  <c r="J150" i="1"/>
  <c r="M150" i="1" s="1"/>
  <c r="G150" i="1"/>
  <c r="J151" i="1"/>
  <c r="M151" i="1" s="1"/>
  <c r="G151" i="1"/>
  <c r="J152" i="1"/>
  <c r="M152" i="1" s="1"/>
  <c r="G152" i="1"/>
  <c r="J153" i="1"/>
  <c r="M153" i="1" s="1"/>
  <c r="G153" i="1"/>
  <c r="J154" i="1"/>
  <c r="M154" i="1" s="1"/>
  <c r="G154" i="1"/>
  <c r="J155" i="1"/>
  <c r="M155" i="1" s="1"/>
  <c r="G155" i="1"/>
  <c r="J156" i="1"/>
  <c r="M156" i="1" s="1"/>
  <c r="G156" i="1"/>
  <c r="J157" i="1"/>
  <c r="M157" i="1" s="1"/>
  <c r="G157" i="1"/>
  <c r="J158" i="1"/>
  <c r="M158" i="1" s="1"/>
  <c r="G158" i="1"/>
  <c r="J159" i="1"/>
  <c r="M159" i="1" s="1"/>
  <c r="G159" i="1"/>
  <c r="J160" i="1"/>
  <c r="M160" i="1" s="1"/>
  <c r="G160" i="1"/>
  <c r="J161" i="1"/>
  <c r="M161" i="1" s="1"/>
  <c r="G161" i="1"/>
  <c r="J162" i="1"/>
  <c r="M162" i="1" s="1"/>
  <c r="G162" i="1"/>
  <c r="J163" i="1"/>
  <c r="M163" i="1" s="1"/>
  <c r="G163" i="1"/>
  <c r="J164" i="1"/>
  <c r="M164" i="1" s="1"/>
  <c r="G164" i="1"/>
  <c r="J165" i="1"/>
  <c r="M165" i="1" s="1"/>
  <c r="G165" i="1"/>
  <c r="J166" i="1"/>
  <c r="M166" i="1" s="1"/>
  <c r="G166" i="1"/>
  <c r="J167" i="1"/>
  <c r="M167" i="1" s="1"/>
  <c r="G167" i="1"/>
  <c r="J168" i="1"/>
  <c r="M168" i="1" s="1"/>
  <c r="G168" i="1"/>
  <c r="J169" i="1"/>
  <c r="M169" i="1" s="1"/>
  <c r="G169" i="1"/>
  <c r="J170" i="1"/>
  <c r="M170" i="1" s="1"/>
  <c r="G170" i="1"/>
  <c r="J171" i="1"/>
  <c r="M171" i="1" s="1"/>
  <c r="G171" i="1"/>
  <c r="J172" i="1"/>
  <c r="M172" i="1" s="1"/>
  <c r="G172" i="1"/>
  <c r="J173" i="1"/>
  <c r="M173" i="1" s="1"/>
  <c r="G173" i="1"/>
  <c r="J174" i="1"/>
  <c r="M174" i="1" s="1"/>
  <c r="G174" i="1"/>
  <c r="J175" i="1"/>
  <c r="M175" i="1" s="1"/>
  <c r="G175" i="1"/>
  <c r="J176" i="1"/>
  <c r="M176" i="1" s="1"/>
  <c r="G176" i="1"/>
  <c r="J177" i="1"/>
  <c r="M177" i="1" s="1"/>
  <c r="G177" i="1"/>
  <c r="J178" i="1"/>
  <c r="M178" i="1" s="1"/>
  <c r="G178" i="1"/>
  <c r="J179" i="1"/>
  <c r="M179" i="1" s="1"/>
  <c r="G179" i="1"/>
  <c r="J180" i="1"/>
  <c r="M180" i="1" s="1"/>
  <c r="G180" i="1"/>
  <c r="J181" i="1"/>
  <c r="M181" i="1" s="1"/>
  <c r="G181" i="1"/>
  <c r="J182" i="1"/>
  <c r="M182" i="1" s="1"/>
  <c r="G182" i="1"/>
  <c r="J183" i="1"/>
  <c r="M183" i="1" s="1"/>
  <c r="G183" i="1"/>
  <c r="J184" i="1"/>
  <c r="M184" i="1" s="1"/>
  <c r="G184" i="1"/>
  <c r="J185" i="1"/>
  <c r="M185" i="1" s="1"/>
  <c r="G185" i="1"/>
  <c r="J186" i="1"/>
  <c r="M186" i="1" s="1"/>
  <c r="G186" i="1"/>
  <c r="J187" i="1"/>
  <c r="M187" i="1" s="1"/>
  <c r="G187" i="1"/>
  <c r="N145" i="1" l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I1" i="3" l="1"/>
  <c r="K288" i="1"/>
  <c r="P288" i="1" s="1"/>
  <c r="K299" i="1"/>
  <c r="P299" i="1" s="1"/>
  <c r="K273" i="1"/>
  <c r="P273" i="1" s="1"/>
  <c r="K247" i="1"/>
  <c r="P247" i="1" s="1"/>
  <c r="K228" i="1"/>
  <c r="P228" i="1" s="1"/>
  <c r="K212" i="1"/>
  <c r="P212" i="1" s="1"/>
  <c r="K221" i="1"/>
  <c r="P221" i="1" s="1"/>
  <c r="K297" i="1"/>
  <c r="P297" i="1" s="1"/>
  <c r="K277" i="1"/>
  <c r="P277" i="1" s="1"/>
  <c r="K253" i="1"/>
  <c r="P253" i="1" s="1"/>
  <c r="K300" i="1"/>
  <c r="P300" i="1" s="1"/>
  <c r="K280" i="1"/>
  <c r="P280" i="1" s="1"/>
  <c r="K266" i="1"/>
  <c r="P266" i="1" s="1"/>
  <c r="K258" i="1"/>
  <c r="P258" i="1" s="1"/>
  <c r="K250" i="1"/>
  <c r="P250" i="1" s="1"/>
  <c r="K242" i="1"/>
  <c r="P242" i="1" s="1"/>
  <c r="K234" i="1"/>
  <c r="P234" i="1" s="1"/>
  <c r="K218" i="1"/>
  <c r="P218" i="1" s="1"/>
  <c r="K287" i="1"/>
  <c r="P287" i="1" s="1"/>
  <c r="K263" i="1"/>
  <c r="P263" i="1" s="1"/>
  <c r="K237" i="1"/>
  <c r="P237" i="1" s="1"/>
  <c r="K290" i="1"/>
  <c r="P290" i="1" s="1"/>
  <c r="K274" i="1"/>
  <c r="P274" i="1" s="1"/>
  <c r="K223" i="1"/>
  <c r="P223" i="1" s="1"/>
  <c r="K291" i="1"/>
  <c r="P291" i="1" s="1"/>
  <c r="K267" i="1"/>
  <c r="P267" i="1" s="1"/>
  <c r="K241" i="1"/>
  <c r="P241" i="1" s="1"/>
  <c r="K224" i="1"/>
  <c r="P224" i="1" s="1"/>
  <c r="K233" i="1"/>
  <c r="P233" i="1" s="1"/>
  <c r="K217" i="1"/>
  <c r="P217" i="1" s="1"/>
  <c r="K293" i="1"/>
  <c r="P293" i="1" s="1"/>
  <c r="K271" i="1"/>
  <c r="P271" i="1" s="1"/>
  <c r="K249" i="1"/>
  <c r="P249" i="1" s="1"/>
  <c r="K296" i="1"/>
  <c r="P296" i="1" s="1"/>
  <c r="K276" i="1"/>
  <c r="P276" i="1" s="1"/>
  <c r="K264" i="1"/>
  <c r="P264" i="1" s="1"/>
  <c r="K256" i="1"/>
  <c r="P256" i="1" s="1"/>
  <c r="K248" i="1"/>
  <c r="P248" i="1" s="1"/>
  <c r="K240" i="1"/>
  <c r="P240" i="1" s="1"/>
  <c r="K230" i="1"/>
  <c r="P230" i="1" s="1"/>
  <c r="K214" i="1"/>
  <c r="P214" i="1" s="1"/>
  <c r="K281" i="1"/>
  <c r="P281" i="1" s="1"/>
  <c r="K257" i="1"/>
  <c r="P257" i="1" s="1"/>
  <c r="K302" i="1"/>
  <c r="P302" i="1" s="1"/>
  <c r="K286" i="1"/>
  <c r="P286" i="1" s="1"/>
  <c r="K268" i="1"/>
  <c r="P268" i="1" s="1"/>
  <c r="K219" i="1"/>
  <c r="P219" i="1" s="1"/>
  <c r="K285" i="1"/>
  <c r="P285" i="1" s="1"/>
  <c r="K261" i="1"/>
  <c r="P261" i="1" s="1"/>
  <c r="K235" i="1"/>
  <c r="P235" i="1" s="1"/>
  <c r="K220" i="1"/>
  <c r="P220" i="1" s="1"/>
  <c r="K229" i="1"/>
  <c r="P229" i="1" s="1"/>
  <c r="K213" i="1"/>
  <c r="P213" i="1" s="1"/>
  <c r="K289" i="1"/>
  <c r="P289" i="1" s="1"/>
  <c r="K265" i="1"/>
  <c r="P265" i="1" s="1"/>
  <c r="K243" i="1"/>
  <c r="P243" i="1" s="1"/>
  <c r="K292" i="1"/>
  <c r="P292" i="1" s="1"/>
  <c r="K272" i="1"/>
  <c r="P272" i="1" s="1"/>
  <c r="K262" i="1"/>
  <c r="P262" i="1" s="1"/>
  <c r="K254" i="1"/>
  <c r="P254" i="1" s="1"/>
  <c r="K246" i="1"/>
  <c r="P246" i="1" s="1"/>
  <c r="K238" i="1"/>
  <c r="P238" i="1" s="1"/>
  <c r="K226" i="1"/>
  <c r="P226" i="1" s="1"/>
  <c r="K301" i="1"/>
  <c r="P301" i="1" s="1"/>
  <c r="K275" i="1"/>
  <c r="P275" i="1" s="1"/>
  <c r="K251" i="1"/>
  <c r="P251" i="1" s="1"/>
  <c r="K298" i="1"/>
  <c r="P298" i="1" s="1"/>
  <c r="K282" i="1"/>
  <c r="P282" i="1" s="1"/>
  <c r="K231" i="1"/>
  <c r="P231" i="1" s="1"/>
  <c r="K215" i="1"/>
  <c r="P215" i="1" s="1"/>
  <c r="K279" i="1"/>
  <c r="P279" i="1" s="1"/>
  <c r="K225" i="1"/>
  <c r="P225" i="1" s="1"/>
  <c r="K239" i="1"/>
  <c r="P239" i="1" s="1"/>
  <c r="K252" i="1"/>
  <c r="P252" i="1" s="1"/>
  <c r="K295" i="1"/>
  <c r="P295" i="1" s="1"/>
  <c r="K278" i="1"/>
  <c r="P278" i="1" s="1"/>
  <c r="K255" i="1"/>
  <c r="P255" i="1" s="1"/>
  <c r="K303" i="1"/>
  <c r="P303" i="1" s="1"/>
  <c r="K284" i="1"/>
  <c r="P284" i="1" s="1"/>
  <c r="K244" i="1"/>
  <c r="P244" i="1" s="1"/>
  <c r="K269" i="1"/>
  <c r="P269" i="1" s="1"/>
  <c r="K227" i="1"/>
  <c r="P227" i="1" s="1"/>
  <c r="K232" i="1"/>
  <c r="P232" i="1" s="1"/>
  <c r="K283" i="1"/>
  <c r="P283" i="1" s="1"/>
  <c r="K270" i="1"/>
  <c r="P270" i="1" s="1"/>
  <c r="K236" i="1"/>
  <c r="P236" i="1" s="1"/>
  <c r="K245" i="1"/>
  <c r="P245" i="1" s="1"/>
  <c r="K216" i="1"/>
  <c r="P216" i="1" s="1"/>
  <c r="K294" i="1"/>
  <c r="P294" i="1" s="1"/>
  <c r="K259" i="1"/>
  <c r="P259" i="1" s="1"/>
  <c r="K222" i="1"/>
  <c r="P222" i="1" s="1"/>
  <c r="K260" i="1"/>
  <c r="P260" i="1" s="1"/>
  <c r="K187" i="1"/>
  <c r="K165" i="1"/>
  <c r="P165" i="1" s="1"/>
  <c r="K144" i="1"/>
  <c r="K136" i="1"/>
  <c r="K128" i="1"/>
  <c r="K161" i="1"/>
  <c r="P161" i="1" s="1"/>
  <c r="K182" i="1"/>
  <c r="P182" i="1" s="1"/>
  <c r="K174" i="1"/>
  <c r="K169" i="1"/>
  <c r="K145" i="1"/>
  <c r="P145" i="1" s="1"/>
  <c r="K122" i="1"/>
  <c r="K114" i="1"/>
  <c r="K106" i="1"/>
  <c r="K98" i="1"/>
  <c r="K90" i="1"/>
  <c r="K82" i="1"/>
  <c r="K74" i="1"/>
  <c r="K66" i="1"/>
  <c r="K58" i="1"/>
  <c r="K50" i="1"/>
  <c r="K42" i="1"/>
  <c r="K34" i="1"/>
  <c r="K26" i="1"/>
  <c r="K18" i="1"/>
  <c r="K10" i="1"/>
  <c r="K209" i="1"/>
  <c r="P209" i="1" s="1"/>
  <c r="K201" i="1"/>
  <c r="P201" i="1" s="1"/>
  <c r="K193" i="1"/>
  <c r="P193" i="1" s="1"/>
  <c r="K170" i="1"/>
  <c r="K162" i="1"/>
  <c r="P162" i="1" s="1"/>
  <c r="K154" i="1"/>
  <c r="P154" i="1" s="1"/>
  <c r="K146" i="1"/>
  <c r="K137" i="1"/>
  <c r="K129" i="1"/>
  <c r="K121" i="1"/>
  <c r="K113" i="1"/>
  <c r="K105" i="1"/>
  <c r="K97" i="1"/>
  <c r="K89" i="1"/>
  <c r="K81" i="1"/>
  <c r="K73" i="1"/>
  <c r="K65" i="1"/>
  <c r="K57" i="1"/>
  <c r="K49" i="1"/>
  <c r="K41" i="1"/>
  <c r="K33" i="1"/>
  <c r="K25" i="1"/>
  <c r="K17" i="1"/>
  <c r="K9" i="1"/>
  <c r="K208" i="1"/>
  <c r="P208" i="1" s="1"/>
  <c r="K200" i="1"/>
  <c r="P200" i="1" s="1"/>
  <c r="K192" i="1"/>
  <c r="P192" i="1" s="1"/>
  <c r="K149" i="1"/>
  <c r="K92" i="1"/>
  <c r="K60" i="1"/>
  <c r="K28" i="1"/>
  <c r="K211" i="1"/>
  <c r="P211" i="1" s="1"/>
  <c r="K195" i="1"/>
  <c r="P195" i="1" s="1"/>
  <c r="K156" i="1"/>
  <c r="P156" i="1" s="1"/>
  <c r="K131" i="1"/>
  <c r="K107" i="1"/>
  <c r="K83" i="1"/>
  <c r="K59" i="1"/>
  <c r="K35" i="1"/>
  <c r="K210" i="1"/>
  <c r="P210" i="1" s="1"/>
  <c r="K183" i="1"/>
  <c r="P183" i="1" s="1"/>
  <c r="K159" i="1"/>
  <c r="P159" i="1" s="1"/>
  <c r="K142" i="1"/>
  <c r="K134" i="1"/>
  <c r="K181" i="1"/>
  <c r="P181" i="1" s="1"/>
  <c r="K153" i="1"/>
  <c r="P153" i="1" s="1"/>
  <c r="K180" i="1"/>
  <c r="K185" i="1"/>
  <c r="K163" i="1"/>
  <c r="P163" i="1" s="1"/>
  <c r="K186" i="1"/>
  <c r="P186" i="1" s="1"/>
  <c r="K120" i="1"/>
  <c r="K112" i="1"/>
  <c r="K104" i="1"/>
  <c r="K96" i="1"/>
  <c r="K88" i="1"/>
  <c r="K80" i="1"/>
  <c r="K72" i="1"/>
  <c r="K64" i="1"/>
  <c r="K56" i="1"/>
  <c r="K48" i="1"/>
  <c r="K40" i="1"/>
  <c r="K32" i="1"/>
  <c r="K24" i="1"/>
  <c r="K16" i="1"/>
  <c r="K8" i="1"/>
  <c r="K207" i="1"/>
  <c r="P207" i="1" s="1"/>
  <c r="K199" i="1"/>
  <c r="P199" i="1" s="1"/>
  <c r="K191" i="1"/>
  <c r="P191" i="1" s="1"/>
  <c r="K168" i="1"/>
  <c r="P168" i="1" s="1"/>
  <c r="K160" i="1"/>
  <c r="P160" i="1" s="1"/>
  <c r="K152" i="1"/>
  <c r="K143" i="1"/>
  <c r="K135" i="1"/>
  <c r="K127" i="1"/>
  <c r="K119" i="1"/>
  <c r="K111" i="1"/>
  <c r="K103" i="1"/>
  <c r="K95" i="1"/>
  <c r="K87" i="1"/>
  <c r="K79" i="1"/>
  <c r="K71" i="1"/>
  <c r="K63" i="1"/>
  <c r="K55" i="1"/>
  <c r="K47" i="1"/>
  <c r="K39" i="1"/>
  <c r="K31" i="1"/>
  <c r="K23" i="1"/>
  <c r="K15" i="1"/>
  <c r="K7" i="1"/>
  <c r="K206" i="1"/>
  <c r="P206" i="1" s="1"/>
  <c r="K198" i="1"/>
  <c r="P198" i="1" s="1"/>
  <c r="K190" i="1"/>
  <c r="P190" i="1" s="1"/>
  <c r="K173" i="1"/>
  <c r="K171" i="1"/>
  <c r="P171" i="1" s="1"/>
  <c r="K124" i="1"/>
  <c r="K108" i="1"/>
  <c r="K84" i="1"/>
  <c r="K68" i="1"/>
  <c r="K52" i="1"/>
  <c r="K36" i="1"/>
  <c r="K20" i="1"/>
  <c r="K203" i="1"/>
  <c r="P203" i="1" s="1"/>
  <c r="K164" i="1"/>
  <c r="K139" i="1"/>
  <c r="K123" i="1"/>
  <c r="K99" i="1"/>
  <c r="K67" i="1"/>
  <c r="K43" i="1"/>
  <c r="K27" i="1"/>
  <c r="K11" i="1"/>
  <c r="K194" i="1"/>
  <c r="P194" i="1" s="1"/>
  <c r="K177" i="1"/>
  <c r="K155" i="1"/>
  <c r="P155" i="1" s="1"/>
  <c r="K140" i="1"/>
  <c r="K132" i="1"/>
  <c r="K175" i="1"/>
  <c r="K147" i="1"/>
  <c r="P147" i="1" s="1"/>
  <c r="K178" i="1"/>
  <c r="P178" i="1" s="1"/>
  <c r="K179" i="1"/>
  <c r="K157" i="1"/>
  <c r="P157" i="1" s="1"/>
  <c r="K126" i="1"/>
  <c r="K118" i="1"/>
  <c r="K110" i="1"/>
  <c r="K102" i="1"/>
  <c r="K94" i="1"/>
  <c r="K86" i="1"/>
  <c r="K78" i="1"/>
  <c r="K70" i="1"/>
  <c r="K62" i="1"/>
  <c r="K54" i="1"/>
  <c r="K46" i="1"/>
  <c r="K38" i="1"/>
  <c r="K30" i="1"/>
  <c r="K22" i="1"/>
  <c r="K14" i="1"/>
  <c r="K6" i="1"/>
  <c r="K205" i="1"/>
  <c r="P205" i="1" s="1"/>
  <c r="K197" i="1"/>
  <c r="P197" i="1" s="1"/>
  <c r="K189" i="1"/>
  <c r="P189" i="1" s="1"/>
  <c r="K166" i="1"/>
  <c r="P166" i="1" s="1"/>
  <c r="K158" i="1"/>
  <c r="K150" i="1"/>
  <c r="P150" i="1" s="1"/>
  <c r="K141" i="1"/>
  <c r="K133" i="1"/>
  <c r="K125" i="1"/>
  <c r="K117" i="1"/>
  <c r="K109" i="1"/>
  <c r="K101" i="1"/>
  <c r="K93" i="1"/>
  <c r="K85" i="1"/>
  <c r="K77" i="1"/>
  <c r="K69" i="1"/>
  <c r="K61" i="1"/>
  <c r="K53" i="1"/>
  <c r="K45" i="1"/>
  <c r="K37" i="1"/>
  <c r="K29" i="1"/>
  <c r="K21" i="1"/>
  <c r="K13" i="1"/>
  <c r="K5" i="1"/>
  <c r="K204" i="1"/>
  <c r="P204" i="1" s="1"/>
  <c r="K196" i="1"/>
  <c r="P196" i="1" s="1"/>
  <c r="K188" i="1"/>
  <c r="P188" i="1" s="1"/>
  <c r="K138" i="1"/>
  <c r="K130" i="1"/>
  <c r="K167" i="1"/>
  <c r="P167" i="1" s="1"/>
  <c r="K184" i="1"/>
  <c r="K176" i="1"/>
  <c r="P176" i="1" s="1"/>
  <c r="K151" i="1"/>
  <c r="P151" i="1" s="1"/>
  <c r="K116" i="1"/>
  <c r="K100" i="1"/>
  <c r="K76" i="1"/>
  <c r="K44" i="1"/>
  <c r="K12" i="1"/>
  <c r="K172" i="1"/>
  <c r="K148" i="1"/>
  <c r="K115" i="1"/>
  <c r="K91" i="1"/>
  <c r="K75" i="1"/>
  <c r="K51" i="1"/>
  <c r="K19" i="1"/>
  <c r="K202" i="1"/>
  <c r="P202" i="1" s="1"/>
  <c r="P146" i="1"/>
  <c r="P148" i="1"/>
  <c r="P152" i="1"/>
  <c r="P158" i="1"/>
  <c r="P164" i="1"/>
  <c r="P170" i="1"/>
  <c r="P172" i="1"/>
  <c r="P174" i="1"/>
  <c r="P180" i="1"/>
  <c r="P184" i="1"/>
  <c r="P149" i="1"/>
  <c r="P173" i="1"/>
  <c r="P175" i="1"/>
  <c r="P169" i="1"/>
  <c r="P177" i="1"/>
  <c r="P185" i="1"/>
  <c r="P179" i="1"/>
  <c r="P187" i="1"/>
  <c r="L177" i="3" l="1"/>
  <c r="L195" i="3"/>
  <c r="L171" i="3"/>
  <c r="L151" i="3"/>
  <c r="L135" i="3"/>
  <c r="L119" i="3"/>
  <c r="L161" i="3"/>
  <c r="L125" i="3"/>
  <c r="L173" i="3"/>
  <c r="L167" i="3"/>
  <c r="L182" i="3"/>
  <c r="L166" i="3"/>
  <c r="L150" i="3"/>
  <c r="L134" i="3"/>
  <c r="L118" i="3"/>
  <c r="L102" i="3"/>
  <c r="L86" i="3"/>
  <c r="L70" i="3"/>
  <c r="L54" i="3"/>
  <c r="L38" i="3"/>
  <c r="L22" i="3"/>
  <c r="L6" i="3"/>
  <c r="L133" i="3"/>
  <c r="L105" i="3"/>
  <c r="L89" i="3"/>
  <c r="L73" i="3"/>
  <c r="L57" i="3"/>
  <c r="L41" i="3"/>
  <c r="L25" i="3"/>
  <c r="L9" i="3"/>
  <c r="L172" i="3"/>
  <c r="L152" i="3"/>
  <c r="L103" i="3"/>
  <c r="L87" i="3"/>
  <c r="L71" i="3"/>
  <c r="L55" i="3"/>
  <c r="L39" i="3"/>
  <c r="L23" i="3"/>
  <c r="L7" i="3"/>
  <c r="L164" i="3"/>
  <c r="L136" i="3"/>
  <c r="L120" i="3"/>
  <c r="L104" i="3"/>
  <c r="L88" i="3"/>
  <c r="L72" i="3"/>
  <c r="L56" i="3"/>
  <c r="L40" i="3"/>
  <c r="L24" i="3"/>
  <c r="L8" i="3"/>
  <c r="L198" i="3"/>
  <c r="L209" i="3"/>
  <c r="L216" i="3"/>
  <c r="L215" i="3"/>
  <c r="L214" i="3"/>
  <c r="L208" i="3"/>
  <c r="L196" i="3"/>
  <c r="L155" i="3"/>
  <c r="L183" i="3"/>
  <c r="L154" i="3"/>
  <c r="L106" i="3"/>
  <c r="L42" i="3"/>
  <c r="L10" i="3"/>
  <c r="L93" i="3"/>
  <c r="L45" i="3"/>
  <c r="L176" i="3"/>
  <c r="L91" i="3"/>
  <c r="L43" i="3"/>
  <c r="L11" i="3"/>
  <c r="L124" i="3"/>
  <c r="L60" i="3"/>
  <c r="L28" i="3"/>
  <c r="L213" i="3"/>
  <c r="L203" i="3"/>
  <c r="L200" i="3"/>
  <c r="L192" i="3"/>
  <c r="L187" i="3"/>
  <c r="L163" i="3"/>
  <c r="L147" i="3"/>
  <c r="L131" i="3"/>
  <c r="L185" i="3"/>
  <c r="L153" i="3"/>
  <c r="L121" i="3"/>
  <c r="L141" i="3"/>
  <c r="L194" i="3"/>
  <c r="L178" i="3"/>
  <c r="L162" i="3"/>
  <c r="L146" i="3"/>
  <c r="L130" i="3"/>
  <c r="L114" i="3"/>
  <c r="L98" i="3"/>
  <c r="L82" i="3"/>
  <c r="L66" i="3"/>
  <c r="L50" i="3"/>
  <c r="L34" i="3"/>
  <c r="L18" i="3"/>
  <c r="L181" i="3"/>
  <c r="L117" i="3"/>
  <c r="L101" i="3"/>
  <c r="L85" i="3"/>
  <c r="L69" i="3"/>
  <c r="L53" i="3"/>
  <c r="L37" i="3"/>
  <c r="L21" i="3"/>
  <c r="L5" i="3"/>
  <c r="L168" i="3"/>
  <c r="L115" i="3"/>
  <c r="L99" i="3"/>
  <c r="L83" i="3"/>
  <c r="L67" i="3"/>
  <c r="L51" i="3"/>
  <c r="L35" i="3"/>
  <c r="L19" i="3"/>
  <c r="L3" i="3"/>
  <c r="L148" i="3"/>
  <c r="L132" i="3"/>
  <c r="L116" i="3"/>
  <c r="L100" i="3"/>
  <c r="L84" i="3"/>
  <c r="L68" i="3"/>
  <c r="L52" i="3"/>
  <c r="L36" i="3"/>
  <c r="L20" i="3"/>
  <c r="L4" i="3"/>
  <c r="L221" i="3"/>
  <c r="L201" i="3"/>
  <c r="L212" i="3"/>
  <c r="L211" i="3"/>
  <c r="L210" i="3"/>
  <c r="L204" i="3"/>
  <c r="L199" i="3"/>
  <c r="L175" i="3"/>
  <c r="L129" i="3"/>
  <c r="L170" i="3"/>
  <c r="L122" i="3"/>
  <c r="L74" i="3"/>
  <c r="L26" i="3"/>
  <c r="L109" i="3"/>
  <c r="L61" i="3"/>
  <c r="L13" i="3"/>
  <c r="L107" i="3"/>
  <c r="L59" i="3"/>
  <c r="L180" i="3"/>
  <c r="L108" i="3"/>
  <c r="L76" i="3"/>
  <c r="L12" i="3"/>
  <c r="L220" i="3"/>
  <c r="L205" i="3"/>
  <c r="L188" i="3"/>
  <c r="L179" i="3"/>
  <c r="L159" i="3"/>
  <c r="L143" i="3"/>
  <c r="L127" i="3"/>
  <c r="L189" i="3"/>
  <c r="L145" i="3"/>
  <c r="L193" i="3"/>
  <c r="L191" i="3"/>
  <c r="L190" i="3"/>
  <c r="L174" i="3"/>
  <c r="L158" i="3"/>
  <c r="L142" i="3"/>
  <c r="L126" i="3"/>
  <c r="L110" i="3"/>
  <c r="L94" i="3"/>
  <c r="L78" i="3"/>
  <c r="L62" i="3"/>
  <c r="L46" i="3"/>
  <c r="L30" i="3"/>
  <c r="L14" i="3"/>
  <c r="L165" i="3"/>
  <c r="L113" i="3"/>
  <c r="L97" i="3"/>
  <c r="L81" i="3"/>
  <c r="L65" i="3"/>
  <c r="L49" i="3"/>
  <c r="L33" i="3"/>
  <c r="L17" i="3"/>
  <c r="L184" i="3"/>
  <c r="L160" i="3"/>
  <c r="L111" i="3"/>
  <c r="L95" i="3"/>
  <c r="L79" i="3"/>
  <c r="L63" i="3"/>
  <c r="L47" i="3"/>
  <c r="L31" i="3"/>
  <c r="L15" i="3"/>
  <c r="L2" i="3"/>
  <c r="L144" i="3"/>
  <c r="L128" i="3"/>
  <c r="L112" i="3"/>
  <c r="L96" i="3"/>
  <c r="L80" i="3"/>
  <c r="L64" i="3"/>
  <c r="L48" i="3"/>
  <c r="L32" i="3"/>
  <c r="L16" i="3"/>
  <c r="L218" i="3"/>
  <c r="L217" i="3"/>
  <c r="L197" i="3"/>
  <c r="L223" i="3"/>
  <c r="L207" i="3"/>
  <c r="L206" i="3"/>
  <c r="L202" i="3"/>
  <c r="L157" i="3"/>
  <c r="L139" i="3"/>
  <c r="L123" i="3"/>
  <c r="L169" i="3"/>
  <c r="L137" i="3"/>
  <c r="L186" i="3"/>
  <c r="L138" i="3"/>
  <c r="L90" i="3"/>
  <c r="L58" i="3"/>
  <c r="L149" i="3"/>
  <c r="L77" i="3"/>
  <c r="L29" i="3"/>
  <c r="L156" i="3"/>
  <c r="L75" i="3"/>
  <c r="L27" i="3"/>
  <c r="L140" i="3"/>
  <c r="L92" i="3"/>
  <c r="L44" i="3"/>
  <c r="L222" i="3"/>
  <c r="L219" i="3"/>
  <c r="J4" i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<sst xmlns="http://schemas.openxmlformats.org/spreadsheetml/2006/main" count="40" uniqueCount="36">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</sst>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H273" zoomScaleNormal="100" workbookViewId="0">
      <selection activeCell="Q285" sqref="Q285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-0.63371999999999995</v>
      </c>
      <c r="AC3" t="s">
        <v>30</v>
      </c>
    </row>
    <row r="4" spans="1:29" x14ac:dyDescent="0.3">
      <c r="A4">
        <v>7.0680500000000002E-3</v>
      </c>
      <c r="B4">
        <v>0.96018000000000003</v>
      </c>
      <c r="C4">
        <f>A4*B4</f>
        <v>6.7866002490000006E-3</v>
      </c>
      <c r="D4">
        <v>1.6E-2</v>
      </c>
      <c r="E4">
        <v>9.1900000000000003E-3</v>
      </c>
      <c r="F4">
        <f>A4*200</f>
        <v>1.41361</v>
      </c>
      <c r="G4">
        <f>-B4</f>
        <v>-0.96018000000000003</v>
      </c>
      <c r="H4">
        <f t="shared" ref="H4" si="0">-C4*200</f>
        <v>-1.3573200498000002</v>
      </c>
      <c r="I4">
        <v>1</v>
      </c>
      <c r="J4">
        <f>LN(F4/1000)</f>
        <v>-6.5616085628468541</v>
      </c>
      <c r="K4">
        <f>((-G4)-$N$2)</f>
        <v>-0.26154515177521742</v>
      </c>
      <c r="L4">
        <v>1</v>
      </c>
      <c r="M4">
        <f>-1*($S$4+($S$5*J4))</f>
        <v>0.16373046727078161</v>
      </c>
      <c r="N4">
        <f>D4*A4</f>
        <v>1.130888E-4</v>
      </c>
      <c r="O4">
        <f>E4*A4</f>
        <v>6.4955379500000006E-5</v>
      </c>
      <c r="P4">
        <f>-K4-M4-N4-O4</f>
        <v>9.7636640324935811E-2</v>
      </c>
      <c r="R4" s="2" t="s">
        <v>16</v>
      </c>
      <c r="S4">
        <v>-0.48</v>
      </c>
      <c r="V4">
        <v>-6</v>
      </c>
      <c r="W4">
        <f>V4*$S$5+$S$4</f>
        <v>-0.19079999999999997</v>
      </c>
      <c r="Y4">
        <v>0</v>
      </c>
      <c r="Z4">
        <f>$AB$4*Y4+$AB$3</f>
        <v>-0.63371999999999995</v>
      </c>
      <c r="AB4">
        <v>18.104559999999999</v>
      </c>
      <c r="AC4" t="s">
        <v>31</v>
      </c>
    </row>
    <row r="5" spans="1:29" x14ac:dyDescent="0.3">
      <c r="A5">
        <v>5.9513900000000002E-2</v>
      </c>
      <c r="B5">
        <v>0.95874999999999999</v>
      </c>
      <c r="C5">
        <f t="shared" ref="C5:C68" si="1">A5*B5</f>
        <v>5.7058951625E-2</v>
      </c>
      <c r="D5">
        <v>1.6E-2</v>
      </c>
      <c r="E5">
        <v>9.1900000000000003E-3</v>
      </c>
      <c r="F5">
        <f t="shared" ref="F5:F68" si="2">A5*200</f>
        <v>11.90278</v>
      </c>
      <c r="G5">
        <f t="shared" ref="G5:G68" si="3">-B5</f>
        <v>-0.95874999999999999</v>
      </c>
      <c r="H5">
        <f t="shared" ref="H5:H68" si="4">-C5*200</f>
        <v>-11.411790325</v>
      </c>
      <c r="I5">
        <v>1</v>
      </c>
      <c r="J5">
        <f t="shared" ref="J5:J68" si="5">LN(F5/1000)</f>
        <v>-4.4309832927026473</v>
      </c>
      <c r="K5">
        <f t="shared" ref="K5:K68" si="6">((-G5)-$N$2)</f>
        <v>-0.26297515177521746</v>
      </c>
      <c r="L5">
        <v>1</v>
      </c>
      <c r="M5">
        <f t="shared" ref="M5:M68" si="7">-1*($S$4+($S$5*J5))</f>
        <v>0.26642660529173234</v>
      </c>
      <c r="N5">
        <f t="shared" ref="N5:N6" si="8">D5*A5</f>
        <v>9.5222239999999999E-4</v>
      </c>
      <c r="O5">
        <f>E5*A5</f>
        <v>5.4693274100000005E-4</v>
      </c>
      <c r="P5">
        <f>-K5-M5-N5-O5</f>
        <v>-4.9506086575148798E-3</v>
      </c>
      <c r="R5" s="2" t="s">
        <v>17</v>
      </c>
      <c r="S5">
        <v>-4.82E-2</v>
      </c>
      <c r="V5">
        <v>-5.9</v>
      </c>
      <c r="W5">
        <f t="shared" ref="W5:W68" si="9">V5*$S$5+$S$4</f>
        <v>-0.19561999999999996</v>
      </c>
      <c r="Y5">
        <v>0.01</v>
      </c>
      <c r="Z5">
        <f t="shared" ref="Z5:Z31" si="10">$AB$4*Y5+$AB$3</f>
        <v>-0.45267439999999992</v>
      </c>
    </row>
    <row r="6" spans="1:29" x14ac:dyDescent="0.3">
      <c r="A6">
        <v>0.11043225</v>
      </c>
      <c r="B6">
        <v>0.90142</v>
      </c>
      <c r="C6">
        <f t="shared" si="1"/>
        <v>9.9545838794999994E-2</v>
      </c>
      <c r="D6">
        <v>1.6E-2</v>
      </c>
      <c r="E6">
        <v>9.1900000000000003E-3</v>
      </c>
      <c r="F6">
        <f t="shared" si="2"/>
        <v>22.086449999999999</v>
      </c>
      <c r="G6">
        <f t="shared" si="3"/>
        <v>-0.90142</v>
      </c>
      <c r="H6">
        <f t="shared" si="4"/>
        <v>-19.909167758999999</v>
      </c>
      <c r="I6">
        <v>1</v>
      </c>
      <c r="J6">
        <f t="shared" si="5"/>
        <v>-3.8127909806666378</v>
      </c>
      <c r="K6">
        <f t="shared" si="6"/>
        <v>-0.32030515177521746</v>
      </c>
      <c r="L6">
        <v>1</v>
      </c>
      <c r="M6">
        <f t="shared" si="7"/>
        <v>0.29622347473186805</v>
      </c>
      <c r="N6">
        <f t="shared" si="8"/>
        <v>1.7669159999999999E-3</v>
      </c>
      <c r="O6">
        <f t="shared" ref="O6:O69" si="11">E6*A6</f>
        <v>1.0148723775E-3</v>
      </c>
      <c r="P6">
        <f t="shared" ref="P6:P69" si="12">-K6-M6-N6-O6</f>
        <v>2.1299888665849403E-2</v>
      </c>
      <c r="V6">
        <v>-5.8</v>
      </c>
      <c r="W6">
        <f t="shared" si="9"/>
        <v>-0.20044000000000001</v>
      </c>
      <c r="Y6">
        <v>0.02</v>
      </c>
      <c r="Z6">
        <f t="shared" si="10"/>
        <v>-0.27162879999999995</v>
      </c>
      <c r="AB6" t="s">
        <v>32</v>
      </c>
    </row>
    <row r="7" spans="1:29" x14ac:dyDescent="0.3">
      <c r="A7">
        <v>0.16084140000000002</v>
      </c>
      <c r="B7">
        <v>0.87339</v>
      </c>
      <c r="C7">
        <f t="shared" si="1"/>
        <v>0.14047727034600002</v>
      </c>
      <c r="D7">
        <v>1.6E-2</v>
      </c>
      <c r="E7">
        <v>9.1900000000000003E-3</v>
      </c>
      <c r="F7">
        <f t="shared" si="2"/>
        <v>32.168280000000003</v>
      </c>
      <c r="G7">
        <f t="shared" si="3"/>
        <v>-0.87339</v>
      </c>
      <c r="H7">
        <f t="shared" si="4"/>
        <v>-28.095454069200006</v>
      </c>
      <c r="I7">
        <v>1</v>
      </c>
      <c r="J7">
        <f t="shared" si="5"/>
        <v>-3.4367744051226339</v>
      </c>
      <c r="K7">
        <f t="shared" si="6"/>
        <v>-0.34833515177521746</v>
      </c>
      <c r="L7">
        <v>1</v>
      </c>
      <c r="M7">
        <f t="shared" si="7"/>
        <v>0.31434747367308902</v>
      </c>
      <c r="N7">
        <f t="shared" ref="N7:N70" si="13">D7*A7</f>
        <v>2.5734624000000005E-3</v>
      </c>
      <c r="O7">
        <f t="shared" si="11"/>
        <v>1.4781324660000001E-3</v>
      </c>
      <c r="P7">
        <f t="shared" si="12"/>
        <v>2.9936083236128435E-2</v>
      </c>
      <c r="V7">
        <v>-5.7</v>
      </c>
      <c r="W7">
        <f t="shared" si="9"/>
        <v>-0.20526</v>
      </c>
      <c r="Y7">
        <v>0.03</v>
      </c>
      <c r="Z7">
        <f t="shared" si="10"/>
        <v>-9.0583199999999975E-2</v>
      </c>
      <c r="AB7" t="s">
        <v>33</v>
      </c>
      <c r="AC7">
        <f>-AB3/AB4</f>
        <v>3.5003336176079397E-2</v>
      </c>
    </row>
    <row r="8" spans="1:29" x14ac:dyDescent="0.3">
      <c r="A8">
        <v>0.2127781</v>
      </c>
      <c r="B8">
        <v>0.85675999999999997</v>
      </c>
      <c r="C8">
        <f t="shared" si="1"/>
        <v>0.182299764956</v>
      </c>
      <c r="D8">
        <v>1.6E-2</v>
      </c>
      <c r="E8">
        <v>9.1900000000000003E-3</v>
      </c>
      <c r="F8">
        <f t="shared" si="2"/>
        <v>42.555619999999998</v>
      </c>
      <c r="G8">
        <f t="shared" si="3"/>
        <v>-0.85675999999999997</v>
      </c>
      <c r="H8">
        <f t="shared" si="4"/>
        <v>-36.459952991199998</v>
      </c>
      <c r="I8">
        <v>1</v>
      </c>
      <c r="J8">
        <f t="shared" si="5"/>
        <v>-3.1569433527785438</v>
      </c>
      <c r="K8">
        <f t="shared" si="6"/>
        <v>-0.36496515177521749</v>
      </c>
      <c r="L8">
        <v>1</v>
      </c>
      <c r="M8">
        <f t="shared" si="7"/>
        <v>0.32783533039607415</v>
      </c>
      <c r="N8">
        <f t="shared" si="13"/>
        <v>3.4044496000000001E-3</v>
      </c>
      <c r="O8">
        <f t="shared" si="11"/>
        <v>1.9554307389999998E-3</v>
      </c>
      <c r="P8">
        <f t="shared" si="12"/>
        <v>3.1769941040143336E-2</v>
      </c>
      <c r="V8">
        <v>-5.6</v>
      </c>
      <c r="W8">
        <f t="shared" si="9"/>
        <v>-0.21007999999999999</v>
      </c>
      <c r="Y8">
        <v>0.04</v>
      </c>
      <c r="Z8">
        <f t="shared" si="10"/>
        <v>9.0462400000000054E-2</v>
      </c>
    </row>
    <row r="9" spans="1:29" x14ac:dyDescent="0.3">
      <c r="A9">
        <v>0.26318724999999998</v>
      </c>
      <c r="B9">
        <v>0.84470999999999996</v>
      </c>
      <c r="C9">
        <f t="shared" si="1"/>
        <v>0.22231690194749998</v>
      </c>
      <c r="D9">
        <v>1.6E-2</v>
      </c>
      <c r="E9">
        <v>9.1900000000000003E-3</v>
      </c>
      <c r="F9">
        <f t="shared" si="2"/>
        <v>52.637449999999994</v>
      </c>
      <c r="G9">
        <f t="shared" si="3"/>
        <v>-0.84470999999999996</v>
      </c>
      <c r="H9">
        <f t="shared" si="4"/>
        <v>-44.463380389499996</v>
      </c>
      <c r="I9">
        <v>1</v>
      </c>
      <c r="J9">
        <f t="shared" si="5"/>
        <v>-2.9443274353876792</v>
      </c>
      <c r="K9">
        <f t="shared" si="6"/>
        <v>-0.37701515177521749</v>
      </c>
      <c r="L9">
        <v>1</v>
      </c>
      <c r="M9">
        <f t="shared" si="7"/>
        <v>0.33808341761431382</v>
      </c>
      <c r="N9">
        <f t="shared" si="13"/>
        <v>4.2109959999999998E-3</v>
      </c>
      <c r="O9">
        <f t="shared" si="11"/>
        <v>2.4186908274999998E-3</v>
      </c>
      <c r="P9">
        <f t="shared" si="12"/>
        <v>3.2302047333403673E-2</v>
      </c>
      <c r="V9">
        <v>-5.5</v>
      </c>
      <c r="W9">
        <f t="shared" si="9"/>
        <v>-0.21489999999999998</v>
      </c>
      <c r="Y9">
        <v>0.05</v>
      </c>
      <c r="Z9">
        <f t="shared" si="10"/>
        <v>0.27150800000000008</v>
      </c>
      <c r="AB9" t="s">
        <v>35</v>
      </c>
      <c r="AC9">
        <v>3.1940000000000003E-2</v>
      </c>
    </row>
    <row r="10" spans="1:29" x14ac:dyDescent="0.3">
      <c r="A10">
        <v>0.31512395000000004</v>
      </c>
      <c r="B10">
        <v>0.83369000000000004</v>
      </c>
      <c r="C10">
        <f t="shared" si="1"/>
        <v>0.26271568587550004</v>
      </c>
      <c r="D10">
        <v>1.6E-2</v>
      </c>
      <c r="E10">
        <v>9.1900000000000003E-3</v>
      </c>
      <c r="F10">
        <f t="shared" si="2"/>
        <v>63.02479000000001</v>
      </c>
      <c r="G10">
        <f t="shared" si="3"/>
        <v>-0.83369000000000004</v>
      </c>
      <c r="H10">
        <f t="shared" si="4"/>
        <v>-52.543137175100007</v>
      </c>
      <c r="I10">
        <v>1</v>
      </c>
      <c r="J10">
        <f t="shared" si="5"/>
        <v>-2.7642271379248111</v>
      </c>
      <c r="K10">
        <f t="shared" si="6"/>
        <v>-0.38803515177521741</v>
      </c>
      <c r="L10">
        <v>1</v>
      </c>
      <c r="M10">
        <f t="shared" si="7"/>
        <v>0.34676425195202409</v>
      </c>
      <c r="N10">
        <f t="shared" si="13"/>
        <v>5.0419832000000008E-3</v>
      </c>
      <c r="O10">
        <f t="shared" si="11"/>
        <v>2.8959891005000005E-3</v>
      </c>
      <c r="P10">
        <f t="shared" si="12"/>
        <v>3.3332927522693317E-2</v>
      </c>
      <c r="V10">
        <v>-5.4</v>
      </c>
      <c r="W10">
        <f t="shared" si="9"/>
        <v>-0.21971999999999997</v>
      </c>
      <c r="Y10">
        <v>0.06</v>
      </c>
      <c r="Z10">
        <f t="shared" si="10"/>
        <v>0.4525536</v>
      </c>
    </row>
    <row r="11" spans="1:29" x14ac:dyDescent="0.3">
      <c r="A11">
        <v>0.3675698</v>
      </c>
      <c r="B11">
        <v>0.82494999999999996</v>
      </c>
      <c r="C11">
        <f t="shared" si="1"/>
        <v>0.30322670651</v>
      </c>
      <c r="D11">
        <v>1.6E-2</v>
      </c>
      <c r="E11">
        <v>9.1900000000000003E-3</v>
      </c>
      <c r="F11">
        <f t="shared" si="2"/>
        <v>73.513959999999997</v>
      </c>
      <c r="G11">
        <f t="shared" si="3"/>
        <v>-0.82494999999999996</v>
      </c>
      <c r="H11">
        <f t="shared" si="4"/>
        <v>-60.645341301999999</v>
      </c>
      <c r="I11">
        <v>1</v>
      </c>
      <c r="J11">
        <f t="shared" si="5"/>
        <v>-2.6102799588253505</v>
      </c>
      <c r="K11">
        <f t="shared" si="6"/>
        <v>-0.39677515177521749</v>
      </c>
      <c r="L11">
        <v>1</v>
      </c>
      <c r="M11">
        <f t="shared" si="7"/>
        <v>0.35418450598461809</v>
      </c>
      <c r="N11">
        <f t="shared" si="13"/>
        <v>5.8811167999999999E-3</v>
      </c>
      <c r="O11">
        <f t="shared" si="11"/>
        <v>3.3779664619999999E-3</v>
      </c>
      <c r="P11">
        <f t="shared" si="12"/>
        <v>3.3331562528599402E-2</v>
      </c>
      <c r="V11">
        <v>-5.3</v>
      </c>
      <c r="W11">
        <f t="shared" si="9"/>
        <v>-0.22454000000000002</v>
      </c>
      <c r="Y11">
        <v>7.0000000000000007E-2</v>
      </c>
      <c r="Z11">
        <f t="shared" si="10"/>
        <v>0.63359920000000003</v>
      </c>
      <c r="AB11" t="s">
        <v>34</v>
      </c>
      <c r="AC11">
        <f>AC7-AC9</f>
        <v>3.063336176079394E-3</v>
      </c>
    </row>
    <row r="12" spans="1:29" x14ac:dyDescent="0.3">
      <c r="A12">
        <v>0.41797894999999996</v>
      </c>
      <c r="B12">
        <v>0.81650999999999996</v>
      </c>
      <c r="C12">
        <f t="shared" si="1"/>
        <v>0.34128399246449997</v>
      </c>
      <c r="D12">
        <v>1.6E-2</v>
      </c>
      <c r="E12">
        <v>9.1900000000000003E-3</v>
      </c>
      <c r="F12">
        <f t="shared" si="2"/>
        <v>83.595789999999994</v>
      </c>
      <c r="G12">
        <f t="shared" si="3"/>
        <v>-0.81650999999999996</v>
      </c>
      <c r="H12">
        <f t="shared" si="4"/>
        <v>-68.256798492899989</v>
      </c>
      <c r="I12">
        <v>1</v>
      </c>
      <c r="J12">
        <f t="shared" si="5"/>
        <v>-2.4817621190112056</v>
      </c>
      <c r="K12">
        <f t="shared" si="6"/>
        <v>-0.4052151517752175</v>
      </c>
      <c r="L12">
        <v>1</v>
      </c>
      <c r="M12">
        <f t="shared" si="7"/>
        <v>0.36037906586365986</v>
      </c>
      <c r="N12">
        <f t="shared" si="13"/>
        <v>6.6876631999999991E-3</v>
      </c>
      <c r="O12">
        <f t="shared" si="11"/>
        <v>3.8412265504999999E-3</v>
      </c>
      <c r="P12">
        <f t="shared" si="12"/>
        <v>3.4307196161057631E-2</v>
      </c>
      <c r="V12">
        <v>-5.2</v>
      </c>
      <c r="W12">
        <f t="shared" si="9"/>
        <v>-0.22935999999999995</v>
      </c>
      <c r="Y12">
        <v>0.08</v>
      </c>
      <c r="Z12">
        <f t="shared" si="10"/>
        <v>0.81464480000000006</v>
      </c>
      <c r="AC12">
        <f>AC11*3</f>
        <v>9.1900085282381819E-3</v>
      </c>
    </row>
    <row r="13" spans="1:29" x14ac:dyDescent="0.3">
      <c r="A13">
        <v>0.46991559999999999</v>
      </c>
      <c r="B13">
        <v>0.80959999999999999</v>
      </c>
      <c r="C13">
        <f t="shared" si="1"/>
        <v>0.38044366975999999</v>
      </c>
      <c r="D13">
        <v>1.6E-2</v>
      </c>
      <c r="E13">
        <v>9.1900000000000003E-3</v>
      </c>
      <c r="F13">
        <f t="shared" si="2"/>
        <v>93.98312</v>
      </c>
      <c r="G13">
        <f t="shared" si="3"/>
        <v>-0.80959999999999999</v>
      </c>
      <c r="H13">
        <f t="shared" si="4"/>
        <v>-76.088733951999998</v>
      </c>
      <c r="I13">
        <v>1</v>
      </c>
      <c r="J13">
        <f t="shared" si="5"/>
        <v>-2.3646400873056437</v>
      </c>
      <c r="K13">
        <f t="shared" si="6"/>
        <v>-0.41212515177521747</v>
      </c>
      <c r="L13">
        <v>1</v>
      </c>
      <c r="M13">
        <f t="shared" si="7"/>
        <v>0.36602434779186799</v>
      </c>
      <c r="N13">
        <f t="shared" si="13"/>
        <v>7.5186495999999998E-3</v>
      </c>
      <c r="O13">
        <f t="shared" si="11"/>
        <v>4.3185243640000001E-3</v>
      </c>
      <c r="P13">
        <f t="shared" si="12"/>
        <v>3.4263630019349484E-2</v>
      </c>
      <c r="V13">
        <v>-5.0999999999999996</v>
      </c>
      <c r="W13">
        <f t="shared" si="9"/>
        <v>-0.23418</v>
      </c>
      <c r="Y13">
        <v>0.09</v>
      </c>
      <c r="Z13">
        <f t="shared" si="10"/>
        <v>0.99569039999999986</v>
      </c>
    </row>
    <row r="14" spans="1:29" x14ac:dyDescent="0.3">
      <c r="A14">
        <v>0.52032485000000006</v>
      </c>
      <c r="B14">
        <v>0.80183000000000004</v>
      </c>
      <c r="C14">
        <f t="shared" si="1"/>
        <v>0.41721207447550007</v>
      </c>
      <c r="D14">
        <v>1.6E-2</v>
      </c>
      <c r="E14">
        <v>9.1900000000000003E-3</v>
      </c>
      <c r="F14">
        <f t="shared" si="2"/>
        <v>104.06497000000002</v>
      </c>
      <c r="G14">
        <f t="shared" si="3"/>
        <v>-0.80183000000000004</v>
      </c>
      <c r="H14">
        <f t="shared" si="4"/>
        <v>-83.442414895100015</v>
      </c>
      <c r="I14">
        <v>1</v>
      </c>
      <c r="J14">
        <f t="shared" si="5"/>
        <v>-2.2627398633533264</v>
      </c>
      <c r="K14">
        <f t="shared" si="6"/>
        <v>-0.41989515177521741</v>
      </c>
      <c r="L14">
        <v>1</v>
      </c>
      <c r="M14">
        <f t="shared" si="7"/>
        <v>0.37093593858636964</v>
      </c>
      <c r="N14">
        <f t="shared" si="13"/>
        <v>8.3251976000000005E-3</v>
      </c>
      <c r="O14">
        <f t="shared" si="11"/>
        <v>4.7817853715000011E-3</v>
      </c>
      <c r="P14">
        <f t="shared" si="12"/>
        <v>3.5852230217347771E-2</v>
      </c>
      <c r="V14">
        <v>-5</v>
      </c>
      <c r="W14">
        <f t="shared" si="9"/>
        <v>-0.23899999999999999</v>
      </c>
      <c r="Y14">
        <v>0.1</v>
      </c>
      <c r="Z14">
        <f t="shared" si="10"/>
        <v>1.176736</v>
      </c>
    </row>
    <row r="15" spans="1:29" x14ac:dyDescent="0.3">
      <c r="A15">
        <v>0.57226155000000001</v>
      </c>
      <c r="B15">
        <v>0.79566000000000003</v>
      </c>
      <c r="C15">
        <f t="shared" si="1"/>
        <v>0.45532562487300005</v>
      </c>
      <c r="D15">
        <v>1.6E-2</v>
      </c>
      <c r="E15">
        <v>9.1900000000000003E-3</v>
      </c>
      <c r="F15">
        <f t="shared" si="2"/>
        <v>114.45231</v>
      </c>
      <c r="G15">
        <f t="shared" si="3"/>
        <v>-0.79566000000000003</v>
      </c>
      <c r="H15">
        <f t="shared" si="4"/>
        <v>-91.06512497460001</v>
      </c>
      <c r="I15">
        <v>1</v>
      </c>
      <c r="J15">
        <f t="shared" si="5"/>
        <v>-2.1675970493010066</v>
      </c>
      <c r="K15">
        <f t="shared" si="6"/>
        <v>-0.42606515177521742</v>
      </c>
      <c r="L15">
        <v>1</v>
      </c>
      <c r="M15">
        <f t="shared" si="7"/>
        <v>0.37552182222369146</v>
      </c>
      <c r="N15">
        <f t="shared" si="13"/>
        <v>9.1561847999999998E-3</v>
      </c>
      <c r="O15">
        <f t="shared" si="11"/>
        <v>5.2590836445000006E-3</v>
      </c>
      <c r="P15">
        <f t="shared" si="12"/>
        <v>3.6128061107025961E-2</v>
      </c>
      <c r="V15">
        <v>-4.9000000000000004</v>
      </c>
      <c r="W15">
        <f t="shared" si="9"/>
        <v>-0.24381999999999995</v>
      </c>
      <c r="Y15">
        <v>0.11</v>
      </c>
      <c r="Z15">
        <f t="shared" si="10"/>
        <v>1.3577816</v>
      </c>
    </row>
    <row r="16" spans="1:29" x14ac:dyDescent="0.3">
      <c r="A16">
        <v>0.62419825000000007</v>
      </c>
      <c r="B16">
        <v>0.78956999999999999</v>
      </c>
      <c r="C16">
        <f t="shared" si="1"/>
        <v>0.49284821225250003</v>
      </c>
      <c r="D16">
        <v>1.6E-2</v>
      </c>
      <c r="E16">
        <v>9.1900000000000003E-3</v>
      </c>
      <c r="F16">
        <f t="shared" si="2"/>
        <v>124.83965000000001</v>
      </c>
      <c r="G16">
        <f t="shared" si="3"/>
        <v>-0.78956999999999999</v>
      </c>
      <c r="H16">
        <f t="shared" si="4"/>
        <v>-98.569642450500012</v>
      </c>
      <c r="I16">
        <v>1</v>
      </c>
      <c r="J16">
        <f t="shared" si="5"/>
        <v>-2.0807251651720819</v>
      </c>
      <c r="K16">
        <f t="shared" si="6"/>
        <v>-0.43215515177521746</v>
      </c>
      <c r="L16">
        <v>1</v>
      </c>
      <c r="M16">
        <f t="shared" si="7"/>
        <v>0.37970904703870562</v>
      </c>
      <c r="N16">
        <f t="shared" si="13"/>
        <v>9.9871720000000008E-3</v>
      </c>
      <c r="O16">
        <f t="shared" si="11"/>
        <v>5.7363819175000009E-3</v>
      </c>
      <c r="P16">
        <f t="shared" si="12"/>
        <v>3.6722550819011844E-2</v>
      </c>
      <c r="V16">
        <v>-4.8</v>
      </c>
      <c r="W16">
        <f t="shared" si="9"/>
        <v>-0.24864</v>
      </c>
      <c r="Y16">
        <v>0.12</v>
      </c>
      <c r="Z16">
        <f t="shared" si="10"/>
        <v>1.5388272000000001</v>
      </c>
    </row>
    <row r="17" spans="1:26" x14ac:dyDescent="0.3">
      <c r="A17">
        <v>0.67817165000000001</v>
      </c>
      <c r="B17">
        <v>0.78332999999999997</v>
      </c>
      <c r="C17">
        <f t="shared" si="1"/>
        <v>0.53123219859449999</v>
      </c>
      <c r="D17">
        <v>1.6E-2</v>
      </c>
      <c r="E17">
        <v>9.1900000000000003E-3</v>
      </c>
      <c r="F17">
        <f t="shared" si="2"/>
        <v>135.63433000000001</v>
      </c>
      <c r="G17">
        <f t="shared" si="3"/>
        <v>-0.78332999999999997</v>
      </c>
      <c r="H17">
        <f t="shared" si="4"/>
        <v>-106.24643971889999</v>
      </c>
      <c r="I17">
        <v>1</v>
      </c>
      <c r="J17">
        <f t="shared" si="5"/>
        <v>-1.9977927644267892</v>
      </c>
      <c r="K17">
        <f t="shared" si="6"/>
        <v>-0.43839515177521748</v>
      </c>
      <c r="L17">
        <v>1</v>
      </c>
      <c r="M17">
        <f t="shared" si="7"/>
        <v>0.38370638875462876</v>
      </c>
      <c r="N17">
        <f t="shared" si="13"/>
        <v>1.08507464E-2</v>
      </c>
      <c r="O17">
        <f t="shared" si="11"/>
        <v>6.2323974635000003E-3</v>
      </c>
      <c r="P17">
        <f t="shared" si="12"/>
        <v>3.7605619157088724E-2</v>
      </c>
      <c r="V17">
        <v>-4.7</v>
      </c>
      <c r="W17">
        <f t="shared" si="9"/>
        <v>-0.25345999999999996</v>
      </c>
      <c r="Y17">
        <v>0.13</v>
      </c>
      <c r="Z17">
        <f t="shared" si="10"/>
        <v>1.7198728000000001</v>
      </c>
    </row>
    <row r="18" spans="1:26" x14ac:dyDescent="0.3">
      <c r="A18">
        <v>0.73010829999999993</v>
      </c>
      <c r="B18">
        <v>0.77747999999999995</v>
      </c>
      <c r="C18">
        <f t="shared" si="1"/>
        <v>0.56764460108399994</v>
      </c>
      <c r="D18">
        <v>1.6E-2</v>
      </c>
      <c r="E18">
        <v>9.1900000000000003E-3</v>
      </c>
      <c r="F18">
        <f t="shared" si="2"/>
        <v>146.02166</v>
      </c>
      <c r="G18">
        <f t="shared" si="3"/>
        <v>-0.77747999999999995</v>
      </c>
      <c r="H18">
        <f t="shared" si="4"/>
        <v>-113.52892021679999</v>
      </c>
      <c r="I18">
        <v>1</v>
      </c>
      <c r="J18">
        <f t="shared" si="5"/>
        <v>-1.9240003121131046</v>
      </c>
      <c r="K18">
        <f t="shared" si="6"/>
        <v>-0.44424515177521751</v>
      </c>
      <c r="L18">
        <v>1</v>
      </c>
      <c r="M18">
        <f t="shared" si="7"/>
        <v>0.38726318495614831</v>
      </c>
      <c r="N18">
        <f t="shared" si="13"/>
        <v>1.1681732799999999E-2</v>
      </c>
      <c r="O18">
        <f t="shared" si="11"/>
        <v>6.7096952769999992E-3</v>
      </c>
      <c r="P18">
        <f t="shared" si="12"/>
        <v>3.8590538742069198E-2</v>
      </c>
      <c r="V18">
        <v>-4.5999999999999996</v>
      </c>
      <c r="W18">
        <f t="shared" si="9"/>
        <v>-0.25828000000000001</v>
      </c>
      <c r="Y18">
        <v>0.14000000000000001</v>
      </c>
      <c r="Z18">
        <f t="shared" si="10"/>
        <v>1.9009184000000001</v>
      </c>
    </row>
    <row r="19" spans="1:26" x14ac:dyDescent="0.3">
      <c r="A19">
        <v>0.78560929999999995</v>
      </c>
      <c r="B19">
        <v>0.77217999999999998</v>
      </c>
      <c r="C19">
        <f t="shared" si="1"/>
        <v>0.60663178927399997</v>
      </c>
      <c r="D19">
        <v>1.6E-2</v>
      </c>
      <c r="E19">
        <v>9.1900000000000003E-3</v>
      </c>
      <c r="F19">
        <f t="shared" si="2"/>
        <v>157.12186</v>
      </c>
      <c r="G19">
        <f t="shared" si="3"/>
        <v>-0.77217999999999998</v>
      </c>
      <c r="H19">
        <f t="shared" si="4"/>
        <v>-121.32635785479999</v>
      </c>
      <c r="I19">
        <v>1</v>
      </c>
      <c r="J19">
        <f t="shared" si="5"/>
        <v>-1.8507335963605112</v>
      </c>
      <c r="K19">
        <f t="shared" si="6"/>
        <v>-0.44954515177521748</v>
      </c>
      <c r="L19">
        <v>1</v>
      </c>
      <c r="M19">
        <f t="shared" si="7"/>
        <v>0.39079464065542335</v>
      </c>
      <c r="N19">
        <f t="shared" si="13"/>
        <v>1.2569748799999999E-2</v>
      </c>
      <c r="O19">
        <f t="shared" si="11"/>
        <v>7.2197494669999996E-3</v>
      </c>
      <c r="P19">
        <f t="shared" si="12"/>
        <v>3.8961012852794123E-2</v>
      </c>
      <c r="V19">
        <v>-4.5000000000000098</v>
      </c>
      <c r="W19">
        <f t="shared" si="9"/>
        <v>-0.2630999999999995</v>
      </c>
      <c r="Y19">
        <v>0.15</v>
      </c>
      <c r="Z19">
        <f t="shared" si="10"/>
        <v>2.0819640000000001</v>
      </c>
    </row>
    <row r="20" spans="1:26" x14ac:dyDescent="0.3">
      <c r="A20">
        <v>0.83601844999999997</v>
      </c>
      <c r="B20">
        <v>0.76666000000000001</v>
      </c>
      <c r="C20">
        <f t="shared" si="1"/>
        <v>0.64094190487699998</v>
      </c>
      <c r="D20">
        <v>1.6E-2</v>
      </c>
      <c r="E20">
        <v>9.1900000000000003E-3</v>
      </c>
      <c r="F20">
        <f t="shared" si="2"/>
        <v>167.20368999999999</v>
      </c>
      <c r="G20">
        <f t="shared" si="3"/>
        <v>-0.76666000000000001</v>
      </c>
      <c r="H20">
        <f t="shared" si="4"/>
        <v>-128.18838097540001</v>
      </c>
      <c r="I20">
        <v>1</v>
      </c>
      <c r="J20">
        <f t="shared" si="5"/>
        <v>-1.7885425091970706</v>
      </c>
      <c r="K20">
        <f t="shared" si="6"/>
        <v>-0.45506515177521745</v>
      </c>
      <c r="L20">
        <v>1</v>
      </c>
      <c r="M20">
        <f t="shared" si="7"/>
        <v>0.39379225105670118</v>
      </c>
      <c r="N20">
        <f t="shared" si="13"/>
        <v>1.3376295199999999E-2</v>
      </c>
      <c r="O20">
        <f t="shared" si="11"/>
        <v>7.6830095554999995E-3</v>
      </c>
      <c r="P20">
        <f t="shared" si="12"/>
        <v>4.0213595963016269E-2</v>
      </c>
      <c r="V20">
        <v>-4.4000000000000101</v>
      </c>
      <c r="W20">
        <f t="shared" si="9"/>
        <v>-0.26791999999999949</v>
      </c>
      <c r="Y20">
        <v>0.16</v>
      </c>
      <c r="Z20">
        <f t="shared" si="10"/>
        <v>2.2630096000000002</v>
      </c>
    </row>
    <row r="21" spans="1:26" x14ac:dyDescent="0.3">
      <c r="A21">
        <v>0.88693674999999994</v>
      </c>
      <c r="B21">
        <v>0.76136999999999999</v>
      </c>
      <c r="C21">
        <f t="shared" si="1"/>
        <v>0.67528703334749995</v>
      </c>
      <c r="D21">
        <v>1.6E-2</v>
      </c>
      <c r="E21">
        <v>9.1900000000000003E-3</v>
      </c>
      <c r="F21">
        <f t="shared" si="2"/>
        <v>177.38735</v>
      </c>
      <c r="G21">
        <f t="shared" si="3"/>
        <v>-0.76136999999999999</v>
      </c>
      <c r="H21">
        <f t="shared" si="4"/>
        <v>-135.05740666949998</v>
      </c>
      <c r="I21">
        <v>1</v>
      </c>
      <c r="J21">
        <f t="shared" si="5"/>
        <v>-1.7294195194282089</v>
      </c>
      <c r="K21">
        <f t="shared" si="6"/>
        <v>-0.46035515177521746</v>
      </c>
      <c r="L21">
        <v>1</v>
      </c>
      <c r="M21">
        <f t="shared" si="7"/>
        <v>0.39664197916356031</v>
      </c>
      <c r="N21">
        <f t="shared" si="13"/>
        <v>1.4190988E-2</v>
      </c>
      <c r="O21">
        <f t="shared" si="11"/>
        <v>8.1509487324999998E-3</v>
      </c>
      <c r="P21">
        <f t="shared" si="12"/>
        <v>4.1371235879157156E-2</v>
      </c>
      <c r="V21">
        <v>-4.3000000000000096</v>
      </c>
      <c r="W21">
        <f t="shared" si="9"/>
        <v>-0.27273999999999954</v>
      </c>
      <c r="Y21">
        <v>0.17</v>
      </c>
      <c r="Z21">
        <f t="shared" si="10"/>
        <v>2.4440552000000002</v>
      </c>
    </row>
    <row r="22" spans="1:26" x14ac:dyDescent="0.3">
      <c r="A22">
        <v>0.93938254999999993</v>
      </c>
      <c r="B22">
        <v>0.75673000000000001</v>
      </c>
      <c r="C22">
        <f t="shared" si="1"/>
        <v>0.71085895706149993</v>
      </c>
      <c r="D22">
        <v>1.6E-2</v>
      </c>
      <c r="E22">
        <v>9.1900000000000003E-3</v>
      </c>
      <c r="F22">
        <f t="shared" si="2"/>
        <v>187.87651</v>
      </c>
      <c r="G22">
        <f t="shared" si="3"/>
        <v>-0.75673000000000001</v>
      </c>
      <c r="H22">
        <f t="shared" si="4"/>
        <v>-142.1717914123</v>
      </c>
      <c r="I22">
        <v>1</v>
      </c>
      <c r="J22">
        <f t="shared" si="5"/>
        <v>-1.6719703936824815</v>
      </c>
      <c r="K22">
        <f t="shared" si="6"/>
        <v>-0.46499515177521744</v>
      </c>
      <c r="L22">
        <v>1</v>
      </c>
      <c r="M22">
        <f t="shared" si="7"/>
        <v>0.39941102702450437</v>
      </c>
      <c r="N22">
        <f t="shared" si="13"/>
        <v>1.50301208E-2</v>
      </c>
      <c r="O22">
        <f t="shared" si="11"/>
        <v>8.632925634499999E-3</v>
      </c>
      <c r="P22">
        <f t="shared" si="12"/>
        <v>4.192107831621307E-2</v>
      </c>
      <c r="V22">
        <v>-4.2000000000000099</v>
      </c>
      <c r="W22">
        <f t="shared" si="9"/>
        <v>-0.27755999999999947</v>
      </c>
      <c r="Y22">
        <v>0.18</v>
      </c>
      <c r="Z22">
        <f t="shared" si="10"/>
        <v>2.6251007999999998</v>
      </c>
    </row>
    <row r="23" spans="1:26" x14ac:dyDescent="0.3">
      <c r="A23">
        <v>0.98979169999999994</v>
      </c>
      <c r="B23">
        <v>0.75192000000000003</v>
      </c>
      <c r="C23">
        <f t="shared" si="1"/>
        <v>0.74424417506399998</v>
      </c>
      <c r="D23">
        <v>1.6E-2</v>
      </c>
      <c r="E23">
        <v>9.1900000000000003E-3</v>
      </c>
      <c r="F23">
        <f t="shared" si="2"/>
        <v>197.95833999999999</v>
      </c>
      <c r="G23">
        <f t="shared" si="3"/>
        <v>-0.75192000000000003</v>
      </c>
      <c r="H23">
        <f t="shared" si="4"/>
        <v>-148.84883501280001</v>
      </c>
      <c r="I23">
        <v>1</v>
      </c>
      <c r="J23">
        <f t="shared" si="5"/>
        <v>-1.6196986744660413</v>
      </c>
      <c r="K23">
        <f t="shared" si="6"/>
        <v>-0.46980515177521742</v>
      </c>
      <c r="L23">
        <v>1</v>
      </c>
      <c r="M23">
        <f t="shared" si="7"/>
        <v>0.4019305238907368</v>
      </c>
      <c r="N23">
        <f t="shared" si="13"/>
        <v>1.5836667199999998E-2</v>
      </c>
      <c r="O23">
        <f t="shared" si="11"/>
        <v>9.0961857229999998E-3</v>
      </c>
      <c r="P23">
        <f t="shared" si="12"/>
        <v>4.2941774961480619E-2</v>
      </c>
      <c r="V23">
        <v>-4.1000000000000103</v>
      </c>
      <c r="W23">
        <f t="shared" si="9"/>
        <v>-0.28237999999999952</v>
      </c>
      <c r="Y23">
        <v>0.19</v>
      </c>
      <c r="Z23">
        <f t="shared" si="10"/>
        <v>2.8061464000000003</v>
      </c>
    </row>
    <row r="24" spans="1:26" x14ac:dyDescent="0.3">
      <c r="A24">
        <v>1.0442743999999999</v>
      </c>
      <c r="B24">
        <v>0.74700999999999995</v>
      </c>
      <c r="C24">
        <f t="shared" si="1"/>
        <v>0.78008341954399996</v>
      </c>
      <c r="D24">
        <v>1.6E-2</v>
      </c>
      <c r="E24">
        <v>9.1900000000000003E-3</v>
      </c>
      <c r="F24">
        <f t="shared" si="2"/>
        <v>208.85487999999998</v>
      </c>
      <c r="G24">
        <f t="shared" si="3"/>
        <v>-0.74700999999999995</v>
      </c>
      <c r="H24">
        <f t="shared" si="4"/>
        <v>-156.01668390879999</v>
      </c>
      <c r="I24">
        <v>1</v>
      </c>
      <c r="J24">
        <f t="shared" si="5"/>
        <v>-1.5661156222597441</v>
      </c>
      <c r="K24">
        <f t="shared" si="6"/>
        <v>-0.4747151517752175</v>
      </c>
      <c r="L24">
        <v>1</v>
      </c>
      <c r="M24">
        <f t="shared" si="7"/>
        <v>0.40451322700708031</v>
      </c>
      <c r="N24">
        <f t="shared" si="13"/>
        <v>1.6708390399999998E-2</v>
      </c>
      <c r="O24">
        <f t="shared" si="11"/>
        <v>9.5968817360000003E-3</v>
      </c>
      <c r="P24">
        <f t="shared" si="12"/>
        <v>4.3896652632137198E-2</v>
      </c>
      <c r="V24">
        <v>-4.0000000000000098</v>
      </c>
      <c r="W24">
        <f t="shared" si="9"/>
        <v>-0.28719999999999951</v>
      </c>
      <c r="Y24">
        <v>0.2</v>
      </c>
      <c r="Z24">
        <f t="shared" si="10"/>
        <v>2.9871920000000003</v>
      </c>
    </row>
    <row r="25" spans="1:26" x14ac:dyDescent="0.3">
      <c r="A25">
        <v>1.0946836</v>
      </c>
      <c r="B25">
        <v>0.74195</v>
      </c>
      <c r="C25">
        <f t="shared" si="1"/>
        <v>0.81220049701999997</v>
      </c>
      <c r="D25">
        <v>1.6E-2</v>
      </c>
      <c r="E25">
        <v>9.1900000000000003E-3</v>
      </c>
      <c r="F25">
        <f t="shared" si="2"/>
        <v>218.93672000000001</v>
      </c>
      <c r="G25">
        <f t="shared" si="3"/>
        <v>-0.74195</v>
      </c>
      <c r="H25">
        <f t="shared" si="4"/>
        <v>-162.44009940399999</v>
      </c>
      <c r="I25">
        <v>1</v>
      </c>
      <c r="J25">
        <f t="shared" si="5"/>
        <v>-1.5189725406913543</v>
      </c>
      <c r="K25">
        <f t="shared" si="6"/>
        <v>-0.47977515177521746</v>
      </c>
      <c r="L25">
        <v>1</v>
      </c>
      <c r="M25">
        <f t="shared" si="7"/>
        <v>0.4067855235386767</v>
      </c>
      <c r="N25">
        <f t="shared" si="13"/>
        <v>1.7514937599999999E-2</v>
      </c>
      <c r="O25">
        <f t="shared" si="11"/>
        <v>1.0060142284E-2</v>
      </c>
      <c r="P25">
        <f t="shared" si="12"/>
        <v>4.541454835254076E-2</v>
      </c>
      <c r="V25">
        <v>-3.9000000000000101</v>
      </c>
      <c r="W25">
        <f t="shared" si="9"/>
        <v>-0.2920199999999995</v>
      </c>
      <c r="Y25">
        <v>0.21</v>
      </c>
      <c r="Z25">
        <f t="shared" si="10"/>
        <v>3.1682375999999999</v>
      </c>
    </row>
    <row r="26" spans="1:26" x14ac:dyDescent="0.3">
      <c r="A26">
        <v>1.1456019</v>
      </c>
      <c r="B26">
        <v>0.73768</v>
      </c>
      <c r="C26">
        <f t="shared" si="1"/>
        <v>0.84508760959199991</v>
      </c>
      <c r="D26">
        <v>1.6E-2</v>
      </c>
      <c r="E26">
        <v>9.1900000000000003E-3</v>
      </c>
      <c r="F26">
        <f t="shared" si="2"/>
        <v>229.12037999999998</v>
      </c>
      <c r="G26">
        <f t="shared" si="3"/>
        <v>-0.73768</v>
      </c>
      <c r="H26">
        <f t="shared" si="4"/>
        <v>-169.01752191839998</v>
      </c>
      <c r="I26">
        <v>1</v>
      </c>
      <c r="J26">
        <f t="shared" si="5"/>
        <v>-1.4735077366916787</v>
      </c>
      <c r="K26">
        <f t="shared" si="6"/>
        <v>-0.48404515177521745</v>
      </c>
      <c r="L26">
        <v>1</v>
      </c>
      <c r="M26">
        <f t="shared" si="7"/>
        <v>0.40897692709146105</v>
      </c>
      <c r="N26">
        <f t="shared" si="13"/>
        <v>1.8329630399999998E-2</v>
      </c>
      <c r="O26">
        <f t="shared" si="11"/>
        <v>1.0528081461E-2</v>
      </c>
      <c r="P26">
        <f t="shared" si="12"/>
        <v>4.62105128227564E-2</v>
      </c>
      <c r="V26">
        <v>-3.80000000000001</v>
      </c>
      <c r="W26">
        <f t="shared" si="9"/>
        <v>-0.29683999999999949</v>
      </c>
      <c r="Y26">
        <v>0.22</v>
      </c>
      <c r="Z26">
        <f t="shared" si="10"/>
        <v>3.3492831999999999</v>
      </c>
    </row>
    <row r="27" spans="1:26" x14ac:dyDescent="0.3">
      <c r="A27">
        <v>1.1960111</v>
      </c>
      <c r="B27">
        <v>0.73338000000000003</v>
      </c>
      <c r="C27">
        <f t="shared" si="1"/>
        <v>0.87713062051800006</v>
      </c>
      <c r="D27">
        <v>1.6E-2</v>
      </c>
      <c r="E27">
        <v>9.1900000000000003E-3</v>
      </c>
      <c r="F27">
        <f t="shared" si="2"/>
        <v>239.20222000000001</v>
      </c>
      <c r="G27">
        <f t="shared" si="3"/>
        <v>-0.73338000000000003</v>
      </c>
      <c r="H27">
        <f t="shared" si="4"/>
        <v>-175.42612410360002</v>
      </c>
      <c r="I27">
        <v>1</v>
      </c>
      <c r="J27">
        <f t="shared" si="5"/>
        <v>-1.430445976012273</v>
      </c>
      <c r="K27">
        <f t="shared" si="6"/>
        <v>-0.48834515177521742</v>
      </c>
      <c r="L27">
        <v>1</v>
      </c>
      <c r="M27">
        <f t="shared" si="7"/>
        <v>0.4110525039562084</v>
      </c>
      <c r="N27">
        <f t="shared" si="13"/>
        <v>1.9136177600000002E-2</v>
      </c>
      <c r="O27">
        <f t="shared" si="11"/>
        <v>1.0991342009E-2</v>
      </c>
      <c r="P27">
        <f t="shared" si="12"/>
        <v>4.7165128210009025E-2</v>
      </c>
      <c r="V27">
        <v>-3.7000000000000099</v>
      </c>
      <c r="W27">
        <f t="shared" si="9"/>
        <v>-0.30165999999999948</v>
      </c>
      <c r="Y27">
        <v>0.23</v>
      </c>
      <c r="Z27">
        <f t="shared" si="10"/>
        <v>3.5303287999999999</v>
      </c>
    </row>
    <row r="28" spans="1:26" x14ac:dyDescent="0.3">
      <c r="A28">
        <v>1.2474386</v>
      </c>
      <c r="B28">
        <v>0.72865999999999997</v>
      </c>
      <c r="C28">
        <f t="shared" si="1"/>
        <v>0.90895861027599989</v>
      </c>
      <c r="D28">
        <v>1.6E-2</v>
      </c>
      <c r="E28">
        <v>9.1900000000000003E-3</v>
      </c>
      <c r="F28">
        <f t="shared" si="2"/>
        <v>249.48772</v>
      </c>
      <c r="G28">
        <f t="shared" si="3"/>
        <v>-0.72865999999999997</v>
      </c>
      <c r="H28">
        <f t="shared" si="4"/>
        <v>-181.79172205519998</v>
      </c>
      <c r="I28">
        <v>1</v>
      </c>
      <c r="J28">
        <f t="shared" si="5"/>
        <v>-1.3883455834387044</v>
      </c>
      <c r="K28">
        <f t="shared" si="6"/>
        <v>-0.49306515177521748</v>
      </c>
      <c r="L28">
        <v>1</v>
      </c>
      <c r="M28">
        <f t="shared" si="7"/>
        <v>0.41308174287825444</v>
      </c>
      <c r="N28">
        <f t="shared" si="13"/>
        <v>1.99590176E-2</v>
      </c>
      <c r="O28">
        <f t="shared" si="11"/>
        <v>1.1463960734E-2</v>
      </c>
      <c r="P28">
        <f t="shared" si="12"/>
        <v>4.8560430562963032E-2</v>
      </c>
      <c r="V28">
        <v>-3.6000000000000099</v>
      </c>
      <c r="W28">
        <f t="shared" si="9"/>
        <v>-0.30647999999999953</v>
      </c>
      <c r="Y28">
        <v>0.24</v>
      </c>
      <c r="Z28">
        <f t="shared" si="10"/>
        <v>3.7113744</v>
      </c>
    </row>
    <row r="29" spans="1:26" x14ac:dyDescent="0.3">
      <c r="A29">
        <v>1.2988660999999999</v>
      </c>
      <c r="B29">
        <v>0.72433000000000003</v>
      </c>
      <c r="C29">
        <f t="shared" si="1"/>
        <v>0.94080768221299993</v>
      </c>
      <c r="D29">
        <v>1.6E-2</v>
      </c>
      <c r="E29">
        <v>9.1900000000000003E-3</v>
      </c>
      <c r="F29">
        <f t="shared" si="2"/>
        <v>259.77321999999998</v>
      </c>
      <c r="G29">
        <f t="shared" si="3"/>
        <v>-0.72433000000000003</v>
      </c>
      <c r="H29">
        <f t="shared" si="4"/>
        <v>-188.16153644259998</v>
      </c>
      <c r="I29">
        <v>1</v>
      </c>
      <c r="J29">
        <f t="shared" si="5"/>
        <v>-1.3479462593504361</v>
      </c>
      <c r="K29">
        <f t="shared" si="6"/>
        <v>-0.49739515177521743</v>
      </c>
      <c r="L29">
        <v>1</v>
      </c>
      <c r="M29">
        <f t="shared" si="7"/>
        <v>0.41502899029930895</v>
      </c>
      <c r="N29">
        <f t="shared" si="13"/>
        <v>2.0781857599999998E-2</v>
      </c>
      <c r="O29">
        <f t="shared" si="11"/>
        <v>1.1936579458999999E-2</v>
      </c>
      <c r="P29">
        <f t="shared" si="12"/>
        <v>4.9647724416908477E-2</v>
      </c>
      <c r="V29">
        <v>-3.5000000000000102</v>
      </c>
      <c r="W29">
        <f t="shared" si="9"/>
        <v>-0.31129999999999947</v>
      </c>
      <c r="Y29">
        <v>0.25</v>
      </c>
      <c r="Z29">
        <f t="shared" si="10"/>
        <v>3.89242</v>
      </c>
    </row>
    <row r="30" spans="1:26" x14ac:dyDescent="0.3">
      <c r="A30">
        <v>1.3502936999999999</v>
      </c>
      <c r="B30">
        <v>0.72019</v>
      </c>
      <c r="C30">
        <f t="shared" si="1"/>
        <v>0.97246801980299991</v>
      </c>
      <c r="D30">
        <v>1.6E-2</v>
      </c>
      <c r="E30">
        <v>9.1900000000000003E-3</v>
      </c>
      <c r="F30">
        <f t="shared" si="2"/>
        <v>270.05874</v>
      </c>
      <c r="G30">
        <f t="shared" si="3"/>
        <v>-0.72019</v>
      </c>
      <c r="H30">
        <f t="shared" si="4"/>
        <v>-194.49360396059998</v>
      </c>
      <c r="I30">
        <v>1</v>
      </c>
      <c r="J30">
        <f t="shared" si="5"/>
        <v>-1.3091157880899849</v>
      </c>
      <c r="K30">
        <f t="shared" si="6"/>
        <v>-0.50153515177521746</v>
      </c>
      <c r="L30">
        <v>1</v>
      </c>
      <c r="M30">
        <f t="shared" si="7"/>
        <v>0.41690061901406272</v>
      </c>
      <c r="N30">
        <f t="shared" si="13"/>
        <v>2.1604699200000001E-2</v>
      </c>
      <c r="O30">
        <f t="shared" si="11"/>
        <v>1.2409199103E-2</v>
      </c>
      <c r="P30">
        <f t="shared" si="12"/>
        <v>5.0620634458154741E-2</v>
      </c>
      <c r="V30">
        <v>-3.4000000000000101</v>
      </c>
      <c r="W30">
        <f t="shared" si="9"/>
        <v>-0.31611999999999951</v>
      </c>
      <c r="Y30">
        <v>0.26</v>
      </c>
      <c r="Z30">
        <f t="shared" si="10"/>
        <v>4.0734655999999996</v>
      </c>
    </row>
    <row r="31" spans="1:26" x14ac:dyDescent="0.3">
      <c r="A31">
        <v>1.4007027999999999</v>
      </c>
      <c r="B31">
        <v>0.71580999999999995</v>
      </c>
      <c r="C31">
        <f t="shared" si="1"/>
        <v>1.0026370712679999</v>
      </c>
      <c r="D31">
        <v>1.6E-2</v>
      </c>
      <c r="E31">
        <v>9.1900000000000003E-3</v>
      </c>
      <c r="F31">
        <f t="shared" si="2"/>
        <v>280.14055999999999</v>
      </c>
      <c r="G31">
        <f t="shared" si="3"/>
        <v>-0.71580999999999995</v>
      </c>
      <c r="H31">
        <f t="shared" si="4"/>
        <v>-200.5274142536</v>
      </c>
      <c r="I31">
        <v>1</v>
      </c>
      <c r="J31">
        <f t="shared" si="5"/>
        <v>-1.2724638017727348</v>
      </c>
      <c r="K31">
        <f t="shared" si="6"/>
        <v>-0.50591515177521751</v>
      </c>
      <c r="L31">
        <v>1</v>
      </c>
      <c r="M31">
        <f t="shared" si="7"/>
        <v>0.41866724475455419</v>
      </c>
      <c r="N31">
        <f t="shared" si="13"/>
        <v>2.2411244800000001E-2</v>
      </c>
      <c r="O31">
        <f t="shared" si="11"/>
        <v>1.2872458732E-2</v>
      </c>
      <c r="P31">
        <f t="shared" si="12"/>
        <v>5.1964203488663312E-2</v>
      </c>
      <c r="V31">
        <v>-3.30000000000001</v>
      </c>
      <c r="W31">
        <f t="shared" si="9"/>
        <v>-0.3209399999999995</v>
      </c>
      <c r="Y31">
        <v>0.27</v>
      </c>
      <c r="Z31">
        <f t="shared" si="10"/>
        <v>4.2545111999999996</v>
      </c>
    </row>
    <row r="32" spans="1:26" x14ac:dyDescent="0.3">
      <c r="A32">
        <v>1.4516211000000001</v>
      </c>
      <c r="B32">
        <v>0.71138000000000001</v>
      </c>
      <c r="C32">
        <f t="shared" si="1"/>
        <v>1.0326542181180001</v>
      </c>
      <c r="D32">
        <v>1.6E-2</v>
      </c>
      <c r="E32">
        <v>9.1900000000000003E-3</v>
      </c>
      <c r="F32">
        <f t="shared" si="2"/>
        <v>290.32422000000003</v>
      </c>
      <c r="G32">
        <f t="shared" si="3"/>
        <v>-0.71138000000000001</v>
      </c>
      <c r="H32">
        <f t="shared" si="4"/>
        <v>-206.53084362360002</v>
      </c>
      <c r="I32">
        <v>1</v>
      </c>
      <c r="J32">
        <f t="shared" si="5"/>
        <v>-1.2367569804982024</v>
      </c>
      <c r="K32">
        <f t="shared" si="6"/>
        <v>-0.51034515177521744</v>
      </c>
      <c r="L32">
        <v>1</v>
      </c>
      <c r="M32">
        <f t="shared" si="7"/>
        <v>0.42038831353998662</v>
      </c>
      <c r="N32">
        <f t="shared" si="13"/>
        <v>2.3225937600000003E-2</v>
      </c>
      <c r="O32">
        <f t="shared" si="11"/>
        <v>1.3340397909000001E-2</v>
      </c>
      <c r="P32">
        <f t="shared" si="12"/>
        <v>5.3390502726230818E-2</v>
      </c>
      <c r="V32">
        <v>-3.2000000000000099</v>
      </c>
      <c r="W32">
        <f t="shared" si="9"/>
        <v>-0.32575999999999949</v>
      </c>
    </row>
    <row r="33" spans="1:23" x14ac:dyDescent="0.3">
      <c r="A33">
        <v>1.5045761999999998</v>
      </c>
      <c r="B33">
        <v>0.70696999999999999</v>
      </c>
      <c r="C33">
        <f t="shared" si="1"/>
        <v>1.0636902361139999</v>
      </c>
      <c r="D33">
        <v>1.6E-2</v>
      </c>
      <c r="E33">
        <v>9.1900000000000003E-3</v>
      </c>
      <c r="F33">
        <f t="shared" si="2"/>
        <v>300.91523999999998</v>
      </c>
      <c r="G33">
        <f t="shared" si="3"/>
        <v>-0.70696999999999999</v>
      </c>
      <c r="H33">
        <f t="shared" si="4"/>
        <v>-212.73804722279999</v>
      </c>
      <c r="I33">
        <v>1</v>
      </c>
      <c r="J33">
        <f t="shared" si="5"/>
        <v>-1.2009266485728747</v>
      </c>
      <c r="K33">
        <f t="shared" si="6"/>
        <v>-0.51475515177521747</v>
      </c>
      <c r="L33">
        <v>1</v>
      </c>
      <c r="M33">
        <f t="shared" si="7"/>
        <v>0.42211533553878744</v>
      </c>
      <c r="N33">
        <f t="shared" si="13"/>
        <v>2.4073219199999999E-2</v>
      </c>
      <c r="O33">
        <f t="shared" si="11"/>
        <v>1.3827055277999999E-2</v>
      </c>
      <c r="P33">
        <f t="shared" si="12"/>
        <v>5.473954175843003E-2</v>
      </c>
      <c r="V33">
        <v>-3.1000000000000099</v>
      </c>
      <c r="W33">
        <f t="shared" si="9"/>
        <v>-0.33057999999999954</v>
      </c>
    </row>
    <row r="34" spans="1:23" x14ac:dyDescent="0.3">
      <c r="A34">
        <v>1.5549852000000002</v>
      </c>
      <c r="B34">
        <v>0.70272000000000001</v>
      </c>
      <c r="C34">
        <f t="shared" si="1"/>
        <v>1.0927191997440002</v>
      </c>
      <c r="D34">
        <v>1.6E-2</v>
      </c>
      <c r="E34">
        <v>9.1900000000000003E-3</v>
      </c>
      <c r="F34">
        <f t="shared" si="2"/>
        <v>310.99704000000003</v>
      </c>
      <c r="G34">
        <f t="shared" si="3"/>
        <v>-0.70272000000000001</v>
      </c>
      <c r="H34">
        <f t="shared" si="4"/>
        <v>-218.54383994880004</v>
      </c>
      <c r="I34">
        <v>1</v>
      </c>
      <c r="J34">
        <f t="shared" si="5"/>
        <v>-1.1679718845330838</v>
      </c>
      <c r="K34">
        <f t="shared" si="6"/>
        <v>-0.51900515177521744</v>
      </c>
      <c r="L34">
        <v>1</v>
      </c>
      <c r="M34">
        <f t="shared" si="7"/>
        <v>0.42370375516550535</v>
      </c>
      <c r="N34">
        <f t="shared" si="13"/>
        <v>2.4879763200000002E-2</v>
      </c>
      <c r="O34">
        <f t="shared" si="11"/>
        <v>1.4290313988000002E-2</v>
      </c>
      <c r="P34">
        <f t="shared" si="12"/>
        <v>5.6131319421712095E-2</v>
      </c>
      <c r="V34">
        <v>-3.0000000000000102</v>
      </c>
      <c r="W34">
        <f t="shared" si="9"/>
        <v>-0.33539999999999948</v>
      </c>
    </row>
    <row r="35" spans="1:23" x14ac:dyDescent="0.3">
      <c r="A35">
        <v>1.6059036</v>
      </c>
      <c r="B35">
        <v>0.69845999999999997</v>
      </c>
      <c r="C35">
        <f t="shared" si="1"/>
        <v>1.121659428456</v>
      </c>
      <c r="D35">
        <v>1.6E-2</v>
      </c>
      <c r="E35">
        <v>9.1900000000000003E-3</v>
      </c>
      <c r="F35">
        <f t="shared" si="2"/>
        <v>321.18072000000001</v>
      </c>
      <c r="G35">
        <f t="shared" si="3"/>
        <v>-0.69845999999999997</v>
      </c>
      <c r="H35">
        <f t="shared" si="4"/>
        <v>-224.3318856912</v>
      </c>
      <c r="I35">
        <v>1</v>
      </c>
      <c r="J35">
        <f t="shared" si="5"/>
        <v>-1.1357513236176975</v>
      </c>
      <c r="K35">
        <f t="shared" si="6"/>
        <v>-0.52326515177521749</v>
      </c>
      <c r="L35">
        <v>1</v>
      </c>
      <c r="M35">
        <f t="shared" si="7"/>
        <v>0.42525678620162699</v>
      </c>
      <c r="N35">
        <f t="shared" si="13"/>
        <v>2.5694457600000001E-2</v>
      </c>
      <c r="O35">
        <f t="shared" si="11"/>
        <v>1.4758254084E-2</v>
      </c>
      <c r="P35">
        <f t="shared" si="12"/>
        <v>5.7555653889590497E-2</v>
      </c>
      <c r="V35">
        <v>-2.9000000000000101</v>
      </c>
      <c r="W35">
        <f t="shared" si="9"/>
        <v>-0.34021999999999952</v>
      </c>
    </row>
    <row r="36" spans="1:23" x14ac:dyDescent="0.3">
      <c r="A36">
        <v>1.6573311000000002</v>
      </c>
      <c r="B36">
        <v>0.69449000000000005</v>
      </c>
      <c r="C36">
        <f t="shared" si="1"/>
        <v>1.1509998756390003</v>
      </c>
      <c r="D36">
        <v>1.6E-2</v>
      </c>
      <c r="E36">
        <v>9.1900000000000003E-3</v>
      </c>
      <c r="F36">
        <f t="shared" si="2"/>
        <v>331.46622000000002</v>
      </c>
      <c r="G36">
        <f t="shared" si="3"/>
        <v>-0.69449000000000005</v>
      </c>
      <c r="H36">
        <f t="shared" si="4"/>
        <v>-230.19997512780006</v>
      </c>
      <c r="I36">
        <v>1</v>
      </c>
      <c r="J36">
        <f t="shared" si="5"/>
        <v>-1.1042293750009122</v>
      </c>
      <c r="K36">
        <f t="shared" si="6"/>
        <v>-0.5272351517752174</v>
      </c>
      <c r="L36">
        <v>1</v>
      </c>
      <c r="M36">
        <f t="shared" si="7"/>
        <v>0.42677614412495601</v>
      </c>
      <c r="N36">
        <f t="shared" si="13"/>
        <v>2.6517297600000003E-2</v>
      </c>
      <c r="O36">
        <f t="shared" si="11"/>
        <v>1.5230872809000002E-2</v>
      </c>
      <c r="P36">
        <f t="shared" si="12"/>
        <v>5.8710837241261388E-2</v>
      </c>
      <c r="V36">
        <v>-2.80000000000001</v>
      </c>
      <c r="W36">
        <f t="shared" si="9"/>
        <v>-0.34503999999999946</v>
      </c>
    </row>
    <row r="37" spans="1:23" x14ac:dyDescent="0.3">
      <c r="A37">
        <v>1.7082493999999999</v>
      </c>
      <c r="B37">
        <v>0.69020999999999999</v>
      </c>
      <c r="C37">
        <f t="shared" si="1"/>
        <v>1.1790508183739998</v>
      </c>
      <c r="D37">
        <v>1.6E-2</v>
      </c>
      <c r="E37">
        <v>9.1900000000000003E-3</v>
      </c>
      <c r="F37">
        <f t="shared" si="2"/>
        <v>341.64988</v>
      </c>
      <c r="G37">
        <f t="shared" si="3"/>
        <v>-0.69020999999999999</v>
      </c>
      <c r="H37">
        <f t="shared" si="4"/>
        <v>-235.81016367479998</v>
      </c>
      <c r="I37">
        <v>1</v>
      </c>
      <c r="J37">
        <f t="shared" si="5"/>
        <v>-1.0739688089920572</v>
      </c>
      <c r="K37">
        <f t="shared" si="6"/>
        <v>-0.53151515177521746</v>
      </c>
      <c r="L37">
        <v>1</v>
      </c>
      <c r="M37">
        <f t="shared" si="7"/>
        <v>0.42823470340658282</v>
      </c>
      <c r="N37">
        <f t="shared" si="13"/>
        <v>2.7331990399999999E-2</v>
      </c>
      <c r="O37">
        <f t="shared" si="11"/>
        <v>1.5698811986E-2</v>
      </c>
      <c r="P37">
        <f t="shared" si="12"/>
        <v>6.0249645982634645E-2</v>
      </c>
      <c r="V37">
        <v>-2.7000000000000099</v>
      </c>
      <c r="W37">
        <f t="shared" si="9"/>
        <v>-0.3498599999999995</v>
      </c>
    </row>
    <row r="38" spans="1:23" x14ac:dyDescent="0.3">
      <c r="A38">
        <v>1.7632412</v>
      </c>
      <c r="B38">
        <v>0.68620000000000003</v>
      </c>
      <c r="C38">
        <f t="shared" si="1"/>
        <v>1.20993611144</v>
      </c>
      <c r="D38">
        <v>1.6E-2</v>
      </c>
      <c r="E38">
        <v>9.1900000000000003E-3</v>
      </c>
      <c r="F38">
        <f t="shared" si="2"/>
        <v>352.64823999999999</v>
      </c>
      <c r="G38">
        <f t="shared" si="3"/>
        <v>-0.68620000000000003</v>
      </c>
      <c r="H38">
        <f t="shared" si="4"/>
        <v>-241.987222288</v>
      </c>
      <c r="I38">
        <v>1</v>
      </c>
      <c r="J38">
        <f t="shared" si="5"/>
        <v>-1.0422842061244664</v>
      </c>
      <c r="K38">
        <f t="shared" si="6"/>
        <v>-0.53552515177521742</v>
      </c>
      <c r="L38">
        <v>1</v>
      </c>
      <c r="M38">
        <f t="shared" si="7"/>
        <v>0.42976190126480068</v>
      </c>
      <c r="N38">
        <f t="shared" si="13"/>
        <v>2.8211859200000002E-2</v>
      </c>
      <c r="O38">
        <f t="shared" si="11"/>
        <v>1.6204186628000002E-2</v>
      </c>
      <c r="P38">
        <f t="shared" si="12"/>
        <v>6.1347204682416744E-2</v>
      </c>
      <c r="V38">
        <v>-2.6000000000000099</v>
      </c>
      <c r="W38">
        <f t="shared" si="9"/>
        <v>-0.3546799999999995</v>
      </c>
    </row>
    <row r="39" spans="1:23" x14ac:dyDescent="0.3">
      <c r="A39">
        <v>1.8141594000000001</v>
      </c>
      <c r="B39">
        <v>0.68166000000000004</v>
      </c>
      <c r="C39">
        <f t="shared" si="1"/>
        <v>1.2366398966040002</v>
      </c>
      <c r="D39">
        <v>1.6E-2</v>
      </c>
      <c r="E39">
        <v>9.1900000000000003E-3</v>
      </c>
      <c r="F39">
        <f t="shared" si="2"/>
        <v>362.83188000000001</v>
      </c>
      <c r="G39">
        <f t="shared" si="3"/>
        <v>-0.68166000000000004</v>
      </c>
      <c r="H39">
        <f t="shared" si="4"/>
        <v>-247.32797932080004</v>
      </c>
      <c r="I39">
        <v>1</v>
      </c>
      <c r="J39">
        <f t="shared" si="5"/>
        <v>-1.0138156924958395</v>
      </c>
      <c r="K39">
        <f t="shared" si="6"/>
        <v>-0.54006515177521741</v>
      </c>
      <c r="L39">
        <v>1</v>
      </c>
      <c r="M39">
        <f t="shared" si="7"/>
        <v>0.43113408362170053</v>
      </c>
      <c r="N39">
        <f t="shared" si="13"/>
        <v>2.9026550400000004E-2</v>
      </c>
      <c r="O39">
        <f t="shared" si="11"/>
        <v>1.6672124886000003E-2</v>
      </c>
      <c r="P39">
        <f t="shared" si="12"/>
        <v>6.3232392867516876E-2</v>
      </c>
      <c r="V39">
        <v>-2.5000000000000102</v>
      </c>
      <c r="W39">
        <f t="shared" si="9"/>
        <v>-0.35949999999999949</v>
      </c>
    </row>
    <row r="40" spans="1:23" x14ac:dyDescent="0.3">
      <c r="A40">
        <v>1.8650779</v>
      </c>
      <c r="B40">
        <v>0.67776000000000003</v>
      </c>
      <c r="C40">
        <f t="shared" si="1"/>
        <v>1.2640751975040001</v>
      </c>
      <c r="D40">
        <v>1.6E-2</v>
      </c>
      <c r="E40">
        <v>9.1900000000000003E-3</v>
      </c>
      <c r="F40">
        <f t="shared" si="2"/>
        <v>373.01558</v>
      </c>
      <c r="G40">
        <f t="shared" si="3"/>
        <v>-0.67776000000000003</v>
      </c>
      <c r="H40">
        <f t="shared" si="4"/>
        <v>-252.81503950080003</v>
      </c>
      <c r="I40">
        <v>1</v>
      </c>
      <c r="J40">
        <f t="shared" si="5"/>
        <v>-0.98613509077364281</v>
      </c>
      <c r="K40">
        <f t="shared" si="6"/>
        <v>-0.54396515177521743</v>
      </c>
      <c r="L40">
        <v>1</v>
      </c>
      <c r="M40">
        <f t="shared" si="7"/>
        <v>0.43246828862471043</v>
      </c>
      <c r="N40">
        <f t="shared" si="13"/>
        <v>2.98412464E-2</v>
      </c>
      <c r="O40">
        <f t="shared" si="11"/>
        <v>1.7140065901E-2</v>
      </c>
      <c r="P40">
        <f t="shared" si="12"/>
        <v>6.4515550849506997E-2</v>
      </c>
      <c r="V40">
        <v>-2.4000000000000101</v>
      </c>
      <c r="W40">
        <f t="shared" si="9"/>
        <v>-0.36431999999999948</v>
      </c>
    </row>
    <row r="41" spans="1:23" x14ac:dyDescent="0.3">
      <c r="A41">
        <v>1.9175237999999999</v>
      </c>
      <c r="B41">
        <v>0.67349999999999999</v>
      </c>
      <c r="C41">
        <f t="shared" si="1"/>
        <v>1.2914522792999998</v>
      </c>
      <c r="D41">
        <v>1.6E-2</v>
      </c>
      <c r="E41">
        <v>9.1900000000000003E-3</v>
      </c>
      <c r="F41">
        <f t="shared" si="2"/>
        <v>383.50475999999998</v>
      </c>
      <c r="G41">
        <f t="shared" si="3"/>
        <v>-0.67349999999999999</v>
      </c>
      <c r="H41">
        <f t="shared" si="4"/>
        <v>-258.29045585999995</v>
      </c>
      <c r="I41">
        <v>1</v>
      </c>
      <c r="J41">
        <f t="shared" si="5"/>
        <v>-0.95840324625706952</v>
      </c>
      <c r="K41">
        <f t="shared" si="6"/>
        <v>-0.54822515177521747</v>
      </c>
      <c r="L41">
        <v>1</v>
      </c>
      <c r="M41">
        <f t="shared" si="7"/>
        <v>0.4338049635304092</v>
      </c>
      <c r="N41">
        <f t="shared" si="13"/>
        <v>3.06803808E-2</v>
      </c>
      <c r="O41">
        <f t="shared" si="11"/>
        <v>1.7622043721999998E-2</v>
      </c>
      <c r="P41">
        <f t="shared" si="12"/>
        <v>6.6117763722808254E-2</v>
      </c>
      <c r="V41">
        <v>-2.30000000000001</v>
      </c>
      <c r="W41">
        <f t="shared" si="9"/>
        <v>-0.36913999999999947</v>
      </c>
    </row>
    <row r="42" spans="1:23" x14ac:dyDescent="0.3">
      <c r="A42">
        <v>1.9714971999999999</v>
      </c>
      <c r="B42">
        <v>0.66932000000000003</v>
      </c>
      <c r="C42">
        <f t="shared" si="1"/>
        <v>1.3195625059039999</v>
      </c>
      <c r="D42">
        <v>1.6E-2</v>
      </c>
      <c r="E42">
        <v>9.1900000000000003E-3</v>
      </c>
      <c r="F42">
        <f t="shared" si="2"/>
        <v>394.29944</v>
      </c>
      <c r="G42">
        <f t="shared" si="3"/>
        <v>-0.66932000000000003</v>
      </c>
      <c r="H42">
        <f t="shared" si="4"/>
        <v>-263.91250118080001</v>
      </c>
      <c r="I42">
        <v>1</v>
      </c>
      <c r="J42">
        <f t="shared" si="5"/>
        <v>-0.93064465833796128</v>
      </c>
      <c r="K42">
        <f t="shared" si="6"/>
        <v>-0.55240515177521743</v>
      </c>
      <c r="L42">
        <v>1</v>
      </c>
      <c r="M42">
        <f t="shared" si="7"/>
        <v>0.43514292746811023</v>
      </c>
      <c r="N42">
        <f t="shared" si="13"/>
        <v>3.1543955200000001E-2</v>
      </c>
      <c r="O42">
        <f t="shared" si="11"/>
        <v>1.8118059268E-2</v>
      </c>
      <c r="P42">
        <f t="shared" si="12"/>
        <v>6.7600209839107195E-2</v>
      </c>
      <c r="V42">
        <v>-2.2000000000000099</v>
      </c>
      <c r="W42">
        <f t="shared" si="9"/>
        <v>-0.37395999999999952</v>
      </c>
    </row>
    <row r="43" spans="1:23" x14ac:dyDescent="0.3">
      <c r="A43">
        <v>2.0275072999999999</v>
      </c>
      <c r="B43">
        <v>0.66510000000000002</v>
      </c>
      <c r="C43">
        <f t="shared" si="1"/>
        <v>1.34849510523</v>
      </c>
      <c r="D43">
        <v>1.6E-2</v>
      </c>
      <c r="E43">
        <v>9.1900000000000003E-3</v>
      </c>
      <c r="F43">
        <f t="shared" si="2"/>
        <v>405.50145999999995</v>
      </c>
      <c r="G43">
        <f t="shared" si="3"/>
        <v>-0.66510000000000002</v>
      </c>
      <c r="H43">
        <f t="shared" si="4"/>
        <v>-269.69902104599998</v>
      </c>
      <c r="I43">
        <v>1</v>
      </c>
      <c r="J43">
        <f t="shared" si="5"/>
        <v>-0.90263080493993308</v>
      </c>
      <c r="K43">
        <f t="shared" si="6"/>
        <v>-0.55662515177521743</v>
      </c>
      <c r="L43">
        <v>1</v>
      </c>
      <c r="M43">
        <f t="shared" si="7"/>
        <v>0.43649319520189522</v>
      </c>
      <c r="N43">
        <f t="shared" si="13"/>
        <v>3.2440116800000002E-2</v>
      </c>
      <c r="O43">
        <f t="shared" si="11"/>
        <v>1.8632792087E-2</v>
      </c>
      <c r="P43">
        <f t="shared" si="12"/>
        <v>6.9059047686322206E-2</v>
      </c>
      <c r="V43">
        <v>-2.1000000000000099</v>
      </c>
      <c r="W43">
        <f t="shared" si="9"/>
        <v>-0.37877999999999951</v>
      </c>
    </row>
    <row r="44" spans="1:23" x14ac:dyDescent="0.3">
      <c r="A44">
        <v>2.0809717000000001</v>
      </c>
      <c r="B44">
        <v>0.66088000000000002</v>
      </c>
      <c r="C44">
        <f t="shared" si="1"/>
        <v>1.3752725770960001</v>
      </c>
      <c r="D44">
        <v>1.6E-2</v>
      </c>
      <c r="E44">
        <v>9.1900000000000003E-3</v>
      </c>
      <c r="F44">
        <f t="shared" si="2"/>
        <v>416.19434000000001</v>
      </c>
      <c r="G44">
        <f t="shared" si="3"/>
        <v>-0.66088000000000002</v>
      </c>
      <c r="H44">
        <f t="shared" si="4"/>
        <v>-275.05451541920002</v>
      </c>
      <c r="I44">
        <v>1</v>
      </c>
      <c r="J44">
        <f t="shared" si="5"/>
        <v>-0.87660296434621232</v>
      </c>
      <c r="K44">
        <f t="shared" si="6"/>
        <v>-0.56084515177521743</v>
      </c>
      <c r="L44">
        <v>1</v>
      </c>
      <c r="M44">
        <f t="shared" si="7"/>
        <v>0.43774773711851256</v>
      </c>
      <c r="N44">
        <f t="shared" si="13"/>
        <v>3.3295547200000004E-2</v>
      </c>
      <c r="O44">
        <f t="shared" si="11"/>
        <v>1.9124129923000003E-2</v>
      </c>
      <c r="P44">
        <f t="shared" si="12"/>
        <v>7.0677737533704876E-2</v>
      </c>
      <c r="V44">
        <v>-2.0000000000000102</v>
      </c>
      <c r="W44">
        <f t="shared" si="9"/>
        <v>-0.3835999999999995</v>
      </c>
    </row>
    <row r="45" spans="1:23" x14ac:dyDescent="0.3">
      <c r="A45">
        <v>2.1329083999999998</v>
      </c>
      <c r="B45">
        <v>0.65656999999999999</v>
      </c>
      <c r="C45">
        <f t="shared" si="1"/>
        <v>1.4004036681879999</v>
      </c>
      <c r="D45">
        <v>1.6E-2</v>
      </c>
      <c r="E45">
        <v>9.1900000000000003E-3</v>
      </c>
      <c r="F45">
        <f t="shared" si="2"/>
        <v>426.58167999999995</v>
      </c>
      <c r="G45">
        <f t="shared" si="3"/>
        <v>-0.65656999999999999</v>
      </c>
      <c r="H45">
        <f t="shared" si="4"/>
        <v>-280.08073363759996</v>
      </c>
      <c r="I45">
        <v>1</v>
      </c>
      <c r="J45">
        <f t="shared" si="5"/>
        <v>-0.85195141807704877</v>
      </c>
      <c r="K45">
        <f t="shared" si="6"/>
        <v>-0.56515515177521747</v>
      </c>
      <c r="L45">
        <v>1</v>
      </c>
      <c r="M45">
        <f t="shared" si="7"/>
        <v>0.43893594164868621</v>
      </c>
      <c r="N45">
        <f t="shared" si="13"/>
        <v>3.4126534399999998E-2</v>
      </c>
      <c r="O45">
        <f t="shared" si="11"/>
        <v>1.9601428195999998E-2</v>
      </c>
      <c r="P45">
        <f t="shared" si="12"/>
        <v>7.2491247530531266E-2</v>
      </c>
      <c r="V45">
        <v>-1.9000000000000099</v>
      </c>
      <c r="W45">
        <f t="shared" si="9"/>
        <v>-0.38841999999999949</v>
      </c>
    </row>
    <row r="46" spans="1:23" x14ac:dyDescent="0.3">
      <c r="A46">
        <v>2.1833176000000001</v>
      </c>
      <c r="B46">
        <v>0.65271000000000001</v>
      </c>
      <c r="C46">
        <f t="shared" si="1"/>
        <v>1.4250732306960001</v>
      </c>
      <c r="D46">
        <v>1.6E-2</v>
      </c>
      <c r="E46">
        <v>9.1900000000000003E-3</v>
      </c>
      <c r="F46">
        <f t="shared" si="2"/>
        <v>436.66352000000001</v>
      </c>
      <c r="G46">
        <f t="shared" si="3"/>
        <v>-0.65271000000000001</v>
      </c>
      <c r="H46">
        <f t="shared" si="4"/>
        <v>-285.01464613920001</v>
      </c>
      <c r="I46">
        <v>1</v>
      </c>
      <c r="J46">
        <f t="shared" si="5"/>
        <v>-0.82859235758788374</v>
      </c>
      <c r="K46">
        <f t="shared" si="6"/>
        <v>-0.56901515177521744</v>
      </c>
      <c r="L46">
        <v>1</v>
      </c>
      <c r="M46">
        <f t="shared" si="7"/>
        <v>0.44006184836426399</v>
      </c>
      <c r="N46">
        <f t="shared" si="13"/>
        <v>3.4933081599999999E-2</v>
      </c>
      <c r="O46">
        <f t="shared" si="11"/>
        <v>2.0064688744000001E-2</v>
      </c>
      <c r="P46">
        <f t="shared" si="12"/>
        <v>7.3955533066953461E-2</v>
      </c>
      <c r="V46">
        <v>-1.80000000000001</v>
      </c>
      <c r="W46">
        <f t="shared" si="9"/>
        <v>-0.39323999999999948</v>
      </c>
    </row>
    <row r="47" spans="1:23" x14ac:dyDescent="0.3">
      <c r="A47">
        <v>2.2337265999999998</v>
      </c>
      <c r="B47">
        <v>0.64873999999999998</v>
      </c>
      <c r="C47">
        <f t="shared" si="1"/>
        <v>1.4491077944839998</v>
      </c>
      <c r="D47">
        <v>1.6E-2</v>
      </c>
      <c r="E47">
        <v>9.1900000000000003E-3</v>
      </c>
      <c r="F47">
        <f t="shared" si="2"/>
        <v>446.74531999999994</v>
      </c>
      <c r="G47">
        <f t="shared" si="3"/>
        <v>-0.64873999999999998</v>
      </c>
      <c r="H47">
        <f t="shared" si="4"/>
        <v>-289.82155889679996</v>
      </c>
      <c r="I47">
        <v>1</v>
      </c>
      <c r="J47">
        <f t="shared" si="5"/>
        <v>-0.80576660065499639</v>
      </c>
      <c r="K47">
        <f t="shared" si="6"/>
        <v>-0.57298515177521747</v>
      </c>
      <c r="L47">
        <v>1</v>
      </c>
      <c r="M47">
        <f t="shared" si="7"/>
        <v>0.44116204984842916</v>
      </c>
      <c r="N47">
        <f t="shared" si="13"/>
        <v>3.5739625599999998E-2</v>
      </c>
      <c r="O47">
        <f t="shared" si="11"/>
        <v>2.0527947453999999E-2</v>
      </c>
      <c r="P47">
        <f t="shared" si="12"/>
        <v>7.5555528872788325E-2</v>
      </c>
      <c r="V47">
        <v>-1.7000000000000199</v>
      </c>
      <c r="W47">
        <f t="shared" si="9"/>
        <v>-0.39805999999999903</v>
      </c>
    </row>
    <row r="48" spans="1:23" x14ac:dyDescent="0.3">
      <c r="A48">
        <v>2.2841356999999998</v>
      </c>
      <c r="B48">
        <v>0.64509000000000005</v>
      </c>
      <c r="C48">
        <f t="shared" si="1"/>
        <v>1.473473098713</v>
      </c>
      <c r="D48">
        <v>1.6E-2</v>
      </c>
      <c r="E48">
        <v>9.1900000000000003E-3</v>
      </c>
      <c r="F48">
        <f t="shared" si="2"/>
        <v>456.82713999999993</v>
      </c>
      <c r="G48">
        <f t="shared" si="3"/>
        <v>-0.64509000000000005</v>
      </c>
      <c r="H48">
        <f t="shared" si="4"/>
        <v>-294.69461974260003</v>
      </c>
      <c r="I48">
        <v>1</v>
      </c>
      <c r="J48">
        <f t="shared" si="5"/>
        <v>-0.78345020909525509</v>
      </c>
      <c r="K48">
        <f t="shared" si="6"/>
        <v>-0.5766351517752174</v>
      </c>
      <c r="L48">
        <v>1</v>
      </c>
      <c r="M48">
        <f t="shared" si="7"/>
        <v>0.44223769992160866</v>
      </c>
      <c r="N48">
        <f t="shared" si="13"/>
        <v>3.6546171199999998E-2</v>
      </c>
      <c r="O48">
        <f t="shared" si="11"/>
        <v>2.0991207082999997E-2</v>
      </c>
      <c r="P48">
        <f t="shared" si="12"/>
        <v>7.6860073570608742E-2</v>
      </c>
      <c r="V48">
        <v>-1.6000000000000201</v>
      </c>
      <c r="W48">
        <f t="shared" si="9"/>
        <v>-0.40287999999999902</v>
      </c>
    </row>
    <row r="49" spans="1:23" x14ac:dyDescent="0.3">
      <c r="A49">
        <v>2.3350542000000001</v>
      </c>
      <c r="B49">
        <v>0.64105000000000001</v>
      </c>
      <c r="C49">
        <f t="shared" si="1"/>
        <v>1.49688649491</v>
      </c>
      <c r="D49">
        <v>1.6E-2</v>
      </c>
      <c r="E49">
        <v>9.1900000000000003E-3</v>
      </c>
      <c r="F49">
        <f t="shared" si="2"/>
        <v>467.01084000000003</v>
      </c>
      <c r="G49">
        <f t="shared" si="3"/>
        <v>-0.64105000000000001</v>
      </c>
      <c r="H49">
        <f t="shared" si="4"/>
        <v>-299.37729898200001</v>
      </c>
      <c r="I49">
        <v>1</v>
      </c>
      <c r="J49">
        <f t="shared" si="5"/>
        <v>-0.7614028095911991</v>
      </c>
      <c r="K49">
        <f t="shared" si="6"/>
        <v>-0.58067515177521745</v>
      </c>
      <c r="L49">
        <v>1</v>
      </c>
      <c r="M49">
        <f t="shared" si="7"/>
        <v>0.44330038457770421</v>
      </c>
      <c r="N49">
        <f t="shared" si="13"/>
        <v>3.7360867200000002E-2</v>
      </c>
      <c r="O49">
        <f t="shared" si="11"/>
        <v>2.1459148098000001E-2</v>
      </c>
      <c r="P49">
        <f t="shared" si="12"/>
        <v>7.855475189951322E-2</v>
      </c>
      <c r="V49">
        <v>-1.50000000000002</v>
      </c>
      <c r="W49">
        <f t="shared" si="9"/>
        <v>-0.40769999999999901</v>
      </c>
    </row>
    <row r="50" spans="1:23" x14ac:dyDescent="0.3">
      <c r="A50">
        <v>2.3854633999999999</v>
      </c>
      <c r="B50">
        <v>0.63710999999999995</v>
      </c>
      <c r="C50">
        <f t="shared" si="1"/>
        <v>1.5198025867739999</v>
      </c>
      <c r="D50">
        <v>1.6E-2</v>
      </c>
      <c r="E50">
        <v>9.1900000000000003E-3</v>
      </c>
      <c r="F50">
        <f t="shared" si="2"/>
        <v>477.09267999999997</v>
      </c>
      <c r="G50">
        <f t="shared" si="3"/>
        <v>-0.63710999999999995</v>
      </c>
      <c r="H50">
        <f t="shared" si="4"/>
        <v>-303.9605173548</v>
      </c>
      <c r="I50">
        <v>1</v>
      </c>
      <c r="J50">
        <f t="shared" si="5"/>
        <v>-0.74004450927322774</v>
      </c>
      <c r="K50">
        <f t="shared" si="6"/>
        <v>-0.5846151517752175</v>
      </c>
      <c r="L50">
        <v>1</v>
      </c>
      <c r="M50">
        <f t="shared" si="7"/>
        <v>0.44432985465303043</v>
      </c>
      <c r="N50">
        <f t="shared" si="13"/>
        <v>3.8167414400000002E-2</v>
      </c>
      <c r="O50">
        <f t="shared" si="11"/>
        <v>2.1922408646000001E-2</v>
      </c>
      <c r="P50">
        <f t="shared" si="12"/>
        <v>8.0195474076187073E-2</v>
      </c>
      <c r="V50">
        <v>-1.4000000000000199</v>
      </c>
      <c r="W50">
        <f t="shared" si="9"/>
        <v>-0.412519999999999</v>
      </c>
    </row>
    <row r="51" spans="1:23" x14ac:dyDescent="0.3">
      <c r="A51">
        <v>2.4358725999999997</v>
      </c>
      <c r="B51">
        <v>0.6331</v>
      </c>
      <c r="C51">
        <f t="shared" si="1"/>
        <v>1.5421509430599998</v>
      </c>
      <c r="D51">
        <v>1.6E-2</v>
      </c>
      <c r="E51">
        <v>9.1900000000000003E-3</v>
      </c>
      <c r="F51">
        <f t="shared" si="2"/>
        <v>487.17451999999992</v>
      </c>
      <c r="G51">
        <f t="shared" si="3"/>
        <v>-0.6331</v>
      </c>
      <c r="H51">
        <f t="shared" si="4"/>
        <v>-308.43018861199994</v>
      </c>
      <c r="I51">
        <v>1</v>
      </c>
      <c r="J51">
        <f t="shared" si="5"/>
        <v>-0.71913286280465727</v>
      </c>
      <c r="K51">
        <f t="shared" si="6"/>
        <v>-0.58862515177521746</v>
      </c>
      <c r="L51">
        <v>1</v>
      </c>
      <c r="M51">
        <f t="shared" si="7"/>
        <v>0.44533779601281548</v>
      </c>
      <c r="N51">
        <f t="shared" si="13"/>
        <v>3.8973961599999996E-2</v>
      </c>
      <c r="O51">
        <f t="shared" si="11"/>
        <v>2.2385669193999997E-2</v>
      </c>
      <c r="P51">
        <f t="shared" si="12"/>
        <v>8.1927724968401991E-2</v>
      </c>
      <c r="V51">
        <v>-1.30000000000002</v>
      </c>
      <c r="W51">
        <f t="shared" si="9"/>
        <v>-0.41733999999999905</v>
      </c>
    </row>
    <row r="52" spans="1:23" x14ac:dyDescent="0.3">
      <c r="A52">
        <v>2.4872999999999998</v>
      </c>
      <c r="B52">
        <v>0.62922999999999996</v>
      </c>
      <c r="C52">
        <f t="shared" si="1"/>
        <v>1.5650837789999998</v>
      </c>
      <c r="D52">
        <v>1.6E-2</v>
      </c>
      <c r="E52">
        <v>9.1900000000000003E-3</v>
      </c>
      <c r="F52">
        <f t="shared" si="2"/>
        <v>497.46</v>
      </c>
      <c r="G52">
        <f t="shared" si="3"/>
        <v>-0.62922999999999996</v>
      </c>
      <c r="H52">
        <f t="shared" si="4"/>
        <v>-313.01675579999994</v>
      </c>
      <c r="I52">
        <v>1</v>
      </c>
      <c r="J52">
        <f t="shared" si="5"/>
        <v>-0.69824012762595478</v>
      </c>
      <c r="K52">
        <f t="shared" si="6"/>
        <v>-0.5924951517752175</v>
      </c>
      <c r="L52">
        <v>1</v>
      </c>
      <c r="M52">
        <f t="shared" si="7"/>
        <v>0.44634482584842894</v>
      </c>
      <c r="N52">
        <f t="shared" si="13"/>
        <v>3.97968E-2</v>
      </c>
      <c r="O52">
        <f t="shared" si="11"/>
        <v>2.2858286999999998E-2</v>
      </c>
      <c r="P52">
        <f t="shared" si="12"/>
        <v>8.3495238926788562E-2</v>
      </c>
      <c r="V52">
        <v>-1.2000000000000199</v>
      </c>
      <c r="W52">
        <f t="shared" si="9"/>
        <v>-0.42215999999999904</v>
      </c>
    </row>
    <row r="53" spans="1:23" x14ac:dyDescent="0.3">
      <c r="A53">
        <v>2.5397455999999998</v>
      </c>
      <c r="B53">
        <v>0.62568000000000001</v>
      </c>
      <c r="C53">
        <f t="shared" si="1"/>
        <v>1.589068027008</v>
      </c>
      <c r="D53">
        <v>1.6E-2</v>
      </c>
      <c r="E53">
        <v>9.1900000000000003E-3</v>
      </c>
      <c r="F53">
        <f t="shared" si="2"/>
        <v>507.94911999999999</v>
      </c>
      <c r="G53">
        <f t="shared" si="3"/>
        <v>-0.62568000000000001</v>
      </c>
      <c r="H53">
        <f t="shared" si="4"/>
        <v>-317.8136054016</v>
      </c>
      <c r="I53">
        <v>1</v>
      </c>
      <c r="J53">
        <f t="shared" si="5"/>
        <v>-0.67737399390006547</v>
      </c>
      <c r="K53">
        <f t="shared" si="6"/>
        <v>-0.59604515177521744</v>
      </c>
      <c r="L53">
        <v>1</v>
      </c>
      <c r="M53">
        <f t="shared" si="7"/>
        <v>0.44735057349401686</v>
      </c>
      <c r="N53">
        <f t="shared" si="13"/>
        <v>4.0635929599999995E-2</v>
      </c>
      <c r="O53">
        <f t="shared" si="11"/>
        <v>2.3340262064E-2</v>
      </c>
      <c r="P53">
        <f t="shared" si="12"/>
        <v>8.4718386617200589E-2</v>
      </c>
      <c r="V53">
        <v>-1.1000000000000201</v>
      </c>
      <c r="W53">
        <f t="shared" si="9"/>
        <v>-0.42697999999999903</v>
      </c>
    </row>
    <row r="54" spans="1:23" x14ac:dyDescent="0.3">
      <c r="A54">
        <v>2.5901548000000001</v>
      </c>
      <c r="B54">
        <v>0.62172000000000005</v>
      </c>
      <c r="C54">
        <f t="shared" si="1"/>
        <v>1.6103510422560001</v>
      </c>
      <c r="D54">
        <v>1.6E-2</v>
      </c>
      <c r="E54">
        <v>9.1900000000000003E-3</v>
      </c>
      <c r="F54">
        <f t="shared" si="2"/>
        <v>518.03096000000005</v>
      </c>
      <c r="G54">
        <f t="shared" si="3"/>
        <v>-0.62172000000000005</v>
      </c>
      <c r="H54">
        <f t="shared" si="4"/>
        <v>-322.07020845120002</v>
      </c>
      <c r="I54">
        <v>1</v>
      </c>
      <c r="J54">
        <f t="shared" si="5"/>
        <v>-0.65772027016894163</v>
      </c>
      <c r="K54">
        <f t="shared" si="6"/>
        <v>-0.6000051517752174</v>
      </c>
      <c r="L54">
        <v>1</v>
      </c>
      <c r="M54">
        <f t="shared" si="7"/>
        <v>0.448297882977857</v>
      </c>
      <c r="N54">
        <f t="shared" si="13"/>
        <v>4.1442476800000003E-2</v>
      </c>
      <c r="O54">
        <f t="shared" si="11"/>
        <v>2.3803522612E-2</v>
      </c>
      <c r="P54">
        <f t="shared" si="12"/>
        <v>8.6461269385360404E-2</v>
      </c>
      <c r="V54">
        <v>-1.00000000000002</v>
      </c>
      <c r="W54">
        <f t="shared" si="9"/>
        <v>-0.43179999999999902</v>
      </c>
    </row>
    <row r="55" spans="1:23" x14ac:dyDescent="0.3">
      <c r="A55">
        <v>2.6446377000000001</v>
      </c>
      <c r="B55">
        <v>0.61809999999999998</v>
      </c>
      <c r="C55">
        <f t="shared" si="1"/>
        <v>1.6346505623700001</v>
      </c>
      <c r="D55">
        <v>1.6E-2</v>
      </c>
      <c r="E55">
        <v>9.1900000000000003E-3</v>
      </c>
      <c r="F55">
        <f t="shared" si="2"/>
        <v>528.92754000000002</v>
      </c>
      <c r="G55">
        <f t="shared" si="3"/>
        <v>-0.61809999999999998</v>
      </c>
      <c r="H55">
        <f t="shared" si="4"/>
        <v>-326.930112474</v>
      </c>
      <c r="I55">
        <v>1</v>
      </c>
      <c r="J55">
        <f t="shared" si="5"/>
        <v>-0.63690383193115885</v>
      </c>
      <c r="K55">
        <f t="shared" si="6"/>
        <v>-0.60362515177521747</v>
      </c>
      <c r="L55">
        <v>1</v>
      </c>
      <c r="M55">
        <f t="shared" si="7"/>
        <v>0.44930123530091814</v>
      </c>
      <c r="N55">
        <f t="shared" si="13"/>
        <v>4.2314203200000004E-2</v>
      </c>
      <c r="O55">
        <f t="shared" si="11"/>
        <v>2.4304220463000001E-2</v>
      </c>
      <c r="P55">
        <f t="shared" si="12"/>
        <v>8.7705492811299315E-2</v>
      </c>
      <c r="V55">
        <v>-0.90000000000002001</v>
      </c>
      <c r="W55">
        <f t="shared" si="9"/>
        <v>-0.43661999999999901</v>
      </c>
    </row>
    <row r="56" spans="1:23" x14ac:dyDescent="0.3">
      <c r="A56">
        <v>2.6965742000000001</v>
      </c>
      <c r="B56">
        <v>0.61382000000000003</v>
      </c>
      <c r="C56">
        <f t="shared" si="1"/>
        <v>1.6552111754440002</v>
      </c>
      <c r="D56">
        <v>1.6E-2</v>
      </c>
      <c r="E56">
        <v>9.1900000000000003E-3</v>
      </c>
      <c r="F56">
        <f t="shared" si="2"/>
        <v>539.31484</v>
      </c>
      <c r="G56">
        <f t="shared" si="3"/>
        <v>-0.61382000000000003</v>
      </c>
      <c r="H56">
        <f t="shared" si="4"/>
        <v>-331.04223508880006</v>
      </c>
      <c r="I56">
        <v>1</v>
      </c>
      <c r="J56">
        <f t="shared" si="5"/>
        <v>-0.61745575986568213</v>
      </c>
      <c r="K56">
        <f t="shared" si="6"/>
        <v>-0.60790515177521742</v>
      </c>
      <c r="L56">
        <v>1</v>
      </c>
      <c r="M56">
        <f t="shared" si="7"/>
        <v>0.45023863237447409</v>
      </c>
      <c r="N56">
        <f t="shared" si="13"/>
        <v>4.3145187200000004E-2</v>
      </c>
      <c r="O56">
        <f t="shared" si="11"/>
        <v>2.4781516898000001E-2</v>
      </c>
      <c r="P56">
        <f t="shared" si="12"/>
        <v>8.9739815302743331E-2</v>
      </c>
      <c r="V56">
        <v>-0.80000000000002003</v>
      </c>
      <c r="W56">
        <f t="shared" si="9"/>
        <v>-0.441439999999999</v>
      </c>
    </row>
    <row r="57" spans="1:23" x14ac:dyDescent="0.3">
      <c r="A57">
        <v>2.7474927000000005</v>
      </c>
      <c r="B57">
        <v>0.61021000000000003</v>
      </c>
      <c r="C57">
        <f t="shared" si="1"/>
        <v>1.6765475204670004</v>
      </c>
      <c r="D57">
        <v>1.6E-2</v>
      </c>
      <c r="E57">
        <v>9.1900000000000003E-3</v>
      </c>
      <c r="F57">
        <f t="shared" si="2"/>
        <v>549.49854000000005</v>
      </c>
      <c r="G57">
        <f t="shared" si="3"/>
        <v>-0.61021000000000003</v>
      </c>
      <c r="H57">
        <f t="shared" si="4"/>
        <v>-335.30950409340005</v>
      </c>
      <c r="I57">
        <v>1</v>
      </c>
      <c r="J57">
        <f t="shared" si="5"/>
        <v>-0.59874916210286411</v>
      </c>
      <c r="K57">
        <f t="shared" si="6"/>
        <v>-0.61151515177521742</v>
      </c>
      <c r="L57">
        <v>1</v>
      </c>
      <c r="M57">
        <f t="shared" si="7"/>
        <v>0.45114029038664194</v>
      </c>
      <c r="N57">
        <f t="shared" si="13"/>
        <v>4.3959883200000008E-2</v>
      </c>
      <c r="O57">
        <f t="shared" si="11"/>
        <v>2.5249457913000005E-2</v>
      </c>
      <c r="P57">
        <f t="shared" si="12"/>
        <v>9.1165520275575479E-2</v>
      </c>
      <c r="V57">
        <v>-0.70000000000002005</v>
      </c>
      <c r="W57">
        <f t="shared" si="9"/>
        <v>-0.44625999999999899</v>
      </c>
    </row>
    <row r="58" spans="1:23" x14ac:dyDescent="0.3">
      <c r="A58">
        <v>2.7984108999999999</v>
      </c>
      <c r="B58">
        <v>0.60621999999999998</v>
      </c>
      <c r="C58">
        <f t="shared" si="1"/>
        <v>1.696452655798</v>
      </c>
      <c r="D58">
        <v>1.6E-2</v>
      </c>
      <c r="E58">
        <v>9.1900000000000003E-3</v>
      </c>
      <c r="F58">
        <f t="shared" si="2"/>
        <v>559.68218000000002</v>
      </c>
      <c r="G58">
        <f t="shared" si="3"/>
        <v>-0.60621999999999998</v>
      </c>
      <c r="H58">
        <f t="shared" si="4"/>
        <v>-339.29053115959999</v>
      </c>
      <c r="I58">
        <v>1</v>
      </c>
      <c r="J58">
        <f t="shared" si="5"/>
        <v>-0.58038619207658104</v>
      </c>
      <c r="K58">
        <f t="shared" si="6"/>
        <v>-0.61550515177521747</v>
      </c>
      <c r="L58">
        <v>1</v>
      </c>
      <c r="M58">
        <f t="shared" si="7"/>
        <v>0.4520253855419088</v>
      </c>
      <c r="N58">
        <f t="shared" si="13"/>
        <v>4.4774574400000003E-2</v>
      </c>
      <c r="O58">
        <f t="shared" si="11"/>
        <v>2.5717396170999999E-2</v>
      </c>
      <c r="P58">
        <f t="shared" si="12"/>
        <v>9.2987795662308678E-2</v>
      </c>
      <c r="V58">
        <v>-0.60000000000001996</v>
      </c>
      <c r="W58">
        <f t="shared" si="9"/>
        <v>-0.45107999999999904</v>
      </c>
    </row>
    <row r="59" spans="1:23" x14ac:dyDescent="0.3">
      <c r="A59">
        <v>2.8488197999999998</v>
      </c>
      <c r="B59">
        <v>0.60250000000000004</v>
      </c>
      <c r="C59">
        <f t="shared" si="1"/>
        <v>1.7164139295</v>
      </c>
      <c r="D59">
        <v>1.6E-2</v>
      </c>
      <c r="E59">
        <v>9.1900000000000003E-3</v>
      </c>
      <c r="F59">
        <f t="shared" si="2"/>
        <v>569.76396</v>
      </c>
      <c r="G59">
        <f t="shared" si="3"/>
        <v>-0.60250000000000004</v>
      </c>
      <c r="H59">
        <f t="shared" si="4"/>
        <v>-343.28278590000002</v>
      </c>
      <c r="I59">
        <v>1</v>
      </c>
      <c r="J59">
        <f t="shared" si="5"/>
        <v>-0.56253310918196175</v>
      </c>
      <c r="K59">
        <f t="shared" si="6"/>
        <v>-0.61922515177521742</v>
      </c>
      <c r="L59">
        <v>1</v>
      </c>
      <c r="M59">
        <f t="shared" si="7"/>
        <v>0.45288590413742941</v>
      </c>
      <c r="N59">
        <f t="shared" si="13"/>
        <v>4.5581116799999995E-2</v>
      </c>
      <c r="O59">
        <f t="shared" si="11"/>
        <v>2.6180653961999999E-2</v>
      </c>
      <c r="P59">
        <f t="shared" si="12"/>
        <v>9.4577476875788019E-2</v>
      </c>
      <c r="V59">
        <v>-0.50000000000001998</v>
      </c>
      <c r="W59">
        <f t="shared" si="9"/>
        <v>-0.45589999999999903</v>
      </c>
    </row>
    <row r="60" spans="1:23" x14ac:dyDescent="0.3">
      <c r="A60">
        <v>2.9007567999999999</v>
      </c>
      <c r="B60">
        <v>0.59916000000000003</v>
      </c>
      <c r="C60">
        <f t="shared" si="1"/>
        <v>1.7380174442880001</v>
      </c>
      <c r="D60">
        <v>1.6E-2</v>
      </c>
      <c r="E60">
        <v>9.1900000000000003E-3</v>
      </c>
      <c r="F60">
        <f t="shared" si="2"/>
        <v>580.15135999999995</v>
      </c>
      <c r="G60">
        <f t="shared" si="3"/>
        <v>-0.59916000000000003</v>
      </c>
      <c r="H60">
        <f t="shared" si="4"/>
        <v>-347.60348885760004</v>
      </c>
      <c r="I60">
        <v>1</v>
      </c>
      <c r="J60">
        <f t="shared" si="5"/>
        <v>-0.5444662439700082</v>
      </c>
      <c r="K60">
        <f t="shared" si="6"/>
        <v>-0.62256515177521743</v>
      </c>
      <c r="L60">
        <v>1</v>
      </c>
      <c r="M60">
        <f t="shared" si="7"/>
        <v>0.45375672704064557</v>
      </c>
      <c r="N60">
        <f t="shared" si="13"/>
        <v>4.6412108799999997E-2</v>
      </c>
      <c r="O60">
        <f t="shared" si="11"/>
        <v>2.6657954992000001E-2</v>
      </c>
      <c r="P60">
        <f t="shared" si="12"/>
        <v>9.5738360942571876E-2</v>
      </c>
      <c r="V60">
        <v>-0.40000000000002001</v>
      </c>
      <c r="W60">
        <f t="shared" si="9"/>
        <v>-0.46071999999999902</v>
      </c>
    </row>
    <row r="61" spans="1:23" x14ac:dyDescent="0.3">
      <c r="A61">
        <v>2.9552395000000002</v>
      </c>
      <c r="B61">
        <v>0.59528000000000003</v>
      </c>
      <c r="C61">
        <f t="shared" si="1"/>
        <v>1.7591949695600002</v>
      </c>
      <c r="D61">
        <v>1.6E-2</v>
      </c>
      <c r="E61">
        <v>9.1900000000000003E-3</v>
      </c>
      <c r="F61">
        <f t="shared" si="2"/>
        <v>591.04790000000003</v>
      </c>
      <c r="G61">
        <f t="shared" si="3"/>
        <v>-0.59528000000000003</v>
      </c>
      <c r="H61">
        <f t="shared" si="4"/>
        <v>-351.83899391200003</v>
      </c>
      <c r="I61">
        <v>1</v>
      </c>
      <c r="J61">
        <f t="shared" si="5"/>
        <v>-0.52585821579096315</v>
      </c>
      <c r="K61">
        <f t="shared" si="6"/>
        <v>-0.62644515177521742</v>
      </c>
      <c r="L61">
        <v>1</v>
      </c>
      <c r="M61">
        <f t="shared" si="7"/>
        <v>0.45465363399887554</v>
      </c>
      <c r="N61">
        <f t="shared" si="13"/>
        <v>4.7283832000000005E-2</v>
      </c>
      <c r="O61">
        <f t="shared" si="11"/>
        <v>2.7158651005000003E-2</v>
      </c>
      <c r="P61">
        <f t="shared" si="12"/>
        <v>9.734903477134188E-2</v>
      </c>
      <c r="V61">
        <v>-0.30000000000001997</v>
      </c>
      <c r="W61">
        <f t="shared" si="9"/>
        <v>-0.46553999999999901</v>
      </c>
    </row>
    <row r="62" spans="1:23" x14ac:dyDescent="0.3">
      <c r="A62">
        <v>3.0066667000000002</v>
      </c>
      <c r="B62">
        <v>0.59126999999999996</v>
      </c>
      <c r="C62">
        <f t="shared" si="1"/>
        <v>1.7777518197090001</v>
      </c>
      <c r="D62">
        <v>1.6E-2</v>
      </c>
      <c r="E62">
        <v>9.1900000000000003E-3</v>
      </c>
      <c r="F62">
        <f t="shared" si="2"/>
        <v>601.33334000000002</v>
      </c>
      <c r="G62">
        <f t="shared" si="3"/>
        <v>-0.59126999999999996</v>
      </c>
      <c r="H62">
        <f t="shared" si="4"/>
        <v>-355.55036394180001</v>
      </c>
      <c r="I62">
        <v>1</v>
      </c>
      <c r="J62">
        <f t="shared" si="5"/>
        <v>-0.50860585594120322</v>
      </c>
      <c r="K62">
        <f t="shared" si="6"/>
        <v>-0.63045515177521749</v>
      </c>
      <c r="L62">
        <v>1</v>
      </c>
      <c r="M62">
        <f t="shared" si="7"/>
        <v>0.455485197743634</v>
      </c>
      <c r="N62">
        <f t="shared" si="13"/>
        <v>4.8106667200000008E-2</v>
      </c>
      <c r="O62">
        <f t="shared" si="11"/>
        <v>2.7631266973000002E-2</v>
      </c>
      <c r="P62">
        <f t="shared" si="12"/>
        <v>9.9232019858583487E-2</v>
      </c>
      <c r="V62">
        <v>-0.20000000000002</v>
      </c>
      <c r="W62">
        <f t="shared" si="9"/>
        <v>-0.470359999999999</v>
      </c>
    </row>
    <row r="63" spans="1:23" x14ac:dyDescent="0.3">
      <c r="A63">
        <v>3.0570758999999996</v>
      </c>
      <c r="B63">
        <v>0.58747000000000005</v>
      </c>
      <c r="C63">
        <f t="shared" si="1"/>
        <v>1.795940378973</v>
      </c>
      <c r="D63">
        <v>1.6E-2</v>
      </c>
      <c r="E63">
        <v>9.1900000000000003E-3</v>
      </c>
      <c r="F63">
        <f t="shared" si="2"/>
        <v>611.41517999999996</v>
      </c>
      <c r="G63">
        <f t="shared" si="3"/>
        <v>-0.58747000000000005</v>
      </c>
      <c r="H63">
        <f t="shared" si="4"/>
        <v>-359.18807579459997</v>
      </c>
      <c r="I63">
        <v>1</v>
      </c>
      <c r="J63">
        <f t="shared" si="5"/>
        <v>-0.49197904157061628</v>
      </c>
      <c r="K63">
        <f t="shared" si="6"/>
        <v>-0.63425515177521741</v>
      </c>
      <c r="L63">
        <v>1</v>
      </c>
      <c r="M63">
        <f t="shared" si="7"/>
        <v>0.45628661019629629</v>
      </c>
      <c r="N63">
        <f t="shared" si="13"/>
        <v>4.8913214399999995E-2</v>
      </c>
      <c r="O63">
        <f t="shared" si="11"/>
        <v>2.8094527520999998E-2</v>
      </c>
      <c r="P63">
        <f t="shared" si="12"/>
        <v>0.10096079965792112</v>
      </c>
      <c r="V63">
        <v>-0.10000000000002</v>
      </c>
      <c r="W63">
        <f t="shared" si="9"/>
        <v>-0.47517999999999899</v>
      </c>
    </row>
    <row r="64" spans="1:23" x14ac:dyDescent="0.3">
      <c r="A64">
        <v>3.1074850999999999</v>
      </c>
      <c r="B64">
        <v>0.58399999999999996</v>
      </c>
      <c r="C64">
        <f t="shared" si="1"/>
        <v>1.8147712983999997</v>
      </c>
      <c r="D64">
        <v>1.6E-2</v>
      </c>
      <c r="E64">
        <v>9.1900000000000003E-3</v>
      </c>
      <c r="F64">
        <f t="shared" si="2"/>
        <v>621.49702000000002</v>
      </c>
      <c r="G64">
        <f t="shared" si="3"/>
        <v>-0.58399999999999996</v>
      </c>
      <c r="H64">
        <f t="shared" si="4"/>
        <v>-362.95425967999995</v>
      </c>
      <c r="I64">
        <v>1</v>
      </c>
      <c r="J64">
        <f t="shared" si="5"/>
        <v>-0.47562416289403303</v>
      </c>
      <c r="K64">
        <f t="shared" si="6"/>
        <v>-0.63772515177521749</v>
      </c>
      <c r="L64">
        <v>1</v>
      </c>
      <c r="M64">
        <f t="shared" si="7"/>
        <v>0.45707491534850758</v>
      </c>
      <c r="N64">
        <f t="shared" si="13"/>
        <v>4.9719761600000002E-2</v>
      </c>
      <c r="O64">
        <f t="shared" si="11"/>
        <v>2.8557788069000001E-2</v>
      </c>
      <c r="P64">
        <f t="shared" si="12"/>
        <v>0.10237268675770991</v>
      </c>
      <c r="V64">
        <v>-2.0428103653102899E-14</v>
      </c>
      <c r="W64">
        <f t="shared" si="9"/>
        <v>-0.47999999999999898</v>
      </c>
    </row>
    <row r="65" spans="1:23" x14ac:dyDescent="0.3">
      <c r="A65">
        <v>3.1594218999999999</v>
      </c>
      <c r="B65">
        <v>0.58018000000000003</v>
      </c>
      <c r="C65">
        <f t="shared" si="1"/>
        <v>1.8330333979419999</v>
      </c>
      <c r="D65">
        <v>1.6E-2</v>
      </c>
      <c r="E65">
        <v>9.1900000000000003E-3</v>
      </c>
      <c r="F65">
        <f t="shared" si="2"/>
        <v>631.88437999999996</v>
      </c>
      <c r="G65">
        <f t="shared" si="3"/>
        <v>-0.58018000000000003</v>
      </c>
      <c r="H65">
        <f t="shared" si="4"/>
        <v>-366.60667958839997</v>
      </c>
      <c r="I65">
        <v>1</v>
      </c>
      <c r="J65">
        <f t="shared" si="5"/>
        <v>-0.45904884460937323</v>
      </c>
      <c r="K65">
        <f t="shared" si="6"/>
        <v>-0.64154515177521743</v>
      </c>
      <c r="L65">
        <v>1</v>
      </c>
      <c r="M65">
        <f t="shared" si="7"/>
        <v>0.4578738456898282</v>
      </c>
      <c r="N65">
        <f t="shared" si="13"/>
        <v>5.0550750399999997E-2</v>
      </c>
      <c r="O65">
        <f t="shared" si="11"/>
        <v>2.9035087261E-2</v>
      </c>
      <c r="P65">
        <f t="shared" si="12"/>
        <v>0.10408546842438922</v>
      </c>
      <c r="V65">
        <v>9.9999999999980105E-2</v>
      </c>
      <c r="W65">
        <f t="shared" si="9"/>
        <v>-0.48481999999999903</v>
      </c>
    </row>
    <row r="66" spans="1:23" x14ac:dyDescent="0.3">
      <c r="A66">
        <v>3.2098311000000002</v>
      </c>
      <c r="B66">
        <v>0.57655000000000001</v>
      </c>
      <c r="C66">
        <f t="shared" si="1"/>
        <v>1.8506281207050002</v>
      </c>
      <c r="D66">
        <v>1.6E-2</v>
      </c>
      <c r="E66">
        <v>9.1900000000000003E-3</v>
      </c>
      <c r="F66">
        <f t="shared" si="2"/>
        <v>641.96622000000002</v>
      </c>
      <c r="G66">
        <f t="shared" si="3"/>
        <v>-0.57655000000000001</v>
      </c>
      <c r="H66">
        <f t="shared" si="4"/>
        <v>-370.125624141</v>
      </c>
      <c r="I66">
        <v>1</v>
      </c>
      <c r="J66">
        <f t="shared" si="5"/>
        <v>-0.44321959349891932</v>
      </c>
      <c r="K66">
        <f t="shared" si="6"/>
        <v>-0.64517515177521745</v>
      </c>
      <c r="L66">
        <v>1</v>
      </c>
      <c r="M66">
        <f t="shared" si="7"/>
        <v>0.45863681559335207</v>
      </c>
      <c r="N66">
        <f t="shared" si="13"/>
        <v>5.1357297600000004E-2</v>
      </c>
      <c r="O66">
        <f t="shared" si="11"/>
        <v>2.9498347809000004E-2</v>
      </c>
      <c r="P66">
        <f t="shared" si="12"/>
        <v>0.10568269077286536</v>
      </c>
      <c r="V66">
        <v>0.19999999999998</v>
      </c>
      <c r="W66">
        <f t="shared" si="9"/>
        <v>-0.48963999999999902</v>
      </c>
    </row>
    <row r="67" spans="1:23" x14ac:dyDescent="0.3">
      <c r="A67">
        <v>3.2663502999999996</v>
      </c>
      <c r="B67">
        <v>0.57296000000000002</v>
      </c>
      <c r="C67">
        <f t="shared" si="1"/>
        <v>1.8714880678879999</v>
      </c>
      <c r="D67">
        <v>1.6E-2</v>
      </c>
      <c r="E67">
        <v>9.1900000000000003E-3</v>
      </c>
      <c r="F67">
        <f t="shared" si="2"/>
        <v>653.27005999999994</v>
      </c>
      <c r="G67">
        <f t="shared" si="3"/>
        <v>-0.57296000000000002</v>
      </c>
      <c r="H67">
        <f t="shared" si="4"/>
        <v>-374.29761357759998</v>
      </c>
      <c r="I67">
        <v>1</v>
      </c>
      <c r="J67">
        <f t="shared" si="5"/>
        <v>-0.42576466705442695</v>
      </c>
      <c r="K67">
        <f t="shared" si="6"/>
        <v>-0.64876515177521743</v>
      </c>
      <c r="L67">
        <v>1</v>
      </c>
      <c r="M67">
        <f t="shared" si="7"/>
        <v>0.45947814304797663</v>
      </c>
      <c r="N67">
        <f t="shared" si="13"/>
        <v>5.2261604799999993E-2</v>
      </c>
      <c r="O67">
        <f t="shared" si="11"/>
        <v>3.0017759256999996E-2</v>
      </c>
      <c r="P67">
        <f t="shared" si="12"/>
        <v>0.10700764467024081</v>
      </c>
      <c r="V67">
        <v>0.29999999999998</v>
      </c>
      <c r="W67">
        <f t="shared" si="9"/>
        <v>-0.49445999999999901</v>
      </c>
    </row>
    <row r="68" spans="1:23" x14ac:dyDescent="0.3">
      <c r="A68">
        <v>3.3172685999999998</v>
      </c>
      <c r="B68">
        <v>0.56899</v>
      </c>
      <c r="C68">
        <f t="shared" si="1"/>
        <v>1.8874926607139999</v>
      </c>
      <c r="D68">
        <v>1.6E-2</v>
      </c>
      <c r="E68">
        <v>9.1900000000000003E-3</v>
      </c>
      <c r="F68">
        <f t="shared" si="2"/>
        <v>663.45371999999998</v>
      </c>
      <c r="G68">
        <f t="shared" si="3"/>
        <v>-0.56899</v>
      </c>
      <c r="H68">
        <f t="shared" si="4"/>
        <v>-377.4985321428</v>
      </c>
      <c r="I68">
        <v>1</v>
      </c>
      <c r="J68">
        <f t="shared" si="5"/>
        <v>-0.41029617896137532</v>
      </c>
      <c r="K68">
        <f t="shared" si="6"/>
        <v>-0.65273515177521746</v>
      </c>
      <c r="L68">
        <v>1</v>
      </c>
      <c r="M68">
        <f t="shared" si="7"/>
        <v>0.46022372417406171</v>
      </c>
      <c r="N68">
        <f t="shared" si="13"/>
        <v>5.3076297599999996E-2</v>
      </c>
      <c r="O68">
        <f t="shared" si="11"/>
        <v>3.0485698433999998E-2</v>
      </c>
      <c r="P68">
        <f t="shared" si="12"/>
        <v>0.10894943156715577</v>
      </c>
      <c r="V68">
        <v>0.39999999999997998</v>
      </c>
      <c r="W68">
        <f t="shared" si="9"/>
        <v>-0.499279999999999</v>
      </c>
    </row>
    <row r="69" spans="1:23" x14ac:dyDescent="0.3">
      <c r="A69">
        <v>3.3676776999999998</v>
      </c>
      <c r="B69">
        <v>0.56518999999999997</v>
      </c>
      <c r="C69">
        <f t="shared" ref="C69:C132" si="14">A69*B69</f>
        <v>1.9033777592629997</v>
      </c>
      <c r="D69">
        <v>1.6E-2</v>
      </c>
      <c r="E69">
        <v>9.1900000000000003E-3</v>
      </c>
      <c r="F69">
        <f t="shared" ref="F69:F132" si="15">A69*200</f>
        <v>673.53553999999997</v>
      </c>
      <c r="G69">
        <f t="shared" ref="G69:G132" si="16">-B69</f>
        <v>-0.56518999999999997</v>
      </c>
      <c r="H69">
        <f t="shared" ref="H69:H132" si="17">-C69*200</f>
        <v>-380.67555185259994</v>
      </c>
      <c r="I69">
        <v>1</v>
      </c>
      <c r="J69">
        <f t="shared" ref="J69:J132" si="18">LN(F69/1000)</f>
        <v>-0.39521451540740404</v>
      </c>
      <c r="K69">
        <f t="shared" ref="K69:K132" si="19">((-G69)-$N$2)</f>
        <v>-0.65653515177521748</v>
      </c>
      <c r="L69">
        <v>1</v>
      </c>
      <c r="M69">
        <f t="shared" ref="M69:M132" si="20">-1*($S$4+($S$5*J69))</f>
        <v>0.4609506603573631</v>
      </c>
      <c r="N69">
        <f t="shared" si="13"/>
        <v>5.3882843199999995E-2</v>
      </c>
      <c r="O69">
        <f t="shared" si="11"/>
        <v>3.0948958063E-2</v>
      </c>
      <c r="P69">
        <f t="shared" si="12"/>
        <v>0.11075269015485439</v>
      </c>
      <c r="V69">
        <v>0.49999999999998002</v>
      </c>
      <c r="W69">
        <f t="shared" ref="W69:W132" si="21">V69*$S$5+$S$4</f>
        <v>-0.50409999999999899</v>
      </c>
    </row>
    <row r="70" spans="1:23" x14ac:dyDescent="0.3">
      <c r="A70">
        <v>3.4196143000000001</v>
      </c>
      <c r="B70">
        <v>0.56172999999999995</v>
      </c>
      <c r="C70">
        <f t="shared" si="14"/>
        <v>1.9208999407389999</v>
      </c>
      <c r="D70">
        <v>1.6E-2</v>
      </c>
      <c r="E70">
        <v>9.1900000000000003E-3</v>
      </c>
      <c r="F70">
        <f t="shared" si="15"/>
        <v>683.92286000000001</v>
      </c>
      <c r="G70">
        <f t="shared" si="16"/>
        <v>-0.56172999999999995</v>
      </c>
      <c r="H70">
        <f t="shared" si="17"/>
        <v>-384.17998814779997</v>
      </c>
      <c r="I70">
        <v>1</v>
      </c>
      <c r="J70">
        <f t="shared" si="18"/>
        <v>-0.3799101454972561</v>
      </c>
      <c r="K70">
        <f t="shared" si="19"/>
        <v>-0.6599951517752175</v>
      </c>
      <c r="L70">
        <v>1</v>
      </c>
      <c r="M70">
        <f t="shared" si="20"/>
        <v>0.46168833098703221</v>
      </c>
      <c r="N70">
        <f t="shared" si="13"/>
        <v>5.4713828800000003E-2</v>
      </c>
      <c r="O70">
        <f t="shared" ref="O70:O133" si="22">E70*A70</f>
        <v>3.1426255417000004E-2</v>
      </c>
      <c r="P70">
        <f t="shared" ref="P70:P133" si="23">-K70-M70-N70-O70</f>
        <v>0.11216673657118528</v>
      </c>
      <c r="V70">
        <v>0.59999999999997999</v>
      </c>
      <c r="W70">
        <f t="shared" si="21"/>
        <v>-0.50891999999999904</v>
      </c>
    </row>
    <row r="71" spans="1:23" x14ac:dyDescent="0.3">
      <c r="A71">
        <v>3.4725698</v>
      </c>
      <c r="B71">
        <v>0.55801000000000001</v>
      </c>
      <c r="C71">
        <f t="shared" si="14"/>
        <v>1.937728674098</v>
      </c>
      <c r="D71">
        <v>1.6E-2</v>
      </c>
      <c r="E71">
        <v>9.1900000000000003E-3</v>
      </c>
      <c r="F71">
        <f t="shared" si="15"/>
        <v>694.51396</v>
      </c>
      <c r="G71">
        <f t="shared" si="16"/>
        <v>-0.55801000000000001</v>
      </c>
      <c r="H71">
        <f t="shared" si="17"/>
        <v>-387.5457348196</v>
      </c>
      <c r="I71">
        <v>1</v>
      </c>
      <c r="J71">
        <f t="shared" si="18"/>
        <v>-0.3645430161978202</v>
      </c>
      <c r="K71">
        <f t="shared" si="19"/>
        <v>-0.66371515177521745</v>
      </c>
      <c r="L71">
        <v>1</v>
      </c>
      <c r="M71">
        <f t="shared" si="20"/>
        <v>0.46242902661926505</v>
      </c>
      <c r="N71">
        <f t="shared" ref="N71:N134" si="24">D71*A71</f>
        <v>5.5561116800000004E-2</v>
      </c>
      <c r="O71">
        <f t="shared" si="22"/>
        <v>3.1912916462E-2</v>
      </c>
      <c r="P71">
        <f t="shared" si="23"/>
        <v>0.11381209189395239</v>
      </c>
      <c r="V71">
        <v>0.69999999999997997</v>
      </c>
      <c r="W71">
        <f t="shared" si="21"/>
        <v>-0.51373999999999898</v>
      </c>
    </row>
    <row r="72" spans="1:23" x14ac:dyDescent="0.3">
      <c r="A72">
        <v>3.5229788000000002</v>
      </c>
      <c r="B72">
        <v>0.55435000000000001</v>
      </c>
      <c r="C72">
        <f t="shared" si="14"/>
        <v>1.9529632977800002</v>
      </c>
      <c r="D72">
        <v>1.6E-2</v>
      </c>
      <c r="E72">
        <v>9.1900000000000003E-3</v>
      </c>
      <c r="F72">
        <f t="shared" si="15"/>
        <v>704.59576000000004</v>
      </c>
      <c r="G72">
        <f t="shared" si="16"/>
        <v>-0.55435000000000001</v>
      </c>
      <c r="H72">
        <f t="shared" si="17"/>
        <v>-390.59265955600006</v>
      </c>
      <c r="I72">
        <v>1</v>
      </c>
      <c r="J72">
        <f t="shared" si="18"/>
        <v>-0.35013103069174312</v>
      </c>
      <c r="K72">
        <f t="shared" si="19"/>
        <v>-0.66737515177521745</v>
      </c>
      <c r="L72">
        <v>1</v>
      </c>
      <c r="M72">
        <f t="shared" si="20"/>
        <v>0.46312368432065798</v>
      </c>
      <c r="N72">
        <f t="shared" si="24"/>
        <v>5.6367660800000004E-2</v>
      </c>
      <c r="O72">
        <f t="shared" si="22"/>
        <v>3.2376175172000005E-2</v>
      </c>
      <c r="P72">
        <f t="shared" si="23"/>
        <v>0.11550763148255946</v>
      </c>
      <c r="V72">
        <v>0.79999999999997995</v>
      </c>
      <c r="W72">
        <f t="shared" si="21"/>
        <v>-0.51855999999999902</v>
      </c>
    </row>
    <row r="73" spans="1:23" x14ac:dyDescent="0.3">
      <c r="A73">
        <v>3.5749153000000002</v>
      </c>
      <c r="B73">
        <v>0.55076000000000003</v>
      </c>
      <c r="C73">
        <f t="shared" si="14"/>
        <v>1.9689203506280002</v>
      </c>
      <c r="D73">
        <v>1.6E-2</v>
      </c>
      <c r="E73">
        <v>9.1900000000000003E-3</v>
      </c>
      <c r="F73">
        <f t="shared" si="15"/>
        <v>714.98306000000002</v>
      </c>
      <c r="G73">
        <f t="shared" si="16"/>
        <v>-0.55076000000000003</v>
      </c>
      <c r="H73">
        <f t="shared" si="17"/>
        <v>-393.78407012560001</v>
      </c>
      <c r="I73">
        <v>1</v>
      </c>
      <c r="J73">
        <f t="shared" si="18"/>
        <v>-0.33549642887648884</v>
      </c>
      <c r="K73">
        <f t="shared" si="19"/>
        <v>-0.67096515177521743</v>
      </c>
      <c r="L73">
        <v>1</v>
      </c>
      <c r="M73">
        <f t="shared" si="20"/>
        <v>0.46382907212815322</v>
      </c>
      <c r="N73">
        <f t="shared" si="24"/>
        <v>5.7198644800000004E-2</v>
      </c>
      <c r="O73">
        <f t="shared" si="22"/>
        <v>3.2853471607000001E-2</v>
      </c>
      <c r="P73">
        <f t="shared" si="23"/>
        <v>0.1170839632400642</v>
      </c>
      <c r="V73">
        <v>0.89999999999998004</v>
      </c>
      <c r="W73">
        <f t="shared" si="21"/>
        <v>-0.52337999999999907</v>
      </c>
    </row>
    <row r="74" spans="1:23" x14ac:dyDescent="0.3">
      <c r="A74">
        <v>3.6253244999999996</v>
      </c>
      <c r="B74">
        <v>0.54732000000000003</v>
      </c>
      <c r="C74">
        <f t="shared" si="14"/>
        <v>1.98421260534</v>
      </c>
      <c r="D74">
        <v>1.6E-2</v>
      </c>
      <c r="E74">
        <v>9.1900000000000003E-3</v>
      </c>
      <c r="F74">
        <f t="shared" si="15"/>
        <v>725.06489999999997</v>
      </c>
      <c r="G74">
        <f t="shared" si="16"/>
        <v>-0.54732000000000003</v>
      </c>
      <c r="H74">
        <f t="shared" si="17"/>
        <v>-396.842521068</v>
      </c>
      <c r="I74">
        <v>1</v>
      </c>
      <c r="J74">
        <f t="shared" si="18"/>
        <v>-0.32149411089251212</v>
      </c>
      <c r="K74">
        <f t="shared" si="19"/>
        <v>-0.67440515177521743</v>
      </c>
      <c r="L74">
        <v>1</v>
      </c>
      <c r="M74">
        <f t="shared" si="20"/>
        <v>0.46450398385498087</v>
      </c>
      <c r="N74">
        <f t="shared" si="24"/>
        <v>5.8005191999999997E-2</v>
      </c>
      <c r="O74">
        <f t="shared" si="22"/>
        <v>3.3316732155000001E-2</v>
      </c>
      <c r="P74">
        <f t="shared" si="23"/>
        <v>0.11857924376523657</v>
      </c>
      <c r="V74">
        <v>0.99999999999998002</v>
      </c>
      <c r="W74">
        <f t="shared" si="21"/>
        <v>-0.528199999999999</v>
      </c>
    </row>
    <row r="75" spans="1:23" x14ac:dyDescent="0.3">
      <c r="A75">
        <v>3.6792980999999996</v>
      </c>
      <c r="B75">
        <v>0.54349999999999998</v>
      </c>
      <c r="C75">
        <f t="shared" si="14"/>
        <v>1.9996985173499997</v>
      </c>
      <c r="D75">
        <v>1.6E-2</v>
      </c>
      <c r="E75">
        <v>9.1900000000000003E-3</v>
      </c>
      <c r="F75">
        <f t="shared" si="15"/>
        <v>735.85961999999995</v>
      </c>
      <c r="G75">
        <f t="shared" si="16"/>
        <v>-0.54349999999999998</v>
      </c>
      <c r="H75">
        <f t="shared" si="17"/>
        <v>-399.93970346999993</v>
      </c>
      <c r="I75">
        <v>1</v>
      </c>
      <c r="J75">
        <f t="shared" si="18"/>
        <v>-0.30671591214089766</v>
      </c>
      <c r="K75">
        <f t="shared" si="19"/>
        <v>-0.67822515177521747</v>
      </c>
      <c r="L75">
        <v>1</v>
      </c>
      <c r="M75">
        <f t="shared" si="20"/>
        <v>0.46521629303480871</v>
      </c>
      <c r="N75">
        <f t="shared" si="24"/>
        <v>5.8868769599999995E-2</v>
      </c>
      <c r="O75">
        <f t="shared" si="22"/>
        <v>3.3812749538999994E-2</v>
      </c>
      <c r="P75">
        <f t="shared" si="23"/>
        <v>0.12032733960140879</v>
      </c>
      <c r="V75">
        <v>1.0999999999999699</v>
      </c>
      <c r="W75">
        <f t="shared" si="21"/>
        <v>-0.53301999999999849</v>
      </c>
    </row>
    <row r="76" spans="1:23" x14ac:dyDescent="0.3">
      <c r="A76">
        <v>3.7302161000000003</v>
      </c>
      <c r="B76">
        <v>0.54003000000000001</v>
      </c>
      <c r="C76">
        <f t="shared" si="14"/>
        <v>2.0144286004830003</v>
      </c>
      <c r="D76">
        <v>1.6E-2</v>
      </c>
      <c r="E76">
        <v>9.1900000000000003E-3</v>
      </c>
      <c r="F76">
        <f t="shared" si="15"/>
        <v>746.04322000000002</v>
      </c>
      <c r="G76">
        <f t="shared" si="16"/>
        <v>-0.54003000000000001</v>
      </c>
      <c r="H76">
        <f t="shared" si="17"/>
        <v>-402.88572009660004</v>
      </c>
      <c r="I76">
        <v>1</v>
      </c>
      <c r="J76">
        <f t="shared" si="18"/>
        <v>-0.29297174479974508</v>
      </c>
      <c r="K76">
        <f t="shared" si="19"/>
        <v>-0.68169515177521744</v>
      </c>
      <c r="L76">
        <v>1</v>
      </c>
      <c r="M76">
        <f t="shared" si="20"/>
        <v>0.46587876190065225</v>
      </c>
      <c r="N76">
        <f t="shared" si="24"/>
        <v>5.9683457600000003E-2</v>
      </c>
      <c r="O76">
        <f t="shared" si="22"/>
        <v>3.4280685959000003E-2</v>
      </c>
      <c r="P76">
        <f t="shared" si="23"/>
        <v>0.12185224631556521</v>
      </c>
      <c r="V76">
        <v>1.19999999999997</v>
      </c>
      <c r="W76">
        <f t="shared" si="21"/>
        <v>-0.53783999999999854</v>
      </c>
    </row>
    <row r="77" spans="1:23" x14ac:dyDescent="0.3">
      <c r="A77">
        <v>3.7826624</v>
      </c>
      <c r="B77">
        <v>0.53620999999999996</v>
      </c>
      <c r="C77">
        <f t="shared" si="14"/>
        <v>2.0283014055040001</v>
      </c>
      <c r="D77">
        <v>1.6E-2</v>
      </c>
      <c r="E77">
        <v>9.1900000000000003E-3</v>
      </c>
      <c r="F77">
        <f t="shared" si="15"/>
        <v>756.53247999999996</v>
      </c>
      <c r="G77">
        <f t="shared" si="16"/>
        <v>-0.53620999999999996</v>
      </c>
      <c r="H77">
        <f t="shared" si="17"/>
        <v>-405.66028110080003</v>
      </c>
      <c r="I77">
        <v>1</v>
      </c>
      <c r="J77">
        <f t="shared" si="18"/>
        <v>-0.27900981210830339</v>
      </c>
      <c r="K77">
        <f t="shared" si="19"/>
        <v>-0.68551515177521749</v>
      </c>
      <c r="L77">
        <v>1</v>
      </c>
      <c r="M77">
        <f t="shared" si="20"/>
        <v>0.46655172705637976</v>
      </c>
      <c r="N77">
        <f t="shared" si="24"/>
        <v>6.0522598400000002E-2</v>
      </c>
      <c r="O77">
        <f t="shared" si="22"/>
        <v>3.4762667455999999E-2</v>
      </c>
      <c r="P77">
        <f t="shared" si="23"/>
        <v>0.12367815886283771</v>
      </c>
      <c r="V77">
        <v>1.2999999999999701</v>
      </c>
      <c r="W77">
        <f t="shared" si="21"/>
        <v>-0.54265999999999859</v>
      </c>
    </row>
    <row r="78" spans="1:23" x14ac:dyDescent="0.3">
      <c r="A78">
        <v>3.8330715</v>
      </c>
      <c r="B78">
        <v>0.53239000000000003</v>
      </c>
      <c r="C78">
        <f t="shared" si="14"/>
        <v>2.040688935885</v>
      </c>
      <c r="D78">
        <v>1.6E-2</v>
      </c>
      <c r="E78">
        <v>9.1900000000000003E-3</v>
      </c>
      <c r="F78">
        <f t="shared" si="15"/>
        <v>766.61429999999996</v>
      </c>
      <c r="G78">
        <f t="shared" si="16"/>
        <v>-0.53239000000000003</v>
      </c>
      <c r="H78">
        <f t="shared" si="17"/>
        <v>-408.13778717700001</v>
      </c>
      <c r="I78">
        <v>1</v>
      </c>
      <c r="J78">
        <f t="shared" si="18"/>
        <v>-0.26577147241367999</v>
      </c>
      <c r="K78">
        <f t="shared" si="19"/>
        <v>-0.68933515177521743</v>
      </c>
      <c r="L78">
        <v>1</v>
      </c>
      <c r="M78">
        <f t="shared" si="20"/>
        <v>0.46718981502966062</v>
      </c>
      <c r="N78">
        <f t="shared" si="24"/>
        <v>6.1329144000000002E-2</v>
      </c>
      <c r="O78">
        <f t="shared" si="22"/>
        <v>3.5225927084999997E-2</v>
      </c>
      <c r="P78">
        <f t="shared" si="23"/>
        <v>0.12559026566055681</v>
      </c>
      <c r="V78">
        <v>1.3999999999999699</v>
      </c>
      <c r="W78">
        <f t="shared" si="21"/>
        <v>-0.54747999999999852</v>
      </c>
    </row>
    <row r="79" spans="1:23" x14ac:dyDescent="0.3">
      <c r="A79">
        <v>3.8844985000000003</v>
      </c>
      <c r="B79">
        <v>0.52942999999999996</v>
      </c>
      <c r="C79">
        <f t="shared" si="14"/>
        <v>2.0565700408550001</v>
      </c>
      <c r="D79">
        <v>1.6E-2</v>
      </c>
      <c r="E79">
        <v>9.1900000000000003E-3</v>
      </c>
      <c r="F79">
        <f t="shared" si="15"/>
        <v>776.89970000000005</v>
      </c>
      <c r="G79">
        <f t="shared" si="16"/>
        <v>-0.52942999999999996</v>
      </c>
      <c r="H79">
        <f t="shared" si="17"/>
        <v>-411.31400817100001</v>
      </c>
      <c r="I79">
        <v>1</v>
      </c>
      <c r="J79">
        <f t="shared" si="18"/>
        <v>-0.25244402317592007</v>
      </c>
      <c r="K79">
        <f t="shared" si="19"/>
        <v>-0.6922951517752175</v>
      </c>
      <c r="L79">
        <v>1</v>
      </c>
      <c r="M79">
        <f t="shared" si="20"/>
        <v>0.46783219808292065</v>
      </c>
      <c r="N79">
        <f t="shared" si="24"/>
        <v>6.2151976000000005E-2</v>
      </c>
      <c r="O79">
        <f t="shared" si="22"/>
        <v>3.5698541215000004E-2</v>
      </c>
      <c r="P79">
        <f t="shared" si="23"/>
        <v>0.12661243647729686</v>
      </c>
      <c r="V79">
        <v>1.49999999999997</v>
      </c>
      <c r="W79">
        <f t="shared" si="21"/>
        <v>-0.55229999999999857</v>
      </c>
    </row>
    <row r="80" spans="1:23" x14ac:dyDescent="0.3">
      <c r="A80">
        <v>3.9369448</v>
      </c>
      <c r="B80">
        <v>0.52520999999999995</v>
      </c>
      <c r="C80">
        <f t="shared" si="14"/>
        <v>2.0677227784079997</v>
      </c>
      <c r="D80">
        <v>1.6E-2</v>
      </c>
      <c r="E80">
        <v>9.1900000000000003E-3</v>
      </c>
      <c r="F80">
        <f t="shared" si="15"/>
        <v>787.38896</v>
      </c>
      <c r="G80">
        <f t="shared" si="16"/>
        <v>-0.52520999999999995</v>
      </c>
      <c r="H80">
        <f t="shared" si="17"/>
        <v>-413.54455568159995</v>
      </c>
      <c r="I80">
        <v>1</v>
      </c>
      <c r="J80">
        <f t="shared" si="18"/>
        <v>-0.23903292139883425</v>
      </c>
      <c r="K80">
        <f t="shared" si="19"/>
        <v>-0.6965151517752175</v>
      </c>
      <c r="L80">
        <v>1</v>
      </c>
      <c r="M80">
        <f t="shared" si="20"/>
        <v>0.4684786131885762</v>
      </c>
      <c r="N80">
        <f t="shared" si="24"/>
        <v>6.2991116799999997E-2</v>
      </c>
      <c r="O80">
        <f t="shared" si="22"/>
        <v>3.6180522712E-2</v>
      </c>
      <c r="P80">
        <f t="shared" si="23"/>
        <v>0.1288648990746413</v>
      </c>
      <c r="V80">
        <v>1.5999999999999699</v>
      </c>
      <c r="W80">
        <f t="shared" si="21"/>
        <v>-0.55711999999999851</v>
      </c>
    </row>
    <row r="81" spans="1:23" x14ac:dyDescent="0.3">
      <c r="A81">
        <v>3.9878627999999998</v>
      </c>
      <c r="B81">
        <v>0.52188999999999997</v>
      </c>
      <c r="C81">
        <f t="shared" si="14"/>
        <v>2.0812257166919998</v>
      </c>
      <c r="D81">
        <v>1.6E-2</v>
      </c>
      <c r="E81">
        <v>9.1900000000000003E-3</v>
      </c>
      <c r="F81">
        <f t="shared" si="15"/>
        <v>797.57255999999995</v>
      </c>
      <c r="G81">
        <f t="shared" si="16"/>
        <v>-0.52188999999999997</v>
      </c>
      <c r="H81">
        <f t="shared" si="17"/>
        <v>-416.2451433384</v>
      </c>
      <c r="I81">
        <v>1</v>
      </c>
      <c r="J81">
        <f t="shared" si="18"/>
        <v>-0.22618246413594137</v>
      </c>
      <c r="K81">
        <f t="shared" si="19"/>
        <v>-0.69983515177521749</v>
      </c>
      <c r="L81">
        <v>1</v>
      </c>
      <c r="M81">
        <f t="shared" si="20"/>
        <v>0.46909800522864759</v>
      </c>
      <c r="N81">
        <f t="shared" si="24"/>
        <v>6.3805804800000004E-2</v>
      </c>
      <c r="O81">
        <f t="shared" si="22"/>
        <v>3.6648459132000002E-2</v>
      </c>
      <c r="P81">
        <f t="shared" si="23"/>
        <v>0.13028288261456988</v>
      </c>
      <c r="V81">
        <v>1.69999999999997</v>
      </c>
      <c r="W81">
        <f t="shared" si="21"/>
        <v>-0.56193999999999855</v>
      </c>
    </row>
    <row r="82" spans="1:23" x14ac:dyDescent="0.3">
      <c r="A82">
        <v>4.0392907999999998</v>
      </c>
      <c r="B82">
        <v>0.51793999999999996</v>
      </c>
      <c r="C82">
        <f t="shared" si="14"/>
        <v>2.0921102769519999</v>
      </c>
      <c r="D82">
        <v>1.6E-2</v>
      </c>
      <c r="E82">
        <v>9.1900000000000003E-3</v>
      </c>
      <c r="F82">
        <f t="shared" si="15"/>
        <v>807.85816</v>
      </c>
      <c r="G82">
        <f t="shared" si="16"/>
        <v>-0.51793999999999996</v>
      </c>
      <c r="H82">
        <f t="shared" si="17"/>
        <v>-418.42205539039998</v>
      </c>
      <c r="I82">
        <v>1</v>
      </c>
      <c r="J82">
        <f t="shared" si="18"/>
        <v>-0.21336878042524585</v>
      </c>
      <c r="K82">
        <f t="shared" si="19"/>
        <v>-0.7037851517752175</v>
      </c>
      <c r="L82">
        <v>1</v>
      </c>
      <c r="M82">
        <f t="shared" si="20"/>
        <v>0.46971562478350315</v>
      </c>
      <c r="N82">
        <f t="shared" si="24"/>
        <v>6.4628652800000005E-2</v>
      </c>
      <c r="O82">
        <f t="shared" si="22"/>
        <v>3.7121082452E-2</v>
      </c>
      <c r="P82">
        <f t="shared" si="23"/>
        <v>0.13231979173971434</v>
      </c>
      <c r="V82">
        <v>1.7999999999999701</v>
      </c>
      <c r="W82">
        <f t="shared" si="21"/>
        <v>-0.5667599999999986</v>
      </c>
    </row>
    <row r="83" spans="1:23" x14ac:dyDescent="0.3">
      <c r="A83">
        <v>4.0927549000000001</v>
      </c>
      <c r="B83">
        <v>0.51437999999999995</v>
      </c>
      <c r="C83">
        <f t="shared" si="14"/>
        <v>2.1052312654619998</v>
      </c>
      <c r="D83">
        <v>1.6E-2</v>
      </c>
      <c r="E83">
        <v>9.1900000000000003E-3</v>
      </c>
      <c r="F83">
        <f t="shared" si="15"/>
        <v>818.55097999999998</v>
      </c>
      <c r="G83">
        <f t="shared" si="16"/>
        <v>-0.51437999999999995</v>
      </c>
      <c r="H83">
        <f t="shared" si="17"/>
        <v>-421.04625309239998</v>
      </c>
      <c r="I83">
        <v>1</v>
      </c>
      <c r="J83">
        <f t="shared" si="18"/>
        <v>-0.20021959944348297</v>
      </c>
      <c r="K83">
        <f t="shared" si="19"/>
        <v>-0.70734515177521751</v>
      </c>
      <c r="L83">
        <v>1</v>
      </c>
      <c r="M83">
        <f t="shared" si="20"/>
        <v>0.47034941530682411</v>
      </c>
      <c r="N83">
        <f t="shared" si="24"/>
        <v>6.5484078400000006E-2</v>
      </c>
      <c r="O83">
        <f t="shared" si="22"/>
        <v>3.7612417531000003E-2</v>
      </c>
      <c r="P83">
        <f t="shared" si="23"/>
        <v>0.13389924053739338</v>
      </c>
      <c r="V83">
        <v>1.8999999999999699</v>
      </c>
      <c r="W83">
        <f t="shared" si="21"/>
        <v>-0.57157999999999853</v>
      </c>
    </row>
    <row r="84" spans="1:23" x14ac:dyDescent="0.3">
      <c r="A84">
        <v>4.1446919000000007</v>
      </c>
      <c r="B84">
        <v>0.51068000000000002</v>
      </c>
      <c r="C84">
        <f t="shared" si="14"/>
        <v>2.1166112594920006</v>
      </c>
      <c r="D84">
        <v>1.6E-2</v>
      </c>
      <c r="E84">
        <v>9.1900000000000003E-3</v>
      </c>
      <c r="F84">
        <f t="shared" si="15"/>
        <v>828.93838000000017</v>
      </c>
      <c r="G84">
        <f t="shared" si="16"/>
        <v>-0.51068000000000002</v>
      </c>
      <c r="H84">
        <f t="shared" si="17"/>
        <v>-423.32225189840011</v>
      </c>
      <c r="I84">
        <v>1</v>
      </c>
      <c r="J84">
        <f t="shared" si="18"/>
        <v>-0.18760945712818897</v>
      </c>
      <c r="K84">
        <f t="shared" si="19"/>
        <v>-0.71104515177521743</v>
      </c>
      <c r="L84">
        <v>1</v>
      </c>
      <c r="M84">
        <f t="shared" si="20"/>
        <v>0.47095722416642127</v>
      </c>
      <c r="N84">
        <f t="shared" si="24"/>
        <v>6.6315070400000009E-2</v>
      </c>
      <c r="O84">
        <f t="shared" si="22"/>
        <v>3.8089718561000005E-2</v>
      </c>
      <c r="P84">
        <f t="shared" si="23"/>
        <v>0.13568313864779613</v>
      </c>
      <c r="V84">
        <v>1.99999999999997</v>
      </c>
      <c r="W84">
        <f t="shared" si="21"/>
        <v>-0.57639999999999858</v>
      </c>
    </row>
    <row r="85" spans="1:23" x14ac:dyDescent="0.3">
      <c r="A85">
        <v>4.1956099</v>
      </c>
      <c r="B85">
        <v>0.50690000000000002</v>
      </c>
      <c r="C85">
        <f t="shared" si="14"/>
        <v>2.1267546583099999</v>
      </c>
      <c r="D85">
        <v>1.6E-2</v>
      </c>
      <c r="E85">
        <v>9.1900000000000003E-3</v>
      </c>
      <c r="F85">
        <f t="shared" si="15"/>
        <v>839.12198000000001</v>
      </c>
      <c r="G85">
        <f t="shared" si="16"/>
        <v>-0.50690000000000002</v>
      </c>
      <c r="H85">
        <f t="shared" si="17"/>
        <v>-425.35093166199999</v>
      </c>
      <c r="I85">
        <v>1</v>
      </c>
      <c r="J85">
        <f t="shared" si="18"/>
        <v>-0.17539919571673784</v>
      </c>
      <c r="K85">
        <f t="shared" si="19"/>
        <v>-0.71482515177521744</v>
      </c>
      <c r="L85">
        <v>1</v>
      </c>
      <c r="M85">
        <f t="shared" si="20"/>
        <v>0.47154575876645322</v>
      </c>
      <c r="N85">
        <f t="shared" si="24"/>
        <v>6.7129758400000003E-2</v>
      </c>
      <c r="O85">
        <f t="shared" si="22"/>
        <v>3.8557654981E-2</v>
      </c>
      <c r="P85">
        <f t="shared" si="23"/>
        <v>0.1375919796277642</v>
      </c>
      <c r="V85">
        <v>2.0999999999999699</v>
      </c>
      <c r="W85">
        <f t="shared" si="21"/>
        <v>-0.58121999999999852</v>
      </c>
    </row>
    <row r="86" spans="1:23" x14ac:dyDescent="0.3">
      <c r="A86">
        <v>4.2470375999999996</v>
      </c>
      <c r="B86">
        <v>0.50319999999999998</v>
      </c>
      <c r="C86">
        <f t="shared" si="14"/>
        <v>2.1371093203199996</v>
      </c>
      <c r="D86">
        <v>1.6E-2</v>
      </c>
      <c r="E86">
        <v>9.1900000000000003E-3</v>
      </c>
      <c r="F86">
        <f t="shared" si="15"/>
        <v>849.40751999999998</v>
      </c>
      <c r="G86">
        <f t="shared" si="16"/>
        <v>-0.50319999999999998</v>
      </c>
      <c r="H86">
        <f t="shared" si="17"/>
        <v>-427.42186406399992</v>
      </c>
      <c r="I86">
        <v>1</v>
      </c>
      <c r="J86">
        <f t="shared" si="18"/>
        <v>-0.16321620783393903</v>
      </c>
      <c r="K86">
        <f t="shared" si="19"/>
        <v>-0.71852515177521747</v>
      </c>
      <c r="L86">
        <v>1</v>
      </c>
      <c r="M86">
        <f t="shared" si="20"/>
        <v>0.47213297878240412</v>
      </c>
      <c r="N86">
        <f t="shared" si="24"/>
        <v>6.7952601599999995E-2</v>
      </c>
      <c r="O86">
        <f t="shared" si="22"/>
        <v>3.9030275544000001E-2</v>
      </c>
      <c r="P86">
        <f t="shared" si="23"/>
        <v>0.13940929584881334</v>
      </c>
      <c r="V86">
        <v>2.19999999999997</v>
      </c>
      <c r="W86">
        <f t="shared" si="21"/>
        <v>-0.58603999999999856</v>
      </c>
    </row>
    <row r="87" spans="1:23" x14ac:dyDescent="0.3">
      <c r="A87">
        <v>4.2974468000000003</v>
      </c>
      <c r="B87">
        <v>0.49920999999999999</v>
      </c>
      <c r="C87">
        <f t="shared" si="14"/>
        <v>2.1453284170280003</v>
      </c>
      <c r="D87">
        <v>1.6E-2</v>
      </c>
      <c r="E87">
        <v>9.1900000000000003E-3</v>
      </c>
      <c r="F87">
        <f t="shared" si="15"/>
        <v>859.48936000000003</v>
      </c>
      <c r="G87">
        <f t="shared" si="16"/>
        <v>-0.49920999999999999</v>
      </c>
      <c r="H87">
        <f t="shared" si="17"/>
        <v>-429.06568340560005</v>
      </c>
      <c r="I87">
        <v>1</v>
      </c>
      <c r="J87">
        <f t="shared" si="18"/>
        <v>-0.15141683352614221</v>
      </c>
      <c r="K87">
        <f t="shared" si="19"/>
        <v>-0.72251515177521752</v>
      </c>
      <c r="L87">
        <v>1</v>
      </c>
      <c r="M87">
        <f t="shared" si="20"/>
        <v>0.47270170862403993</v>
      </c>
      <c r="N87">
        <f t="shared" si="24"/>
        <v>6.8759148800000003E-2</v>
      </c>
      <c r="O87">
        <f t="shared" si="22"/>
        <v>3.9493536092000008E-2</v>
      </c>
      <c r="P87">
        <f t="shared" si="23"/>
        <v>0.14156075825917758</v>
      </c>
      <c r="V87">
        <v>2.2999999999999701</v>
      </c>
      <c r="W87">
        <f t="shared" si="21"/>
        <v>-0.5908599999999985</v>
      </c>
    </row>
    <row r="88" spans="1:23" x14ac:dyDescent="0.3">
      <c r="A88">
        <v>4.3478554999999997</v>
      </c>
      <c r="B88">
        <v>0.4955</v>
      </c>
      <c r="C88">
        <f t="shared" si="14"/>
        <v>2.1543624002499997</v>
      </c>
      <c r="D88">
        <v>1.6E-2</v>
      </c>
      <c r="E88">
        <v>9.1900000000000003E-3</v>
      </c>
      <c r="F88">
        <f t="shared" si="15"/>
        <v>869.57109999999989</v>
      </c>
      <c r="G88">
        <f t="shared" si="16"/>
        <v>-0.4955</v>
      </c>
      <c r="H88">
        <f t="shared" si="17"/>
        <v>-430.87248004999992</v>
      </c>
      <c r="I88">
        <v>1</v>
      </c>
      <c r="J88">
        <f t="shared" si="18"/>
        <v>-0.13975517739804127</v>
      </c>
      <c r="K88">
        <f t="shared" si="19"/>
        <v>-0.7262251517752174</v>
      </c>
      <c r="L88">
        <v>1</v>
      </c>
      <c r="M88">
        <f t="shared" si="20"/>
        <v>0.47326380044941441</v>
      </c>
      <c r="N88">
        <f t="shared" si="24"/>
        <v>6.9565688000000001E-2</v>
      </c>
      <c r="O88">
        <f t="shared" si="22"/>
        <v>3.9956792044999995E-2</v>
      </c>
      <c r="P88">
        <f t="shared" si="23"/>
        <v>0.14343887128080299</v>
      </c>
      <c r="V88">
        <v>2.3999999999999702</v>
      </c>
      <c r="W88">
        <f t="shared" si="21"/>
        <v>-0.59567999999999854</v>
      </c>
    </row>
    <row r="89" spans="1:23" x14ac:dyDescent="0.3">
      <c r="A89">
        <v>4.4003017999999994</v>
      </c>
      <c r="B89">
        <v>0.49207000000000001</v>
      </c>
      <c r="C89">
        <f t="shared" si="14"/>
        <v>2.1652565067259997</v>
      </c>
      <c r="D89">
        <v>1.6E-2</v>
      </c>
      <c r="E89">
        <v>9.1900000000000003E-3</v>
      </c>
      <c r="F89">
        <f t="shared" si="15"/>
        <v>880.06035999999983</v>
      </c>
      <c r="G89">
        <f t="shared" si="16"/>
        <v>-0.49207000000000001</v>
      </c>
      <c r="H89">
        <f t="shared" si="17"/>
        <v>-433.05130134519993</v>
      </c>
      <c r="I89">
        <v>1</v>
      </c>
      <c r="J89">
        <f t="shared" si="18"/>
        <v>-0.12776478295304297</v>
      </c>
      <c r="K89">
        <f t="shared" si="19"/>
        <v>-0.72965515177521745</v>
      </c>
      <c r="L89">
        <v>1</v>
      </c>
      <c r="M89">
        <f t="shared" si="20"/>
        <v>0.4738417374616633</v>
      </c>
      <c r="N89">
        <f t="shared" si="24"/>
        <v>7.0404828799999986E-2</v>
      </c>
      <c r="O89">
        <f t="shared" si="22"/>
        <v>4.0438773541999998E-2</v>
      </c>
      <c r="P89">
        <f t="shared" si="23"/>
        <v>0.14496981197155417</v>
      </c>
      <c r="V89">
        <v>2.4999999999999698</v>
      </c>
      <c r="W89">
        <f t="shared" si="21"/>
        <v>-0.60049999999999848</v>
      </c>
    </row>
    <row r="90" spans="1:23" x14ac:dyDescent="0.3">
      <c r="A90">
        <v>4.4522383000000003</v>
      </c>
      <c r="B90">
        <v>0.48816999999999999</v>
      </c>
      <c r="C90">
        <f t="shared" si="14"/>
        <v>2.1734491709110002</v>
      </c>
      <c r="D90">
        <v>1.6E-2</v>
      </c>
      <c r="E90">
        <v>9.1900000000000003E-3</v>
      </c>
      <c r="F90">
        <f t="shared" si="15"/>
        <v>890.44766000000004</v>
      </c>
      <c r="G90">
        <f t="shared" si="16"/>
        <v>-0.48816999999999999</v>
      </c>
      <c r="H90">
        <f t="shared" si="17"/>
        <v>-434.68983418220006</v>
      </c>
      <c r="I90">
        <v>1</v>
      </c>
      <c r="J90">
        <f t="shared" si="18"/>
        <v>-0.11603095394835253</v>
      </c>
      <c r="K90">
        <f t="shared" si="19"/>
        <v>-0.73355515177521746</v>
      </c>
      <c r="L90">
        <v>1</v>
      </c>
      <c r="M90">
        <f t="shared" si="20"/>
        <v>0.47440730801968939</v>
      </c>
      <c r="N90">
        <f t="shared" si="24"/>
        <v>7.1235812800000006E-2</v>
      </c>
      <c r="O90">
        <f t="shared" si="22"/>
        <v>4.0916069977000001E-2</v>
      </c>
      <c r="P90">
        <f t="shared" si="23"/>
        <v>0.14699596097852805</v>
      </c>
      <c r="V90">
        <v>2.5999999999999699</v>
      </c>
      <c r="W90">
        <f t="shared" si="21"/>
        <v>-0.60531999999999853</v>
      </c>
    </row>
    <row r="91" spans="1:23" x14ac:dyDescent="0.3">
      <c r="A91">
        <v>4.5067206999999998</v>
      </c>
      <c r="B91">
        <v>0.48452000000000001</v>
      </c>
      <c r="C91">
        <f t="shared" si="14"/>
        <v>2.1835963135639997</v>
      </c>
      <c r="D91">
        <v>1.6E-2</v>
      </c>
      <c r="E91">
        <v>9.1900000000000003E-3</v>
      </c>
      <c r="F91">
        <f t="shared" si="15"/>
        <v>901.34413999999992</v>
      </c>
      <c r="G91">
        <f t="shared" si="16"/>
        <v>-0.48452000000000001</v>
      </c>
      <c r="H91">
        <f t="shared" si="17"/>
        <v>-436.71926271279995</v>
      </c>
      <c r="I91">
        <v>1</v>
      </c>
      <c r="J91">
        <f t="shared" si="18"/>
        <v>-0.10386814091429689</v>
      </c>
      <c r="K91">
        <f t="shared" si="19"/>
        <v>-0.73720515177521739</v>
      </c>
      <c r="L91">
        <v>1</v>
      </c>
      <c r="M91">
        <f t="shared" si="20"/>
        <v>0.47499355560793088</v>
      </c>
      <c r="N91">
        <f t="shared" si="24"/>
        <v>7.2107531200000005E-2</v>
      </c>
      <c r="O91">
        <f t="shared" si="22"/>
        <v>4.1416763232999997E-2</v>
      </c>
      <c r="P91">
        <f t="shared" si="23"/>
        <v>0.14868730173428649</v>
      </c>
      <c r="V91">
        <v>2.69999999999997</v>
      </c>
      <c r="W91">
        <f t="shared" si="21"/>
        <v>-0.61013999999999857</v>
      </c>
    </row>
    <row r="92" spans="1:23" x14ac:dyDescent="0.3">
      <c r="A92">
        <v>4.5586577000000004</v>
      </c>
      <c r="B92">
        <v>0.48050999999999999</v>
      </c>
      <c r="C92">
        <f t="shared" si="14"/>
        <v>2.1904806114270001</v>
      </c>
      <c r="D92">
        <v>1.6E-2</v>
      </c>
      <c r="E92">
        <v>9.1900000000000003E-3</v>
      </c>
      <c r="F92">
        <f t="shared" si="15"/>
        <v>911.73154000000011</v>
      </c>
      <c r="G92">
        <f t="shared" si="16"/>
        <v>-0.48050999999999999</v>
      </c>
      <c r="H92">
        <f t="shared" si="17"/>
        <v>-438.09612228540004</v>
      </c>
      <c r="I92">
        <v>1</v>
      </c>
      <c r="J92">
        <f t="shared" si="18"/>
        <v>-9.2409696276489942E-2</v>
      </c>
      <c r="K92">
        <f t="shared" si="19"/>
        <v>-0.74121515177521746</v>
      </c>
      <c r="L92">
        <v>1</v>
      </c>
      <c r="M92">
        <f t="shared" si="20"/>
        <v>0.47554585263947319</v>
      </c>
      <c r="N92">
        <f t="shared" si="24"/>
        <v>7.2938523200000008E-2</v>
      </c>
      <c r="O92">
        <f t="shared" si="22"/>
        <v>4.1894064263000005E-2</v>
      </c>
      <c r="P92">
        <f t="shared" si="23"/>
        <v>0.15083671167274426</v>
      </c>
      <c r="V92">
        <v>2.7999999999999701</v>
      </c>
      <c r="W92">
        <f t="shared" si="21"/>
        <v>-0.61495999999999851</v>
      </c>
    </row>
    <row r="93" spans="1:23" x14ac:dyDescent="0.3">
      <c r="A93">
        <v>4.6090669000000002</v>
      </c>
      <c r="B93">
        <v>0.47637000000000002</v>
      </c>
      <c r="C93">
        <f t="shared" si="14"/>
        <v>2.1956211991530004</v>
      </c>
      <c r="D93">
        <v>1.6E-2</v>
      </c>
      <c r="E93">
        <v>9.1900000000000003E-3</v>
      </c>
      <c r="F93">
        <f t="shared" si="15"/>
        <v>921.81338000000005</v>
      </c>
      <c r="G93">
        <f t="shared" si="16"/>
        <v>-0.47637000000000002</v>
      </c>
      <c r="H93">
        <f t="shared" si="17"/>
        <v>-439.12423983060006</v>
      </c>
      <c r="I93">
        <v>1</v>
      </c>
      <c r="J93">
        <f t="shared" si="18"/>
        <v>-8.1412483721878995E-2</v>
      </c>
      <c r="K93">
        <f t="shared" si="19"/>
        <v>-0.74535515177521749</v>
      </c>
      <c r="L93">
        <v>1</v>
      </c>
      <c r="M93">
        <f t="shared" si="20"/>
        <v>0.47607591828460544</v>
      </c>
      <c r="N93">
        <f t="shared" si="24"/>
        <v>7.3745070400000001E-2</v>
      </c>
      <c r="O93">
        <f t="shared" si="22"/>
        <v>4.2357324811000005E-2</v>
      </c>
      <c r="P93">
        <f t="shared" si="23"/>
        <v>0.15317683827961204</v>
      </c>
      <c r="V93">
        <v>2.8999999999999702</v>
      </c>
      <c r="W93">
        <f t="shared" si="21"/>
        <v>-0.61977999999999855</v>
      </c>
    </row>
    <row r="94" spans="1:23" x14ac:dyDescent="0.3">
      <c r="A94">
        <v>4.6635498000000002</v>
      </c>
      <c r="B94">
        <v>0.47273999999999999</v>
      </c>
      <c r="C94">
        <f t="shared" si="14"/>
        <v>2.2046465324520002</v>
      </c>
      <c r="D94">
        <v>1.6E-2</v>
      </c>
      <c r="E94">
        <v>9.1900000000000003E-3</v>
      </c>
      <c r="F94">
        <f t="shared" si="15"/>
        <v>932.70996000000002</v>
      </c>
      <c r="G94">
        <f t="shared" si="16"/>
        <v>-0.47273999999999999</v>
      </c>
      <c r="H94">
        <f t="shared" si="17"/>
        <v>-440.92930649040005</v>
      </c>
      <c r="I94">
        <v>1</v>
      </c>
      <c r="J94">
        <f t="shared" si="18"/>
        <v>-6.9660994631520756E-2</v>
      </c>
      <c r="K94">
        <f t="shared" si="19"/>
        <v>-0.74898515177521752</v>
      </c>
      <c r="L94">
        <v>1</v>
      </c>
      <c r="M94">
        <f t="shared" si="20"/>
        <v>0.47664234005876066</v>
      </c>
      <c r="N94">
        <f t="shared" si="24"/>
        <v>7.461679680000001E-2</v>
      </c>
      <c r="O94">
        <f t="shared" si="22"/>
        <v>4.2858022662000006E-2</v>
      </c>
      <c r="P94">
        <f t="shared" si="23"/>
        <v>0.15486799225445685</v>
      </c>
      <c r="V94">
        <v>2.9999999999999698</v>
      </c>
      <c r="W94">
        <f t="shared" si="21"/>
        <v>-0.62459999999999849</v>
      </c>
    </row>
    <row r="95" spans="1:23" x14ac:dyDescent="0.3">
      <c r="A95">
        <v>4.7149766</v>
      </c>
      <c r="B95">
        <v>0.46860000000000002</v>
      </c>
      <c r="C95">
        <f t="shared" si="14"/>
        <v>2.2094380347600002</v>
      </c>
      <c r="D95">
        <v>1.6E-2</v>
      </c>
      <c r="E95">
        <v>9.1900000000000003E-3</v>
      </c>
      <c r="F95">
        <f t="shared" si="15"/>
        <v>942.99531999999999</v>
      </c>
      <c r="G95">
        <f t="shared" si="16"/>
        <v>-0.46860000000000002</v>
      </c>
      <c r="H95">
        <f t="shared" si="17"/>
        <v>-441.88760695200006</v>
      </c>
      <c r="I95">
        <v>1</v>
      </c>
      <c r="J95">
        <f t="shared" si="18"/>
        <v>-5.8693959245406192E-2</v>
      </c>
      <c r="K95">
        <f t="shared" si="19"/>
        <v>-0.75312515177521744</v>
      </c>
      <c r="L95">
        <v>1</v>
      </c>
      <c r="M95">
        <f t="shared" si="20"/>
        <v>0.47717095116437142</v>
      </c>
      <c r="N95">
        <f t="shared" si="24"/>
        <v>7.5439625600000004E-2</v>
      </c>
      <c r="O95">
        <f t="shared" si="22"/>
        <v>4.3330634954000004E-2</v>
      </c>
      <c r="P95">
        <f t="shared" si="23"/>
        <v>0.15718394005684602</v>
      </c>
      <c r="V95">
        <v>3.0999999999999699</v>
      </c>
      <c r="W95">
        <f t="shared" si="21"/>
        <v>-0.62941999999999854</v>
      </c>
    </row>
    <row r="96" spans="1:23" x14ac:dyDescent="0.3">
      <c r="A96">
        <v>4.7653856999999995</v>
      </c>
      <c r="B96">
        <v>0.46450999999999998</v>
      </c>
      <c r="C96">
        <f t="shared" si="14"/>
        <v>2.2135693115069999</v>
      </c>
      <c r="D96">
        <v>1.6E-2</v>
      </c>
      <c r="E96">
        <v>9.1900000000000003E-3</v>
      </c>
      <c r="F96">
        <f t="shared" si="15"/>
        <v>953.07713999999987</v>
      </c>
      <c r="G96">
        <f t="shared" si="16"/>
        <v>-0.46450999999999998</v>
      </c>
      <c r="H96">
        <f t="shared" si="17"/>
        <v>-442.71386230139996</v>
      </c>
      <c r="I96">
        <v>1</v>
      </c>
      <c r="J96">
        <f t="shared" si="18"/>
        <v>-4.8059434217606119E-2</v>
      </c>
      <c r="K96">
        <f t="shared" si="19"/>
        <v>-0.75721515177521748</v>
      </c>
      <c r="L96">
        <v>1</v>
      </c>
      <c r="M96">
        <f t="shared" si="20"/>
        <v>0.47768353527071139</v>
      </c>
      <c r="N96">
        <f t="shared" si="24"/>
        <v>7.624617119999999E-2</v>
      </c>
      <c r="O96">
        <f t="shared" si="22"/>
        <v>4.3793894582999995E-2</v>
      </c>
      <c r="P96">
        <f t="shared" si="23"/>
        <v>0.15949155072150611</v>
      </c>
      <c r="V96">
        <v>3.19999999999997</v>
      </c>
      <c r="W96">
        <f t="shared" si="21"/>
        <v>-0.63423999999999858</v>
      </c>
    </row>
    <row r="97" spans="1:23" x14ac:dyDescent="0.3">
      <c r="A97">
        <v>4.8163042000000003</v>
      </c>
      <c r="B97">
        <v>0.46061999999999997</v>
      </c>
      <c r="C97">
        <f t="shared" si="14"/>
        <v>2.2184860406040001</v>
      </c>
      <c r="D97">
        <v>1.6E-2</v>
      </c>
      <c r="E97">
        <v>9.1900000000000003E-3</v>
      </c>
      <c r="F97">
        <f t="shared" si="15"/>
        <v>963.26084000000003</v>
      </c>
      <c r="G97">
        <f t="shared" si="16"/>
        <v>-0.46061999999999997</v>
      </c>
      <c r="H97">
        <f t="shared" si="17"/>
        <v>-443.69720812080004</v>
      </c>
      <c r="I97">
        <v>1</v>
      </c>
      <c r="J97">
        <f t="shared" si="18"/>
        <v>-3.74310419705432E-2</v>
      </c>
      <c r="K97">
        <f t="shared" si="19"/>
        <v>-0.76110515177521743</v>
      </c>
      <c r="L97">
        <v>1</v>
      </c>
      <c r="M97">
        <f t="shared" si="20"/>
        <v>0.4781958237770198</v>
      </c>
      <c r="N97">
        <f t="shared" si="24"/>
        <v>7.7060867200000008E-2</v>
      </c>
      <c r="O97">
        <f t="shared" si="22"/>
        <v>4.4261835598000003E-2</v>
      </c>
      <c r="P97">
        <f t="shared" si="23"/>
        <v>0.16158662520019762</v>
      </c>
      <c r="V97">
        <v>3.2999999999999701</v>
      </c>
      <c r="W97">
        <f t="shared" si="21"/>
        <v>-0.63905999999999852</v>
      </c>
    </row>
    <row r="98" spans="1:23" x14ac:dyDescent="0.3">
      <c r="A98">
        <v>4.8687500000000004</v>
      </c>
      <c r="B98">
        <v>0.45688000000000001</v>
      </c>
      <c r="C98">
        <f t="shared" si="14"/>
        <v>2.2244345000000001</v>
      </c>
      <c r="D98">
        <v>1.6E-2</v>
      </c>
      <c r="E98">
        <v>9.1900000000000003E-3</v>
      </c>
      <c r="F98">
        <f t="shared" si="15"/>
        <v>973.75000000000011</v>
      </c>
      <c r="G98">
        <f t="shared" si="16"/>
        <v>-0.45688000000000001</v>
      </c>
      <c r="H98">
        <f t="shared" si="17"/>
        <v>-444.88690000000003</v>
      </c>
      <c r="I98">
        <v>1</v>
      </c>
      <c r="J98">
        <f t="shared" si="18"/>
        <v>-2.6600681797178914E-2</v>
      </c>
      <c r="K98">
        <f t="shared" si="19"/>
        <v>-0.7648451517752175</v>
      </c>
      <c r="L98">
        <v>1</v>
      </c>
      <c r="M98">
        <f t="shared" si="20"/>
        <v>0.47871784713737597</v>
      </c>
      <c r="N98">
        <f t="shared" si="24"/>
        <v>7.7900000000000011E-2</v>
      </c>
      <c r="O98">
        <f t="shared" si="22"/>
        <v>4.4743812500000008E-2</v>
      </c>
      <c r="P98">
        <f t="shared" si="23"/>
        <v>0.1634834921378415</v>
      </c>
      <c r="V98">
        <v>3.3999999999999702</v>
      </c>
      <c r="W98">
        <f t="shared" si="21"/>
        <v>-0.64387999999999856</v>
      </c>
    </row>
    <row r="99" spans="1:23" x14ac:dyDescent="0.3">
      <c r="A99">
        <v>4.9196685000000002</v>
      </c>
      <c r="B99">
        <v>0.45284999999999997</v>
      </c>
      <c r="C99">
        <f t="shared" si="14"/>
        <v>2.2278718802249999</v>
      </c>
      <c r="D99">
        <v>1.6E-2</v>
      </c>
      <c r="E99">
        <v>9.1900000000000003E-3</v>
      </c>
      <c r="F99">
        <f t="shared" si="15"/>
        <v>983.93370000000004</v>
      </c>
      <c r="G99">
        <f t="shared" si="16"/>
        <v>-0.45284999999999997</v>
      </c>
      <c r="H99">
        <f t="shared" si="17"/>
        <v>-445.57437604500001</v>
      </c>
      <c r="I99">
        <v>1</v>
      </c>
      <c r="J99">
        <f t="shared" si="18"/>
        <v>-1.6196762248666789E-2</v>
      </c>
      <c r="K99">
        <f t="shared" si="19"/>
        <v>-0.76887515177521748</v>
      </c>
      <c r="L99">
        <v>1</v>
      </c>
      <c r="M99">
        <f t="shared" si="20"/>
        <v>0.47921931605961426</v>
      </c>
      <c r="N99">
        <f t="shared" si="24"/>
        <v>7.8714696000000001E-2</v>
      </c>
      <c r="O99">
        <f t="shared" si="22"/>
        <v>4.5211753515000001E-2</v>
      </c>
      <c r="P99">
        <f t="shared" si="23"/>
        <v>0.16572938620060321</v>
      </c>
      <c r="V99">
        <v>3.4999999999999698</v>
      </c>
      <c r="W99">
        <f t="shared" si="21"/>
        <v>-0.6486999999999985</v>
      </c>
    </row>
    <row r="100" spans="1:23" x14ac:dyDescent="0.3">
      <c r="A100">
        <v>4.9710961999999999</v>
      </c>
      <c r="B100">
        <v>0.44895000000000002</v>
      </c>
      <c r="C100">
        <f t="shared" si="14"/>
        <v>2.23177363899</v>
      </c>
      <c r="D100">
        <v>1.6E-2</v>
      </c>
      <c r="E100">
        <v>9.1900000000000003E-3</v>
      </c>
      <c r="F100">
        <f t="shared" si="15"/>
        <v>994.21924000000001</v>
      </c>
      <c r="G100">
        <f t="shared" si="16"/>
        <v>-0.44895000000000002</v>
      </c>
      <c r="H100">
        <f t="shared" si="17"/>
        <v>-446.354727798</v>
      </c>
      <c r="I100">
        <v>1</v>
      </c>
      <c r="J100">
        <f t="shared" si="18"/>
        <v>-5.7975332658075475E-3</v>
      </c>
      <c r="K100">
        <f t="shared" si="19"/>
        <v>-0.77277515177521749</v>
      </c>
      <c r="L100">
        <v>1</v>
      </c>
      <c r="M100">
        <f t="shared" si="20"/>
        <v>0.47972055889658805</v>
      </c>
      <c r="N100">
        <f t="shared" si="24"/>
        <v>7.9537539199999993E-2</v>
      </c>
      <c r="O100">
        <f t="shared" si="22"/>
        <v>4.5684374078000002E-2</v>
      </c>
      <c r="P100">
        <f t="shared" si="23"/>
        <v>0.16783267960062945</v>
      </c>
      <c r="V100">
        <v>3.5999999999999699</v>
      </c>
      <c r="W100">
        <f t="shared" si="21"/>
        <v>-0.65351999999999855</v>
      </c>
    </row>
    <row r="101" spans="1:23" x14ac:dyDescent="0.3">
      <c r="A101">
        <v>5.0215049</v>
      </c>
      <c r="B101">
        <v>0.44502000000000003</v>
      </c>
      <c r="C101">
        <f t="shared" si="14"/>
        <v>2.234670110598</v>
      </c>
      <c r="D101">
        <v>1.6E-2</v>
      </c>
      <c r="E101">
        <v>9.1900000000000003E-3</v>
      </c>
      <c r="F101">
        <f t="shared" si="15"/>
        <v>1004.30098</v>
      </c>
      <c r="G101">
        <f t="shared" si="16"/>
        <v>-0.44502000000000003</v>
      </c>
      <c r="H101">
        <f t="shared" si="17"/>
        <v>-446.9340221196</v>
      </c>
      <c r="I101">
        <v>1</v>
      </c>
      <c r="J101">
        <f t="shared" si="18"/>
        <v>4.2917572207228057E-3</v>
      </c>
      <c r="K101">
        <f t="shared" si="19"/>
        <v>-0.77670515177521748</v>
      </c>
      <c r="L101">
        <v>1</v>
      </c>
      <c r="M101">
        <f t="shared" si="20"/>
        <v>0.48020686269803881</v>
      </c>
      <c r="N101">
        <f t="shared" si="24"/>
        <v>8.0344078400000005E-2</v>
      </c>
      <c r="O101">
        <f t="shared" si="22"/>
        <v>4.6147630031000003E-2</v>
      </c>
      <c r="P101">
        <f t="shared" si="23"/>
        <v>0.17000658064617866</v>
      </c>
      <c r="V101">
        <v>3.69999999999997</v>
      </c>
      <c r="W101">
        <f t="shared" si="21"/>
        <v>-0.65833999999999859</v>
      </c>
    </row>
    <row r="102" spans="1:23" x14ac:dyDescent="0.3">
      <c r="A102">
        <v>5.0759878</v>
      </c>
      <c r="B102">
        <v>0.44069000000000003</v>
      </c>
      <c r="C102">
        <f t="shared" si="14"/>
        <v>2.2369370635820003</v>
      </c>
      <c r="D102">
        <v>1.6E-2</v>
      </c>
      <c r="E102">
        <v>9.1900000000000003E-3</v>
      </c>
      <c r="F102">
        <f t="shared" si="15"/>
        <v>1015.1975600000001</v>
      </c>
      <c r="G102">
        <f t="shared" si="16"/>
        <v>-0.44069000000000003</v>
      </c>
      <c r="H102">
        <f t="shared" si="17"/>
        <v>-447.38741271640004</v>
      </c>
      <c r="I102">
        <v>1</v>
      </c>
      <c r="J102">
        <f t="shared" si="18"/>
        <v>1.508323394785549E-2</v>
      </c>
      <c r="K102">
        <f t="shared" si="19"/>
        <v>-0.78103515177521743</v>
      </c>
      <c r="L102">
        <v>1</v>
      </c>
      <c r="M102">
        <f t="shared" si="20"/>
        <v>0.48072701187628664</v>
      </c>
      <c r="N102">
        <f t="shared" si="24"/>
        <v>8.1215804799999999E-2</v>
      </c>
      <c r="O102">
        <f t="shared" si="22"/>
        <v>4.6648327882000004E-2</v>
      </c>
      <c r="P102">
        <f t="shared" si="23"/>
        <v>0.17244400721693076</v>
      </c>
      <c r="V102">
        <v>3.7999999999999701</v>
      </c>
      <c r="W102">
        <f t="shared" si="21"/>
        <v>-0.66315999999999853</v>
      </c>
    </row>
    <row r="103" spans="1:23" x14ac:dyDescent="0.3">
      <c r="A103">
        <v>5.1263975000000004</v>
      </c>
      <c r="B103">
        <v>0.43642999999999998</v>
      </c>
      <c r="C103">
        <f t="shared" si="14"/>
        <v>2.2373136609249999</v>
      </c>
      <c r="D103">
        <v>1.6E-2</v>
      </c>
      <c r="E103">
        <v>9.1900000000000003E-3</v>
      </c>
      <c r="F103">
        <f t="shared" si="15"/>
        <v>1025.2795000000001</v>
      </c>
      <c r="G103">
        <f t="shared" si="16"/>
        <v>-0.43642999999999998</v>
      </c>
      <c r="H103">
        <f t="shared" si="17"/>
        <v>-447.46273218499999</v>
      </c>
      <c r="I103">
        <v>1</v>
      </c>
      <c r="J103">
        <f t="shared" si="18"/>
        <v>2.4965258345968747E-2</v>
      </c>
      <c r="K103">
        <f t="shared" si="19"/>
        <v>-0.78529515177521747</v>
      </c>
      <c r="L103">
        <v>1</v>
      </c>
      <c r="M103">
        <f t="shared" si="20"/>
        <v>0.48120332545227568</v>
      </c>
      <c r="N103">
        <f t="shared" si="24"/>
        <v>8.2022360000000002E-2</v>
      </c>
      <c r="O103">
        <f t="shared" si="22"/>
        <v>4.7111593025000002E-2</v>
      </c>
      <c r="P103">
        <f t="shared" si="23"/>
        <v>0.17495787329794177</v>
      </c>
      <c r="V103">
        <v>3.8999999999999599</v>
      </c>
      <c r="W103">
        <f t="shared" si="21"/>
        <v>-0.66797999999999802</v>
      </c>
    </row>
    <row r="104" spans="1:23" x14ac:dyDescent="0.3">
      <c r="A104">
        <v>5.1778241999999999</v>
      </c>
      <c r="B104">
        <v>0.43240000000000001</v>
      </c>
      <c r="C104">
        <f t="shared" si="14"/>
        <v>2.2388911840799999</v>
      </c>
      <c r="D104">
        <v>1.6E-2</v>
      </c>
      <c r="E104">
        <v>9.1900000000000003E-3</v>
      </c>
      <c r="F104">
        <f t="shared" si="15"/>
        <v>1035.56484</v>
      </c>
      <c r="G104">
        <f t="shared" si="16"/>
        <v>-0.43240000000000001</v>
      </c>
      <c r="H104">
        <f t="shared" si="17"/>
        <v>-447.778236816</v>
      </c>
      <c r="I104">
        <v>1</v>
      </c>
      <c r="J104">
        <f t="shared" si="18"/>
        <v>3.4947016986325082E-2</v>
      </c>
      <c r="K104">
        <f t="shared" si="19"/>
        <v>-0.78932515177521745</v>
      </c>
      <c r="L104">
        <v>1</v>
      </c>
      <c r="M104">
        <f t="shared" si="20"/>
        <v>0.48168444621874085</v>
      </c>
      <c r="N104">
        <f t="shared" si="24"/>
        <v>8.2845187200000003E-2</v>
      </c>
      <c r="O104">
        <f t="shared" si="22"/>
        <v>4.7584204397999999E-2</v>
      </c>
      <c r="P104">
        <f t="shared" si="23"/>
        <v>0.17721131395847661</v>
      </c>
      <c r="V104">
        <v>3.99999999999996</v>
      </c>
      <c r="W104">
        <f t="shared" si="21"/>
        <v>-0.67279999999999807</v>
      </c>
    </row>
    <row r="105" spans="1:23" x14ac:dyDescent="0.3">
      <c r="A105">
        <v>5.2287427000000006</v>
      </c>
      <c r="B105">
        <v>0.42791000000000001</v>
      </c>
      <c r="C105">
        <f t="shared" si="14"/>
        <v>2.2374312887570005</v>
      </c>
      <c r="D105">
        <v>1.6E-2</v>
      </c>
      <c r="E105">
        <v>9.1900000000000003E-3</v>
      </c>
      <c r="F105">
        <f t="shared" si="15"/>
        <v>1045.74854</v>
      </c>
      <c r="G105">
        <f t="shared" si="16"/>
        <v>-0.42791000000000001</v>
      </c>
      <c r="H105">
        <f t="shared" si="17"/>
        <v>-447.4862577514001</v>
      </c>
      <c r="I105">
        <v>1</v>
      </c>
      <c r="J105">
        <f t="shared" si="18"/>
        <v>4.4732935212014671E-2</v>
      </c>
      <c r="K105">
        <f t="shared" si="19"/>
        <v>-0.79381515177521744</v>
      </c>
      <c r="L105">
        <v>1</v>
      </c>
      <c r="M105">
        <f t="shared" si="20"/>
        <v>0.48215612747721909</v>
      </c>
      <c r="N105">
        <f t="shared" si="24"/>
        <v>8.3659883200000007E-2</v>
      </c>
      <c r="O105">
        <f t="shared" si="22"/>
        <v>4.8052145413000007E-2</v>
      </c>
      <c r="P105">
        <f t="shared" si="23"/>
        <v>0.17994699568499833</v>
      </c>
      <c r="V105">
        <v>4.0999999999999996</v>
      </c>
      <c r="W105">
        <f t="shared" si="21"/>
        <v>-0.67762</v>
      </c>
    </row>
    <row r="106" spans="1:23" x14ac:dyDescent="0.3">
      <c r="A106">
        <v>5.2796610999999993</v>
      </c>
      <c r="B106">
        <v>0.42366999999999999</v>
      </c>
      <c r="C106">
        <f t="shared" si="14"/>
        <v>2.2368340182369995</v>
      </c>
      <c r="D106">
        <v>1.6E-2</v>
      </c>
      <c r="E106">
        <v>9.1900000000000003E-3</v>
      </c>
      <c r="F106">
        <f t="shared" si="15"/>
        <v>1055.9322199999999</v>
      </c>
      <c r="G106">
        <f t="shared" si="16"/>
        <v>-0.42366999999999999</v>
      </c>
      <c r="H106">
        <f t="shared" si="17"/>
        <v>-447.36680364739988</v>
      </c>
      <c r="I106">
        <v>1</v>
      </c>
      <c r="J106">
        <f t="shared" si="18"/>
        <v>5.4423997618024834E-2</v>
      </c>
      <c r="K106">
        <f t="shared" si="19"/>
        <v>-0.79805515177521746</v>
      </c>
      <c r="L106">
        <v>1</v>
      </c>
      <c r="M106">
        <f t="shared" si="20"/>
        <v>0.48262323668518881</v>
      </c>
      <c r="N106">
        <f t="shared" si="24"/>
        <v>8.4474577599999989E-2</v>
      </c>
      <c r="O106">
        <f t="shared" si="22"/>
        <v>4.8520085508999992E-2</v>
      </c>
      <c r="P106">
        <f t="shared" si="23"/>
        <v>0.18243725198102867</v>
      </c>
      <c r="V106">
        <v>4.2</v>
      </c>
      <c r="W106">
        <f t="shared" si="21"/>
        <v>-0.68243999999999994</v>
      </c>
    </row>
    <row r="107" spans="1:23" x14ac:dyDescent="0.3">
      <c r="A107">
        <v>5.3300703</v>
      </c>
      <c r="B107">
        <v>0.41970000000000002</v>
      </c>
      <c r="C107">
        <f t="shared" si="14"/>
        <v>2.2370305049100003</v>
      </c>
      <c r="D107">
        <v>1.6E-2</v>
      </c>
      <c r="E107">
        <v>9.1900000000000003E-3</v>
      </c>
      <c r="F107">
        <f t="shared" si="15"/>
        <v>1066.01406</v>
      </c>
      <c r="G107">
        <f t="shared" si="16"/>
        <v>-0.41970000000000002</v>
      </c>
      <c r="H107">
        <f t="shared" si="17"/>
        <v>-447.40610098200005</v>
      </c>
      <c r="I107">
        <v>1</v>
      </c>
      <c r="J107">
        <f t="shared" si="18"/>
        <v>6.3926515150105473E-2</v>
      </c>
      <c r="K107">
        <f t="shared" si="19"/>
        <v>-0.80202515177521749</v>
      </c>
      <c r="L107">
        <v>1</v>
      </c>
      <c r="M107">
        <f t="shared" si="20"/>
        <v>0.48308125803023505</v>
      </c>
      <c r="N107">
        <f t="shared" si="24"/>
        <v>8.5281124799999997E-2</v>
      </c>
      <c r="O107">
        <f t="shared" si="22"/>
        <v>4.8983346056999999E-2</v>
      </c>
      <c r="P107">
        <f t="shared" si="23"/>
        <v>0.18467942288798245</v>
      </c>
      <c r="V107">
        <v>4.3</v>
      </c>
      <c r="W107">
        <f t="shared" si="21"/>
        <v>-0.68725999999999998</v>
      </c>
    </row>
    <row r="108" spans="1:23" x14ac:dyDescent="0.3">
      <c r="A108">
        <v>5.3830258999999998</v>
      </c>
      <c r="B108">
        <v>0.41610999999999998</v>
      </c>
      <c r="C108">
        <f t="shared" si="14"/>
        <v>2.2399309072489997</v>
      </c>
      <c r="D108">
        <v>1.6E-2</v>
      </c>
      <c r="E108">
        <v>9.1900000000000003E-3</v>
      </c>
      <c r="F108">
        <f t="shared" si="15"/>
        <v>1076.60518</v>
      </c>
      <c r="G108">
        <f t="shared" si="16"/>
        <v>-0.41610999999999998</v>
      </c>
      <c r="H108">
        <f t="shared" si="17"/>
        <v>-447.98618144979991</v>
      </c>
      <c r="I108">
        <v>1</v>
      </c>
      <c r="J108">
        <f t="shared" si="18"/>
        <v>7.3812738576577969E-2</v>
      </c>
      <c r="K108">
        <f t="shared" si="19"/>
        <v>-0.80561515177521748</v>
      </c>
      <c r="L108">
        <v>1</v>
      </c>
      <c r="M108">
        <f t="shared" si="20"/>
        <v>0.48355777399939104</v>
      </c>
      <c r="N108">
        <f t="shared" si="24"/>
        <v>8.6128414399999992E-2</v>
      </c>
      <c r="O108">
        <f t="shared" si="22"/>
        <v>4.9470008020999996E-2</v>
      </c>
      <c r="P108">
        <f t="shared" si="23"/>
        <v>0.18645895535482646</v>
      </c>
      <c r="V108">
        <v>4.4000000000000004</v>
      </c>
      <c r="W108">
        <f t="shared" si="21"/>
        <v>-0.69208000000000003</v>
      </c>
    </row>
    <row r="109" spans="1:23" x14ac:dyDescent="0.3">
      <c r="A109">
        <v>5.4375077999999997</v>
      </c>
      <c r="B109">
        <v>0.41125</v>
      </c>
      <c r="C109">
        <f t="shared" si="14"/>
        <v>2.23617508275</v>
      </c>
      <c r="D109">
        <v>1.6E-2</v>
      </c>
      <c r="E109">
        <v>9.1900000000000003E-3</v>
      </c>
      <c r="F109">
        <f t="shared" si="15"/>
        <v>1087.5015599999999</v>
      </c>
      <c r="G109">
        <f t="shared" si="16"/>
        <v>-0.41125</v>
      </c>
      <c r="H109">
        <f t="shared" si="17"/>
        <v>-447.23501655000001</v>
      </c>
      <c r="I109">
        <v>1</v>
      </c>
      <c r="J109">
        <f t="shared" si="18"/>
        <v>8.3882918462431844E-2</v>
      </c>
      <c r="K109">
        <f t="shared" si="19"/>
        <v>-0.81047515177521745</v>
      </c>
      <c r="L109">
        <v>1</v>
      </c>
      <c r="M109">
        <f t="shared" si="20"/>
        <v>0.48404315666988917</v>
      </c>
      <c r="N109">
        <f t="shared" si="24"/>
        <v>8.7000124799999995E-2</v>
      </c>
      <c r="O109">
        <f t="shared" si="22"/>
        <v>4.9970696682E-2</v>
      </c>
      <c r="P109">
        <f t="shared" si="23"/>
        <v>0.18946117362332829</v>
      </c>
      <c r="V109">
        <v>4.5</v>
      </c>
      <c r="W109">
        <f t="shared" si="21"/>
        <v>-0.69689999999999996</v>
      </c>
    </row>
    <row r="110" spans="1:23" x14ac:dyDescent="0.3">
      <c r="A110">
        <v>5.4899541000000003</v>
      </c>
      <c r="B110">
        <v>0.40638000000000002</v>
      </c>
      <c r="C110">
        <f t="shared" si="14"/>
        <v>2.2310075471580002</v>
      </c>
      <c r="D110">
        <v>1.6E-2</v>
      </c>
      <c r="E110">
        <v>9.1900000000000003E-3</v>
      </c>
      <c r="F110">
        <f t="shared" si="15"/>
        <v>1097.99082</v>
      </c>
      <c r="G110">
        <f t="shared" si="16"/>
        <v>-0.40638000000000002</v>
      </c>
      <c r="H110">
        <f t="shared" si="17"/>
        <v>-446.20150943160002</v>
      </c>
      <c r="I110">
        <v>1</v>
      </c>
      <c r="J110">
        <f t="shared" si="18"/>
        <v>9.3481982396650634E-2</v>
      </c>
      <c r="K110">
        <f t="shared" si="19"/>
        <v>-0.81534515177521749</v>
      </c>
      <c r="L110">
        <v>1</v>
      </c>
      <c r="M110">
        <f t="shared" si="20"/>
        <v>0.48450583155151855</v>
      </c>
      <c r="N110">
        <f t="shared" si="24"/>
        <v>8.7839265600000008E-2</v>
      </c>
      <c r="O110">
        <f t="shared" si="22"/>
        <v>5.0452678179000003E-2</v>
      </c>
      <c r="P110">
        <f t="shared" si="23"/>
        <v>0.19254737644469894</v>
      </c>
      <c r="V110">
        <v>4.5999999999999996</v>
      </c>
      <c r="W110">
        <f t="shared" si="21"/>
        <v>-0.7017199999999999</v>
      </c>
    </row>
    <row r="111" spans="1:23" x14ac:dyDescent="0.3">
      <c r="A111">
        <v>5.5449458000000007</v>
      </c>
      <c r="B111">
        <v>0.40204000000000001</v>
      </c>
      <c r="C111">
        <f t="shared" si="14"/>
        <v>2.2292900094320003</v>
      </c>
      <c r="D111">
        <v>1.6E-2</v>
      </c>
      <c r="E111">
        <v>9.1900000000000003E-3</v>
      </c>
      <c r="F111">
        <f t="shared" si="15"/>
        <v>1108.9891600000001</v>
      </c>
      <c r="G111">
        <f t="shared" si="16"/>
        <v>-0.40204000000000001</v>
      </c>
      <c r="H111">
        <f t="shared" si="17"/>
        <v>-445.85800188640007</v>
      </c>
      <c r="I111">
        <v>1</v>
      </c>
      <c r="J111">
        <f t="shared" si="18"/>
        <v>0.10344893374877247</v>
      </c>
      <c r="K111">
        <f t="shared" si="19"/>
        <v>-0.8196851517752175</v>
      </c>
      <c r="L111">
        <v>1</v>
      </c>
      <c r="M111">
        <f t="shared" si="20"/>
        <v>0.48498623860669082</v>
      </c>
      <c r="N111">
        <f t="shared" si="24"/>
        <v>8.8719132800000017E-2</v>
      </c>
      <c r="O111">
        <f t="shared" si="22"/>
        <v>5.0958051902000007E-2</v>
      </c>
      <c r="P111">
        <f t="shared" si="23"/>
        <v>0.19502172846652666</v>
      </c>
      <c r="V111">
        <v>4.7</v>
      </c>
      <c r="W111">
        <f t="shared" si="21"/>
        <v>-0.70653999999999995</v>
      </c>
    </row>
    <row r="112" spans="1:23" x14ac:dyDescent="0.3">
      <c r="A112">
        <v>5.5968822999999999</v>
      </c>
      <c r="B112">
        <v>0.39724999999999999</v>
      </c>
      <c r="C112">
        <f t="shared" si="14"/>
        <v>2.2233614936749997</v>
      </c>
      <c r="D112">
        <v>1.6E-2</v>
      </c>
      <c r="E112">
        <v>9.1900000000000003E-3</v>
      </c>
      <c r="F112">
        <f t="shared" si="15"/>
        <v>1119.37646</v>
      </c>
      <c r="G112">
        <f t="shared" si="16"/>
        <v>-0.39724999999999999</v>
      </c>
      <c r="H112">
        <f t="shared" si="17"/>
        <v>-444.67229873499991</v>
      </c>
      <c r="I112">
        <v>1</v>
      </c>
      <c r="J112">
        <f t="shared" si="18"/>
        <v>0.11277179813126274</v>
      </c>
      <c r="K112">
        <f t="shared" si="19"/>
        <v>-0.82447515177521746</v>
      </c>
      <c r="L112">
        <v>1</v>
      </c>
      <c r="M112">
        <f t="shared" si="20"/>
        <v>0.48543560066992686</v>
      </c>
      <c r="N112">
        <f t="shared" si="24"/>
        <v>8.9550116799999996E-2</v>
      </c>
      <c r="O112">
        <f t="shared" si="22"/>
        <v>5.1435348337000003E-2</v>
      </c>
      <c r="P112">
        <f t="shared" si="23"/>
        <v>0.19805408596829061</v>
      </c>
      <c r="V112">
        <v>4.8</v>
      </c>
      <c r="W112">
        <f t="shared" si="21"/>
        <v>-0.71135999999999999</v>
      </c>
    </row>
    <row r="113" spans="1:23" x14ac:dyDescent="0.3">
      <c r="A113">
        <v>5.6483100999999998</v>
      </c>
      <c r="B113">
        <v>0.39273999999999998</v>
      </c>
      <c r="C113">
        <f t="shared" si="14"/>
        <v>2.218317308674</v>
      </c>
      <c r="D113">
        <v>1.6E-2</v>
      </c>
      <c r="E113">
        <v>9.1900000000000003E-3</v>
      </c>
      <c r="F113">
        <f t="shared" si="15"/>
        <v>1129.66202</v>
      </c>
      <c r="G113">
        <f t="shared" si="16"/>
        <v>-0.39273999999999998</v>
      </c>
      <c r="H113">
        <f t="shared" si="17"/>
        <v>-443.66346173480002</v>
      </c>
      <c r="I113">
        <v>1</v>
      </c>
      <c r="J113">
        <f t="shared" si="18"/>
        <v>0.12191849064058456</v>
      </c>
      <c r="K113">
        <f t="shared" si="19"/>
        <v>-0.82898515177521748</v>
      </c>
      <c r="L113">
        <v>1</v>
      </c>
      <c r="M113">
        <f t="shared" si="20"/>
        <v>0.48587647124887617</v>
      </c>
      <c r="N113">
        <f t="shared" si="24"/>
        <v>9.0372961599999996E-2</v>
      </c>
      <c r="O113">
        <f t="shared" si="22"/>
        <v>5.1907969818999998E-2</v>
      </c>
      <c r="P113">
        <f t="shared" si="23"/>
        <v>0.20082774910734127</v>
      </c>
      <c r="V113">
        <v>4.9000000000000004</v>
      </c>
      <c r="W113">
        <f t="shared" si="21"/>
        <v>-0.71618000000000004</v>
      </c>
    </row>
    <row r="114" spans="1:23" x14ac:dyDescent="0.3">
      <c r="A114">
        <v>5.7007559000000008</v>
      </c>
      <c r="B114">
        <v>0.38836999999999999</v>
      </c>
      <c r="C114">
        <f t="shared" si="14"/>
        <v>2.2140025688830001</v>
      </c>
      <c r="D114">
        <v>1.6E-2</v>
      </c>
      <c r="E114">
        <v>9.1900000000000003E-3</v>
      </c>
      <c r="F114">
        <f t="shared" si="15"/>
        <v>1140.1511800000001</v>
      </c>
      <c r="G114">
        <f t="shared" si="16"/>
        <v>-0.38836999999999999</v>
      </c>
      <c r="H114">
        <f t="shared" si="17"/>
        <v>-442.80051377660004</v>
      </c>
      <c r="I114">
        <v>1</v>
      </c>
      <c r="J114">
        <f t="shared" si="18"/>
        <v>0.13116086764902812</v>
      </c>
      <c r="K114">
        <f t="shared" si="19"/>
        <v>-0.83335515177521746</v>
      </c>
      <c r="L114">
        <v>1</v>
      </c>
      <c r="M114">
        <f t="shared" si="20"/>
        <v>0.48632195382068316</v>
      </c>
      <c r="N114">
        <f t="shared" si="24"/>
        <v>9.1212094400000013E-2</v>
      </c>
      <c r="O114">
        <f t="shared" si="22"/>
        <v>5.2389946721000009E-2</v>
      </c>
      <c r="P114">
        <f t="shared" si="23"/>
        <v>0.2034311568335343</v>
      </c>
      <c r="V114">
        <v>5</v>
      </c>
      <c r="W114">
        <f t="shared" si="21"/>
        <v>-0.72099999999999997</v>
      </c>
    </row>
    <row r="115" spans="1:23" x14ac:dyDescent="0.3">
      <c r="A115">
        <v>5.7516737999999998</v>
      </c>
      <c r="B115">
        <v>0.38319999999999999</v>
      </c>
      <c r="C115">
        <f t="shared" si="14"/>
        <v>2.2040414001599999</v>
      </c>
      <c r="D115">
        <v>1.6E-2</v>
      </c>
      <c r="E115">
        <v>9.1900000000000003E-3</v>
      </c>
      <c r="F115">
        <f t="shared" si="15"/>
        <v>1150.33476</v>
      </c>
      <c r="G115">
        <f t="shared" si="16"/>
        <v>-0.38319999999999999</v>
      </c>
      <c r="H115">
        <f t="shared" si="17"/>
        <v>-440.80828003199997</v>
      </c>
      <c r="I115">
        <v>1</v>
      </c>
      <c r="J115">
        <f t="shared" si="18"/>
        <v>0.14005299566721363</v>
      </c>
      <c r="K115">
        <f t="shared" si="19"/>
        <v>-0.83852515177521747</v>
      </c>
      <c r="L115">
        <v>1</v>
      </c>
      <c r="M115">
        <f t="shared" si="20"/>
        <v>0.48675055439115966</v>
      </c>
      <c r="N115">
        <f t="shared" si="24"/>
        <v>9.2026780799999999E-2</v>
      </c>
      <c r="O115">
        <f t="shared" si="22"/>
        <v>5.2857882221999997E-2</v>
      </c>
      <c r="P115">
        <f t="shared" si="23"/>
        <v>0.20688993436205783</v>
      </c>
      <c r="V115">
        <v>5.0999999999999996</v>
      </c>
      <c r="W115">
        <f t="shared" si="21"/>
        <v>-0.72581999999999991</v>
      </c>
    </row>
    <row r="116" spans="1:23" x14ac:dyDescent="0.3">
      <c r="A116">
        <v>5.8020835000000002</v>
      </c>
      <c r="B116">
        <v>0.37877</v>
      </c>
      <c r="C116">
        <f t="shared" si="14"/>
        <v>2.1976551672950002</v>
      </c>
      <c r="D116">
        <v>1.6E-2</v>
      </c>
      <c r="E116">
        <v>9.1900000000000003E-3</v>
      </c>
      <c r="F116">
        <f t="shared" si="15"/>
        <v>1160.4167</v>
      </c>
      <c r="G116">
        <f t="shared" si="16"/>
        <v>-0.37877</v>
      </c>
      <c r="H116">
        <f t="shared" si="17"/>
        <v>-439.53103345900001</v>
      </c>
      <c r="I116">
        <v>1</v>
      </c>
      <c r="J116">
        <f t="shared" si="18"/>
        <v>0.14877916475066125</v>
      </c>
      <c r="K116">
        <f t="shared" si="19"/>
        <v>-0.8429551517752174</v>
      </c>
      <c r="L116">
        <v>1</v>
      </c>
      <c r="M116">
        <f t="shared" si="20"/>
        <v>0.48717115574098185</v>
      </c>
      <c r="N116">
        <f t="shared" si="24"/>
        <v>9.2833336000000002E-2</v>
      </c>
      <c r="O116">
        <f t="shared" si="22"/>
        <v>5.3321147365000002E-2</v>
      </c>
      <c r="P116">
        <f t="shared" si="23"/>
        <v>0.20962951266923557</v>
      </c>
      <c r="V116">
        <v>5.2</v>
      </c>
      <c r="W116">
        <f t="shared" si="21"/>
        <v>-0.73063999999999996</v>
      </c>
    </row>
    <row r="117" spans="1:23" x14ac:dyDescent="0.3">
      <c r="A117">
        <v>5.8550386000000003</v>
      </c>
      <c r="B117">
        <v>0.37430000000000002</v>
      </c>
      <c r="C117">
        <f t="shared" si="14"/>
        <v>2.1915409479800001</v>
      </c>
      <c r="D117">
        <v>1.6E-2</v>
      </c>
      <c r="E117">
        <v>9.1900000000000003E-3</v>
      </c>
      <c r="F117">
        <f t="shared" si="15"/>
        <v>1171.0077200000001</v>
      </c>
      <c r="G117">
        <f t="shared" si="16"/>
        <v>-0.37430000000000002</v>
      </c>
      <c r="H117">
        <f t="shared" si="17"/>
        <v>-438.30818959600003</v>
      </c>
      <c r="I117">
        <v>1</v>
      </c>
      <c r="J117">
        <f t="shared" si="18"/>
        <v>0.15786467724969852</v>
      </c>
      <c r="K117">
        <f t="shared" si="19"/>
        <v>-0.84742515177521738</v>
      </c>
      <c r="L117">
        <v>1</v>
      </c>
      <c r="M117">
        <f t="shared" si="20"/>
        <v>0.48760907744343546</v>
      </c>
      <c r="N117">
        <f t="shared" si="24"/>
        <v>9.3680617600000002E-2</v>
      </c>
      <c r="O117">
        <f t="shared" si="22"/>
        <v>5.3807804734000007E-2</v>
      </c>
      <c r="P117">
        <f t="shared" si="23"/>
        <v>0.21232765199778189</v>
      </c>
      <c r="V117">
        <v>5.3</v>
      </c>
      <c r="W117">
        <f t="shared" si="21"/>
        <v>-0.73546</v>
      </c>
    </row>
    <row r="118" spans="1:23" x14ac:dyDescent="0.3">
      <c r="A118">
        <v>5.9069750999999995</v>
      </c>
      <c r="B118">
        <v>0.36907000000000001</v>
      </c>
      <c r="C118">
        <f t="shared" si="14"/>
        <v>2.180087300157</v>
      </c>
      <c r="D118">
        <v>1.6E-2</v>
      </c>
      <c r="E118">
        <v>9.1900000000000003E-3</v>
      </c>
      <c r="F118">
        <f t="shared" si="15"/>
        <v>1181.3950199999999</v>
      </c>
      <c r="G118">
        <f t="shared" si="16"/>
        <v>-0.36907000000000001</v>
      </c>
      <c r="H118">
        <f t="shared" si="17"/>
        <v>-436.01746003139999</v>
      </c>
      <c r="I118">
        <v>1</v>
      </c>
      <c r="J118">
        <f t="shared" si="18"/>
        <v>0.16669596054437824</v>
      </c>
      <c r="K118">
        <f t="shared" si="19"/>
        <v>-0.85265515177521745</v>
      </c>
      <c r="L118">
        <v>1</v>
      </c>
      <c r="M118">
        <f t="shared" si="20"/>
        <v>0.48803474529823904</v>
      </c>
      <c r="N118">
        <f t="shared" si="24"/>
        <v>9.4511601599999995E-2</v>
      </c>
      <c r="O118">
        <f t="shared" si="22"/>
        <v>5.4285101168999997E-2</v>
      </c>
      <c r="P118">
        <f t="shared" si="23"/>
        <v>0.21582370370797843</v>
      </c>
      <c r="V118">
        <v>5.4</v>
      </c>
      <c r="W118">
        <f t="shared" si="21"/>
        <v>-0.74028000000000005</v>
      </c>
    </row>
    <row r="119" spans="1:23" x14ac:dyDescent="0.3">
      <c r="A119">
        <v>5.9609482000000007</v>
      </c>
      <c r="B119">
        <v>0.36445</v>
      </c>
      <c r="C119">
        <f t="shared" si="14"/>
        <v>2.1724675714900004</v>
      </c>
      <c r="D119">
        <v>1.6E-2</v>
      </c>
      <c r="E119">
        <v>9.1900000000000003E-3</v>
      </c>
      <c r="F119">
        <f t="shared" si="15"/>
        <v>1192.1896400000001</v>
      </c>
      <c r="G119">
        <f t="shared" si="16"/>
        <v>-0.36445</v>
      </c>
      <c r="H119">
        <f t="shared" si="17"/>
        <v>-434.49351429800009</v>
      </c>
      <c r="I119">
        <v>1</v>
      </c>
      <c r="J119">
        <f t="shared" si="18"/>
        <v>0.17579164994878771</v>
      </c>
      <c r="K119">
        <f t="shared" si="19"/>
        <v>-0.85727515177521751</v>
      </c>
      <c r="L119">
        <v>1</v>
      </c>
      <c r="M119">
        <f t="shared" si="20"/>
        <v>0.48847315752753157</v>
      </c>
      <c r="N119">
        <f t="shared" si="24"/>
        <v>9.5375171200000011E-2</v>
      </c>
      <c r="O119">
        <f t="shared" si="22"/>
        <v>5.4781113958000005E-2</v>
      </c>
      <c r="P119">
        <f t="shared" si="23"/>
        <v>0.21864570908968595</v>
      </c>
      <c r="V119">
        <v>5.5</v>
      </c>
      <c r="W119">
        <f t="shared" si="21"/>
        <v>-0.74509999999999998</v>
      </c>
    </row>
    <row r="120" spans="1:23" x14ac:dyDescent="0.3">
      <c r="A120">
        <v>6.0113574000000005</v>
      </c>
      <c r="B120">
        <v>0.35921999999999998</v>
      </c>
      <c r="C120">
        <f t="shared" si="14"/>
        <v>2.1593998052279999</v>
      </c>
      <c r="D120">
        <v>1.6E-2</v>
      </c>
      <c r="E120">
        <v>9.1900000000000003E-3</v>
      </c>
      <c r="F120">
        <f t="shared" si="15"/>
        <v>1202.2714800000001</v>
      </c>
      <c r="G120">
        <f t="shared" si="16"/>
        <v>-0.35921999999999998</v>
      </c>
      <c r="H120">
        <f t="shared" si="17"/>
        <v>-431.8799610456</v>
      </c>
      <c r="I120">
        <v>1</v>
      </c>
      <c r="J120">
        <f t="shared" si="18"/>
        <v>0.18421266751634291</v>
      </c>
      <c r="K120">
        <f t="shared" si="19"/>
        <v>-0.86250515177521747</v>
      </c>
      <c r="L120">
        <v>1</v>
      </c>
      <c r="M120">
        <f t="shared" si="20"/>
        <v>0.48887905057428771</v>
      </c>
      <c r="N120">
        <f t="shared" si="24"/>
        <v>9.6181718400000005E-2</v>
      </c>
      <c r="O120">
        <f t="shared" si="22"/>
        <v>5.5244374506000005E-2</v>
      </c>
      <c r="P120">
        <f t="shared" si="23"/>
        <v>0.22220000829492975</v>
      </c>
      <c r="V120">
        <v>5.6</v>
      </c>
      <c r="W120">
        <f t="shared" si="21"/>
        <v>-0.74991999999999992</v>
      </c>
    </row>
    <row r="121" spans="1:23" x14ac:dyDescent="0.3">
      <c r="A121">
        <v>6.0643124999999998</v>
      </c>
      <c r="B121">
        <v>0.35415999999999997</v>
      </c>
      <c r="C121">
        <f t="shared" si="14"/>
        <v>2.1477369149999999</v>
      </c>
      <c r="D121">
        <v>1.6E-2</v>
      </c>
      <c r="E121">
        <v>9.1900000000000003E-3</v>
      </c>
      <c r="F121">
        <f t="shared" si="15"/>
        <v>1212.8625</v>
      </c>
      <c r="G121">
        <f t="shared" si="16"/>
        <v>-0.35415999999999997</v>
      </c>
      <c r="H121">
        <f t="shared" si="17"/>
        <v>-429.54738299999997</v>
      </c>
      <c r="I121">
        <v>1</v>
      </c>
      <c r="J121">
        <f t="shared" si="18"/>
        <v>0.1929832682193186</v>
      </c>
      <c r="K121">
        <f t="shared" si="19"/>
        <v>-0.86756515177521742</v>
      </c>
      <c r="L121">
        <v>1</v>
      </c>
      <c r="M121">
        <f t="shared" si="20"/>
        <v>0.48930179352817116</v>
      </c>
      <c r="N121">
        <f t="shared" si="24"/>
        <v>9.7029000000000004E-2</v>
      </c>
      <c r="O121">
        <f t="shared" si="22"/>
        <v>5.5731031874999996E-2</v>
      </c>
      <c r="P121">
        <f t="shared" si="23"/>
        <v>0.22550332637204623</v>
      </c>
      <c r="V121">
        <v>5.7</v>
      </c>
      <c r="W121">
        <f t="shared" si="21"/>
        <v>-0.75473999999999997</v>
      </c>
    </row>
    <row r="122" spans="1:23" x14ac:dyDescent="0.3">
      <c r="A122">
        <v>6.1147217000000005</v>
      </c>
      <c r="B122">
        <v>0.34925</v>
      </c>
      <c r="C122">
        <f t="shared" si="14"/>
        <v>2.1355665537250004</v>
      </c>
      <c r="D122">
        <v>1.6E-2</v>
      </c>
      <c r="E122">
        <v>9.1900000000000003E-3</v>
      </c>
      <c r="F122">
        <f t="shared" si="15"/>
        <v>1222.94434</v>
      </c>
      <c r="G122">
        <f t="shared" si="16"/>
        <v>-0.34925</v>
      </c>
      <c r="H122">
        <f t="shared" si="17"/>
        <v>-427.11331074500009</v>
      </c>
      <c r="I122">
        <v>1</v>
      </c>
      <c r="J122">
        <f t="shared" si="18"/>
        <v>0.20126134463094644</v>
      </c>
      <c r="K122">
        <f t="shared" si="19"/>
        <v>-0.87247515177521739</v>
      </c>
      <c r="L122">
        <v>1</v>
      </c>
      <c r="M122">
        <f t="shared" si="20"/>
        <v>0.48970079681121159</v>
      </c>
      <c r="N122">
        <f t="shared" si="24"/>
        <v>9.7835547200000011E-2</v>
      </c>
      <c r="O122">
        <f t="shared" si="22"/>
        <v>5.6194292423000003E-2</v>
      </c>
      <c r="P122">
        <f t="shared" si="23"/>
        <v>0.22874451534100582</v>
      </c>
      <c r="V122">
        <v>5.8</v>
      </c>
      <c r="W122">
        <f t="shared" si="21"/>
        <v>-0.75956000000000001</v>
      </c>
    </row>
    <row r="123" spans="1:23" x14ac:dyDescent="0.3">
      <c r="A123">
        <v>6.1697134000000009</v>
      </c>
      <c r="B123">
        <v>0.34394000000000002</v>
      </c>
      <c r="C123">
        <f t="shared" si="14"/>
        <v>2.1220112267960003</v>
      </c>
      <c r="D123">
        <v>1.6E-2</v>
      </c>
      <c r="E123">
        <v>9.1900000000000003E-3</v>
      </c>
      <c r="F123">
        <f t="shared" si="15"/>
        <v>1233.9426800000001</v>
      </c>
      <c r="G123">
        <f t="shared" si="16"/>
        <v>-0.34394000000000002</v>
      </c>
      <c r="H123">
        <f t="shared" si="17"/>
        <v>-424.40224535920004</v>
      </c>
      <c r="I123">
        <v>1</v>
      </c>
      <c r="J123">
        <f t="shared" si="18"/>
        <v>0.21021447383707426</v>
      </c>
      <c r="K123">
        <f t="shared" si="19"/>
        <v>-0.87778515177521743</v>
      </c>
      <c r="L123">
        <v>1</v>
      </c>
      <c r="M123">
        <f t="shared" si="20"/>
        <v>0.49013233763894698</v>
      </c>
      <c r="N123">
        <f t="shared" si="24"/>
        <v>9.8715414400000021E-2</v>
      </c>
      <c r="O123">
        <f t="shared" si="22"/>
        <v>5.6699666146000006E-2</v>
      </c>
      <c r="P123">
        <f t="shared" si="23"/>
        <v>0.23223773359027042</v>
      </c>
      <c r="V123">
        <v>5.9</v>
      </c>
      <c r="W123">
        <f t="shared" si="21"/>
        <v>-0.76438000000000006</v>
      </c>
    </row>
    <row r="124" spans="1:23" x14ac:dyDescent="0.3">
      <c r="A124">
        <v>6.2211406</v>
      </c>
      <c r="B124">
        <v>0.33831</v>
      </c>
      <c r="C124">
        <f t="shared" si="14"/>
        <v>2.1046740763859999</v>
      </c>
      <c r="D124">
        <v>1.6E-2</v>
      </c>
      <c r="E124">
        <v>9.1900000000000003E-3</v>
      </c>
      <c r="F124">
        <f t="shared" si="15"/>
        <v>1244.22812</v>
      </c>
      <c r="G124">
        <f t="shared" si="16"/>
        <v>-0.33831</v>
      </c>
      <c r="H124">
        <f t="shared" si="17"/>
        <v>-420.93481527719996</v>
      </c>
      <c r="I124">
        <v>1</v>
      </c>
      <c r="J124">
        <f t="shared" si="18"/>
        <v>0.21851535371141426</v>
      </c>
      <c r="K124">
        <f t="shared" si="19"/>
        <v>-0.88341515177521746</v>
      </c>
      <c r="L124">
        <v>1</v>
      </c>
      <c r="M124">
        <f t="shared" si="20"/>
        <v>0.49053244004889013</v>
      </c>
      <c r="N124">
        <f t="shared" si="24"/>
        <v>9.9538249600000003E-2</v>
      </c>
      <c r="O124">
        <f t="shared" si="22"/>
        <v>5.7172282114000002E-2</v>
      </c>
      <c r="P124">
        <f t="shared" si="23"/>
        <v>0.23617218001232732</v>
      </c>
      <c r="V124">
        <v>6</v>
      </c>
      <c r="W124">
        <f t="shared" si="21"/>
        <v>-0.76919999999999999</v>
      </c>
    </row>
    <row r="125" spans="1:23" x14ac:dyDescent="0.3">
      <c r="A125">
        <v>6.2715497999999998</v>
      </c>
      <c r="B125">
        <v>0.33272000000000002</v>
      </c>
      <c r="C125">
        <f t="shared" si="14"/>
        <v>2.086670049456</v>
      </c>
      <c r="D125">
        <v>1.6E-2</v>
      </c>
      <c r="E125">
        <v>9.1900000000000003E-3</v>
      </c>
      <c r="F125">
        <f t="shared" si="15"/>
        <v>1254.30996</v>
      </c>
      <c r="G125">
        <f t="shared" si="16"/>
        <v>-0.33272000000000002</v>
      </c>
      <c r="H125">
        <f t="shared" si="17"/>
        <v>-417.33400989120003</v>
      </c>
      <c r="I125">
        <v>1</v>
      </c>
      <c r="J125">
        <f t="shared" si="18"/>
        <v>0.22658558870101184</v>
      </c>
      <c r="K125">
        <f t="shared" si="19"/>
        <v>-0.88900515177521744</v>
      </c>
      <c r="L125">
        <v>1</v>
      </c>
      <c r="M125">
        <f t="shared" si="20"/>
        <v>0.49092142537538874</v>
      </c>
      <c r="N125">
        <f t="shared" si="24"/>
        <v>0.1003447968</v>
      </c>
      <c r="O125">
        <f t="shared" si="22"/>
        <v>5.7635542662000001E-2</v>
      </c>
      <c r="P125">
        <f t="shared" si="23"/>
        <v>0.24010338693782873</v>
      </c>
      <c r="V125">
        <v>6.1</v>
      </c>
      <c r="W125">
        <f t="shared" si="21"/>
        <v>-0.77401999999999993</v>
      </c>
    </row>
    <row r="126" spans="1:23" x14ac:dyDescent="0.3">
      <c r="A126">
        <v>6.3224683000000006</v>
      </c>
      <c r="B126">
        <v>0.32768000000000003</v>
      </c>
      <c r="C126">
        <f t="shared" si="14"/>
        <v>2.0717464125440004</v>
      </c>
      <c r="D126">
        <v>1.6E-2</v>
      </c>
      <c r="E126">
        <v>9.1900000000000003E-3</v>
      </c>
      <c r="F126">
        <f t="shared" si="15"/>
        <v>1264.4936600000001</v>
      </c>
      <c r="G126">
        <f t="shared" si="16"/>
        <v>-0.32768000000000003</v>
      </c>
      <c r="H126">
        <f t="shared" si="17"/>
        <v>-414.34928250880006</v>
      </c>
      <c r="I126">
        <v>1</v>
      </c>
      <c r="J126">
        <f t="shared" si="18"/>
        <v>0.23467177327585126</v>
      </c>
      <c r="K126">
        <f t="shared" si="19"/>
        <v>-0.89404515177521748</v>
      </c>
      <c r="L126">
        <v>1</v>
      </c>
      <c r="M126">
        <f t="shared" si="20"/>
        <v>0.49131117947189601</v>
      </c>
      <c r="N126">
        <f t="shared" si="24"/>
        <v>0.10115949280000001</v>
      </c>
      <c r="O126">
        <f t="shared" si="22"/>
        <v>5.8103483677000009E-2</v>
      </c>
      <c r="P126">
        <f t="shared" si="23"/>
        <v>0.24347099582632142</v>
      </c>
      <c r="V126">
        <v>6.2</v>
      </c>
      <c r="W126">
        <f t="shared" si="21"/>
        <v>-0.77883999999999998</v>
      </c>
    </row>
    <row r="127" spans="1:23" x14ac:dyDescent="0.3">
      <c r="A127">
        <v>6.3744047999999998</v>
      </c>
      <c r="B127">
        <v>0.32203999999999999</v>
      </c>
      <c r="C127">
        <f t="shared" si="14"/>
        <v>2.0528133217919997</v>
      </c>
      <c r="D127">
        <v>1.6E-2</v>
      </c>
      <c r="E127">
        <v>9.1900000000000003E-3</v>
      </c>
      <c r="F127">
        <f t="shared" si="15"/>
        <v>1274.88096</v>
      </c>
      <c r="G127">
        <f t="shared" si="16"/>
        <v>-0.32203999999999999</v>
      </c>
      <c r="H127">
        <f t="shared" si="17"/>
        <v>-410.56266435839996</v>
      </c>
      <c r="I127">
        <v>1</v>
      </c>
      <c r="J127">
        <f t="shared" si="18"/>
        <v>0.24285280954575161</v>
      </c>
      <c r="K127">
        <f t="shared" si="19"/>
        <v>-0.89968515177521746</v>
      </c>
      <c r="L127">
        <v>1</v>
      </c>
      <c r="M127">
        <f t="shared" si="20"/>
        <v>0.49170550542010522</v>
      </c>
      <c r="N127">
        <f t="shared" si="24"/>
        <v>0.10199047679999999</v>
      </c>
      <c r="O127">
        <f t="shared" si="22"/>
        <v>5.8580780111999999E-2</v>
      </c>
      <c r="P127">
        <f t="shared" si="23"/>
        <v>0.24740838944311225</v>
      </c>
      <c r="V127">
        <v>6.3</v>
      </c>
      <c r="W127">
        <f t="shared" si="21"/>
        <v>-0.78366000000000002</v>
      </c>
    </row>
    <row r="128" spans="1:23" x14ac:dyDescent="0.3">
      <c r="A128">
        <v>6.4248140000000005</v>
      </c>
      <c r="B128">
        <v>0.31692999999999999</v>
      </c>
      <c r="C128">
        <f t="shared" si="14"/>
        <v>2.0362163010200001</v>
      </c>
      <c r="D128">
        <v>1.6E-2</v>
      </c>
      <c r="E128">
        <v>9.1900000000000003E-3</v>
      </c>
      <c r="F128">
        <f t="shared" si="15"/>
        <v>1284.9628</v>
      </c>
      <c r="G128">
        <f t="shared" si="16"/>
        <v>-0.31692999999999999</v>
      </c>
      <c r="H128">
        <f t="shared" si="17"/>
        <v>-407.24326020400002</v>
      </c>
      <c r="I128">
        <v>1</v>
      </c>
      <c r="J128">
        <f t="shared" si="18"/>
        <v>0.25072976851179823</v>
      </c>
      <c r="K128">
        <f t="shared" si="19"/>
        <v>-0.90479515177521752</v>
      </c>
      <c r="L128">
        <v>1</v>
      </c>
      <c r="M128">
        <f t="shared" si="20"/>
        <v>0.49208517484226866</v>
      </c>
      <c r="N128">
        <f t="shared" si="24"/>
        <v>0.10279702400000001</v>
      </c>
      <c r="O128">
        <f t="shared" si="22"/>
        <v>5.9044040660000005E-2</v>
      </c>
      <c r="P128">
        <f t="shared" si="23"/>
        <v>0.25086891227294883</v>
      </c>
      <c r="V128">
        <v>6.4</v>
      </c>
      <c r="W128">
        <f t="shared" si="21"/>
        <v>-0.78848000000000007</v>
      </c>
    </row>
    <row r="129" spans="1:23" x14ac:dyDescent="0.3">
      <c r="A129">
        <v>6.4782782999999995</v>
      </c>
      <c r="B129">
        <v>0.31169000000000002</v>
      </c>
      <c r="C129">
        <f t="shared" si="14"/>
        <v>2.019214563327</v>
      </c>
      <c r="D129">
        <v>1.6E-2</v>
      </c>
      <c r="E129">
        <v>9.1900000000000003E-3</v>
      </c>
      <c r="F129">
        <f t="shared" si="15"/>
        <v>1295.6556599999999</v>
      </c>
      <c r="G129">
        <f t="shared" si="16"/>
        <v>-0.31169000000000002</v>
      </c>
      <c r="H129">
        <f t="shared" si="17"/>
        <v>-403.84291266539998</v>
      </c>
      <c r="I129">
        <v>1</v>
      </c>
      <c r="J129">
        <f t="shared" si="18"/>
        <v>0.25901686818261627</v>
      </c>
      <c r="K129">
        <f t="shared" si="19"/>
        <v>-0.91003515177521743</v>
      </c>
      <c r="L129">
        <v>1</v>
      </c>
      <c r="M129">
        <f t="shared" si="20"/>
        <v>0.49248461304640206</v>
      </c>
      <c r="N129">
        <f t="shared" si="24"/>
        <v>0.10365245279999999</v>
      </c>
      <c r="O129">
        <f t="shared" si="22"/>
        <v>5.9535377576999997E-2</v>
      </c>
      <c r="P129">
        <f t="shared" si="23"/>
        <v>0.2543627083518154</v>
      </c>
      <c r="V129">
        <v>6.5</v>
      </c>
      <c r="W129">
        <f t="shared" si="21"/>
        <v>-0.79330000000000001</v>
      </c>
    </row>
    <row r="130" spans="1:23" x14ac:dyDescent="0.3">
      <c r="A130">
        <v>6.5286875000000002</v>
      </c>
      <c r="B130">
        <v>0.30606</v>
      </c>
      <c r="C130">
        <f t="shared" si="14"/>
        <v>1.99817009625</v>
      </c>
      <c r="D130">
        <v>1.6E-2</v>
      </c>
      <c r="E130">
        <v>9.1900000000000003E-3</v>
      </c>
      <c r="F130">
        <f t="shared" si="15"/>
        <v>1305.7375</v>
      </c>
      <c r="G130">
        <f t="shared" si="16"/>
        <v>-0.30606</v>
      </c>
      <c r="H130">
        <f t="shared" si="17"/>
        <v>-399.63401924999999</v>
      </c>
      <c r="I130">
        <v>1</v>
      </c>
      <c r="J130">
        <f t="shared" si="18"/>
        <v>0.26676801524613636</v>
      </c>
      <c r="K130">
        <f t="shared" si="19"/>
        <v>-0.91566515177521746</v>
      </c>
      <c r="L130">
        <v>1</v>
      </c>
      <c r="M130">
        <f t="shared" si="20"/>
        <v>0.49285821833486376</v>
      </c>
      <c r="N130">
        <f t="shared" si="24"/>
        <v>0.10445900000000001</v>
      </c>
      <c r="O130">
        <f t="shared" si="22"/>
        <v>5.9998638125000003E-2</v>
      </c>
      <c r="P130">
        <f t="shared" si="23"/>
        <v>0.25834929531535367</v>
      </c>
      <c r="V130">
        <v>6.6</v>
      </c>
      <c r="W130">
        <f t="shared" si="21"/>
        <v>-0.79811999999999994</v>
      </c>
    </row>
    <row r="131" spans="1:23" x14ac:dyDescent="0.3">
      <c r="A131">
        <v>6.5816420999999998</v>
      </c>
      <c r="B131">
        <v>0.29992999999999997</v>
      </c>
      <c r="C131">
        <f t="shared" si="14"/>
        <v>1.9740319150529997</v>
      </c>
      <c r="D131">
        <v>1.6E-2</v>
      </c>
      <c r="E131">
        <v>9.1900000000000003E-3</v>
      </c>
      <c r="F131">
        <f t="shared" si="15"/>
        <v>1316.3284200000001</v>
      </c>
      <c r="G131">
        <f t="shared" si="16"/>
        <v>-0.29992999999999997</v>
      </c>
      <c r="H131">
        <f t="shared" si="17"/>
        <v>-394.80638301059992</v>
      </c>
      <c r="I131">
        <v>1</v>
      </c>
      <c r="J131">
        <f t="shared" si="18"/>
        <v>0.27484636103890736</v>
      </c>
      <c r="K131">
        <f t="shared" si="19"/>
        <v>-0.92179515177521743</v>
      </c>
      <c r="L131">
        <v>1</v>
      </c>
      <c r="M131">
        <f t="shared" si="20"/>
        <v>0.49324759460207535</v>
      </c>
      <c r="N131">
        <f t="shared" si="24"/>
        <v>0.1053062736</v>
      </c>
      <c r="O131">
        <f t="shared" si="22"/>
        <v>6.0485290899000003E-2</v>
      </c>
      <c r="P131">
        <f t="shared" si="23"/>
        <v>0.26275599267414207</v>
      </c>
      <c r="V131">
        <v>6.7</v>
      </c>
      <c r="W131">
        <f t="shared" si="21"/>
        <v>-0.80293999999999999</v>
      </c>
    </row>
    <row r="132" spans="1:23" x14ac:dyDescent="0.3">
      <c r="A132">
        <v>6.6330703000000009</v>
      </c>
      <c r="B132">
        <v>0.29372999999999999</v>
      </c>
      <c r="C132">
        <f t="shared" si="14"/>
        <v>1.9483317392190003</v>
      </c>
      <c r="D132">
        <v>1.6E-2</v>
      </c>
      <c r="E132">
        <v>9.1900000000000003E-3</v>
      </c>
      <c r="F132">
        <f t="shared" si="15"/>
        <v>1326.6140600000001</v>
      </c>
      <c r="G132">
        <f t="shared" si="16"/>
        <v>-0.29372999999999999</v>
      </c>
      <c r="H132">
        <f t="shared" si="17"/>
        <v>-389.66634784380005</v>
      </c>
      <c r="I132">
        <v>1</v>
      </c>
      <c r="J132">
        <f t="shared" si="18"/>
        <v>0.28262987657569349</v>
      </c>
      <c r="K132">
        <f t="shared" si="19"/>
        <v>-0.92799515177521741</v>
      </c>
      <c r="L132">
        <v>1</v>
      </c>
      <c r="M132">
        <f t="shared" si="20"/>
        <v>0.49362276005094841</v>
      </c>
      <c r="N132">
        <f t="shared" si="24"/>
        <v>0.10612912480000002</v>
      </c>
      <c r="O132">
        <f t="shared" si="22"/>
        <v>6.095791605700001E-2</v>
      </c>
      <c r="P132">
        <f t="shared" si="23"/>
        <v>0.26728535086726896</v>
      </c>
      <c r="V132">
        <v>6.8</v>
      </c>
      <c r="W132">
        <f t="shared" si="21"/>
        <v>-0.80776000000000003</v>
      </c>
    </row>
    <row r="133" spans="1:23" x14ac:dyDescent="0.3">
      <c r="A133">
        <v>6.6844979999999996</v>
      </c>
      <c r="B133">
        <v>0.28838000000000003</v>
      </c>
      <c r="C133">
        <f t="shared" ref="C133:C196" si="25">A133*B133</f>
        <v>1.92767553324</v>
      </c>
      <c r="D133">
        <v>1.6E-2</v>
      </c>
      <c r="E133">
        <v>9.1900000000000003E-3</v>
      </c>
      <c r="F133">
        <f t="shared" ref="F133:F196" si="26">A133*200</f>
        <v>1336.8996</v>
      </c>
      <c r="G133">
        <f t="shared" ref="G133:G144" si="27">-B133</f>
        <v>-0.28838000000000003</v>
      </c>
      <c r="H133">
        <f t="shared" ref="H133:H196" si="28">-C133*200</f>
        <v>-385.53510664800001</v>
      </c>
      <c r="I133">
        <v>1</v>
      </c>
      <c r="J133">
        <f t="shared" ref="J133:J196" si="29">LN(F133/1000)</f>
        <v>0.29035320180725405</v>
      </c>
      <c r="K133">
        <f t="shared" ref="K133:K187" si="30">((-G133)-$N$2)</f>
        <v>-0.93334515177521737</v>
      </c>
      <c r="L133">
        <v>1</v>
      </c>
      <c r="M133">
        <f t="shared" ref="M133:M196" si="31">-1*($S$4+($S$5*J133))</f>
        <v>0.49399502432710962</v>
      </c>
      <c r="N133">
        <f t="shared" si="24"/>
        <v>0.10695196799999999</v>
      </c>
      <c r="O133">
        <f t="shared" si="22"/>
        <v>6.1430536619999997E-2</v>
      </c>
      <c r="P133">
        <f t="shared" si="23"/>
        <v>0.27096762282810777</v>
      </c>
      <c r="V133">
        <v>6.9</v>
      </c>
      <c r="W133">
        <f t="shared" ref="W133:W139" si="32">V133*$S$5+$S$4</f>
        <v>-0.81258000000000008</v>
      </c>
    </row>
    <row r="134" spans="1:23" x14ac:dyDescent="0.3">
      <c r="A134">
        <v>6.7354165000000004</v>
      </c>
      <c r="B134">
        <v>0.28248000000000001</v>
      </c>
      <c r="C134">
        <f t="shared" si="25"/>
        <v>1.9026204529200001</v>
      </c>
      <c r="D134">
        <v>1.6E-2</v>
      </c>
      <c r="E134">
        <v>9.1900000000000003E-3</v>
      </c>
      <c r="F134">
        <f t="shared" si="26"/>
        <v>1347.0833</v>
      </c>
      <c r="G134">
        <f t="shared" si="27"/>
        <v>-0.28248000000000001</v>
      </c>
      <c r="H134">
        <f t="shared" si="28"/>
        <v>-380.52409058400002</v>
      </c>
      <c r="I134">
        <v>1</v>
      </c>
      <c r="J134">
        <f t="shared" si="29"/>
        <v>0.29794173664457674</v>
      </c>
      <c r="K134">
        <f t="shared" si="30"/>
        <v>-0.93924515177521739</v>
      </c>
      <c r="L134">
        <v>1</v>
      </c>
      <c r="M134">
        <f t="shared" si="31"/>
        <v>0.49436079170626857</v>
      </c>
      <c r="N134">
        <f t="shared" si="24"/>
        <v>0.10776666400000001</v>
      </c>
      <c r="O134">
        <f t="shared" ref="O134:O144" si="33">E134*A134</f>
        <v>6.1898477635000004E-2</v>
      </c>
      <c r="P134">
        <f t="shared" ref="P134:P144" si="34">-K134-M134-N134-O134</f>
        <v>0.27521921843394881</v>
      </c>
      <c r="V134">
        <v>7</v>
      </c>
      <c r="W134">
        <f t="shared" si="32"/>
        <v>-0.8173999999999999</v>
      </c>
    </row>
    <row r="135" spans="1:23" x14ac:dyDescent="0.3">
      <c r="A135">
        <v>6.7888804</v>
      </c>
      <c r="B135">
        <v>0.27628000000000003</v>
      </c>
      <c r="C135">
        <f t="shared" si="25"/>
        <v>1.8756318769120002</v>
      </c>
      <c r="D135">
        <v>1.6E-2</v>
      </c>
      <c r="E135">
        <v>9.1900000000000003E-3</v>
      </c>
      <c r="F135">
        <f t="shared" si="26"/>
        <v>1357.7760800000001</v>
      </c>
      <c r="G135">
        <f t="shared" si="27"/>
        <v>-0.27628000000000003</v>
      </c>
      <c r="H135">
        <f t="shared" si="28"/>
        <v>-375.12637538240006</v>
      </c>
      <c r="I135">
        <v>1</v>
      </c>
      <c r="J135">
        <f t="shared" si="29"/>
        <v>0.30584812599728284</v>
      </c>
      <c r="K135">
        <f t="shared" si="30"/>
        <v>-0.94544515177521737</v>
      </c>
      <c r="L135">
        <v>1</v>
      </c>
      <c r="M135">
        <f t="shared" si="31"/>
        <v>0.49474187967306904</v>
      </c>
      <c r="N135">
        <f t="shared" ref="N135:N144" si="35">D135*A135</f>
        <v>0.1086220864</v>
      </c>
      <c r="O135">
        <f t="shared" si="33"/>
        <v>6.2389810875999999E-2</v>
      </c>
      <c r="P135">
        <f t="shared" si="34"/>
        <v>0.27969137482614836</v>
      </c>
      <c r="V135">
        <v>7.1</v>
      </c>
      <c r="W135">
        <f t="shared" si="32"/>
        <v>-0.82221999999999995</v>
      </c>
    </row>
    <row r="136" spans="1:23" x14ac:dyDescent="0.3">
      <c r="A136">
        <v>6.8408169000000001</v>
      </c>
      <c r="B136">
        <v>0.27038000000000001</v>
      </c>
      <c r="C136">
        <f t="shared" si="25"/>
        <v>1.8496200734220001</v>
      </c>
      <c r="D136">
        <v>1.6E-2</v>
      </c>
      <c r="E136">
        <v>9.1900000000000003E-3</v>
      </c>
      <c r="F136">
        <f t="shared" si="26"/>
        <v>1368.16338</v>
      </c>
      <c r="G136">
        <f t="shared" si="27"/>
        <v>-0.27038000000000001</v>
      </c>
      <c r="H136">
        <f t="shared" si="28"/>
        <v>-369.92401468439999</v>
      </c>
      <c r="I136">
        <v>1</v>
      </c>
      <c r="J136">
        <f t="shared" si="29"/>
        <v>0.31346924189374636</v>
      </c>
      <c r="K136">
        <f t="shared" si="30"/>
        <v>-0.95134515177521739</v>
      </c>
      <c r="L136">
        <v>1</v>
      </c>
      <c r="M136">
        <f t="shared" si="31"/>
        <v>0.49510921745927855</v>
      </c>
      <c r="N136">
        <f t="shared" si="35"/>
        <v>0.1094530704</v>
      </c>
      <c r="O136">
        <f t="shared" si="33"/>
        <v>6.2867107311000009E-2</v>
      </c>
      <c r="P136">
        <f t="shared" si="34"/>
        <v>0.28391575660493884</v>
      </c>
      <c r="V136">
        <v>7.2</v>
      </c>
      <c r="W136">
        <f t="shared" si="32"/>
        <v>-0.82704</v>
      </c>
    </row>
    <row r="137" spans="1:23" x14ac:dyDescent="0.3">
      <c r="A137">
        <v>6.8922446000000006</v>
      </c>
      <c r="B137">
        <v>0.26371</v>
      </c>
      <c r="C137">
        <f t="shared" si="25"/>
        <v>1.8175538234660003</v>
      </c>
      <c r="D137">
        <v>1.6E-2</v>
      </c>
      <c r="E137">
        <v>9.1900000000000003E-3</v>
      </c>
      <c r="F137">
        <f t="shared" si="26"/>
        <v>1378.44892</v>
      </c>
      <c r="G137">
        <f t="shared" si="27"/>
        <v>-0.26371</v>
      </c>
      <c r="H137">
        <f t="shared" si="28"/>
        <v>-363.51076469320003</v>
      </c>
      <c r="I137">
        <v>1</v>
      </c>
      <c r="J137">
        <f t="shared" si="29"/>
        <v>0.32095889602549232</v>
      </c>
      <c r="K137">
        <f t="shared" si="30"/>
        <v>-0.95801515177521746</v>
      </c>
      <c r="L137">
        <v>1</v>
      </c>
      <c r="M137">
        <f t="shared" si="31"/>
        <v>0.49547021878842873</v>
      </c>
      <c r="N137">
        <f t="shared" si="35"/>
        <v>0.11027591360000001</v>
      </c>
      <c r="O137">
        <f t="shared" si="33"/>
        <v>6.333972787400001E-2</v>
      </c>
      <c r="P137">
        <f t="shared" si="34"/>
        <v>0.28892929151278873</v>
      </c>
      <c r="V137">
        <v>7.3</v>
      </c>
      <c r="W137">
        <f t="shared" si="32"/>
        <v>-0.83186000000000004</v>
      </c>
    </row>
    <row r="138" spans="1:23" x14ac:dyDescent="0.3">
      <c r="A138">
        <v>6.9462183000000008</v>
      </c>
      <c r="B138">
        <v>0.25738</v>
      </c>
      <c r="C138">
        <f t="shared" si="25"/>
        <v>1.7878176660540002</v>
      </c>
      <c r="D138">
        <v>1.6E-2</v>
      </c>
      <c r="E138">
        <v>9.1900000000000003E-3</v>
      </c>
      <c r="F138">
        <f t="shared" si="26"/>
        <v>1389.2436600000001</v>
      </c>
      <c r="G138">
        <f t="shared" si="27"/>
        <v>-0.25738</v>
      </c>
      <c r="H138">
        <f t="shared" si="28"/>
        <v>-357.56353321080002</v>
      </c>
      <c r="I138">
        <v>1</v>
      </c>
      <c r="J138">
        <f t="shared" si="29"/>
        <v>0.32875946955401975</v>
      </c>
      <c r="K138">
        <f t="shared" si="30"/>
        <v>-0.96434515177521751</v>
      </c>
      <c r="L138">
        <v>1</v>
      </c>
      <c r="M138">
        <f t="shared" si="31"/>
        <v>0.49584620643250371</v>
      </c>
      <c r="N138">
        <f t="shared" si="35"/>
        <v>0.11113949280000002</v>
      </c>
      <c r="O138">
        <f t="shared" si="33"/>
        <v>6.3835746177000011E-2</v>
      </c>
      <c r="P138">
        <f t="shared" si="34"/>
        <v>0.29352370636571379</v>
      </c>
      <c r="V138">
        <v>7.4</v>
      </c>
      <c r="W138">
        <f t="shared" si="32"/>
        <v>-0.83667999999999998</v>
      </c>
    </row>
    <row r="139" spans="1:23" x14ac:dyDescent="0.3">
      <c r="A139">
        <v>6.9818598999999999</v>
      </c>
      <c r="B139">
        <v>0.25170999999999999</v>
      </c>
      <c r="C139">
        <f t="shared" si="25"/>
        <v>1.757403955429</v>
      </c>
      <c r="D139">
        <v>1.6E-2</v>
      </c>
      <c r="E139">
        <v>9.1900000000000003E-3</v>
      </c>
      <c r="F139">
        <f t="shared" si="26"/>
        <v>1396.3719799999999</v>
      </c>
      <c r="G139">
        <f t="shared" si="27"/>
        <v>-0.25170999999999999</v>
      </c>
      <c r="H139">
        <f t="shared" si="28"/>
        <v>-351.48079108579998</v>
      </c>
      <c r="I139">
        <v>1</v>
      </c>
      <c r="J139">
        <f t="shared" si="29"/>
        <v>0.33387743016372035</v>
      </c>
      <c r="K139">
        <f t="shared" si="30"/>
        <v>-0.97001515177521747</v>
      </c>
      <c r="L139">
        <v>1</v>
      </c>
      <c r="M139">
        <f t="shared" si="31"/>
        <v>0.49609289213389129</v>
      </c>
      <c r="N139">
        <f t="shared" si="35"/>
        <v>0.1117097584</v>
      </c>
      <c r="O139">
        <f t="shared" si="33"/>
        <v>6.4163292481E-2</v>
      </c>
      <c r="P139">
        <f t="shared" si="34"/>
        <v>0.2980492087603262</v>
      </c>
      <c r="V139">
        <v>7.5</v>
      </c>
      <c r="W139">
        <f t="shared" si="32"/>
        <v>-0.84149999999999991</v>
      </c>
    </row>
    <row r="140" spans="1:23" x14ac:dyDescent="0.3">
      <c r="C140">
        <f t="shared" si="25"/>
        <v>0</v>
      </c>
      <c r="D140">
        <v>1.6E-2</v>
      </c>
      <c r="E140">
        <v>9.1900000000000003E-3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-1.2217251517752175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1:23" x14ac:dyDescent="0.3">
      <c r="C141">
        <f t="shared" si="25"/>
        <v>0</v>
      </c>
      <c r="D141">
        <v>1.6E-2</v>
      </c>
      <c r="E141">
        <v>9.1900000000000003E-3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-1.2217251517752175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1:23" x14ac:dyDescent="0.3">
      <c r="C142">
        <f t="shared" si="25"/>
        <v>0</v>
      </c>
      <c r="D142">
        <v>1.6E-2</v>
      </c>
      <c r="E142">
        <v>9.1900000000000003E-3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-1.2217251517752175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1:23" x14ac:dyDescent="0.3">
      <c r="C143">
        <f t="shared" si="25"/>
        <v>0</v>
      </c>
      <c r="D143">
        <v>1.6E-2</v>
      </c>
      <c r="E143">
        <v>9.1900000000000003E-3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-1.2217251517752175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1:23" x14ac:dyDescent="0.3">
      <c r="C144">
        <f t="shared" si="25"/>
        <v>0</v>
      </c>
      <c r="D144">
        <v>1.6E-2</v>
      </c>
      <c r="E144">
        <v>9.1900000000000003E-3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-1.2217251517752175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1.6E-2</v>
      </c>
      <c r="E145">
        <v>9.1900000000000003E-3</v>
      </c>
      <c r="F145">
        <f t="shared" si="26"/>
        <v>0</v>
      </c>
      <c r="G145">
        <f t="shared" ref="G145:G187" si="36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-1.2217251517752175</v>
      </c>
      <c r="L145">
        <v>1</v>
      </c>
      <c r="M145" t="e">
        <f t="shared" si="31"/>
        <v>#NUM!</v>
      </c>
      <c r="N145">
        <f t="shared" ref="N145:N187" si="37">D145*A145</f>
        <v>0</v>
      </c>
      <c r="O145">
        <f t="shared" ref="O145:O187" si="38">E145*A145</f>
        <v>0</v>
      </c>
      <c r="P145" t="e">
        <f t="shared" ref="P145:P187" si="39">-K145-M145-N145-O145</f>
        <v>#NUM!</v>
      </c>
    </row>
    <row r="146" spans="3:16" x14ac:dyDescent="0.3">
      <c r="C146">
        <f t="shared" si="25"/>
        <v>0</v>
      </c>
      <c r="D146">
        <v>1.6E-2</v>
      </c>
      <c r="E146">
        <v>9.1900000000000003E-3</v>
      </c>
      <c r="F146">
        <f t="shared" si="26"/>
        <v>0</v>
      </c>
      <c r="G146">
        <f t="shared" si="36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-1.2217251517752175</v>
      </c>
      <c r="L146">
        <v>1</v>
      </c>
      <c r="M146" t="e">
        <f t="shared" si="31"/>
        <v>#NUM!</v>
      </c>
      <c r="N146">
        <f t="shared" si="37"/>
        <v>0</v>
      </c>
      <c r="O146">
        <f t="shared" si="38"/>
        <v>0</v>
      </c>
      <c r="P146" t="e">
        <f t="shared" si="39"/>
        <v>#NUM!</v>
      </c>
    </row>
    <row r="147" spans="3:16" x14ac:dyDescent="0.3">
      <c r="C147">
        <f t="shared" si="25"/>
        <v>0</v>
      </c>
      <c r="D147">
        <v>1.6E-2</v>
      </c>
      <c r="E147">
        <v>9.1900000000000003E-3</v>
      </c>
      <c r="F147">
        <f t="shared" si="26"/>
        <v>0</v>
      </c>
      <c r="G147">
        <f t="shared" si="36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-1.2217251517752175</v>
      </c>
      <c r="L147">
        <v>1</v>
      </c>
      <c r="M147" t="e">
        <f t="shared" si="31"/>
        <v>#NUM!</v>
      </c>
      <c r="N147">
        <f t="shared" si="37"/>
        <v>0</v>
      </c>
      <c r="O147">
        <f t="shared" si="38"/>
        <v>0</v>
      </c>
      <c r="P147" t="e">
        <f t="shared" si="39"/>
        <v>#NUM!</v>
      </c>
    </row>
    <row r="148" spans="3:16" x14ac:dyDescent="0.3">
      <c r="C148">
        <f t="shared" si="25"/>
        <v>0</v>
      </c>
      <c r="D148">
        <v>1.6E-2</v>
      </c>
      <c r="E148">
        <v>9.1900000000000003E-3</v>
      </c>
      <c r="F148">
        <f t="shared" si="26"/>
        <v>0</v>
      </c>
      <c r="G148">
        <f t="shared" si="36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-1.2217251517752175</v>
      </c>
      <c r="L148">
        <v>1</v>
      </c>
      <c r="M148" t="e">
        <f t="shared" si="31"/>
        <v>#NUM!</v>
      </c>
      <c r="N148">
        <f t="shared" si="37"/>
        <v>0</v>
      </c>
      <c r="O148">
        <f t="shared" si="38"/>
        <v>0</v>
      </c>
      <c r="P148" t="e">
        <f t="shared" si="39"/>
        <v>#NUM!</v>
      </c>
    </row>
    <row r="149" spans="3:16" x14ac:dyDescent="0.3">
      <c r="C149">
        <f t="shared" si="25"/>
        <v>0</v>
      </c>
      <c r="D149">
        <v>1.6E-2</v>
      </c>
      <c r="E149">
        <v>9.1900000000000003E-3</v>
      </c>
      <c r="F149">
        <f t="shared" si="26"/>
        <v>0</v>
      </c>
      <c r="G149">
        <f t="shared" si="36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7"/>
        <v>0</v>
      </c>
      <c r="O149">
        <f t="shared" si="38"/>
        <v>0</v>
      </c>
      <c r="P149" t="e">
        <f t="shared" si="39"/>
        <v>#NUM!</v>
      </c>
    </row>
    <row r="150" spans="3:16" x14ac:dyDescent="0.3">
      <c r="C150">
        <f t="shared" si="25"/>
        <v>0</v>
      </c>
      <c r="D150">
        <v>1.6E-2</v>
      </c>
      <c r="E150">
        <v>9.1900000000000003E-3</v>
      </c>
      <c r="F150">
        <f t="shared" si="26"/>
        <v>0</v>
      </c>
      <c r="G150">
        <f t="shared" si="36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7"/>
        <v>0</v>
      </c>
      <c r="O150">
        <f t="shared" si="38"/>
        <v>0</v>
      </c>
      <c r="P150" t="e">
        <f t="shared" si="39"/>
        <v>#NUM!</v>
      </c>
    </row>
    <row r="151" spans="3:16" x14ac:dyDescent="0.3">
      <c r="C151">
        <f t="shared" si="25"/>
        <v>0</v>
      </c>
      <c r="D151">
        <v>1.6E-2</v>
      </c>
      <c r="E151">
        <v>9.1900000000000003E-3</v>
      </c>
      <c r="F151">
        <f t="shared" si="26"/>
        <v>0</v>
      </c>
      <c r="G151">
        <f t="shared" si="36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7"/>
        <v>0</v>
      </c>
      <c r="O151">
        <f t="shared" si="38"/>
        <v>0</v>
      </c>
      <c r="P151" t="e">
        <f t="shared" si="39"/>
        <v>#NUM!</v>
      </c>
    </row>
    <row r="152" spans="3:16" x14ac:dyDescent="0.3">
      <c r="C152">
        <f t="shared" si="25"/>
        <v>0</v>
      </c>
      <c r="D152">
        <v>1.6E-2</v>
      </c>
      <c r="E152">
        <v>9.1900000000000003E-3</v>
      </c>
      <c r="F152">
        <f t="shared" si="26"/>
        <v>0</v>
      </c>
      <c r="G152">
        <f t="shared" si="36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7"/>
        <v>0</v>
      </c>
      <c r="O152">
        <f t="shared" si="38"/>
        <v>0</v>
      </c>
      <c r="P152" t="e">
        <f t="shared" si="39"/>
        <v>#NUM!</v>
      </c>
    </row>
    <row r="153" spans="3:16" x14ac:dyDescent="0.3">
      <c r="C153">
        <f t="shared" si="25"/>
        <v>0</v>
      </c>
      <c r="D153">
        <v>1.6E-2</v>
      </c>
      <c r="E153">
        <v>9.1900000000000003E-3</v>
      </c>
      <c r="F153">
        <f t="shared" si="26"/>
        <v>0</v>
      </c>
      <c r="G153">
        <f t="shared" si="36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7"/>
        <v>0</v>
      </c>
      <c r="O153">
        <f t="shared" si="38"/>
        <v>0</v>
      </c>
      <c r="P153" t="e">
        <f t="shared" si="39"/>
        <v>#NUM!</v>
      </c>
    </row>
    <row r="154" spans="3:16" x14ac:dyDescent="0.3">
      <c r="C154">
        <f t="shared" si="25"/>
        <v>0</v>
      </c>
      <c r="D154">
        <v>1.6E-2</v>
      </c>
      <c r="E154">
        <v>9.1900000000000003E-3</v>
      </c>
      <c r="F154">
        <f t="shared" si="26"/>
        <v>0</v>
      </c>
      <c r="G154">
        <f t="shared" si="36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7"/>
        <v>0</v>
      </c>
      <c r="O154">
        <f t="shared" si="38"/>
        <v>0</v>
      </c>
      <c r="P154" t="e">
        <f t="shared" si="39"/>
        <v>#NUM!</v>
      </c>
    </row>
    <row r="155" spans="3:16" x14ac:dyDescent="0.3">
      <c r="C155">
        <f t="shared" si="25"/>
        <v>0</v>
      </c>
      <c r="D155">
        <v>1.6E-2</v>
      </c>
      <c r="E155">
        <v>9.1900000000000003E-3</v>
      </c>
      <c r="F155">
        <f t="shared" si="26"/>
        <v>0</v>
      </c>
      <c r="G155">
        <f t="shared" si="36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7"/>
        <v>0</v>
      </c>
      <c r="O155">
        <f t="shared" si="38"/>
        <v>0</v>
      </c>
      <c r="P155" t="e">
        <f t="shared" si="39"/>
        <v>#NUM!</v>
      </c>
    </row>
    <row r="156" spans="3:16" x14ac:dyDescent="0.3">
      <c r="C156">
        <f t="shared" si="25"/>
        <v>0</v>
      </c>
      <c r="D156">
        <v>1.6E-2</v>
      </c>
      <c r="E156">
        <v>9.1900000000000003E-3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3:16" x14ac:dyDescent="0.3">
      <c r="C157">
        <f t="shared" si="25"/>
        <v>0</v>
      </c>
      <c r="D157">
        <v>1.6E-2</v>
      </c>
      <c r="E157">
        <v>9.1900000000000003E-3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3:16" x14ac:dyDescent="0.3">
      <c r="C158">
        <f t="shared" si="25"/>
        <v>0</v>
      </c>
      <c r="D158">
        <v>1.6E-2</v>
      </c>
      <c r="E158">
        <v>9.1900000000000003E-3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3:16" x14ac:dyDescent="0.3">
      <c r="C159">
        <f t="shared" si="25"/>
        <v>0</v>
      </c>
      <c r="D159">
        <v>1.6E-2</v>
      </c>
      <c r="E159">
        <v>9.1900000000000003E-3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3:16" x14ac:dyDescent="0.3">
      <c r="C160">
        <f t="shared" si="25"/>
        <v>0</v>
      </c>
      <c r="D160">
        <v>1.6E-2</v>
      </c>
      <c r="E160">
        <v>9.1900000000000003E-3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 x14ac:dyDescent="0.3">
      <c r="C161">
        <f t="shared" si="25"/>
        <v>0</v>
      </c>
      <c r="D161">
        <v>1.6E-2</v>
      </c>
      <c r="E161">
        <v>9.1900000000000003E-3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 x14ac:dyDescent="0.3">
      <c r="C162">
        <f t="shared" si="25"/>
        <v>0</v>
      </c>
      <c r="D162">
        <v>1.6E-2</v>
      </c>
      <c r="E162">
        <v>9.1900000000000003E-3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 x14ac:dyDescent="0.3">
      <c r="C163">
        <f t="shared" si="25"/>
        <v>0</v>
      </c>
      <c r="D163">
        <v>1.6E-2</v>
      </c>
      <c r="E163">
        <v>9.1900000000000003E-3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 x14ac:dyDescent="0.3">
      <c r="C164">
        <f t="shared" si="25"/>
        <v>0</v>
      </c>
      <c r="D164">
        <v>1.6E-2</v>
      </c>
      <c r="E164">
        <v>9.1900000000000003E-3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 x14ac:dyDescent="0.3">
      <c r="C165">
        <f t="shared" si="25"/>
        <v>0</v>
      </c>
      <c r="D165">
        <v>1.6E-2</v>
      </c>
      <c r="E165">
        <v>9.1900000000000003E-3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 x14ac:dyDescent="0.3">
      <c r="C166">
        <f t="shared" si="25"/>
        <v>0</v>
      </c>
      <c r="D166">
        <v>1.6E-2</v>
      </c>
      <c r="E166">
        <v>9.1900000000000003E-3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 x14ac:dyDescent="0.3">
      <c r="C167">
        <f t="shared" si="25"/>
        <v>0</v>
      </c>
      <c r="D167">
        <v>1.6E-2</v>
      </c>
      <c r="E167">
        <v>9.1900000000000003E-3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 x14ac:dyDescent="0.3">
      <c r="C168">
        <f t="shared" si="25"/>
        <v>0</v>
      </c>
      <c r="D168">
        <v>1.6E-2</v>
      </c>
      <c r="E168">
        <v>9.1900000000000003E-3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 x14ac:dyDescent="0.3">
      <c r="C169">
        <f t="shared" si="25"/>
        <v>0</v>
      </c>
      <c r="D169">
        <v>1.6E-2</v>
      </c>
      <c r="E169">
        <v>9.1900000000000003E-3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 x14ac:dyDescent="0.3">
      <c r="C170">
        <f t="shared" si="25"/>
        <v>0</v>
      </c>
      <c r="D170">
        <v>1.6E-2</v>
      </c>
      <c r="E170">
        <v>9.1900000000000003E-3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 x14ac:dyDescent="0.3">
      <c r="C171">
        <f t="shared" si="25"/>
        <v>0</v>
      </c>
      <c r="D171">
        <v>1.6E-2</v>
      </c>
      <c r="E171">
        <v>9.1900000000000003E-3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 x14ac:dyDescent="0.3">
      <c r="C172">
        <f t="shared" si="25"/>
        <v>0</v>
      </c>
      <c r="D172">
        <v>1.6E-2</v>
      </c>
      <c r="E172">
        <v>9.1900000000000003E-3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 x14ac:dyDescent="0.3">
      <c r="C173">
        <f t="shared" si="25"/>
        <v>0</v>
      </c>
      <c r="D173">
        <v>1.6E-2</v>
      </c>
      <c r="E173">
        <v>9.1900000000000003E-3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 x14ac:dyDescent="0.3">
      <c r="C174">
        <f t="shared" si="25"/>
        <v>0</v>
      </c>
      <c r="D174">
        <v>1.6E-2</v>
      </c>
      <c r="E174">
        <v>9.1900000000000003E-3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 x14ac:dyDescent="0.3">
      <c r="C175">
        <f t="shared" si="25"/>
        <v>0</v>
      </c>
      <c r="D175">
        <v>1.6E-2</v>
      </c>
      <c r="E175">
        <v>9.1900000000000003E-3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 x14ac:dyDescent="0.3">
      <c r="C176">
        <f t="shared" si="25"/>
        <v>0</v>
      </c>
      <c r="D176">
        <v>1.6E-2</v>
      </c>
      <c r="E176">
        <v>9.1900000000000003E-3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 x14ac:dyDescent="0.3">
      <c r="C177">
        <f t="shared" si="25"/>
        <v>0</v>
      </c>
      <c r="D177">
        <v>1.6E-2</v>
      </c>
      <c r="E177">
        <v>9.1900000000000003E-3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 x14ac:dyDescent="0.3">
      <c r="C178">
        <f t="shared" si="25"/>
        <v>0</v>
      </c>
      <c r="D178">
        <v>1.6E-2</v>
      </c>
      <c r="E178">
        <v>9.1900000000000003E-3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 x14ac:dyDescent="0.3">
      <c r="C179">
        <f t="shared" si="25"/>
        <v>0</v>
      </c>
      <c r="D179">
        <v>1.6E-2</v>
      </c>
      <c r="E179">
        <v>9.1900000000000003E-3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 x14ac:dyDescent="0.3">
      <c r="C180">
        <f t="shared" si="25"/>
        <v>0</v>
      </c>
      <c r="D180">
        <v>1.6E-2</v>
      </c>
      <c r="E180">
        <v>9.1900000000000003E-3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 x14ac:dyDescent="0.3">
      <c r="C181">
        <f t="shared" si="25"/>
        <v>0</v>
      </c>
      <c r="D181">
        <v>1.6E-2</v>
      </c>
      <c r="E181">
        <v>9.1900000000000003E-3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 x14ac:dyDescent="0.3">
      <c r="C182">
        <f t="shared" si="25"/>
        <v>0</v>
      </c>
      <c r="D182">
        <v>1.6E-2</v>
      </c>
      <c r="E182">
        <v>9.1900000000000003E-3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 x14ac:dyDescent="0.3">
      <c r="C183">
        <f t="shared" si="25"/>
        <v>0</v>
      </c>
      <c r="D183">
        <v>1.6E-2</v>
      </c>
      <c r="E183">
        <v>9.1900000000000003E-3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 x14ac:dyDescent="0.3">
      <c r="C184">
        <f t="shared" si="25"/>
        <v>0</v>
      </c>
      <c r="D184">
        <v>1.6E-2</v>
      </c>
      <c r="E184">
        <v>9.1900000000000003E-3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 x14ac:dyDescent="0.3">
      <c r="C185">
        <f t="shared" si="25"/>
        <v>0</v>
      </c>
      <c r="D185">
        <v>1.6E-2</v>
      </c>
      <c r="E185">
        <v>9.1900000000000003E-3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 x14ac:dyDescent="0.3">
      <c r="C186">
        <f t="shared" si="25"/>
        <v>0</v>
      </c>
      <c r="D186">
        <v>1.6E-2</v>
      </c>
      <c r="E186">
        <v>9.1900000000000003E-3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 x14ac:dyDescent="0.3">
      <c r="C187">
        <f t="shared" si="25"/>
        <v>0</v>
      </c>
      <c r="D187">
        <v>1.6E-2</v>
      </c>
      <c r="E187">
        <v>9.1900000000000003E-3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 x14ac:dyDescent="0.3">
      <c r="C188">
        <f t="shared" si="25"/>
        <v>0</v>
      </c>
      <c r="D188">
        <v>1.6E-2</v>
      </c>
      <c r="E188">
        <v>9.1900000000000003E-3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-1.2217251517752175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 x14ac:dyDescent="0.3">
      <c r="C189">
        <f t="shared" si="25"/>
        <v>0</v>
      </c>
      <c r="D189">
        <v>1.6E-2</v>
      </c>
      <c r="E189">
        <v>9.1900000000000003E-3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-1.2217251517752175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 x14ac:dyDescent="0.3">
      <c r="C190">
        <f t="shared" si="25"/>
        <v>0</v>
      </c>
      <c r="D190">
        <v>1.6E-2</v>
      </c>
      <c r="E190">
        <v>9.1900000000000003E-3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-1.2217251517752175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 x14ac:dyDescent="0.3">
      <c r="C191">
        <f t="shared" si="25"/>
        <v>0</v>
      </c>
      <c r="D191">
        <v>1.6E-2</v>
      </c>
      <c r="E191">
        <v>9.1900000000000003E-3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-1.2217251517752175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 x14ac:dyDescent="0.3">
      <c r="C192">
        <f t="shared" si="25"/>
        <v>0</v>
      </c>
      <c r="D192">
        <v>1.6E-2</v>
      </c>
      <c r="E192">
        <v>9.1900000000000003E-3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-1.2217251517752175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 x14ac:dyDescent="0.3">
      <c r="C193">
        <f t="shared" si="25"/>
        <v>0</v>
      </c>
      <c r="D193">
        <v>1.6E-2</v>
      </c>
      <c r="E193">
        <v>9.1900000000000003E-3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-1.2217251517752175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 x14ac:dyDescent="0.3">
      <c r="C194">
        <f t="shared" si="25"/>
        <v>0</v>
      </c>
      <c r="D194">
        <v>1.6E-2</v>
      </c>
      <c r="E194">
        <v>9.1900000000000003E-3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-1.2217251517752175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 x14ac:dyDescent="0.3">
      <c r="C195">
        <f t="shared" si="25"/>
        <v>0</v>
      </c>
      <c r="D195">
        <v>1.6E-2</v>
      </c>
      <c r="E195">
        <v>9.1900000000000003E-3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-1.2217251517752175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 x14ac:dyDescent="0.3">
      <c r="C196">
        <f t="shared" si="25"/>
        <v>0</v>
      </c>
      <c r="D196">
        <v>1.6E-2</v>
      </c>
      <c r="E196">
        <v>9.1900000000000003E-3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-1.2217251517752175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 x14ac:dyDescent="0.3">
      <c r="C197">
        <f t="shared" ref="C197:C211" si="45">A197*B197</f>
        <v>0</v>
      </c>
      <c r="D197">
        <v>1.6E-2</v>
      </c>
      <c r="E197">
        <v>9.1900000000000003E-3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-1.2217251517752175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 x14ac:dyDescent="0.3">
      <c r="C198">
        <f t="shared" si="45"/>
        <v>0</v>
      </c>
      <c r="D198">
        <v>1.6E-2</v>
      </c>
      <c r="E198">
        <v>9.1900000000000003E-3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-1.2217251517752175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 x14ac:dyDescent="0.3">
      <c r="C199">
        <f t="shared" si="45"/>
        <v>0</v>
      </c>
      <c r="D199">
        <v>1.6E-2</v>
      </c>
      <c r="E199">
        <v>9.1900000000000003E-3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-1.2217251517752175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 x14ac:dyDescent="0.3">
      <c r="C200">
        <f t="shared" si="45"/>
        <v>0</v>
      </c>
      <c r="D200">
        <v>1.6E-2</v>
      </c>
      <c r="E200">
        <v>9.1900000000000003E-3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-1.2217251517752175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 x14ac:dyDescent="0.3">
      <c r="C201">
        <f t="shared" si="45"/>
        <v>0</v>
      </c>
      <c r="D201">
        <v>1.6E-2</v>
      </c>
      <c r="E201">
        <v>9.1900000000000003E-3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 x14ac:dyDescent="0.3">
      <c r="C202">
        <f t="shared" si="45"/>
        <v>0</v>
      </c>
      <c r="D202">
        <v>1.6E-2</v>
      </c>
      <c r="E202">
        <v>9.1900000000000003E-3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 x14ac:dyDescent="0.3">
      <c r="C203">
        <f t="shared" si="45"/>
        <v>0</v>
      </c>
      <c r="D203">
        <v>1.6E-2</v>
      </c>
      <c r="E203">
        <v>9.1900000000000003E-3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 x14ac:dyDescent="0.3">
      <c r="C204">
        <f t="shared" si="45"/>
        <v>0</v>
      </c>
      <c r="D204">
        <v>1.6E-2</v>
      </c>
      <c r="E204">
        <v>9.1900000000000003E-3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 x14ac:dyDescent="0.3">
      <c r="C205">
        <f t="shared" si="45"/>
        <v>0</v>
      </c>
      <c r="D205">
        <v>1.6E-2</v>
      </c>
      <c r="E205">
        <v>9.1900000000000003E-3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 x14ac:dyDescent="0.3">
      <c r="C206">
        <f t="shared" si="45"/>
        <v>0</v>
      </c>
      <c r="D206">
        <v>1.6E-2</v>
      </c>
      <c r="E206">
        <v>9.1900000000000003E-3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 x14ac:dyDescent="0.3">
      <c r="C207">
        <f t="shared" si="45"/>
        <v>0</v>
      </c>
      <c r="D207">
        <v>1.6E-2</v>
      </c>
      <c r="E207">
        <v>9.1900000000000003E-3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 x14ac:dyDescent="0.3">
      <c r="C208">
        <f t="shared" si="45"/>
        <v>0</v>
      </c>
      <c r="D208">
        <v>1.6E-2</v>
      </c>
      <c r="E208">
        <v>9.1900000000000003E-3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1.6E-2</v>
      </c>
      <c r="E209">
        <v>9.1900000000000003E-3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1.6E-2</v>
      </c>
      <c r="E210">
        <v>9.1900000000000003E-3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1.6E-2</v>
      </c>
      <c r="E211">
        <v>9.1900000000000003E-3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1.6E-2</v>
      </c>
      <c r="E212">
        <v>9.1900000000000003E-3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1.6E-2</v>
      </c>
      <c r="E213">
        <v>9.1900000000000003E-3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1.6E-2</v>
      </c>
      <c r="E214">
        <v>9.1900000000000003E-3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1.6E-2</v>
      </c>
      <c r="E215">
        <v>9.1900000000000003E-3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1.6E-2</v>
      </c>
      <c r="E216">
        <v>9.1900000000000003E-3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1.6E-2</v>
      </c>
      <c r="E217">
        <v>9.1900000000000003E-3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1.6E-2</v>
      </c>
      <c r="E218">
        <v>9.1900000000000003E-3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1.6E-2</v>
      </c>
      <c r="E219">
        <v>9.1900000000000003E-3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1.6E-2</v>
      </c>
      <c r="E220">
        <v>9.1900000000000003E-3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1.6E-2</v>
      </c>
      <c r="E221">
        <v>9.1900000000000003E-3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1.6E-2</v>
      </c>
      <c r="E222">
        <v>9.1900000000000003E-3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1.6E-2</v>
      </c>
      <c r="E223">
        <v>9.1900000000000003E-3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1.6E-2</v>
      </c>
      <c r="E224">
        <v>9.1900000000000003E-3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1.6E-2</v>
      </c>
      <c r="E225">
        <v>9.1900000000000003E-3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1.6E-2</v>
      </c>
      <c r="E226">
        <v>9.1900000000000003E-3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1.6E-2</v>
      </c>
      <c r="E227">
        <v>9.1900000000000003E-3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1.6E-2</v>
      </c>
      <c r="E228">
        <v>9.1900000000000003E-3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1.6E-2</v>
      </c>
      <c r="E229">
        <v>9.1900000000000003E-3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1.6E-2</v>
      </c>
      <c r="E230">
        <v>9.1900000000000003E-3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1.6E-2</v>
      </c>
      <c r="E231">
        <v>9.1900000000000003E-3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1.6E-2</v>
      </c>
      <c r="E232">
        <v>9.1900000000000003E-3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1.6E-2</v>
      </c>
      <c r="E233">
        <v>9.1900000000000003E-3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1.6E-2</v>
      </c>
      <c r="E234">
        <v>9.1900000000000003E-3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1.6E-2</v>
      </c>
      <c r="E235">
        <v>9.1900000000000003E-3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1.6E-2</v>
      </c>
      <c r="E236">
        <v>9.1900000000000003E-3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1.6E-2</v>
      </c>
      <c r="E237">
        <v>9.1900000000000003E-3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1.6E-2</v>
      </c>
      <c r="E238">
        <v>9.1900000000000003E-3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1.6E-2</v>
      </c>
      <c r="E239">
        <v>9.1900000000000003E-3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1.6E-2</v>
      </c>
      <c r="E240">
        <v>9.1900000000000003E-3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1.6E-2</v>
      </c>
      <c r="E241">
        <v>9.1900000000000003E-3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1.6E-2</v>
      </c>
      <c r="E242">
        <v>9.1900000000000003E-3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1.6E-2</v>
      </c>
      <c r="E243">
        <v>9.1900000000000003E-3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1.6E-2</v>
      </c>
      <c r="E244">
        <v>9.1900000000000003E-3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1.6E-2</v>
      </c>
      <c r="E245">
        <v>9.1900000000000003E-3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1.6E-2</v>
      </c>
      <c r="E246">
        <v>9.1900000000000003E-3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1.6E-2</v>
      </c>
      <c r="E247">
        <v>9.1900000000000003E-3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1.6E-2</v>
      </c>
      <c r="E248">
        <v>9.1900000000000003E-3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1.6E-2</v>
      </c>
      <c r="E249">
        <v>9.1900000000000003E-3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1.6E-2</v>
      </c>
      <c r="E250">
        <v>9.1900000000000003E-3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1.6E-2</v>
      </c>
      <c r="E251">
        <v>9.1900000000000003E-3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1.6E-2</v>
      </c>
      <c r="E252">
        <v>9.1900000000000003E-3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1.6E-2</v>
      </c>
      <c r="E253">
        <v>9.1900000000000003E-3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1.6E-2</v>
      </c>
      <c r="E254">
        <v>9.1900000000000003E-3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1.6E-2</v>
      </c>
      <c r="E255">
        <v>9.1900000000000003E-3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1.6E-2</v>
      </c>
      <c r="E256">
        <v>9.1900000000000003E-3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1.6E-2</v>
      </c>
      <c r="E257">
        <v>9.1900000000000003E-3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1.6E-2</v>
      </c>
      <c r="E258">
        <v>9.1900000000000003E-3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1.6E-2</v>
      </c>
      <c r="E259">
        <v>9.1900000000000003E-3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1.6E-2</v>
      </c>
      <c r="E260">
        <v>9.1900000000000003E-3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1.6E-2</v>
      </c>
      <c r="E261">
        <v>9.1900000000000003E-3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1.6E-2</v>
      </c>
      <c r="E262">
        <v>9.1900000000000003E-3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1.6E-2</v>
      </c>
      <c r="E263">
        <v>9.1900000000000003E-3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1.6E-2</v>
      </c>
      <c r="E264">
        <v>9.1900000000000003E-3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1.6E-2</v>
      </c>
      <c r="E265">
        <v>9.1900000000000003E-3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1.6E-2</v>
      </c>
      <c r="E266">
        <v>9.1900000000000003E-3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1.6E-2</v>
      </c>
      <c r="E267">
        <v>9.1900000000000003E-3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1.6E-2</v>
      </c>
      <c r="E268">
        <v>9.1900000000000003E-3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1.6E-2</v>
      </c>
      <c r="E269">
        <v>9.1900000000000003E-3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1.6E-2</v>
      </c>
      <c r="E270">
        <v>9.1900000000000003E-3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1.6E-2</v>
      </c>
      <c r="E271">
        <v>9.1900000000000003E-3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1.6E-2</v>
      </c>
      <c r="E272">
        <v>9.1900000000000003E-3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1.6E-2</v>
      </c>
      <c r="E273">
        <v>9.1900000000000003E-3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1.6E-2</v>
      </c>
      <c r="E274">
        <v>9.1900000000000003E-3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1.6E-2</v>
      </c>
      <c r="E275">
        <v>9.1900000000000003E-3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1.6E-2</v>
      </c>
      <c r="E276">
        <v>9.1900000000000003E-3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1.6E-2</v>
      </c>
      <c r="E277">
        <v>9.1900000000000003E-3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1.6E-2</v>
      </c>
      <c r="E278">
        <v>9.1900000000000003E-3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1.6E-2</v>
      </c>
      <c r="E279">
        <v>9.1900000000000003E-3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1.6E-2</v>
      </c>
      <c r="E280">
        <v>9.1900000000000003E-3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1.6E-2</v>
      </c>
      <c r="E281">
        <v>9.1900000000000003E-3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1.6E-2</v>
      </c>
      <c r="E282">
        <v>9.1900000000000003E-3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1.6E-2</v>
      </c>
      <c r="E283">
        <v>9.1900000000000003E-3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1.6E-2</v>
      </c>
      <c r="E284">
        <v>9.1900000000000003E-3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1.6E-2</v>
      </c>
      <c r="E285">
        <v>9.1900000000000003E-3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1.6E-2</v>
      </c>
      <c r="E286">
        <v>9.1900000000000003E-3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1.6E-2</v>
      </c>
      <c r="E287">
        <v>9.1900000000000003E-3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1.6E-2</v>
      </c>
      <c r="E288">
        <v>9.1900000000000003E-3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1.6E-2</v>
      </c>
      <c r="E289">
        <v>9.1900000000000003E-3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1.6E-2</v>
      </c>
      <c r="E290">
        <v>9.1900000000000003E-3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1.6E-2</v>
      </c>
      <c r="E291">
        <v>9.1900000000000003E-3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1.6E-2</v>
      </c>
      <c r="E292">
        <v>9.1900000000000003E-3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1.6E-2</v>
      </c>
      <c r="E293">
        <v>9.1900000000000003E-3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1.6E-2</v>
      </c>
      <c r="E294">
        <v>9.1900000000000003E-3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1.6E-2</v>
      </c>
      <c r="E295">
        <v>9.1900000000000003E-3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1.6E-2</v>
      </c>
      <c r="E296">
        <v>9.1900000000000003E-3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1.6E-2</v>
      </c>
      <c r="E297">
        <v>9.1900000000000003E-3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1.6E-2</v>
      </c>
      <c r="E298">
        <v>9.1900000000000003E-3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1.6E-2</v>
      </c>
      <c r="E299">
        <v>9.1900000000000003E-3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1.6E-2</v>
      </c>
      <c r="E300">
        <v>9.1900000000000003E-3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1.6E-2</v>
      </c>
      <c r="E301">
        <v>9.1900000000000003E-3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1.6E-2</v>
      </c>
      <c r="E302">
        <v>9.1900000000000003E-3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1.6E-2</v>
      </c>
      <c r="E303">
        <v>9.1900000000000003E-3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U232"/>
  <sheetViews>
    <sheetView topLeftCell="I2" workbookViewId="0">
      <selection activeCell="U2" sqref="U2:U137"/>
    </sheetView>
  </sheetViews>
  <sheetFormatPr defaultRowHeight="16.5" x14ac:dyDescent="0.3"/>
  <sheetData>
    <row r="1" spans="1:21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21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  <c r="Q2">
        <v>3.8848600000000002</v>
      </c>
      <c r="R2">
        <f>Q2/200</f>
        <v>1.9424300000000002E-2</v>
      </c>
      <c r="T2">
        <v>1.41361</v>
      </c>
      <c r="U2">
        <f>T2/200</f>
        <v>7.0680500000000002E-3</v>
      </c>
    </row>
    <row r="3" spans="1:21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  <c r="Q3">
        <v>14.015610000000001</v>
      </c>
      <c r="R3">
        <f t="shared" ref="R3:R66" si="7">Q3/200</f>
        <v>7.0078050000000003E-2</v>
      </c>
      <c r="T3">
        <v>11.90278</v>
      </c>
      <c r="U3">
        <f t="shared" ref="U3:U66" si="8">T3/200</f>
        <v>5.9513900000000002E-2</v>
      </c>
    </row>
    <row r="4" spans="1:21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  <c r="Q4">
        <v>23.854130000000001</v>
      </c>
      <c r="R4">
        <f t="shared" si="7"/>
        <v>0.11927065000000001</v>
      </c>
      <c r="T4">
        <v>22.086449999999999</v>
      </c>
      <c r="U4">
        <f t="shared" si="8"/>
        <v>0.11043225</v>
      </c>
    </row>
    <row r="5" spans="1:21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  <c r="Q5">
        <v>33.49783</v>
      </c>
      <c r="R5">
        <f t="shared" si="7"/>
        <v>0.16748915</v>
      </c>
      <c r="T5">
        <v>32.168280000000003</v>
      </c>
      <c r="U5">
        <f t="shared" si="8"/>
        <v>0.16084140000000002</v>
      </c>
    </row>
    <row r="6" spans="1:21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  <c r="Q6">
        <v>43.238930000000003</v>
      </c>
      <c r="R6">
        <f t="shared" si="7"/>
        <v>0.21619465000000002</v>
      </c>
      <c r="T6">
        <v>42.555619999999998</v>
      </c>
      <c r="U6">
        <f t="shared" si="8"/>
        <v>0.2127781</v>
      </c>
    </row>
    <row r="7" spans="1:21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  <c r="Q7">
        <v>53.564509999999999</v>
      </c>
      <c r="R7">
        <f t="shared" si="7"/>
        <v>0.26782254999999999</v>
      </c>
      <c r="T7">
        <v>52.637450000000001</v>
      </c>
      <c r="U7">
        <f t="shared" si="8"/>
        <v>0.26318724999999998</v>
      </c>
    </row>
    <row r="8" spans="1:21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  <c r="Q8">
        <v>63.597839999999998</v>
      </c>
      <c r="R8">
        <f t="shared" si="7"/>
        <v>0.31798919999999997</v>
      </c>
      <c r="T8">
        <v>63.024790000000003</v>
      </c>
      <c r="U8">
        <f t="shared" si="8"/>
        <v>0.31512395000000004</v>
      </c>
    </row>
    <row r="9" spans="1:21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  <c r="Q9">
        <v>73.338949999999997</v>
      </c>
      <c r="R9">
        <f t="shared" si="7"/>
        <v>0.36669474999999996</v>
      </c>
      <c r="T9">
        <v>73.513959999999997</v>
      </c>
      <c r="U9">
        <f t="shared" si="8"/>
        <v>0.3675698</v>
      </c>
    </row>
    <row r="10" spans="1:21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  <c r="Q10">
        <v>83.859350000000006</v>
      </c>
      <c r="R10">
        <f t="shared" si="7"/>
        <v>0.41929675000000005</v>
      </c>
      <c r="T10">
        <v>83.595789999999994</v>
      </c>
      <c r="U10">
        <f t="shared" si="8"/>
        <v>0.41797894999999996</v>
      </c>
    </row>
    <row r="11" spans="1:21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  <c r="Q11">
        <v>93.600449999999995</v>
      </c>
      <c r="R11">
        <f t="shared" si="7"/>
        <v>0.46800224999999995</v>
      </c>
      <c r="T11">
        <v>93.98312</v>
      </c>
      <c r="U11">
        <f t="shared" si="8"/>
        <v>0.46991559999999999</v>
      </c>
    </row>
    <row r="12" spans="1:21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  <c r="Q12">
        <v>103.34157</v>
      </c>
      <c r="R12">
        <f t="shared" si="7"/>
        <v>0.51670784999999997</v>
      </c>
      <c r="T12">
        <v>104.06497</v>
      </c>
      <c r="U12">
        <f t="shared" si="8"/>
        <v>0.52032485000000006</v>
      </c>
    </row>
    <row r="13" spans="1:21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  <c r="Q13">
        <v>112.98524999999999</v>
      </c>
      <c r="R13">
        <f t="shared" si="7"/>
        <v>0.56492624999999996</v>
      </c>
      <c r="T13">
        <v>114.45231</v>
      </c>
      <c r="U13">
        <f t="shared" si="8"/>
        <v>0.57226155000000001</v>
      </c>
    </row>
    <row r="14" spans="1:21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  <c r="Q14">
        <v>122.72636</v>
      </c>
      <c r="R14">
        <f t="shared" si="7"/>
        <v>0.61363179999999995</v>
      </c>
      <c r="T14">
        <v>124.83965000000001</v>
      </c>
      <c r="U14">
        <f t="shared" si="8"/>
        <v>0.62419825000000007</v>
      </c>
    </row>
    <row r="15" spans="1:21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  <c r="Q15">
        <v>132.56487999999999</v>
      </c>
      <c r="R15">
        <f t="shared" si="7"/>
        <v>0.66282439999999998</v>
      </c>
      <c r="T15">
        <v>135.63433000000001</v>
      </c>
      <c r="U15">
        <f t="shared" si="8"/>
        <v>0.67817165000000001</v>
      </c>
    </row>
    <row r="16" spans="1:21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  <c r="Q16">
        <v>142.5008</v>
      </c>
      <c r="R16">
        <f t="shared" si="7"/>
        <v>0.71250400000000003</v>
      </c>
      <c r="T16">
        <v>146.02166</v>
      </c>
      <c r="U16">
        <f t="shared" si="8"/>
        <v>0.73010829999999993</v>
      </c>
    </row>
    <row r="17" spans="1:21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  <c r="Q17">
        <v>152.24189999999999</v>
      </c>
      <c r="R17">
        <f t="shared" si="7"/>
        <v>0.76120949999999998</v>
      </c>
      <c r="T17">
        <v>157.12186</v>
      </c>
      <c r="U17">
        <f t="shared" si="8"/>
        <v>0.78560929999999995</v>
      </c>
    </row>
    <row r="18" spans="1:21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  <c r="Q18">
        <v>161.98301000000001</v>
      </c>
      <c r="R18">
        <f t="shared" si="7"/>
        <v>0.80991505000000008</v>
      </c>
      <c r="T18">
        <v>167.20368999999999</v>
      </c>
      <c r="U18">
        <f t="shared" si="8"/>
        <v>0.83601844999999997</v>
      </c>
    </row>
    <row r="19" spans="1:21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  <c r="Q19">
        <v>171.72412</v>
      </c>
      <c r="R19">
        <f t="shared" si="7"/>
        <v>0.85862059999999996</v>
      </c>
      <c r="T19">
        <v>177.38735</v>
      </c>
      <c r="U19">
        <f t="shared" si="8"/>
        <v>0.88693674999999994</v>
      </c>
    </row>
    <row r="20" spans="1:21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  <c r="Q20">
        <v>181.46521999999999</v>
      </c>
      <c r="R20">
        <f t="shared" si="7"/>
        <v>0.90732609999999991</v>
      </c>
      <c r="T20">
        <v>187.87651</v>
      </c>
      <c r="U20">
        <f t="shared" si="8"/>
        <v>0.93938254999999993</v>
      </c>
    </row>
    <row r="21" spans="1:21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  <c r="Q21">
        <v>191.88821999999999</v>
      </c>
      <c r="R21">
        <f t="shared" si="7"/>
        <v>0.95944109999999994</v>
      </c>
      <c r="T21">
        <v>197.95833999999999</v>
      </c>
      <c r="U21">
        <f t="shared" si="8"/>
        <v>0.98979169999999994</v>
      </c>
    </row>
    <row r="22" spans="1:21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  <c r="Q22">
        <v>201.72673</v>
      </c>
      <c r="R22">
        <f t="shared" si="7"/>
        <v>1.0086336499999999</v>
      </c>
      <c r="T22">
        <v>208.85488000000001</v>
      </c>
      <c r="U22">
        <f t="shared" si="8"/>
        <v>1.0442743999999999</v>
      </c>
    </row>
    <row r="23" spans="1:21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  <c r="Q23">
        <v>211.76005000000001</v>
      </c>
      <c r="R23">
        <f t="shared" si="7"/>
        <v>1.05880025</v>
      </c>
      <c r="T23">
        <v>218.93672000000001</v>
      </c>
      <c r="U23">
        <f t="shared" si="8"/>
        <v>1.0946836</v>
      </c>
    </row>
    <row r="24" spans="1:21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  <c r="Q24">
        <v>221.40376000000001</v>
      </c>
      <c r="R24">
        <f t="shared" si="7"/>
        <v>1.1070188000000001</v>
      </c>
      <c r="T24">
        <v>229.12038000000001</v>
      </c>
      <c r="U24">
        <f t="shared" si="8"/>
        <v>1.1456019</v>
      </c>
    </row>
    <row r="25" spans="1:21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  <c r="Q25">
        <v>231.24229</v>
      </c>
      <c r="R25">
        <f t="shared" si="7"/>
        <v>1.15621145</v>
      </c>
      <c r="T25">
        <v>239.20222000000001</v>
      </c>
      <c r="U25">
        <f t="shared" si="8"/>
        <v>1.1960111</v>
      </c>
    </row>
    <row r="26" spans="1:21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  <c r="Q26">
        <v>240.88597999999999</v>
      </c>
      <c r="R26">
        <f t="shared" si="7"/>
        <v>1.2044299000000001</v>
      </c>
      <c r="T26">
        <v>249.48772</v>
      </c>
      <c r="U26">
        <f t="shared" si="8"/>
        <v>1.2474386</v>
      </c>
    </row>
    <row r="27" spans="1:21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  <c r="Q27">
        <v>251.21154999999999</v>
      </c>
      <c r="R27">
        <f t="shared" si="7"/>
        <v>1.2560577499999999</v>
      </c>
      <c r="T27">
        <v>259.77321999999998</v>
      </c>
      <c r="U27">
        <f t="shared" si="8"/>
        <v>1.2988660999999999</v>
      </c>
    </row>
    <row r="28" spans="1:21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  <c r="Q28">
        <v>260.85523000000001</v>
      </c>
      <c r="R28">
        <f t="shared" si="7"/>
        <v>1.30427615</v>
      </c>
      <c r="T28">
        <v>270.05874</v>
      </c>
      <c r="U28">
        <f t="shared" si="8"/>
        <v>1.3502936999999999</v>
      </c>
    </row>
    <row r="29" spans="1:21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  <c r="Q29">
        <v>270.49892</v>
      </c>
      <c r="R29">
        <f t="shared" si="7"/>
        <v>1.3524946</v>
      </c>
      <c r="T29">
        <v>280.14055999999999</v>
      </c>
      <c r="U29">
        <f t="shared" si="8"/>
        <v>1.4007027999999999</v>
      </c>
    </row>
    <row r="30" spans="1:21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  <c r="Q30">
        <v>280.8245</v>
      </c>
      <c r="R30">
        <f t="shared" si="7"/>
        <v>1.4041224999999999</v>
      </c>
      <c r="T30">
        <v>290.32422000000003</v>
      </c>
      <c r="U30">
        <f t="shared" si="8"/>
        <v>1.4516211000000001</v>
      </c>
    </row>
    <row r="31" spans="1:21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  <c r="Q31">
        <v>290.46821</v>
      </c>
      <c r="R31">
        <f t="shared" si="7"/>
        <v>1.45234105</v>
      </c>
      <c r="T31">
        <v>300.91523999999998</v>
      </c>
      <c r="U31">
        <f t="shared" si="8"/>
        <v>1.5045761999999998</v>
      </c>
    </row>
    <row r="32" spans="1:21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  <c r="Q32">
        <v>300.30669999999998</v>
      </c>
      <c r="R32">
        <f t="shared" si="7"/>
        <v>1.5015334999999999</v>
      </c>
      <c r="T32">
        <v>310.99704000000003</v>
      </c>
      <c r="U32">
        <f t="shared" si="8"/>
        <v>1.5549852000000002</v>
      </c>
    </row>
    <row r="33" spans="1:21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  <c r="Q33">
        <v>309.95037000000002</v>
      </c>
      <c r="R33">
        <f t="shared" si="7"/>
        <v>1.54975185</v>
      </c>
      <c r="T33">
        <v>321.18072000000001</v>
      </c>
      <c r="U33">
        <f t="shared" si="8"/>
        <v>1.6059036</v>
      </c>
    </row>
    <row r="34" spans="1:21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  <c r="Q34">
        <v>319.98374999999999</v>
      </c>
      <c r="R34">
        <f t="shared" si="7"/>
        <v>1.5999187499999998</v>
      </c>
      <c r="T34">
        <v>331.46622000000002</v>
      </c>
      <c r="U34">
        <f t="shared" si="8"/>
        <v>1.6573311000000002</v>
      </c>
    </row>
    <row r="35" spans="1:21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  <c r="Q35">
        <v>329.62741999999997</v>
      </c>
      <c r="R35">
        <f t="shared" si="7"/>
        <v>1.6481370999999998</v>
      </c>
      <c r="T35">
        <v>341.64988</v>
      </c>
      <c r="U35">
        <f t="shared" si="8"/>
        <v>1.7082493999999999</v>
      </c>
    </row>
    <row r="36" spans="1:21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  <c r="Q36">
        <v>339.75817999999998</v>
      </c>
      <c r="R36">
        <f t="shared" si="7"/>
        <v>1.6987908999999999</v>
      </c>
      <c r="T36">
        <v>352.64823999999999</v>
      </c>
      <c r="U36">
        <f t="shared" si="8"/>
        <v>1.7632412</v>
      </c>
    </row>
    <row r="37" spans="1:21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  <c r="Q37">
        <v>349.40186</v>
      </c>
      <c r="R37">
        <f t="shared" si="7"/>
        <v>1.7470093</v>
      </c>
      <c r="T37">
        <v>362.83188000000001</v>
      </c>
      <c r="U37">
        <f t="shared" si="8"/>
        <v>1.8141594000000001</v>
      </c>
    </row>
    <row r="38" spans="1:21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  <c r="Q38">
        <v>359.24041999999997</v>
      </c>
      <c r="R38">
        <f t="shared" si="7"/>
        <v>1.7962020999999999</v>
      </c>
      <c r="T38">
        <v>373.01558</v>
      </c>
      <c r="U38">
        <f t="shared" si="8"/>
        <v>1.8650779</v>
      </c>
    </row>
    <row r="39" spans="1:21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  <c r="Q39">
        <v>368.98149999999998</v>
      </c>
      <c r="R39">
        <f t="shared" si="7"/>
        <v>1.8449074999999999</v>
      </c>
      <c r="T39">
        <v>383.50475999999998</v>
      </c>
      <c r="U39">
        <f t="shared" si="8"/>
        <v>1.9175237999999999</v>
      </c>
    </row>
    <row r="40" spans="1:21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  <c r="Q40">
        <v>379.40449999999998</v>
      </c>
      <c r="R40">
        <f t="shared" si="7"/>
        <v>1.8970224999999998</v>
      </c>
      <c r="T40">
        <v>394.29944</v>
      </c>
      <c r="U40">
        <f t="shared" si="8"/>
        <v>1.9714971999999999</v>
      </c>
    </row>
    <row r="41" spans="1:21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  <c r="Q41">
        <v>389.34041000000002</v>
      </c>
      <c r="R41">
        <f t="shared" si="7"/>
        <v>1.9467020500000001</v>
      </c>
      <c r="T41">
        <v>405.50146000000001</v>
      </c>
      <c r="U41">
        <f t="shared" si="8"/>
        <v>2.0275072999999999</v>
      </c>
    </row>
    <row r="42" spans="1:21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  <c r="Q42">
        <v>399.17892000000001</v>
      </c>
      <c r="R42">
        <f t="shared" si="7"/>
        <v>1.9958946</v>
      </c>
      <c r="T42">
        <v>416.19434000000001</v>
      </c>
      <c r="U42">
        <f t="shared" si="8"/>
        <v>2.0809717000000001</v>
      </c>
    </row>
    <row r="43" spans="1:21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  <c r="Q43">
        <v>409.40710999999999</v>
      </c>
      <c r="R43">
        <f t="shared" si="7"/>
        <v>2.0470355499999999</v>
      </c>
      <c r="T43">
        <v>426.58168000000001</v>
      </c>
      <c r="U43">
        <f t="shared" si="8"/>
        <v>2.1329083999999998</v>
      </c>
    </row>
    <row r="44" spans="1:21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  <c r="Q44">
        <v>420.80419999999998</v>
      </c>
      <c r="R44">
        <f t="shared" si="7"/>
        <v>2.1040209999999999</v>
      </c>
      <c r="T44">
        <v>436.66352000000001</v>
      </c>
      <c r="U44">
        <f t="shared" si="8"/>
        <v>2.1833176000000001</v>
      </c>
    </row>
    <row r="45" spans="1:21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  <c r="Q45">
        <v>430.54527999999999</v>
      </c>
      <c r="R45">
        <f t="shared" si="7"/>
        <v>2.1527264000000002</v>
      </c>
      <c r="T45">
        <v>446.74531999999999</v>
      </c>
      <c r="U45">
        <f t="shared" si="8"/>
        <v>2.2337265999999998</v>
      </c>
    </row>
    <row r="46" spans="1:21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  <c r="Q46">
        <v>440.38378999999998</v>
      </c>
      <c r="R46">
        <f t="shared" si="7"/>
        <v>2.20191895</v>
      </c>
      <c r="T46">
        <v>456.82713999999999</v>
      </c>
      <c r="U46">
        <f t="shared" si="8"/>
        <v>2.2841356999999998</v>
      </c>
    </row>
    <row r="47" spans="1:21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  <c r="Q47">
        <v>450.31974000000002</v>
      </c>
      <c r="R47">
        <f t="shared" si="7"/>
        <v>2.2515987000000002</v>
      </c>
      <c r="T47">
        <v>467.01083999999997</v>
      </c>
      <c r="U47">
        <f t="shared" si="8"/>
        <v>2.3350542000000001</v>
      </c>
    </row>
    <row r="48" spans="1:21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  <c r="Q48">
        <v>460.06088</v>
      </c>
      <c r="R48">
        <f t="shared" si="7"/>
        <v>2.3003043999999999</v>
      </c>
      <c r="T48">
        <v>477.09267999999997</v>
      </c>
      <c r="U48">
        <f t="shared" si="8"/>
        <v>2.3854633999999999</v>
      </c>
    </row>
    <row r="49" spans="1:21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  <c r="Q49">
        <v>470.28904999999997</v>
      </c>
      <c r="R49">
        <f t="shared" si="7"/>
        <v>2.3514452499999998</v>
      </c>
      <c r="T49">
        <v>487.17451999999997</v>
      </c>
      <c r="U49">
        <f t="shared" si="8"/>
        <v>2.4358725999999997</v>
      </c>
    </row>
    <row r="50" spans="1:21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  <c r="Q50">
        <v>479.93275999999997</v>
      </c>
      <c r="R50">
        <f t="shared" si="7"/>
        <v>2.3996637999999999</v>
      </c>
      <c r="T50">
        <v>497.46</v>
      </c>
      <c r="U50">
        <f t="shared" si="8"/>
        <v>2.4872999999999998</v>
      </c>
    </row>
    <row r="51" spans="1:21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  <c r="Q51">
        <v>489.67380000000003</v>
      </c>
      <c r="R51">
        <f t="shared" si="7"/>
        <v>2.448369</v>
      </c>
      <c r="T51">
        <v>507.94911999999999</v>
      </c>
      <c r="U51">
        <f t="shared" si="8"/>
        <v>2.5397455999999998</v>
      </c>
    </row>
    <row r="52" spans="1:21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  <c r="Q52">
        <v>499.41487999999998</v>
      </c>
      <c r="R52">
        <f t="shared" si="7"/>
        <v>2.4970743999999998</v>
      </c>
      <c r="T52">
        <v>518.03096000000005</v>
      </c>
      <c r="U52">
        <f t="shared" si="8"/>
        <v>2.5901548000000001</v>
      </c>
    </row>
    <row r="53" spans="1:21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  <c r="Q53">
        <v>510.03273000000002</v>
      </c>
      <c r="R53">
        <f t="shared" si="7"/>
        <v>2.55016365</v>
      </c>
      <c r="T53">
        <v>528.92754000000002</v>
      </c>
      <c r="U53">
        <f t="shared" si="8"/>
        <v>2.6446377000000001</v>
      </c>
    </row>
    <row r="54" spans="1:21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  <c r="Q54">
        <v>519.67642999999998</v>
      </c>
      <c r="R54">
        <f t="shared" si="7"/>
        <v>2.5983821499999999</v>
      </c>
      <c r="T54">
        <v>539.31484</v>
      </c>
      <c r="U54">
        <f t="shared" si="8"/>
        <v>2.6965742000000001</v>
      </c>
    </row>
    <row r="55" spans="1:21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  <c r="Q55">
        <v>529.41755000000001</v>
      </c>
      <c r="R55">
        <f t="shared" si="7"/>
        <v>2.6470877499999999</v>
      </c>
      <c r="T55">
        <v>549.49854000000005</v>
      </c>
      <c r="U55">
        <f t="shared" si="8"/>
        <v>2.7474927000000005</v>
      </c>
    </row>
    <row r="56" spans="1:21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  <c r="Q56">
        <v>539.54827</v>
      </c>
      <c r="R56">
        <f t="shared" si="7"/>
        <v>2.6977413499999998</v>
      </c>
      <c r="T56">
        <v>559.68218000000002</v>
      </c>
      <c r="U56">
        <f t="shared" si="8"/>
        <v>2.7984108999999999</v>
      </c>
    </row>
    <row r="57" spans="1:21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  <c r="Q57">
        <v>549.97122000000002</v>
      </c>
      <c r="R57">
        <f t="shared" si="7"/>
        <v>2.7498561000000001</v>
      </c>
      <c r="T57">
        <v>569.76396</v>
      </c>
      <c r="U57">
        <f t="shared" si="8"/>
        <v>2.8488197999999998</v>
      </c>
    </row>
    <row r="58" spans="1:21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  <c r="Q58">
        <v>559.71234000000004</v>
      </c>
      <c r="R58">
        <f t="shared" si="7"/>
        <v>2.7985617</v>
      </c>
      <c r="T58">
        <v>580.15135999999995</v>
      </c>
      <c r="U58">
        <f t="shared" si="8"/>
        <v>2.9007567999999999</v>
      </c>
    </row>
    <row r="59" spans="1:21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  <c r="Q59">
        <v>569.35604000000001</v>
      </c>
      <c r="R59">
        <f t="shared" si="7"/>
        <v>2.8467802</v>
      </c>
      <c r="T59">
        <v>591.04790000000003</v>
      </c>
      <c r="U59">
        <f t="shared" si="8"/>
        <v>2.9552395000000002</v>
      </c>
    </row>
    <row r="60" spans="1:21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  <c r="Q60">
        <v>579.29199000000006</v>
      </c>
      <c r="R60">
        <f t="shared" si="7"/>
        <v>2.8964599500000001</v>
      </c>
      <c r="T60">
        <v>601.33334000000002</v>
      </c>
      <c r="U60">
        <f t="shared" si="8"/>
        <v>3.0066667000000002</v>
      </c>
    </row>
    <row r="61" spans="1:21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  <c r="Q61">
        <v>588.93569000000002</v>
      </c>
      <c r="R61">
        <f t="shared" si="7"/>
        <v>2.9446784500000001</v>
      </c>
      <c r="T61">
        <v>611.41517999999996</v>
      </c>
      <c r="U61">
        <f t="shared" si="8"/>
        <v>3.0570758999999996</v>
      </c>
    </row>
    <row r="62" spans="1:21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  <c r="Q62">
        <v>598.77414999999996</v>
      </c>
      <c r="R62">
        <f t="shared" si="7"/>
        <v>2.9938707499999997</v>
      </c>
      <c r="T62">
        <v>621.49702000000002</v>
      </c>
      <c r="U62">
        <f t="shared" si="8"/>
        <v>3.1074850999999999</v>
      </c>
    </row>
    <row r="63" spans="1:21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  <c r="Q63">
        <v>608.90490999999997</v>
      </c>
      <c r="R63">
        <f t="shared" si="7"/>
        <v>3.0445245499999998</v>
      </c>
      <c r="T63">
        <v>631.88437999999996</v>
      </c>
      <c r="U63">
        <f t="shared" si="8"/>
        <v>3.1594218999999999</v>
      </c>
    </row>
    <row r="64" spans="1:21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  <c r="Q64">
        <v>618.54861000000005</v>
      </c>
      <c r="R64">
        <f t="shared" si="7"/>
        <v>3.0927430500000002</v>
      </c>
      <c r="T64">
        <v>641.96622000000002</v>
      </c>
      <c r="U64">
        <f t="shared" si="8"/>
        <v>3.2098311000000002</v>
      </c>
    </row>
    <row r="65" spans="1:21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  <c r="Q65">
        <v>628.19232</v>
      </c>
      <c r="R65">
        <f t="shared" si="7"/>
        <v>3.1409615999999998</v>
      </c>
      <c r="T65">
        <v>653.27005999999994</v>
      </c>
      <c r="U65">
        <f t="shared" si="8"/>
        <v>3.2663502999999996</v>
      </c>
    </row>
    <row r="66" spans="1:21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9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  <c r="Q66">
        <v>637.83600000000001</v>
      </c>
      <c r="R66">
        <f t="shared" si="7"/>
        <v>3.1891799999999999</v>
      </c>
      <c r="T66">
        <v>663.45371999999998</v>
      </c>
      <c r="U66">
        <f t="shared" si="8"/>
        <v>3.3172685999999998</v>
      </c>
    </row>
    <row r="67" spans="1:21" x14ac:dyDescent="0.3">
      <c r="A67">
        <v>3.43</v>
      </c>
      <c r="B67">
        <f t="shared" ref="B67:B130" si="10">A67*200</f>
        <v>686</v>
      </c>
      <c r="C67">
        <v>0.59499999999999997</v>
      </c>
      <c r="D67" s="1">
        <v>2.1236933767795563E-2</v>
      </c>
      <c r="E67">
        <f t="shared" ref="E67:E130" si="11">B67</f>
        <v>686</v>
      </c>
      <c r="F67">
        <f t="shared" ref="F67:F130" si="12">D67-0.0045</f>
        <v>1.6736933767795562E-2</v>
      </c>
      <c r="I67">
        <f t="shared" si="9"/>
        <v>0.66784268282353876</v>
      </c>
      <c r="K67">
        <f t="shared" ref="K67:K130" si="13">I67+(F67*C67)</f>
        <v>0.67780115841537714</v>
      </c>
      <c r="L67">
        <f t="shared" ref="L67:L130" si="14">K67-$I$1</f>
        <v>-0.54392399335984032</v>
      </c>
      <c r="N67">
        <v>682.80264</v>
      </c>
      <c r="O67">
        <f t="shared" ref="O67:O130" si="15">N67/200</f>
        <v>3.4140131999999999</v>
      </c>
      <c r="Q67">
        <v>647.47970999999995</v>
      </c>
      <c r="R67">
        <f t="shared" ref="R67:R130" si="16">Q67/200</f>
        <v>3.23739855</v>
      </c>
      <c r="T67">
        <v>673.53553999999997</v>
      </c>
      <c r="U67">
        <f t="shared" ref="U67:U130" si="17">T67/200</f>
        <v>3.3676776999999998</v>
      </c>
    </row>
    <row r="68" spans="1:21" x14ac:dyDescent="0.3">
      <c r="A68">
        <v>3.49</v>
      </c>
      <c r="B68">
        <f t="shared" si="10"/>
        <v>698</v>
      </c>
      <c r="C68">
        <v>0.59199999999999997</v>
      </c>
      <c r="D68" s="1">
        <v>2.1216338500380516E-2</v>
      </c>
      <c r="E68">
        <f t="shared" si="11"/>
        <v>698</v>
      </c>
      <c r="F68">
        <f t="shared" si="12"/>
        <v>1.6716338500380516E-2</v>
      </c>
      <c r="I68">
        <f t="shared" si="9"/>
        <v>0.66604502136632804</v>
      </c>
      <c r="K68">
        <f t="shared" si="13"/>
        <v>0.67594109375855327</v>
      </c>
      <c r="L68">
        <f t="shared" si="14"/>
        <v>-0.54578405801666419</v>
      </c>
      <c r="N68">
        <v>692.98631999999998</v>
      </c>
      <c r="O68">
        <f t="shared" si="15"/>
        <v>3.4649315999999999</v>
      </c>
      <c r="Q68">
        <v>657.41566</v>
      </c>
      <c r="R68">
        <f t="shared" si="16"/>
        <v>3.2870783000000001</v>
      </c>
      <c r="T68">
        <v>683.92286000000001</v>
      </c>
      <c r="U68">
        <f t="shared" si="17"/>
        <v>3.4196143000000001</v>
      </c>
    </row>
    <row r="69" spans="1:21" x14ac:dyDescent="0.3">
      <c r="A69">
        <v>3.54</v>
      </c>
      <c r="B69">
        <f t="shared" si="10"/>
        <v>708</v>
      </c>
      <c r="C69">
        <v>0.59</v>
      </c>
      <c r="D69" s="1">
        <v>2.1920887753367424E-2</v>
      </c>
      <c r="E69">
        <f t="shared" si="11"/>
        <v>708</v>
      </c>
      <c r="F69">
        <f t="shared" si="12"/>
        <v>1.7420887753367423E-2</v>
      </c>
      <c r="I69">
        <f t="shared" si="9"/>
        <v>0.66759994264692069</v>
      </c>
      <c r="K69">
        <f t="shared" si="13"/>
        <v>0.67787826642140747</v>
      </c>
      <c r="L69">
        <f t="shared" si="14"/>
        <v>-0.54384688535380998</v>
      </c>
      <c r="N69">
        <v>703.06822</v>
      </c>
      <c r="O69">
        <f t="shared" si="15"/>
        <v>3.5153411000000001</v>
      </c>
      <c r="Q69">
        <v>668.22832000000005</v>
      </c>
      <c r="R69">
        <f t="shared" si="16"/>
        <v>3.3411416000000003</v>
      </c>
      <c r="T69">
        <v>694.51396</v>
      </c>
      <c r="U69">
        <f t="shared" si="17"/>
        <v>3.4725698</v>
      </c>
    </row>
    <row r="70" spans="1:21" x14ac:dyDescent="0.3">
      <c r="A70">
        <v>3.59</v>
      </c>
      <c r="B70">
        <f t="shared" si="10"/>
        <v>718</v>
      </c>
      <c r="C70">
        <v>0.58699999999999997</v>
      </c>
      <c r="D70" s="1">
        <v>2.1341806277632713E-2</v>
      </c>
      <c r="E70">
        <f t="shared" si="11"/>
        <v>718</v>
      </c>
      <c r="F70">
        <f t="shared" si="12"/>
        <v>1.6841806277632713E-2</v>
      </c>
      <c r="I70">
        <f t="shared" si="9"/>
        <v>0.66361708453670143</v>
      </c>
      <c r="K70">
        <f t="shared" si="13"/>
        <v>0.6735032248216718</v>
      </c>
      <c r="L70">
        <f t="shared" si="14"/>
        <v>-0.54822192695354566</v>
      </c>
      <c r="N70">
        <v>713.45551999999998</v>
      </c>
      <c r="O70">
        <f t="shared" si="15"/>
        <v>3.5672775999999997</v>
      </c>
      <c r="Q70">
        <v>677.96936000000005</v>
      </c>
      <c r="R70">
        <f t="shared" si="16"/>
        <v>3.3898468000000004</v>
      </c>
      <c r="T70">
        <v>704.59576000000004</v>
      </c>
      <c r="U70">
        <f t="shared" si="17"/>
        <v>3.5229788000000002</v>
      </c>
    </row>
    <row r="71" spans="1:21" x14ac:dyDescent="0.3">
      <c r="A71">
        <v>3.64</v>
      </c>
      <c r="B71">
        <f t="shared" si="10"/>
        <v>728</v>
      </c>
      <c r="C71">
        <v>0.58499999999999996</v>
      </c>
      <c r="D71" s="1">
        <v>2.1182570606470108E-2</v>
      </c>
      <c r="E71">
        <f t="shared" si="11"/>
        <v>728</v>
      </c>
      <c r="F71">
        <f t="shared" si="12"/>
        <v>1.6682570606470108E-2</v>
      </c>
      <c r="I71">
        <f t="shared" si="9"/>
        <v>0.66210455700755122</v>
      </c>
      <c r="K71">
        <f t="shared" si="13"/>
        <v>0.67186386081233618</v>
      </c>
      <c r="L71">
        <f t="shared" si="14"/>
        <v>-0.54986129096288128</v>
      </c>
      <c r="N71">
        <v>723.53736000000004</v>
      </c>
      <c r="O71">
        <f t="shared" si="15"/>
        <v>3.6176868</v>
      </c>
      <c r="Q71">
        <v>688.29495999999995</v>
      </c>
      <c r="R71">
        <f t="shared" si="16"/>
        <v>3.4414747999999999</v>
      </c>
      <c r="T71">
        <v>714.98306000000002</v>
      </c>
      <c r="U71">
        <f t="shared" si="17"/>
        <v>3.5749153000000002</v>
      </c>
    </row>
    <row r="72" spans="1:21" x14ac:dyDescent="0.3">
      <c r="A72">
        <v>3.69</v>
      </c>
      <c r="B72">
        <f t="shared" si="10"/>
        <v>738</v>
      </c>
      <c r="C72">
        <v>0.58199999999999996</v>
      </c>
      <c r="D72" s="1">
        <v>2.0709231495857239E-2</v>
      </c>
      <c r="E72">
        <f t="shared" si="11"/>
        <v>738</v>
      </c>
      <c r="F72">
        <f t="shared" si="12"/>
        <v>1.6209231495857238E-2</v>
      </c>
      <c r="I72">
        <f t="shared" si="9"/>
        <v>0.65841706421971313</v>
      </c>
      <c r="K72">
        <f t="shared" si="13"/>
        <v>0.66785083695030201</v>
      </c>
      <c r="L72">
        <f t="shared" si="14"/>
        <v>-0.55387431482491545</v>
      </c>
      <c r="N72">
        <v>733.721</v>
      </c>
      <c r="O72">
        <f t="shared" si="15"/>
        <v>3.6686049999999999</v>
      </c>
      <c r="Q72">
        <v>698.03603999999996</v>
      </c>
      <c r="R72">
        <f t="shared" si="16"/>
        <v>3.4901801999999997</v>
      </c>
      <c r="T72">
        <v>725.06489999999997</v>
      </c>
      <c r="U72">
        <f t="shared" si="17"/>
        <v>3.6253244999999996</v>
      </c>
    </row>
    <row r="73" spans="1:21" x14ac:dyDescent="0.3">
      <c r="A73">
        <v>3.74</v>
      </c>
      <c r="B73">
        <f t="shared" si="10"/>
        <v>748</v>
      </c>
      <c r="C73">
        <v>0.57999999999999996</v>
      </c>
      <c r="D73" s="1">
        <v>2.084982767701149E-2</v>
      </c>
      <c r="E73">
        <f t="shared" si="11"/>
        <v>748</v>
      </c>
      <c r="F73">
        <f t="shared" si="12"/>
        <v>1.6349827677011489E-2</v>
      </c>
      <c r="I73">
        <f t="shared" si="9"/>
        <v>0.65797835551202288</v>
      </c>
      <c r="K73">
        <f t="shared" si="13"/>
        <v>0.66746125556468949</v>
      </c>
      <c r="L73">
        <f t="shared" si="14"/>
        <v>-0.55426389621052796</v>
      </c>
      <c r="N73">
        <v>744.21015999999997</v>
      </c>
      <c r="O73">
        <f t="shared" si="15"/>
        <v>3.7210508</v>
      </c>
      <c r="Q73">
        <v>708.75133000000005</v>
      </c>
      <c r="R73">
        <f t="shared" si="16"/>
        <v>3.5437566500000002</v>
      </c>
      <c r="T73">
        <v>735.85961999999995</v>
      </c>
      <c r="U73">
        <f t="shared" si="17"/>
        <v>3.6792980999999996</v>
      </c>
    </row>
    <row r="74" spans="1:21" x14ac:dyDescent="0.3">
      <c r="A74">
        <v>3.8</v>
      </c>
      <c r="B74">
        <f t="shared" si="10"/>
        <v>760</v>
      </c>
      <c r="C74">
        <v>0.57799999999999996</v>
      </c>
      <c r="D74" s="1">
        <v>2.1780027076601982E-2</v>
      </c>
      <c r="E74">
        <f t="shared" si="11"/>
        <v>760</v>
      </c>
      <c r="F74">
        <f t="shared" si="12"/>
        <v>1.7280027076601982E-2</v>
      </c>
      <c r="I74">
        <f t="shared" si="9"/>
        <v>0.66076410289108745</v>
      </c>
      <c r="K74">
        <f t="shared" si="13"/>
        <v>0.67075195854136338</v>
      </c>
      <c r="L74">
        <f t="shared" si="14"/>
        <v>-0.55097319323385407</v>
      </c>
      <c r="N74">
        <v>754.39383999999995</v>
      </c>
      <c r="O74">
        <f t="shared" si="15"/>
        <v>3.7719691999999996</v>
      </c>
      <c r="Q74">
        <v>718.58974000000001</v>
      </c>
      <c r="R74">
        <f t="shared" si="16"/>
        <v>3.5929487</v>
      </c>
      <c r="T74">
        <v>746.04322000000002</v>
      </c>
      <c r="U74">
        <f t="shared" si="17"/>
        <v>3.7302161000000003</v>
      </c>
    </row>
    <row r="75" spans="1:21" x14ac:dyDescent="0.3">
      <c r="A75">
        <v>3.85</v>
      </c>
      <c r="B75">
        <f t="shared" si="10"/>
        <v>770</v>
      </c>
      <c r="C75">
        <v>0.57499999999999996</v>
      </c>
      <c r="D75" s="1">
        <v>2.1630674600601196E-2</v>
      </c>
      <c r="E75">
        <f t="shared" si="11"/>
        <v>770</v>
      </c>
      <c r="F75">
        <f t="shared" si="12"/>
        <v>1.7130674600601196E-2</v>
      </c>
      <c r="I75">
        <f t="shared" si="9"/>
        <v>0.65827809721231456</v>
      </c>
      <c r="K75">
        <f t="shared" si="13"/>
        <v>0.66812823510766028</v>
      </c>
      <c r="L75">
        <f t="shared" si="14"/>
        <v>-0.55359691666755717</v>
      </c>
      <c r="N75">
        <v>764.57754</v>
      </c>
      <c r="O75">
        <f t="shared" si="15"/>
        <v>3.8228876999999999</v>
      </c>
      <c r="Q75">
        <v>728.33087999999998</v>
      </c>
      <c r="R75">
        <f t="shared" si="16"/>
        <v>3.6416543999999997</v>
      </c>
      <c r="T75">
        <v>756.53247999999996</v>
      </c>
      <c r="U75">
        <f t="shared" si="17"/>
        <v>3.7826624</v>
      </c>
    </row>
    <row r="76" spans="1:21" x14ac:dyDescent="0.3">
      <c r="A76">
        <v>3.9</v>
      </c>
      <c r="B76">
        <f t="shared" si="10"/>
        <v>780</v>
      </c>
      <c r="C76">
        <v>0.57299999999999995</v>
      </c>
      <c r="D76" s="1">
        <v>2.1522887051105499E-2</v>
      </c>
      <c r="E76">
        <f t="shared" si="11"/>
        <v>780</v>
      </c>
      <c r="F76">
        <f t="shared" si="12"/>
        <v>1.7022887051105499E-2</v>
      </c>
      <c r="I76">
        <f t="shared" si="9"/>
        <v>0.65693925949931142</v>
      </c>
      <c r="K76">
        <f t="shared" si="13"/>
        <v>0.66669337377959492</v>
      </c>
      <c r="L76">
        <f t="shared" si="14"/>
        <v>-0.55503177799562253</v>
      </c>
      <c r="N76">
        <v>774.86303999999996</v>
      </c>
      <c r="O76">
        <f t="shared" si="15"/>
        <v>3.8743151999999998</v>
      </c>
      <c r="Q76">
        <v>738.85130000000004</v>
      </c>
      <c r="R76">
        <f t="shared" si="16"/>
        <v>3.6942565000000003</v>
      </c>
      <c r="T76">
        <v>766.61429999999996</v>
      </c>
      <c r="U76">
        <f t="shared" si="17"/>
        <v>3.8330715</v>
      </c>
    </row>
    <row r="77" spans="1:21" x14ac:dyDescent="0.3">
      <c r="A77">
        <v>3.95</v>
      </c>
      <c r="B77">
        <f t="shared" si="10"/>
        <v>790</v>
      </c>
      <c r="C77">
        <v>0.56999999999999995</v>
      </c>
      <c r="D77" s="1">
        <v>2.0996369421482086E-2</v>
      </c>
      <c r="E77">
        <f t="shared" si="11"/>
        <v>790</v>
      </c>
      <c r="F77">
        <f t="shared" si="12"/>
        <v>1.6496369421482086E-2</v>
      </c>
      <c r="I77">
        <f t="shared" si="9"/>
        <v>0.65293565921485419</v>
      </c>
      <c r="K77">
        <f t="shared" si="13"/>
        <v>0.66233858978509896</v>
      </c>
      <c r="L77">
        <f t="shared" si="14"/>
        <v>-0.55938656199011849</v>
      </c>
      <c r="N77">
        <v>785.14847999999995</v>
      </c>
      <c r="O77">
        <f t="shared" si="15"/>
        <v>3.9257423999999999</v>
      </c>
      <c r="Q77">
        <v>748.68980999999997</v>
      </c>
      <c r="R77">
        <f t="shared" si="16"/>
        <v>3.7434490499999997</v>
      </c>
      <c r="T77">
        <v>776.89970000000005</v>
      </c>
      <c r="U77">
        <f t="shared" si="17"/>
        <v>3.8844985000000003</v>
      </c>
    </row>
    <row r="78" spans="1:21" x14ac:dyDescent="0.3">
      <c r="A78">
        <v>4</v>
      </c>
      <c r="B78">
        <f t="shared" si="10"/>
        <v>800</v>
      </c>
      <c r="C78">
        <v>0.56799999999999995</v>
      </c>
      <c r="D78" s="1">
        <v>2.1206527948379517E-2</v>
      </c>
      <c r="E78">
        <f t="shared" si="11"/>
        <v>800</v>
      </c>
      <c r="F78">
        <f t="shared" si="12"/>
        <v>1.6706527948379516E-2</v>
      </c>
      <c r="I78">
        <f t="shared" si="9"/>
        <v>0.65282611179351802</v>
      </c>
      <c r="K78">
        <f t="shared" si="13"/>
        <v>0.66231541966819762</v>
      </c>
      <c r="L78">
        <f t="shared" si="14"/>
        <v>-0.55940973210701983</v>
      </c>
      <c r="N78">
        <v>795.6377</v>
      </c>
      <c r="O78">
        <f t="shared" si="15"/>
        <v>3.9781884999999999</v>
      </c>
      <c r="Q78">
        <v>758.33352000000002</v>
      </c>
      <c r="R78">
        <f t="shared" si="16"/>
        <v>3.7916676000000002</v>
      </c>
      <c r="T78">
        <v>787.38896</v>
      </c>
      <c r="U78">
        <f t="shared" si="17"/>
        <v>3.9369448</v>
      </c>
    </row>
    <row r="79" spans="1:21" x14ac:dyDescent="0.3">
      <c r="A79">
        <v>4.05</v>
      </c>
      <c r="B79">
        <f t="shared" si="10"/>
        <v>810</v>
      </c>
      <c r="C79">
        <v>0.56499999999999995</v>
      </c>
      <c r="D79" s="1">
        <v>2.1287042647600174E-2</v>
      </c>
      <c r="E79">
        <f t="shared" si="11"/>
        <v>810</v>
      </c>
      <c r="F79">
        <f t="shared" si="12"/>
        <v>1.6787042647600173E-2</v>
      </c>
      <c r="I79">
        <f t="shared" si="9"/>
        <v>0.65121252272278063</v>
      </c>
      <c r="K79">
        <f t="shared" si="13"/>
        <v>0.66069720181867475</v>
      </c>
      <c r="L79">
        <f t="shared" si="14"/>
        <v>-0.5610279499565427</v>
      </c>
      <c r="N79">
        <v>806.12685999999997</v>
      </c>
      <c r="O79">
        <f t="shared" si="15"/>
        <v>4.0306343</v>
      </c>
      <c r="Q79">
        <v>767.97721999999999</v>
      </c>
      <c r="R79">
        <f t="shared" si="16"/>
        <v>3.8398860999999997</v>
      </c>
      <c r="T79">
        <v>797.57255999999995</v>
      </c>
      <c r="U79">
        <f t="shared" si="17"/>
        <v>3.9878627999999998</v>
      </c>
    </row>
    <row r="80" spans="1:21" x14ac:dyDescent="0.3">
      <c r="A80">
        <v>4.0999999999999996</v>
      </c>
      <c r="B80">
        <f t="shared" si="10"/>
        <v>819.99999999999989</v>
      </c>
      <c r="C80">
        <v>0.56299999999999994</v>
      </c>
      <c r="D80" s="1">
        <v>2.1569870412349701E-2</v>
      </c>
      <c r="E80">
        <f t="shared" si="11"/>
        <v>819.99999999999989</v>
      </c>
      <c r="F80">
        <f t="shared" si="12"/>
        <v>1.70698704123497E-2</v>
      </c>
      <c r="I80">
        <f t="shared" si="9"/>
        <v>0.65143646869063376</v>
      </c>
      <c r="K80">
        <f t="shared" si="13"/>
        <v>0.66104680573278662</v>
      </c>
      <c r="L80">
        <f t="shared" si="14"/>
        <v>-0.56067834604243083</v>
      </c>
      <c r="N80">
        <v>816.20870000000002</v>
      </c>
      <c r="O80">
        <f t="shared" si="15"/>
        <v>4.0810434999999998</v>
      </c>
      <c r="Q80">
        <v>777.62086999999997</v>
      </c>
      <c r="R80">
        <f t="shared" si="16"/>
        <v>3.8881043499999999</v>
      </c>
      <c r="T80">
        <v>807.85816</v>
      </c>
      <c r="U80">
        <f t="shared" si="17"/>
        <v>4.0392907999999998</v>
      </c>
    </row>
    <row r="81" spans="1:21" x14ac:dyDescent="0.3">
      <c r="A81">
        <v>4.16</v>
      </c>
      <c r="B81">
        <f t="shared" si="10"/>
        <v>832</v>
      </c>
      <c r="C81">
        <v>0.56100000000000005</v>
      </c>
      <c r="D81" s="1">
        <v>2.1351464092731476E-2</v>
      </c>
      <c r="E81">
        <f t="shared" si="11"/>
        <v>832</v>
      </c>
      <c r="F81">
        <f t="shared" si="12"/>
        <v>1.6851464092731475E-2</v>
      </c>
      <c r="I81">
        <f t="shared" si="9"/>
        <v>0.64982209062576302</v>
      </c>
      <c r="K81">
        <f t="shared" si="13"/>
        <v>0.65927576198178539</v>
      </c>
      <c r="L81">
        <f t="shared" si="14"/>
        <v>-0.56244938979343206</v>
      </c>
      <c r="N81">
        <v>826.49423999999999</v>
      </c>
      <c r="O81">
        <f t="shared" si="15"/>
        <v>4.1324712000000003</v>
      </c>
      <c r="Q81">
        <v>787.65428999999995</v>
      </c>
      <c r="R81">
        <f t="shared" si="16"/>
        <v>3.9382714499999998</v>
      </c>
      <c r="T81">
        <v>818.55097999999998</v>
      </c>
      <c r="U81">
        <f t="shared" si="17"/>
        <v>4.0927549000000001</v>
      </c>
    </row>
    <row r="82" spans="1:21" x14ac:dyDescent="0.3">
      <c r="A82">
        <v>4.21</v>
      </c>
      <c r="B82">
        <f t="shared" si="10"/>
        <v>842</v>
      </c>
      <c r="C82">
        <v>0.55800000000000005</v>
      </c>
      <c r="D82" s="1">
        <v>2.2199295461177826E-2</v>
      </c>
      <c r="E82">
        <f t="shared" si="11"/>
        <v>842</v>
      </c>
      <c r="F82">
        <f t="shared" si="12"/>
        <v>1.7699295461177825E-2</v>
      </c>
      <c r="I82">
        <f t="shared" si="9"/>
        <v>0.65145903389155868</v>
      </c>
      <c r="K82">
        <f t="shared" si="13"/>
        <v>0.66133524075889594</v>
      </c>
      <c r="L82">
        <f t="shared" si="14"/>
        <v>-0.56038991101632152</v>
      </c>
      <c r="N82">
        <v>836.57608000000005</v>
      </c>
      <c r="O82">
        <f t="shared" si="15"/>
        <v>4.1828804000000002</v>
      </c>
      <c r="Q82">
        <v>797.298</v>
      </c>
      <c r="R82">
        <f t="shared" si="16"/>
        <v>3.9864899999999999</v>
      </c>
      <c r="T82">
        <v>828.93838000000005</v>
      </c>
      <c r="U82">
        <f t="shared" si="17"/>
        <v>4.1446919000000007</v>
      </c>
    </row>
    <row r="83" spans="1:21" x14ac:dyDescent="0.3">
      <c r="A83">
        <v>4.26</v>
      </c>
      <c r="B83">
        <f t="shared" si="10"/>
        <v>852</v>
      </c>
      <c r="C83">
        <v>0.55600000000000005</v>
      </c>
      <c r="D83" s="1">
        <v>2.1349307149648666E-2</v>
      </c>
      <c r="E83">
        <f t="shared" si="11"/>
        <v>852</v>
      </c>
      <c r="F83">
        <f t="shared" si="12"/>
        <v>1.6849307149648666E-2</v>
      </c>
      <c r="I83">
        <f t="shared" si="9"/>
        <v>0.64694804845750342</v>
      </c>
      <c r="K83">
        <f t="shared" si="13"/>
        <v>0.65631626323270809</v>
      </c>
      <c r="L83">
        <f t="shared" si="14"/>
        <v>-0.56540888854250937</v>
      </c>
      <c r="N83">
        <v>846.65791999999999</v>
      </c>
      <c r="O83">
        <f t="shared" si="15"/>
        <v>4.2332896</v>
      </c>
      <c r="Q83">
        <v>807.52616999999998</v>
      </c>
      <c r="R83">
        <f t="shared" si="16"/>
        <v>4.0376308500000002</v>
      </c>
      <c r="T83">
        <v>839.12198000000001</v>
      </c>
      <c r="U83">
        <f t="shared" si="17"/>
        <v>4.1956099</v>
      </c>
    </row>
    <row r="84" spans="1:21" x14ac:dyDescent="0.3">
      <c r="A84">
        <v>4.3099999999999996</v>
      </c>
      <c r="B84">
        <f t="shared" si="10"/>
        <v>861.99999999999989</v>
      </c>
      <c r="C84">
        <v>0.55400000000000005</v>
      </c>
      <c r="D84" s="1">
        <v>2.1212978288531303E-2</v>
      </c>
      <c r="E84">
        <f t="shared" si="11"/>
        <v>861.99999999999989</v>
      </c>
      <c r="F84">
        <f t="shared" si="12"/>
        <v>1.6712978288531303E-2</v>
      </c>
      <c r="I84">
        <f t="shared" si="9"/>
        <v>0.64542793642356999</v>
      </c>
      <c r="K84">
        <f t="shared" si="13"/>
        <v>0.65468692639541637</v>
      </c>
      <c r="L84">
        <f t="shared" si="14"/>
        <v>-0.56703822537980109</v>
      </c>
      <c r="N84">
        <v>857.04521999999997</v>
      </c>
      <c r="O84">
        <f t="shared" si="15"/>
        <v>4.2852261</v>
      </c>
      <c r="Q84">
        <v>817.85170000000005</v>
      </c>
      <c r="R84">
        <f t="shared" si="16"/>
        <v>4.0892585000000006</v>
      </c>
      <c r="T84">
        <v>849.40751999999998</v>
      </c>
      <c r="U84">
        <f t="shared" si="17"/>
        <v>4.2470375999999996</v>
      </c>
    </row>
    <row r="85" spans="1:21" x14ac:dyDescent="0.3">
      <c r="A85">
        <v>4.37</v>
      </c>
      <c r="B85">
        <f t="shared" si="10"/>
        <v>874</v>
      </c>
      <c r="C85">
        <v>0.55100000000000005</v>
      </c>
      <c r="D85" s="1">
        <v>2.2336233407258987E-2</v>
      </c>
      <c r="E85">
        <f t="shared" si="11"/>
        <v>874</v>
      </c>
      <c r="F85">
        <f t="shared" si="12"/>
        <v>1.7836233407258987E-2</v>
      </c>
      <c r="I85">
        <f t="shared" si="9"/>
        <v>0.64860933998972181</v>
      </c>
      <c r="K85">
        <f t="shared" si="13"/>
        <v>0.65843710459712157</v>
      </c>
      <c r="L85">
        <f t="shared" si="14"/>
        <v>-0.56328804717809589</v>
      </c>
      <c r="N85">
        <v>867.73807999999997</v>
      </c>
      <c r="O85">
        <f t="shared" si="15"/>
        <v>4.3386903999999999</v>
      </c>
      <c r="Q85">
        <v>828.07987000000003</v>
      </c>
      <c r="R85">
        <f t="shared" si="16"/>
        <v>4.14039935</v>
      </c>
      <c r="T85">
        <v>859.48936000000003</v>
      </c>
      <c r="U85">
        <f t="shared" si="17"/>
        <v>4.2974468000000003</v>
      </c>
    </row>
    <row r="86" spans="1:21" x14ac:dyDescent="0.3">
      <c r="A86">
        <v>4.42</v>
      </c>
      <c r="B86">
        <f t="shared" si="10"/>
        <v>884</v>
      </c>
      <c r="C86">
        <v>0.54900000000000004</v>
      </c>
      <c r="D86" s="1">
        <v>2.0953355357050896E-2</v>
      </c>
      <c r="E86">
        <f t="shared" si="11"/>
        <v>884</v>
      </c>
      <c r="F86">
        <f t="shared" si="12"/>
        <v>1.6453355357050895E-2</v>
      </c>
      <c r="I86">
        <f t="shared" si="9"/>
        <v>0.64161383067816502</v>
      </c>
      <c r="K86">
        <f t="shared" si="13"/>
        <v>0.650646722769186</v>
      </c>
      <c r="L86">
        <f t="shared" si="14"/>
        <v>-0.57107842900603145</v>
      </c>
      <c r="N86">
        <v>877.81992000000002</v>
      </c>
      <c r="O86">
        <f t="shared" si="15"/>
        <v>4.3890995999999998</v>
      </c>
      <c r="Q86">
        <v>837.72357</v>
      </c>
      <c r="R86">
        <f t="shared" si="16"/>
        <v>4.18861785</v>
      </c>
      <c r="T86">
        <v>869.5711</v>
      </c>
      <c r="U86">
        <f t="shared" si="17"/>
        <v>4.3478554999999997</v>
      </c>
    </row>
    <row r="87" spans="1:21" x14ac:dyDescent="0.3">
      <c r="A87">
        <v>4.47</v>
      </c>
      <c r="B87">
        <f t="shared" si="10"/>
        <v>894</v>
      </c>
      <c r="C87">
        <v>0.54600000000000004</v>
      </c>
      <c r="D87" s="1">
        <v>2.2049251943826675E-2</v>
      </c>
      <c r="E87">
        <f t="shared" si="11"/>
        <v>894</v>
      </c>
      <c r="F87">
        <f t="shared" si="12"/>
        <v>1.7549251943826675E-2</v>
      </c>
      <c r="I87">
        <f t="shared" si="9"/>
        <v>0.64456015618890528</v>
      </c>
      <c r="K87">
        <f t="shared" si="13"/>
        <v>0.65414204775023466</v>
      </c>
      <c r="L87">
        <f t="shared" si="14"/>
        <v>-0.5675831040249828</v>
      </c>
      <c r="N87">
        <v>887.90175999999997</v>
      </c>
      <c r="O87">
        <f t="shared" si="15"/>
        <v>4.4395087999999996</v>
      </c>
      <c r="Q87">
        <v>847.36728000000005</v>
      </c>
      <c r="R87">
        <f t="shared" si="16"/>
        <v>4.2368364000000005</v>
      </c>
      <c r="T87">
        <v>880.06035999999995</v>
      </c>
      <c r="U87">
        <f t="shared" si="17"/>
        <v>4.4003017999999994</v>
      </c>
    </row>
    <row r="88" spans="1:21" x14ac:dyDescent="0.3">
      <c r="A88">
        <v>4.53</v>
      </c>
      <c r="B88">
        <f t="shared" si="10"/>
        <v>906</v>
      </c>
      <c r="C88">
        <v>0.54400000000000004</v>
      </c>
      <c r="D88" s="1">
        <v>2.1715734153985977E-2</v>
      </c>
      <c r="E88">
        <f t="shared" si="11"/>
        <v>906</v>
      </c>
      <c r="F88">
        <f t="shared" si="12"/>
        <v>1.7215734153985977E-2</v>
      </c>
      <c r="I88">
        <f t="shared" si="9"/>
        <v>0.64237227571755651</v>
      </c>
      <c r="K88">
        <f t="shared" si="13"/>
        <v>0.65173763509732485</v>
      </c>
      <c r="L88">
        <f t="shared" si="14"/>
        <v>-0.5699875166778926</v>
      </c>
      <c r="N88">
        <v>898.18730000000005</v>
      </c>
      <c r="O88">
        <f t="shared" si="15"/>
        <v>4.4909365000000001</v>
      </c>
      <c r="Q88">
        <v>857.79021999999998</v>
      </c>
      <c r="R88">
        <f t="shared" si="16"/>
        <v>4.2889511000000002</v>
      </c>
      <c r="T88">
        <v>890.44766000000004</v>
      </c>
      <c r="U88">
        <f t="shared" si="17"/>
        <v>4.4522383000000003</v>
      </c>
    </row>
    <row r="89" spans="1:21" x14ac:dyDescent="0.3">
      <c r="A89">
        <v>4.58</v>
      </c>
      <c r="B89">
        <f t="shared" si="10"/>
        <v>916</v>
      </c>
      <c r="C89">
        <v>0.54200000000000004</v>
      </c>
      <c r="D89" s="1">
        <v>2.1696174517273903E-2</v>
      </c>
      <c r="E89">
        <f t="shared" si="11"/>
        <v>916</v>
      </c>
      <c r="F89">
        <f t="shared" si="12"/>
        <v>1.7196174517273902E-2</v>
      </c>
      <c r="I89">
        <f t="shared" si="9"/>
        <v>0.64136847928911456</v>
      </c>
      <c r="K89">
        <f t="shared" si="13"/>
        <v>0.65068880587747702</v>
      </c>
      <c r="L89">
        <f t="shared" si="14"/>
        <v>-0.57103634589774044</v>
      </c>
      <c r="N89">
        <v>909.18564000000003</v>
      </c>
      <c r="O89">
        <f t="shared" si="15"/>
        <v>4.5459282000000005</v>
      </c>
      <c r="Q89">
        <v>867.72621000000004</v>
      </c>
      <c r="R89">
        <f t="shared" si="16"/>
        <v>4.33863105</v>
      </c>
      <c r="T89">
        <v>901.34414000000004</v>
      </c>
      <c r="U89">
        <f t="shared" si="17"/>
        <v>4.5067206999999998</v>
      </c>
    </row>
    <row r="90" spans="1:21" x14ac:dyDescent="0.3">
      <c r="A90">
        <v>4.63</v>
      </c>
      <c r="B90">
        <f t="shared" si="10"/>
        <v>926</v>
      </c>
      <c r="C90">
        <v>0.53900000000000003</v>
      </c>
      <c r="D90" s="1">
        <v>2.1906765177845955E-2</v>
      </c>
      <c r="E90">
        <f t="shared" si="11"/>
        <v>926</v>
      </c>
      <c r="F90">
        <f t="shared" si="12"/>
        <v>1.7406765177845954E-2</v>
      </c>
      <c r="I90">
        <f t="shared" si="9"/>
        <v>0.64042832277342676</v>
      </c>
      <c r="K90">
        <f t="shared" si="13"/>
        <v>0.6498105692042857</v>
      </c>
      <c r="L90">
        <f t="shared" si="14"/>
        <v>-0.57191458257093175</v>
      </c>
      <c r="N90">
        <v>919.87851999999998</v>
      </c>
      <c r="O90">
        <f t="shared" si="15"/>
        <v>4.5993925999999998</v>
      </c>
      <c r="Q90">
        <v>877.75953000000004</v>
      </c>
      <c r="R90">
        <f t="shared" si="16"/>
        <v>4.3887976499999999</v>
      </c>
      <c r="T90">
        <v>911.73154</v>
      </c>
      <c r="U90">
        <f t="shared" si="17"/>
        <v>4.5586577000000004</v>
      </c>
    </row>
    <row r="91" spans="1:21" x14ac:dyDescent="0.3">
      <c r="A91">
        <v>4.68</v>
      </c>
      <c r="B91">
        <f t="shared" si="10"/>
        <v>936</v>
      </c>
      <c r="C91">
        <v>0.53700000000000003</v>
      </c>
      <c r="D91" s="1">
        <v>2.1756090223789215E-2</v>
      </c>
      <c r="E91">
        <f t="shared" si="11"/>
        <v>936</v>
      </c>
      <c r="F91">
        <f t="shared" si="12"/>
        <v>1.7256090223789215E-2</v>
      </c>
      <c r="I91">
        <f t="shared" si="9"/>
        <v>0.63881850224733361</v>
      </c>
      <c r="K91">
        <f t="shared" si="13"/>
        <v>0.64808502269750845</v>
      </c>
      <c r="L91">
        <f t="shared" si="14"/>
        <v>-0.573640129077709</v>
      </c>
      <c r="N91">
        <v>930.06209999999999</v>
      </c>
      <c r="O91">
        <f t="shared" si="15"/>
        <v>4.6503104999999998</v>
      </c>
      <c r="Q91">
        <v>887.69543999999996</v>
      </c>
      <c r="R91">
        <f t="shared" si="16"/>
        <v>4.4384771999999995</v>
      </c>
      <c r="T91">
        <v>921.81338000000005</v>
      </c>
      <c r="U91">
        <f t="shared" si="17"/>
        <v>4.6090669000000002</v>
      </c>
    </row>
    <row r="92" spans="1:21" x14ac:dyDescent="0.3">
      <c r="A92">
        <v>4.7300000000000004</v>
      </c>
      <c r="B92">
        <f t="shared" si="10"/>
        <v>946.00000000000011</v>
      </c>
      <c r="C92">
        <v>0.53400000000000003</v>
      </c>
      <c r="D92" s="1">
        <v>2.2429488599300385E-2</v>
      </c>
      <c r="E92">
        <f t="shared" si="11"/>
        <v>946.00000000000011</v>
      </c>
      <c r="F92">
        <f t="shared" si="12"/>
        <v>1.7929488599300384E-2</v>
      </c>
      <c r="I92">
        <f t="shared" si="9"/>
        <v>0.64009148107469083</v>
      </c>
      <c r="K92">
        <f t="shared" si="13"/>
        <v>0.64966582798671724</v>
      </c>
      <c r="L92">
        <f t="shared" si="14"/>
        <v>-0.57205932378850022</v>
      </c>
      <c r="N92">
        <v>940.55125999999996</v>
      </c>
      <c r="O92">
        <f t="shared" si="15"/>
        <v>4.7027562999999999</v>
      </c>
      <c r="Q92">
        <v>897.53399000000002</v>
      </c>
      <c r="R92">
        <f t="shared" si="16"/>
        <v>4.4876699499999999</v>
      </c>
      <c r="T92">
        <v>932.70996000000002</v>
      </c>
      <c r="U92">
        <f t="shared" si="17"/>
        <v>4.6635498000000002</v>
      </c>
    </row>
    <row r="93" spans="1:21" x14ac:dyDescent="0.3">
      <c r="A93">
        <v>4.79</v>
      </c>
      <c r="B93">
        <f t="shared" si="10"/>
        <v>958</v>
      </c>
      <c r="C93">
        <v>0.53300000000000003</v>
      </c>
      <c r="D93" s="1">
        <v>2.15414147824049E-2</v>
      </c>
      <c r="E93">
        <f t="shared" si="11"/>
        <v>958</v>
      </c>
      <c r="F93">
        <f t="shared" si="12"/>
        <v>1.7041414782404899E-2</v>
      </c>
      <c r="I93">
        <f t="shared" si="9"/>
        <v>0.63618337680771953</v>
      </c>
      <c r="K93">
        <f t="shared" si="13"/>
        <v>0.64526645088674128</v>
      </c>
      <c r="L93">
        <f t="shared" si="14"/>
        <v>-0.57645870088847617</v>
      </c>
      <c r="N93">
        <v>952.16063999999994</v>
      </c>
      <c r="O93">
        <f t="shared" si="15"/>
        <v>4.7608031999999998</v>
      </c>
      <c r="Q93">
        <v>907.85950000000003</v>
      </c>
      <c r="R93">
        <f t="shared" si="16"/>
        <v>4.5392975</v>
      </c>
      <c r="T93">
        <v>942.99531999999999</v>
      </c>
      <c r="U93">
        <f t="shared" si="17"/>
        <v>4.7149766</v>
      </c>
    </row>
    <row r="94" spans="1:21" x14ac:dyDescent="0.3">
      <c r="A94">
        <v>4.84</v>
      </c>
      <c r="B94">
        <f t="shared" si="10"/>
        <v>968</v>
      </c>
      <c r="C94">
        <v>0.53</v>
      </c>
      <c r="D94" s="1">
        <v>2.2523378953337669E-2</v>
      </c>
      <c r="E94">
        <f t="shared" si="11"/>
        <v>968</v>
      </c>
      <c r="F94">
        <f t="shared" si="12"/>
        <v>1.8023378953337669E-2</v>
      </c>
      <c r="I94">
        <f t="shared" si="9"/>
        <v>0.63901315413415438</v>
      </c>
      <c r="K94">
        <f t="shared" si="13"/>
        <v>0.64856554497942331</v>
      </c>
      <c r="L94">
        <f t="shared" si="14"/>
        <v>-0.57315960679579414</v>
      </c>
      <c r="N94">
        <v>962.75166000000002</v>
      </c>
      <c r="O94">
        <f t="shared" si="15"/>
        <v>4.8137582999999999</v>
      </c>
      <c r="Q94">
        <v>917.69807000000003</v>
      </c>
      <c r="R94">
        <f t="shared" si="16"/>
        <v>4.5884903499999998</v>
      </c>
      <c r="T94">
        <v>953.07713999999999</v>
      </c>
      <c r="U94">
        <f t="shared" si="17"/>
        <v>4.7653856999999995</v>
      </c>
    </row>
    <row r="95" spans="1:21" x14ac:dyDescent="0.3">
      <c r="A95">
        <v>4.8899999999999997</v>
      </c>
      <c r="B95">
        <f t="shared" si="10"/>
        <v>977.99999999999989</v>
      </c>
      <c r="C95">
        <v>0.52800000000000002</v>
      </c>
      <c r="D95" s="1">
        <v>2.1605027839541435E-2</v>
      </c>
      <c r="E95">
        <f t="shared" si="11"/>
        <v>977.99999999999989</v>
      </c>
      <c r="F95">
        <f t="shared" si="12"/>
        <v>1.7105027839541435E-2</v>
      </c>
      <c r="I95">
        <f t="shared" si="9"/>
        <v>0.63364858613535768</v>
      </c>
      <c r="K95">
        <f t="shared" si="13"/>
        <v>0.64268004083463559</v>
      </c>
      <c r="L95">
        <f t="shared" si="14"/>
        <v>-0.57904511094058186</v>
      </c>
      <c r="N95">
        <v>973.54638</v>
      </c>
      <c r="O95">
        <f t="shared" si="15"/>
        <v>4.8677318999999999</v>
      </c>
      <c r="Q95">
        <v>928.60807</v>
      </c>
      <c r="R95">
        <f t="shared" si="16"/>
        <v>4.6430403499999997</v>
      </c>
      <c r="T95">
        <v>963.26084000000003</v>
      </c>
      <c r="U95">
        <f t="shared" si="17"/>
        <v>4.8163042000000003</v>
      </c>
    </row>
    <row r="96" spans="1:21" x14ac:dyDescent="0.3">
      <c r="A96">
        <v>4.9400000000000004</v>
      </c>
      <c r="B96">
        <f t="shared" si="10"/>
        <v>988.00000000000011</v>
      </c>
      <c r="C96">
        <v>0.52600000000000002</v>
      </c>
      <c r="D96" s="1">
        <v>2.2359063848853111E-2</v>
      </c>
      <c r="E96">
        <f t="shared" si="11"/>
        <v>988.00000000000011</v>
      </c>
      <c r="F96">
        <f t="shared" si="12"/>
        <v>1.7859063848853111E-2</v>
      </c>
      <c r="I96">
        <f t="shared" si="9"/>
        <v>0.63645377541333437</v>
      </c>
      <c r="K96">
        <f t="shared" si="13"/>
        <v>0.64584764299783115</v>
      </c>
      <c r="L96">
        <f t="shared" si="14"/>
        <v>-0.5758775087773863</v>
      </c>
      <c r="N96">
        <v>984.03563999999994</v>
      </c>
      <c r="O96">
        <f t="shared" si="15"/>
        <v>4.9201781999999996</v>
      </c>
      <c r="Q96">
        <v>938.25176999999996</v>
      </c>
      <c r="R96">
        <f t="shared" si="16"/>
        <v>4.6912588499999996</v>
      </c>
      <c r="T96">
        <v>973.75</v>
      </c>
      <c r="U96">
        <f t="shared" si="17"/>
        <v>4.8687500000000004</v>
      </c>
    </row>
    <row r="97" spans="1:21" x14ac:dyDescent="0.3">
      <c r="A97">
        <v>4.99</v>
      </c>
      <c r="B97">
        <f t="shared" si="10"/>
        <v>998</v>
      </c>
      <c r="C97">
        <v>0.52400000000000002</v>
      </c>
      <c r="D97" s="1">
        <v>2.1708402782678604E-2</v>
      </c>
      <c r="E97">
        <f t="shared" si="11"/>
        <v>998</v>
      </c>
      <c r="F97">
        <f t="shared" si="12"/>
        <v>1.7208402782678604E-2</v>
      </c>
      <c r="I97">
        <f t="shared" si="9"/>
        <v>0.63232492988556621</v>
      </c>
      <c r="K97">
        <f t="shared" si="13"/>
        <v>0.6413421329436898</v>
      </c>
      <c r="L97">
        <f t="shared" si="14"/>
        <v>-0.58038301883152765</v>
      </c>
      <c r="N97">
        <v>994.62656000000004</v>
      </c>
      <c r="O97">
        <f t="shared" si="15"/>
        <v>4.9731328000000001</v>
      </c>
      <c r="Q97">
        <v>947.89545999999996</v>
      </c>
      <c r="R97">
        <f t="shared" si="16"/>
        <v>4.7394772999999999</v>
      </c>
      <c r="T97">
        <v>983.93370000000004</v>
      </c>
      <c r="U97">
        <f t="shared" si="17"/>
        <v>4.9196685000000002</v>
      </c>
    </row>
    <row r="98" spans="1:21" x14ac:dyDescent="0.3">
      <c r="A98">
        <v>5.05</v>
      </c>
      <c r="B98">
        <f t="shared" si="10"/>
        <v>1010</v>
      </c>
      <c r="C98">
        <v>0.52100000000000002</v>
      </c>
      <c r="D98" s="1">
        <v>2.2254021838307381E-2</v>
      </c>
      <c r="E98">
        <f t="shared" si="11"/>
        <v>1010</v>
      </c>
      <c r="F98">
        <f t="shared" si="12"/>
        <v>1.775402183830738E-2</v>
      </c>
      <c r="I98">
        <f t="shared" si="9"/>
        <v>0.63338281028345234</v>
      </c>
      <c r="K98">
        <f t="shared" si="13"/>
        <v>0.64263265566121053</v>
      </c>
      <c r="L98">
        <f t="shared" si="14"/>
        <v>-0.57909249611400693</v>
      </c>
      <c r="N98">
        <v>1005.93038</v>
      </c>
      <c r="O98">
        <f t="shared" si="15"/>
        <v>5.0296519000000002</v>
      </c>
      <c r="Q98">
        <v>957.92877999999996</v>
      </c>
      <c r="R98">
        <f t="shared" si="16"/>
        <v>4.7896438999999997</v>
      </c>
      <c r="T98">
        <v>994.21924000000001</v>
      </c>
      <c r="U98">
        <f t="shared" si="17"/>
        <v>4.9710961999999999</v>
      </c>
    </row>
    <row r="99" spans="1:21" x14ac:dyDescent="0.3">
      <c r="A99">
        <v>5.0999999999999996</v>
      </c>
      <c r="B99">
        <f t="shared" si="10"/>
        <v>1019.9999999999999</v>
      </c>
      <c r="C99">
        <v>0.51900000000000002</v>
      </c>
      <c r="D99" s="1">
        <v>2.2036757320165634E-2</v>
      </c>
      <c r="E99">
        <f t="shared" si="11"/>
        <v>1019.9999999999999</v>
      </c>
      <c r="F99">
        <f t="shared" si="12"/>
        <v>1.7536757320165634E-2</v>
      </c>
      <c r="I99">
        <f t="shared" si="9"/>
        <v>0.63138746233284471</v>
      </c>
      <c r="K99">
        <f t="shared" si="13"/>
        <v>0.64048903938201063</v>
      </c>
      <c r="L99">
        <f t="shared" si="14"/>
        <v>-0.58123611239320683</v>
      </c>
      <c r="N99">
        <v>1016.52138</v>
      </c>
      <c r="O99">
        <f t="shared" si="15"/>
        <v>5.0826069</v>
      </c>
      <c r="Q99">
        <v>968.25431000000003</v>
      </c>
      <c r="R99">
        <f t="shared" si="16"/>
        <v>4.8412715500000001</v>
      </c>
      <c r="T99">
        <v>1004.30098</v>
      </c>
      <c r="U99">
        <f t="shared" si="17"/>
        <v>5.0215049</v>
      </c>
    </row>
    <row r="100" spans="1:21" x14ac:dyDescent="0.3">
      <c r="A100">
        <v>5.15</v>
      </c>
      <c r="B100">
        <f t="shared" si="10"/>
        <v>1030</v>
      </c>
      <c r="C100">
        <v>0.51700000000000002</v>
      </c>
      <c r="D100" s="1">
        <v>2.2387169301509857E-2</v>
      </c>
      <c r="E100">
        <f t="shared" si="11"/>
        <v>1030</v>
      </c>
      <c r="F100">
        <f t="shared" si="12"/>
        <v>1.7887169301509857E-2</v>
      </c>
      <c r="I100">
        <f t="shared" si="9"/>
        <v>0.63229392190277578</v>
      </c>
      <c r="K100">
        <f t="shared" si="13"/>
        <v>0.64154158843165643</v>
      </c>
      <c r="L100">
        <f t="shared" si="14"/>
        <v>-0.58018356334356103</v>
      </c>
      <c r="N100">
        <v>1027.31612</v>
      </c>
      <c r="O100">
        <f t="shared" si="15"/>
        <v>5.1365805999999994</v>
      </c>
      <c r="Q100">
        <v>978.48248000000001</v>
      </c>
      <c r="R100">
        <f t="shared" si="16"/>
        <v>4.8924124000000004</v>
      </c>
      <c r="T100">
        <v>1015.19756</v>
      </c>
      <c r="U100">
        <f t="shared" si="17"/>
        <v>5.0759878</v>
      </c>
    </row>
    <row r="101" spans="1:21" x14ac:dyDescent="0.3">
      <c r="A101">
        <v>5.21</v>
      </c>
      <c r="B101">
        <f t="shared" si="10"/>
        <v>1042</v>
      </c>
      <c r="C101">
        <v>0.51400000000000001</v>
      </c>
      <c r="D101" s="1">
        <v>2.2003279998898506E-2</v>
      </c>
      <c r="E101">
        <f t="shared" si="11"/>
        <v>1042</v>
      </c>
      <c r="F101">
        <f t="shared" si="12"/>
        <v>1.7503279998898506E-2</v>
      </c>
      <c r="I101">
        <f t="shared" si="9"/>
        <v>0.62863708879426117</v>
      </c>
      <c r="K101">
        <f t="shared" si="13"/>
        <v>0.63763377471369498</v>
      </c>
      <c r="L101">
        <f t="shared" si="14"/>
        <v>-0.58409137706152248</v>
      </c>
      <c r="N101">
        <v>1037.4998000000001</v>
      </c>
      <c r="O101">
        <f t="shared" si="15"/>
        <v>5.1874989999999999</v>
      </c>
      <c r="Q101">
        <v>988.22361999999998</v>
      </c>
      <c r="R101">
        <f t="shared" si="16"/>
        <v>4.9411180999999997</v>
      </c>
      <c r="T101">
        <v>1025.2795000000001</v>
      </c>
      <c r="U101">
        <f t="shared" si="17"/>
        <v>5.1263975000000004</v>
      </c>
    </row>
    <row r="102" spans="1:21" x14ac:dyDescent="0.3">
      <c r="A102">
        <v>5.26</v>
      </c>
      <c r="B102">
        <f t="shared" si="10"/>
        <v>1052</v>
      </c>
      <c r="C102">
        <v>0.51200000000000001</v>
      </c>
      <c r="D102" s="1">
        <v>2.2290784865617752E-2</v>
      </c>
      <c r="E102">
        <f t="shared" si="11"/>
        <v>1052</v>
      </c>
      <c r="F102">
        <f t="shared" si="12"/>
        <v>1.7790784865617752E-2</v>
      </c>
      <c r="I102">
        <f t="shared" si="9"/>
        <v>0.6292495283931494</v>
      </c>
      <c r="K102">
        <f t="shared" si="13"/>
        <v>0.6383584102443457</v>
      </c>
      <c r="L102">
        <f t="shared" si="14"/>
        <v>-0.58336674153087176</v>
      </c>
      <c r="N102">
        <v>1047.6833999999999</v>
      </c>
      <c r="O102">
        <f t="shared" si="15"/>
        <v>5.2384169999999992</v>
      </c>
      <c r="Q102">
        <v>997.96475999999996</v>
      </c>
      <c r="R102">
        <f t="shared" si="16"/>
        <v>4.9898237999999999</v>
      </c>
      <c r="T102">
        <v>1035.56484</v>
      </c>
      <c r="U102">
        <f t="shared" si="17"/>
        <v>5.1778241999999999</v>
      </c>
    </row>
    <row r="103" spans="1:21" x14ac:dyDescent="0.3">
      <c r="A103">
        <v>5.31</v>
      </c>
      <c r="B103">
        <f t="shared" si="10"/>
        <v>1062</v>
      </c>
      <c r="C103">
        <v>0.51</v>
      </c>
      <c r="D103" s="1">
        <v>2.2049127146601677E-2</v>
      </c>
      <c r="E103">
        <f t="shared" si="11"/>
        <v>1062</v>
      </c>
      <c r="F103">
        <f t="shared" si="12"/>
        <v>1.7549127146601676E-2</v>
      </c>
      <c r="I103">
        <f t="shared" si="9"/>
        <v>0.62708086514845496</v>
      </c>
      <c r="K103">
        <f t="shared" si="13"/>
        <v>0.63603091999322181</v>
      </c>
      <c r="L103">
        <f t="shared" si="14"/>
        <v>-0.58569423178199564</v>
      </c>
      <c r="N103">
        <v>1057.7653399999999</v>
      </c>
      <c r="O103">
        <f t="shared" si="15"/>
        <v>5.2888266999999995</v>
      </c>
      <c r="Q103">
        <v>1007.70588</v>
      </c>
      <c r="R103">
        <f t="shared" si="16"/>
        <v>5.0385293999999998</v>
      </c>
      <c r="T103">
        <v>1045.74854</v>
      </c>
      <c r="U103">
        <f t="shared" si="17"/>
        <v>5.2287427000000006</v>
      </c>
    </row>
    <row r="104" spans="1:21" x14ac:dyDescent="0.3">
      <c r="A104">
        <v>5.36</v>
      </c>
      <c r="B104">
        <f t="shared" si="10"/>
        <v>1072</v>
      </c>
      <c r="C104">
        <v>0.50800000000000001</v>
      </c>
      <c r="D104" s="1">
        <v>2.2027615457773209E-2</v>
      </c>
      <c r="E104">
        <f t="shared" si="11"/>
        <v>1072</v>
      </c>
      <c r="F104">
        <f t="shared" si="12"/>
        <v>1.7527615457773208E-2</v>
      </c>
      <c r="I104">
        <f t="shared" si="9"/>
        <v>0.62606801885366437</v>
      </c>
      <c r="K104">
        <f t="shared" si="13"/>
        <v>0.63497204750621317</v>
      </c>
      <c r="L104">
        <f t="shared" si="14"/>
        <v>-0.58675310426900429</v>
      </c>
      <c r="N104">
        <v>1069.3746000000001</v>
      </c>
      <c r="O104">
        <f t="shared" si="15"/>
        <v>5.3468730000000004</v>
      </c>
      <c r="Q104">
        <v>1017.73911</v>
      </c>
      <c r="R104">
        <f t="shared" si="16"/>
        <v>5.0886955499999997</v>
      </c>
      <c r="T104">
        <v>1055.9322199999999</v>
      </c>
      <c r="U104">
        <f t="shared" si="17"/>
        <v>5.2796610999999993</v>
      </c>
    </row>
    <row r="105" spans="1:21" x14ac:dyDescent="0.3">
      <c r="A105">
        <v>5.41</v>
      </c>
      <c r="B105">
        <f t="shared" si="10"/>
        <v>1082</v>
      </c>
      <c r="C105">
        <v>0.50600000000000001</v>
      </c>
      <c r="D105" s="1">
        <v>2.1767960861325264E-2</v>
      </c>
      <c r="E105">
        <f t="shared" si="11"/>
        <v>1082</v>
      </c>
      <c r="F105">
        <f t="shared" si="12"/>
        <v>1.7267960861325263E-2</v>
      </c>
      <c r="I105">
        <f t="shared" si="9"/>
        <v>0.62376466825976973</v>
      </c>
      <c r="K105">
        <f t="shared" si="13"/>
        <v>0.63250225645560032</v>
      </c>
      <c r="L105">
        <f t="shared" si="14"/>
        <v>-0.58922289531961713</v>
      </c>
      <c r="N105">
        <v>1079.7620199999999</v>
      </c>
      <c r="O105">
        <f t="shared" si="15"/>
        <v>5.3988100999999995</v>
      </c>
      <c r="Q105">
        <v>1027.77253</v>
      </c>
      <c r="R105">
        <f t="shared" si="16"/>
        <v>5.1388626500000001</v>
      </c>
      <c r="T105">
        <v>1066.01406</v>
      </c>
      <c r="U105">
        <f t="shared" si="17"/>
        <v>5.3300703</v>
      </c>
    </row>
    <row r="106" spans="1:21" x14ac:dyDescent="0.3">
      <c r="A106">
        <v>5.48</v>
      </c>
      <c r="B106">
        <f t="shared" si="10"/>
        <v>1096</v>
      </c>
      <c r="C106">
        <v>0.503</v>
      </c>
      <c r="D106" s="1">
        <v>2.2186625748872757E-2</v>
      </c>
      <c r="E106">
        <f t="shared" si="11"/>
        <v>1096</v>
      </c>
      <c r="F106">
        <f t="shared" si="12"/>
        <v>1.7686625748872756E-2</v>
      </c>
      <c r="I106">
        <f t="shared" si="9"/>
        <v>0.62458270910382274</v>
      </c>
      <c r="K106">
        <f t="shared" si="13"/>
        <v>0.63347908185550572</v>
      </c>
      <c r="L106">
        <f t="shared" si="14"/>
        <v>-0.58824606991971173</v>
      </c>
      <c r="N106">
        <v>1090.04756</v>
      </c>
      <c r="O106">
        <f t="shared" si="15"/>
        <v>5.4502378</v>
      </c>
      <c r="Q106">
        <v>1037.90319</v>
      </c>
      <c r="R106">
        <f t="shared" si="16"/>
        <v>5.1895159499999997</v>
      </c>
      <c r="T106">
        <v>1076.60518</v>
      </c>
      <c r="U106">
        <f t="shared" si="17"/>
        <v>5.3830258999999998</v>
      </c>
    </row>
    <row r="107" spans="1:21" x14ac:dyDescent="0.3">
      <c r="A107">
        <v>5.53</v>
      </c>
      <c r="B107">
        <f t="shared" si="10"/>
        <v>1106</v>
      </c>
      <c r="C107">
        <v>0.501</v>
      </c>
      <c r="D107" s="1">
        <v>2.234361320734024E-2</v>
      </c>
      <c r="E107">
        <f t="shared" si="11"/>
        <v>1106</v>
      </c>
      <c r="F107">
        <f t="shared" si="12"/>
        <v>1.784361320734024E-2</v>
      </c>
      <c r="I107">
        <f t="shared" si="9"/>
        <v>0.6245601810365915</v>
      </c>
      <c r="K107">
        <f t="shared" si="13"/>
        <v>0.63349983125346898</v>
      </c>
      <c r="L107">
        <f t="shared" si="14"/>
        <v>-0.58822532052174847</v>
      </c>
      <c r="N107">
        <v>1100.3330000000001</v>
      </c>
      <c r="O107">
        <f t="shared" si="15"/>
        <v>5.501665</v>
      </c>
      <c r="Q107">
        <v>1047.5469900000001</v>
      </c>
      <c r="R107">
        <f t="shared" si="16"/>
        <v>5.2377349500000001</v>
      </c>
      <c r="T107">
        <v>1087.5015599999999</v>
      </c>
      <c r="U107">
        <f t="shared" si="17"/>
        <v>5.4375077999999997</v>
      </c>
    </row>
    <row r="108" spans="1:21" x14ac:dyDescent="0.3">
      <c r="A108">
        <v>5.58</v>
      </c>
      <c r="B108">
        <f t="shared" si="10"/>
        <v>1116</v>
      </c>
      <c r="C108">
        <v>0.499</v>
      </c>
      <c r="D108" s="1">
        <v>2.194085530936718E-2</v>
      </c>
      <c r="E108">
        <f t="shared" si="11"/>
        <v>1116</v>
      </c>
      <c r="F108">
        <f t="shared" si="12"/>
        <v>1.7440855309367179E-2</v>
      </c>
      <c r="I108">
        <f t="shared" si="9"/>
        <v>0.62142997262626887</v>
      </c>
      <c r="K108">
        <f t="shared" si="13"/>
        <v>0.63013295942564307</v>
      </c>
      <c r="L108">
        <f t="shared" si="14"/>
        <v>-0.59159219234957439</v>
      </c>
      <c r="N108">
        <v>1111.53496</v>
      </c>
      <c r="O108">
        <f t="shared" si="15"/>
        <v>5.5576748</v>
      </c>
      <c r="Q108">
        <v>1057.1905999999999</v>
      </c>
      <c r="R108">
        <f t="shared" si="16"/>
        <v>5.2859529999999992</v>
      </c>
      <c r="T108">
        <v>1097.99082</v>
      </c>
      <c r="U108">
        <f t="shared" si="17"/>
        <v>5.4899541000000003</v>
      </c>
    </row>
    <row r="109" spans="1:21" x14ac:dyDescent="0.3">
      <c r="A109">
        <v>5.63</v>
      </c>
      <c r="B109">
        <f t="shared" si="10"/>
        <v>1126</v>
      </c>
      <c r="C109">
        <v>0.496</v>
      </c>
      <c r="D109" s="1">
        <v>2.266308106482029E-2</v>
      </c>
      <c r="E109">
        <f t="shared" si="11"/>
        <v>1126</v>
      </c>
      <c r="F109">
        <f t="shared" si="12"/>
        <v>1.8163081064820289E-2</v>
      </c>
      <c r="I109">
        <f t="shared" si="9"/>
        <v>0.62359314639493824</v>
      </c>
      <c r="K109">
        <f t="shared" si="13"/>
        <v>0.63260203460308906</v>
      </c>
      <c r="L109">
        <f t="shared" si="14"/>
        <v>-0.5891231171721284</v>
      </c>
      <c r="N109">
        <v>1122.12608</v>
      </c>
      <c r="O109">
        <f t="shared" si="15"/>
        <v>5.6106303999999998</v>
      </c>
      <c r="Q109">
        <v>1066.83429</v>
      </c>
      <c r="R109">
        <f t="shared" si="16"/>
        <v>5.3341714500000004</v>
      </c>
      <c r="T109">
        <v>1108.9891600000001</v>
      </c>
      <c r="U109">
        <f t="shared" si="17"/>
        <v>5.5449458000000007</v>
      </c>
    </row>
    <row r="110" spans="1:21" x14ac:dyDescent="0.3">
      <c r="A110">
        <v>5.69</v>
      </c>
      <c r="B110">
        <f t="shared" si="10"/>
        <v>1138</v>
      </c>
      <c r="C110">
        <v>0.49399999999999999</v>
      </c>
      <c r="D110" s="1">
        <v>2.2642260417342186E-2</v>
      </c>
      <c r="E110">
        <f t="shared" si="11"/>
        <v>1138</v>
      </c>
      <c r="F110">
        <f t="shared" si="12"/>
        <v>1.8142260417342185E-2</v>
      </c>
      <c r="I110">
        <f t="shared" si="9"/>
        <v>0.62283446177467705</v>
      </c>
      <c r="K110">
        <f t="shared" si="13"/>
        <v>0.63179673842084405</v>
      </c>
      <c r="L110">
        <f t="shared" si="14"/>
        <v>-0.5899284133543734</v>
      </c>
      <c r="N110">
        <v>1132.3097600000001</v>
      </c>
      <c r="O110">
        <f t="shared" si="15"/>
        <v>5.6615488000000003</v>
      </c>
      <c r="Q110">
        <v>1076.6728599999999</v>
      </c>
      <c r="R110">
        <f t="shared" si="16"/>
        <v>5.3833642999999993</v>
      </c>
      <c r="T110">
        <v>1119.37646</v>
      </c>
      <c r="U110">
        <f t="shared" si="17"/>
        <v>5.5968822999999999</v>
      </c>
    </row>
    <row r="111" spans="1:21" x14ac:dyDescent="0.3">
      <c r="A111">
        <v>5.74</v>
      </c>
      <c r="B111">
        <f t="shared" si="10"/>
        <v>1148</v>
      </c>
      <c r="C111">
        <v>0.49199999999999999</v>
      </c>
      <c r="D111" s="1">
        <v>2.1456046029925346E-2</v>
      </c>
      <c r="E111">
        <f t="shared" si="11"/>
        <v>1148</v>
      </c>
      <c r="F111">
        <f t="shared" si="12"/>
        <v>1.6956046029925346E-2</v>
      </c>
      <c r="I111">
        <f t="shared" si="9"/>
        <v>0.61515770421177152</v>
      </c>
      <c r="K111">
        <f t="shared" si="13"/>
        <v>0.62350007885849479</v>
      </c>
      <c r="L111">
        <f t="shared" si="14"/>
        <v>-0.59822507291672267</v>
      </c>
      <c r="N111">
        <v>1143.00254</v>
      </c>
      <c r="O111">
        <f t="shared" si="15"/>
        <v>5.7150126999999999</v>
      </c>
      <c r="Q111">
        <v>1086.41398</v>
      </c>
      <c r="R111">
        <f t="shared" si="16"/>
        <v>5.4320699000000001</v>
      </c>
      <c r="T111">
        <v>1129.66202</v>
      </c>
      <c r="U111">
        <f t="shared" si="17"/>
        <v>5.6483100999999998</v>
      </c>
    </row>
    <row r="112" spans="1:21" x14ac:dyDescent="0.3">
      <c r="A112">
        <v>5.79</v>
      </c>
      <c r="B112">
        <f t="shared" si="10"/>
        <v>1158</v>
      </c>
      <c r="C112">
        <v>0.49</v>
      </c>
      <c r="D112" s="1">
        <v>2.2721694782376289E-2</v>
      </c>
      <c r="E112">
        <f t="shared" si="11"/>
        <v>1158</v>
      </c>
      <c r="F112">
        <f t="shared" si="12"/>
        <v>1.8221694782376289E-2</v>
      </c>
      <c r="I112">
        <f t="shared" si="9"/>
        <v>0.62155861278995872</v>
      </c>
      <c r="K112">
        <f t="shared" si="13"/>
        <v>0.63048724323332306</v>
      </c>
      <c r="L112">
        <f t="shared" si="14"/>
        <v>-0.5912379085418944</v>
      </c>
      <c r="N112">
        <v>1153.08448</v>
      </c>
      <c r="O112">
        <f t="shared" si="15"/>
        <v>5.7654224000000003</v>
      </c>
      <c r="Q112">
        <v>1096.0575899999999</v>
      </c>
      <c r="R112">
        <f t="shared" si="16"/>
        <v>5.4802879499999992</v>
      </c>
      <c r="T112">
        <v>1140.1511800000001</v>
      </c>
      <c r="U112">
        <f t="shared" si="17"/>
        <v>5.7007559000000008</v>
      </c>
    </row>
    <row r="113" spans="1:21" x14ac:dyDescent="0.3">
      <c r="A113">
        <v>5.84</v>
      </c>
      <c r="B113">
        <f t="shared" si="10"/>
        <v>1168</v>
      </c>
      <c r="C113">
        <v>0.48799999999999999</v>
      </c>
      <c r="D113" s="1">
        <v>2.2836271673440933E-2</v>
      </c>
      <c r="E113">
        <f t="shared" si="11"/>
        <v>1168</v>
      </c>
      <c r="F113">
        <f t="shared" si="12"/>
        <v>1.8336271673440933E-2</v>
      </c>
      <c r="I113">
        <f t="shared" si="9"/>
        <v>0.62136382657289502</v>
      </c>
      <c r="K113">
        <f t="shared" si="13"/>
        <v>0.63031192714953421</v>
      </c>
      <c r="L113">
        <f t="shared" si="14"/>
        <v>-0.59141322462568324</v>
      </c>
      <c r="N113">
        <v>1164.2864199999999</v>
      </c>
      <c r="O113">
        <f t="shared" si="15"/>
        <v>5.8214320999999991</v>
      </c>
      <c r="Q113">
        <v>1106.5779600000001</v>
      </c>
      <c r="R113">
        <f t="shared" si="16"/>
        <v>5.5328898000000004</v>
      </c>
      <c r="T113">
        <v>1150.33476</v>
      </c>
      <c r="U113">
        <f t="shared" si="17"/>
        <v>5.7516737999999998</v>
      </c>
    </row>
    <row r="114" spans="1:21" x14ac:dyDescent="0.3">
      <c r="A114">
        <v>5.9</v>
      </c>
      <c r="B114">
        <f t="shared" si="10"/>
        <v>1180</v>
      </c>
      <c r="C114">
        <v>0.48499999999999999</v>
      </c>
      <c r="D114" s="1">
        <v>2.2560978308320045E-2</v>
      </c>
      <c r="E114">
        <f t="shared" si="11"/>
        <v>1180</v>
      </c>
      <c r="F114">
        <f t="shared" si="12"/>
        <v>1.8060978308320045E-2</v>
      </c>
      <c r="I114">
        <f t="shared" si="9"/>
        <v>0.61810977201908823</v>
      </c>
      <c r="K114">
        <f t="shared" si="13"/>
        <v>0.62686934649862347</v>
      </c>
      <c r="L114">
        <f t="shared" si="14"/>
        <v>-0.59485580527659399</v>
      </c>
      <c r="N114">
        <v>1174.77568</v>
      </c>
      <c r="O114">
        <f t="shared" si="15"/>
        <v>5.8738783999999997</v>
      </c>
      <c r="Q114">
        <v>1116.2217700000001</v>
      </c>
      <c r="R114">
        <f t="shared" si="16"/>
        <v>5.5811088500000006</v>
      </c>
      <c r="T114">
        <v>1160.4167</v>
      </c>
      <c r="U114">
        <f t="shared" si="17"/>
        <v>5.8020835000000002</v>
      </c>
    </row>
    <row r="115" spans="1:21" x14ac:dyDescent="0.3">
      <c r="A115">
        <v>5.95</v>
      </c>
      <c r="B115">
        <f t="shared" si="10"/>
        <v>1190</v>
      </c>
      <c r="C115">
        <v>0.48299999999999998</v>
      </c>
      <c r="D115" s="1">
        <v>2.2831900045275688E-2</v>
      </c>
      <c r="E115">
        <f t="shared" si="11"/>
        <v>1190</v>
      </c>
      <c r="F115">
        <f t="shared" si="12"/>
        <v>1.8331900045275688E-2</v>
      </c>
      <c r="I115">
        <f t="shared" si="9"/>
        <v>0.61884980526939037</v>
      </c>
      <c r="K115">
        <f t="shared" si="13"/>
        <v>0.6277041129912585</v>
      </c>
      <c r="L115">
        <f t="shared" si="14"/>
        <v>-0.59402103878395895</v>
      </c>
      <c r="N115">
        <v>1185.57032</v>
      </c>
      <c r="O115">
        <f t="shared" si="15"/>
        <v>5.9278516000000003</v>
      </c>
      <c r="Q115">
        <v>1126.06032</v>
      </c>
      <c r="R115">
        <f t="shared" si="16"/>
        <v>5.6303016000000001</v>
      </c>
      <c r="T115">
        <v>1171.0077200000001</v>
      </c>
      <c r="U115">
        <f t="shared" si="17"/>
        <v>5.8550386000000003</v>
      </c>
    </row>
    <row r="116" spans="1:21" x14ac:dyDescent="0.3">
      <c r="A116">
        <v>6</v>
      </c>
      <c r="B116">
        <f t="shared" si="10"/>
        <v>1200</v>
      </c>
      <c r="C116">
        <v>0.48099999999999998</v>
      </c>
      <c r="D116" s="1">
        <v>2.2245129570364952E-2</v>
      </c>
      <c r="E116">
        <f t="shared" si="11"/>
        <v>1200</v>
      </c>
      <c r="F116">
        <f t="shared" si="12"/>
        <v>1.7745129570364952E-2</v>
      </c>
      <c r="I116">
        <f t="shared" si="9"/>
        <v>0.6144707774221897</v>
      </c>
      <c r="K116">
        <f t="shared" si="13"/>
        <v>0.62300618474553526</v>
      </c>
      <c r="L116">
        <f t="shared" si="14"/>
        <v>-0.59871896702968219</v>
      </c>
      <c r="N116">
        <v>1195.6520599999999</v>
      </c>
      <c r="O116">
        <f t="shared" si="15"/>
        <v>5.9782602999999996</v>
      </c>
      <c r="Q116">
        <v>1136.9703300000001</v>
      </c>
      <c r="R116">
        <f t="shared" si="16"/>
        <v>5.6848516500000006</v>
      </c>
      <c r="T116">
        <v>1181.3950199999999</v>
      </c>
      <c r="U116">
        <f t="shared" si="17"/>
        <v>5.9069750999999995</v>
      </c>
    </row>
    <row r="117" spans="1:21" x14ac:dyDescent="0.3">
      <c r="A117">
        <v>6.05</v>
      </c>
      <c r="B117">
        <f t="shared" si="10"/>
        <v>1210</v>
      </c>
      <c r="C117">
        <v>0.47899999999999998</v>
      </c>
      <c r="D117" s="1">
        <v>2.2771291434764862E-2</v>
      </c>
      <c r="E117">
        <f t="shared" si="11"/>
        <v>1210</v>
      </c>
      <c r="F117">
        <f t="shared" si="12"/>
        <v>1.8271291434764862E-2</v>
      </c>
      <c r="I117">
        <f t="shared" si="9"/>
        <v>0.61676631318032737</v>
      </c>
      <c r="K117">
        <f t="shared" si="13"/>
        <v>0.62551826177757974</v>
      </c>
      <c r="L117">
        <f t="shared" si="14"/>
        <v>-0.59620688999763771</v>
      </c>
      <c r="N117">
        <v>1206.03946</v>
      </c>
      <c r="O117">
        <f t="shared" si="15"/>
        <v>6.0301973000000002</v>
      </c>
      <c r="Q117">
        <v>1146.9062200000001</v>
      </c>
      <c r="R117">
        <f t="shared" si="16"/>
        <v>5.7345311000000008</v>
      </c>
      <c r="T117">
        <v>1192.1896400000001</v>
      </c>
      <c r="U117">
        <f t="shared" si="17"/>
        <v>5.9609482000000007</v>
      </c>
    </row>
    <row r="118" spans="1:21" x14ac:dyDescent="0.3">
      <c r="A118">
        <v>6.11</v>
      </c>
      <c r="B118">
        <f t="shared" si="10"/>
        <v>1222</v>
      </c>
      <c r="C118">
        <v>0.47699999999999998</v>
      </c>
      <c r="D118" s="1">
        <v>2.2821690887212753E-2</v>
      </c>
      <c r="E118">
        <f t="shared" si="11"/>
        <v>1222</v>
      </c>
      <c r="F118">
        <f t="shared" si="12"/>
        <v>1.8321690887212753E-2</v>
      </c>
      <c r="I118">
        <f t="shared" si="9"/>
        <v>0.61644053132086984</v>
      </c>
      <c r="K118">
        <f t="shared" si="13"/>
        <v>0.62517997787407031</v>
      </c>
      <c r="L118">
        <f t="shared" si="14"/>
        <v>-0.59654517390114714</v>
      </c>
      <c r="N118">
        <v>1216.2231400000001</v>
      </c>
      <c r="O118">
        <f t="shared" si="15"/>
        <v>6.0811157000000007</v>
      </c>
      <c r="Q118">
        <v>1156.5499299999999</v>
      </c>
      <c r="R118">
        <f t="shared" si="16"/>
        <v>5.7827496499999995</v>
      </c>
      <c r="T118">
        <v>1202.2714800000001</v>
      </c>
      <c r="U118">
        <f t="shared" si="17"/>
        <v>6.0113574000000005</v>
      </c>
    </row>
    <row r="119" spans="1:21" x14ac:dyDescent="0.3">
      <c r="A119">
        <v>6.16</v>
      </c>
      <c r="B119">
        <f t="shared" si="10"/>
        <v>1232</v>
      </c>
      <c r="C119">
        <v>0.47399999999999998</v>
      </c>
      <c r="D119" s="1">
        <v>2.2332519292831421E-2</v>
      </c>
      <c r="E119">
        <f t="shared" si="11"/>
        <v>1232</v>
      </c>
      <c r="F119">
        <f t="shared" si="12"/>
        <v>1.783251929283142E-2</v>
      </c>
      <c r="I119">
        <f t="shared" si="9"/>
        <v>0.61156831884384155</v>
      </c>
      <c r="K119">
        <f t="shared" si="13"/>
        <v>0.62002093298864369</v>
      </c>
      <c r="L119">
        <f t="shared" si="14"/>
        <v>-0.60170421878657376</v>
      </c>
      <c r="N119">
        <v>1226.4067399999999</v>
      </c>
      <c r="O119">
        <f t="shared" si="15"/>
        <v>6.1320336999999991</v>
      </c>
      <c r="Q119">
        <v>1166.68076</v>
      </c>
      <c r="R119">
        <f t="shared" si="16"/>
        <v>5.8334038000000001</v>
      </c>
      <c r="T119">
        <v>1212.8625</v>
      </c>
      <c r="U119">
        <f t="shared" si="17"/>
        <v>6.0643124999999998</v>
      </c>
    </row>
    <row r="120" spans="1:21" x14ac:dyDescent="0.3">
      <c r="A120">
        <v>6.21</v>
      </c>
      <c r="B120">
        <f t="shared" si="10"/>
        <v>1242</v>
      </c>
      <c r="C120">
        <v>0.47299999999999998</v>
      </c>
      <c r="D120" s="1">
        <v>2.3083848878741264E-2</v>
      </c>
      <c r="E120">
        <f t="shared" si="11"/>
        <v>1242</v>
      </c>
      <c r="F120">
        <f t="shared" si="12"/>
        <v>1.8583848878741264E-2</v>
      </c>
      <c r="I120">
        <f t="shared" si="9"/>
        <v>0.61635070153698324</v>
      </c>
      <c r="K120">
        <f t="shared" si="13"/>
        <v>0.62514086205662789</v>
      </c>
      <c r="L120">
        <f t="shared" si="14"/>
        <v>-0.59658428971858957</v>
      </c>
      <c r="N120">
        <v>1236.4886799999999</v>
      </c>
      <c r="O120">
        <f t="shared" si="15"/>
        <v>6.1824433999999995</v>
      </c>
      <c r="Q120">
        <v>1176.4217100000001</v>
      </c>
      <c r="R120">
        <f t="shared" si="16"/>
        <v>5.8821085500000008</v>
      </c>
      <c r="T120">
        <v>1222.94434</v>
      </c>
      <c r="U120">
        <f t="shared" si="17"/>
        <v>6.1147217000000005</v>
      </c>
    </row>
    <row r="121" spans="1:21" x14ac:dyDescent="0.3">
      <c r="A121">
        <v>6.27</v>
      </c>
      <c r="B121">
        <f t="shared" si="10"/>
        <v>1254</v>
      </c>
      <c r="C121">
        <v>0.47</v>
      </c>
      <c r="D121" s="1">
        <v>2.2485846653580666E-2</v>
      </c>
      <c r="E121">
        <f t="shared" si="11"/>
        <v>1254</v>
      </c>
      <c r="F121">
        <f t="shared" si="12"/>
        <v>1.7985846653580665E-2</v>
      </c>
      <c r="I121">
        <f t="shared" si="9"/>
        <v>0.61098625851795074</v>
      </c>
      <c r="K121">
        <f t="shared" si="13"/>
        <v>0.61943960644513363</v>
      </c>
      <c r="L121">
        <f t="shared" si="14"/>
        <v>-0.60228554533008383</v>
      </c>
      <c r="N121">
        <v>1247.0796800000001</v>
      </c>
      <c r="O121">
        <f t="shared" si="15"/>
        <v>6.2353984000000002</v>
      </c>
      <c r="Q121">
        <v>1186.35779</v>
      </c>
      <c r="R121">
        <f t="shared" si="16"/>
        <v>5.9317889500000005</v>
      </c>
      <c r="T121">
        <v>1233.9426800000001</v>
      </c>
      <c r="U121">
        <f t="shared" si="17"/>
        <v>6.1697134000000009</v>
      </c>
    </row>
    <row r="122" spans="1:21" x14ac:dyDescent="0.3">
      <c r="A122">
        <v>6.32</v>
      </c>
      <c r="B122">
        <f t="shared" si="10"/>
        <v>1264</v>
      </c>
      <c r="C122">
        <v>0.46800000000000003</v>
      </c>
      <c r="D122" s="1">
        <v>2.3159187287092209E-2</v>
      </c>
      <c r="E122">
        <f t="shared" si="11"/>
        <v>1264</v>
      </c>
      <c r="F122">
        <f t="shared" si="12"/>
        <v>1.8659187287092208E-2</v>
      </c>
      <c r="I122">
        <f t="shared" si="9"/>
        <v>0.61436606365442281</v>
      </c>
      <c r="K122">
        <f t="shared" si="13"/>
        <v>0.62309856330478197</v>
      </c>
      <c r="L122">
        <f t="shared" si="14"/>
        <v>-0.59862658847043548</v>
      </c>
      <c r="N122">
        <v>1257.3650399999999</v>
      </c>
      <c r="O122">
        <f t="shared" si="15"/>
        <v>6.2868251999999991</v>
      </c>
      <c r="Q122">
        <v>1196.0013100000001</v>
      </c>
      <c r="R122">
        <f t="shared" si="16"/>
        <v>5.9800065500000006</v>
      </c>
      <c r="T122">
        <v>1244.22812</v>
      </c>
      <c r="U122">
        <f t="shared" si="17"/>
        <v>6.2211406</v>
      </c>
    </row>
    <row r="123" spans="1:21" x14ac:dyDescent="0.3">
      <c r="A123">
        <v>6.37</v>
      </c>
      <c r="B123">
        <f t="shared" si="10"/>
        <v>1274</v>
      </c>
      <c r="C123">
        <v>0.46600000000000003</v>
      </c>
      <c r="D123" s="1">
        <v>2.3081380873918533E-2</v>
      </c>
      <c r="E123">
        <f t="shared" si="11"/>
        <v>1274</v>
      </c>
      <c r="F123">
        <f t="shared" si="12"/>
        <v>1.8581380873918533E-2</v>
      </c>
      <c r="I123">
        <f t="shared" si="9"/>
        <v>0.61302839616686111</v>
      </c>
      <c r="K123">
        <f t="shared" si="13"/>
        <v>0.62168731965410717</v>
      </c>
      <c r="L123">
        <f t="shared" si="14"/>
        <v>-0.60003783212111028</v>
      </c>
      <c r="N123">
        <v>1267.54874</v>
      </c>
      <c r="O123">
        <f t="shared" si="15"/>
        <v>6.3377436999999999</v>
      </c>
      <c r="Q123">
        <v>1205.74254</v>
      </c>
      <c r="R123">
        <f t="shared" si="16"/>
        <v>6.0287126999999998</v>
      </c>
      <c r="T123">
        <v>1254.30996</v>
      </c>
      <c r="U123">
        <f t="shared" si="17"/>
        <v>6.2715497999999998</v>
      </c>
    </row>
    <row r="124" spans="1:21" x14ac:dyDescent="0.3">
      <c r="A124">
        <v>6.42</v>
      </c>
      <c r="B124">
        <f t="shared" si="10"/>
        <v>1284</v>
      </c>
      <c r="C124">
        <v>0.46400000000000002</v>
      </c>
      <c r="D124" s="1">
        <v>2.2287413477897644E-2</v>
      </c>
      <c r="E124">
        <f t="shared" si="11"/>
        <v>1284</v>
      </c>
      <c r="F124">
        <f t="shared" si="12"/>
        <v>1.7787413477897644E-2</v>
      </c>
      <c r="I124">
        <f t="shared" si="9"/>
        <v>0.60708519452810283</v>
      </c>
      <c r="K124">
        <f t="shared" si="13"/>
        <v>0.61533855438184737</v>
      </c>
      <c r="L124">
        <f t="shared" si="14"/>
        <v>-0.60638659739337009</v>
      </c>
      <c r="N124">
        <v>1277.93604</v>
      </c>
      <c r="O124">
        <f t="shared" si="15"/>
        <v>6.3896801999999999</v>
      </c>
      <c r="Q124">
        <v>1215.87318</v>
      </c>
      <c r="R124">
        <f t="shared" si="16"/>
        <v>6.0793659</v>
      </c>
      <c r="T124">
        <v>1264.4936600000001</v>
      </c>
      <c r="U124">
        <f t="shared" si="17"/>
        <v>6.3224683000000006</v>
      </c>
    </row>
    <row r="125" spans="1:21" x14ac:dyDescent="0.3">
      <c r="A125">
        <v>6.47</v>
      </c>
      <c r="B125">
        <f t="shared" si="10"/>
        <v>1294</v>
      </c>
      <c r="C125">
        <v>0.46200000000000002</v>
      </c>
      <c r="D125" s="1">
        <v>2.303110808134079E-2</v>
      </c>
      <c r="E125">
        <f t="shared" si="11"/>
        <v>1294</v>
      </c>
      <c r="F125">
        <f t="shared" si="12"/>
        <v>1.8531108081340789E-2</v>
      </c>
      <c r="I125">
        <f t="shared" si="9"/>
        <v>0.61101126928627492</v>
      </c>
      <c r="K125">
        <f t="shared" si="13"/>
        <v>0.61957264121985434</v>
      </c>
      <c r="L125">
        <f t="shared" si="14"/>
        <v>-0.60215251055536312</v>
      </c>
      <c r="N125">
        <v>1288.6289999999999</v>
      </c>
      <c r="O125">
        <f t="shared" si="15"/>
        <v>6.4431449999999995</v>
      </c>
      <c r="Q125">
        <v>1225.80909</v>
      </c>
      <c r="R125">
        <f t="shared" si="16"/>
        <v>6.1290454499999996</v>
      </c>
      <c r="T125">
        <v>1274.88096</v>
      </c>
      <c r="U125">
        <f t="shared" si="17"/>
        <v>6.3744047999999998</v>
      </c>
    </row>
    <row r="126" spans="1:21" x14ac:dyDescent="0.3">
      <c r="A126">
        <v>6.53</v>
      </c>
      <c r="B126">
        <f t="shared" si="10"/>
        <v>1306</v>
      </c>
      <c r="C126">
        <v>0.46</v>
      </c>
      <c r="D126" s="1">
        <v>2.348831482231617E-2</v>
      </c>
      <c r="E126">
        <f t="shared" si="11"/>
        <v>1306</v>
      </c>
      <c r="F126">
        <f t="shared" si="12"/>
        <v>1.8988314822316169E-2</v>
      </c>
      <c r="I126">
        <f t="shared" si="9"/>
        <v>0.61337869578972459</v>
      </c>
      <c r="K126">
        <f t="shared" si="13"/>
        <v>0.62211332060799007</v>
      </c>
      <c r="L126">
        <f t="shared" si="14"/>
        <v>-0.59961183116722738</v>
      </c>
      <c r="N126">
        <v>1299.11816</v>
      </c>
      <c r="O126">
        <f t="shared" si="15"/>
        <v>6.4955907999999996</v>
      </c>
      <c r="Q126">
        <v>1236.03736</v>
      </c>
      <c r="R126">
        <f t="shared" si="16"/>
        <v>6.1801868000000004</v>
      </c>
      <c r="T126">
        <v>1284.9628</v>
      </c>
      <c r="U126">
        <f t="shared" si="17"/>
        <v>6.4248140000000005</v>
      </c>
    </row>
    <row r="127" spans="1:21" x14ac:dyDescent="0.3">
      <c r="A127">
        <v>6.58</v>
      </c>
      <c r="B127">
        <f t="shared" si="10"/>
        <v>1316</v>
      </c>
      <c r="C127">
        <v>0.45800000000000002</v>
      </c>
      <c r="D127" s="1">
        <v>2.2629233077168465E-2</v>
      </c>
      <c r="E127">
        <f t="shared" si="11"/>
        <v>1316</v>
      </c>
      <c r="F127">
        <f t="shared" si="12"/>
        <v>1.8129233077168464E-2</v>
      </c>
      <c r="I127">
        <f t="shared" si="9"/>
        <v>0.60690035364776851</v>
      </c>
      <c r="K127">
        <f t="shared" si="13"/>
        <v>0.61520354239711161</v>
      </c>
      <c r="L127">
        <f t="shared" si="14"/>
        <v>-0.60652160937810584</v>
      </c>
      <c r="N127">
        <v>1309.40362</v>
      </c>
      <c r="O127">
        <f t="shared" si="15"/>
        <v>6.5470180999999998</v>
      </c>
      <c r="Q127">
        <v>1246.16812</v>
      </c>
      <c r="R127">
        <f t="shared" si="16"/>
        <v>6.2308406000000005</v>
      </c>
      <c r="T127">
        <v>1295.6556599999999</v>
      </c>
      <c r="U127">
        <f t="shared" si="17"/>
        <v>6.4782782999999995</v>
      </c>
    </row>
    <row r="128" spans="1:21" x14ac:dyDescent="0.3">
      <c r="A128">
        <v>6.63</v>
      </c>
      <c r="B128">
        <f t="shared" si="10"/>
        <v>1326</v>
      </c>
      <c r="C128">
        <v>0.45500000000000002</v>
      </c>
      <c r="D128" s="1">
        <v>2.3756466805934906E-2</v>
      </c>
      <c r="E128">
        <f t="shared" si="11"/>
        <v>1326</v>
      </c>
      <c r="F128">
        <f t="shared" si="12"/>
        <v>1.9256466805934905E-2</v>
      </c>
      <c r="I128">
        <f t="shared" si="9"/>
        <v>0.61250537492334844</v>
      </c>
      <c r="K128">
        <f t="shared" si="13"/>
        <v>0.62126706732004888</v>
      </c>
      <c r="L128">
        <f t="shared" si="14"/>
        <v>-0.60045808445516857</v>
      </c>
      <c r="N128">
        <v>1320.1983399999999</v>
      </c>
      <c r="O128">
        <f t="shared" si="15"/>
        <v>6.6009916999999998</v>
      </c>
      <c r="Q128">
        <v>1256.3962100000001</v>
      </c>
      <c r="R128">
        <f t="shared" si="16"/>
        <v>6.2819810500000006</v>
      </c>
      <c r="T128">
        <v>1305.7375</v>
      </c>
      <c r="U128">
        <f t="shared" si="17"/>
        <v>6.5286875000000002</v>
      </c>
    </row>
    <row r="129" spans="1:21" x14ac:dyDescent="0.3">
      <c r="A129">
        <v>6.68</v>
      </c>
      <c r="B129">
        <f t="shared" si="10"/>
        <v>1336</v>
      </c>
      <c r="C129">
        <v>0.45300000000000001</v>
      </c>
      <c r="D129" s="1">
        <v>2.2980403155088425E-2</v>
      </c>
      <c r="E129">
        <f t="shared" si="11"/>
        <v>1336</v>
      </c>
      <c r="F129">
        <f t="shared" si="12"/>
        <v>1.8480403155088424E-2</v>
      </c>
      <c r="I129">
        <f t="shared" si="9"/>
        <v>0.60650909307599066</v>
      </c>
      <c r="K129">
        <f t="shared" si="13"/>
        <v>0.61488071570524572</v>
      </c>
      <c r="L129">
        <f t="shared" si="14"/>
        <v>-0.60684443606997174</v>
      </c>
      <c r="N129">
        <v>1330.6875</v>
      </c>
      <c r="O129">
        <f t="shared" si="15"/>
        <v>6.6534374999999999</v>
      </c>
      <c r="Q129">
        <v>1266.3322900000001</v>
      </c>
      <c r="R129">
        <f t="shared" si="16"/>
        <v>6.3316614500000004</v>
      </c>
      <c r="T129">
        <v>1316.3284200000001</v>
      </c>
      <c r="U129">
        <f t="shared" si="17"/>
        <v>6.5816420999999998</v>
      </c>
    </row>
    <row r="130" spans="1:21" x14ac:dyDescent="0.3">
      <c r="A130">
        <v>6.73</v>
      </c>
      <c r="B130">
        <f t="shared" si="10"/>
        <v>1346</v>
      </c>
      <c r="C130">
        <v>0.45100000000000001</v>
      </c>
      <c r="D130" s="1">
        <v>2.2842656821012497E-2</v>
      </c>
      <c r="E130">
        <f t="shared" si="11"/>
        <v>1346</v>
      </c>
      <c r="F130">
        <f t="shared" si="12"/>
        <v>1.8342656821012496E-2</v>
      </c>
      <c r="I130">
        <f t="shared" ref="I130:I193" si="18">C130+(D130*A130)</f>
        <v>0.60473108040541412</v>
      </c>
      <c r="K130">
        <f t="shared" si="13"/>
        <v>0.61300361863169073</v>
      </c>
      <c r="L130">
        <f t="shared" si="14"/>
        <v>-0.60872153314352673</v>
      </c>
      <c r="N130">
        <v>1341.1766600000001</v>
      </c>
      <c r="O130">
        <f t="shared" si="15"/>
        <v>6.7058833</v>
      </c>
      <c r="Q130">
        <v>1276.75514</v>
      </c>
      <c r="R130">
        <f t="shared" si="16"/>
        <v>6.3837757000000002</v>
      </c>
      <c r="T130">
        <v>1326.6140600000001</v>
      </c>
      <c r="U130">
        <f t="shared" si="17"/>
        <v>6.6330703000000009</v>
      </c>
    </row>
    <row r="131" spans="1:21" x14ac:dyDescent="0.3">
      <c r="A131">
        <v>6.78</v>
      </c>
      <c r="B131">
        <f t="shared" ref="B131:B194" si="19">A131*200</f>
        <v>1356</v>
      </c>
      <c r="C131">
        <v>0.44900000000000001</v>
      </c>
      <c r="D131" s="1">
        <v>2.3348214104771614E-2</v>
      </c>
      <c r="E131">
        <f t="shared" ref="E131:E194" si="20">B131</f>
        <v>1356</v>
      </c>
      <c r="F131">
        <f t="shared" ref="F131:F194" si="21">D131-0.0045</f>
        <v>1.8848214104771614E-2</v>
      </c>
      <c r="I131">
        <f t="shared" si="18"/>
        <v>0.6073008916303515</v>
      </c>
      <c r="K131">
        <f t="shared" ref="K131:K194" si="22">I131+(F131*C131)</f>
        <v>0.61576373976339394</v>
      </c>
      <c r="L131">
        <f t="shared" ref="L131:L194" si="23">K131-$I$1</f>
        <v>-0.60596141201182352</v>
      </c>
      <c r="N131">
        <v>1352.48046</v>
      </c>
      <c r="O131">
        <f t="shared" ref="O131:O194" si="24">N131/200</f>
        <v>6.7624022999999998</v>
      </c>
      <c r="Q131">
        <v>1286.5936899999999</v>
      </c>
      <c r="R131">
        <f t="shared" ref="R131:R186" si="25">Q131/200</f>
        <v>6.4329684499999997</v>
      </c>
      <c r="T131">
        <v>1336.8996</v>
      </c>
      <c r="U131">
        <f t="shared" ref="U131:U137" si="26">T131/200</f>
        <v>6.6844979999999996</v>
      </c>
    </row>
    <row r="132" spans="1:21" x14ac:dyDescent="0.3">
      <c r="A132">
        <v>6.83</v>
      </c>
      <c r="B132">
        <f t="shared" si="19"/>
        <v>1366</v>
      </c>
      <c r="C132">
        <v>0.44700000000000001</v>
      </c>
      <c r="D132" s="1">
        <v>2.255835197865963E-2</v>
      </c>
      <c r="E132">
        <f t="shared" si="20"/>
        <v>1366</v>
      </c>
      <c r="F132">
        <f t="shared" si="21"/>
        <v>1.8058351978659629E-2</v>
      </c>
      <c r="I132">
        <f t="shared" si="18"/>
        <v>0.60107354401424529</v>
      </c>
      <c r="K132">
        <f t="shared" si="22"/>
        <v>0.60914562734870614</v>
      </c>
      <c r="L132">
        <f t="shared" si="23"/>
        <v>-0.61257952442651131</v>
      </c>
      <c r="N132">
        <v>1362.5623000000001</v>
      </c>
      <c r="O132">
        <f t="shared" si="24"/>
        <v>6.8128115000000005</v>
      </c>
      <c r="Q132">
        <v>1296.82179</v>
      </c>
      <c r="R132">
        <f t="shared" si="25"/>
        <v>6.4841089499999995</v>
      </c>
      <c r="T132">
        <v>1347.0833</v>
      </c>
      <c r="U132">
        <f t="shared" si="26"/>
        <v>6.7354165000000004</v>
      </c>
    </row>
    <row r="133" spans="1:21" x14ac:dyDescent="0.3">
      <c r="A133">
        <v>6.88</v>
      </c>
      <c r="B133">
        <f t="shared" si="19"/>
        <v>1376</v>
      </c>
      <c r="C133">
        <v>0.44500000000000001</v>
      </c>
      <c r="D133" s="1">
        <v>2.3122401908040047E-2</v>
      </c>
      <c r="E133">
        <f t="shared" si="20"/>
        <v>1376</v>
      </c>
      <c r="F133">
        <f t="shared" si="21"/>
        <v>1.8622401908040046E-2</v>
      </c>
      <c r="I133">
        <f t="shared" si="18"/>
        <v>0.60408212512731552</v>
      </c>
      <c r="K133">
        <f t="shared" si="22"/>
        <v>0.61236909397639339</v>
      </c>
      <c r="L133">
        <f t="shared" si="23"/>
        <v>-0.60935605779882407</v>
      </c>
      <c r="N133">
        <v>1372.7460000000001</v>
      </c>
      <c r="O133">
        <f t="shared" si="24"/>
        <v>6.8637300000000003</v>
      </c>
      <c r="Q133">
        <v>1306.46549</v>
      </c>
      <c r="R133">
        <f t="shared" si="25"/>
        <v>6.5323274500000004</v>
      </c>
      <c r="T133">
        <v>1357.7760800000001</v>
      </c>
      <c r="U133">
        <f t="shared" si="26"/>
        <v>6.7888804</v>
      </c>
    </row>
    <row r="134" spans="1:21" x14ac:dyDescent="0.3">
      <c r="A134">
        <v>6.94</v>
      </c>
      <c r="B134">
        <f t="shared" si="19"/>
        <v>1388</v>
      </c>
      <c r="C134">
        <v>0.443</v>
      </c>
      <c r="D134" s="1">
        <v>2.2912666201591492E-2</v>
      </c>
      <c r="E134">
        <f t="shared" si="20"/>
        <v>1388</v>
      </c>
      <c r="F134">
        <f t="shared" si="21"/>
        <v>1.8412666201591491E-2</v>
      </c>
      <c r="I134">
        <f t="shared" si="18"/>
        <v>0.60201390343904493</v>
      </c>
      <c r="K134">
        <f t="shared" si="22"/>
        <v>0.61017071456634997</v>
      </c>
      <c r="L134">
        <f t="shared" si="23"/>
        <v>-0.61155443720886749</v>
      </c>
      <c r="N134">
        <v>1382.92958</v>
      </c>
      <c r="O134">
        <f t="shared" si="24"/>
        <v>6.9146479000000003</v>
      </c>
      <c r="Q134">
        <v>1316.1091799999999</v>
      </c>
      <c r="R134">
        <f t="shared" si="25"/>
        <v>6.5805458999999997</v>
      </c>
      <c r="T134">
        <v>1368.16338</v>
      </c>
      <c r="U134">
        <f t="shared" si="26"/>
        <v>6.8408169000000001</v>
      </c>
    </row>
    <row r="135" spans="1:21" x14ac:dyDescent="0.3">
      <c r="A135">
        <v>6.99</v>
      </c>
      <c r="B135">
        <f t="shared" si="19"/>
        <v>1398</v>
      </c>
      <c r="C135">
        <v>0.441</v>
      </c>
      <c r="D135" s="1">
        <v>2.3176034912467003E-2</v>
      </c>
      <c r="E135">
        <f t="shared" si="20"/>
        <v>1398</v>
      </c>
      <c r="F135">
        <f t="shared" si="21"/>
        <v>1.8676034912467002E-2</v>
      </c>
      <c r="I135">
        <f t="shared" si="18"/>
        <v>0.60300048403814432</v>
      </c>
      <c r="K135">
        <f t="shared" si="22"/>
        <v>0.61123661543454222</v>
      </c>
      <c r="L135">
        <f t="shared" si="23"/>
        <v>-0.61048853634067524</v>
      </c>
      <c r="N135">
        <v>1393.3169</v>
      </c>
      <c r="O135">
        <f t="shared" si="24"/>
        <v>6.9665844999999997</v>
      </c>
      <c r="Q135">
        <v>1325.94785</v>
      </c>
      <c r="R135">
        <f t="shared" si="25"/>
        <v>6.6297392500000001</v>
      </c>
      <c r="T135">
        <v>1378.44892</v>
      </c>
      <c r="U135">
        <f t="shared" si="26"/>
        <v>6.8922446000000006</v>
      </c>
    </row>
    <row r="136" spans="1:21" x14ac:dyDescent="0.3">
      <c r="A136">
        <v>7.04</v>
      </c>
      <c r="B136">
        <f t="shared" si="19"/>
        <v>1408</v>
      </c>
      <c r="C136">
        <v>0.439</v>
      </c>
      <c r="D136" s="1">
        <v>2.2925321012735367E-2</v>
      </c>
      <c r="E136">
        <f t="shared" si="20"/>
        <v>1408</v>
      </c>
      <c r="F136">
        <f t="shared" si="21"/>
        <v>1.8425321012735366E-2</v>
      </c>
      <c r="I136">
        <f t="shared" si="18"/>
        <v>0.600394259929657</v>
      </c>
      <c r="K136">
        <f t="shared" si="22"/>
        <v>0.60848297585424782</v>
      </c>
      <c r="L136">
        <f t="shared" si="23"/>
        <v>-0.61324217592096963</v>
      </c>
      <c r="N136">
        <v>1403.6025400000001</v>
      </c>
      <c r="O136">
        <f t="shared" si="24"/>
        <v>7.0180127000000008</v>
      </c>
      <c r="Q136">
        <v>1335.5914600000001</v>
      </c>
      <c r="R136">
        <f t="shared" si="25"/>
        <v>6.6779573000000001</v>
      </c>
      <c r="T136">
        <v>1389.2436600000001</v>
      </c>
      <c r="U136">
        <f t="shared" si="26"/>
        <v>6.9462183000000008</v>
      </c>
    </row>
    <row r="137" spans="1:21" x14ac:dyDescent="0.3">
      <c r="A137">
        <v>7.09</v>
      </c>
      <c r="B137">
        <f t="shared" si="19"/>
        <v>1418</v>
      </c>
      <c r="C137">
        <v>0.437</v>
      </c>
      <c r="D137" s="1">
        <v>2.3279450833797455E-2</v>
      </c>
      <c r="E137">
        <f t="shared" si="20"/>
        <v>1418</v>
      </c>
      <c r="F137">
        <f t="shared" si="21"/>
        <v>1.8779450833797454E-2</v>
      </c>
      <c r="I137">
        <f t="shared" si="18"/>
        <v>0.60205130641162397</v>
      </c>
      <c r="K137">
        <f t="shared" si="22"/>
        <v>0.61025792642599341</v>
      </c>
      <c r="L137">
        <f t="shared" si="23"/>
        <v>-0.61146722534922404</v>
      </c>
      <c r="N137">
        <v>1413.88798</v>
      </c>
      <c r="O137">
        <f t="shared" si="24"/>
        <v>7.0694398999999999</v>
      </c>
      <c r="Q137">
        <v>1345.33248</v>
      </c>
      <c r="R137">
        <f t="shared" si="25"/>
        <v>6.7266624000000004</v>
      </c>
      <c r="T137">
        <v>1396.3719799999999</v>
      </c>
      <c r="U137">
        <f t="shared" si="26"/>
        <v>6.9818598999999999</v>
      </c>
    </row>
    <row r="138" spans="1:21" x14ac:dyDescent="0.3">
      <c r="A138">
        <v>7.15</v>
      </c>
      <c r="B138">
        <f t="shared" si="19"/>
        <v>1430</v>
      </c>
      <c r="C138">
        <v>0.434</v>
      </c>
      <c r="D138" s="1">
        <v>2.3136518895626068E-2</v>
      </c>
      <c r="E138">
        <f t="shared" si="20"/>
        <v>1430</v>
      </c>
      <c r="F138">
        <f t="shared" si="21"/>
        <v>1.8636518895626068E-2</v>
      </c>
      <c r="I138">
        <f t="shared" si="18"/>
        <v>0.59942611010372637</v>
      </c>
      <c r="K138">
        <f t="shared" si="22"/>
        <v>0.6075143593044281</v>
      </c>
      <c r="L138">
        <f t="shared" si="23"/>
        <v>-0.61421079247078936</v>
      </c>
      <c r="N138">
        <v>1424.17354</v>
      </c>
      <c r="O138">
        <f t="shared" si="24"/>
        <v>7.1208676999999998</v>
      </c>
      <c r="Q138">
        <v>1355.3659</v>
      </c>
      <c r="R138">
        <f t="shared" si="25"/>
        <v>6.7768294999999998</v>
      </c>
    </row>
    <row r="139" spans="1:21" x14ac:dyDescent="0.3">
      <c r="A139">
        <v>7.2</v>
      </c>
      <c r="B139">
        <f t="shared" si="19"/>
        <v>1440</v>
      </c>
      <c r="C139">
        <v>0.432</v>
      </c>
      <c r="D139" s="1">
        <v>2.3596091195940971E-2</v>
      </c>
      <c r="E139">
        <f t="shared" si="20"/>
        <v>1440</v>
      </c>
      <c r="F139">
        <f t="shared" si="21"/>
        <v>1.9096091195940971E-2</v>
      </c>
      <c r="I139">
        <f t="shared" si="18"/>
        <v>0.60189185661077493</v>
      </c>
      <c r="K139">
        <f t="shared" si="22"/>
        <v>0.61014136800742147</v>
      </c>
      <c r="L139">
        <f t="shared" si="23"/>
        <v>-0.61158378376779599</v>
      </c>
      <c r="N139">
        <v>1434.4589800000001</v>
      </c>
      <c r="O139">
        <f t="shared" si="24"/>
        <v>7.1722949000000007</v>
      </c>
      <c r="Q139">
        <v>1365.1070400000001</v>
      </c>
      <c r="R139">
        <f t="shared" si="25"/>
        <v>6.8255352000000009</v>
      </c>
    </row>
    <row r="140" spans="1:21" x14ac:dyDescent="0.3">
      <c r="A140">
        <v>7.25</v>
      </c>
      <c r="B140">
        <f t="shared" si="19"/>
        <v>1450</v>
      </c>
      <c r="C140">
        <v>0.43</v>
      </c>
      <c r="D140" s="1">
        <v>2.3165538907051086E-2</v>
      </c>
      <c r="E140">
        <f t="shared" si="20"/>
        <v>1450</v>
      </c>
      <c r="F140">
        <f t="shared" si="21"/>
        <v>1.8665538907051086E-2</v>
      </c>
      <c r="I140">
        <f t="shared" si="18"/>
        <v>0.59795015707612031</v>
      </c>
      <c r="K140">
        <f t="shared" si="22"/>
        <v>0.60597633880615231</v>
      </c>
      <c r="L140">
        <f t="shared" si="23"/>
        <v>-0.61574881296906514</v>
      </c>
      <c r="N140">
        <v>1444.8464799999999</v>
      </c>
      <c r="O140">
        <f t="shared" si="24"/>
        <v>7.2242324</v>
      </c>
      <c r="Q140">
        <v>1374.75074</v>
      </c>
      <c r="R140">
        <f t="shared" si="25"/>
        <v>6.8737537</v>
      </c>
    </row>
    <row r="141" spans="1:21" x14ac:dyDescent="0.3">
      <c r="A141">
        <v>7.31</v>
      </c>
      <c r="B141">
        <f t="shared" si="19"/>
        <v>1462</v>
      </c>
      <c r="C141">
        <v>0.42799999999999999</v>
      </c>
      <c r="D141" s="1">
        <v>2.4038000032305717E-2</v>
      </c>
      <c r="E141">
        <f t="shared" si="20"/>
        <v>1462</v>
      </c>
      <c r="F141">
        <f t="shared" si="21"/>
        <v>1.9538000032305717E-2</v>
      </c>
      <c r="I141">
        <f t="shared" si="18"/>
        <v>0.60371778023615474</v>
      </c>
      <c r="K141">
        <f t="shared" si="22"/>
        <v>0.61208004424998164</v>
      </c>
      <c r="L141">
        <f t="shared" si="23"/>
        <v>-0.60964510752523582</v>
      </c>
      <c r="N141">
        <v>1455.53926</v>
      </c>
      <c r="O141">
        <f t="shared" si="24"/>
        <v>7.2776962999999997</v>
      </c>
      <c r="Q141">
        <v>1384.3943400000001</v>
      </c>
      <c r="R141">
        <f t="shared" si="25"/>
        <v>6.9219717000000003</v>
      </c>
    </row>
    <row r="142" spans="1:21" x14ac:dyDescent="0.3">
      <c r="A142">
        <v>7.36</v>
      </c>
      <c r="B142">
        <f t="shared" si="19"/>
        <v>1472</v>
      </c>
      <c r="C142">
        <v>0.42599999999999999</v>
      </c>
      <c r="D142" s="1">
        <v>2.2874869406223297E-2</v>
      </c>
      <c r="E142">
        <f t="shared" si="20"/>
        <v>1472</v>
      </c>
      <c r="F142">
        <f t="shared" si="21"/>
        <v>1.8374869406223297E-2</v>
      </c>
      <c r="I142">
        <f t="shared" si="18"/>
        <v>0.59435903882980345</v>
      </c>
      <c r="K142">
        <f t="shared" si="22"/>
        <v>0.60218673319685456</v>
      </c>
      <c r="L142">
        <f t="shared" si="23"/>
        <v>-0.61953841857836289</v>
      </c>
      <c r="N142">
        <v>1465.6210000000001</v>
      </c>
      <c r="O142">
        <f t="shared" si="24"/>
        <v>7.3281050000000008</v>
      </c>
      <c r="Q142">
        <v>1394.0381400000001</v>
      </c>
      <c r="R142">
        <f t="shared" si="25"/>
        <v>6.9701907000000007</v>
      </c>
    </row>
    <row r="143" spans="1:21" x14ac:dyDescent="0.3">
      <c r="A143">
        <v>7.41</v>
      </c>
      <c r="B143">
        <f t="shared" si="19"/>
        <v>1482</v>
      </c>
      <c r="C143">
        <v>0.42399999999999999</v>
      </c>
      <c r="D143" s="1">
        <v>2.321753092110157E-2</v>
      </c>
      <c r="E143">
        <f t="shared" si="20"/>
        <v>1482</v>
      </c>
      <c r="F143">
        <f t="shared" si="21"/>
        <v>1.871753092110157E-2</v>
      </c>
      <c r="I143">
        <f t="shared" si="18"/>
        <v>0.59604190412536262</v>
      </c>
      <c r="K143">
        <f t="shared" si="22"/>
        <v>0.60397813723590965</v>
      </c>
      <c r="L143">
        <f t="shared" si="23"/>
        <v>-0.6177470145393078</v>
      </c>
      <c r="N143">
        <v>1475.80458</v>
      </c>
      <c r="O143">
        <f t="shared" si="24"/>
        <v>7.3790228999999998</v>
      </c>
      <c r="Q143">
        <v>1403.77918</v>
      </c>
      <c r="R143">
        <f t="shared" si="25"/>
        <v>7.0188959000000004</v>
      </c>
    </row>
    <row r="144" spans="1:21" x14ac:dyDescent="0.3">
      <c r="A144">
        <v>7.46</v>
      </c>
      <c r="B144">
        <f t="shared" si="19"/>
        <v>1492</v>
      </c>
      <c r="C144">
        <v>0.42199999999999999</v>
      </c>
      <c r="D144" s="1">
        <v>2.3349830880761147E-2</v>
      </c>
      <c r="E144">
        <f t="shared" si="20"/>
        <v>1492</v>
      </c>
      <c r="F144">
        <f t="shared" si="21"/>
        <v>1.8849830880761146E-2</v>
      </c>
      <c r="I144">
        <f t="shared" si="18"/>
        <v>0.59618973837047817</v>
      </c>
      <c r="K144">
        <f t="shared" si="22"/>
        <v>0.60414436700215934</v>
      </c>
      <c r="L144">
        <f t="shared" si="23"/>
        <v>-0.61758078477305811</v>
      </c>
      <c r="N144">
        <v>1486.29384</v>
      </c>
      <c r="O144">
        <f t="shared" si="24"/>
        <v>7.4314692000000004</v>
      </c>
      <c r="Q144">
        <v>1413.4227900000001</v>
      </c>
      <c r="R144">
        <f t="shared" si="25"/>
        <v>7.0671139500000004</v>
      </c>
    </row>
    <row r="145" spans="1:18" x14ac:dyDescent="0.3">
      <c r="A145">
        <v>7.52</v>
      </c>
      <c r="B145">
        <f t="shared" si="19"/>
        <v>1504</v>
      </c>
      <c r="C145">
        <v>0.42</v>
      </c>
      <c r="D145" s="1">
        <v>2.3089613765478134E-2</v>
      </c>
      <c r="E145">
        <f t="shared" si="20"/>
        <v>1504</v>
      </c>
      <c r="F145">
        <f t="shared" si="21"/>
        <v>1.8589613765478134E-2</v>
      </c>
      <c r="I145">
        <f t="shared" si="18"/>
        <v>0.59363389551639556</v>
      </c>
      <c r="K145">
        <f t="shared" si="22"/>
        <v>0.6014415332978964</v>
      </c>
      <c r="L145">
        <f t="shared" si="23"/>
        <v>-0.62028361847732105</v>
      </c>
      <c r="N145">
        <v>1496.8848599999999</v>
      </c>
      <c r="O145">
        <f t="shared" si="24"/>
        <v>7.4844242999999997</v>
      </c>
      <c r="Q145">
        <v>1424.0406700000001</v>
      </c>
      <c r="R145">
        <f t="shared" si="25"/>
        <v>7.1202033500000006</v>
      </c>
    </row>
    <row r="146" spans="1:18" x14ac:dyDescent="0.3">
      <c r="A146">
        <v>7.57</v>
      </c>
      <c r="B146">
        <f t="shared" si="19"/>
        <v>1514</v>
      </c>
      <c r="C146">
        <v>0.41799999999999998</v>
      </c>
      <c r="D146" s="1">
        <v>2.4445373564958572E-2</v>
      </c>
      <c r="E146">
        <f t="shared" si="20"/>
        <v>1514</v>
      </c>
      <c r="F146">
        <f t="shared" si="21"/>
        <v>1.9945373564958572E-2</v>
      </c>
      <c r="I146">
        <f t="shared" si="18"/>
        <v>0.60305147788673641</v>
      </c>
      <c r="K146">
        <f t="shared" si="22"/>
        <v>0.61138864403688908</v>
      </c>
      <c r="L146">
        <f t="shared" si="23"/>
        <v>-0.61033650773832837</v>
      </c>
      <c r="N146">
        <v>1506.9666</v>
      </c>
      <c r="O146">
        <f t="shared" si="24"/>
        <v>7.5348329999999999</v>
      </c>
      <c r="Q146">
        <v>1433.78181</v>
      </c>
      <c r="R146">
        <f t="shared" si="25"/>
        <v>7.1689090499999999</v>
      </c>
    </row>
    <row r="147" spans="1:18" x14ac:dyDescent="0.3">
      <c r="A147">
        <v>7.62</v>
      </c>
      <c r="B147">
        <f t="shared" si="19"/>
        <v>1524</v>
      </c>
      <c r="C147">
        <v>0.41599999999999998</v>
      </c>
      <c r="D147" s="1">
        <v>2.3071354255080223E-2</v>
      </c>
      <c r="E147">
        <f t="shared" si="20"/>
        <v>1524</v>
      </c>
      <c r="F147">
        <f t="shared" si="21"/>
        <v>1.8571354255080223E-2</v>
      </c>
      <c r="I147">
        <f t="shared" si="18"/>
        <v>0.59180371942371135</v>
      </c>
      <c r="K147">
        <f t="shared" si="22"/>
        <v>0.59952940279382472</v>
      </c>
      <c r="L147">
        <f t="shared" si="23"/>
        <v>-0.62219574898139274</v>
      </c>
      <c r="N147">
        <v>1517.76142</v>
      </c>
      <c r="O147">
        <f t="shared" si="24"/>
        <v>7.5888071000000004</v>
      </c>
      <c r="Q147">
        <v>1443.42561</v>
      </c>
      <c r="R147">
        <f t="shared" si="25"/>
        <v>7.2171280500000003</v>
      </c>
    </row>
    <row r="148" spans="1:18" x14ac:dyDescent="0.3">
      <c r="A148">
        <v>7.67</v>
      </c>
      <c r="B148">
        <f t="shared" si="19"/>
        <v>1534</v>
      </c>
      <c r="C148">
        <v>0.41299999999999998</v>
      </c>
      <c r="D148" s="1">
        <v>2.3792900145053864E-2</v>
      </c>
      <c r="E148">
        <f t="shared" si="20"/>
        <v>1534</v>
      </c>
      <c r="F148">
        <f t="shared" si="21"/>
        <v>1.9292900145053863E-2</v>
      </c>
      <c r="I148">
        <f t="shared" si="18"/>
        <v>0.59549154411256311</v>
      </c>
      <c r="K148">
        <f t="shared" si="22"/>
        <v>0.60345951187247038</v>
      </c>
      <c r="L148">
        <f t="shared" si="23"/>
        <v>-0.61826563990274708</v>
      </c>
      <c r="N148">
        <v>1528.5561600000001</v>
      </c>
      <c r="O148">
        <f t="shared" si="24"/>
        <v>7.6427808000000006</v>
      </c>
      <c r="Q148">
        <v>1453.8484599999999</v>
      </c>
      <c r="R148">
        <f t="shared" si="25"/>
        <v>7.2692422999999993</v>
      </c>
    </row>
    <row r="149" spans="1:18" x14ac:dyDescent="0.3">
      <c r="A149">
        <v>7.72</v>
      </c>
      <c r="B149">
        <f t="shared" si="19"/>
        <v>1544</v>
      </c>
      <c r="C149">
        <v>0.41099999999999998</v>
      </c>
      <c r="D149" s="1">
        <v>2.3416850715875626E-2</v>
      </c>
      <c r="E149">
        <f t="shared" si="20"/>
        <v>1544</v>
      </c>
      <c r="F149">
        <f t="shared" si="21"/>
        <v>1.8916850715875625E-2</v>
      </c>
      <c r="I149">
        <f t="shared" si="18"/>
        <v>0.5917780875265598</v>
      </c>
      <c r="K149">
        <f t="shared" si="22"/>
        <v>0.59955291317078474</v>
      </c>
      <c r="L149">
        <f t="shared" si="23"/>
        <v>-0.62217223860443271</v>
      </c>
      <c r="N149">
        <v>1538.8416999999999</v>
      </c>
      <c r="O149">
        <f t="shared" si="24"/>
        <v>7.6942084999999993</v>
      </c>
      <c r="Q149">
        <v>1463.49207</v>
      </c>
      <c r="R149">
        <f t="shared" si="25"/>
        <v>7.3174603500000002</v>
      </c>
    </row>
    <row r="150" spans="1:18" x14ac:dyDescent="0.3">
      <c r="A150">
        <v>7.77</v>
      </c>
      <c r="B150">
        <f t="shared" si="19"/>
        <v>1554</v>
      </c>
      <c r="C150">
        <v>0.40899999999999997</v>
      </c>
      <c r="D150" s="1">
        <v>2.3439330980181694E-2</v>
      </c>
      <c r="E150">
        <f t="shared" si="20"/>
        <v>1554</v>
      </c>
      <c r="F150">
        <f t="shared" si="21"/>
        <v>1.8939330980181694E-2</v>
      </c>
      <c r="I150">
        <f t="shared" si="18"/>
        <v>0.59112360171601175</v>
      </c>
      <c r="K150">
        <f t="shared" si="22"/>
        <v>0.59886978808690605</v>
      </c>
      <c r="L150">
        <f t="shared" si="23"/>
        <v>-0.6228553636883114</v>
      </c>
      <c r="N150">
        <v>1548.92344</v>
      </c>
      <c r="O150">
        <f t="shared" si="24"/>
        <v>7.7446172000000004</v>
      </c>
      <c r="Q150">
        <v>1473.52549</v>
      </c>
      <c r="R150">
        <f t="shared" si="25"/>
        <v>7.3676274499999996</v>
      </c>
    </row>
    <row r="151" spans="1:18" x14ac:dyDescent="0.3">
      <c r="A151">
        <v>7.82</v>
      </c>
      <c r="B151">
        <f t="shared" si="19"/>
        <v>1564</v>
      </c>
      <c r="C151">
        <v>0.40699999999999997</v>
      </c>
      <c r="D151" s="1">
        <v>2.3617656901478767E-2</v>
      </c>
      <c r="E151">
        <f t="shared" si="20"/>
        <v>1564</v>
      </c>
      <c r="F151">
        <f t="shared" si="21"/>
        <v>1.9117656901478767E-2</v>
      </c>
      <c r="I151">
        <f t="shared" si="18"/>
        <v>0.59169007696956388</v>
      </c>
      <c r="K151">
        <f t="shared" si="22"/>
        <v>0.59947096332846572</v>
      </c>
      <c r="L151">
        <f t="shared" si="23"/>
        <v>-0.62225418844675173</v>
      </c>
      <c r="N151">
        <v>1559.7181599999999</v>
      </c>
      <c r="O151">
        <f t="shared" si="24"/>
        <v>7.7985907999999995</v>
      </c>
      <c r="Q151">
        <v>1483.1692700000001</v>
      </c>
      <c r="R151">
        <f t="shared" si="25"/>
        <v>7.4158463500000007</v>
      </c>
    </row>
    <row r="152" spans="1:18" x14ac:dyDescent="0.3">
      <c r="A152">
        <v>7.87</v>
      </c>
      <c r="B152">
        <f t="shared" si="19"/>
        <v>1574</v>
      </c>
      <c r="C152">
        <v>0.40500000000000003</v>
      </c>
      <c r="D152" s="1">
        <v>2.4122841656208038E-2</v>
      </c>
      <c r="E152">
        <f t="shared" si="20"/>
        <v>1574</v>
      </c>
      <c r="F152">
        <f t="shared" si="21"/>
        <v>1.9622841656208038E-2</v>
      </c>
      <c r="I152">
        <f t="shared" si="18"/>
        <v>0.59484676383435731</v>
      </c>
      <c r="K152">
        <f t="shared" si="22"/>
        <v>0.60279401470512162</v>
      </c>
      <c r="L152">
        <f t="shared" si="23"/>
        <v>-0.61893113707009584</v>
      </c>
      <c r="N152">
        <v>1569.7999</v>
      </c>
      <c r="O152">
        <f t="shared" si="24"/>
        <v>7.8489994999999997</v>
      </c>
      <c r="Q152">
        <v>1493.00765</v>
      </c>
      <c r="R152">
        <f t="shared" si="25"/>
        <v>7.4650382500000001</v>
      </c>
    </row>
    <row r="153" spans="1:18" x14ac:dyDescent="0.3">
      <c r="A153">
        <v>7.92</v>
      </c>
      <c r="B153">
        <f t="shared" si="19"/>
        <v>1584</v>
      </c>
      <c r="C153">
        <v>0.40300000000000002</v>
      </c>
      <c r="D153" s="1">
        <v>2.3679986596107483E-2</v>
      </c>
      <c r="E153">
        <f t="shared" si="20"/>
        <v>1584</v>
      </c>
      <c r="F153">
        <f t="shared" si="21"/>
        <v>1.9179986596107482E-2</v>
      </c>
      <c r="I153">
        <f t="shared" si="18"/>
        <v>0.59054549384117128</v>
      </c>
      <c r="K153">
        <f t="shared" si="22"/>
        <v>0.59827502843940261</v>
      </c>
      <c r="L153">
        <f t="shared" si="23"/>
        <v>-0.62345012333581484</v>
      </c>
      <c r="N153">
        <v>1580.9001000000001</v>
      </c>
      <c r="O153">
        <f t="shared" si="24"/>
        <v>7.9045005000000002</v>
      </c>
      <c r="Q153">
        <v>1503.7228</v>
      </c>
      <c r="R153">
        <f t="shared" si="25"/>
        <v>7.5186140000000004</v>
      </c>
    </row>
    <row r="154" spans="1:18" x14ac:dyDescent="0.3">
      <c r="A154">
        <v>7.98</v>
      </c>
      <c r="B154">
        <f t="shared" si="19"/>
        <v>1596</v>
      </c>
      <c r="C154">
        <v>0.40100000000000002</v>
      </c>
      <c r="D154" s="1">
        <v>2.3782368749380112E-2</v>
      </c>
      <c r="E154">
        <f t="shared" si="20"/>
        <v>1596</v>
      </c>
      <c r="F154">
        <f t="shared" si="21"/>
        <v>1.9282368749380111E-2</v>
      </c>
      <c r="I154">
        <f t="shared" si="18"/>
        <v>0.5907833026200533</v>
      </c>
      <c r="K154">
        <f t="shared" si="22"/>
        <v>0.59851553248855471</v>
      </c>
      <c r="L154">
        <f t="shared" si="23"/>
        <v>-0.62320961928666274</v>
      </c>
      <c r="N154">
        <v>1590.9819399999999</v>
      </c>
      <c r="O154">
        <f t="shared" si="24"/>
        <v>7.9549096999999991</v>
      </c>
      <c r="Q154">
        <v>1513.5614499999999</v>
      </c>
      <c r="R154">
        <f t="shared" si="25"/>
        <v>7.5678072499999995</v>
      </c>
    </row>
    <row r="155" spans="1:18" x14ac:dyDescent="0.3">
      <c r="A155">
        <v>8.0299999999999994</v>
      </c>
      <c r="B155">
        <f t="shared" si="19"/>
        <v>1605.9999999999998</v>
      </c>
      <c r="C155">
        <v>0.39900000000000002</v>
      </c>
      <c r="D155" s="1">
        <v>2.3811902850866318E-2</v>
      </c>
      <c r="E155">
        <f t="shared" si="20"/>
        <v>1605.9999999999998</v>
      </c>
      <c r="F155">
        <f t="shared" si="21"/>
        <v>1.9311902850866317E-2</v>
      </c>
      <c r="I155">
        <f t="shared" si="18"/>
        <v>0.59020957989245648</v>
      </c>
      <c r="K155">
        <f t="shared" si="22"/>
        <v>0.59791502912995209</v>
      </c>
      <c r="L155">
        <f t="shared" si="23"/>
        <v>-0.62381012264526536</v>
      </c>
      <c r="N155">
        <v>1601.26748</v>
      </c>
      <c r="O155">
        <f t="shared" si="24"/>
        <v>8.0063373999999996</v>
      </c>
      <c r="Q155">
        <v>1523.20515</v>
      </c>
      <c r="R155">
        <f t="shared" si="25"/>
        <v>7.6160257500000004</v>
      </c>
    </row>
    <row r="156" spans="1:18" x14ac:dyDescent="0.3">
      <c r="A156">
        <v>8.08</v>
      </c>
      <c r="B156">
        <f t="shared" si="19"/>
        <v>1616</v>
      </c>
      <c r="C156">
        <v>0.39700000000000002</v>
      </c>
      <c r="D156" s="1">
        <v>2.3356638848781586E-2</v>
      </c>
      <c r="E156">
        <f t="shared" si="20"/>
        <v>1616</v>
      </c>
      <c r="F156">
        <f t="shared" si="21"/>
        <v>1.8856638848781585E-2</v>
      </c>
      <c r="I156">
        <f t="shared" si="18"/>
        <v>0.58572164189815523</v>
      </c>
      <c r="K156">
        <f t="shared" si="22"/>
        <v>0.5932077275211215</v>
      </c>
      <c r="L156">
        <f t="shared" si="23"/>
        <v>-0.62851742425409596</v>
      </c>
      <c r="N156">
        <v>1612.2659200000001</v>
      </c>
      <c r="O156">
        <f t="shared" si="24"/>
        <v>8.0613296000000005</v>
      </c>
      <c r="Q156">
        <v>1533.14104</v>
      </c>
      <c r="R156">
        <f t="shared" si="25"/>
        <v>7.6657051999999997</v>
      </c>
    </row>
    <row r="157" spans="1:18" x14ac:dyDescent="0.3">
      <c r="A157">
        <v>8.1300000000000008</v>
      </c>
      <c r="B157">
        <f t="shared" si="19"/>
        <v>1626.0000000000002</v>
      </c>
      <c r="C157">
        <v>0.39500000000000002</v>
      </c>
      <c r="D157" s="1">
        <v>2.3766256868839264E-2</v>
      </c>
      <c r="E157">
        <f t="shared" si="20"/>
        <v>1626.0000000000002</v>
      </c>
      <c r="F157">
        <f t="shared" si="21"/>
        <v>1.9266256868839263E-2</v>
      </c>
      <c r="I157">
        <f t="shared" si="18"/>
        <v>0.58821966834366324</v>
      </c>
      <c r="K157">
        <f t="shared" si="22"/>
        <v>0.59582983980685478</v>
      </c>
      <c r="L157">
        <f t="shared" si="23"/>
        <v>-0.62589531196836268</v>
      </c>
      <c r="N157">
        <v>1622.5513599999999</v>
      </c>
      <c r="O157">
        <f t="shared" si="24"/>
        <v>8.1127567999999997</v>
      </c>
      <c r="Q157">
        <v>1542.8820900000001</v>
      </c>
      <c r="R157">
        <f t="shared" si="25"/>
        <v>7.7144104499999999</v>
      </c>
    </row>
    <row r="158" spans="1:18" x14ac:dyDescent="0.3">
      <c r="A158">
        <v>8.18</v>
      </c>
      <c r="B158">
        <f t="shared" si="19"/>
        <v>1636</v>
      </c>
      <c r="C158">
        <v>0.39300000000000002</v>
      </c>
      <c r="D158" s="1">
        <v>2.3481503129005432E-2</v>
      </c>
      <c r="E158">
        <f t="shared" si="20"/>
        <v>1636</v>
      </c>
      <c r="F158">
        <f t="shared" si="21"/>
        <v>1.8981503129005432E-2</v>
      </c>
      <c r="I158">
        <f t="shared" si="18"/>
        <v>0.58507869559526449</v>
      </c>
      <c r="K158">
        <f t="shared" si="22"/>
        <v>0.59253842632496367</v>
      </c>
      <c r="L158">
        <f t="shared" si="23"/>
        <v>-0.62918672545025378</v>
      </c>
      <c r="N158">
        <v>1632.73506</v>
      </c>
      <c r="O158">
        <f t="shared" si="24"/>
        <v>8.1636752999999995</v>
      </c>
      <c r="Q158">
        <v>1552.72074</v>
      </c>
      <c r="R158">
        <f t="shared" si="25"/>
        <v>7.7636037</v>
      </c>
    </row>
    <row r="159" spans="1:18" x14ac:dyDescent="0.3">
      <c r="A159">
        <v>8.23</v>
      </c>
      <c r="B159">
        <f t="shared" si="19"/>
        <v>1646</v>
      </c>
      <c r="C159">
        <v>0.39</v>
      </c>
      <c r="D159" s="1">
        <v>2.421257458627224E-2</v>
      </c>
      <c r="E159">
        <f t="shared" si="20"/>
        <v>1646</v>
      </c>
      <c r="F159">
        <f t="shared" si="21"/>
        <v>1.9712574586272239E-2</v>
      </c>
      <c r="I159">
        <f t="shared" si="18"/>
        <v>0.58926948884502051</v>
      </c>
      <c r="K159">
        <f t="shared" si="22"/>
        <v>0.59695739293366668</v>
      </c>
      <c r="L159">
        <f t="shared" si="23"/>
        <v>-0.62476775884155078</v>
      </c>
      <c r="N159">
        <v>1643.4279200000001</v>
      </c>
      <c r="O159">
        <f t="shared" si="24"/>
        <v>8.2171396000000012</v>
      </c>
      <c r="Q159">
        <v>1562.5591899999999</v>
      </c>
      <c r="R159">
        <f t="shared" si="25"/>
        <v>7.8127959499999999</v>
      </c>
    </row>
    <row r="160" spans="1:18" x14ac:dyDescent="0.3">
      <c r="A160">
        <v>8.2799999999999994</v>
      </c>
      <c r="B160">
        <f t="shared" si="19"/>
        <v>1655.9999999999998</v>
      </c>
      <c r="C160">
        <v>0.38800000000000001</v>
      </c>
      <c r="D160" s="1">
        <v>2.3381641134619713E-2</v>
      </c>
      <c r="E160">
        <f t="shared" si="20"/>
        <v>1655.9999999999998</v>
      </c>
      <c r="F160">
        <f t="shared" si="21"/>
        <v>1.8881641134619712E-2</v>
      </c>
      <c r="I160">
        <f t="shared" si="18"/>
        <v>0.58159998859465123</v>
      </c>
      <c r="K160">
        <f t="shared" si="22"/>
        <v>0.58892606535488368</v>
      </c>
      <c r="L160">
        <f t="shared" si="23"/>
        <v>-0.63279908642033378</v>
      </c>
      <c r="N160">
        <v>1653.5097599999999</v>
      </c>
      <c r="O160">
        <f t="shared" si="24"/>
        <v>8.2675488000000001</v>
      </c>
      <c r="Q160">
        <v>1572.20299</v>
      </c>
      <c r="R160">
        <f t="shared" si="25"/>
        <v>7.8610149500000004</v>
      </c>
    </row>
    <row r="161" spans="1:18" x14ac:dyDescent="0.3">
      <c r="A161">
        <v>8.34</v>
      </c>
      <c r="B161">
        <f t="shared" si="19"/>
        <v>1668</v>
      </c>
      <c r="C161">
        <v>0.38600000000000001</v>
      </c>
      <c r="D161" s="1">
        <v>2.4179680272936821E-2</v>
      </c>
      <c r="E161">
        <f t="shared" si="20"/>
        <v>1668</v>
      </c>
      <c r="F161">
        <f t="shared" si="21"/>
        <v>1.967968027293682E-2</v>
      </c>
      <c r="I161">
        <f t="shared" si="18"/>
        <v>0.58765853347629315</v>
      </c>
      <c r="K161">
        <f t="shared" si="22"/>
        <v>0.59525489006164678</v>
      </c>
      <c r="L161">
        <f t="shared" si="23"/>
        <v>-0.62647026171357068</v>
      </c>
      <c r="N161">
        <v>1663.5916</v>
      </c>
      <c r="O161">
        <f t="shared" si="24"/>
        <v>8.3179579999999991</v>
      </c>
      <c r="Q161">
        <v>1582.0413699999999</v>
      </c>
      <c r="R161">
        <f t="shared" si="25"/>
        <v>7.9102068499999998</v>
      </c>
    </row>
    <row r="162" spans="1:18" x14ac:dyDescent="0.3">
      <c r="A162">
        <v>8.39</v>
      </c>
      <c r="B162">
        <f t="shared" si="19"/>
        <v>1678</v>
      </c>
      <c r="C162">
        <v>0.38400000000000001</v>
      </c>
      <c r="D162" s="1">
        <v>2.3598005995154381E-2</v>
      </c>
      <c r="E162">
        <f t="shared" si="20"/>
        <v>1678</v>
      </c>
      <c r="F162">
        <f t="shared" si="21"/>
        <v>1.909800599515438E-2</v>
      </c>
      <c r="I162">
        <f t="shared" si="18"/>
        <v>0.58198727029934527</v>
      </c>
      <c r="K162">
        <f t="shared" si="22"/>
        <v>0.58932090460148456</v>
      </c>
      <c r="L162">
        <f t="shared" si="23"/>
        <v>-0.63240424717373289</v>
      </c>
      <c r="N162">
        <v>1674.08086</v>
      </c>
      <c r="O162">
        <f t="shared" si="24"/>
        <v>8.3704043000000006</v>
      </c>
      <c r="Q162">
        <v>1592.46451</v>
      </c>
      <c r="R162">
        <f t="shared" si="25"/>
        <v>7.9623225499999997</v>
      </c>
    </row>
    <row r="163" spans="1:18" x14ac:dyDescent="0.3">
      <c r="A163">
        <v>8.44</v>
      </c>
      <c r="B163">
        <f t="shared" si="19"/>
        <v>1688</v>
      </c>
      <c r="C163">
        <v>0.38200000000000001</v>
      </c>
      <c r="D163" s="1">
        <v>2.405710332095623E-2</v>
      </c>
      <c r="E163">
        <f t="shared" si="20"/>
        <v>1688</v>
      </c>
      <c r="F163">
        <f t="shared" si="21"/>
        <v>1.955710332095623E-2</v>
      </c>
      <c r="I163">
        <f t="shared" si="18"/>
        <v>0.58504195202887055</v>
      </c>
      <c r="K163">
        <f t="shared" si="22"/>
        <v>0.59251276549747578</v>
      </c>
      <c r="L163">
        <f t="shared" si="23"/>
        <v>-0.62921238627774168</v>
      </c>
      <c r="N163">
        <v>1684.2644600000001</v>
      </c>
      <c r="O163">
        <f t="shared" si="24"/>
        <v>8.4213222999999999</v>
      </c>
      <c r="Q163">
        <v>1602.2057199999999</v>
      </c>
      <c r="R163">
        <f t="shared" si="25"/>
        <v>8.0110285999999995</v>
      </c>
    </row>
    <row r="164" spans="1:18" x14ac:dyDescent="0.3">
      <c r="A164">
        <v>8.49</v>
      </c>
      <c r="B164">
        <f t="shared" si="19"/>
        <v>1698</v>
      </c>
      <c r="C164">
        <v>0.38</v>
      </c>
      <c r="D164" s="1">
        <v>2.362007275223732E-2</v>
      </c>
      <c r="E164">
        <f t="shared" si="20"/>
        <v>1698</v>
      </c>
      <c r="F164">
        <f t="shared" si="21"/>
        <v>1.9120072752237319E-2</v>
      </c>
      <c r="I164">
        <f t="shared" si="18"/>
        <v>0.58053441766649483</v>
      </c>
      <c r="K164">
        <f t="shared" si="22"/>
        <v>0.58780004531234498</v>
      </c>
      <c r="L164">
        <f t="shared" si="23"/>
        <v>-0.63392510646287248</v>
      </c>
      <c r="N164">
        <v>1694.55</v>
      </c>
      <c r="O164">
        <f t="shared" si="24"/>
        <v>8.4727499999999996</v>
      </c>
      <c r="Q164">
        <v>1611.84924</v>
      </c>
      <c r="R164">
        <f t="shared" si="25"/>
        <v>8.0592462000000005</v>
      </c>
    </row>
    <row r="165" spans="1:18" x14ac:dyDescent="0.3">
      <c r="A165">
        <v>8.5500000000000007</v>
      </c>
      <c r="B165">
        <f t="shared" si="19"/>
        <v>1710.0000000000002</v>
      </c>
      <c r="C165">
        <v>0.378</v>
      </c>
      <c r="D165" s="1">
        <v>2.441132627427578E-2</v>
      </c>
      <c r="E165">
        <f t="shared" si="20"/>
        <v>1710.0000000000002</v>
      </c>
      <c r="F165">
        <f t="shared" si="21"/>
        <v>1.9911326274275779E-2</v>
      </c>
      <c r="I165">
        <f t="shared" si="18"/>
        <v>0.58671683964505794</v>
      </c>
      <c r="K165">
        <f t="shared" si="22"/>
        <v>0.59424332097673416</v>
      </c>
      <c r="L165">
        <f t="shared" si="23"/>
        <v>-0.6274818307984833</v>
      </c>
      <c r="N165">
        <v>1704.83554</v>
      </c>
      <c r="O165">
        <f t="shared" si="24"/>
        <v>8.524177700000001</v>
      </c>
      <c r="Q165">
        <v>1621.98</v>
      </c>
      <c r="R165">
        <f t="shared" si="25"/>
        <v>8.1098999999999997</v>
      </c>
    </row>
    <row r="166" spans="1:18" x14ac:dyDescent="0.3">
      <c r="A166">
        <v>8.6</v>
      </c>
      <c r="B166">
        <f t="shared" si="19"/>
        <v>1720</v>
      </c>
      <c r="C166">
        <v>0.375</v>
      </c>
      <c r="D166" s="1">
        <v>2.3775476962327957E-2</v>
      </c>
      <c r="E166">
        <f t="shared" si="20"/>
        <v>1720</v>
      </c>
      <c r="F166">
        <f t="shared" si="21"/>
        <v>1.9275476962327957E-2</v>
      </c>
      <c r="I166">
        <f t="shared" si="18"/>
        <v>0.57946910187602041</v>
      </c>
      <c r="K166">
        <f t="shared" si="22"/>
        <v>0.58669740573689344</v>
      </c>
      <c r="L166">
        <f t="shared" si="23"/>
        <v>-0.63502774603832401</v>
      </c>
      <c r="N166">
        <v>1715.3248000000001</v>
      </c>
      <c r="O166">
        <f t="shared" si="24"/>
        <v>8.5766240000000007</v>
      </c>
      <c r="Q166">
        <v>1632.3055999999999</v>
      </c>
      <c r="R166">
        <f t="shared" si="25"/>
        <v>8.1615279999999988</v>
      </c>
    </row>
    <row r="167" spans="1:18" x14ac:dyDescent="0.3">
      <c r="A167">
        <v>8.65</v>
      </c>
      <c r="B167">
        <f t="shared" si="19"/>
        <v>1730</v>
      </c>
      <c r="C167">
        <v>0.373</v>
      </c>
      <c r="D167" s="1">
        <v>2.4246145039796829E-2</v>
      </c>
      <c r="E167">
        <f t="shared" si="20"/>
        <v>1730</v>
      </c>
      <c r="F167">
        <f t="shared" si="21"/>
        <v>1.9746145039796829E-2</v>
      </c>
      <c r="I167">
        <f t="shared" si="18"/>
        <v>0.58272915459424257</v>
      </c>
      <c r="K167">
        <f t="shared" si="22"/>
        <v>0.59009446669408683</v>
      </c>
      <c r="L167">
        <f t="shared" si="23"/>
        <v>-0.63163068508113063</v>
      </c>
      <c r="N167">
        <v>1725.61016</v>
      </c>
      <c r="O167">
        <f t="shared" si="24"/>
        <v>8.6280508000000005</v>
      </c>
      <c r="Q167">
        <v>1642.04664</v>
      </c>
      <c r="R167">
        <f t="shared" si="25"/>
        <v>8.2102331999999993</v>
      </c>
    </row>
    <row r="168" spans="1:18" x14ac:dyDescent="0.3">
      <c r="A168">
        <v>8.7100000000000009</v>
      </c>
      <c r="B168">
        <f t="shared" si="19"/>
        <v>1742.0000000000002</v>
      </c>
      <c r="C168">
        <v>0.371</v>
      </c>
      <c r="D168" s="1">
        <v>2.3945005610585213E-2</v>
      </c>
      <c r="E168">
        <f t="shared" si="20"/>
        <v>1742.0000000000002</v>
      </c>
      <c r="F168">
        <f t="shared" si="21"/>
        <v>1.9445005610585212E-2</v>
      </c>
      <c r="I168">
        <f t="shared" si="18"/>
        <v>0.57956099886819723</v>
      </c>
      <c r="K168">
        <f t="shared" si="22"/>
        <v>0.58677509594972432</v>
      </c>
      <c r="L168">
        <f t="shared" si="23"/>
        <v>-0.63495005582549313</v>
      </c>
      <c r="N168">
        <v>1735.79376</v>
      </c>
      <c r="O168">
        <f t="shared" si="24"/>
        <v>8.6789687999999998</v>
      </c>
      <c r="Q168">
        <v>1651.7878599999999</v>
      </c>
      <c r="R168">
        <f t="shared" si="25"/>
        <v>8.2589392999999998</v>
      </c>
    </row>
    <row r="169" spans="1:18" x14ac:dyDescent="0.3">
      <c r="A169">
        <v>8.76</v>
      </c>
      <c r="B169">
        <f t="shared" si="19"/>
        <v>1752</v>
      </c>
      <c r="C169">
        <v>0.36899999999999999</v>
      </c>
      <c r="D169" s="1">
        <v>2.4068757891654968E-2</v>
      </c>
      <c r="E169">
        <f t="shared" si="20"/>
        <v>1752</v>
      </c>
      <c r="F169">
        <f t="shared" si="21"/>
        <v>1.9568757891654968E-2</v>
      </c>
      <c r="I169">
        <f t="shared" si="18"/>
        <v>0.57984231913089745</v>
      </c>
      <c r="K169">
        <f t="shared" si="22"/>
        <v>0.58706319079291813</v>
      </c>
      <c r="L169">
        <f t="shared" si="23"/>
        <v>-0.63466196098229932</v>
      </c>
      <c r="N169">
        <v>1746.2829999999999</v>
      </c>
      <c r="O169">
        <f t="shared" si="24"/>
        <v>8.7314150000000001</v>
      </c>
      <c r="Q169">
        <v>1661.7237700000001</v>
      </c>
      <c r="R169">
        <f t="shared" si="25"/>
        <v>8.3086188500000002</v>
      </c>
    </row>
    <row r="170" spans="1:18" x14ac:dyDescent="0.3">
      <c r="A170">
        <v>8.81</v>
      </c>
      <c r="B170">
        <f t="shared" si="19"/>
        <v>1762</v>
      </c>
      <c r="C170">
        <v>0.36699999999999999</v>
      </c>
      <c r="D170" s="1">
        <v>2.4400951340794563E-2</v>
      </c>
      <c r="E170">
        <f t="shared" si="20"/>
        <v>1762</v>
      </c>
      <c r="F170">
        <f t="shared" si="21"/>
        <v>1.9900951340794563E-2</v>
      </c>
      <c r="I170">
        <f t="shared" si="18"/>
        <v>0.58197238131240014</v>
      </c>
      <c r="K170">
        <f t="shared" si="22"/>
        <v>0.58927603045447174</v>
      </c>
      <c r="L170">
        <f t="shared" si="23"/>
        <v>-0.63244912132074571</v>
      </c>
      <c r="N170">
        <v>1756.4666</v>
      </c>
      <c r="O170">
        <f t="shared" si="24"/>
        <v>8.7823329999999995</v>
      </c>
      <c r="Q170">
        <v>1671.65966</v>
      </c>
      <c r="R170">
        <f t="shared" si="25"/>
        <v>8.3582982999999995</v>
      </c>
    </row>
    <row r="171" spans="1:18" x14ac:dyDescent="0.3">
      <c r="A171">
        <v>8.8699999999999992</v>
      </c>
      <c r="B171">
        <f t="shared" si="19"/>
        <v>1773.9999999999998</v>
      </c>
      <c r="C171">
        <v>0.36499999999999999</v>
      </c>
      <c r="D171" s="1">
        <v>2.4340275675058365E-2</v>
      </c>
      <c r="E171">
        <f t="shared" si="20"/>
        <v>1773.9999999999998</v>
      </c>
      <c r="F171">
        <f t="shared" si="21"/>
        <v>1.9840275675058364E-2</v>
      </c>
      <c r="I171">
        <f t="shared" si="18"/>
        <v>0.58089824523776767</v>
      </c>
      <c r="K171">
        <f t="shared" si="22"/>
        <v>0.58813994585916396</v>
      </c>
      <c r="L171">
        <f t="shared" si="23"/>
        <v>-0.6335852059160535</v>
      </c>
      <c r="N171">
        <v>1766.54844</v>
      </c>
      <c r="O171">
        <f t="shared" si="24"/>
        <v>8.8327422000000002</v>
      </c>
      <c r="Q171">
        <v>1681.4008699999999</v>
      </c>
      <c r="R171">
        <f t="shared" si="25"/>
        <v>8.4070043499999993</v>
      </c>
    </row>
    <row r="172" spans="1:18" x14ac:dyDescent="0.3">
      <c r="A172">
        <v>8.92</v>
      </c>
      <c r="B172">
        <f t="shared" si="19"/>
        <v>1784</v>
      </c>
      <c r="C172">
        <v>0.36199999999999999</v>
      </c>
      <c r="D172" s="1">
        <v>2.3765942081809044E-2</v>
      </c>
      <c r="E172">
        <f t="shared" si="20"/>
        <v>1784</v>
      </c>
      <c r="F172">
        <f t="shared" si="21"/>
        <v>1.9265942081809043E-2</v>
      </c>
      <c r="I172">
        <f t="shared" si="18"/>
        <v>0.57399220336973666</v>
      </c>
      <c r="K172">
        <f t="shared" si="22"/>
        <v>0.58096647440335158</v>
      </c>
      <c r="L172">
        <f t="shared" si="23"/>
        <v>-0.64075867737186587</v>
      </c>
      <c r="N172">
        <v>1776.6302800000001</v>
      </c>
      <c r="O172">
        <f t="shared" si="24"/>
        <v>8.8831514000000009</v>
      </c>
      <c r="Q172">
        <v>1691.2392500000001</v>
      </c>
      <c r="R172">
        <f t="shared" si="25"/>
        <v>8.4561962499999996</v>
      </c>
    </row>
    <row r="173" spans="1:18" x14ac:dyDescent="0.3">
      <c r="A173">
        <v>8.9700000000000006</v>
      </c>
      <c r="B173">
        <f t="shared" si="19"/>
        <v>1794.0000000000002</v>
      </c>
      <c r="C173">
        <v>0.36099999999999999</v>
      </c>
      <c r="D173" s="1">
        <v>2.4312430992722511E-2</v>
      </c>
      <c r="E173">
        <f t="shared" si="20"/>
        <v>1794.0000000000002</v>
      </c>
      <c r="F173">
        <f t="shared" si="21"/>
        <v>1.9812430992722511E-2</v>
      </c>
      <c r="I173">
        <f t="shared" si="18"/>
        <v>0.57908250600472089</v>
      </c>
      <c r="K173">
        <f t="shared" si="22"/>
        <v>0.58623479359309372</v>
      </c>
      <c r="L173">
        <f t="shared" si="23"/>
        <v>-0.63549035818212374</v>
      </c>
      <c r="N173">
        <v>1786.7121</v>
      </c>
      <c r="O173">
        <f t="shared" si="24"/>
        <v>8.9335605000000005</v>
      </c>
      <c r="Q173">
        <v>1700.8829599999999</v>
      </c>
      <c r="R173">
        <f t="shared" si="25"/>
        <v>8.5044147999999993</v>
      </c>
    </row>
    <row r="174" spans="1:18" x14ac:dyDescent="0.3">
      <c r="A174">
        <v>9.02</v>
      </c>
      <c r="B174">
        <f t="shared" si="19"/>
        <v>1804</v>
      </c>
      <c r="C174">
        <v>0.35799999999999998</v>
      </c>
      <c r="D174" s="1">
        <v>2.4244915693998337E-2</v>
      </c>
      <c r="E174">
        <f t="shared" si="20"/>
        <v>1804</v>
      </c>
      <c r="F174">
        <f t="shared" si="21"/>
        <v>1.9744915693998336E-2</v>
      </c>
      <c r="I174">
        <f t="shared" si="18"/>
        <v>0.576689139559865</v>
      </c>
      <c r="K174">
        <f t="shared" si="22"/>
        <v>0.58375781937831639</v>
      </c>
      <c r="L174">
        <f t="shared" si="23"/>
        <v>-0.63796733239690107</v>
      </c>
      <c r="N174">
        <v>1796.79394</v>
      </c>
      <c r="O174">
        <f t="shared" si="24"/>
        <v>8.9839696999999994</v>
      </c>
      <c r="Q174">
        <v>1710.7215100000001</v>
      </c>
      <c r="R174">
        <f t="shared" si="25"/>
        <v>8.5536075500000006</v>
      </c>
    </row>
    <row r="175" spans="1:18" x14ac:dyDescent="0.3">
      <c r="A175">
        <v>9.07</v>
      </c>
      <c r="B175">
        <f t="shared" si="19"/>
        <v>1814</v>
      </c>
      <c r="C175">
        <v>0.35599999999999998</v>
      </c>
      <c r="D175" s="1">
        <v>2.4329442530870438E-2</v>
      </c>
      <c r="E175">
        <f t="shared" si="20"/>
        <v>1814</v>
      </c>
      <c r="F175">
        <f t="shared" si="21"/>
        <v>1.9829442530870437E-2</v>
      </c>
      <c r="I175">
        <f t="shared" si="18"/>
        <v>0.57666804375499492</v>
      </c>
      <c r="K175">
        <f t="shared" si="22"/>
        <v>0.58372732529598481</v>
      </c>
      <c r="L175">
        <f t="shared" si="23"/>
        <v>-0.63799782647923264</v>
      </c>
      <c r="N175">
        <v>1807.3849600000001</v>
      </c>
      <c r="O175">
        <f t="shared" si="24"/>
        <v>9.0369248000000013</v>
      </c>
      <c r="Q175">
        <v>1720.4625599999999</v>
      </c>
      <c r="R175">
        <f t="shared" si="25"/>
        <v>8.6023128</v>
      </c>
    </row>
    <row r="176" spans="1:18" x14ac:dyDescent="0.3">
      <c r="A176">
        <v>9.1199999999999992</v>
      </c>
      <c r="B176">
        <f t="shared" si="19"/>
        <v>1823.9999999999998</v>
      </c>
      <c r="C176">
        <v>0.35399999999999998</v>
      </c>
      <c r="D176" s="1">
        <v>2.4736572057008743E-2</v>
      </c>
      <c r="E176">
        <f t="shared" si="20"/>
        <v>1823.9999999999998</v>
      </c>
      <c r="F176">
        <f t="shared" si="21"/>
        <v>2.0236572057008743E-2</v>
      </c>
      <c r="I176">
        <f t="shared" si="18"/>
        <v>0.57959753715991968</v>
      </c>
      <c r="K176">
        <f t="shared" si="22"/>
        <v>0.58676128366810076</v>
      </c>
      <c r="L176">
        <f t="shared" si="23"/>
        <v>-0.63496386810711669</v>
      </c>
      <c r="N176">
        <v>1817.4667999999999</v>
      </c>
      <c r="O176">
        <f t="shared" si="24"/>
        <v>9.0873340000000002</v>
      </c>
      <c r="Q176">
        <v>1730.1062400000001</v>
      </c>
      <c r="R176">
        <f t="shared" si="25"/>
        <v>8.6505311999999996</v>
      </c>
    </row>
    <row r="177" spans="1:18" x14ac:dyDescent="0.3">
      <c r="A177">
        <v>9.17</v>
      </c>
      <c r="B177">
        <f t="shared" si="19"/>
        <v>1834</v>
      </c>
      <c r="C177">
        <v>0.35199999999999998</v>
      </c>
      <c r="D177" s="1">
        <v>2.427547425031662E-2</v>
      </c>
      <c r="E177">
        <f t="shared" si="20"/>
        <v>1834</v>
      </c>
      <c r="F177">
        <f t="shared" si="21"/>
        <v>1.9775474250316619E-2</v>
      </c>
      <c r="I177">
        <f t="shared" si="18"/>
        <v>0.57460609887540337</v>
      </c>
      <c r="K177">
        <f t="shared" si="22"/>
        <v>0.58156706581151485</v>
      </c>
      <c r="L177">
        <f t="shared" si="23"/>
        <v>-0.64015808596370261</v>
      </c>
      <c r="N177">
        <v>1828.36348</v>
      </c>
      <c r="O177">
        <f t="shared" si="24"/>
        <v>9.1418174000000008</v>
      </c>
      <c r="Q177">
        <v>1740.04215</v>
      </c>
      <c r="R177">
        <f t="shared" si="25"/>
        <v>8.7002107500000001</v>
      </c>
    </row>
    <row r="178" spans="1:18" x14ac:dyDescent="0.3">
      <c r="A178">
        <v>9.2200000000000006</v>
      </c>
      <c r="B178">
        <f t="shared" si="19"/>
        <v>1844.0000000000002</v>
      </c>
      <c r="C178">
        <v>0.35</v>
      </c>
      <c r="D178" s="1">
        <v>2.4188827723264694E-2</v>
      </c>
      <c r="E178">
        <f t="shared" si="20"/>
        <v>1844.0000000000002</v>
      </c>
      <c r="F178">
        <f t="shared" si="21"/>
        <v>1.9688827723264694E-2</v>
      </c>
      <c r="I178">
        <f t="shared" si="18"/>
        <v>0.57302099160850051</v>
      </c>
      <c r="K178">
        <f t="shared" si="22"/>
        <v>0.57991208131164318</v>
      </c>
      <c r="L178">
        <f t="shared" si="23"/>
        <v>-0.64181307046357428</v>
      </c>
      <c r="N178">
        <v>1838.5468800000001</v>
      </c>
      <c r="O178">
        <f t="shared" si="24"/>
        <v>9.1927344000000009</v>
      </c>
      <c r="Q178">
        <v>1750.4650899999999</v>
      </c>
      <c r="R178">
        <f t="shared" si="25"/>
        <v>8.752325449999999</v>
      </c>
    </row>
    <row r="179" spans="1:18" x14ac:dyDescent="0.3">
      <c r="A179">
        <v>9.2799999999999994</v>
      </c>
      <c r="B179">
        <f t="shared" si="19"/>
        <v>1855.9999999999998</v>
      </c>
      <c r="C179">
        <v>0.34799999999999998</v>
      </c>
      <c r="D179" s="1">
        <v>2.4591587483882904E-2</v>
      </c>
      <c r="E179">
        <f t="shared" si="20"/>
        <v>1855.9999999999998</v>
      </c>
      <c r="F179">
        <f t="shared" si="21"/>
        <v>2.0091587483882904E-2</v>
      </c>
      <c r="I179">
        <f t="shared" si="18"/>
        <v>0.57620993185043334</v>
      </c>
      <c r="K179">
        <f t="shared" si="22"/>
        <v>0.5832018042948246</v>
      </c>
      <c r="L179">
        <f t="shared" si="23"/>
        <v>-0.63852334748039286</v>
      </c>
      <c r="N179">
        <v>1849.0361399999999</v>
      </c>
      <c r="O179">
        <f t="shared" si="24"/>
        <v>9.2451806999999988</v>
      </c>
      <c r="Q179">
        <v>1760.69336</v>
      </c>
      <c r="R179">
        <f t="shared" si="25"/>
        <v>8.8034668000000007</v>
      </c>
    </row>
    <row r="180" spans="1:18" x14ac:dyDescent="0.3">
      <c r="A180">
        <v>9.33</v>
      </c>
      <c r="B180">
        <f t="shared" si="19"/>
        <v>1866</v>
      </c>
      <c r="C180">
        <v>0.34599999999999997</v>
      </c>
      <c r="D180" s="1">
        <v>2.4872282519936562E-2</v>
      </c>
      <c r="E180">
        <f t="shared" si="20"/>
        <v>1866</v>
      </c>
      <c r="F180">
        <f t="shared" si="21"/>
        <v>2.0372282519936561E-2</v>
      </c>
      <c r="I180">
        <f t="shared" si="18"/>
        <v>0.57805839591100816</v>
      </c>
      <c r="K180">
        <f t="shared" si="22"/>
        <v>0.58510720566290619</v>
      </c>
      <c r="L180">
        <f t="shared" si="23"/>
        <v>-0.63661794611231126</v>
      </c>
      <c r="N180">
        <v>1859.11796</v>
      </c>
      <c r="O180">
        <f t="shared" si="24"/>
        <v>9.2955898000000001</v>
      </c>
      <c r="Q180">
        <v>1770.82412</v>
      </c>
      <c r="R180">
        <f t="shared" si="25"/>
        <v>8.8541205999999999</v>
      </c>
    </row>
    <row r="181" spans="1:18" x14ac:dyDescent="0.3">
      <c r="A181">
        <v>9.3800000000000008</v>
      </c>
      <c r="B181">
        <f t="shared" si="19"/>
        <v>1876.0000000000002</v>
      </c>
      <c r="C181">
        <v>0.34300000000000003</v>
      </c>
      <c r="D181" s="1">
        <v>2.4994742125272751E-2</v>
      </c>
      <c r="E181">
        <f t="shared" si="20"/>
        <v>1876.0000000000002</v>
      </c>
      <c r="F181">
        <f t="shared" si="21"/>
        <v>2.049474212527275E-2</v>
      </c>
      <c r="I181">
        <f t="shared" si="18"/>
        <v>0.57745068113505849</v>
      </c>
      <c r="K181">
        <f t="shared" si="22"/>
        <v>0.58448037768402705</v>
      </c>
      <c r="L181">
        <f t="shared" si="23"/>
        <v>-0.6372447740911904</v>
      </c>
      <c r="N181">
        <v>1870.1164000000001</v>
      </c>
      <c r="O181">
        <f t="shared" si="24"/>
        <v>9.3505820000000011</v>
      </c>
      <c r="Q181">
        <v>1780.85735</v>
      </c>
      <c r="R181">
        <f t="shared" si="25"/>
        <v>8.9042867500000007</v>
      </c>
    </row>
    <row r="182" spans="1:18" x14ac:dyDescent="0.3">
      <c r="A182">
        <v>9.43</v>
      </c>
      <c r="B182">
        <f t="shared" si="19"/>
        <v>1886</v>
      </c>
      <c r="C182">
        <v>0.34100000000000003</v>
      </c>
      <c r="D182" s="1">
        <v>2.505173347890377E-2</v>
      </c>
      <c r="E182">
        <f t="shared" si="20"/>
        <v>1886</v>
      </c>
      <c r="F182">
        <f t="shared" si="21"/>
        <v>2.055173347890377E-2</v>
      </c>
      <c r="I182">
        <f t="shared" si="18"/>
        <v>0.5772378467060626</v>
      </c>
      <c r="K182">
        <f t="shared" si="22"/>
        <v>0.58424598782236881</v>
      </c>
      <c r="L182">
        <f t="shared" si="23"/>
        <v>-0.63747916395284865</v>
      </c>
      <c r="N182">
        <v>1880.60546</v>
      </c>
      <c r="O182">
        <f t="shared" si="24"/>
        <v>9.4030272999999998</v>
      </c>
      <c r="Q182">
        <v>1791.08563</v>
      </c>
      <c r="R182">
        <f t="shared" si="25"/>
        <v>8.9554281499999995</v>
      </c>
    </row>
    <row r="183" spans="1:18" x14ac:dyDescent="0.3">
      <c r="A183">
        <v>9.48</v>
      </c>
      <c r="B183">
        <f t="shared" si="19"/>
        <v>1896</v>
      </c>
      <c r="C183">
        <v>0.33900000000000002</v>
      </c>
      <c r="D183" s="1">
        <v>2.4565804749727249E-2</v>
      </c>
      <c r="E183">
        <f t="shared" si="20"/>
        <v>1896</v>
      </c>
      <c r="F183">
        <f t="shared" si="21"/>
        <v>2.0065804749727249E-2</v>
      </c>
      <c r="I183">
        <f t="shared" si="18"/>
        <v>0.57188382902741441</v>
      </c>
      <c r="K183">
        <f t="shared" si="22"/>
        <v>0.57868613683757197</v>
      </c>
      <c r="L183">
        <f t="shared" si="23"/>
        <v>-0.64303901493764548</v>
      </c>
      <c r="N183">
        <v>1890.99296</v>
      </c>
      <c r="O183">
        <f t="shared" si="24"/>
        <v>9.4549648000000008</v>
      </c>
      <c r="Q183">
        <v>1800.7293199999999</v>
      </c>
      <c r="R183">
        <f t="shared" si="25"/>
        <v>9.0036465999999997</v>
      </c>
    </row>
    <row r="184" spans="1:18" x14ac:dyDescent="0.3">
      <c r="A184">
        <v>9.5299999999999994</v>
      </c>
      <c r="B184">
        <f t="shared" si="19"/>
        <v>1905.9999999999998</v>
      </c>
      <c r="C184">
        <v>0.33700000000000002</v>
      </c>
      <c r="D184" s="1">
        <v>2.4296250194311142E-2</v>
      </c>
      <c r="E184">
        <f t="shared" si="20"/>
        <v>1905.9999999999998</v>
      </c>
      <c r="F184">
        <f t="shared" si="21"/>
        <v>1.9796250194311141E-2</v>
      </c>
      <c r="I184">
        <f t="shared" si="18"/>
        <v>0.56854326435178515</v>
      </c>
      <c r="K184">
        <f t="shared" si="22"/>
        <v>0.57521460066726804</v>
      </c>
      <c r="L184">
        <f t="shared" si="23"/>
        <v>-0.64651055110794942</v>
      </c>
      <c r="N184">
        <v>1901.0748000000001</v>
      </c>
      <c r="O184">
        <f t="shared" si="24"/>
        <v>9.5053739999999998</v>
      </c>
      <c r="Q184">
        <v>1810.6652300000001</v>
      </c>
      <c r="R184">
        <f t="shared" si="25"/>
        <v>9.0533261500000002</v>
      </c>
    </row>
    <row r="185" spans="1:18" x14ac:dyDescent="0.3">
      <c r="A185">
        <v>9.58</v>
      </c>
      <c r="B185">
        <f t="shared" si="19"/>
        <v>1916</v>
      </c>
      <c r="C185">
        <v>0.33500000000000002</v>
      </c>
      <c r="D185" s="1">
        <v>2.4016488343477249E-2</v>
      </c>
      <c r="E185">
        <f t="shared" si="20"/>
        <v>1916</v>
      </c>
      <c r="F185">
        <f t="shared" si="21"/>
        <v>1.9516488343477249E-2</v>
      </c>
      <c r="I185">
        <f t="shared" si="18"/>
        <v>0.56507795833051211</v>
      </c>
      <c r="K185">
        <f t="shared" si="22"/>
        <v>0.57161598192557694</v>
      </c>
      <c r="L185">
        <f t="shared" si="23"/>
        <v>-0.65010916984964051</v>
      </c>
      <c r="N185">
        <v>1911.1566399999999</v>
      </c>
      <c r="O185">
        <f t="shared" si="24"/>
        <v>9.5557832000000005</v>
      </c>
      <c r="Q185">
        <v>1820.40644</v>
      </c>
      <c r="R185">
        <f t="shared" si="25"/>
        <v>9.1020322</v>
      </c>
    </row>
    <row r="186" spans="1:18" x14ac:dyDescent="0.3">
      <c r="A186">
        <v>9.6300000000000008</v>
      </c>
      <c r="B186">
        <f t="shared" si="19"/>
        <v>1926.0000000000002</v>
      </c>
      <c r="C186">
        <v>0.33300000000000002</v>
      </c>
      <c r="D186" s="1">
        <v>2.4950046092271805E-2</v>
      </c>
      <c r="E186">
        <f t="shared" si="20"/>
        <v>1926.0000000000002</v>
      </c>
      <c r="F186">
        <f t="shared" si="21"/>
        <v>2.0450046092271804E-2</v>
      </c>
      <c r="I186">
        <f t="shared" si="18"/>
        <v>0.57326894386857752</v>
      </c>
      <c r="K186">
        <f t="shared" si="22"/>
        <v>0.58007880921730404</v>
      </c>
      <c r="L186">
        <f t="shared" si="23"/>
        <v>-0.64164634255791342</v>
      </c>
      <c r="N186">
        <v>1921.74746</v>
      </c>
      <c r="O186">
        <f t="shared" si="24"/>
        <v>9.6087372999999996</v>
      </c>
      <c r="Q186">
        <v>1830.43967</v>
      </c>
      <c r="R186">
        <f t="shared" si="25"/>
        <v>9.152198349999999</v>
      </c>
    </row>
    <row r="187" spans="1:18" x14ac:dyDescent="0.3">
      <c r="A187">
        <v>9.69</v>
      </c>
      <c r="B187">
        <f t="shared" si="19"/>
        <v>1938</v>
      </c>
      <c r="C187">
        <v>0.33</v>
      </c>
      <c r="D187" s="1">
        <v>2.4746935814619064E-2</v>
      </c>
      <c r="E187">
        <f t="shared" si="20"/>
        <v>1938</v>
      </c>
      <c r="F187">
        <f t="shared" si="21"/>
        <v>2.0246935814619064E-2</v>
      </c>
      <c r="I187">
        <f t="shared" si="18"/>
        <v>0.56979780804365876</v>
      </c>
      <c r="K187">
        <f t="shared" si="22"/>
        <v>0.576479296862483</v>
      </c>
      <c r="L187">
        <f t="shared" si="23"/>
        <v>-0.64524585491273445</v>
      </c>
      <c r="N187">
        <v>1931.9312600000001</v>
      </c>
      <c r="O187">
        <f t="shared" si="24"/>
        <v>9.6596563</v>
      </c>
    </row>
    <row r="188" spans="1:18" x14ac:dyDescent="0.3">
      <c r="A188">
        <v>9.74</v>
      </c>
      <c r="B188">
        <f t="shared" si="19"/>
        <v>1948</v>
      </c>
      <c r="C188">
        <v>0.32800000000000001</v>
      </c>
      <c r="D188" s="1">
        <v>2.47977115213871E-2</v>
      </c>
      <c r="E188">
        <f t="shared" si="20"/>
        <v>1948</v>
      </c>
      <c r="F188">
        <f t="shared" si="21"/>
        <v>2.02977115213871E-2</v>
      </c>
      <c r="I188">
        <f t="shared" si="18"/>
        <v>0.56952971021831034</v>
      </c>
      <c r="K188">
        <f t="shared" si="22"/>
        <v>0.57618735959732525</v>
      </c>
      <c r="L188">
        <f t="shared" si="23"/>
        <v>-0.6455377921778922</v>
      </c>
      <c r="N188">
        <v>1942.4203199999999</v>
      </c>
      <c r="O188">
        <f t="shared" si="24"/>
        <v>9.7121016000000004</v>
      </c>
    </row>
    <row r="189" spans="1:18" x14ac:dyDescent="0.3">
      <c r="A189">
        <v>9.7899999999999991</v>
      </c>
      <c r="B189">
        <f t="shared" si="19"/>
        <v>1957.9999999999998</v>
      </c>
      <c r="C189">
        <v>0.32700000000000001</v>
      </c>
      <c r="D189" s="1">
        <v>2.4553913623094559E-2</v>
      </c>
      <c r="E189">
        <f t="shared" si="20"/>
        <v>1957.9999999999998</v>
      </c>
      <c r="F189">
        <f t="shared" si="21"/>
        <v>2.0053913623094558E-2</v>
      </c>
      <c r="I189">
        <f t="shared" si="18"/>
        <v>0.56738281437009574</v>
      </c>
      <c r="K189">
        <f t="shared" si="22"/>
        <v>0.57394044412484768</v>
      </c>
      <c r="L189">
        <f t="shared" si="23"/>
        <v>-0.64778470765036977</v>
      </c>
      <c r="N189">
        <v>1952.70606</v>
      </c>
      <c r="O189">
        <f t="shared" si="24"/>
        <v>9.7635302999999993</v>
      </c>
    </row>
    <row r="190" spans="1:18" x14ac:dyDescent="0.3">
      <c r="A190">
        <v>9.84</v>
      </c>
      <c r="B190">
        <f t="shared" si="19"/>
        <v>1968</v>
      </c>
      <c r="C190">
        <v>0.32400000000000001</v>
      </c>
      <c r="D190" s="1">
        <v>2.4869997054338455E-2</v>
      </c>
      <c r="E190">
        <f t="shared" si="20"/>
        <v>1968</v>
      </c>
      <c r="F190">
        <f t="shared" si="21"/>
        <v>2.0369997054338455E-2</v>
      </c>
      <c r="I190">
        <f t="shared" si="18"/>
        <v>0.56872077101469043</v>
      </c>
      <c r="K190">
        <f t="shared" si="22"/>
        <v>0.57532065006029609</v>
      </c>
      <c r="L190">
        <f t="shared" si="23"/>
        <v>-0.64640450171492136</v>
      </c>
      <c r="N190">
        <v>1962.8894600000001</v>
      </c>
      <c r="O190">
        <f t="shared" si="24"/>
        <v>9.8144473000000012</v>
      </c>
    </row>
    <row r="191" spans="1:18" x14ac:dyDescent="0.3">
      <c r="A191">
        <v>9.9</v>
      </c>
      <c r="B191">
        <f t="shared" si="19"/>
        <v>1980</v>
      </c>
      <c r="C191">
        <v>0.32200000000000001</v>
      </c>
      <c r="D191" s="1">
        <v>2.4348245933651924E-2</v>
      </c>
      <c r="E191">
        <f t="shared" si="20"/>
        <v>1980</v>
      </c>
      <c r="F191">
        <f t="shared" si="21"/>
        <v>1.9848245933651924E-2</v>
      </c>
      <c r="I191">
        <f t="shared" si="18"/>
        <v>0.56304763474315411</v>
      </c>
      <c r="K191">
        <f t="shared" si="22"/>
        <v>0.56943876993379006</v>
      </c>
      <c r="L191">
        <f t="shared" si="23"/>
        <v>-0.6522863818414274</v>
      </c>
      <c r="N191">
        <v>1973.0732399999999</v>
      </c>
      <c r="O191">
        <f t="shared" si="24"/>
        <v>9.8653662000000004</v>
      </c>
    </row>
    <row r="192" spans="1:18" x14ac:dyDescent="0.3">
      <c r="A192">
        <v>9.9499999999999993</v>
      </c>
      <c r="B192">
        <f t="shared" si="19"/>
        <v>1989.9999999999998</v>
      </c>
      <c r="C192">
        <v>0.32</v>
      </c>
      <c r="D192" s="1">
        <v>2.5444960221648216E-2</v>
      </c>
      <c r="E192">
        <f t="shared" si="20"/>
        <v>1989.9999999999998</v>
      </c>
      <c r="F192">
        <f t="shared" si="21"/>
        <v>2.0944960221648216E-2</v>
      </c>
      <c r="I192">
        <f t="shared" si="18"/>
        <v>0.57317735420539973</v>
      </c>
      <c r="K192">
        <f t="shared" si="22"/>
        <v>0.57987974147632715</v>
      </c>
      <c r="L192">
        <f t="shared" si="23"/>
        <v>-0.64184541029889031</v>
      </c>
      <c r="N192">
        <v>1983.25684</v>
      </c>
      <c r="O192">
        <f t="shared" si="24"/>
        <v>9.9162841999999998</v>
      </c>
    </row>
    <row r="193" spans="1:15" x14ac:dyDescent="0.3">
      <c r="A193">
        <v>10</v>
      </c>
      <c r="B193">
        <f t="shared" si="19"/>
        <v>2000</v>
      </c>
      <c r="C193">
        <v>0.317</v>
      </c>
      <c r="D193" s="1">
        <v>2.464304119348526E-2</v>
      </c>
      <c r="E193">
        <f t="shared" si="20"/>
        <v>2000</v>
      </c>
      <c r="F193">
        <f t="shared" si="21"/>
        <v>2.0143041193485259E-2</v>
      </c>
      <c r="I193">
        <f t="shared" si="18"/>
        <v>0.56343041193485255</v>
      </c>
      <c r="K193">
        <f t="shared" si="22"/>
        <v>0.56981575599318735</v>
      </c>
      <c r="L193">
        <f t="shared" si="23"/>
        <v>-0.65190939578203011</v>
      </c>
      <c r="N193">
        <v>1993.6443400000001</v>
      </c>
      <c r="O193">
        <f t="shared" si="24"/>
        <v>9.9682217000000009</v>
      </c>
    </row>
    <row r="194" spans="1:15" x14ac:dyDescent="0.3">
      <c r="A194">
        <v>10</v>
      </c>
      <c r="B194">
        <f t="shared" si="19"/>
        <v>2000</v>
      </c>
      <c r="C194">
        <v>0.315</v>
      </c>
      <c r="D194" s="1">
        <v>2.4760615080595016E-2</v>
      </c>
      <c r="E194">
        <f t="shared" si="20"/>
        <v>2000</v>
      </c>
      <c r="F194">
        <f t="shared" si="21"/>
        <v>2.0260615080595016E-2</v>
      </c>
      <c r="I194">
        <f t="shared" ref="I194:I223" si="27">C194+(D194*A194)</f>
        <v>0.56260615080595011</v>
      </c>
      <c r="K194">
        <f t="shared" si="22"/>
        <v>0.56898824455633756</v>
      </c>
      <c r="L194">
        <f t="shared" si="23"/>
        <v>-0.65273690721887989</v>
      </c>
      <c r="N194">
        <v>2004.2352000000001</v>
      </c>
      <c r="O194">
        <f t="shared" si="24"/>
        <v>10.021176000000001</v>
      </c>
    </row>
    <row r="195" spans="1:15" x14ac:dyDescent="0.3">
      <c r="A195">
        <v>10.1</v>
      </c>
      <c r="B195">
        <f t="shared" ref="B195:B223" si="28">A195*200</f>
        <v>2020</v>
      </c>
      <c r="C195">
        <v>0.313</v>
      </c>
      <c r="D195" s="1">
        <v>2.4760615080595016E-2</v>
      </c>
      <c r="E195">
        <f t="shared" ref="E195:E223" si="29">B195</f>
        <v>2020</v>
      </c>
      <c r="F195">
        <f t="shared" ref="F195" si="30">D195-0.0045</f>
        <v>2.0260615080595016E-2</v>
      </c>
      <c r="I195">
        <f t="shared" si="27"/>
        <v>0.56308221231400968</v>
      </c>
      <c r="K195">
        <f t="shared" ref="K195:K223" si="31">I195+(F195*C195)</f>
        <v>0.56942378483423595</v>
      </c>
      <c r="L195">
        <f t="shared" ref="L195:L223" si="32">K195-$I$1</f>
        <v>-0.65230136694098151</v>
      </c>
      <c r="N195">
        <v>2014.4190000000001</v>
      </c>
      <c r="O195">
        <f t="shared" ref="O195:O232" si="33">N195/200</f>
        <v>10.072095000000001</v>
      </c>
    </row>
    <row r="196" spans="1:15" x14ac:dyDescent="0.3">
      <c r="A196">
        <v>10.199999999999999</v>
      </c>
      <c r="B196">
        <f t="shared" si="28"/>
        <v>2039.9999999999998</v>
      </c>
      <c r="C196">
        <v>0.311</v>
      </c>
      <c r="D196" s="1">
        <v>2.4E-2</v>
      </c>
      <c r="E196">
        <f t="shared" si="29"/>
        <v>2039.9999999999998</v>
      </c>
      <c r="F196">
        <v>2.0369997054338455E-2</v>
      </c>
      <c r="I196">
        <f t="shared" si="27"/>
        <v>0.55579999999999996</v>
      </c>
      <c r="K196">
        <f t="shared" si="31"/>
        <v>0.56213506908389921</v>
      </c>
      <c r="L196">
        <f t="shared" si="32"/>
        <v>-0.65959008269131825</v>
      </c>
      <c r="N196">
        <v>2024.6025999999999</v>
      </c>
      <c r="O196">
        <f t="shared" si="33"/>
        <v>10.123013</v>
      </c>
    </row>
    <row r="197" spans="1:15" x14ac:dyDescent="0.3">
      <c r="A197">
        <v>10.199999999999999</v>
      </c>
      <c r="B197">
        <f t="shared" si="28"/>
        <v>2039.9999999999998</v>
      </c>
      <c r="C197">
        <v>0.309</v>
      </c>
      <c r="D197" s="1">
        <v>2.4E-2</v>
      </c>
      <c r="E197">
        <f t="shared" si="29"/>
        <v>2039.9999999999998</v>
      </c>
      <c r="F197">
        <v>1.9848245933651924E-2</v>
      </c>
      <c r="I197">
        <f t="shared" si="27"/>
        <v>0.55379999999999996</v>
      </c>
      <c r="K197">
        <f t="shared" si="31"/>
        <v>0.55993310799349838</v>
      </c>
      <c r="L197">
        <f t="shared" si="32"/>
        <v>-0.66179204378171907</v>
      </c>
      <c r="N197">
        <v>2035.0917999999999</v>
      </c>
      <c r="O197">
        <f t="shared" si="33"/>
        <v>10.175459</v>
      </c>
    </row>
    <row r="198" spans="1:15" x14ac:dyDescent="0.3">
      <c r="A198">
        <v>10.3</v>
      </c>
      <c r="B198">
        <f t="shared" si="28"/>
        <v>2060</v>
      </c>
      <c r="C198">
        <v>0.30599999999999999</v>
      </c>
      <c r="D198" s="1">
        <v>2.4E-2</v>
      </c>
      <c r="E198">
        <f t="shared" si="29"/>
        <v>2060</v>
      </c>
      <c r="F198">
        <v>2.0944960221648216E-2</v>
      </c>
      <c r="I198">
        <f t="shared" si="27"/>
        <v>0.55320000000000003</v>
      </c>
      <c r="K198">
        <f t="shared" si="31"/>
        <v>0.55960915782782439</v>
      </c>
      <c r="L198">
        <f t="shared" si="32"/>
        <v>-0.66211599394739307</v>
      </c>
      <c r="N198">
        <v>2045.1733999999999</v>
      </c>
      <c r="O198">
        <f t="shared" si="33"/>
        <v>10.225866999999999</v>
      </c>
    </row>
    <row r="199" spans="1:15" x14ac:dyDescent="0.3">
      <c r="A199">
        <v>10.3</v>
      </c>
      <c r="B199">
        <f t="shared" si="28"/>
        <v>2060</v>
      </c>
      <c r="C199">
        <v>0.30399999999999999</v>
      </c>
      <c r="D199" s="1">
        <v>2.4E-2</v>
      </c>
      <c r="E199">
        <f t="shared" si="29"/>
        <v>2060</v>
      </c>
      <c r="F199">
        <v>2.0143041193485259E-2</v>
      </c>
      <c r="I199">
        <f t="shared" si="27"/>
        <v>0.55120000000000002</v>
      </c>
      <c r="K199">
        <f t="shared" si="31"/>
        <v>0.55732348452281955</v>
      </c>
      <c r="L199">
        <f t="shared" si="32"/>
        <v>-0.66440166725239791</v>
      </c>
      <c r="N199">
        <v>2056.0700000000002</v>
      </c>
      <c r="O199">
        <f t="shared" si="33"/>
        <v>10.28035</v>
      </c>
    </row>
    <row r="200" spans="1:15" x14ac:dyDescent="0.3">
      <c r="A200">
        <v>10.4</v>
      </c>
      <c r="B200">
        <f t="shared" si="28"/>
        <v>2080</v>
      </c>
      <c r="C200">
        <v>0.30099999999999999</v>
      </c>
      <c r="D200" s="1">
        <v>2.4E-2</v>
      </c>
      <c r="E200">
        <f t="shared" si="29"/>
        <v>2080</v>
      </c>
      <c r="F200">
        <v>1.9744915693998336E-2</v>
      </c>
      <c r="I200">
        <f t="shared" si="27"/>
        <v>0.55059999999999998</v>
      </c>
      <c r="K200">
        <f t="shared" si="31"/>
        <v>0.55654321962389353</v>
      </c>
      <c r="L200">
        <f t="shared" si="32"/>
        <v>-0.66518193215132393</v>
      </c>
      <c r="N200">
        <v>2066.1518000000001</v>
      </c>
      <c r="O200">
        <f t="shared" si="33"/>
        <v>10.330759</v>
      </c>
    </row>
    <row r="201" spans="1:15" x14ac:dyDescent="0.3">
      <c r="A201">
        <v>10.4</v>
      </c>
      <c r="B201">
        <f t="shared" si="28"/>
        <v>2080</v>
      </c>
      <c r="C201">
        <v>0.29899999999999999</v>
      </c>
      <c r="D201" s="1">
        <v>2.4E-2</v>
      </c>
      <c r="E201">
        <f t="shared" si="29"/>
        <v>2080</v>
      </c>
      <c r="F201">
        <v>1.9829442530870437E-2</v>
      </c>
      <c r="I201">
        <f t="shared" si="27"/>
        <v>0.54859999999999998</v>
      </c>
      <c r="K201">
        <f t="shared" si="31"/>
        <v>0.55452900331673027</v>
      </c>
      <c r="L201">
        <f t="shared" si="32"/>
        <v>-0.66719614845848718</v>
      </c>
      <c r="N201">
        <v>2076.2338</v>
      </c>
      <c r="O201">
        <f t="shared" si="33"/>
        <v>10.381169</v>
      </c>
    </row>
    <row r="202" spans="1:15" x14ac:dyDescent="0.3">
      <c r="A202">
        <v>10.5</v>
      </c>
      <c r="B202">
        <f t="shared" si="28"/>
        <v>2100</v>
      </c>
      <c r="C202">
        <v>0.29699999999999999</v>
      </c>
      <c r="D202" s="1">
        <v>2.4E-2</v>
      </c>
      <c r="E202">
        <f t="shared" si="29"/>
        <v>2100</v>
      </c>
      <c r="F202">
        <v>2.0236572057008743E-2</v>
      </c>
      <c r="I202">
        <f t="shared" si="27"/>
        <v>0.54899999999999993</v>
      </c>
      <c r="K202">
        <f t="shared" si="31"/>
        <v>0.5550102619009315</v>
      </c>
      <c r="L202">
        <f t="shared" si="32"/>
        <v>-0.66671488987428595</v>
      </c>
      <c r="N202">
        <v>2086.5194000000001</v>
      </c>
      <c r="O202">
        <f t="shared" si="33"/>
        <v>10.432597000000001</v>
      </c>
    </row>
    <row r="203" spans="1:15" x14ac:dyDescent="0.3">
      <c r="A203">
        <v>10.5</v>
      </c>
      <c r="B203">
        <f t="shared" si="28"/>
        <v>2100</v>
      </c>
      <c r="C203">
        <v>0.29499999999999998</v>
      </c>
      <c r="D203" s="1">
        <v>2.4E-2</v>
      </c>
      <c r="E203">
        <f t="shared" si="29"/>
        <v>2100</v>
      </c>
      <c r="F203">
        <v>1.9775474250316619E-2</v>
      </c>
      <c r="I203">
        <f t="shared" si="27"/>
        <v>0.54699999999999993</v>
      </c>
      <c r="K203">
        <f t="shared" si="31"/>
        <v>0.55283376490384328</v>
      </c>
      <c r="L203">
        <f t="shared" si="32"/>
        <v>-0.66889138687137417</v>
      </c>
      <c r="N203">
        <v>2097.1102000000001</v>
      </c>
      <c r="O203">
        <f t="shared" si="33"/>
        <v>10.485551000000001</v>
      </c>
    </row>
    <row r="204" spans="1:15" x14ac:dyDescent="0.3">
      <c r="A204">
        <v>10.6</v>
      </c>
      <c r="B204">
        <f t="shared" si="28"/>
        <v>2120</v>
      </c>
      <c r="C204">
        <v>0.29299999999999998</v>
      </c>
      <c r="D204" s="1">
        <v>2.4E-2</v>
      </c>
      <c r="E204">
        <f t="shared" si="29"/>
        <v>2120</v>
      </c>
      <c r="F204">
        <v>1.9688827723264694E-2</v>
      </c>
      <c r="I204">
        <f t="shared" si="27"/>
        <v>0.5474</v>
      </c>
      <c r="K204">
        <f t="shared" si="31"/>
        <v>0.55316882652291655</v>
      </c>
      <c r="L204">
        <f t="shared" si="32"/>
        <v>-0.66855632525230091</v>
      </c>
      <c r="N204">
        <v>2107.2939999999999</v>
      </c>
      <c r="O204">
        <f t="shared" si="33"/>
        <v>10.53647</v>
      </c>
    </row>
    <row r="205" spans="1:15" x14ac:dyDescent="0.3">
      <c r="A205">
        <v>10.6</v>
      </c>
      <c r="B205">
        <f t="shared" si="28"/>
        <v>2120</v>
      </c>
      <c r="C205">
        <v>0.29099999999999998</v>
      </c>
      <c r="D205" s="1">
        <v>2.4E-2</v>
      </c>
      <c r="E205">
        <f t="shared" si="29"/>
        <v>2120</v>
      </c>
      <c r="F205">
        <v>2.0091587483882904E-2</v>
      </c>
      <c r="I205">
        <f t="shared" si="27"/>
        <v>0.5454</v>
      </c>
      <c r="K205">
        <f t="shared" si="31"/>
        <v>0.55124665195780997</v>
      </c>
      <c r="L205">
        <f t="shared" si="32"/>
        <v>-0.67047849981740748</v>
      </c>
      <c r="N205">
        <v>2117.4776000000002</v>
      </c>
      <c r="O205">
        <f t="shared" si="33"/>
        <v>10.587388000000001</v>
      </c>
    </row>
    <row r="206" spans="1:15" x14ac:dyDescent="0.3">
      <c r="A206">
        <v>10.7</v>
      </c>
      <c r="B206">
        <f t="shared" si="28"/>
        <v>2140</v>
      </c>
      <c r="C206">
        <v>0.28799999999999998</v>
      </c>
      <c r="D206" s="1">
        <v>2.4E-2</v>
      </c>
      <c r="E206">
        <f t="shared" si="29"/>
        <v>2140</v>
      </c>
      <c r="F206">
        <v>2.0372282519936561E-2</v>
      </c>
      <c r="I206">
        <f t="shared" si="27"/>
        <v>0.54479999999999995</v>
      </c>
      <c r="K206">
        <f t="shared" si="31"/>
        <v>0.55066721736574165</v>
      </c>
      <c r="L206">
        <f t="shared" si="32"/>
        <v>-0.67105793440947581</v>
      </c>
      <c r="N206">
        <v>2127.6614</v>
      </c>
      <c r="O206">
        <f t="shared" si="33"/>
        <v>10.638306999999999</v>
      </c>
    </row>
    <row r="207" spans="1:15" x14ac:dyDescent="0.3">
      <c r="A207">
        <v>10.7</v>
      </c>
      <c r="B207">
        <f t="shared" si="28"/>
        <v>2140</v>
      </c>
      <c r="C207">
        <v>0.28599999999999998</v>
      </c>
      <c r="D207" s="1">
        <v>2.4E-2</v>
      </c>
      <c r="E207">
        <f t="shared" si="29"/>
        <v>2140</v>
      </c>
      <c r="F207">
        <v>2.0065804749727249E-2</v>
      </c>
      <c r="I207">
        <f t="shared" si="27"/>
        <v>0.54279999999999995</v>
      </c>
      <c r="K207">
        <f t="shared" si="31"/>
        <v>0.54853882015842192</v>
      </c>
      <c r="L207">
        <f t="shared" si="32"/>
        <v>-0.67318633161679553</v>
      </c>
      <c r="N207">
        <v>2138.6596</v>
      </c>
      <c r="O207">
        <f t="shared" si="33"/>
        <v>10.693298</v>
      </c>
    </row>
    <row r="208" spans="1:15" x14ac:dyDescent="0.3">
      <c r="A208">
        <v>10.8</v>
      </c>
      <c r="B208">
        <f t="shared" si="28"/>
        <v>2160</v>
      </c>
      <c r="C208">
        <v>0.28399999999999997</v>
      </c>
      <c r="D208" s="1">
        <v>2.4E-2</v>
      </c>
      <c r="E208">
        <f t="shared" si="29"/>
        <v>2160</v>
      </c>
      <c r="F208">
        <v>1.9796250194311141E-2</v>
      </c>
      <c r="I208">
        <f t="shared" si="27"/>
        <v>0.54320000000000002</v>
      </c>
      <c r="K208">
        <f t="shared" si="31"/>
        <v>0.5488221350551844</v>
      </c>
      <c r="L208">
        <f t="shared" si="32"/>
        <v>-0.67290301672003305</v>
      </c>
      <c r="N208">
        <v>2149.3524000000002</v>
      </c>
      <c r="O208">
        <f t="shared" si="33"/>
        <v>10.746762</v>
      </c>
    </row>
    <row r="209" spans="1:15" x14ac:dyDescent="0.3">
      <c r="A209">
        <v>10.8</v>
      </c>
      <c r="B209">
        <f t="shared" si="28"/>
        <v>2160</v>
      </c>
      <c r="C209">
        <v>0.28199999999999997</v>
      </c>
      <c r="D209" s="1">
        <v>2.4E-2</v>
      </c>
      <c r="E209">
        <f t="shared" si="29"/>
        <v>2160</v>
      </c>
      <c r="F209">
        <v>1.9516488343477249E-2</v>
      </c>
      <c r="I209">
        <f t="shared" si="27"/>
        <v>0.54120000000000001</v>
      </c>
      <c r="K209">
        <f t="shared" si="31"/>
        <v>0.54670364971286056</v>
      </c>
      <c r="L209">
        <f t="shared" si="32"/>
        <v>-0.67502150206235689</v>
      </c>
      <c r="N209">
        <v>2159.4342000000001</v>
      </c>
      <c r="O209">
        <f t="shared" si="33"/>
        <v>10.797171000000001</v>
      </c>
    </row>
    <row r="210" spans="1:15" x14ac:dyDescent="0.3">
      <c r="A210">
        <v>10.9</v>
      </c>
      <c r="B210">
        <f t="shared" si="28"/>
        <v>2180</v>
      </c>
      <c r="C210">
        <v>0.27900000000000003</v>
      </c>
      <c r="D210" s="1">
        <v>2.4E-2</v>
      </c>
      <c r="E210">
        <f t="shared" si="29"/>
        <v>2180</v>
      </c>
      <c r="F210">
        <v>2.0450046092271804E-2</v>
      </c>
      <c r="I210">
        <f t="shared" si="27"/>
        <v>0.54059999999999997</v>
      </c>
      <c r="K210">
        <f t="shared" si="31"/>
        <v>0.54630556285974385</v>
      </c>
      <c r="L210">
        <f t="shared" si="32"/>
        <v>-0.6754195889154736</v>
      </c>
      <c r="N210">
        <v>2170.0252</v>
      </c>
      <c r="O210">
        <f t="shared" si="33"/>
        <v>10.850125999999999</v>
      </c>
    </row>
    <row r="211" spans="1:15" x14ac:dyDescent="0.3">
      <c r="A211">
        <v>10.9</v>
      </c>
      <c r="B211">
        <f t="shared" si="28"/>
        <v>2180</v>
      </c>
      <c r="C211">
        <v>0.27700000000000002</v>
      </c>
      <c r="D211" s="1">
        <v>2.4E-2</v>
      </c>
      <c r="E211">
        <f t="shared" si="29"/>
        <v>2180</v>
      </c>
      <c r="F211">
        <v>2.0246935814619064E-2</v>
      </c>
      <c r="I211">
        <f t="shared" si="27"/>
        <v>0.53859999999999997</v>
      </c>
      <c r="K211">
        <f t="shared" si="31"/>
        <v>0.5442084012206494</v>
      </c>
      <c r="L211">
        <f t="shared" si="32"/>
        <v>-0.67751675055456806</v>
      </c>
      <c r="N211">
        <v>2180.107</v>
      </c>
      <c r="O211">
        <f t="shared" si="33"/>
        <v>10.900535</v>
      </c>
    </row>
    <row r="212" spans="1:15" x14ac:dyDescent="0.3">
      <c r="A212">
        <v>11</v>
      </c>
      <c r="B212">
        <f t="shared" si="28"/>
        <v>2200</v>
      </c>
      <c r="C212">
        <v>0.27500000000000002</v>
      </c>
      <c r="D212" s="1">
        <v>2.4E-2</v>
      </c>
      <c r="E212">
        <f t="shared" si="29"/>
        <v>2200</v>
      </c>
      <c r="F212">
        <v>2.02977115213871E-2</v>
      </c>
      <c r="I212">
        <f t="shared" si="27"/>
        <v>0.53900000000000003</v>
      </c>
      <c r="K212">
        <f t="shared" si="31"/>
        <v>0.54458187066838148</v>
      </c>
      <c r="L212">
        <f t="shared" si="32"/>
        <v>-0.67714328110683597</v>
      </c>
      <c r="N212">
        <v>2190.6981999999998</v>
      </c>
      <c r="O212">
        <f t="shared" si="33"/>
        <v>10.953491</v>
      </c>
    </row>
    <row r="213" spans="1:15" x14ac:dyDescent="0.3">
      <c r="A213">
        <v>11</v>
      </c>
      <c r="B213">
        <f t="shared" si="28"/>
        <v>2200</v>
      </c>
      <c r="C213">
        <v>0.27200000000000002</v>
      </c>
      <c r="D213" s="1">
        <v>2.4E-2</v>
      </c>
      <c r="E213">
        <f t="shared" si="29"/>
        <v>2200</v>
      </c>
      <c r="F213">
        <v>2.0944960221648216E-2</v>
      </c>
      <c r="I213">
        <f t="shared" si="27"/>
        <v>0.53600000000000003</v>
      </c>
      <c r="K213">
        <f t="shared" si="31"/>
        <v>0.54169702918028839</v>
      </c>
      <c r="L213">
        <f t="shared" si="32"/>
        <v>-0.68002812259492906</v>
      </c>
      <c r="N213">
        <v>2200.7800000000002</v>
      </c>
      <c r="O213">
        <f t="shared" si="33"/>
        <v>11.003900000000002</v>
      </c>
    </row>
    <row r="214" spans="1:15" x14ac:dyDescent="0.3">
      <c r="A214">
        <v>11.1</v>
      </c>
      <c r="B214">
        <f t="shared" si="28"/>
        <v>2220</v>
      </c>
      <c r="C214">
        <v>0.27</v>
      </c>
      <c r="D214" s="1">
        <v>2.4E-2</v>
      </c>
      <c r="E214">
        <f t="shared" si="29"/>
        <v>2220</v>
      </c>
      <c r="F214">
        <v>2.0143041193485259E-2</v>
      </c>
      <c r="I214">
        <f t="shared" si="27"/>
        <v>0.53639999999999999</v>
      </c>
      <c r="K214">
        <f t="shared" si="31"/>
        <v>0.54183862112224102</v>
      </c>
      <c r="L214">
        <f t="shared" si="32"/>
        <v>-0.67988653065297644</v>
      </c>
      <c r="N214">
        <v>2211.0654</v>
      </c>
      <c r="O214">
        <f t="shared" si="33"/>
        <v>11.055327</v>
      </c>
    </row>
    <row r="215" spans="1:15" x14ac:dyDescent="0.3">
      <c r="A215">
        <v>11.1</v>
      </c>
      <c r="B215">
        <f t="shared" si="28"/>
        <v>2220</v>
      </c>
      <c r="C215">
        <v>0.26800000000000002</v>
      </c>
      <c r="D215" s="1">
        <v>2.4E-2</v>
      </c>
      <c r="E215">
        <f t="shared" si="29"/>
        <v>2220</v>
      </c>
      <c r="F215">
        <v>1.9744915693998336E-2</v>
      </c>
      <c r="I215">
        <f t="shared" si="27"/>
        <v>0.53439999999999999</v>
      </c>
      <c r="K215">
        <f t="shared" si="31"/>
        <v>0.53969163740599158</v>
      </c>
      <c r="L215">
        <f t="shared" si="32"/>
        <v>-0.68203351436922588</v>
      </c>
      <c r="N215">
        <v>2221.1469999999999</v>
      </c>
      <c r="O215">
        <f t="shared" si="33"/>
        <v>11.105734999999999</v>
      </c>
    </row>
    <row r="216" spans="1:15" x14ac:dyDescent="0.3">
      <c r="A216">
        <v>11.2</v>
      </c>
      <c r="B216">
        <f t="shared" si="28"/>
        <v>2240</v>
      </c>
      <c r="C216">
        <v>0.26500000000000001</v>
      </c>
      <c r="D216" s="1">
        <v>2.4E-2</v>
      </c>
      <c r="E216">
        <f t="shared" si="29"/>
        <v>2240</v>
      </c>
      <c r="F216">
        <v>1.9829442530870437E-2</v>
      </c>
      <c r="I216">
        <f t="shared" si="27"/>
        <v>0.53380000000000005</v>
      </c>
      <c r="K216">
        <f t="shared" si="31"/>
        <v>0.5390548022706807</v>
      </c>
      <c r="L216">
        <f t="shared" si="32"/>
        <v>-0.68267034950453676</v>
      </c>
      <c r="N216">
        <v>2231.6363999999999</v>
      </c>
      <c r="O216">
        <f t="shared" si="33"/>
        <v>11.158182</v>
      </c>
    </row>
    <row r="217" spans="1:15" x14ac:dyDescent="0.3">
      <c r="A217">
        <v>11.2</v>
      </c>
      <c r="B217">
        <f t="shared" si="28"/>
        <v>2240</v>
      </c>
      <c r="C217">
        <v>0.26300000000000001</v>
      </c>
      <c r="D217" s="1">
        <v>2.4E-2</v>
      </c>
      <c r="E217">
        <f t="shared" si="29"/>
        <v>2240</v>
      </c>
      <c r="F217">
        <v>2.0236572057008743E-2</v>
      </c>
      <c r="I217">
        <f t="shared" si="27"/>
        <v>0.53180000000000005</v>
      </c>
      <c r="K217">
        <f t="shared" si="31"/>
        <v>0.53712221845099339</v>
      </c>
      <c r="L217">
        <f t="shared" si="32"/>
        <v>-0.68460293332422406</v>
      </c>
      <c r="N217">
        <v>2241.8200000000002</v>
      </c>
      <c r="O217">
        <f t="shared" si="33"/>
        <v>11.209100000000001</v>
      </c>
    </row>
    <row r="218" spans="1:15" x14ac:dyDescent="0.3">
      <c r="A218">
        <v>11.3</v>
      </c>
      <c r="B218">
        <f t="shared" si="28"/>
        <v>2260</v>
      </c>
      <c r="C218">
        <v>0.26100000000000001</v>
      </c>
      <c r="D218" s="1">
        <v>2.4E-2</v>
      </c>
      <c r="E218">
        <f t="shared" si="29"/>
        <v>2260</v>
      </c>
      <c r="F218">
        <v>1.9775474250316619E-2</v>
      </c>
      <c r="I218">
        <f t="shared" si="27"/>
        <v>0.53220000000000001</v>
      </c>
      <c r="K218">
        <f t="shared" si="31"/>
        <v>0.53736139877933264</v>
      </c>
      <c r="L218">
        <f t="shared" si="32"/>
        <v>-0.68436375299588481</v>
      </c>
      <c r="N218">
        <v>2252.3092000000001</v>
      </c>
      <c r="O218">
        <f t="shared" si="33"/>
        <v>11.261546000000001</v>
      </c>
    </row>
    <row r="219" spans="1:15" x14ac:dyDescent="0.3">
      <c r="A219">
        <v>11.4</v>
      </c>
      <c r="B219">
        <f t="shared" si="28"/>
        <v>2280</v>
      </c>
      <c r="C219">
        <v>0.25900000000000001</v>
      </c>
      <c r="D219" s="1">
        <v>2.4E-2</v>
      </c>
      <c r="E219">
        <f t="shared" si="29"/>
        <v>2280</v>
      </c>
      <c r="F219">
        <v>1.9688827723264694E-2</v>
      </c>
      <c r="I219">
        <f t="shared" si="27"/>
        <v>0.53259999999999996</v>
      </c>
      <c r="K219">
        <f t="shared" si="31"/>
        <v>0.53769940638032554</v>
      </c>
      <c r="L219">
        <f t="shared" si="32"/>
        <v>-0.68402574539489192</v>
      </c>
      <c r="N219">
        <v>2262.4929999999999</v>
      </c>
      <c r="O219">
        <f t="shared" si="33"/>
        <v>11.312465</v>
      </c>
    </row>
    <row r="220" spans="1:15" x14ac:dyDescent="0.3">
      <c r="A220">
        <v>11.4</v>
      </c>
      <c r="B220">
        <f t="shared" si="28"/>
        <v>2280</v>
      </c>
      <c r="C220">
        <v>0.25600000000000001</v>
      </c>
      <c r="D220" s="1">
        <v>2.4E-2</v>
      </c>
      <c r="E220">
        <f t="shared" si="29"/>
        <v>2280</v>
      </c>
      <c r="F220">
        <v>2.0091587483882904E-2</v>
      </c>
      <c r="I220">
        <f t="shared" si="27"/>
        <v>0.52960000000000007</v>
      </c>
      <c r="K220">
        <f t="shared" si="31"/>
        <v>0.53474344639587412</v>
      </c>
      <c r="L220">
        <f t="shared" si="32"/>
        <v>-0.68698170537934333</v>
      </c>
      <c r="N220">
        <v>2272.982</v>
      </c>
      <c r="O220">
        <f t="shared" si="33"/>
        <v>11.36491</v>
      </c>
    </row>
    <row r="221" spans="1:15" x14ac:dyDescent="0.3">
      <c r="A221">
        <v>11.5</v>
      </c>
      <c r="B221">
        <f t="shared" si="28"/>
        <v>2300</v>
      </c>
      <c r="C221">
        <v>0.254</v>
      </c>
      <c r="D221" s="1">
        <v>2.4E-2</v>
      </c>
      <c r="E221">
        <f t="shared" si="29"/>
        <v>2300</v>
      </c>
      <c r="F221">
        <v>2.0944960221648216E-2</v>
      </c>
      <c r="I221">
        <f t="shared" si="27"/>
        <v>0.53</v>
      </c>
      <c r="K221">
        <f t="shared" si="31"/>
        <v>0.53532001989629863</v>
      </c>
      <c r="L221">
        <f t="shared" si="32"/>
        <v>-0.68640513187891883</v>
      </c>
      <c r="N221">
        <v>2283.1658000000002</v>
      </c>
      <c r="O221">
        <f t="shared" si="33"/>
        <v>11.415829</v>
      </c>
    </row>
    <row r="222" spans="1:15" x14ac:dyDescent="0.3">
      <c r="A222">
        <v>11.5</v>
      </c>
      <c r="B222">
        <f t="shared" si="28"/>
        <v>2300</v>
      </c>
      <c r="C222">
        <v>0.252</v>
      </c>
      <c r="D222" s="1">
        <v>2.4E-2</v>
      </c>
      <c r="E222">
        <f t="shared" si="29"/>
        <v>2300</v>
      </c>
      <c r="F222">
        <v>2.0143041193485259E-2</v>
      </c>
      <c r="I222">
        <f t="shared" si="27"/>
        <v>0.52800000000000002</v>
      </c>
      <c r="K222">
        <f t="shared" si="31"/>
        <v>0.53307604638075834</v>
      </c>
      <c r="L222">
        <f t="shared" si="32"/>
        <v>-0.68864910539445912</v>
      </c>
      <c r="N222">
        <v>2293.4512</v>
      </c>
      <c r="O222">
        <f t="shared" si="33"/>
        <v>11.467255999999999</v>
      </c>
    </row>
    <row r="223" spans="1:15" x14ac:dyDescent="0.3">
      <c r="A223">
        <v>11.5</v>
      </c>
      <c r="B223">
        <f t="shared" si="28"/>
        <v>2300</v>
      </c>
      <c r="C223">
        <v>0.252</v>
      </c>
      <c r="D223" s="1">
        <v>2.4E-2</v>
      </c>
      <c r="E223">
        <f t="shared" si="29"/>
        <v>2300</v>
      </c>
      <c r="F223">
        <v>1.9744915693998336E-2</v>
      </c>
      <c r="I223">
        <f t="shared" si="27"/>
        <v>0.52800000000000002</v>
      </c>
      <c r="K223">
        <f t="shared" si="31"/>
        <v>0.53297571875488758</v>
      </c>
      <c r="L223">
        <f t="shared" si="32"/>
        <v>-0.68874943302032987</v>
      </c>
      <c r="N223">
        <v>2303.5331999999999</v>
      </c>
      <c r="O223">
        <f t="shared" si="33"/>
        <v>11.517665999999998</v>
      </c>
    </row>
    <row r="224" spans="1:15" x14ac:dyDescent="0.3">
      <c r="N224">
        <v>2314.1242000000002</v>
      </c>
      <c r="O224">
        <f t="shared" si="33"/>
        <v>11.570621000000001</v>
      </c>
    </row>
    <row r="225" spans="14:15" x14ac:dyDescent="0.3">
      <c r="N225">
        <v>2325.4281999999998</v>
      </c>
      <c r="O225">
        <f t="shared" si="33"/>
        <v>11.627141</v>
      </c>
    </row>
    <row r="226" spans="14:15" x14ac:dyDescent="0.3">
      <c r="N226">
        <v>2335.8152</v>
      </c>
      <c r="O226">
        <f t="shared" si="33"/>
        <v>11.679076</v>
      </c>
    </row>
    <row r="227" spans="14:15" x14ac:dyDescent="0.3">
      <c r="N227">
        <v>2345.9987999999998</v>
      </c>
      <c r="O227">
        <f t="shared" si="33"/>
        <v>11.729994</v>
      </c>
    </row>
    <row r="228" spans="14:15" x14ac:dyDescent="0.3">
      <c r="N228">
        <v>2356.7937999999999</v>
      </c>
      <c r="O228">
        <f t="shared" si="33"/>
        <v>11.783968999999999</v>
      </c>
    </row>
    <row r="229" spans="14:15" x14ac:dyDescent="0.3">
      <c r="N229">
        <v>2366.8755999999998</v>
      </c>
      <c r="O229">
        <f t="shared" si="33"/>
        <v>11.834377999999999</v>
      </c>
    </row>
    <row r="230" spans="14:15" x14ac:dyDescent="0.3">
      <c r="N230">
        <v>2377.0594000000001</v>
      </c>
      <c r="O230">
        <f t="shared" si="33"/>
        <v>11.885297000000001</v>
      </c>
    </row>
    <row r="231" spans="14:15" x14ac:dyDescent="0.3">
      <c r="N231">
        <v>2387.1410000000001</v>
      </c>
      <c r="O231">
        <f t="shared" si="33"/>
        <v>11.935705</v>
      </c>
    </row>
    <row r="232" spans="14:15" x14ac:dyDescent="0.3">
      <c r="N232">
        <v>2394.0659999999998</v>
      </c>
      <c r="O232">
        <f t="shared" si="33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2026-04-20T05:17:43Z</dcterms:modified>
</cp:coreProperties>
</file>