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 BP\75K\"/>
    </mc:Choice>
  </mc:AlternateContent>
  <xr:revisionPtr revIDLastSave="0" documentId="13_ncr:1_{2A83FA28-7153-482E-8F35-0B26F939DFD9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I1" i="3" l="1"/>
  <c r="K288" i="1"/>
  <c r="P288" i="1" s="1"/>
  <c r="K287" i="1"/>
  <c r="P287" i="1" s="1"/>
  <c r="K276" i="1"/>
  <c r="P276" i="1" s="1"/>
  <c r="K265" i="1"/>
  <c r="P265" i="1" s="1"/>
  <c r="K281" i="1"/>
  <c r="P281" i="1" s="1"/>
  <c r="K262" i="1"/>
  <c r="P262" i="1" s="1"/>
  <c r="K220" i="1"/>
  <c r="P220" i="1" s="1"/>
  <c r="K261" i="1"/>
  <c r="P261" i="1" s="1"/>
  <c r="K248" i="1"/>
  <c r="P248" i="1" s="1"/>
  <c r="K238" i="1"/>
  <c r="P238" i="1" s="1"/>
  <c r="K253" i="1"/>
  <c r="P253" i="1" s="1"/>
  <c r="K250" i="1"/>
  <c r="P250" i="1" s="1"/>
  <c r="K294" i="1"/>
  <c r="P294" i="1" s="1"/>
  <c r="K273" i="1"/>
  <c r="P273" i="1" s="1"/>
  <c r="K293" i="1"/>
  <c r="P293" i="1" s="1"/>
  <c r="K286" i="1"/>
  <c r="P286" i="1" s="1"/>
  <c r="K267" i="1"/>
  <c r="P267" i="1" s="1"/>
  <c r="K295" i="1"/>
  <c r="P295" i="1" s="1"/>
  <c r="K284" i="1"/>
  <c r="P284" i="1" s="1"/>
  <c r="K212" i="1"/>
  <c r="P212" i="1" s="1"/>
  <c r="K219" i="1"/>
  <c r="P219" i="1" s="1"/>
  <c r="K226" i="1"/>
  <c r="P226" i="1" s="1"/>
  <c r="K239" i="1"/>
  <c r="P239" i="1" s="1"/>
  <c r="K255" i="1"/>
  <c r="P255" i="1" s="1"/>
  <c r="K280" i="1"/>
  <c r="P280" i="1" s="1"/>
  <c r="K240" i="1"/>
  <c r="P240" i="1" s="1"/>
  <c r="K256" i="1"/>
  <c r="P256" i="1" s="1"/>
  <c r="K243" i="1"/>
  <c r="P243" i="1" s="1"/>
  <c r="K233" i="1"/>
  <c r="P233" i="1" s="1"/>
  <c r="K272" i="1"/>
  <c r="P272" i="1" s="1"/>
  <c r="K257" i="1"/>
  <c r="P257" i="1" s="1"/>
  <c r="K274" i="1"/>
  <c r="P274" i="1" s="1"/>
  <c r="K214" i="1"/>
  <c r="P214" i="1" s="1"/>
  <c r="K260" i="1"/>
  <c r="P260" i="1" s="1"/>
  <c r="K271" i="1"/>
  <c r="P271" i="1" s="1"/>
  <c r="K237" i="1"/>
  <c r="P237" i="1" s="1"/>
  <c r="K258" i="1"/>
  <c r="P258" i="1" s="1"/>
  <c r="K232" i="1"/>
  <c r="P232" i="1" s="1"/>
  <c r="K234" i="1"/>
  <c r="P234" i="1" s="1"/>
  <c r="K230" i="1"/>
  <c r="P230" i="1" s="1"/>
  <c r="K285" i="1"/>
  <c r="P285" i="1" s="1"/>
  <c r="K264" i="1"/>
  <c r="P264" i="1" s="1"/>
  <c r="K224" i="1"/>
  <c r="P224" i="1" s="1"/>
  <c r="K290" i="1"/>
  <c r="P290" i="1" s="1"/>
  <c r="K247" i="1"/>
  <c r="P247" i="1" s="1"/>
  <c r="K283" i="1"/>
  <c r="P283" i="1" s="1"/>
  <c r="K263" i="1"/>
  <c r="P263" i="1" s="1"/>
  <c r="K218" i="1"/>
  <c r="P218" i="1" s="1"/>
  <c r="K241" i="1"/>
  <c r="P241" i="1" s="1"/>
  <c r="K279" i="1"/>
  <c r="P279" i="1" s="1"/>
  <c r="K300" i="1"/>
  <c r="P300" i="1" s="1"/>
  <c r="K222" i="1"/>
  <c r="P222" i="1" s="1"/>
  <c r="K298" i="1"/>
  <c r="P298" i="1" s="1"/>
  <c r="K228" i="1"/>
  <c r="P228" i="1" s="1"/>
  <c r="K249" i="1"/>
  <c r="P249" i="1" s="1"/>
  <c r="K227" i="1"/>
  <c r="P227" i="1" s="1"/>
  <c r="K282" i="1"/>
  <c r="P282" i="1" s="1"/>
  <c r="K216" i="1"/>
  <c r="P216" i="1" s="1"/>
  <c r="K277" i="1"/>
  <c r="P277" i="1" s="1"/>
  <c r="K213" i="1"/>
  <c r="P213" i="1" s="1"/>
  <c r="K269" i="1"/>
  <c r="P269" i="1" s="1"/>
  <c r="K270" i="1"/>
  <c r="P270" i="1" s="1"/>
  <c r="K236" i="1"/>
  <c r="P236" i="1" s="1"/>
  <c r="K229" i="1"/>
  <c r="P229" i="1" s="1"/>
  <c r="K252" i="1"/>
  <c r="P252" i="1" s="1"/>
  <c r="K278" i="1"/>
  <c r="P278" i="1" s="1"/>
  <c r="K231" i="1"/>
  <c r="P231" i="1" s="1"/>
  <c r="K254" i="1"/>
  <c r="P254" i="1" s="1"/>
  <c r="K245" i="1"/>
  <c r="P245" i="1" s="1"/>
  <c r="K296" i="1"/>
  <c r="P296" i="1" s="1"/>
  <c r="K301" i="1"/>
  <c r="P301" i="1" s="1"/>
  <c r="K268" i="1"/>
  <c r="P268" i="1" s="1"/>
  <c r="K289" i="1"/>
  <c r="P289" i="1" s="1"/>
  <c r="K266" i="1"/>
  <c r="P266" i="1" s="1"/>
  <c r="K223" i="1"/>
  <c r="P223" i="1" s="1"/>
  <c r="K244" i="1"/>
  <c r="P244" i="1" s="1"/>
  <c r="K221" i="1"/>
  <c r="P221" i="1" s="1"/>
  <c r="K275" i="1"/>
  <c r="P275" i="1" s="1"/>
  <c r="K297" i="1"/>
  <c r="P297" i="1" s="1"/>
  <c r="K302" i="1"/>
  <c r="P302" i="1" s="1"/>
  <c r="K303" i="1"/>
  <c r="P303" i="1" s="1"/>
  <c r="K242" i="1"/>
  <c r="P242" i="1" s="1"/>
  <c r="K299" i="1"/>
  <c r="P299" i="1" s="1"/>
  <c r="K246" i="1"/>
  <c r="P246" i="1" s="1"/>
  <c r="K292" i="1"/>
  <c r="P292" i="1" s="1"/>
  <c r="K291" i="1"/>
  <c r="P291" i="1" s="1"/>
  <c r="K259" i="1"/>
  <c r="P259" i="1" s="1"/>
  <c r="K215" i="1"/>
  <c r="P215" i="1" s="1"/>
  <c r="K225" i="1"/>
  <c r="P225" i="1" s="1"/>
  <c r="K251" i="1"/>
  <c r="P251" i="1" s="1"/>
  <c r="K217" i="1"/>
  <c r="P217" i="1" s="1"/>
  <c r="K235" i="1"/>
  <c r="P235" i="1" s="1"/>
  <c r="K160" i="1"/>
  <c r="P160" i="1" s="1"/>
  <c r="K198" i="1"/>
  <c r="P198" i="1" s="1"/>
  <c r="K186" i="1"/>
  <c r="P186" i="1" s="1"/>
  <c r="K47" i="1"/>
  <c r="K32" i="1"/>
  <c r="K153" i="1"/>
  <c r="P153" i="1" s="1"/>
  <c r="K169" i="1"/>
  <c r="P169" i="1" s="1"/>
  <c r="K162" i="1"/>
  <c r="P162" i="1" s="1"/>
  <c r="K174" i="1"/>
  <c r="P174" i="1" s="1"/>
  <c r="K24" i="1"/>
  <c r="K173" i="1"/>
  <c r="P173" i="1" s="1"/>
  <c r="K7" i="1"/>
  <c r="K102" i="1"/>
  <c r="K134" i="1"/>
  <c r="K43" i="1"/>
  <c r="K111" i="1"/>
  <c r="K140" i="1"/>
  <c r="K74" i="1"/>
  <c r="K75" i="1"/>
  <c r="K91" i="1"/>
  <c r="K69" i="1"/>
  <c r="K146" i="1"/>
  <c r="P146" i="1" s="1"/>
  <c r="K133" i="1"/>
  <c r="K185" i="1"/>
  <c r="P185" i="1" s="1"/>
  <c r="K93" i="1"/>
  <c r="K63" i="1"/>
  <c r="K127" i="1"/>
  <c r="K154" i="1"/>
  <c r="P154" i="1" s="1"/>
  <c r="K164" i="1"/>
  <c r="P164" i="1" s="1"/>
  <c r="K11" i="1"/>
  <c r="K159" i="1"/>
  <c r="P159" i="1" s="1"/>
  <c r="K188" i="1"/>
  <c r="P188" i="1" s="1"/>
  <c r="K79" i="1"/>
  <c r="K37" i="1"/>
  <c r="K209" i="1"/>
  <c r="P209" i="1" s="1"/>
  <c r="K116" i="1"/>
  <c r="K82" i="1"/>
  <c r="K152" i="1"/>
  <c r="P152" i="1" s="1"/>
  <c r="K97" i="1"/>
  <c r="K143" i="1"/>
  <c r="K126" i="1"/>
  <c r="K100" i="1"/>
  <c r="K125" i="1"/>
  <c r="K144" i="1"/>
  <c r="K207" i="1"/>
  <c r="P207" i="1" s="1"/>
  <c r="K156" i="1"/>
  <c r="P156" i="1" s="1"/>
  <c r="K105" i="1"/>
  <c r="K104" i="1"/>
  <c r="K205" i="1"/>
  <c r="P205" i="1" s="1"/>
  <c r="K80" i="1"/>
  <c r="K195" i="1"/>
  <c r="P195" i="1" s="1"/>
  <c r="K65" i="1"/>
  <c r="K166" i="1"/>
  <c r="P166" i="1" s="1"/>
  <c r="K39" i="1"/>
  <c r="K123" i="1"/>
  <c r="K142" i="1"/>
  <c r="K120" i="1"/>
  <c r="K15" i="1"/>
  <c r="K150" i="1"/>
  <c r="P150" i="1" s="1"/>
  <c r="K21" i="1"/>
  <c r="K138" i="1"/>
  <c r="K62" i="1"/>
  <c r="K187" i="1"/>
  <c r="P187" i="1" s="1"/>
  <c r="K196" i="1"/>
  <c r="P196" i="1" s="1"/>
  <c r="K27" i="1"/>
  <c r="K168" i="1"/>
  <c r="P168" i="1" s="1"/>
  <c r="K96" i="1"/>
  <c r="K22" i="1"/>
  <c r="K114" i="1"/>
  <c r="K163" i="1"/>
  <c r="P163" i="1" s="1"/>
  <c r="K83" i="1"/>
  <c r="K95" i="1"/>
  <c r="K76" i="1"/>
  <c r="K60" i="1"/>
  <c r="K18" i="1"/>
  <c r="K46" i="1"/>
  <c r="K8" i="1"/>
  <c r="K190" i="1"/>
  <c r="P190" i="1" s="1"/>
  <c r="K64" i="1"/>
  <c r="K119" i="1"/>
  <c r="K81" i="1"/>
  <c r="K175" i="1"/>
  <c r="P175" i="1" s="1"/>
  <c r="K73" i="1"/>
  <c r="K84" i="1"/>
  <c r="K41" i="1"/>
  <c r="K78" i="1"/>
  <c r="K42" i="1"/>
  <c r="K87" i="1"/>
  <c r="K137" i="1"/>
  <c r="K158" i="1"/>
  <c r="P158" i="1" s="1"/>
  <c r="K177" i="1"/>
  <c r="P177" i="1" s="1"/>
  <c r="K155" i="1"/>
  <c r="K17" i="1"/>
  <c r="K130" i="1"/>
  <c r="K86" i="1"/>
  <c r="K178" i="1"/>
  <c r="P178" i="1" s="1"/>
  <c r="K54" i="1"/>
  <c r="K136" i="1"/>
  <c r="K23" i="1"/>
  <c r="K181" i="1"/>
  <c r="P181" i="1" s="1"/>
  <c r="K110" i="1"/>
  <c r="K135" i="1"/>
  <c r="K149" i="1"/>
  <c r="P149" i="1" s="1"/>
  <c r="K171" i="1"/>
  <c r="P171" i="1" s="1"/>
  <c r="K66" i="1"/>
  <c r="K161" i="1"/>
  <c r="P161" i="1" s="1"/>
  <c r="K121" i="1"/>
  <c r="K124" i="1"/>
  <c r="K85" i="1"/>
  <c r="K101" i="1"/>
  <c r="K16" i="1"/>
  <c r="K30" i="1"/>
  <c r="K211" i="1"/>
  <c r="P211" i="1" s="1"/>
  <c r="K180" i="1"/>
  <c r="P180" i="1" s="1"/>
  <c r="K109" i="1"/>
  <c r="K61" i="1"/>
  <c r="K197" i="1"/>
  <c r="P197" i="1" s="1"/>
  <c r="K206" i="1"/>
  <c r="P206" i="1" s="1"/>
  <c r="K132" i="1"/>
  <c r="K33" i="1"/>
  <c r="K58" i="1"/>
  <c r="K77" i="1"/>
  <c r="K67" i="1"/>
  <c r="K148" i="1"/>
  <c r="P148" i="1" s="1"/>
  <c r="K167" i="1"/>
  <c r="P167" i="1" s="1"/>
  <c r="K88" i="1"/>
  <c r="K191" i="1"/>
  <c r="P191" i="1" s="1"/>
  <c r="K176" i="1"/>
  <c r="K26" i="1"/>
  <c r="K59" i="1"/>
  <c r="K12" i="1"/>
  <c r="K203" i="1"/>
  <c r="P203" i="1" s="1"/>
  <c r="K40" i="1"/>
  <c r="K108" i="1"/>
  <c r="K89" i="1"/>
  <c r="K29" i="1"/>
  <c r="K210" i="1"/>
  <c r="P210" i="1" s="1"/>
  <c r="K192" i="1"/>
  <c r="P192" i="1" s="1"/>
  <c r="K141" i="1"/>
  <c r="K157" i="1"/>
  <c r="P157" i="1" s="1"/>
  <c r="K38" i="1"/>
  <c r="K204" i="1"/>
  <c r="P204" i="1" s="1"/>
  <c r="K50" i="1"/>
  <c r="K170" i="1"/>
  <c r="P170" i="1" s="1"/>
  <c r="K36" i="1"/>
  <c r="K179" i="1"/>
  <c r="P179" i="1" s="1"/>
  <c r="K122" i="1"/>
  <c r="K14" i="1"/>
  <c r="K45" i="1"/>
  <c r="K128" i="1"/>
  <c r="K25" i="1"/>
  <c r="K98" i="1"/>
  <c r="K5" i="1"/>
  <c r="K145" i="1"/>
  <c r="P145" i="1" s="1"/>
  <c r="K112" i="1"/>
  <c r="K131" i="1"/>
  <c r="K147" i="1"/>
  <c r="K28" i="1"/>
  <c r="K194" i="1"/>
  <c r="P194" i="1" s="1"/>
  <c r="K20" i="1"/>
  <c r="K56" i="1"/>
  <c r="K10" i="1"/>
  <c r="K103" i="1"/>
  <c r="K115" i="1"/>
  <c r="K52" i="1"/>
  <c r="K151" i="1"/>
  <c r="P151" i="1" s="1"/>
  <c r="K189" i="1"/>
  <c r="P189" i="1" s="1"/>
  <c r="K129" i="1"/>
  <c r="K99" i="1"/>
  <c r="K44" i="1"/>
  <c r="K55" i="1"/>
  <c r="K19" i="1"/>
  <c r="K35" i="1"/>
  <c r="K13" i="1"/>
  <c r="K92" i="1"/>
  <c r="K202" i="1"/>
  <c r="P202" i="1" s="1"/>
  <c r="K182" i="1"/>
  <c r="P182" i="1" s="1"/>
  <c r="K139" i="1"/>
  <c r="K34" i="1"/>
  <c r="K6" i="1"/>
  <c r="K71" i="1"/>
  <c r="K193" i="1"/>
  <c r="P193" i="1" s="1"/>
  <c r="K49" i="1"/>
  <c r="K51" i="1"/>
  <c r="K201" i="1"/>
  <c r="P201" i="1" s="1"/>
  <c r="K165" i="1"/>
  <c r="P165" i="1" s="1"/>
  <c r="K31" i="1"/>
  <c r="K106" i="1"/>
  <c r="K199" i="1"/>
  <c r="P199" i="1" s="1"/>
  <c r="K208" i="1"/>
  <c r="P208" i="1" s="1"/>
  <c r="K70" i="1"/>
  <c r="K57" i="1"/>
  <c r="K72" i="1"/>
  <c r="K183" i="1"/>
  <c r="P183" i="1" s="1"/>
  <c r="K200" i="1"/>
  <c r="P200" i="1" s="1"/>
  <c r="K172" i="1"/>
  <c r="P172" i="1" s="1"/>
  <c r="K48" i="1"/>
  <c r="K94" i="1"/>
  <c r="K107" i="1"/>
  <c r="K9" i="1"/>
  <c r="K90" i="1"/>
  <c r="K118" i="1"/>
  <c r="K68" i="1"/>
  <c r="K184" i="1"/>
  <c r="P184" i="1" s="1"/>
  <c r="K117" i="1"/>
  <c r="K113" i="1"/>
  <c r="K53" i="1"/>
  <c r="P176" i="1"/>
  <c r="P147" i="1"/>
  <c r="P155" i="1"/>
  <c r="L177" i="3" l="1"/>
  <c r="L119" i="3"/>
  <c r="L182" i="3"/>
  <c r="L102" i="3"/>
  <c r="L22" i="3"/>
  <c r="L73" i="3"/>
  <c r="L172" i="3"/>
  <c r="L55" i="3"/>
  <c r="L136" i="3"/>
  <c r="L56" i="3"/>
  <c r="L209" i="3"/>
  <c r="L196" i="3"/>
  <c r="L201" i="3"/>
  <c r="L197" i="3"/>
  <c r="L44" i="3"/>
  <c r="L161" i="3"/>
  <c r="L212" i="3"/>
  <c r="L112" i="3"/>
  <c r="L175" i="3"/>
  <c r="L108" i="3"/>
  <c r="L133" i="3"/>
  <c r="L24" i="3"/>
  <c r="L121" i="3"/>
  <c r="L20" i="3"/>
  <c r="L142" i="3"/>
  <c r="L207" i="3"/>
  <c r="L58" i="3"/>
  <c r="L12" i="3"/>
  <c r="L141" i="3"/>
  <c r="L79" i="3"/>
  <c r="L206" i="3"/>
  <c r="L139" i="3"/>
  <c r="L164" i="3"/>
  <c r="L198" i="3"/>
  <c r="L131" i="3"/>
  <c r="L184" i="3"/>
  <c r="L186" i="3"/>
  <c r="L200" i="3"/>
  <c r="L192" i="3"/>
  <c r="L185" i="3"/>
  <c r="L178" i="3"/>
  <c r="L98" i="3"/>
  <c r="L18" i="3"/>
  <c r="L69" i="3"/>
  <c r="L168" i="3"/>
  <c r="L51" i="3"/>
  <c r="L132" i="3"/>
  <c r="L52" i="3"/>
  <c r="L199" i="3"/>
  <c r="L220" i="3"/>
  <c r="L166" i="3"/>
  <c r="L120" i="3"/>
  <c r="L35" i="3"/>
  <c r="L32" i="3"/>
  <c r="L137" i="3"/>
  <c r="L219" i="3"/>
  <c r="L70" i="3"/>
  <c r="L104" i="3"/>
  <c r="L163" i="3"/>
  <c r="L113" i="3"/>
  <c r="L15" i="3"/>
  <c r="L129" i="3"/>
  <c r="L91" i="3"/>
  <c r="L203" i="3"/>
  <c r="L101" i="3"/>
  <c r="L4" i="3"/>
  <c r="L143" i="3"/>
  <c r="L13" i="3"/>
  <c r="L167" i="3"/>
  <c r="L208" i="3"/>
  <c r="L5" i="3"/>
  <c r="L190" i="3"/>
  <c r="L202" i="3"/>
  <c r="L59" i="3"/>
  <c r="L188" i="3"/>
  <c r="L189" i="3"/>
  <c r="L174" i="3"/>
  <c r="L94" i="3"/>
  <c r="L14" i="3"/>
  <c r="L65" i="3"/>
  <c r="L160" i="3"/>
  <c r="L47" i="3"/>
  <c r="L128" i="3"/>
  <c r="L48" i="3"/>
  <c r="L195" i="3"/>
  <c r="L216" i="3"/>
  <c r="L111" i="3"/>
  <c r="L154" i="3"/>
  <c r="L107" i="3"/>
  <c r="L150" i="3"/>
  <c r="L103" i="3"/>
  <c r="L215" i="3"/>
  <c r="L66" i="3"/>
  <c r="L100" i="3"/>
  <c r="L159" i="3"/>
  <c r="L29" i="3"/>
  <c r="L130" i="3"/>
  <c r="L17" i="3"/>
  <c r="L122" i="3"/>
  <c r="L76" i="3"/>
  <c r="L118" i="3"/>
  <c r="L85" i="3"/>
  <c r="L204" i="3"/>
  <c r="L30" i="3"/>
  <c r="L64" i="3"/>
  <c r="L26" i="3"/>
  <c r="L213" i="3"/>
  <c r="L157" i="3"/>
  <c r="L169" i="3"/>
  <c r="L170" i="3"/>
  <c r="L90" i="3"/>
  <c r="L10" i="3"/>
  <c r="L61" i="3"/>
  <c r="L156" i="3"/>
  <c r="L43" i="3"/>
  <c r="L124" i="3"/>
  <c r="L86" i="3"/>
  <c r="L6" i="3"/>
  <c r="L57" i="3"/>
  <c r="L152" i="3"/>
  <c r="L39" i="3"/>
  <c r="L40" i="3"/>
  <c r="L115" i="3"/>
  <c r="L36" i="3"/>
  <c r="L31" i="3"/>
  <c r="L74" i="3"/>
  <c r="L45" i="3"/>
  <c r="L27" i="3"/>
  <c r="L28" i="3"/>
  <c r="L171" i="3"/>
  <c r="L23" i="3"/>
  <c r="L146" i="3"/>
  <c r="L211" i="3"/>
  <c r="L62" i="3"/>
  <c r="L109" i="3"/>
  <c r="L92" i="3"/>
  <c r="L50" i="3"/>
  <c r="L210" i="3"/>
  <c r="L97" i="3"/>
  <c r="L80" i="3"/>
  <c r="L183" i="3"/>
  <c r="L9" i="3"/>
  <c r="L72" i="3"/>
  <c r="L194" i="3"/>
  <c r="L221" i="3"/>
  <c r="L144" i="3"/>
  <c r="L123" i="3"/>
  <c r="L187" i="3"/>
  <c r="L153" i="3"/>
  <c r="L162" i="3"/>
  <c r="L82" i="3"/>
  <c r="L181" i="3"/>
  <c r="L53" i="3"/>
  <c r="L116" i="3"/>
  <c r="L149" i="3"/>
  <c r="L41" i="3"/>
  <c r="L117" i="3"/>
  <c r="L19" i="3"/>
  <c r="L193" i="3"/>
  <c r="L11" i="3"/>
  <c r="L21" i="3"/>
  <c r="L191" i="3"/>
  <c r="L180" i="3"/>
  <c r="L38" i="3"/>
  <c r="L67" i="3"/>
  <c r="L110" i="3"/>
  <c r="L140" i="3"/>
  <c r="L60" i="3"/>
  <c r="L179" i="3"/>
  <c r="L145" i="3"/>
  <c r="L158" i="3"/>
  <c r="L78" i="3"/>
  <c r="L165" i="3"/>
  <c r="L49" i="3"/>
  <c r="L223" i="3"/>
  <c r="L125" i="3"/>
  <c r="L99" i="3"/>
  <c r="L33" i="3"/>
  <c r="L96" i="3"/>
  <c r="L138" i="3"/>
  <c r="L84" i="3"/>
  <c r="L46" i="3"/>
  <c r="L42" i="3"/>
  <c r="L205" i="3"/>
  <c r="L71" i="3"/>
  <c r="L34" i="3"/>
  <c r="L68" i="3"/>
  <c r="L81" i="3"/>
  <c r="L176" i="3"/>
  <c r="L37" i="3"/>
  <c r="L95" i="3"/>
  <c r="L16" i="3"/>
  <c r="L155" i="3"/>
  <c r="L83" i="3"/>
  <c r="L126" i="3"/>
  <c r="L218" i="3"/>
  <c r="L75" i="3"/>
  <c r="L222" i="3"/>
  <c r="L135" i="3"/>
  <c r="L148" i="3"/>
  <c r="L127" i="3"/>
  <c r="L217" i="3"/>
  <c r="L77" i="3"/>
  <c r="L151" i="3"/>
  <c r="L173" i="3"/>
  <c r="L134" i="3"/>
  <c r="L54" i="3"/>
  <c r="L105" i="3"/>
  <c r="L25" i="3"/>
  <c r="L87" i="3"/>
  <c r="L7" i="3"/>
  <c r="L88" i="3"/>
  <c r="L8" i="3"/>
  <c r="L214" i="3"/>
  <c r="L147" i="3"/>
  <c r="L3" i="3"/>
  <c r="L2" i="3"/>
  <c r="L93" i="3"/>
  <c r="L89" i="3"/>
  <c r="L114" i="3"/>
  <c r="L63" i="3"/>
  <c r="L106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<sst xmlns="http://schemas.openxmlformats.org/spreadsheetml/2006/main" count="40" uniqueCount="36">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</sst>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4" zoomScale="85" zoomScaleNormal="85" workbookViewId="0">
      <selection activeCell="A4" sqref="A4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-0.33889000000000002</v>
      </c>
      <c r="AC3" t="s">
        <v>30</v>
      </c>
    </row>
    <row r="4" spans="1:29" x14ac:dyDescent="0.3">
      <c r="A4">
        <v>3.9668450000000001E-2</v>
      </c>
      <c r="B4">
        <v>0.74992000000000003</v>
      </c>
      <c r="C4">
        <f>A4*B4</f>
        <v>2.9748164024E-2</v>
      </c>
      <c r="D4">
        <v>1.66E-2</v>
      </c>
      <c r="E4">
        <v>2.7899999999999999E-3</v>
      </c>
      <c r="F4">
        <f>A4*200</f>
        <v>7.9336900000000004</v>
      </c>
      <c r="G4">
        <f>-B4</f>
        <v>-0.74992000000000003</v>
      </c>
      <c r="H4">
        <f t="shared" ref="H4" si="0">-C4*200</f>
        <v>-5.9496328048000002</v>
      </c>
      <c r="I4">
        <v>1</v>
      </c>
      <c r="J4">
        <f>LN(F4/1000)</f>
        <v>-4.8366370300002046</v>
      </c>
      <c r="K4">
        <f>((-G4)-$N$2)</f>
        <v>-0.47180515177521742</v>
      </c>
      <c r="L4">
        <v>1</v>
      </c>
      <c r="M4">
        <f>-1*($S$4+($S$5*J4))</f>
        <v>0.42855379442098995</v>
      </c>
      <c r="N4">
        <f>D4*A4</f>
        <v>6.5849627000000006E-4</v>
      </c>
      <c r="O4">
        <f>E4*A4</f>
        <v>1.106749755E-4</v>
      </c>
      <c r="P4">
        <f>-K4-M4-N4-O4</f>
        <v>4.248218610872747E-2</v>
      </c>
      <c r="R4" s="2" t="s">
        <v>16</v>
      </c>
      <c r="S4">
        <v>-0.66700000000000004</v>
      </c>
      <c r="V4">
        <v>-6</v>
      </c>
      <c r="W4">
        <f>V4*$S$5+$S$4</f>
        <v>-0.37120000000000009</v>
      </c>
      <c r="Y4">
        <v>0</v>
      </c>
      <c r="Z4">
        <f>$AB$4*Y4+$AB$3</f>
        <v>-0.33889000000000002</v>
      </c>
      <c r="AB4">
        <v>8.4570399999999992</v>
      </c>
      <c r="AC4" t="s">
        <v>31</v>
      </c>
    </row>
    <row r="5" spans="1:29" x14ac:dyDescent="0.3">
      <c r="A5">
        <v>8.1061650000000013E-2</v>
      </c>
      <c r="B5">
        <v>0.74143999999999999</v>
      </c>
      <c r="C5">
        <f t="shared" ref="C5:C68" si="1">A5*B5</f>
        <v>6.0102349776000007E-2</v>
      </c>
      <c r="D5">
        <v>1.66E-2</v>
      </c>
      <c r="E5">
        <v>2.7899999999999999E-3</v>
      </c>
      <c r="F5">
        <f t="shared" ref="F5:F68" si="2">A5*200</f>
        <v>16.212330000000001</v>
      </c>
      <c r="G5">
        <f t="shared" ref="G5:G68" si="3">-B5</f>
        <v>-0.74143999999999999</v>
      </c>
      <c r="H5">
        <f t="shared" ref="H5:H68" si="4">-C5*200</f>
        <v>-12.020469955200001</v>
      </c>
      <c r="I5">
        <v>1</v>
      </c>
      <c r="J5">
        <f t="shared" ref="J5:J68" si="5">LN(F5/1000)</f>
        <v>-4.1219832151308653</v>
      </c>
      <c r="K5">
        <f t="shared" ref="K5:K68" si="6">((-G5)-$N$2)</f>
        <v>-0.48028515177521747</v>
      </c>
      <c r="L5">
        <v>1</v>
      </c>
      <c r="M5">
        <f t="shared" ref="M5:M68" si="7">-1*($S$4+($S$5*J5))</f>
        <v>0.46378622749404841</v>
      </c>
      <c r="N5">
        <f t="shared" ref="N5:N6" si="8">D5*A5</f>
        <v>1.3456233900000002E-3</v>
      </c>
      <c r="O5">
        <f>E5*A5</f>
        <v>2.2616200350000003E-4</v>
      </c>
      <c r="P5">
        <f>-K5-M5-N5-O5</f>
        <v>1.4927138887669058E-2</v>
      </c>
      <c r="R5" s="2" t="s">
        <v>17</v>
      </c>
      <c r="S5">
        <v>-4.9299999999999997E-2</v>
      </c>
      <c r="V5">
        <v>-5.9</v>
      </c>
      <c r="W5">
        <f t="shared" ref="W5:W68" si="9">V5*$S$5+$S$4</f>
        <v>-0.37613000000000002</v>
      </c>
      <c r="Y5">
        <v>0.01</v>
      </c>
      <c r="Z5">
        <f t="shared" ref="Z5:Z31" si="10">$AB$4*Y5+$AB$3</f>
        <v>-0.25431960000000003</v>
      </c>
    </row>
    <row r="6" spans="1:29" x14ac:dyDescent="0.3">
      <c r="A6">
        <v>0.1223727</v>
      </c>
      <c r="B6">
        <v>0.72919</v>
      </c>
      <c r="C6">
        <f t="shared" si="1"/>
        <v>8.9232949113000004E-2</v>
      </c>
      <c r="D6">
        <v>1.66E-2</v>
      </c>
      <c r="E6">
        <v>2.7899999999999999E-3</v>
      </c>
      <c r="F6">
        <f t="shared" si="2"/>
        <v>24.474540000000001</v>
      </c>
      <c r="G6">
        <f t="shared" si="3"/>
        <v>-0.72919</v>
      </c>
      <c r="H6">
        <f t="shared" si="4"/>
        <v>-17.846589822600002</v>
      </c>
      <c r="I6">
        <v>1</v>
      </c>
      <c r="J6">
        <f t="shared" si="5"/>
        <v>-3.710121885430643</v>
      </c>
      <c r="K6">
        <f t="shared" si="6"/>
        <v>-0.49253515177521745</v>
      </c>
      <c r="L6">
        <v>1</v>
      </c>
      <c r="M6">
        <f t="shared" si="7"/>
        <v>0.48409099104826936</v>
      </c>
      <c r="N6">
        <f t="shared" si="8"/>
        <v>2.0313868200000002E-3</v>
      </c>
      <c r="O6">
        <f t="shared" ref="O6:O69" si="11">E6*A6</f>
        <v>3.4141983300000001E-4</v>
      </c>
      <c r="P6">
        <f t="shared" ref="P6:P69" si="12">-K6-M6-N6-O6</f>
        <v>6.0713540739480917E-3</v>
      </c>
      <c r="V6">
        <v>-5.8</v>
      </c>
      <c r="W6">
        <f t="shared" si="9"/>
        <v>-0.38106000000000007</v>
      </c>
      <c r="Y6">
        <v>0.02</v>
      </c>
      <c r="Z6">
        <f t="shared" si="10"/>
        <v>-0.16974920000000004</v>
      </c>
      <c r="AB6" t="s">
        <v>32</v>
      </c>
    </row>
    <row r="7" spans="1:29" x14ac:dyDescent="0.3">
      <c r="A7">
        <v>0.16425865000000001</v>
      </c>
      <c r="B7">
        <v>0.71977000000000002</v>
      </c>
      <c r="C7">
        <f t="shared" si="1"/>
        <v>0.1182284485105</v>
      </c>
      <c r="D7">
        <v>1.66E-2</v>
      </c>
      <c r="E7">
        <v>2.7899999999999999E-3</v>
      </c>
      <c r="F7">
        <f t="shared" si="2"/>
        <v>32.851730000000003</v>
      </c>
      <c r="G7">
        <f t="shared" si="3"/>
        <v>-0.71977000000000002</v>
      </c>
      <c r="H7">
        <f t="shared" si="4"/>
        <v>-23.6456897021</v>
      </c>
      <c r="I7">
        <v>1</v>
      </c>
      <c r="J7">
        <f t="shared" si="5"/>
        <v>-3.4157508718156708</v>
      </c>
      <c r="K7">
        <f t="shared" si="6"/>
        <v>-0.50195515177521743</v>
      </c>
      <c r="L7">
        <v>1</v>
      </c>
      <c r="M7">
        <f t="shared" si="7"/>
        <v>0.49860348201948745</v>
      </c>
      <c r="N7">
        <f t="shared" ref="N7:N70" si="13">D7*A7</f>
        <v>2.7266935900000003E-3</v>
      </c>
      <c r="O7">
        <f t="shared" si="11"/>
        <v>4.5828163350000002E-4</v>
      </c>
      <c r="P7">
        <f t="shared" si="12"/>
        <v>1.6669453222997982E-4</v>
      </c>
      <c r="V7">
        <v>-5.7</v>
      </c>
      <c r="W7">
        <f t="shared" si="9"/>
        <v>-0.38599000000000006</v>
      </c>
      <c r="Y7">
        <v>0.03</v>
      </c>
      <c r="Z7">
        <f t="shared" si="10"/>
        <v>-8.5178800000000054E-2</v>
      </c>
      <c r="AB7" t="s">
        <v>33</v>
      </c>
      <c r="AC7">
        <f>-AB3/AB4</f>
        <v>4.0071940064135919E-2</v>
      </c>
    </row>
    <row r="8" spans="1:29" x14ac:dyDescent="0.3">
      <c r="A8">
        <v>0.20532330000000001</v>
      </c>
      <c r="B8">
        <v>0.71128999999999998</v>
      </c>
      <c r="C8">
        <f t="shared" si="1"/>
        <v>0.146044410057</v>
      </c>
      <c r="D8">
        <v>1.66E-2</v>
      </c>
      <c r="E8">
        <v>2.7899999999999999E-3</v>
      </c>
      <c r="F8">
        <f t="shared" si="2"/>
        <v>41.064660000000003</v>
      </c>
      <c r="G8">
        <f t="shared" si="3"/>
        <v>-0.71128999999999998</v>
      </c>
      <c r="H8">
        <f t="shared" si="4"/>
        <v>-29.2088820114</v>
      </c>
      <c r="I8">
        <v>1</v>
      </c>
      <c r="J8">
        <f t="shared" si="5"/>
        <v>-3.1926073813810572</v>
      </c>
      <c r="K8">
        <f t="shared" si="6"/>
        <v>-0.51043515177521748</v>
      </c>
      <c r="L8">
        <v>1</v>
      </c>
      <c r="M8">
        <f t="shared" si="7"/>
        <v>0.50960445609791394</v>
      </c>
      <c r="N8">
        <f t="shared" si="13"/>
        <v>3.4083667800000003E-3</v>
      </c>
      <c r="O8">
        <f t="shared" si="11"/>
        <v>5.7285200700000008E-4</v>
      </c>
      <c r="P8">
        <f t="shared" si="12"/>
        <v>-3.1505231096964612E-3</v>
      </c>
      <c r="V8">
        <v>-5.6</v>
      </c>
      <c r="W8">
        <f t="shared" si="9"/>
        <v>-0.3909200000000001</v>
      </c>
      <c r="Y8">
        <v>0.04</v>
      </c>
      <c r="Z8">
        <f t="shared" si="10"/>
        <v>-6.0840000000006444E-4</v>
      </c>
    </row>
    <row r="9" spans="1:29" x14ac:dyDescent="0.3">
      <c r="A9">
        <v>0.24803055000000002</v>
      </c>
      <c r="B9">
        <v>0.70376000000000005</v>
      </c>
      <c r="C9">
        <f t="shared" si="1"/>
        <v>0.17455397986800003</v>
      </c>
      <c r="D9">
        <v>1.66E-2</v>
      </c>
      <c r="E9">
        <v>2.7899999999999999E-3</v>
      </c>
      <c r="F9">
        <f t="shared" si="2"/>
        <v>49.606110000000001</v>
      </c>
      <c r="G9">
        <f t="shared" si="3"/>
        <v>-0.70376000000000005</v>
      </c>
      <c r="H9">
        <f t="shared" si="4"/>
        <v>-34.910795973600003</v>
      </c>
      <c r="I9">
        <v>1</v>
      </c>
      <c r="J9">
        <f t="shared" si="5"/>
        <v>-3.0036412673540931</v>
      </c>
      <c r="K9">
        <f t="shared" si="6"/>
        <v>-0.5179651517752174</v>
      </c>
      <c r="L9">
        <v>1</v>
      </c>
      <c r="M9">
        <f t="shared" si="7"/>
        <v>0.51892048551944325</v>
      </c>
      <c r="N9">
        <f t="shared" si="13"/>
        <v>4.1173071300000001E-3</v>
      </c>
      <c r="O9">
        <f t="shared" si="11"/>
        <v>6.9200523450000002E-4</v>
      </c>
      <c r="P9">
        <f t="shared" si="12"/>
        <v>-5.7646461087258504E-3</v>
      </c>
      <c r="V9">
        <v>-5.5</v>
      </c>
      <c r="W9">
        <f t="shared" si="9"/>
        <v>-0.39585000000000004</v>
      </c>
      <c r="Y9">
        <v>0.05</v>
      </c>
      <c r="Z9">
        <f t="shared" si="10"/>
        <v>8.3961999999999981E-2</v>
      </c>
      <c r="AB9" t="s">
        <v>35</v>
      </c>
      <c r="AC9">
        <v>3.8800000000000001E-2</v>
      </c>
    </row>
    <row r="10" spans="1:29" x14ac:dyDescent="0.3">
      <c r="A10">
        <v>0.28991650000000002</v>
      </c>
      <c r="B10">
        <v>0.69528000000000001</v>
      </c>
      <c r="C10">
        <f t="shared" si="1"/>
        <v>0.20157314412000002</v>
      </c>
      <c r="D10">
        <v>1.66E-2</v>
      </c>
      <c r="E10">
        <v>2.7899999999999999E-3</v>
      </c>
      <c r="F10">
        <f t="shared" si="2"/>
        <v>57.983300000000007</v>
      </c>
      <c r="G10">
        <f t="shared" si="3"/>
        <v>-0.69528000000000001</v>
      </c>
      <c r="H10">
        <f t="shared" si="4"/>
        <v>-40.314628824000003</v>
      </c>
      <c r="I10">
        <v>1</v>
      </c>
      <c r="J10">
        <f t="shared" si="5"/>
        <v>-2.8476002409302992</v>
      </c>
      <c r="K10">
        <f t="shared" si="6"/>
        <v>-0.52644515177521745</v>
      </c>
      <c r="L10">
        <v>1</v>
      </c>
      <c r="M10">
        <f t="shared" si="7"/>
        <v>0.52661330812213625</v>
      </c>
      <c r="N10">
        <f t="shared" si="13"/>
        <v>4.8126139000000002E-3</v>
      </c>
      <c r="O10">
        <f t="shared" si="11"/>
        <v>8.0886703500000008E-4</v>
      </c>
      <c r="P10">
        <f t="shared" si="12"/>
        <v>-5.7896372819188019E-3</v>
      </c>
      <c r="V10">
        <v>-5.4</v>
      </c>
      <c r="W10">
        <f t="shared" si="9"/>
        <v>-0.40078000000000003</v>
      </c>
      <c r="Y10">
        <v>0.06</v>
      </c>
      <c r="Z10">
        <f t="shared" si="10"/>
        <v>0.16853239999999992</v>
      </c>
    </row>
    <row r="11" spans="1:29" x14ac:dyDescent="0.3">
      <c r="A11">
        <v>0.33098115</v>
      </c>
      <c r="B11">
        <v>0.68867999999999996</v>
      </c>
      <c r="C11">
        <f t="shared" si="1"/>
        <v>0.22794009838199999</v>
      </c>
      <c r="D11">
        <v>1.66E-2</v>
      </c>
      <c r="E11">
        <v>2.7899999999999999E-3</v>
      </c>
      <c r="F11">
        <f t="shared" si="2"/>
        <v>66.19623</v>
      </c>
      <c r="G11">
        <f t="shared" si="3"/>
        <v>-0.68867999999999996</v>
      </c>
      <c r="H11">
        <f t="shared" si="4"/>
        <v>-45.588019676400002</v>
      </c>
      <c r="I11">
        <v>1</v>
      </c>
      <c r="J11">
        <f t="shared" si="5"/>
        <v>-2.7151317663012935</v>
      </c>
      <c r="K11">
        <f t="shared" si="6"/>
        <v>-0.5330451517752175</v>
      </c>
      <c r="L11">
        <v>1</v>
      </c>
      <c r="M11">
        <f t="shared" si="7"/>
        <v>0.53314400392134631</v>
      </c>
      <c r="N11">
        <f t="shared" si="13"/>
        <v>5.4942870900000001E-3</v>
      </c>
      <c r="O11">
        <f t="shared" si="11"/>
        <v>9.2343740850000004E-4</v>
      </c>
      <c r="P11">
        <f t="shared" si="12"/>
        <v>-6.5165766446288144E-3</v>
      </c>
      <c r="V11">
        <v>-5.3</v>
      </c>
      <c r="W11">
        <f t="shared" si="9"/>
        <v>-0.40571000000000007</v>
      </c>
      <c r="Y11">
        <v>7.0000000000000007E-2</v>
      </c>
      <c r="Z11">
        <f t="shared" si="10"/>
        <v>0.25310279999999996</v>
      </c>
      <c r="AB11" t="s">
        <v>34</v>
      </c>
      <c r="AC11">
        <f>AC7-AC9</f>
        <v>1.271940064135918E-3</v>
      </c>
    </row>
    <row r="12" spans="1:29" x14ac:dyDescent="0.3">
      <c r="A12">
        <v>0.37286710000000001</v>
      </c>
      <c r="B12">
        <v>0.68208999999999997</v>
      </c>
      <c r="C12">
        <f t="shared" si="1"/>
        <v>0.254328920239</v>
      </c>
      <c r="D12">
        <v>1.66E-2</v>
      </c>
      <c r="E12">
        <v>2.7899999999999999E-3</v>
      </c>
      <c r="F12">
        <f t="shared" si="2"/>
        <v>74.573419999999999</v>
      </c>
      <c r="G12">
        <f t="shared" si="3"/>
        <v>-0.68208999999999997</v>
      </c>
      <c r="H12">
        <f t="shared" si="4"/>
        <v>-50.865784047799998</v>
      </c>
      <c r="I12">
        <v>1</v>
      </c>
      <c r="J12">
        <f t="shared" si="5"/>
        <v>-2.5959711355305402</v>
      </c>
      <c r="K12">
        <f t="shared" si="6"/>
        <v>-0.53963515177521748</v>
      </c>
      <c r="L12">
        <v>1</v>
      </c>
      <c r="M12">
        <f t="shared" si="7"/>
        <v>0.53901862301834447</v>
      </c>
      <c r="N12">
        <f t="shared" si="13"/>
        <v>6.1895938600000002E-3</v>
      </c>
      <c r="O12">
        <f t="shared" si="11"/>
        <v>1.040299209E-3</v>
      </c>
      <c r="P12">
        <f t="shared" si="12"/>
        <v>-6.6133643121269866E-3</v>
      </c>
      <c r="V12">
        <v>-5.2</v>
      </c>
      <c r="W12">
        <f t="shared" si="9"/>
        <v>-0.41064000000000006</v>
      </c>
      <c r="Y12">
        <v>0.08</v>
      </c>
      <c r="Z12">
        <f t="shared" si="10"/>
        <v>0.3376731999999999</v>
      </c>
      <c r="AC12">
        <f>AC11*3</f>
        <v>3.8158201924077539E-3</v>
      </c>
    </row>
    <row r="13" spans="1:29" x14ac:dyDescent="0.3">
      <c r="A13">
        <v>0.41475305000000001</v>
      </c>
      <c r="B13">
        <v>0.67642999999999998</v>
      </c>
      <c r="C13">
        <f t="shared" si="1"/>
        <v>0.28055140561149999</v>
      </c>
      <c r="D13">
        <v>1.66E-2</v>
      </c>
      <c r="E13">
        <v>2.7899999999999999E-3</v>
      </c>
      <c r="F13">
        <f t="shared" si="2"/>
        <v>82.950609999999998</v>
      </c>
      <c r="G13">
        <f t="shared" si="3"/>
        <v>-0.67642999999999998</v>
      </c>
      <c r="H13">
        <f t="shared" si="4"/>
        <v>-56.110281122300002</v>
      </c>
      <c r="I13">
        <v>1</v>
      </c>
      <c r="J13">
        <f t="shared" si="5"/>
        <v>-2.489509908545116</v>
      </c>
      <c r="K13">
        <f t="shared" si="6"/>
        <v>-0.54529515177521748</v>
      </c>
      <c r="L13">
        <v>1</v>
      </c>
      <c r="M13">
        <f t="shared" si="7"/>
        <v>0.54426716150872578</v>
      </c>
      <c r="N13">
        <f t="shared" si="13"/>
        <v>6.8849006300000003E-3</v>
      </c>
      <c r="O13">
        <f t="shared" si="11"/>
        <v>1.1571610095E-3</v>
      </c>
      <c r="P13">
        <f t="shared" si="12"/>
        <v>-7.0140713730083041E-3</v>
      </c>
      <c r="V13">
        <v>-5.0999999999999996</v>
      </c>
      <c r="W13">
        <f t="shared" si="9"/>
        <v>-0.41557000000000005</v>
      </c>
      <c r="Y13">
        <v>0.09</v>
      </c>
      <c r="Z13">
        <f t="shared" si="10"/>
        <v>0.42224359999999983</v>
      </c>
    </row>
    <row r="14" spans="1:29" x14ac:dyDescent="0.3">
      <c r="A14">
        <v>0.45581769999999999</v>
      </c>
      <c r="B14">
        <v>0.67078000000000004</v>
      </c>
      <c r="C14">
        <f t="shared" si="1"/>
        <v>0.305753396806</v>
      </c>
      <c r="D14">
        <v>1.66E-2</v>
      </c>
      <c r="E14">
        <v>2.7899999999999999E-3</v>
      </c>
      <c r="F14">
        <f t="shared" si="2"/>
        <v>91.163539999999998</v>
      </c>
      <c r="G14">
        <f t="shared" si="3"/>
        <v>-0.67078000000000004</v>
      </c>
      <c r="H14">
        <f t="shared" si="4"/>
        <v>-61.150679361199998</v>
      </c>
      <c r="I14">
        <v>1</v>
      </c>
      <c r="J14">
        <f t="shared" si="5"/>
        <v>-2.395100242537215</v>
      </c>
      <c r="K14">
        <f t="shared" si="6"/>
        <v>-0.55094515177521741</v>
      </c>
      <c r="L14">
        <v>1</v>
      </c>
      <c r="M14">
        <f t="shared" si="7"/>
        <v>0.54892155804291531</v>
      </c>
      <c r="N14">
        <f t="shared" si="13"/>
        <v>7.5665738200000002E-3</v>
      </c>
      <c r="O14">
        <f t="shared" si="11"/>
        <v>1.2717313829999999E-3</v>
      </c>
      <c r="P14">
        <f t="shared" si="12"/>
        <v>-6.8147114706979019E-3</v>
      </c>
      <c r="V14">
        <v>-5</v>
      </c>
      <c r="W14">
        <f t="shared" si="9"/>
        <v>-0.42050000000000004</v>
      </c>
      <c r="Y14">
        <v>0.1</v>
      </c>
      <c r="Z14">
        <f t="shared" si="10"/>
        <v>0.50681399999999999</v>
      </c>
    </row>
    <row r="15" spans="1:29" x14ac:dyDescent="0.3">
      <c r="A15">
        <v>0.49770365</v>
      </c>
      <c r="B15">
        <v>0.66513</v>
      </c>
      <c r="C15">
        <f t="shared" si="1"/>
        <v>0.33103762872449999</v>
      </c>
      <c r="D15">
        <v>1.66E-2</v>
      </c>
      <c r="E15">
        <v>2.7899999999999999E-3</v>
      </c>
      <c r="F15">
        <f t="shared" si="2"/>
        <v>99.540729999999996</v>
      </c>
      <c r="G15">
        <f t="shared" si="3"/>
        <v>-0.66513</v>
      </c>
      <c r="H15">
        <f t="shared" si="4"/>
        <v>-66.207525744899996</v>
      </c>
      <c r="I15">
        <v>1</v>
      </c>
      <c r="J15">
        <f t="shared" si="5"/>
        <v>-2.3071883718434387</v>
      </c>
      <c r="K15">
        <f t="shared" si="6"/>
        <v>-0.55659515177521746</v>
      </c>
      <c r="L15">
        <v>1</v>
      </c>
      <c r="M15">
        <f t="shared" si="7"/>
        <v>0.55325561326811856</v>
      </c>
      <c r="N15">
        <f t="shared" si="13"/>
        <v>8.2618805899999995E-3</v>
      </c>
      <c r="O15">
        <f t="shared" si="11"/>
        <v>1.3885931834999999E-3</v>
      </c>
      <c r="P15">
        <f t="shared" si="12"/>
        <v>-6.3109352664011062E-3</v>
      </c>
      <c r="V15">
        <v>-4.9000000000000004</v>
      </c>
      <c r="W15">
        <f t="shared" si="9"/>
        <v>-0.42543000000000003</v>
      </c>
      <c r="Y15">
        <v>0.11</v>
      </c>
      <c r="Z15">
        <f t="shared" si="10"/>
        <v>0.59138439999999992</v>
      </c>
    </row>
    <row r="16" spans="1:29" x14ac:dyDescent="0.3">
      <c r="A16">
        <v>0.54123220000000005</v>
      </c>
      <c r="B16">
        <v>0.65947999999999996</v>
      </c>
      <c r="C16">
        <f t="shared" si="1"/>
        <v>0.35693181125599999</v>
      </c>
      <c r="D16">
        <v>1.66E-2</v>
      </c>
      <c r="E16">
        <v>2.7899999999999999E-3</v>
      </c>
      <c r="F16">
        <f t="shared" si="2"/>
        <v>108.24644000000001</v>
      </c>
      <c r="G16">
        <f t="shared" si="3"/>
        <v>-0.65947999999999996</v>
      </c>
      <c r="H16">
        <f t="shared" si="4"/>
        <v>-71.386362251199998</v>
      </c>
      <c r="I16">
        <v>1</v>
      </c>
      <c r="J16">
        <f t="shared" si="5"/>
        <v>-2.2233447994763491</v>
      </c>
      <c r="K16">
        <f t="shared" si="6"/>
        <v>-0.5622451517752175</v>
      </c>
      <c r="L16">
        <v>1</v>
      </c>
      <c r="M16">
        <f t="shared" si="7"/>
        <v>0.55738910138581599</v>
      </c>
      <c r="N16">
        <f t="shared" si="13"/>
        <v>8.9844545200000007E-3</v>
      </c>
      <c r="O16">
        <f t="shared" si="11"/>
        <v>1.5100378380000002E-3</v>
      </c>
      <c r="P16">
        <f t="shared" si="12"/>
        <v>-5.6384419685984889E-3</v>
      </c>
      <c r="V16">
        <v>-4.8</v>
      </c>
      <c r="W16">
        <f t="shared" si="9"/>
        <v>-0.43036000000000008</v>
      </c>
      <c r="Y16">
        <v>0.12</v>
      </c>
      <c r="Z16">
        <f t="shared" si="10"/>
        <v>0.67595479999999986</v>
      </c>
    </row>
    <row r="17" spans="1:26" x14ac:dyDescent="0.3">
      <c r="A17">
        <v>0.58393945000000003</v>
      </c>
      <c r="B17">
        <v>0.65381999999999996</v>
      </c>
      <c r="C17">
        <f t="shared" si="1"/>
        <v>0.38179129119900002</v>
      </c>
      <c r="D17">
        <v>1.66E-2</v>
      </c>
      <c r="E17">
        <v>2.7899999999999999E-3</v>
      </c>
      <c r="F17">
        <f t="shared" si="2"/>
        <v>116.78789</v>
      </c>
      <c r="G17">
        <f t="shared" si="3"/>
        <v>-0.65381999999999996</v>
      </c>
      <c r="H17">
        <f t="shared" si="4"/>
        <v>-76.358258239800008</v>
      </c>
      <c r="I17">
        <v>1</v>
      </c>
      <c r="J17">
        <f t="shared" si="5"/>
        <v>-2.1473958954701584</v>
      </c>
      <c r="K17">
        <f t="shared" si="6"/>
        <v>-0.5679051517752175</v>
      </c>
      <c r="L17">
        <v>1</v>
      </c>
      <c r="M17">
        <f t="shared" si="7"/>
        <v>0.56113338235332122</v>
      </c>
      <c r="N17">
        <f t="shared" si="13"/>
        <v>9.6933948700000001E-3</v>
      </c>
      <c r="O17">
        <f t="shared" si="11"/>
        <v>1.6291910655000001E-3</v>
      </c>
      <c r="P17">
        <f t="shared" si="12"/>
        <v>-4.5508165136037212E-3</v>
      </c>
      <c r="V17">
        <v>-4.7</v>
      </c>
      <c r="W17">
        <f t="shared" si="9"/>
        <v>-0.43529000000000007</v>
      </c>
      <c r="Y17">
        <v>0.13</v>
      </c>
      <c r="Z17">
        <f t="shared" si="10"/>
        <v>0.7605251999999999</v>
      </c>
    </row>
    <row r="18" spans="1:26" x14ac:dyDescent="0.3">
      <c r="A18">
        <v>0.62582539999999998</v>
      </c>
      <c r="B18">
        <v>0.64910999999999996</v>
      </c>
      <c r="C18">
        <f t="shared" si="1"/>
        <v>0.40622952539399998</v>
      </c>
      <c r="D18">
        <v>1.66E-2</v>
      </c>
      <c r="E18">
        <v>2.7899999999999999E-3</v>
      </c>
      <c r="F18">
        <f t="shared" si="2"/>
        <v>125.16507999999999</v>
      </c>
      <c r="G18">
        <f t="shared" si="3"/>
        <v>-0.64910999999999996</v>
      </c>
      <c r="H18">
        <f t="shared" si="4"/>
        <v>-81.245905078799993</v>
      </c>
      <c r="I18">
        <v>1</v>
      </c>
      <c r="J18">
        <f t="shared" si="5"/>
        <v>-2.0781217729578287</v>
      </c>
      <c r="K18">
        <f t="shared" si="6"/>
        <v>-0.57261515177521749</v>
      </c>
      <c r="L18">
        <v>1</v>
      </c>
      <c r="M18">
        <f t="shared" si="7"/>
        <v>0.56454859659317913</v>
      </c>
      <c r="N18">
        <f t="shared" si="13"/>
        <v>1.0388701639999999E-2</v>
      </c>
      <c r="O18">
        <f t="shared" si="11"/>
        <v>1.7460528659999999E-3</v>
      </c>
      <c r="P18">
        <f t="shared" si="12"/>
        <v>-4.0681993239616394E-3</v>
      </c>
      <c r="V18">
        <v>-4.5999999999999996</v>
      </c>
      <c r="W18">
        <f t="shared" si="9"/>
        <v>-0.44022000000000006</v>
      </c>
      <c r="Y18">
        <v>0.14000000000000001</v>
      </c>
      <c r="Z18">
        <f t="shared" si="10"/>
        <v>0.84509559999999995</v>
      </c>
    </row>
    <row r="19" spans="1:26" x14ac:dyDescent="0.3">
      <c r="A19">
        <v>0.66771135000000004</v>
      </c>
      <c r="B19">
        <v>0.64439999999999997</v>
      </c>
      <c r="C19">
        <f t="shared" si="1"/>
        <v>0.43027319394000002</v>
      </c>
      <c r="D19">
        <v>1.66E-2</v>
      </c>
      <c r="E19">
        <v>2.7899999999999999E-3</v>
      </c>
      <c r="F19">
        <f t="shared" si="2"/>
        <v>133.54227</v>
      </c>
      <c r="G19">
        <f t="shared" si="3"/>
        <v>-0.64439999999999997</v>
      </c>
      <c r="H19">
        <f t="shared" si="4"/>
        <v>-86.054638788000005</v>
      </c>
      <c r="I19">
        <v>1</v>
      </c>
      <c r="J19">
        <f t="shared" si="5"/>
        <v>-2.0133372220448007</v>
      </c>
      <c r="K19">
        <f t="shared" si="6"/>
        <v>-0.57732515177521748</v>
      </c>
      <c r="L19">
        <v>1</v>
      </c>
      <c r="M19">
        <f t="shared" si="7"/>
        <v>0.56774247495319141</v>
      </c>
      <c r="N19">
        <f t="shared" si="13"/>
        <v>1.108400841E-2</v>
      </c>
      <c r="O19">
        <f t="shared" si="11"/>
        <v>1.8629146665E-3</v>
      </c>
      <c r="P19">
        <f t="shared" si="12"/>
        <v>-3.3642462544739298E-3</v>
      </c>
      <c r="V19">
        <v>-4.5000000000000098</v>
      </c>
      <c r="W19">
        <f t="shared" si="9"/>
        <v>-0.4451499999999996</v>
      </c>
      <c r="Y19">
        <v>0.15</v>
      </c>
      <c r="Z19">
        <f t="shared" si="10"/>
        <v>0.92966599999999977</v>
      </c>
    </row>
    <row r="20" spans="1:26" x14ac:dyDescent="0.3">
      <c r="A20">
        <v>0.71041860000000001</v>
      </c>
      <c r="B20">
        <v>0.63968999999999998</v>
      </c>
      <c r="C20">
        <f t="shared" si="1"/>
        <v>0.45444767423400001</v>
      </c>
      <c r="D20">
        <v>1.66E-2</v>
      </c>
      <c r="E20">
        <v>2.7899999999999999E-3</v>
      </c>
      <c r="F20">
        <f t="shared" si="2"/>
        <v>142.08372</v>
      </c>
      <c r="G20">
        <f t="shared" si="3"/>
        <v>-0.63968999999999998</v>
      </c>
      <c r="H20">
        <f t="shared" si="4"/>
        <v>-90.889534846800004</v>
      </c>
      <c r="I20">
        <v>1</v>
      </c>
      <c r="J20">
        <f t="shared" si="5"/>
        <v>-1.9513388176485986</v>
      </c>
      <c r="K20">
        <f t="shared" si="6"/>
        <v>-0.58203515177521747</v>
      </c>
      <c r="L20">
        <v>1</v>
      </c>
      <c r="M20">
        <f t="shared" si="7"/>
        <v>0.57079899628992414</v>
      </c>
      <c r="N20">
        <f t="shared" si="13"/>
        <v>1.179294876E-2</v>
      </c>
      <c r="O20">
        <f t="shared" si="11"/>
        <v>1.982067894E-3</v>
      </c>
      <c r="P20">
        <f t="shared" si="12"/>
        <v>-2.5388611687066688E-3</v>
      </c>
      <c r="V20">
        <v>-4.4000000000000101</v>
      </c>
      <c r="W20">
        <f t="shared" si="9"/>
        <v>-0.45007999999999959</v>
      </c>
      <c r="Y20">
        <v>0.16</v>
      </c>
      <c r="Z20">
        <f t="shared" si="10"/>
        <v>1.0142363999999997</v>
      </c>
    </row>
    <row r="21" spans="1:26" x14ac:dyDescent="0.3">
      <c r="A21">
        <v>0.75312584999999999</v>
      </c>
      <c r="B21">
        <v>0.63497999999999999</v>
      </c>
      <c r="C21">
        <f t="shared" si="1"/>
        <v>0.47821985223300001</v>
      </c>
      <c r="D21">
        <v>1.66E-2</v>
      </c>
      <c r="E21">
        <v>2.7899999999999999E-3</v>
      </c>
      <c r="F21">
        <f t="shared" si="2"/>
        <v>150.62517</v>
      </c>
      <c r="G21">
        <f t="shared" si="3"/>
        <v>-0.63497999999999999</v>
      </c>
      <c r="H21">
        <f t="shared" si="4"/>
        <v>-95.643970446600008</v>
      </c>
      <c r="I21">
        <v>1</v>
      </c>
      <c r="J21">
        <f t="shared" si="5"/>
        <v>-1.8929608461071492</v>
      </c>
      <c r="K21">
        <f t="shared" si="6"/>
        <v>-0.58674515177521747</v>
      </c>
      <c r="L21">
        <v>1</v>
      </c>
      <c r="M21">
        <f t="shared" si="7"/>
        <v>0.57367703028691763</v>
      </c>
      <c r="N21">
        <f t="shared" si="13"/>
        <v>1.2501889109999999E-2</v>
      </c>
      <c r="O21">
        <f t="shared" si="11"/>
        <v>2.1012211215000001E-3</v>
      </c>
      <c r="P21">
        <f t="shared" si="12"/>
        <v>-1.5349887432001661E-3</v>
      </c>
      <c r="V21">
        <v>-4.3000000000000096</v>
      </c>
      <c r="W21">
        <f t="shared" si="9"/>
        <v>-0.45500999999999958</v>
      </c>
      <c r="Y21">
        <v>0.17</v>
      </c>
      <c r="Z21">
        <f t="shared" si="10"/>
        <v>1.0988067999999998</v>
      </c>
    </row>
    <row r="22" spans="1:26" x14ac:dyDescent="0.3">
      <c r="A22">
        <v>0.79501180000000005</v>
      </c>
      <c r="B22">
        <v>0.63121000000000005</v>
      </c>
      <c r="C22">
        <f t="shared" si="1"/>
        <v>0.50181939827800004</v>
      </c>
      <c r="D22">
        <v>1.66E-2</v>
      </c>
      <c r="E22">
        <v>2.7899999999999999E-3</v>
      </c>
      <c r="F22">
        <f t="shared" si="2"/>
        <v>159.00236000000001</v>
      </c>
      <c r="G22">
        <f t="shared" si="3"/>
        <v>-0.63121000000000005</v>
      </c>
      <c r="H22">
        <f t="shared" si="4"/>
        <v>-100.3638796556</v>
      </c>
      <c r="I22">
        <v>1</v>
      </c>
      <c r="J22">
        <f t="shared" si="5"/>
        <v>-1.8388362341047626</v>
      </c>
      <c r="K22">
        <f t="shared" si="6"/>
        <v>-0.59051515177521741</v>
      </c>
      <c r="L22">
        <v>1</v>
      </c>
      <c r="M22">
        <f t="shared" si="7"/>
        <v>0.57634537365863525</v>
      </c>
      <c r="N22">
        <f t="shared" si="13"/>
        <v>1.319719588E-2</v>
      </c>
      <c r="O22">
        <f t="shared" si="11"/>
        <v>2.2180829219999999E-3</v>
      </c>
      <c r="P22">
        <f t="shared" si="12"/>
        <v>-1.2455006854178454E-3</v>
      </c>
      <c r="V22">
        <v>-4.2000000000000099</v>
      </c>
      <c r="W22">
        <f t="shared" si="9"/>
        <v>-0.45993999999999957</v>
      </c>
      <c r="Y22">
        <v>0.18</v>
      </c>
      <c r="Z22">
        <f t="shared" si="10"/>
        <v>1.1833771999999998</v>
      </c>
    </row>
    <row r="23" spans="1:26" x14ac:dyDescent="0.3">
      <c r="A23">
        <v>0.83771905000000002</v>
      </c>
      <c r="B23">
        <v>0.62744</v>
      </c>
      <c r="C23">
        <f t="shared" si="1"/>
        <v>0.52561844073200004</v>
      </c>
      <c r="D23">
        <v>1.66E-2</v>
      </c>
      <c r="E23">
        <v>2.7899999999999999E-3</v>
      </c>
      <c r="F23">
        <f t="shared" si="2"/>
        <v>167.54381000000001</v>
      </c>
      <c r="G23">
        <f t="shared" si="3"/>
        <v>-0.62744</v>
      </c>
      <c r="H23">
        <f t="shared" si="4"/>
        <v>-105.12368814640001</v>
      </c>
      <c r="I23">
        <v>1</v>
      </c>
      <c r="J23">
        <f t="shared" si="5"/>
        <v>-1.7865104096770337</v>
      </c>
      <c r="K23">
        <f t="shared" si="6"/>
        <v>-0.59428515177521746</v>
      </c>
      <c r="L23">
        <v>1</v>
      </c>
      <c r="M23">
        <f t="shared" si="7"/>
        <v>0.57892503680292229</v>
      </c>
      <c r="N23">
        <f t="shared" si="13"/>
        <v>1.3906136230000001E-2</v>
      </c>
      <c r="O23">
        <f t="shared" si="11"/>
        <v>2.3372361495E-3</v>
      </c>
      <c r="P23">
        <f t="shared" si="12"/>
        <v>-8.8325740720483206E-4</v>
      </c>
      <c r="V23">
        <v>-4.1000000000000103</v>
      </c>
      <c r="W23">
        <f t="shared" si="9"/>
        <v>-0.46486999999999956</v>
      </c>
      <c r="Y23">
        <v>0.19</v>
      </c>
      <c r="Z23">
        <f t="shared" si="10"/>
        <v>1.2679475999999998</v>
      </c>
    </row>
    <row r="24" spans="1:26" x14ac:dyDescent="0.3">
      <c r="A24">
        <v>0.87878370000000006</v>
      </c>
      <c r="B24">
        <v>0.62273000000000001</v>
      </c>
      <c r="C24">
        <f t="shared" si="1"/>
        <v>0.54724497350099999</v>
      </c>
      <c r="D24">
        <v>1.66E-2</v>
      </c>
      <c r="E24">
        <v>2.7899999999999999E-3</v>
      </c>
      <c r="F24">
        <f t="shared" si="2"/>
        <v>175.75674000000001</v>
      </c>
      <c r="G24">
        <f t="shared" si="3"/>
        <v>-0.62273000000000001</v>
      </c>
      <c r="H24">
        <f t="shared" si="4"/>
        <v>-109.4489947002</v>
      </c>
      <c r="I24">
        <v>1</v>
      </c>
      <c r="J24">
        <f t="shared" si="5"/>
        <v>-1.7386543990978263</v>
      </c>
      <c r="K24">
        <f t="shared" si="6"/>
        <v>-0.59899515177521745</v>
      </c>
      <c r="L24">
        <v>1</v>
      </c>
      <c r="M24">
        <f t="shared" si="7"/>
        <v>0.58128433812447722</v>
      </c>
      <c r="N24">
        <f t="shared" si="13"/>
        <v>1.458780942E-2</v>
      </c>
      <c r="O24">
        <f t="shared" si="11"/>
        <v>2.451806523E-3</v>
      </c>
      <c r="P24">
        <f t="shared" si="12"/>
        <v>6.7119770774023112E-4</v>
      </c>
      <c r="V24">
        <v>-4.0000000000000098</v>
      </c>
      <c r="W24">
        <f t="shared" si="9"/>
        <v>-0.46979999999999955</v>
      </c>
      <c r="Y24">
        <v>0.2</v>
      </c>
      <c r="Z24">
        <f t="shared" si="10"/>
        <v>1.3525179999999999</v>
      </c>
    </row>
    <row r="25" spans="1:26" x14ac:dyDescent="0.3">
      <c r="A25">
        <v>0.91984835000000009</v>
      </c>
      <c r="B25">
        <v>0.61897000000000002</v>
      </c>
      <c r="C25">
        <f t="shared" si="1"/>
        <v>0.56935853319950003</v>
      </c>
      <c r="D25">
        <v>1.66E-2</v>
      </c>
      <c r="E25">
        <v>2.7899999999999999E-3</v>
      </c>
      <c r="F25">
        <f t="shared" si="2"/>
        <v>183.96967000000001</v>
      </c>
      <c r="G25">
        <f t="shared" si="3"/>
        <v>-0.61897000000000002</v>
      </c>
      <c r="H25">
        <f t="shared" si="4"/>
        <v>-113.87170663990001</v>
      </c>
      <c r="I25">
        <v>1</v>
      </c>
      <c r="J25">
        <f t="shared" si="5"/>
        <v>-1.6929843719167774</v>
      </c>
      <c r="K25">
        <f t="shared" si="6"/>
        <v>-0.60275515177521743</v>
      </c>
      <c r="L25">
        <v>1</v>
      </c>
      <c r="M25">
        <f t="shared" si="7"/>
        <v>0.58353587046450295</v>
      </c>
      <c r="N25">
        <f t="shared" si="13"/>
        <v>1.5269482610000001E-2</v>
      </c>
      <c r="O25">
        <f t="shared" si="11"/>
        <v>2.5663768965000001E-3</v>
      </c>
      <c r="P25">
        <f t="shared" si="12"/>
        <v>1.3834218042144855E-3</v>
      </c>
      <c r="V25">
        <v>-3.9000000000000101</v>
      </c>
      <c r="W25">
        <f t="shared" si="9"/>
        <v>-0.47472999999999954</v>
      </c>
      <c r="Y25">
        <v>0.21</v>
      </c>
      <c r="Z25">
        <f t="shared" si="10"/>
        <v>1.4370883999999999</v>
      </c>
    </row>
    <row r="26" spans="1:26" x14ac:dyDescent="0.3">
      <c r="A26">
        <v>0.96091300000000002</v>
      </c>
      <c r="B26">
        <v>0.61519999999999997</v>
      </c>
      <c r="C26">
        <f t="shared" si="1"/>
        <v>0.59115367759999993</v>
      </c>
      <c r="D26">
        <v>1.66E-2</v>
      </c>
      <c r="E26">
        <v>2.7899999999999999E-3</v>
      </c>
      <c r="F26">
        <f t="shared" si="2"/>
        <v>192.18260000000001</v>
      </c>
      <c r="G26">
        <f t="shared" si="3"/>
        <v>-0.61519999999999997</v>
      </c>
      <c r="H26">
        <f t="shared" si="4"/>
        <v>-118.23073551999998</v>
      </c>
      <c r="I26">
        <v>1</v>
      </c>
      <c r="J26">
        <f t="shared" si="5"/>
        <v>-1.6493093172412863</v>
      </c>
      <c r="K26">
        <f t="shared" si="6"/>
        <v>-0.60652515177521749</v>
      </c>
      <c r="L26">
        <v>1</v>
      </c>
      <c r="M26">
        <f t="shared" si="7"/>
        <v>0.58568905066000465</v>
      </c>
      <c r="N26">
        <f t="shared" si="13"/>
        <v>1.5951155800000002E-2</v>
      </c>
      <c r="O26">
        <f t="shared" si="11"/>
        <v>2.6809472700000002E-3</v>
      </c>
      <c r="P26">
        <f t="shared" si="12"/>
        <v>2.203998045212833E-3</v>
      </c>
      <c r="V26">
        <v>-3.80000000000001</v>
      </c>
      <c r="W26">
        <f t="shared" si="9"/>
        <v>-0.47965999999999953</v>
      </c>
      <c r="Y26">
        <v>0.22</v>
      </c>
      <c r="Z26">
        <f t="shared" si="10"/>
        <v>1.5216588</v>
      </c>
    </row>
    <row r="27" spans="1:26" x14ac:dyDescent="0.3">
      <c r="A27">
        <v>1.0019776499999999</v>
      </c>
      <c r="B27">
        <v>0.61143000000000003</v>
      </c>
      <c r="C27">
        <f t="shared" si="1"/>
        <v>0.6126391945395</v>
      </c>
      <c r="D27">
        <v>1.66E-2</v>
      </c>
      <c r="E27">
        <v>2.7899999999999999E-3</v>
      </c>
      <c r="F27">
        <f t="shared" si="2"/>
        <v>200.39552999999998</v>
      </c>
      <c r="G27">
        <f t="shared" si="3"/>
        <v>-0.61143000000000003</v>
      </c>
      <c r="H27">
        <f t="shared" si="4"/>
        <v>-122.5278389079</v>
      </c>
      <c r="I27">
        <v>1</v>
      </c>
      <c r="J27">
        <f t="shared" si="5"/>
        <v>-1.6074622154094178</v>
      </c>
      <c r="K27">
        <f t="shared" si="6"/>
        <v>-0.61029515177521743</v>
      </c>
      <c r="L27">
        <v>1</v>
      </c>
      <c r="M27">
        <f t="shared" si="7"/>
        <v>0.58775211278031581</v>
      </c>
      <c r="N27">
        <f t="shared" si="13"/>
        <v>1.6632828990000001E-2</v>
      </c>
      <c r="O27">
        <f t="shared" si="11"/>
        <v>2.7955176434999998E-3</v>
      </c>
      <c r="P27">
        <f t="shared" si="12"/>
        <v>3.1146923614016201E-3</v>
      </c>
      <c r="V27">
        <v>-3.7000000000000099</v>
      </c>
      <c r="W27">
        <f t="shared" si="9"/>
        <v>-0.48458999999999952</v>
      </c>
      <c r="Y27">
        <v>0.23</v>
      </c>
      <c r="Z27">
        <f t="shared" si="10"/>
        <v>1.6062292</v>
      </c>
    </row>
    <row r="28" spans="1:26" x14ac:dyDescent="0.3">
      <c r="A28">
        <v>1.0430423500000001</v>
      </c>
      <c r="B28">
        <v>0.60765999999999998</v>
      </c>
      <c r="C28">
        <f t="shared" si="1"/>
        <v>0.63381511440100002</v>
      </c>
      <c r="D28">
        <v>1.66E-2</v>
      </c>
      <c r="E28">
        <v>2.7899999999999999E-3</v>
      </c>
      <c r="F28">
        <f t="shared" si="2"/>
        <v>208.60847000000001</v>
      </c>
      <c r="G28">
        <f t="shared" si="3"/>
        <v>-0.60765999999999998</v>
      </c>
      <c r="H28">
        <f t="shared" si="4"/>
        <v>-126.7630228802</v>
      </c>
      <c r="I28">
        <v>1</v>
      </c>
      <c r="J28">
        <f t="shared" si="5"/>
        <v>-1.5672961332129405</v>
      </c>
      <c r="K28">
        <f t="shared" si="6"/>
        <v>-0.61406515177521748</v>
      </c>
      <c r="L28">
        <v>1</v>
      </c>
      <c r="M28">
        <f t="shared" si="7"/>
        <v>0.58973230063260207</v>
      </c>
      <c r="N28">
        <f t="shared" si="13"/>
        <v>1.7314503010000003E-2</v>
      </c>
      <c r="O28">
        <f t="shared" si="11"/>
        <v>2.9100881565000004E-3</v>
      </c>
      <c r="P28">
        <f t="shared" si="12"/>
        <v>4.108259976115405E-3</v>
      </c>
      <c r="V28">
        <v>-3.6000000000000099</v>
      </c>
      <c r="W28">
        <f t="shared" si="9"/>
        <v>-0.48951999999999957</v>
      </c>
      <c r="Y28">
        <v>0.24</v>
      </c>
      <c r="Z28">
        <f t="shared" si="10"/>
        <v>1.6907995999999996</v>
      </c>
    </row>
    <row r="29" spans="1:26" x14ac:dyDescent="0.3">
      <c r="A29">
        <v>1.0923198999999999</v>
      </c>
      <c r="B29">
        <v>0.60389000000000004</v>
      </c>
      <c r="C29">
        <f t="shared" si="1"/>
        <v>0.65964106441100001</v>
      </c>
      <c r="D29">
        <v>1.66E-2</v>
      </c>
      <c r="E29">
        <v>2.7899999999999999E-3</v>
      </c>
      <c r="F29">
        <f t="shared" si="2"/>
        <v>218.46397999999999</v>
      </c>
      <c r="G29">
        <f t="shared" si="3"/>
        <v>-0.60389000000000004</v>
      </c>
      <c r="H29">
        <f t="shared" si="4"/>
        <v>-131.9282128822</v>
      </c>
      <c r="I29">
        <v>1</v>
      </c>
      <c r="J29">
        <f t="shared" si="5"/>
        <v>-1.5211341292945357</v>
      </c>
      <c r="K29">
        <f t="shared" si="6"/>
        <v>-0.61783515177521742</v>
      </c>
      <c r="L29">
        <v>1</v>
      </c>
      <c r="M29">
        <f t="shared" si="7"/>
        <v>0.59200808742577937</v>
      </c>
      <c r="N29">
        <f t="shared" si="13"/>
        <v>1.8132510339999998E-2</v>
      </c>
      <c r="O29">
        <f t="shared" si="11"/>
        <v>3.0475725209999998E-3</v>
      </c>
      <c r="P29">
        <f t="shared" si="12"/>
        <v>4.6469814884380466E-3</v>
      </c>
      <c r="V29">
        <v>-3.5000000000000102</v>
      </c>
      <c r="W29">
        <f t="shared" si="9"/>
        <v>-0.49444999999999956</v>
      </c>
      <c r="Y29">
        <v>0.25</v>
      </c>
      <c r="Z29">
        <f t="shared" si="10"/>
        <v>1.7753699999999997</v>
      </c>
    </row>
    <row r="30" spans="1:26" x14ac:dyDescent="0.3">
      <c r="A30">
        <v>1.1333846000000001</v>
      </c>
      <c r="B30">
        <v>0.60011999999999999</v>
      </c>
      <c r="C30">
        <f t="shared" si="1"/>
        <v>0.680166766152</v>
      </c>
      <c r="D30">
        <v>1.66E-2</v>
      </c>
      <c r="E30">
        <v>2.7899999999999999E-3</v>
      </c>
      <c r="F30">
        <f t="shared" si="2"/>
        <v>226.67692000000002</v>
      </c>
      <c r="G30">
        <f t="shared" si="3"/>
        <v>-0.60011999999999999</v>
      </c>
      <c r="H30">
        <f t="shared" si="4"/>
        <v>-136.0333532304</v>
      </c>
      <c r="I30">
        <v>1</v>
      </c>
      <c r="J30">
        <f t="shared" si="5"/>
        <v>-1.4842295352090615</v>
      </c>
      <c r="K30">
        <f t="shared" si="6"/>
        <v>-0.62160515177521747</v>
      </c>
      <c r="L30">
        <v>1</v>
      </c>
      <c r="M30">
        <f t="shared" si="7"/>
        <v>0.59382748391419327</v>
      </c>
      <c r="N30">
        <f t="shared" si="13"/>
        <v>1.881418436E-2</v>
      </c>
      <c r="O30">
        <f t="shared" si="11"/>
        <v>3.1621430339999999E-3</v>
      </c>
      <c r="P30">
        <f t="shared" si="12"/>
        <v>5.8013404670242026E-3</v>
      </c>
      <c r="V30">
        <v>-3.4000000000000101</v>
      </c>
      <c r="W30">
        <f t="shared" si="9"/>
        <v>-0.49937999999999955</v>
      </c>
      <c r="Y30">
        <v>0.26</v>
      </c>
      <c r="Z30">
        <f t="shared" si="10"/>
        <v>1.8599403999999997</v>
      </c>
    </row>
    <row r="31" spans="1:26" x14ac:dyDescent="0.3">
      <c r="A31">
        <v>1.1744492499999999</v>
      </c>
      <c r="B31">
        <v>0.59636</v>
      </c>
      <c r="C31">
        <f t="shared" si="1"/>
        <v>0.7003945547299999</v>
      </c>
      <c r="D31">
        <v>1.66E-2</v>
      </c>
      <c r="E31">
        <v>2.7899999999999999E-3</v>
      </c>
      <c r="F31">
        <f t="shared" si="2"/>
        <v>234.88984999999997</v>
      </c>
      <c r="G31">
        <f t="shared" si="3"/>
        <v>-0.59636</v>
      </c>
      <c r="H31">
        <f t="shared" si="4"/>
        <v>-140.07891094599998</v>
      </c>
      <c r="I31">
        <v>1</v>
      </c>
      <c r="J31">
        <f t="shared" si="5"/>
        <v>-1.448638598127387</v>
      </c>
      <c r="K31">
        <f t="shared" si="6"/>
        <v>-0.62536515177521745</v>
      </c>
      <c r="L31">
        <v>1</v>
      </c>
      <c r="M31">
        <f t="shared" si="7"/>
        <v>0.5955821171123199</v>
      </c>
      <c r="N31">
        <f t="shared" si="13"/>
        <v>1.9495857549999999E-2</v>
      </c>
      <c r="O31">
        <f t="shared" si="11"/>
        <v>3.2767134074999996E-3</v>
      </c>
      <c r="P31">
        <f t="shared" si="12"/>
        <v>7.0104637053975578E-3</v>
      </c>
      <c r="V31">
        <v>-3.30000000000001</v>
      </c>
      <c r="W31">
        <f t="shared" si="9"/>
        <v>-0.50430999999999959</v>
      </c>
      <c r="Y31">
        <v>0.27</v>
      </c>
      <c r="Z31">
        <f t="shared" si="10"/>
        <v>1.9445107999999998</v>
      </c>
    </row>
    <row r="32" spans="1:26" x14ac:dyDescent="0.3">
      <c r="A32">
        <v>1.2155138999999999</v>
      </c>
      <c r="B32">
        <v>0.59258999999999995</v>
      </c>
      <c r="C32">
        <f t="shared" si="1"/>
        <v>0.72030138200099991</v>
      </c>
      <c r="D32">
        <v>1.66E-2</v>
      </c>
      <c r="E32">
        <v>2.7899999999999999E-3</v>
      </c>
      <c r="F32">
        <f t="shared" si="2"/>
        <v>243.10278</v>
      </c>
      <c r="G32">
        <f t="shared" si="3"/>
        <v>-0.59258999999999995</v>
      </c>
      <c r="H32">
        <f t="shared" si="4"/>
        <v>-144.0602764002</v>
      </c>
      <c r="I32">
        <v>1</v>
      </c>
      <c r="J32">
        <f t="shared" si="5"/>
        <v>-1.4142709621022453</v>
      </c>
      <c r="K32">
        <f t="shared" si="6"/>
        <v>-0.6291351517752175</v>
      </c>
      <c r="L32">
        <v>1</v>
      </c>
      <c r="M32">
        <f t="shared" si="7"/>
        <v>0.59727644156835935</v>
      </c>
      <c r="N32">
        <f t="shared" si="13"/>
        <v>2.0177530739999998E-2</v>
      </c>
      <c r="O32">
        <f t="shared" si="11"/>
        <v>3.3912837809999996E-3</v>
      </c>
      <c r="P32">
        <f t="shared" si="12"/>
        <v>8.289895685858157E-3</v>
      </c>
      <c r="V32">
        <v>-3.2000000000000099</v>
      </c>
      <c r="W32">
        <f t="shared" si="9"/>
        <v>-0.50923999999999958</v>
      </c>
    </row>
    <row r="33" spans="1:23" x14ac:dyDescent="0.3">
      <c r="A33">
        <v>1.25657855</v>
      </c>
      <c r="B33">
        <v>0.58975999999999995</v>
      </c>
      <c r="C33">
        <f t="shared" si="1"/>
        <v>0.74107976564799993</v>
      </c>
      <c r="D33">
        <v>1.66E-2</v>
      </c>
      <c r="E33">
        <v>2.7899999999999999E-3</v>
      </c>
      <c r="F33">
        <f t="shared" si="2"/>
        <v>251.31571</v>
      </c>
      <c r="G33">
        <f t="shared" si="3"/>
        <v>-0.58975999999999995</v>
      </c>
      <c r="H33">
        <f t="shared" si="4"/>
        <v>-148.2159531296</v>
      </c>
      <c r="I33">
        <v>1</v>
      </c>
      <c r="J33">
        <f t="shared" si="5"/>
        <v>-1.3810453214641636</v>
      </c>
      <c r="K33">
        <f t="shared" si="6"/>
        <v>-0.6319651517752175</v>
      </c>
      <c r="L33">
        <v>1</v>
      </c>
      <c r="M33">
        <f t="shared" si="7"/>
        <v>0.59891446565181683</v>
      </c>
      <c r="N33">
        <f t="shared" si="13"/>
        <v>2.085920393E-2</v>
      </c>
      <c r="O33">
        <f t="shared" si="11"/>
        <v>3.5058541544999997E-3</v>
      </c>
      <c r="P33">
        <f t="shared" si="12"/>
        <v>8.6856280389006751E-3</v>
      </c>
      <c r="V33">
        <v>-3.1000000000000099</v>
      </c>
      <c r="W33">
        <f t="shared" si="9"/>
        <v>-0.51416999999999957</v>
      </c>
    </row>
    <row r="34" spans="1:23" x14ac:dyDescent="0.3">
      <c r="A34">
        <v>1.2976432</v>
      </c>
      <c r="B34">
        <v>0.58599000000000001</v>
      </c>
      <c r="C34">
        <f t="shared" si="1"/>
        <v>0.760405938768</v>
      </c>
      <c r="D34">
        <v>1.66E-2</v>
      </c>
      <c r="E34">
        <v>2.7899999999999999E-3</v>
      </c>
      <c r="F34">
        <f t="shared" si="2"/>
        <v>259.52864</v>
      </c>
      <c r="G34">
        <f t="shared" si="3"/>
        <v>-0.58599000000000001</v>
      </c>
      <c r="H34">
        <f t="shared" si="4"/>
        <v>-152.08118775360001</v>
      </c>
      <c r="I34">
        <v>1</v>
      </c>
      <c r="J34">
        <f t="shared" si="5"/>
        <v>-1.3488882163774505</v>
      </c>
      <c r="K34">
        <f t="shared" si="6"/>
        <v>-0.63573515177521744</v>
      </c>
      <c r="L34">
        <v>1</v>
      </c>
      <c r="M34">
        <f t="shared" si="7"/>
        <v>0.60049981093259175</v>
      </c>
      <c r="N34">
        <f t="shared" si="13"/>
        <v>2.1540877119999999E-2</v>
      </c>
      <c r="O34">
        <f t="shared" si="11"/>
        <v>3.6204245279999997E-3</v>
      </c>
      <c r="P34">
        <f t="shared" si="12"/>
        <v>1.0074039194625696E-2</v>
      </c>
      <c r="V34">
        <v>-3.0000000000000102</v>
      </c>
      <c r="W34">
        <f t="shared" si="9"/>
        <v>-0.51909999999999956</v>
      </c>
    </row>
    <row r="35" spans="1:23" x14ac:dyDescent="0.3">
      <c r="A35">
        <v>1.3469208000000001</v>
      </c>
      <c r="B35">
        <v>0.58316999999999997</v>
      </c>
      <c r="C35">
        <f t="shared" si="1"/>
        <v>0.78548380293600006</v>
      </c>
      <c r="D35">
        <v>1.66E-2</v>
      </c>
      <c r="E35">
        <v>2.7899999999999999E-3</v>
      </c>
      <c r="F35">
        <f t="shared" si="2"/>
        <v>269.38416000000001</v>
      </c>
      <c r="G35">
        <f t="shared" si="3"/>
        <v>-0.58316999999999997</v>
      </c>
      <c r="H35">
        <f t="shared" si="4"/>
        <v>-157.09676058720001</v>
      </c>
      <c r="I35">
        <v>1</v>
      </c>
      <c r="J35">
        <f t="shared" si="5"/>
        <v>-1.3116168140618982</v>
      </c>
      <c r="K35">
        <f t="shared" si="6"/>
        <v>-0.63855515177521749</v>
      </c>
      <c r="L35">
        <v>1</v>
      </c>
      <c r="M35">
        <f t="shared" si="7"/>
        <v>0.60233729106674849</v>
      </c>
      <c r="N35">
        <f t="shared" si="13"/>
        <v>2.2358885280000001E-2</v>
      </c>
      <c r="O35">
        <f t="shared" si="11"/>
        <v>3.7579090320000001E-3</v>
      </c>
      <c r="P35">
        <f t="shared" si="12"/>
        <v>1.0101066396468995E-2</v>
      </c>
      <c r="V35">
        <v>-2.9000000000000101</v>
      </c>
      <c r="W35">
        <f t="shared" si="9"/>
        <v>-0.52402999999999955</v>
      </c>
    </row>
    <row r="36" spans="1:23" x14ac:dyDescent="0.3">
      <c r="A36">
        <v>1.38798545</v>
      </c>
      <c r="B36">
        <v>0.57940000000000003</v>
      </c>
      <c r="C36">
        <f t="shared" si="1"/>
        <v>0.80419876973000004</v>
      </c>
      <c r="D36">
        <v>1.66E-2</v>
      </c>
      <c r="E36">
        <v>2.7899999999999999E-3</v>
      </c>
      <c r="F36">
        <f t="shared" si="2"/>
        <v>277.59708999999998</v>
      </c>
      <c r="G36">
        <f t="shared" si="3"/>
        <v>-0.57940000000000003</v>
      </c>
      <c r="H36">
        <f t="shared" si="4"/>
        <v>-160.839753946</v>
      </c>
      <c r="I36">
        <v>1</v>
      </c>
      <c r="J36">
        <f t="shared" si="5"/>
        <v>-1.2815845331133653</v>
      </c>
      <c r="K36">
        <f t="shared" si="6"/>
        <v>-0.64232515177521743</v>
      </c>
      <c r="L36">
        <v>1</v>
      </c>
      <c r="M36">
        <f t="shared" si="7"/>
        <v>0.60381788251751112</v>
      </c>
      <c r="N36">
        <f t="shared" si="13"/>
        <v>2.304055847E-2</v>
      </c>
      <c r="O36">
        <f t="shared" si="11"/>
        <v>3.8724794054999997E-3</v>
      </c>
      <c r="P36">
        <f t="shared" si="12"/>
        <v>1.1594231382206312E-2</v>
      </c>
      <c r="V36">
        <v>-2.80000000000001</v>
      </c>
      <c r="W36">
        <f t="shared" si="9"/>
        <v>-0.52895999999999954</v>
      </c>
    </row>
    <row r="37" spans="1:23" x14ac:dyDescent="0.3">
      <c r="A37">
        <v>1.4290501</v>
      </c>
      <c r="B37">
        <v>0.57562999999999998</v>
      </c>
      <c r="C37">
        <f t="shared" si="1"/>
        <v>0.82260410906299997</v>
      </c>
      <c r="D37">
        <v>1.66E-2</v>
      </c>
      <c r="E37">
        <v>2.7899999999999999E-3</v>
      </c>
      <c r="F37">
        <f t="shared" si="2"/>
        <v>285.81002000000001</v>
      </c>
      <c r="G37">
        <f t="shared" si="3"/>
        <v>-0.57562999999999998</v>
      </c>
      <c r="H37">
        <f t="shared" si="4"/>
        <v>-164.52082181259999</v>
      </c>
      <c r="I37">
        <v>1</v>
      </c>
      <c r="J37">
        <f t="shared" si="5"/>
        <v>-1.252427954618784</v>
      </c>
      <c r="K37">
        <f t="shared" si="6"/>
        <v>-0.64609515177521748</v>
      </c>
      <c r="L37">
        <v>1</v>
      </c>
      <c r="M37">
        <f t="shared" si="7"/>
        <v>0.60525530183729404</v>
      </c>
      <c r="N37">
        <f t="shared" si="13"/>
        <v>2.3722231659999999E-2</v>
      </c>
      <c r="O37">
        <f t="shared" si="11"/>
        <v>3.9870497790000002E-3</v>
      </c>
      <c r="P37">
        <f t="shared" si="12"/>
        <v>1.3130568498923446E-2</v>
      </c>
      <c r="V37">
        <v>-2.7000000000000099</v>
      </c>
      <c r="W37">
        <f t="shared" si="9"/>
        <v>-0.53388999999999953</v>
      </c>
    </row>
    <row r="38" spans="1:23" x14ac:dyDescent="0.3">
      <c r="A38">
        <v>1.4701148000000002</v>
      </c>
      <c r="B38">
        <v>0.57279999999999998</v>
      </c>
      <c r="C38">
        <f t="shared" si="1"/>
        <v>0.84208175744000002</v>
      </c>
      <c r="D38">
        <v>1.66E-2</v>
      </c>
      <c r="E38">
        <v>2.7899999999999999E-3</v>
      </c>
      <c r="F38">
        <f t="shared" si="2"/>
        <v>294.02296000000001</v>
      </c>
      <c r="G38">
        <f t="shared" si="3"/>
        <v>-0.57279999999999998</v>
      </c>
      <c r="H38">
        <f t="shared" si="4"/>
        <v>-168.416351488</v>
      </c>
      <c r="I38">
        <v>1</v>
      </c>
      <c r="J38">
        <f t="shared" si="5"/>
        <v>-1.2240974194546346</v>
      </c>
      <c r="K38">
        <f t="shared" si="6"/>
        <v>-0.64892515177521748</v>
      </c>
      <c r="L38">
        <v>1</v>
      </c>
      <c r="M38">
        <f t="shared" si="7"/>
        <v>0.60665199722088659</v>
      </c>
      <c r="N38">
        <f t="shared" si="13"/>
        <v>2.4403905680000004E-2</v>
      </c>
      <c r="O38">
        <f t="shared" si="11"/>
        <v>4.101620292E-3</v>
      </c>
      <c r="P38">
        <f t="shared" si="12"/>
        <v>1.3767628582330889E-2</v>
      </c>
      <c r="V38">
        <v>-2.6000000000000099</v>
      </c>
      <c r="W38">
        <f t="shared" si="9"/>
        <v>-0.53881999999999952</v>
      </c>
    </row>
    <row r="39" spans="1:23" x14ac:dyDescent="0.3">
      <c r="A39">
        <v>1.51117945</v>
      </c>
      <c r="B39">
        <v>0.56998000000000004</v>
      </c>
      <c r="C39">
        <f t="shared" si="1"/>
        <v>0.86134206291100002</v>
      </c>
      <c r="D39">
        <v>1.66E-2</v>
      </c>
      <c r="E39">
        <v>2.7899999999999999E-3</v>
      </c>
      <c r="F39">
        <f t="shared" si="2"/>
        <v>302.23588999999998</v>
      </c>
      <c r="G39">
        <f t="shared" si="3"/>
        <v>-0.56998000000000004</v>
      </c>
      <c r="H39">
        <f t="shared" si="4"/>
        <v>-172.2684125822</v>
      </c>
      <c r="I39">
        <v>1</v>
      </c>
      <c r="J39">
        <f t="shared" si="5"/>
        <v>-1.1965474737861939</v>
      </c>
      <c r="K39">
        <f t="shared" si="6"/>
        <v>-0.65174515177521741</v>
      </c>
      <c r="L39">
        <v>1</v>
      </c>
      <c r="M39">
        <f t="shared" si="7"/>
        <v>0.60801020954234064</v>
      </c>
      <c r="N39">
        <f t="shared" si="13"/>
        <v>2.508557887E-2</v>
      </c>
      <c r="O39">
        <f t="shared" si="11"/>
        <v>4.2161906654999996E-3</v>
      </c>
      <c r="P39">
        <f t="shared" si="12"/>
        <v>1.4433172697376772E-2</v>
      </c>
      <c r="V39">
        <v>-2.5000000000000102</v>
      </c>
      <c r="W39">
        <f t="shared" si="9"/>
        <v>-0.54374999999999951</v>
      </c>
    </row>
    <row r="40" spans="1:23" x14ac:dyDescent="0.3">
      <c r="A40">
        <v>1.5604570499999999</v>
      </c>
      <c r="B40">
        <v>0.56715000000000004</v>
      </c>
      <c r="C40">
        <f t="shared" si="1"/>
        <v>0.88501321590750004</v>
      </c>
      <c r="D40">
        <v>1.66E-2</v>
      </c>
      <c r="E40">
        <v>2.7899999999999999E-3</v>
      </c>
      <c r="F40">
        <f t="shared" si="2"/>
        <v>312.09141</v>
      </c>
      <c r="G40">
        <f t="shared" si="3"/>
        <v>-0.56715000000000004</v>
      </c>
      <c r="H40">
        <f t="shared" si="4"/>
        <v>-177.00264318150002</v>
      </c>
      <c r="I40">
        <v>1</v>
      </c>
      <c r="J40">
        <f t="shared" si="5"/>
        <v>-1.1644591533139084</v>
      </c>
      <c r="K40">
        <f t="shared" si="6"/>
        <v>-0.65457515177521741</v>
      </c>
      <c r="L40">
        <v>1</v>
      </c>
      <c r="M40">
        <f t="shared" si="7"/>
        <v>0.60959216374162439</v>
      </c>
      <c r="N40">
        <f t="shared" si="13"/>
        <v>2.5903587029999998E-2</v>
      </c>
      <c r="O40">
        <f t="shared" si="11"/>
        <v>4.3536751694999995E-3</v>
      </c>
      <c r="P40">
        <f t="shared" si="12"/>
        <v>1.4725725834093022E-2</v>
      </c>
      <c r="V40">
        <v>-2.4000000000000101</v>
      </c>
      <c r="W40">
        <f t="shared" si="9"/>
        <v>-0.5486799999999995</v>
      </c>
    </row>
    <row r="41" spans="1:23" x14ac:dyDescent="0.3">
      <c r="A41">
        <v>1.6015217000000002</v>
      </c>
      <c r="B41">
        <v>0.56337999999999999</v>
      </c>
      <c r="C41">
        <f t="shared" si="1"/>
        <v>0.90226529534600008</v>
      </c>
      <c r="D41">
        <v>1.66E-2</v>
      </c>
      <c r="E41">
        <v>2.7899999999999999E-3</v>
      </c>
      <c r="F41">
        <f t="shared" si="2"/>
        <v>320.30434000000002</v>
      </c>
      <c r="G41">
        <f t="shared" si="3"/>
        <v>-0.56337999999999999</v>
      </c>
      <c r="H41">
        <f t="shared" si="4"/>
        <v>-180.45305906920001</v>
      </c>
      <c r="I41">
        <v>1</v>
      </c>
      <c r="J41">
        <f t="shared" si="5"/>
        <v>-1.1384836726617569</v>
      </c>
      <c r="K41">
        <f t="shared" si="6"/>
        <v>-0.65834515177521746</v>
      </c>
      <c r="L41">
        <v>1</v>
      </c>
      <c r="M41">
        <f t="shared" si="7"/>
        <v>0.61087275493777549</v>
      </c>
      <c r="N41">
        <f t="shared" si="13"/>
        <v>2.6585260220000004E-2</v>
      </c>
      <c r="O41">
        <f t="shared" si="11"/>
        <v>4.468245543E-3</v>
      </c>
      <c r="P41">
        <f t="shared" si="12"/>
        <v>1.6418891074441971E-2</v>
      </c>
      <c r="V41">
        <v>-2.30000000000001</v>
      </c>
      <c r="W41">
        <f t="shared" si="9"/>
        <v>-0.55360999999999949</v>
      </c>
    </row>
    <row r="42" spans="1:23" x14ac:dyDescent="0.3">
      <c r="A42">
        <v>1.6507992999999999</v>
      </c>
      <c r="B42">
        <v>0.56055999999999995</v>
      </c>
      <c r="C42">
        <f t="shared" si="1"/>
        <v>0.92537205560799984</v>
      </c>
      <c r="D42">
        <v>1.66E-2</v>
      </c>
      <c r="E42">
        <v>2.7899999999999999E-3</v>
      </c>
      <c r="F42">
        <f t="shared" si="2"/>
        <v>330.15985999999998</v>
      </c>
      <c r="G42">
        <f t="shared" si="3"/>
        <v>-0.56055999999999995</v>
      </c>
      <c r="H42">
        <f t="shared" si="4"/>
        <v>-185.07441112159998</v>
      </c>
      <c r="I42">
        <v>1</v>
      </c>
      <c r="J42">
        <f t="shared" si="5"/>
        <v>-1.1081783175747313</v>
      </c>
      <c r="K42">
        <f t="shared" si="6"/>
        <v>-0.66116515177521751</v>
      </c>
      <c r="L42">
        <v>1</v>
      </c>
      <c r="M42">
        <f t="shared" si="7"/>
        <v>0.61236680894356577</v>
      </c>
      <c r="N42">
        <f t="shared" si="13"/>
        <v>2.7403268379999998E-2</v>
      </c>
      <c r="O42">
        <f t="shared" si="11"/>
        <v>4.6057300469999991E-3</v>
      </c>
      <c r="P42">
        <f t="shared" si="12"/>
        <v>1.6789344404651744E-2</v>
      </c>
      <c r="V42">
        <v>-2.2000000000000099</v>
      </c>
      <c r="W42">
        <f t="shared" si="9"/>
        <v>-0.55853999999999959</v>
      </c>
    </row>
    <row r="43" spans="1:23" x14ac:dyDescent="0.3">
      <c r="A43">
        <v>1.6918639500000001</v>
      </c>
      <c r="B43">
        <v>0.55772999999999995</v>
      </c>
      <c r="C43">
        <f t="shared" si="1"/>
        <v>0.94360328083349998</v>
      </c>
      <c r="D43">
        <v>1.66E-2</v>
      </c>
      <c r="E43">
        <v>2.7899999999999999E-3</v>
      </c>
      <c r="F43">
        <f t="shared" si="2"/>
        <v>338.37279000000001</v>
      </c>
      <c r="G43">
        <f t="shared" si="3"/>
        <v>-0.55772999999999995</v>
      </c>
      <c r="H43">
        <f t="shared" si="4"/>
        <v>-188.7206561667</v>
      </c>
      <c r="I43">
        <v>1</v>
      </c>
      <c r="J43">
        <f t="shared" si="5"/>
        <v>-1.0836070622843677</v>
      </c>
      <c r="K43">
        <f t="shared" si="6"/>
        <v>-0.66399515177521751</v>
      </c>
      <c r="L43">
        <v>1</v>
      </c>
      <c r="M43">
        <f t="shared" si="7"/>
        <v>0.61357817182938068</v>
      </c>
      <c r="N43">
        <f t="shared" si="13"/>
        <v>2.8084941570000001E-2</v>
      </c>
      <c r="O43">
        <f t="shared" si="11"/>
        <v>4.7203004205000005E-3</v>
      </c>
      <c r="P43">
        <f t="shared" si="12"/>
        <v>1.7611737955336826E-2</v>
      </c>
      <c r="V43">
        <v>-2.1000000000000099</v>
      </c>
      <c r="W43">
        <f t="shared" si="9"/>
        <v>-0.56346999999999958</v>
      </c>
    </row>
    <row r="44" spans="1:23" x14ac:dyDescent="0.3">
      <c r="A44">
        <v>1.7329285999999999</v>
      </c>
      <c r="B44">
        <v>0.55396000000000001</v>
      </c>
      <c r="C44">
        <f t="shared" si="1"/>
        <v>0.95997312725599993</v>
      </c>
      <c r="D44">
        <v>1.66E-2</v>
      </c>
      <c r="E44">
        <v>2.7899999999999999E-3</v>
      </c>
      <c r="F44">
        <f t="shared" si="2"/>
        <v>346.58571999999998</v>
      </c>
      <c r="G44">
        <f t="shared" si="3"/>
        <v>-0.55396000000000001</v>
      </c>
      <c r="H44">
        <f t="shared" si="4"/>
        <v>-191.99462545119999</v>
      </c>
      <c r="I44">
        <v>1</v>
      </c>
      <c r="J44">
        <f t="shared" si="5"/>
        <v>-1.0596251027801977</v>
      </c>
      <c r="K44">
        <f t="shared" si="6"/>
        <v>-0.66776515177521745</v>
      </c>
      <c r="L44">
        <v>1</v>
      </c>
      <c r="M44">
        <f t="shared" si="7"/>
        <v>0.61476048243293624</v>
      </c>
      <c r="N44">
        <f t="shared" si="13"/>
        <v>2.876661476E-2</v>
      </c>
      <c r="O44">
        <f t="shared" si="11"/>
        <v>4.8348707940000001E-3</v>
      </c>
      <c r="P44">
        <f t="shared" si="12"/>
        <v>1.9403183788281209E-2</v>
      </c>
      <c r="V44">
        <v>-2.0000000000000102</v>
      </c>
      <c r="W44">
        <f t="shared" si="9"/>
        <v>-0.56839999999999957</v>
      </c>
    </row>
    <row r="45" spans="1:23" x14ac:dyDescent="0.3">
      <c r="A45">
        <v>1.77399325</v>
      </c>
      <c r="B45">
        <v>0.55208000000000002</v>
      </c>
      <c r="C45">
        <f t="shared" si="1"/>
        <v>0.97938619346</v>
      </c>
      <c r="D45">
        <v>1.66E-2</v>
      </c>
      <c r="E45">
        <v>2.7899999999999999E-3</v>
      </c>
      <c r="F45">
        <f t="shared" si="2"/>
        <v>354.79865000000001</v>
      </c>
      <c r="G45">
        <f t="shared" si="3"/>
        <v>-0.55208000000000002</v>
      </c>
      <c r="H45">
        <f t="shared" si="4"/>
        <v>-195.87723869199999</v>
      </c>
      <c r="I45">
        <v>1</v>
      </c>
      <c r="J45">
        <f t="shared" si="5"/>
        <v>-1.0362048335144927</v>
      </c>
      <c r="K45">
        <f t="shared" si="6"/>
        <v>-0.66964515177521744</v>
      </c>
      <c r="L45">
        <v>1</v>
      </c>
      <c r="M45">
        <f t="shared" si="7"/>
        <v>0.61591510170773556</v>
      </c>
      <c r="N45">
        <f t="shared" si="13"/>
        <v>2.9448287949999999E-2</v>
      </c>
      <c r="O45">
        <f t="shared" si="11"/>
        <v>4.9494411674999997E-3</v>
      </c>
      <c r="P45">
        <f t="shared" si="12"/>
        <v>1.9332320949981885E-2</v>
      </c>
      <c r="V45">
        <v>-1.9000000000000099</v>
      </c>
      <c r="W45">
        <f t="shared" si="9"/>
        <v>-0.57332999999999956</v>
      </c>
    </row>
    <row r="46" spans="1:23" x14ac:dyDescent="0.3">
      <c r="A46">
        <v>1.8150579</v>
      </c>
      <c r="B46">
        <v>0.54830999999999996</v>
      </c>
      <c r="C46">
        <f t="shared" si="1"/>
        <v>0.99521439714899995</v>
      </c>
      <c r="D46">
        <v>1.66E-2</v>
      </c>
      <c r="E46">
        <v>2.7899999999999999E-3</v>
      </c>
      <c r="F46">
        <f t="shared" si="2"/>
        <v>363.01157999999998</v>
      </c>
      <c r="G46">
        <f t="shared" si="3"/>
        <v>-0.54830999999999996</v>
      </c>
      <c r="H46">
        <f t="shared" si="4"/>
        <v>-199.0428794298</v>
      </c>
      <c r="I46">
        <v>1</v>
      </c>
      <c r="J46">
        <f t="shared" si="5"/>
        <v>-1.0133205443996605</v>
      </c>
      <c r="K46">
        <f t="shared" si="6"/>
        <v>-0.67341515177521749</v>
      </c>
      <c r="L46">
        <v>1</v>
      </c>
      <c r="M46">
        <f t="shared" si="7"/>
        <v>0.61704329716109674</v>
      </c>
      <c r="N46">
        <f t="shared" si="13"/>
        <v>3.0129961140000001E-2</v>
      </c>
      <c r="O46">
        <f t="shared" si="11"/>
        <v>5.0640115410000002E-3</v>
      </c>
      <c r="P46">
        <f t="shared" si="12"/>
        <v>2.117788193312075E-2</v>
      </c>
      <c r="V46">
        <v>-1.80000000000001</v>
      </c>
      <c r="W46">
        <f t="shared" si="9"/>
        <v>-0.57825999999999955</v>
      </c>
    </row>
    <row r="47" spans="1:23" x14ac:dyDescent="0.3">
      <c r="A47">
        <v>1.85612255</v>
      </c>
      <c r="B47">
        <v>0.54547999999999996</v>
      </c>
      <c r="C47">
        <f t="shared" si="1"/>
        <v>1.0124777285739999</v>
      </c>
      <c r="D47">
        <v>1.66E-2</v>
      </c>
      <c r="E47">
        <v>2.7899999999999999E-3</v>
      </c>
      <c r="F47">
        <f t="shared" si="2"/>
        <v>371.22451000000001</v>
      </c>
      <c r="G47">
        <f t="shared" si="3"/>
        <v>-0.54547999999999996</v>
      </c>
      <c r="H47">
        <f t="shared" si="4"/>
        <v>-202.49554571479996</v>
      </c>
      <c r="I47">
        <v>1</v>
      </c>
      <c r="J47">
        <f t="shared" si="5"/>
        <v>-0.99094825115508867</v>
      </c>
      <c r="K47">
        <f t="shared" si="6"/>
        <v>-0.67624515177521749</v>
      </c>
      <c r="L47">
        <v>1</v>
      </c>
      <c r="M47">
        <f t="shared" si="7"/>
        <v>0.61814625121805422</v>
      </c>
      <c r="N47">
        <f t="shared" si="13"/>
        <v>3.081163433E-2</v>
      </c>
      <c r="O47">
        <f t="shared" si="11"/>
        <v>5.1785819144999998E-3</v>
      </c>
      <c r="P47">
        <f t="shared" si="12"/>
        <v>2.2108684312663267E-2</v>
      </c>
      <c r="V47">
        <v>-1.7000000000000199</v>
      </c>
      <c r="W47">
        <f t="shared" si="9"/>
        <v>-0.5831899999999991</v>
      </c>
    </row>
    <row r="48" spans="1:23" x14ac:dyDescent="0.3">
      <c r="A48">
        <v>1.9054001500000002</v>
      </c>
      <c r="B48">
        <v>0.54266000000000003</v>
      </c>
      <c r="C48">
        <f t="shared" si="1"/>
        <v>1.0339844453990001</v>
      </c>
      <c r="D48">
        <v>1.66E-2</v>
      </c>
      <c r="E48">
        <v>2.7899999999999999E-3</v>
      </c>
      <c r="F48">
        <f t="shared" si="2"/>
        <v>381.08003000000002</v>
      </c>
      <c r="G48">
        <f t="shared" si="3"/>
        <v>-0.54266000000000003</v>
      </c>
      <c r="H48">
        <f t="shared" si="4"/>
        <v>-206.79688907980002</v>
      </c>
      <c r="I48">
        <v>1</v>
      </c>
      <c r="J48">
        <f t="shared" si="5"/>
        <v>-0.9647458734199339</v>
      </c>
      <c r="K48">
        <f t="shared" si="6"/>
        <v>-0.67906515177521742</v>
      </c>
      <c r="L48">
        <v>1</v>
      </c>
      <c r="M48">
        <f t="shared" si="7"/>
        <v>0.6194380284403973</v>
      </c>
      <c r="N48">
        <f t="shared" si="13"/>
        <v>3.1629642490000005E-2</v>
      </c>
      <c r="O48">
        <f t="shared" si="11"/>
        <v>5.3160664185000006E-3</v>
      </c>
      <c r="P48">
        <f t="shared" si="12"/>
        <v>2.2681414426320115E-2</v>
      </c>
      <c r="V48">
        <v>-1.6000000000000201</v>
      </c>
      <c r="W48">
        <f t="shared" si="9"/>
        <v>-0.58811999999999909</v>
      </c>
    </row>
    <row r="49" spans="1:23" x14ac:dyDescent="0.3">
      <c r="A49">
        <v>1.9464648</v>
      </c>
      <c r="B49">
        <v>0.53983000000000003</v>
      </c>
      <c r="C49">
        <f t="shared" si="1"/>
        <v>1.050760092984</v>
      </c>
      <c r="D49">
        <v>1.66E-2</v>
      </c>
      <c r="E49">
        <v>2.7899999999999999E-3</v>
      </c>
      <c r="F49">
        <f t="shared" si="2"/>
        <v>389.29295999999999</v>
      </c>
      <c r="G49">
        <f t="shared" si="3"/>
        <v>-0.53983000000000003</v>
      </c>
      <c r="H49">
        <f t="shared" si="4"/>
        <v>-210.15201859679999</v>
      </c>
      <c r="I49">
        <v>1</v>
      </c>
      <c r="J49">
        <f t="shared" si="5"/>
        <v>-0.94342310826928599</v>
      </c>
      <c r="K49">
        <f t="shared" si="6"/>
        <v>-0.68189515177521742</v>
      </c>
      <c r="L49">
        <v>1</v>
      </c>
      <c r="M49">
        <f t="shared" si="7"/>
        <v>0.62048924076232426</v>
      </c>
      <c r="N49">
        <f t="shared" si="13"/>
        <v>3.2311315680000001E-2</v>
      </c>
      <c r="O49">
        <f t="shared" si="11"/>
        <v>5.4306367920000003E-3</v>
      </c>
      <c r="P49">
        <f t="shared" si="12"/>
        <v>2.3663958540893166E-2</v>
      </c>
      <c r="V49">
        <v>-1.50000000000002</v>
      </c>
      <c r="W49">
        <f t="shared" si="9"/>
        <v>-0.59304999999999908</v>
      </c>
    </row>
    <row r="50" spans="1:23" x14ac:dyDescent="0.3">
      <c r="A50">
        <v>1.9875294999999999</v>
      </c>
      <c r="B50">
        <v>0.53700000000000003</v>
      </c>
      <c r="C50">
        <f t="shared" si="1"/>
        <v>1.0673033414999999</v>
      </c>
      <c r="D50">
        <v>1.66E-2</v>
      </c>
      <c r="E50">
        <v>2.7899999999999999E-3</v>
      </c>
      <c r="F50">
        <f t="shared" si="2"/>
        <v>397.5059</v>
      </c>
      <c r="G50">
        <f t="shared" si="3"/>
        <v>-0.53700000000000003</v>
      </c>
      <c r="H50">
        <f t="shared" si="4"/>
        <v>-213.46066829999998</v>
      </c>
      <c r="I50">
        <v>1</v>
      </c>
      <c r="J50">
        <f t="shared" si="5"/>
        <v>-0.92254550223060761</v>
      </c>
      <c r="K50">
        <f t="shared" si="6"/>
        <v>-0.68472515177521742</v>
      </c>
      <c r="L50">
        <v>1</v>
      </c>
      <c r="M50">
        <f t="shared" si="7"/>
        <v>0.62151850674003106</v>
      </c>
      <c r="N50">
        <f t="shared" si="13"/>
        <v>3.2992989700000003E-2</v>
      </c>
      <c r="O50">
        <f t="shared" si="11"/>
        <v>5.545207305E-3</v>
      </c>
      <c r="P50">
        <f t="shared" si="12"/>
        <v>2.4668448030186356E-2</v>
      </c>
      <c r="V50">
        <v>-1.4000000000000199</v>
      </c>
      <c r="W50">
        <f t="shared" si="9"/>
        <v>-0.59797999999999907</v>
      </c>
    </row>
    <row r="51" spans="1:23" x14ac:dyDescent="0.3">
      <c r="A51">
        <v>2.02859415</v>
      </c>
      <c r="B51">
        <v>0.53417999999999999</v>
      </c>
      <c r="C51">
        <f t="shared" si="1"/>
        <v>1.0836344230469999</v>
      </c>
      <c r="D51">
        <v>1.66E-2</v>
      </c>
      <c r="E51">
        <v>2.7899999999999999E-3</v>
      </c>
      <c r="F51">
        <f t="shared" si="2"/>
        <v>405.71883000000003</v>
      </c>
      <c r="G51">
        <f t="shared" si="3"/>
        <v>-0.53417999999999999</v>
      </c>
      <c r="H51">
        <f t="shared" si="4"/>
        <v>-216.72688460939997</v>
      </c>
      <c r="I51">
        <v>1</v>
      </c>
      <c r="J51">
        <f t="shared" si="5"/>
        <v>-0.90209489624070061</v>
      </c>
      <c r="K51">
        <f t="shared" si="6"/>
        <v>-0.68754515177521747</v>
      </c>
      <c r="L51">
        <v>1</v>
      </c>
      <c r="M51">
        <f t="shared" si="7"/>
        <v>0.62252672161533351</v>
      </c>
      <c r="N51">
        <f t="shared" si="13"/>
        <v>3.3674662889999998E-2</v>
      </c>
      <c r="O51">
        <f t="shared" si="11"/>
        <v>5.6597776784999996E-3</v>
      </c>
      <c r="P51">
        <f t="shared" si="12"/>
        <v>2.5683989591383957E-2</v>
      </c>
      <c r="V51">
        <v>-1.30000000000002</v>
      </c>
      <c r="W51">
        <f t="shared" si="9"/>
        <v>-0.60290999999999906</v>
      </c>
    </row>
    <row r="52" spans="1:23" x14ac:dyDescent="0.3">
      <c r="A52">
        <v>2.0696588</v>
      </c>
      <c r="B52">
        <v>0.53229000000000004</v>
      </c>
      <c r="C52">
        <f t="shared" si="1"/>
        <v>1.1016586826520001</v>
      </c>
      <c r="D52">
        <v>1.66E-2</v>
      </c>
      <c r="E52">
        <v>2.7899999999999999E-3</v>
      </c>
      <c r="F52">
        <f t="shared" si="2"/>
        <v>413.93176</v>
      </c>
      <c r="G52">
        <f t="shared" si="3"/>
        <v>-0.53229000000000004</v>
      </c>
      <c r="H52">
        <f t="shared" si="4"/>
        <v>-220.33173653040001</v>
      </c>
      <c r="I52">
        <v>1</v>
      </c>
      <c r="J52">
        <f t="shared" si="5"/>
        <v>-0.88205414966080586</v>
      </c>
      <c r="K52">
        <f t="shared" si="6"/>
        <v>-0.68943515177521741</v>
      </c>
      <c r="L52">
        <v>1</v>
      </c>
      <c r="M52">
        <f t="shared" si="7"/>
        <v>0.62351473042172234</v>
      </c>
      <c r="N52">
        <f t="shared" si="13"/>
        <v>3.4356336080000001E-2</v>
      </c>
      <c r="O52">
        <f t="shared" si="11"/>
        <v>5.7743480520000001E-3</v>
      </c>
      <c r="P52">
        <f t="shared" si="12"/>
        <v>2.5789737221495072E-2</v>
      </c>
      <c r="V52">
        <v>-1.2000000000000199</v>
      </c>
      <c r="W52">
        <f t="shared" si="9"/>
        <v>-0.60783999999999905</v>
      </c>
    </row>
    <row r="53" spans="1:23" x14ac:dyDescent="0.3">
      <c r="A53">
        <v>2.1107234500000001</v>
      </c>
      <c r="B53">
        <v>0.52851999999999999</v>
      </c>
      <c r="C53">
        <f t="shared" si="1"/>
        <v>1.1155595577940001</v>
      </c>
      <c r="D53">
        <v>1.66E-2</v>
      </c>
      <c r="E53">
        <v>2.7899999999999999E-3</v>
      </c>
      <c r="F53">
        <f t="shared" si="2"/>
        <v>422.14469000000003</v>
      </c>
      <c r="G53">
        <f t="shared" si="3"/>
        <v>-0.52851999999999999</v>
      </c>
      <c r="H53">
        <f t="shared" si="4"/>
        <v>-223.11191155880002</v>
      </c>
      <c r="I53">
        <v>1</v>
      </c>
      <c r="J53">
        <f t="shared" si="5"/>
        <v>-0.86240715641310706</v>
      </c>
      <c r="K53">
        <f t="shared" si="6"/>
        <v>-0.69320515177521747</v>
      </c>
      <c r="L53">
        <v>1</v>
      </c>
      <c r="M53">
        <f t="shared" si="7"/>
        <v>0.62448332718883381</v>
      </c>
      <c r="N53">
        <f t="shared" si="13"/>
        <v>3.5038009270000003E-2</v>
      </c>
      <c r="O53">
        <f t="shared" si="11"/>
        <v>5.8889184254999997E-3</v>
      </c>
      <c r="P53">
        <f t="shared" si="12"/>
        <v>2.7794896890883648E-2</v>
      </c>
      <c r="V53">
        <v>-1.1000000000000201</v>
      </c>
      <c r="W53">
        <f t="shared" si="9"/>
        <v>-0.61276999999999904</v>
      </c>
    </row>
    <row r="54" spans="1:23" x14ac:dyDescent="0.3">
      <c r="A54">
        <v>2.1517881000000001</v>
      </c>
      <c r="B54">
        <v>0.52664</v>
      </c>
      <c r="C54">
        <f t="shared" si="1"/>
        <v>1.1332176849840001</v>
      </c>
      <c r="D54">
        <v>1.66E-2</v>
      </c>
      <c r="E54">
        <v>2.7899999999999999E-3</v>
      </c>
      <c r="F54">
        <f t="shared" si="2"/>
        <v>430.35762</v>
      </c>
      <c r="G54">
        <f t="shared" si="3"/>
        <v>-0.52664</v>
      </c>
      <c r="H54">
        <f t="shared" si="4"/>
        <v>-226.64353699680001</v>
      </c>
      <c r="I54">
        <v>1</v>
      </c>
      <c r="J54">
        <f t="shared" si="5"/>
        <v>-0.84313874152546164</v>
      </c>
      <c r="K54">
        <f t="shared" si="6"/>
        <v>-0.69508515177521746</v>
      </c>
      <c r="L54">
        <v>1</v>
      </c>
      <c r="M54">
        <f t="shared" si="7"/>
        <v>0.62543326004279476</v>
      </c>
      <c r="N54">
        <f t="shared" si="13"/>
        <v>3.5719682459999999E-2</v>
      </c>
      <c r="O54">
        <f t="shared" si="11"/>
        <v>6.0034887990000002E-3</v>
      </c>
      <c r="P54">
        <f t="shared" si="12"/>
        <v>2.7928720473422701E-2</v>
      </c>
      <c r="V54">
        <v>-1.00000000000002</v>
      </c>
      <c r="W54">
        <f t="shared" si="9"/>
        <v>-0.61769999999999903</v>
      </c>
    </row>
    <row r="55" spans="1:23" x14ac:dyDescent="0.3">
      <c r="A55">
        <v>2.2010657</v>
      </c>
      <c r="B55">
        <v>0.52381</v>
      </c>
      <c r="C55">
        <f t="shared" si="1"/>
        <v>1.1529402243169999</v>
      </c>
      <c r="D55">
        <v>1.66E-2</v>
      </c>
      <c r="E55">
        <v>2.7899999999999999E-3</v>
      </c>
      <c r="F55">
        <f t="shared" si="2"/>
        <v>440.21314000000001</v>
      </c>
      <c r="G55">
        <f t="shared" si="3"/>
        <v>-0.52381</v>
      </c>
      <c r="H55">
        <f t="shared" si="4"/>
        <v>-230.5880448634</v>
      </c>
      <c r="I55">
        <v>1</v>
      </c>
      <c r="J55">
        <f t="shared" si="5"/>
        <v>-0.8204962602671293</v>
      </c>
      <c r="K55">
        <f t="shared" si="6"/>
        <v>-0.69791515177521746</v>
      </c>
      <c r="L55">
        <v>1</v>
      </c>
      <c r="M55">
        <f t="shared" si="7"/>
        <v>0.62654953436883054</v>
      </c>
      <c r="N55">
        <f t="shared" si="13"/>
        <v>3.653769062E-2</v>
      </c>
      <c r="O55">
        <f t="shared" si="11"/>
        <v>6.1409733030000002E-3</v>
      </c>
      <c r="P55">
        <f t="shared" si="12"/>
        <v>2.8686953483386915E-2</v>
      </c>
      <c r="V55">
        <v>-0.90000000000002001</v>
      </c>
      <c r="W55">
        <f t="shared" si="9"/>
        <v>-0.62262999999999902</v>
      </c>
    </row>
    <row r="56" spans="1:23" x14ac:dyDescent="0.3">
      <c r="A56">
        <v>2.24213035</v>
      </c>
      <c r="B56">
        <v>0.52098999999999995</v>
      </c>
      <c r="C56">
        <f t="shared" si="1"/>
        <v>1.1681274910464998</v>
      </c>
      <c r="D56">
        <v>1.66E-2</v>
      </c>
      <c r="E56">
        <v>2.7899999999999999E-3</v>
      </c>
      <c r="F56">
        <f t="shared" si="2"/>
        <v>448.42606999999998</v>
      </c>
      <c r="G56">
        <f t="shared" si="3"/>
        <v>-0.52098999999999995</v>
      </c>
      <c r="H56">
        <f t="shared" si="4"/>
        <v>-233.62549820929996</v>
      </c>
      <c r="I56">
        <v>1</v>
      </c>
      <c r="J56">
        <f t="shared" si="5"/>
        <v>-0.80201144942067604</v>
      </c>
      <c r="K56">
        <f t="shared" si="6"/>
        <v>-0.7007351517752175</v>
      </c>
      <c r="L56">
        <v>1</v>
      </c>
      <c r="M56">
        <f t="shared" si="7"/>
        <v>0.62746083554356069</v>
      </c>
      <c r="N56">
        <f t="shared" si="13"/>
        <v>3.7219363810000003E-2</v>
      </c>
      <c r="O56">
        <f t="shared" si="11"/>
        <v>6.2555436764999998E-3</v>
      </c>
      <c r="P56">
        <f t="shared" si="12"/>
        <v>2.9799408745156807E-2</v>
      </c>
      <c r="V56">
        <v>-0.80000000000002003</v>
      </c>
      <c r="W56">
        <f t="shared" si="9"/>
        <v>-0.62755999999999901</v>
      </c>
    </row>
    <row r="57" spans="1:23" x14ac:dyDescent="0.3">
      <c r="A57">
        <v>2.2831950000000001</v>
      </c>
      <c r="B57">
        <v>0.51815999999999995</v>
      </c>
      <c r="C57">
        <f t="shared" si="1"/>
        <v>1.1830603211999999</v>
      </c>
      <c r="D57">
        <v>1.66E-2</v>
      </c>
      <c r="E57">
        <v>2.7899999999999999E-3</v>
      </c>
      <c r="F57">
        <f t="shared" si="2"/>
        <v>456.63900000000001</v>
      </c>
      <c r="G57">
        <f t="shared" si="3"/>
        <v>-0.51815999999999995</v>
      </c>
      <c r="H57">
        <f t="shared" si="4"/>
        <v>-236.61206424</v>
      </c>
      <c r="I57">
        <v>1</v>
      </c>
      <c r="J57">
        <f t="shared" si="5"/>
        <v>-0.78386213460496301</v>
      </c>
      <c r="K57">
        <f t="shared" si="6"/>
        <v>-0.7035651517752175</v>
      </c>
      <c r="L57">
        <v>1</v>
      </c>
      <c r="M57">
        <f t="shared" si="7"/>
        <v>0.62835559676397534</v>
      </c>
      <c r="N57">
        <f t="shared" si="13"/>
        <v>3.7901036999999999E-2</v>
      </c>
      <c r="O57">
        <f t="shared" si="11"/>
        <v>6.3701140500000003E-3</v>
      </c>
      <c r="P57">
        <f t="shared" si="12"/>
        <v>3.0938403961242159E-2</v>
      </c>
      <c r="V57">
        <v>-0.70000000000002005</v>
      </c>
      <c r="W57">
        <f t="shared" si="9"/>
        <v>-0.63248999999999911</v>
      </c>
    </row>
    <row r="58" spans="1:23" x14ac:dyDescent="0.3">
      <c r="A58">
        <v>2.3242597000000003</v>
      </c>
      <c r="B58">
        <v>0.51532999999999995</v>
      </c>
      <c r="C58">
        <f t="shared" si="1"/>
        <v>1.197760751201</v>
      </c>
      <c r="D58">
        <v>1.66E-2</v>
      </c>
      <c r="E58">
        <v>2.7899999999999999E-3</v>
      </c>
      <c r="F58">
        <f t="shared" si="2"/>
        <v>464.85194000000007</v>
      </c>
      <c r="G58">
        <f t="shared" si="3"/>
        <v>-0.51532999999999995</v>
      </c>
      <c r="H58">
        <f t="shared" si="4"/>
        <v>-239.55215024020001</v>
      </c>
      <c r="I58">
        <v>1</v>
      </c>
      <c r="J58">
        <f t="shared" si="5"/>
        <v>-0.76603633269971316</v>
      </c>
      <c r="K58">
        <f t="shared" si="6"/>
        <v>-0.7063951517752175</v>
      </c>
      <c r="L58">
        <v>1</v>
      </c>
      <c r="M58">
        <f t="shared" si="7"/>
        <v>0.62923440879790415</v>
      </c>
      <c r="N58">
        <f t="shared" si="13"/>
        <v>3.8582711020000007E-2</v>
      </c>
      <c r="O58">
        <f t="shared" si="11"/>
        <v>6.4846845630000009E-3</v>
      </c>
      <c r="P58">
        <f t="shared" si="12"/>
        <v>3.209334739431334E-2</v>
      </c>
      <c r="V58">
        <v>-0.60000000000001996</v>
      </c>
      <c r="W58">
        <f t="shared" si="9"/>
        <v>-0.6374199999999991</v>
      </c>
    </row>
    <row r="59" spans="1:23" x14ac:dyDescent="0.3">
      <c r="A59">
        <v>2.3653243499999999</v>
      </c>
      <c r="B59">
        <v>0.51251000000000002</v>
      </c>
      <c r="C59">
        <f t="shared" si="1"/>
        <v>1.2122523826184999</v>
      </c>
      <c r="D59">
        <v>1.66E-2</v>
      </c>
      <c r="E59">
        <v>2.7899999999999999E-3</v>
      </c>
      <c r="F59">
        <f t="shared" si="2"/>
        <v>473.06486999999998</v>
      </c>
      <c r="G59">
        <f t="shared" si="3"/>
        <v>-0.51251000000000002</v>
      </c>
      <c r="H59">
        <f t="shared" si="4"/>
        <v>-242.45047652369999</v>
      </c>
      <c r="I59">
        <v>1</v>
      </c>
      <c r="J59">
        <f t="shared" si="5"/>
        <v>-0.74852275401646173</v>
      </c>
      <c r="K59">
        <f t="shared" si="6"/>
        <v>-0.70921515177521743</v>
      </c>
      <c r="L59">
        <v>1</v>
      </c>
      <c r="M59">
        <f t="shared" si="7"/>
        <v>0.63009782822698845</v>
      </c>
      <c r="N59">
        <f t="shared" si="13"/>
        <v>3.9264384209999996E-2</v>
      </c>
      <c r="O59">
        <f t="shared" si="11"/>
        <v>6.5992549364999997E-3</v>
      </c>
      <c r="P59">
        <f t="shared" si="12"/>
        <v>3.3253684401728982E-2</v>
      </c>
      <c r="V59">
        <v>-0.50000000000001998</v>
      </c>
      <c r="W59">
        <f t="shared" si="9"/>
        <v>-0.64234999999999909</v>
      </c>
    </row>
    <row r="60" spans="1:23" x14ac:dyDescent="0.3">
      <c r="A60">
        <v>2.4063889999999999</v>
      </c>
      <c r="B60">
        <v>0.51061999999999996</v>
      </c>
      <c r="C60">
        <f t="shared" si="1"/>
        <v>1.2287503511799998</v>
      </c>
      <c r="D60">
        <v>1.66E-2</v>
      </c>
      <c r="E60">
        <v>2.7899999999999999E-3</v>
      </c>
      <c r="F60">
        <f t="shared" si="2"/>
        <v>481.27779999999996</v>
      </c>
      <c r="G60">
        <f t="shared" si="3"/>
        <v>-0.51061999999999996</v>
      </c>
      <c r="H60">
        <f t="shared" si="4"/>
        <v>-245.75007023599994</v>
      </c>
      <c r="I60">
        <v>1</v>
      </c>
      <c r="J60">
        <f t="shared" si="5"/>
        <v>-0.73131062881478148</v>
      </c>
      <c r="K60">
        <f t="shared" si="6"/>
        <v>-0.71110515177521749</v>
      </c>
      <c r="L60">
        <v>1</v>
      </c>
      <c r="M60">
        <f t="shared" si="7"/>
        <v>0.63094638599943131</v>
      </c>
      <c r="N60">
        <f t="shared" si="13"/>
        <v>3.9946057399999998E-2</v>
      </c>
      <c r="O60">
        <f t="shared" si="11"/>
        <v>6.7138253099999993E-3</v>
      </c>
      <c r="P60">
        <f t="shared" si="12"/>
        <v>3.3498883065786182E-2</v>
      </c>
      <c r="V60">
        <v>-0.40000000000002001</v>
      </c>
      <c r="W60">
        <f t="shared" si="9"/>
        <v>-0.64727999999999908</v>
      </c>
    </row>
    <row r="61" spans="1:23" x14ac:dyDescent="0.3">
      <c r="A61">
        <v>2.4556666000000003</v>
      </c>
      <c r="B61">
        <v>0.50780000000000003</v>
      </c>
      <c r="C61">
        <f t="shared" si="1"/>
        <v>1.2469874994800001</v>
      </c>
      <c r="D61">
        <v>1.66E-2</v>
      </c>
      <c r="E61">
        <v>2.7899999999999999E-3</v>
      </c>
      <c r="F61">
        <f t="shared" si="2"/>
        <v>491.13332000000003</v>
      </c>
      <c r="G61">
        <f t="shared" si="3"/>
        <v>-0.50780000000000003</v>
      </c>
      <c r="H61">
        <f t="shared" si="4"/>
        <v>-249.39749989600003</v>
      </c>
      <c r="I61">
        <v>1</v>
      </c>
      <c r="J61">
        <f t="shared" si="5"/>
        <v>-0.71103966054962664</v>
      </c>
      <c r="K61">
        <f t="shared" si="6"/>
        <v>-0.71392515177521743</v>
      </c>
      <c r="L61">
        <v>1</v>
      </c>
      <c r="M61">
        <f t="shared" si="7"/>
        <v>0.6319457447349035</v>
      </c>
      <c r="N61">
        <f t="shared" si="13"/>
        <v>4.0764065560000007E-2</v>
      </c>
      <c r="O61">
        <f t="shared" si="11"/>
        <v>6.851309814000001E-3</v>
      </c>
      <c r="P61">
        <f t="shared" si="12"/>
        <v>3.4364031666313917E-2</v>
      </c>
      <c r="V61">
        <v>-0.30000000000001997</v>
      </c>
      <c r="W61">
        <f t="shared" si="9"/>
        <v>-0.65220999999999907</v>
      </c>
    </row>
    <row r="62" spans="1:23" x14ac:dyDescent="0.3">
      <c r="A62">
        <v>2.4967312499999998</v>
      </c>
      <c r="B62">
        <v>0.50497000000000003</v>
      </c>
      <c r="C62">
        <f t="shared" si="1"/>
        <v>1.2607743793124999</v>
      </c>
      <c r="D62">
        <v>1.66E-2</v>
      </c>
      <c r="E62">
        <v>2.7899999999999999E-3</v>
      </c>
      <c r="F62">
        <f t="shared" si="2"/>
        <v>499.34624999999994</v>
      </c>
      <c r="G62">
        <f t="shared" si="3"/>
        <v>-0.50497000000000003</v>
      </c>
      <c r="H62">
        <f t="shared" si="4"/>
        <v>-252.15487586249998</v>
      </c>
      <c r="I62">
        <v>1</v>
      </c>
      <c r="J62">
        <f t="shared" si="5"/>
        <v>-0.69445553608388344</v>
      </c>
      <c r="K62">
        <f t="shared" si="6"/>
        <v>-0.71675515177521743</v>
      </c>
      <c r="L62">
        <v>1</v>
      </c>
      <c r="M62">
        <f t="shared" si="7"/>
        <v>0.63276334207106455</v>
      </c>
      <c r="N62">
        <f t="shared" si="13"/>
        <v>4.1445738749999995E-2</v>
      </c>
      <c r="O62">
        <f t="shared" si="11"/>
        <v>6.9658801874999997E-3</v>
      </c>
      <c r="P62">
        <f t="shared" si="12"/>
        <v>3.5580190766652878E-2</v>
      </c>
      <c r="V62">
        <v>-0.20000000000002</v>
      </c>
      <c r="W62">
        <f t="shared" si="9"/>
        <v>-0.65713999999999906</v>
      </c>
    </row>
    <row r="63" spans="1:23" x14ac:dyDescent="0.3">
      <c r="A63">
        <v>2.5377959000000003</v>
      </c>
      <c r="B63">
        <v>0.50214000000000003</v>
      </c>
      <c r="C63">
        <f t="shared" si="1"/>
        <v>1.2743288332260003</v>
      </c>
      <c r="D63">
        <v>1.66E-2</v>
      </c>
      <c r="E63">
        <v>2.7899999999999999E-3</v>
      </c>
      <c r="F63">
        <f t="shared" si="2"/>
        <v>507.55918000000008</v>
      </c>
      <c r="G63">
        <f t="shared" si="3"/>
        <v>-0.50214000000000003</v>
      </c>
      <c r="H63">
        <f t="shared" si="4"/>
        <v>-254.86576664520007</v>
      </c>
      <c r="I63">
        <v>1</v>
      </c>
      <c r="J63">
        <f t="shared" si="5"/>
        <v>-0.67814196402727123</v>
      </c>
      <c r="K63">
        <f t="shared" si="6"/>
        <v>-0.71958515177521742</v>
      </c>
      <c r="L63">
        <v>1</v>
      </c>
      <c r="M63">
        <f t="shared" si="7"/>
        <v>0.63356760117345556</v>
      </c>
      <c r="N63">
        <f t="shared" si="13"/>
        <v>4.2127411940000005E-2</v>
      </c>
      <c r="O63">
        <f t="shared" si="11"/>
        <v>7.0804505610000011E-3</v>
      </c>
      <c r="P63">
        <f t="shared" si="12"/>
        <v>3.6809688100761857E-2</v>
      </c>
      <c r="V63">
        <v>-0.10000000000002</v>
      </c>
      <c r="W63">
        <f t="shared" si="9"/>
        <v>-0.66206999999999905</v>
      </c>
    </row>
    <row r="64" spans="1:23" x14ac:dyDescent="0.3">
      <c r="A64">
        <v>2.5870735000000002</v>
      </c>
      <c r="B64">
        <v>0.49931999999999999</v>
      </c>
      <c r="C64">
        <f t="shared" si="1"/>
        <v>1.29177754002</v>
      </c>
      <c r="D64">
        <v>1.66E-2</v>
      </c>
      <c r="E64">
        <v>2.7899999999999999E-3</v>
      </c>
      <c r="F64">
        <f t="shared" si="2"/>
        <v>517.41470000000004</v>
      </c>
      <c r="G64">
        <f t="shared" si="3"/>
        <v>-0.49931999999999999</v>
      </c>
      <c r="H64">
        <f t="shared" si="4"/>
        <v>-258.355508004</v>
      </c>
      <c r="I64">
        <v>1</v>
      </c>
      <c r="J64">
        <f t="shared" si="5"/>
        <v>-0.65891059834659604</v>
      </c>
      <c r="K64">
        <f t="shared" si="6"/>
        <v>-0.72240515177521747</v>
      </c>
      <c r="L64">
        <v>1</v>
      </c>
      <c r="M64">
        <f t="shared" si="7"/>
        <v>0.63451570750151287</v>
      </c>
      <c r="N64">
        <f t="shared" si="13"/>
        <v>4.2945420100000006E-2</v>
      </c>
      <c r="O64">
        <f t="shared" si="11"/>
        <v>7.2179350650000001E-3</v>
      </c>
      <c r="P64">
        <f t="shared" si="12"/>
        <v>3.7726089108704591E-2</v>
      </c>
      <c r="V64">
        <v>-2.0428103653102899E-14</v>
      </c>
      <c r="W64">
        <f t="shared" si="9"/>
        <v>-0.66699999999999904</v>
      </c>
    </row>
    <row r="65" spans="1:23" x14ac:dyDescent="0.3">
      <c r="A65">
        <v>2.6281381499999998</v>
      </c>
      <c r="B65">
        <v>0.49742999999999998</v>
      </c>
      <c r="C65">
        <f t="shared" si="1"/>
        <v>1.3073147599544999</v>
      </c>
      <c r="D65">
        <v>1.66E-2</v>
      </c>
      <c r="E65">
        <v>2.7899999999999999E-3</v>
      </c>
      <c r="F65">
        <f t="shared" si="2"/>
        <v>525.62762999999995</v>
      </c>
      <c r="G65">
        <f t="shared" si="3"/>
        <v>-0.49742999999999998</v>
      </c>
      <c r="H65">
        <f t="shared" si="4"/>
        <v>-261.46295199089997</v>
      </c>
      <c r="I65">
        <v>1</v>
      </c>
      <c r="J65">
        <f t="shared" si="5"/>
        <v>-0.64316224470026062</v>
      </c>
      <c r="K65">
        <f t="shared" si="6"/>
        <v>-0.72429515177521742</v>
      </c>
      <c r="L65">
        <v>1</v>
      </c>
      <c r="M65">
        <f t="shared" si="7"/>
        <v>0.63529210133627723</v>
      </c>
      <c r="N65">
        <f t="shared" si="13"/>
        <v>4.3627093289999995E-2</v>
      </c>
      <c r="O65">
        <f t="shared" si="11"/>
        <v>7.3325054384999998E-3</v>
      </c>
      <c r="P65">
        <f t="shared" si="12"/>
        <v>3.8043451710440199E-2</v>
      </c>
      <c r="V65">
        <v>9.9999999999980105E-2</v>
      </c>
      <c r="W65">
        <f t="shared" si="9"/>
        <v>-0.67192999999999903</v>
      </c>
    </row>
    <row r="66" spans="1:23" x14ac:dyDescent="0.3">
      <c r="A66">
        <v>2.6692027999999999</v>
      </c>
      <c r="B66">
        <v>0.49460999999999999</v>
      </c>
      <c r="C66">
        <f t="shared" si="1"/>
        <v>1.320214396908</v>
      </c>
      <c r="D66">
        <v>1.66E-2</v>
      </c>
      <c r="E66">
        <v>2.7899999999999999E-3</v>
      </c>
      <c r="F66">
        <f t="shared" si="2"/>
        <v>533.84055999999998</v>
      </c>
      <c r="G66">
        <f t="shared" si="3"/>
        <v>-0.49460999999999999</v>
      </c>
      <c r="H66">
        <f t="shared" si="4"/>
        <v>-264.04287938160002</v>
      </c>
      <c r="I66">
        <v>1</v>
      </c>
      <c r="J66">
        <f t="shared" si="5"/>
        <v>-0.62765806138388935</v>
      </c>
      <c r="K66">
        <f t="shared" si="6"/>
        <v>-0.72711515177521746</v>
      </c>
      <c r="L66">
        <v>1</v>
      </c>
      <c r="M66">
        <f t="shared" si="7"/>
        <v>0.63605645757377427</v>
      </c>
      <c r="N66">
        <f t="shared" si="13"/>
        <v>4.4308766479999998E-2</v>
      </c>
      <c r="O66">
        <f t="shared" si="11"/>
        <v>7.4470758119999994E-3</v>
      </c>
      <c r="P66">
        <f t="shared" si="12"/>
        <v>3.9302851909443194E-2</v>
      </c>
      <c r="V66">
        <v>0.19999999999998</v>
      </c>
      <c r="W66">
        <f t="shared" si="9"/>
        <v>-0.67685999999999902</v>
      </c>
    </row>
    <row r="67" spans="1:23" x14ac:dyDescent="0.3">
      <c r="A67">
        <v>2.7102674499999999</v>
      </c>
      <c r="B67">
        <v>0.49177999999999999</v>
      </c>
      <c r="C67">
        <f t="shared" si="1"/>
        <v>1.3328553265609999</v>
      </c>
      <c r="D67">
        <v>1.66E-2</v>
      </c>
      <c r="E67">
        <v>2.7899999999999999E-3</v>
      </c>
      <c r="F67">
        <f t="shared" si="2"/>
        <v>542.05349000000001</v>
      </c>
      <c r="G67">
        <f t="shared" si="3"/>
        <v>-0.49177999999999999</v>
      </c>
      <c r="H67">
        <f t="shared" si="4"/>
        <v>-266.57106531220001</v>
      </c>
      <c r="I67">
        <v>1</v>
      </c>
      <c r="J67">
        <f t="shared" si="5"/>
        <v>-0.61239059237513171</v>
      </c>
      <c r="K67">
        <f t="shared" si="6"/>
        <v>-0.72994515177521746</v>
      </c>
      <c r="L67">
        <v>1</v>
      </c>
      <c r="M67">
        <f t="shared" si="7"/>
        <v>0.63680914379590603</v>
      </c>
      <c r="N67">
        <f t="shared" si="13"/>
        <v>4.499043967E-2</v>
      </c>
      <c r="O67">
        <f t="shared" si="11"/>
        <v>7.5616461854999999E-3</v>
      </c>
      <c r="P67">
        <f t="shared" si="12"/>
        <v>4.0583922123811428E-2</v>
      </c>
      <c r="V67">
        <v>0.29999999999998</v>
      </c>
      <c r="W67">
        <f t="shared" si="9"/>
        <v>-0.68178999999999901</v>
      </c>
    </row>
    <row r="68" spans="1:23" x14ac:dyDescent="0.3">
      <c r="A68">
        <v>2.7513321500000001</v>
      </c>
      <c r="B68">
        <v>0.48895</v>
      </c>
      <c r="C68">
        <f t="shared" si="1"/>
        <v>1.3452638547425</v>
      </c>
      <c r="D68">
        <v>1.66E-2</v>
      </c>
      <c r="E68">
        <v>2.7899999999999999E-3</v>
      </c>
      <c r="F68">
        <f t="shared" si="2"/>
        <v>550.26643000000001</v>
      </c>
      <c r="G68">
        <f t="shared" si="3"/>
        <v>-0.48895</v>
      </c>
      <c r="H68">
        <f t="shared" si="4"/>
        <v>-269.05277094849998</v>
      </c>
      <c r="I68">
        <v>1</v>
      </c>
      <c r="J68">
        <f t="shared" si="5"/>
        <v>-0.59735269986641215</v>
      </c>
      <c r="K68">
        <f t="shared" si="6"/>
        <v>-0.73277515177521746</v>
      </c>
      <c r="L68">
        <v>1</v>
      </c>
      <c r="M68">
        <f t="shared" si="7"/>
        <v>0.63755051189658596</v>
      </c>
      <c r="N68">
        <f t="shared" si="13"/>
        <v>4.5672113690000002E-2</v>
      </c>
      <c r="O68">
        <f t="shared" si="11"/>
        <v>7.6762166985000005E-3</v>
      </c>
      <c r="P68">
        <f t="shared" si="12"/>
        <v>4.1876309490131498E-2</v>
      </c>
      <c r="V68">
        <v>0.39999999999997998</v>
      </c>
      <c r="W68">
        <f t="shared" si="9"/>
        <v>-0.686719999999999</v>
      </c>
    </row>
    <row r="69" spans="1:23" x14ac:dyDescent="0.3">
      <c r="A69">
        <v>2.8006096999999999</v>
      </c>
      <c r="B69">
        <v>0.48707</v>
      </c>
      <c r="C69">
        <f t="shared" ref="C69:C132" si="14">A69*B69</f>
        <v>1.364092966579</v>
      </c>
      <c r="D69">
        <v>1.66E-2</v>
      </c>
      <c r="E69">
        <v>2.7899999999999999E-3</v>
      </c>
      <c r="F69">
        <f t="shared" ref="F69:F132" si="15">A69*200</f>
        <v>560.12194</v>
      </c>
      <c r="G69">
        <f t="shared" ref="G69:G132" si="16">-B69</f>
        <v>-0.48707</v>
      </c>
      <c r="H69">
        <f t="shared" ref="H69:H132" si="17">-C69*200</f>
        <v>-272.8185933158</v>
      </c>
      <c r="I69">
        <v>1</v>
      </c>
      <c r="J69">
        <f t="shared" ref="J69:J132" si="18">LN(F69/1000)</f>
        <v>-0.57960076895703239</v>
      </c>
      <c r="K69">
        <f t="shared" ref="K69:K132" si="19">((-G69)-$N$2)</f>
        <v>-0.73465515177521745</v>
      </c>
      <c r="L69">
        <v>1</v>
      </c>
      <c r="M69">
        <f t="shared" ref="M69:M132" si="20">-1*($S$4+($S$5*J69))</f>
        <v>0.63842568209041839</v>
      </c>
      <c r="N69">
        <f t="shared" si="13"/>
        <v>4.6490121019999997E-2</v>
      </c>
      <c r="O69">
        <f t="shared" si="11"/>
        <v>7.8137010630000003E-3</v>
      </c>
      <c r="P69">
        <f t="shared" si="12"/>
        <v>4.1925647601799065E-2</v>
      </c>
      <c r="V69">
        <v>0.49999999999998002</v>
      </c>
      <c r="W69">
        <f t="shared" ref="W69:W132" si="21">V69*$S$5+$S$4</f>
        <v>-0.6916499999999991</v>
      </c>
    </row>
    <row r="70" spans="1:23" x14ac:dyDescent="0.3">
      <c r="A70">
        <v>2.8416744</v>
      </c>
      <c r="B70">
        <v>0.48424</v>
      </c>
      <c r="C70">
        <f t="shared" si="14"/>
        <v>1.376052411456</v>
      </c>
      <c r="D70">
        <v>1.66E-2</v>
      </c>
      <c r="E70">
        <v>2.7899999999999999E-3</v>
      </c>
      <c r="F70">
        <f t="shared" si="15"/>
        <v>568.33488</v>
      </c>
      <c r="G70">
        <f t="shared" si="16"/>
        <v>-0.48424</v>
      </c>
      <c r="H70">
        <f t="shared" si="17"/>
        <v>-275.21048229119998</v>
      </c>
      <c r="I70">
        <v>1</v>
      </c>
      <c r="J70">
        <f t="shared" si="18"/>
        <v>-0.56504445652870794</v>
      </c>
      <c r="K70">
        <f t="shared" si="19"/>
        <v>-0.73748515177521745</v>
      </c>
      <c r="L70">
        <v>1</v>
      </c>
      <c r="M70">
        <f t="shared" si="20"/>
        <v>0.6391433082931347</v>
      </c>
      <c r="N70">
        <f t="shared" si="13"/>
        <v>4.7171795039999999E-2</v>
      </c>
      <c r="O70">
        <f t="shared" ref="O70:O133" si="22">E70*A70</f>
        <v>7.9282715760000001E-3</v>
      </c>
      <c r="P70">
        <f t="shared" ref="P70:P133" si="23">-K70-M70-N70-O70</f>
        <v>4.324177686608275E-2</v>
      </c>
      <c r="V70">
        <v>0.59999999999997999</v>
      </c>
      <c r="W70">
        <f t="shared" si="21"/>
        <v>-0.69657999999999909</v>
      </c>
    </row>
    <row r="71" spans="1:23" x14ac:dyDescent="0.3">
      <c r="A71">
        <v>2.8827390500000001</v>
      </c>
      <c r="B71">
        <v>0.48142000000000001</v>
      </c>
      <c r="C71">
        <f t="shared" si="14"/>
        <v>1.387808233451</v>
      </c>
      <c r="D71">
        <v>1.66E-2</v>
      </c>
      <c r="E71">
        <v>2.7899999999999999E-3</v>
      </c>
      <c r="F71">
        <f t="shared" si="15"/>
        <v>576.54781000000003</v>
      </c>
      <c r="G71">
        <f t="shared" si="16"/>
        <v>-0.48142000000000001</v>
      </c>
      <c r="H71">
        <f t="shared" si="17"/>
        <v>-277.56164669020001</v>
      </c>
      <c r="I71">
        <v>1</v>
      </c>
      <c r="J71">
        <f t="shared" si="18"/>
        <v>-0.55069701122856107</v>
      </c>
      <c r="K71">
        <f t="shared" si="19"/>
        <v>-0.7403051517752175</v>
      </c>
      <c r="L71">
        <v>1</v>
      </c>
      <c r="M71">
        <f t="shared" si="20"/>
        <v>0.63985063734643199</v>
      </c>
      <c r="N71">
        <f t="shared" ref="N71:N134" si="24">D71*A71</f>
        <v>4.7853468230000001E-2</v>
      </c>
      <c r="O71">
        <f t="shared" si="22"/>
        <v>8.0428419494999997E-3</v>
      </c>
      <c r="P71">
        <f t="shared" si="23"/>
        <v>4.4558204249285499E-2</v>
      </c>
      <c r="V71">
        <v>0.69999999999997997</v>
      </c>
      <c r="W71">
        <f t="shared" si="21"/>
        <v>-0.70150999999999908</v>
      </c>
    </row>
    <row r="72" spans="1:23" x14ac:dyDescent="0.3">
      <c r="A72">
        <v>2.9238037000000001</v>
      </c>
      <c r="B72">
        <v>0.47859000000000002</v>
      </c>
      <c r="C72">
        <f t="shared" si="14"/>
        <v>1.3993032127830001</v>
      </c>
      <c r="D72">
        <v>1.66E-2</v>
      </c>
      <c r="E72">
        <v>2.7899999999999999E-3</v>
      </c>
      <c r="F72">
        <f t="shared" si="15"/>
        <v>584.76074000000006</v>
      </c>
      <c r="G72">
        <f t="shared" si="16"/>
        <v>-0.47859000000000002</v>
      </c>
      <c r="H72">
        <f t="shared" si="17"/>
        <v>-279.8606425566</v>
      </c>
      <c r="I72">
        <v>1</v>
      </c>
      <c r="J72">
        <f t="shared" si="18"/>
        <v>-0.53655250686308786</v>
      </c>
      <c r="K72">
        <f t="shared" si="19"/>
        <v>-0.74313515177521738</v>
      </c>
      <c r="L72">
        <v>1</v>
      </c>
      <c r="M72">
        <f t="shared" si="20"/>
        <v>0.64054796141164982</v>
      </c>
      <c r="N72">
        <f t="shared" si="24"/>
        <v>4.8535141420000004E-2</v>
      </c>
      <c r="O72">
        <f t="shared" si="22"/>
        <v>8.1574123229999993E-3</v>
      </c>
      <c r="P72">
        <f t="shared" si="23"/>
        <v>4.5894636620567558E-2</v>
      </c>
      <c r="V72">
        <v>0.79999999999997995</v>
      </c>
      <c r="W72">
        <f t="shared" si="21"/>
        <v>-0.70643999999999907</v>
      </c>
    </row>
    <row r="73" spans="1:23" x14ac:dyDescent="0.3">
      <c r="A73">
        <v>2.9648683499999997</v>
      </c>
      <c r="B73">
        <v>0.47671000000000002</v>
      </c>
      <c r="C73">
        <f t="shared" si="14"/>
        <v>1.4133823911284999</v>
      </c>
      <c r="D73">
        <v>1.66E-2</v>
      </c>
      <c r="E73">
        <v>2.7899999999999999E-3</v>
      </c>
      <c r="F73">
        <f t="shared" si="15"/>
        <v>592.97366999999997</v>
      </c>
      <c r="G73">
        <f t="shared" si="16"/>
        <v>-0.47671000000000002</v>
      </c>
      <c r="H73">
        <f t="shared" si="17"/>
        <v>-282.67647822570001</v>
      </c>
      <c r="I73">
        <v>1</v>
      </c>
      <c r="J73">
        <f t="shared" si="18"/>
        <v>-0.52260528231925318</v>
      </c>
      <c r="K73">
        <f t="shared" si="19"/>
        <v>-0.74501515177521749</v>
      </c>
      <c r="L73">
        <v>1</v>
      </c>
      <c r="M73">
        <f t="shared" si="20"/>
        <v>0.6412355595816609</v>
      </c>
      <c r="N73">
        <f t="shared" si="24"/>
        <v>4.9216814609999993E-2</v>
      </c>
      <c r="O73">
        <f t="shared" si="22"/>
        <v>8.2719826964999989E-3</v>
      </c>
      <c r="P73">
        <f t="shared" si="23"/>
        <v>4.6290794887056598E-2</v>
      </c>
      <c r="V73">
        <v>0.89999999999998004</v>
      </c>
      <c r="W73">
        <f t="shared" si="21"/>
        <v>-0.71136999999999906</v>
      </c>
    </row>
    <row r="74" spans="1:23" x14ac:dyDescent="0.3">
      <c r="A74">
        <v>3.0059330000000002</v>
      </c>
      <c r="B74">
        <v>0.47388000000000002</v>
      </c>
      <c r="C74">
        <f t="shared" si="14"/>
        <v>1.4244515300400002</v>
      </c>
      <c r="D74">
        <v>1.66E-2</v>
      </c>
      <c r="E74">
        <v>2.7899999999999999E-3</v>
      </c>
      <c r="F74">
        <f t="shared" si="15"/>
        <v>601.1866</v>
      </c>
      <c r="G74">
        <f t="shared" si="16"/>
        <v>-0.47388000000000002</v>
      </c>
      <c r="H74">
        <f t="shared" si="17"/>
        <v>-284.89030600800004</v>
      </c>
      <c r="I74">
        <v>1</v>
      </c>
      <c r="J74">
        <f t="shared" si="18"/>
        <v>-0.50884991010753733</v>
      </c>
      <c r="K74">
        <f t="shared" si="19"/>
        <v>-0.74784515177521738</v>
      </c>
      <c r="L74">
        <v>1</v>
      </c>
      <c r="M74">
        <f t="shared" si="20"/>
        <v>0.6419136994316984</v>
      </c>
      <c r="N74">
        <f t="shared" si="24"/>
        <v>4.9898487800000002E-2</v>
      </c>
      <c r="O74">
        <f t="shared" si="22"/>
        <v>8.3865530700000003E-3</v>
      </c>
      <c r="P74">
        <f t="shared" si="23"/>
        <v>4.7646411473518974E-2</v>
      </c>
      <c r="V74">
        <v>0.99999999999998002</v>
      </c>
      <c r="W74">
        <f t="shared" si="21"/>
        <v>-0.71629999999999905</v>
      </c>
    </row>
    <row r="75" spans="1:23" x14ac:dyDescent="0.3">
      <c r="A75">
        <v>3.0552105999999997</v>
      </c>
      <c r="B75">
        <v>0.47199999999999998</v>
      </c>
      <c r="C75">
        <f t="shared" si="14"/>
        <v>1.4420594031999998</v>
      </c>
      <c r="D75">
        <v>1.66E-2</v>
      </c>
      <c r="E75">
        <v>2.7899999999999999E-3</v>
      </c>
      <c r="F75">
        <f t="shared" si="15"/>
        <v>611.04211999999995</v>
      </c>
      <c r="G75">
        <f t="shared" si="16"/>
        <v>-0.47199999999999998</v>
      </c>
      <c r="H75">
        <f t="shared" si="17"/>
        <v>-288.41188063999994</v>
      </c>
      <c r="I75">
        <v>1</v>
      </c>
      <c r="J75">
        <f t="shared" si="18"/>
        <v>-0.49258938601631769</v>
      </c>
      <c r="K75">
        <f t="shared" si="19"/>
        <v>-0.74972515177521748</v>
      </c>
      <c r="L75">
        <v>1</v>
      </c>
      <c r="M75">
        <f t="shared" si="20"/>
        <v>0.64271534326939561</v>
      </c>
      <c r="N75">
        <f t="shared" si="24"/>
        <v>5.0716495959999996E-2</v>
      </c>
      <c r="O75">
        <f t="shared" si="22"/>
        <v>8.5240375739999985E-3</v>
      </c>
      <c r="P75">
        <f t="shared" si="23"/>
        <v>4.7769274971821873E-2</v>
      </c>
      <c r="V75">
        <v>1.0999999999999699</v>
      </c>
      <c r="W75">
        <f t="shared" si="21"/>
        <v>-0.72122999999999859</v>
      </c>
    </row>
    <row r="76" spans="1:23" x14ac:dyDescent="0.3">
      <c r="A76">
        <v>3.0962752499999997</v>
      </c>
      <c r="B76">
        <v>0.46916999999999998</v>
      </c>
      <c r="C76">
        <f t="shared" si="14"/>
        <v>1.4526794590424998</v>
      </c>
      <c r="D76">
        <v>1.66E-2</v>
      </c>
      <c r="E76">
        <v>2.7899999999999999E-3</v>
      </c>
      <c r="F76">
        <f t="shared" si="15"/>
        <v>619.25504999999998</v>
      </c>
      <c r="G76">
        <f t="shared" si="16"/>
        <v>-0.46916999999999998</v>
      </c>
      <c r="H76">
        <f t="shared" si="17"/>
        <v>-290.53589180849997</v>
      </c>
      <c r="I76">
        <v>1</v>
      </c>
      <c r="J76">
        <f t="shared" si="18"/>
        <v>-0.47923805561967869</v>
      </c>
      <c r="K76">
        <f t="shared" si="19"/>
        <v>-0.75255515177521748</v>
      </c>
      <c r="L76">
        <v>1</v>
      </c>
      <c r="M76">
        <f t="shared" si="20"/>
        <v>0.64337356385794986</v>
      </c>
      <c r="N76">
        <f t="shared" si="24"/>
        <v>5.1398169149999999E-2</v>
      </c>
      <c r="O76">
        <f t="shared" si="22"/>
        <v>8.6386079474999981E-3</v>
      </c>
      <c r="P76">
        <f t="shared" si="23"/>
        <v>4.9144810819767626E-2</v>
      </c>
      <c r="V76">
        <v>1.19999999999997</v>
      </c>
      <c r="W76">
        <f t="shared" si="21"/>
        <v>-0.72615999999999858</v>
      </c>
    </row>
    <row r="77" spans="1:23" x14ac:dyDescent="0.3">
      <c r="A77">
        <v>3.1373399000000002</v>
      </c>
      <c r="B77">
        <v>0.46633999999999998</v>
      </c>
      <c r="C77">
        <f t="shared" si="14"/>
        <v>1.463067088966</v>
      </c>
      <c r="D77">
        <v>1.66E-2</v>
      </c>
      <c r="E77">
        <v>2.7899999999999999E-3</v>
      </c>
      <c r="F77">
        <f t="shared" si="15"/>
        <v>627.46798000000001</v>
      </c>
      <c r="G77">
        <f t="shared" si="16"/>
        <v>-0.46633999999999998</v>
      </c>
      <c r="H77">
        <f t="shared" si="17"/>
        <v>-292.61341779320003</v>
      </c>
      <c r="I77">
        <v>1</v>
      </c>
      <c r="J77">
        <f t="shared" si="18"/>
        <v>-0.46606263716661123</v>
      </c>
      <c r="K77">
        <f t="shared" si="19"/>
        <v>-0.75538515177521748</v>
      </c>
      <c r="L77">
        <v>1</v>
      </c>
      <c r="M77">
        <f t="shared" si="20"/>
        <v>0.64402311198768614</v>
      </c>
      <c r="N77">
        <f t="shared" si="24"/>
        <v>5.2079842340000002E-2</v>
      </c>
      <c r="O77">
        <f t="shared" si="22"/>
        <v>8.7531783209999995E-3</v>
      </c>
      <c r="P77">
        <f t="shared" si="23"/>
        <v>5.0529019126531342E-2</v>
      </c>
      <c r="V77">
        <v>1.2999999999999701</v>
      </c>
      <c r="W77">
        <f t="shared" si="21"/>
        <v>-0.73108999999999857</v>
      </c>
    </row>
    <row r="78" spans="1:23" x14ac:dyDescent="0.3">
      <c r="A78">
        <v>3.1784045999999999</v>
      </c>
      <c r="B78">
        <v>0.46445999999999998</v>
      </c>
      <c r="C78">
        <f t="shared" si="14"/>
        <v>1.4762418005159998</v>
      </c>
      <c r="D78">
        <v>1.66E-2</v>
      </c>
      <c r="E78">
        <v>2.7899999999999999E-3</v>
      </c>
      <c r="F78">
        <f t="shared" si="15"/>
        <v>635.68092000000001</v>
      </c>
      <c r="G78">
        <f t="shared" si="16"/>
        <v>-0.46445999999999998</v>
      </c>
      <c r="H78">
        <f t="shared" si="17"/>
        <v>-295.24836010319996</v>
      </c>
      <c r="I78">
        <v>1</v>
      </c>
      <c r="J78">
        <f t="shared" si="18"/>
        <v>-0.45305853964782938</v>
      </c>
      <c r="K78">
        <f t="shared" si="19"/>
        <v>-0.75726515177521747</v>
      </c>
      <c r="L78">
        <v>1</v>
      </c>
      <c r="M78">
        <f t="shared" si="20"/>
        <v>0.644664213995362</v>
      </c>
      <c r="N78">
        <f t="shared" si="24"/>
        <v>5.2761516359999996E-2</v>
      </c>
      <c r="O78">
        <f t="shared" si="22"/>
        <v>8.8677488339999992E-3</v>
      </c>
      <c r="P78">
        <f t="shared" si="23"/>
        <v>5.0971672585855471E-2</v>
      </c>
      <c r="V78">
        <v>1.3999999999999699</v>
      </c>
      <c r="W78">
        <f t="shared" si="21"/>
        <v>-0.73601999999999856</v>
      </c>
    </row>
    <row r="79" spans="1:23" x14ac:dyDescent="0.3">
      <c r="A79">
        <v>3.2194692500000004</v>
      </c>
      <c r="B79">
        <v>0.46162999999999998</v>
      </c>
      <c r="C79">
        <f t="shared" si="14"/>
        <v>1.4862035898775001</v>
      </c>
      <c r="D79">
        <v>1.66E-2</v>
      </c>
      <c r="E79">
        <v>2.7899999999999999E-3</v>
      </c>
      <c r="F79">
        <f t="shared" si="15"/>
        <v>643.89385000000004</v>
      </c>
      <c r="G79">
        <f t="shared" si="16"/>
        <v>-0.46162999999999998</v>
      </c>
      <c r="H79">
        <f t="shared" si="17"/>
        <v>-297.24071797550005</v>
      </c>
      <c r="I79">
        <v>1</v>
      </c>
      <c r="J79">
        <f t="shared" si="18"/>
        <v>-0.44022139565615431</v>
      </c>
      <c r="K79">
        <f t="shared" si="19"/>
        <v>-0.76009515177521747</v>
      </c>
      <c r="L79">
        <v>1</v>
      </c>
      <c r="M79">
        <f t="shared" si="20"/>
        <v>0.64529708519415163</v>
      </c>
      <c r="N79">
        <f t="shared" si="24"/>
        <v>5.3443189550000006E-2</v>
      </c>
      <c r="O79">
        <f t="shared" si="22"/>
        <v>8.9823192075000006E-3</v>
      </c>
      <c r="P79">
        <f t="shared" si="23"/>
        <v>5.2372557823565834E-2</v>
      </c>
      <c r="V79">
        <v>1.49999999999997</v>
      </c>
      <c r="W79">
        <f t="shared" si="21"/>
        <v>-0.74094999999999855</v>
      </c>
    </row>
    <row r="80" spans="1:23" x14ac:dyDescent="0.3">
      <c r="A80">
        <v>3.2687468499999999</v>
      </c>
      <c r="B80">
        <v>0.45881</v>
      </c>
      <c r="C80">
        <f t="shared" si="14"/>
        <v>1.4997337422485</v>
      </c>
      <c r="D80">
        <v>1.66E-2</v>
      </c>
      <c r="E80">
        <v>2.7899999999999999E-3</v>
      </c>
      <c r="F80">
        <f t="shared" si="15"/>
        <v>653.74937</v>
      </c>
      <c r="G80">
        <f t="shared" si="16"/>
        <v>-0.45881</v>
      </c>
      <c r="H80">
        <f t="shared" si="17"/>
        <v>-299.94674844970001</v>
      </c>
      <c r="I80">
        <v>1</v>
      </c>
      <c r="J80">
        <f t="shared" si="18"/>
        <v>-0.42503122727459686</v>
      </c>
      <c r="K80">
        <f t="shared" si="19"/>
        <v>-0.76291515177521751</v>
      </c>
      <c r="L80">
        <v>1</v>
      </c>
      <c r="M80">
        <f t="shared" si="20"/>
        <v>0.64604596049536245</v>
      </c>
      <c r="N80">
        <f t="shared" si="24"/>
        <v>5.426119771E-2</v>
      </c>
      <c r="O80">
        <f t="shared" si="22"/>
        <v>9.1198037114999988E-3</v>
      </c>
      <c r="P80">
        <f t="shared" si="23"/>
        <v>5.3488189858355066E-2</v>
      </c>
      <c r="V80">
        <v>1.5999999999999699</v>
      </c>
      <c r="W80">
        <f t="shared" si="21"/>
        <v>-0.74587999999999854</v>
      </c>
    </row>
    <row r="81" spans="1:23" x14ac:dyDescent="0.3">
      <c r="A81">
        <v>3.3098115000000004</v>
      </c>
      <c r="B81">
        <v>0.45691999999999999</v>
      </c>
      <c r="C81">
        <f t="shared" si="14"/>
        <v>1.51231907058</v>
      </c>
      <c r="D81">
        <v>1.66E-2</v>
      </c>
      <c r="E81">
        <v>2.7899999999999999E-3</v>
      </c>
      <c r="F81">
        <f t="shared" si="15"/>
        <v>661.96230000000003</v>
      </c>
      <c r="G81">
        <f t="shared" si="16"/>
        <v>-0.45691999999999999</v>
      </c>
      <c r="H81">
        <f t="shared" si="17"/>
        <v>-302.46381411599998</v>
      </c>
      <c r="I81">
        <v>1</v>
      </c>
      <c r="J81">
        <f t="shared" si="18"/>
        <v>-0.41254667330724759</v>
      </c>
      <c r="K81">
        <f t="shared" si="19"/>
        <v>-0.76480515177521746</v>
      </c>
      <c r="L81">
        <v>1</v>
      </c>
      <c r="M81">
        <f t="shared" si="20"/>
        <v>0.64666144900595268</v>
      </c>
      <c r="N81">
        <f t="shared" si="24"/>
        <v>5.494287090000001E-2</v>
      </c>
      <c r="O81">
        <f t="shared" si="22"/>
        <v>9.2343740850000001E-3</v>
      </c>
      <c r="P81">
        <f t="shared" si="23"/>
        <v>5.3966457784264774E-2</v>
      </c>
      <c r="V81">
        <v>1.69999999999997</v>
      </c>
      <c r="W81">
        <f t="shared" si="21"/>
        <v>-0.75080999999999853</v>
      </c>
    </row>
    <row r="82" spans="1:23" x14ac:dyDescent="0.3">
      <c r="A82">
        <v>3.3508761500000004</v>
      </c>
      <c r="B82">
        <v>0.4541</v>
      </c>
      <c r="C82">
        <f t="shared" si="14"/>
        <v>1.5216328597150002</v>
      </c>
      <c r="D82">
        <v>1.66E-2</v>
      </c>
      <c r="E82">
        <v>2.7899999999999999E-3</v>
      </c>
      <c r="F82">
        <f t="shared" si="15"/>
        <v>670.17523000000006</v>
      </c>
      <c r="G82">
        <f t="shared" si="16"/>
        <v>-0.4541</v>
      </c>
      <c r="H82">
        <f t="shared" si="17"/>
        <v>-304.32657194300003</v>
      </c>
      <c r="I82">
        <v>1</v>
      </c>
      <c r="J82">
        <f t="shared" si="18"/>
        <v>-0.4002160634786136</v>
      </c>
      <c r="K82">
        <f t="shared" si="19"/>
        <v>-0.76762515177521751</v>
      </c>
      <c r="L82">
        <v>1</v>
      </c>
      <c r="M82">
        <f t="shared" si="20"/>
        <v>0.6472693480705044</v>
      </c>
      <c r="N82">
        <f t="shared" si="24"/>
        <v>5.5624544090000005E-2</v>
      </c>
      <c r="O82">
        <f t="shared" si="22"/>
        <v>9.3489444585000015E-3</v>
      </c>
      <c r="P82">
        <f t="shared" si="23"/>
        <v>5.5382315156213099E-2</v>
      </c>
      <c r="V82">
        <v>1.7999999999999701</v>
      </c>
      <c r="W82">
        <f t="shared" si="21"/>
        <v>-0.75573999999999852</v>
      </c>
    </row>
    <row r="83" spans="1:23" x14ac:dyDescent="0.3">
      <c r="A83">
        <v>3.3919408</v>
      </c>
      <c r="B83">
        <v>0.45127</v>
      </c>
      <c r="C83">
        <f t="shared" si="14"/>
        <v>1.5306811248159999</v>
      </c>
      <c r="D83">
        <v>1.66E-2</v>
      </c>
      <c r="E83">
        <v>2.7899999999999999E-3</v>
      </c>
      <c r="F83">
        <f t="shared" si="15"/>
        <v>678.38815999999997</v>
      </c>
      <c r="G83">
        <f t="shared" si="16"/>
        <v>-0.45127</v>
      </c>
      <c r="H83">
        <f t="shared" si="17"/>
        <v>-306.13622496319999</v>
      </c>
      <c r="I83">
        <v>1</v>
      </c>
      <c r="J83">
        <f t="shared" si="18"/>
        <v>-0.38803564748693481</v>
      </c>
      <c r="K83">
        <f t="shared" si="19"/>
        <v>-0.7704551517752174</v>
      </c>
      <c r="L83">
        <v>1</v>
      </c>
      <c r="M83">
        <f t="shared" si="20"/>
        <v>0.64786984257889413</v>
      </c>
      <c r="N83">
        <f t="shared" si="24"/>
        <v>5.6306217280000001E-2</v>
      </c>
      <c r="O83">
        <f t="shared" si="22"/>
        <v>9.4635148319999994E-3</v>
      </c>
      <c r="P83">
        <f t="shared" si="23"/>
        <v>5.6815577084323263E-2</v>
      </c>
      <c r="V83">
        <v>1.8999999999999699</v>
      </c>
      <c r="W83">
        <f t="shared" si="21"/>
        <v>-0.76066999999999851</v>
      </c>
    </row>
    <row r="84" spans="1:23" x14ac:dyDescent="0.3">
      <c r="A84">
        <v>3.43300545</v>
      </c>
      <c r="B84">
        <v>0.44939000000000001</v>
      </c>
      <c r="C84">
        <f t="shared" si="14"/>
        <v>1.5427583191755001</v>
      </c>
      <c r="D84">
        <v>1.66E-2</v>
      </c>
      <c r="E84">
        <v>2.7899999999999999E-3</v>
      </c>
      <c r="F84">
        <f t="shared" si="15"/>
        <v>686.60109</v>
      </c>
      <c r="G84">
        <f t="shared" si="16"/>
        <v>-0.44939000000000001</v>
      </c>
      <c r="H84">
        <f t="shared" si="17"/>
        <v>-308.55166383510004</v>
      </c>
      <c r="I84">
        <v>1</v>
      </c>
      <c r="J84">
        <f t="shared" si="18"/>
        <v>-0.37600181042703529</v>
      </c>
      <c r="K84">
        <f t="shared" si="19"/>
        <v>-0.7723351517752175</v>
      </c>
      <c r="L84">
        <v>1</v>
      </c>
      <c r="M84">
        <f t="shared" si="20"/>
        <v>0.6484631107459472</v>
      </c>
      <c r="N84">
        <f t="shared" si="24"/>
        <v>5.6987890470000004E-2</v>
      </c>
      <c r="O84">
        <f t="shared" si="22"/>
        <v>9.578085205499999E-3</v>
      </c>
      <c r="P84">
        <f t="shared" si="23"/>
        <v>5.7306065353770301E-2</v>
      </c>
      <c r="V84">
        <v>1.99999999999997</v>
      </c>
      <c r="W84">
        <f t="shared" si="21"/>
        <v>-0.7655999999999985</v>
      </c>
    </row>
    <row r="85" spans="1:23" x14ac:dyDescent="0.3">
      <c r="A85">
        <v>3.4740701</v>
      </c>
      <c r="B85">
        <v>0.44656000000000001</v>
      </c>
      <c r="C85">
        <f t="shared" si="14"/>
        <v>1.5513807438560001</v>
      </c>
      <c r="D85">
        <v>1.66E-2</v>
      </c>
      <c r="E85">
        <v>2.7899999999999999E-3</v>
      </c>
      <c r="F85">
        <f t="shared" si="15"/>
        <v>694.81402000000003</v>
      </c>
      <c r="G85">
        <f t="shared" si="16"/>
        <v>-0.44656000000000001</v>
      </c>
      <c r="H85">
        <f t="shared" si="17"/>
        <v>-310.27614877120004</v>
      </c>
      <c r="I85">
        <v>1</v>
      </c>
      <c r="J85">
        <f t="shared" si="18"/>
        <v>-0.36411106635014562</v>
      </c>
      <c r="K85">
        <f t="shared" si="19"/>
        <v>-0.77516515177521739</v>
      </c>
      <c r="L85">
        <v>1</v>
      </c>
      <c r="M85">
        <f t="shared" si="20"/>
        <v>0.64904932442893781</v>
      </c>
      <c r="N85">
        <f t="shared" si="24"/>
        <v>5.7669563659999999E-2</v>
      </c>
      <c r="O85">
        <f t="shared" si="22"/>
        <v>9.6926555790000004E-3</v>
      </c>
      <c r="P85">
        <f t="shared" si="23"/>
        <v>5.8753608107279566E-2</v>
      </c>
      <c r="V85">
        <v>2.0999999999999699</v>
      </c>
      <c r="W85">
        <f t="shared" si="21"/>
        <v>-0.7705299999999986</v>
      </c>
    </row>
    <row r="86" spans="1:23" x14ac:dyDescent="0.3">
      <c r="A86">
        <v>3.5151348000000002</v>
      </c>
      <c r="B86">
        <v>0.44468000000000002</v>
      </c>
      <c r="C86">
        <f t="shared" si="14"/>
        <v>1.5631101428640002</v>
      </c>
      <c r="D86">
        <v>1.66E-2</v>
      </c>
      <c r="E86">
        <v>2.7899999999999999E-3</v>
      </c>
      <c r="F86">
        <f t="shared" si="15"/>
        <v>703.02696000000003</v>
      </c>
      <c r="G86">
        <f t="shared" si="16"/>
        <v>-0.44468000000000002</v>
      </c>
      <c r="H86">
        <f t="shared" si="17"/>
        <v>-312.62202857280005</v>
      </c>
      <c r="I86">
        <v>1</v>
      </c>
      <c r="J86">
        <f t="shared" si="18"/>
        <v>-0.35236003797793564</v>
      </c>
      <c r="K86">
        <f t="shared" si="19"/>
        <v>-0.77704515177521749</v>
      </c>
      <c r="L86">
        <v>1</v>
      </c>
      <c r="M86">
        <f t="shared" si="20"/>
        <v>0.64962865012768778</v>
      </c>
      <c r="N86">
        <f t="shared" si="24"/>
        <v>5.8351237680000001E-2</v>
      </c>
      <c r="O86">
        <f t="shared" si="22"/>
        <v>9.8072260920000001E-3</v>
      </c>
      <c r="P86">
        <f t="shared" si="23"/>
        <v>5.9258037875529711E-2</v>
      </c>
      <c r="V86">
        <v>2.19999999999997</v>
      </c>
      <c r="W86">
        <f t="shared" si="21"/>
        <v>-0.77545999999999859</v>
      </c>
    </row>
    <row r="87" spans="1:23" x14ac:dyDescent="0.3">
      <c r="A87">
        <v>3.5561994499999998</v>
      </c>
      <c r="B87">
        <v>0.44185000000000002</v>
      </c>
      <c r="C87">
        <f t="shared" si="14"/>
        <v>1.5713067269825001</v>
      </c>
      <c r="D87">
        <v>1.66E-2</v>
      </c>
      <c r="E87">
        <v>2.7899999999999999E-3</v>
      </c>
      <c r="F87">
        <f t="shared" si="15"/>
        <v>711.23988999999995</v>
      </c>
      <c r="G87">
        <f t="shared" si="16"/>
        <v>-0.44185000000000002</v>
      </c>
      <c r="H87">
        <f t="shared" si="17"/>
        <v>-314.26134539650002</v>
      </c>
      <c r="I87">
        <v>1</v>
      </c>
      <c r="J87">
        <f t="shared" si="18"/>
        <v>-0.34074550805386988</v>
      </c>
      <c r="K87">
        <f t="shared" si="19"/>
        <v>-0.77987515177521738</v>
      </c>
      <c r="L87">
        <v>1</v>
      </c>
      <c r="M87">
        <f t="shared" si="20"/>
        <v>0.6502012464529443</v>
      </c>
      <c r="N87">
        <f t="shared" si="24"/>
        <v>5.9032910869999997E-2</v>
      </c>
      <c r="O87">
        <f t="shared" si="22"/>
        <v>9.9217964654999997E-3</v>
      </c>
      <c r="P87">
        <f t="shared" si="23"/>
        <v>6.0719197986773082E-2</v>
      </c>
      <c r="V87">
        <v>2.2999999999999701</v>
      </c>
      <c r="W87">
        <f t="shared" si="21"/>
        <v>-0.78038999999999858</v>
      </c>
    </row>
    <row r="88" spans="1:23" x14ac:dyDescent="0.3">
      <c r="A88">
        <v>3.6054770500000002</v>
      </c>
      <c r="B88">
        <v>0.43902000000000002</v>
      </c>
      <c r="C88">
        <f t="shared" si="14"/>
        <v>1.5828765344910001</v>
      </c>
      <c r="D88">
        <v>1.66E-2</v>
      </c>
      <c r="E88">
        <v>2.7899999999999999E-3</v>
      </c>
      <c r="F88">
        <f t="shared" si="15"/>
        <v>721.09541000000002</v>
      </c>
      <c r="G88">
        <f t="shared" si="16"/>
        <v>-0.43902000000000002</v>
      </c>
      <c r="H88">
        <f t="shared" si="17"/>
        <v>-316.57530689820004</v>
      </c>
      <c r="I88">
        <v>1</v>
      </c>
      <c r="J88">
        <f t="shared" si="18"/>
        <v>-0.32698382035495555</v>
      </c>
      <c r="K88">
        <f t="shared" si="19"/>
        <v>-0.78270515177521749</v>
      </c>
      <c r="L88">
        <v>1</v>
      </c>
      <c r="M88">
        <f t="shared" si="20"/>
        <v>0.65087969765650078</v>
      </c>
      <c r="N88">
        <f t="shared" si="24"/>
        <v>5.9850919030000005E-2</v>
      </c>
      <c r="O88">
        <f t="shared" si="22"/>
        <v>1.00592809695E-2</v>
      </c>
      <c r="P88">
        <f t="shared" si="23"/>
        <v>6.1915254119216709E-2</v>
      </c>
      <c r="V88">
        <v>2.3999999999999702</v>
      </c>
      <c r="W88">
        <f t="shared" si="21"/>
        <v>-0.78531999999999857</v>
      </c>
    </row>
    <row r="89" spans="1:23" x14ac:dyDescent="0.3">
      <c r="A89">
        <v>3.6465417000000002</v>
      </c>
      <c r="B89">
        <v>0.43713999999999997</v>
      </c>
      <c r="C89">
        <f t="shared" si="14"/>
        <v>1.5940492387380001</v>
      </c>
      <c r="D89">
        <v>1.66E-2</v>
      </c>
      <c r="E89">
        <v>2.7899999999999999E-3</v>
      </c>
      <c r="F89">
        <f t="shared" si="15"/>
        <v>729.30834000000004</v>
      </c>
      <c r="G89">
        <f t="shared" si="16"/>
        <v>-0.43713999999999997</v>
      </c>
      <c r="H89">
        <f t="shared" si="17"/>
        <v>-318.80984774760003</v>
      </c>
      <c r="I89">
        <v>1</v>
      </c>
      <c r="J89">
        <f t="shared" si="18"/>
        <v>-0.31565867343413562</v>
      </c>
      <c r="K89">
        <f t="shared" si="19"/>
        <v>-0.78458515177521748</v>
      </c>
      <c r="L89">
        <v>1</v>
      </c>
      <c r="M89">
        <f t="shared" si="20"/>
        <v>0.65143802739969714</v>
      </c>
      <c r="N89">
        <f t="shared" si="24"/>
        <v>6.0532592220000007E-2</v>
      </c>
      <c r="O89">
        <f t="shared" si="22"/>
        <v>1.0173851343000001E-2</v>
      </c>
      <c r="P89">
        <f t="shared" si="23"/>
        <v>6.2440680812520327E-2</v>
      </c>
      <c r="V89">
        <v>2.4999999999999698</v>
      </c>
      <c r="W89">
        <f t="shared" si="21"/>
        <v>-0.79024999999999856</v>
      </c>
    </row>
    <row r="90" spans="1:23" x14ac:dyDescent="0.3">
      <c r="A90">
        <v>3.6876063499999998</v>
      </c>
      <c r="B90">
        <v>0.43430999999999997</v>
      </c>
      <c r="C90">
        <f t="shared" si="14"/>
        <v>1.6015643138684998</v>
      </c>
      <c r="D90">
        <v>1.66E-2</v>
      </c>
      <c r="E90">
        <v>2.7899999999999999E-3</v>
      </c>
      <c r="F90">
        <f t="shared" si="15"/>
        <v>737.52126999999996</v>
      </c>
      <c r="G90">
        <f t="shared" si="16"/>
        <v>-0.43430999999999997</v>
      </c>
      <c r="H90">
        <f t="shared" si="17"/>
        <v>-320.31286277369998</v>
      </c>
      <c r="I90">
        <v>1</v>
      </c>
      <c r="J90">
        <f t="shared" si="18"/>
        <v>-0.30446035050608039</v>
      </c>
      <c r="K90">
        <f t="shared" si="19"/>
        <v>-0.78741515177521748</v>
      </c>
      <c r="L90">
        <v>1</v>
      </c>
      <c r="M90">
        <f t="shared" si="20"/>
        <v>0.65199010472005026</v>
      </c>
      <c r="N90">
        <f t="shared" si="24"/>
        <v>6.1214265409999996E-2</v>
      </c>
      <c r="O90">
        <f t="shared" si="22"/>
        <v>1.0288421716499999E-2</v>
      </c>
      <c r="P90">
        <f t="shared" si="23"/>
        <v>6.3922359928667224E-2</v>
      </c>
      <c r="V90">
        <v>2.5999999999999699</v>
      </c>
      <c r="W90">
        <f t="shared" si="21"/>
        <v>-0.79517999999999855</v>
      </c>
    </row>
    <row r="91" spans="1:23" x14ac:dyDescent="0.3">
      <c r="A91">
        <v>3.7286709999999998</v>
      </c>
      <c r="B91">
        <v>0.43148999999999998</v>
      </c>
      <c r="C91">
        <f t="shared" si="14"/>
        <v>1.6088842497899998</v>
      </c>
      <c r="D91">
        <v>1.66E-2</v>
      </c>
      <c r="E91">
        <v>2.7899999999999999E-3</v>
      </c>
      <c r="F91">
        <f t="shared" si="15"/>
        <v>745.73419999999999</v>
      </c>
      <c r="G91">
        <f t="shared" si="16"/>
        <v>-0.43148999999999998</v>
      </c>
      <c r="H91">
        <f t="shared" si="17"/>
        <v>-321.77684995799996</v>
      </c>
      <c r="I91">
        <v>1</v>
      </c>
      <c r="J91">
        <f t="shared" si="18"/>
        <v>-0.2933860425364947</v>
      </c>
      <c r="K91">
        <f t="shared" si="19"/>
        <v>-0.79023515177521753</v>
      </c>
      <c r="L91">
        <v>1</v>
      </c>
      <c r="M91">
        <f t="shared" si="20"/>
        <v>0.65253606810295084</v>
      </c>
      <c r="N91">
        <f t="shared" si="24"/>
        <v>6.1895938599999999E-2</v>
      </c>
      <c r="O91">
        <f t="shared" si="22"/>
        <v>1.0402992089999999E-2</v>
      </c>
      <c r="P91">
        <f t="shared" si="23"/>
        <v>6.5400152982266688E-2</v>
      </c>
      <c r="V91">
        <v>2.69999999999997</v>
      </c>
      <c r="W91">
        <f t="shared" si="21"/>
        <v>-0.80010999999999854</v>
      </c>
    </row>
    <row r="92" spans="1:23" x14ac:dyDescent="0.3">
      <c r="A92">
        <v>3.7697356499999999</v>
      </c>
      <c r="B92">
        <v>0.42959999999999998</v>
      </c>
      <c r="C92">
        <f t="shared" si="14"/>
        <v>1.6194784352399998</v>
      </c>
      <c r="D92">
        <v>1.66E-2</v>
      </c>
      <c r="E92">
        <v>2.7899999999999999E-3</v>
      </c>
      <c r="F92">
        <f t="shared" si="15"/>
        <v>753.94713000000002</v>
      </c>
      <c r="G92">
        <f t="shared" si="16"/>
        <v>-0.42959999999999998</v>
      </c>
      <c r="H92">
        <f t="shared" si="17"/>
        <v>-323.89568704799996</v>
      </c>
      <c r="I92">
        <v>1</v>
      </c>
      <c r="J92">
        <f t="shared" si="18"/>
        <v>-0.28243303279605364</v>
      </c>
      <c r="K92">
        <f t="shared" si="19"/>
        <v>-0.79212515177521747</v>
      </c>
      <c r="L92">
        <v>1</v>
      </c>
      <c r="M92">
        <f t="shared" si="20"/>
        <v>0.65307605148315462</v>
      </c>
      <c r="N92">
        <f t="shared" si="24"/>
        <v>6.2577611790000001E-2</v>
      </c>
      <c r="O92">
        <f t="shared" si="22"/>
        <v>1.05175624635E-2</v>
      </c>
      <c r="P92">
        <f t="shared" si="23"/>
        <v>6.5953926038562857E-2</v>
      </c>
      <c r="V92">
        <v>2.7999999999999701</v>
      </c>
      <c r="W92">
        <f t="shared" si="21"/>
        <v>-0.80503999999999853</v>
      </c>
    </row>
    <row r="93" spans="1:23" x14ac:dyDescent="0.3">
      <c r="A93">
        <v>3.8108003000000004</v>
      </c>
      <c r="B93">
        <v>0.42677999999999999</v>
      </c>
      <c r="C93">
        <f t="shared" si="14"/>
        <v>1.626373352034</v>
      </c>
      <c r="D93">
        <v>1.66E-2</v>
      </c>
      <c r="E93">
        <v>2.7899999999999999E-3</v>
      </c>
      <c r="F93">
        <f t="shared" si="15"/>
        <v>762.16006000000004</v>
      </c>
      <c r="G93">
        <f t="shared" si="16"/>
        <v>-0.42677999999999999</v>
      </c>
      <c r="H93">
        <f t="shared" si="17"/>
        <v>-325.2746704068</v>
      </c>
      <c r="I93">
        <v>1</v>
      </c>
      <c r="J93">
        <f t="shared" si="18"/>
        <v>-0.27159869285998861</v>
      </c>
      <c r="K93">
        <f t="shared" si="19"/>
        <v>-0.79494515177521752</v>
      </c>
      <c r="L93">
        <v>1</v>
      </c>
      <c r="M93">
        <f t="shared" si="20"/>
        <v>0.65361018444200258</v>
      </c>
      <c r="N93">
        <f t="shared" si="24"/>
        <v>6.3259284980000011E-2</v>
      </c>
      <c r="O93">
        <f t="shared" si="22"/>
        <v>1.0632132837000001E-2</v>
      </c>
      <c r="P93">
        <f t="shared" si="23"/>
        <v>6.7443549516214923E-2</v>
      </c>
      <c r="V93">
        <v>2.8999999999999702</v>
      </c>
      <c r="W93">
        <f t="shared" si="21"/>
        <v>-0.80996999999999852</v>
      </c>
    </row>
    <row r="94" spans="1:23" x14ac:dyDescent="0.3">
      <c r="A94">
        <v>3.8518650000000001</v>
      </c>
      <c r="B94">
        <v>0.42488999999999999</v>
      </c>
      <c r="C94">
        <f t="shared" si="14"/>
        <v>1.6366189198500001</v>
      </c>
      <c r="D94">
        <v>1.66E-2</v>
      </c>
      <c r="E94">
        <v>2.7899999999999999E-3</v>
      </c>
      <c r="F94">
        <f t="shared" si="15"/>
        <v>770.37300000000005</v>
      </c>
      <c r="G94">
        <f t="shared" si="16"/>
        <v>-0.42488999999999999</v>
      </c>
      <c r="H94">
        <f t="shared" si="17"/>
        <v>-327.32378397000002</v>
      </c>
      <c r="I94">
        <v>1</v>
      </c>
      <c r="J94">
        <f t="shared" si="18"/>
        <v>-0.26088046584134406</v>
      </c>
      <c r="K94">
        <f t="shared" si="19"/>
        <v>-0.79683515177521747</v>
      </c>
      <c r="L94">
        <v>1</v>
      </c>
      <c r="M94">
        <f t="shared" si="20"/>
        <v>0.65413859303402178</v>
      </c>
      <c r="N94">
        <f t="shared" si="24"/>
        <v>6.3940959000000006E-2</v>
      </c>
      <c r="O94">
        <f t="shared" si="22"/>
        <v>1.0746703349999999E-2</v>
      </c>
      <c r="P94">
        <f t="shared" si="23"/>
        <v>6.8008896391195686E-2</v>
      </c>
      <c r="V94">
        <v>2.9999999999999698</v>
      </c>
      <c r="W94">
        <f t="shared" si="21"/>
        <v>-0.81489999999999851</v>
      </c>
    </row>
    <row r="95" spans="1:23" x14ac:dyDescent="0.3">
      <c r="A95">
        <v>3.9011425500000003</v>
      </c>
      <c r="B95">
        <v>0.42207</v>
      </c>
      <c r="C95">
        <f t="shared" si="14"/>
        <v>1.6465552360785001</v>
      </c>
      <c r="D95">
        <v>1.66E-2</v>
      </c>
      <c r="E95">
        <v>2.7899999999999999E-3</v>
      </c>
      <c r="F95">
        <f t="shared" si="15"/>
        <v>780.22851000000003</v>
      </c>
      <c r="G95">
        <f t="shared" si="16"/>
        <v>-0.42207</v>
      </c>
      <c r="H95">
        <f t="shared" si="17"/>
        <v>-329.3110472157</v>
      </c>
      <c r="I95">
        <v>1</v>
      </c>
      <c r="J95">
        <f t="shared" si="18"/>
        <v>-0.24816844066489011</v>
      </c>
      <c r="K95">
        <f t="shared" si="19"/>
        <v>-0.79965515177521751</v>
      </c>
      <c r="L95">
        <v>1</v>
      </c>
      <c r="M95">
        <f t="shared" si="20"/>
        <v>0.65476529587522092</v>
      </c>
      <c r="N95">
        <f t="shared" si="24"/>
        <v>6.4758966330000001E-2</v>
      </c>
      <c r="O95">
        <f t="shared" si="22"/>
        <v>1.0884187714500001E-2</v>
      </c>
      <c r="P95">
        <f t="shared" si="23"/>
        <v>6.9246701855496584E-2</v>
      </c>
      <c r="V95">
        <v>3.0999999999999699</v>
      </c>
      <c r="W95">
        <f t="shared" si="21"/>
        <v>-0.8198299999999985</v>
      </c>
    </row>
    <row r="96" spans="1:23" x14ac:dyDescent="0.3">
      <c r="A96">
        <v>3.9422072500000001</v>
      </c>
      <c r="B96">
        <v>0.41924</v>
      </c>
      <c r="C96">
        <f t="shared" si="14"/>
        <v>1.6527309674899999</v>
      </c>
      <c r="D96">
        <v>1.66E-2</v>
      </c>
      <c r="E96">
        <v>2.7899999999999999E-3</v>
      </c>
      <c r="F96">
        <f t="shared" si="15"/>
        <v>788.44145000000003</v>
      </c>
      <c r="G96">
        <f t="shared" si="16"/>
        <v>-0.41924</v>
      </c>
      <c r="H96">
        <f t="shared" si="17"/>
        <v>-330.54619349799998</v>
      </c>
      <c r="I96">
        <v>1</v>
      </c>
      <c r="J96">
        <f t="shared" si="18"/>
        <v>-0.23769713025047104</v>
      </c>
      <c r="K96">
        <f t="shared" si="19"/>
        <v>-0.8024851517752174</v>
      </c>
      <c r="L96">
        <v>1</v>
      </c>
      <c r="M96">
        <f t="shared" si="20"/>
        <v>0.65528153147865187</v>
      </c>
      <c r="N96">
        <f t="shared" si="24"/>
        <v>6.5440640349999996E-2</v>
      </c>
      <c r="O96">
        <f t="shared" si="22"/>
        <v>1.0998758227500001E-2</v>
      </c>
      <c r="P96">
        <f t="shared" si="23"/>
        <v>7.0764221719065531E-2</v>
      </c>
      <c r="V96">
        <v>3.19999999999997</v>
      </c>
      <c r="W96">
        <f t="shared" si="21"/>
        <v>-0.82475999999999861</v>
      </c>
    </row>
    <row r="97" spans="1:23" x14ac:dyDescent="0.3">
      <c r="A97">
        <v>3.9832718999999996</v>
      </c>
      <c r="B97">
        <v>0.41735</v>
      </c>
      <c r="C97">
        <f t="shared" si="14"/>
        <v>1.6624185274649999</v>
      </c>
      <c r="D97">
        <v>1.66E-2</v>
      </c>
      <c r="E97">
        <v>2.7899999999999999E-3</v>
      </c>
      <c r="F97">
        <f t="shared" si="15"/>
        <v>796.65437999999995</v>
      </c>
      <c r="G97">
        <f t="shared" si="16"/>
        <v>-0.41735</v>
      </c>
      <c r="H97">
        <f t="shared" si="17"/>
        <v>-332.48370549299995</v>
      </c>
      <c r="I97">
        <v>1</v>
      </c>
      <c r="J97">
        <f t="shared" si="18"/>
        <v>-0.2273343454377621</v>
      </c>
      <c r="K97">
        <f t="shared" si="19"/>
        <v>-0.80437515177521746</v>
      </c>
      <c r="L97">
        <v>1</v>
      </c>
      <c r="M97">
        <f t="shared" si="20"/>
        <v>0.6557924167699184</v>
      </c>
      <c r="N97">
        <f t="shared" si="24"/>
        <v>6.6122313539999991E-2</v>
      </c>
      <c r="O97">
        <f t="shared" si="22"/>
        <v>1.1113328600999998E-2</v>
      </c>
      <c r="P97">
        <f t="shared" si="23"/>
        <v>7.1347092864299078E-2</v>
      </c>
      <c r="V97">
        <v>3.2999999999999701</v>
      </c>
      <c r="W97">
        <f t="shared" si="21"/>
        <v>-0.82968999999999848</v>
      </c>
    </row>
    <row r="98" spans="1:23" x14ac:dyDescent="0.3">
      <c r="A98">
        <v>4.0243365500000001</v>
      </c>
      <c r="B98">
        <v>0.41453000000000001</v>
      </c>
      <c r="C98">
        <f t="shared" si="14"/>
        <v>1.6682082300715</v>
      </c>
      <c r="D98">
        <v>1.66E-2</v>
      </c>
      <c r="E98">
        <v>2.7899999999999999E-3</v>
      </c>
      <c r="F98">
        <f t="shared" si="15"/>
        <v>804.86730999999997</v>
      </c>
      <c r="G98">
        <f t="shared" si="16"/>
        <v>-0.41453000000000001</v>
      </c>
      <c r="H98">
        <f t="shared" si="17"/>
        <v>-333.64164601430002</v>
      </c>
      <c r="I98">
        <v>1</v>
      </c>
      <c r="J98">
        <f t="shared" si="18"/>
        <v>-0.21707784744804659</v>
      </c>
      <c r="K98">
        <f t="shared" si="19"/>
        <v>-0.80719515177521739</v>
      </c>
      <c r="L98">
        <v>1</v>
      </c>
      <c r="M98">
        <f t="shared" si="20"/>
        <v>0.65629806212081132</v>
      </c>
      <c r="N98">
        <f t="shared" si="24"/>
        <v>6.6803986730000001E-2</v>
      </c>
      <c r="O98">
        <f t="shared" si="22"/>
        <v>1.12278989745E-2</v>
      </c>
      <c r="P98">
        <f t="shared" si="23"/>
        <v>7.2865203949906074E-2</v>
      </c>
      <c r="V98">
        <v>3.3999999999999702</v>
      </c>
      <c r="W98">
        <f t="shared" si="21"/>
        <v>-0.83461999999999859</v>
      </c>
    </row>
    <row r="99" spans="1:23" x14ac:dyDescent="0.3">
      <c r="A99">
        <v>4.0654012000000002</v>
      </c>
      <c r="B99">
        <v>0.41170000000000001</v>
      </c>
      <c r="C99">
        <f t="shared" si="14"/>
        <v>1.6737256740400002</v>
      </c>
      <c r="D99">
        <v>1.66E-2</v>
      </c>
      <c r="E99">
        <v>2.7899999999999999E-3</v>
      </c>
      <c r="F99">
        <f t="shared" si="15"/>
        <v>813.08024</v>
      </c>
      <c r="G99">
        <f t="shared" si="16"/>
        <v>-0.41170000000000001</v>
      </c>
      <c r="H99">
        <f t="shared" si="17"/>
        <v>-334.74513480800005</v>
      </c>
      <c r="I99">
        <v>1</v>
      </c>
      <c r="J99">
        <f t="shared" si="18"/>
        <v>-0.2069254781175128</v>
      </c>
      <c r="K99">
        <f t="shared" si="19"/>
        <v>-0.8100251517752175</v>
      </c>
      <c r="L99">
        <v>1</v>
      </c>
      <c r="M99">
        <f t="shared" si="20"/>
        <v>0.65679857392880669</v>
      </c>
      <c r="N99">
        <f t="shared" si="24"/>
        <v>6.748565992000001E-2</v>
      </c>
      <c r="O99">
        <f t="shared" si="22"/>
        <v>1.1342469347999999E-2</v>
      </c>
      <c r="P99">
        <f t="shared" si="23"/>
        <v>7.4398448578410797E-2</v>
      </c>
      <c r="V99">
        <v>3.4999999999999698</v>
      </c>
      <c r="W99">
        <f t="shared" si="21"/>
        <v>-0.83954999999999858</v>
      </c>
    </row>
    <row r="100" spans="1:23" x14ac:dyDescent="0.3">
      <c r="A100">
        <v>4.1064658500000002</v>
      </c>
      <c r="B100">
        <v>0.40888000000000002</v>
      </c>
      <c r="C100">
        <f t="shared" si="14"/>
        <v>1.6790517567480001</v>
      </c>
      <c r="D100">
        <v>1.66E-2</v>
      </c>
      <c r="E100">
        <v>2.7899999999999999E-3</v>
      </c>
      <c r="F100">
        <f t="shared" si="15"/>
        <v>821.29317000000003</v>
      </c>
      <c r="G100">
        <f t="shared" si="16"/>
        <v>-0.40888000000000002</v>
      </c>
      <c r="H100">
        <f t="shared" si="17"/>
        <v>-335.81035134960001</v>
      </c>
      <c r="I100">
        <v>1</v>
      </c>
      <c r="J100">
        <f t="shared" si="18"/>
        <v>-0.19687514435482589</v>
      </c>
      <c r="K100">
        <f t="shared" si="19"/>
        <v>-0.81284515177521743</v>
      </c>
      <c r="L100">
        <v>1</v>
      </c>
      <c r="M100">
        <f t="shared" si="20"/>
        <v>0.6572940553833071</v>
      </c>
      <c r="N100">
        <f t="shared" si="24"/>
        <v>6.8167333110000006E-2</v>
      </c>
      <c r="O100">
        <f t="shared" si="22"/>
        <v>1.1457039721500001E-2</v>
      </c>
      <c r="P100">
        <f t="shared" si="23"/>
        <v>7.5926723560410331E-2</v>
      </c>
      <c r="V100">
        <v>3.5999999999999699</v>
      </c>
      <c r="W100">
        <f t="shared" si="21"/>
        <v>-0.84447999999999857</v>
      </c>
    </row>
    <row r="101" spans="1:23" x14ac:dyDescent="0.3">
      <c r="A101">
        <v>4.1557434500000001</v>
      </c>
      <c r="B101">
        <v>0.40699000000000002</v>
      </c>
      <c r="C101">
        <f t="shared" si="14"/>
        <v>1.6913460267155001</v>
      </c>
      <c r="D101">
        <v>1.66E-2</v>
      </c>
      <c r="E101">
        <v>2.7899999999999999E-3</v>
      </c>
      <c r="F101">
        <f t="shared" si="15"/>
        <v>831.14868999999999</v>
      </c>
      <c r="G101">
        <f t="shared" si="16"/>
        <v>-0.40699000000000002</v>
      </c>
      <c r="H101">
        <f t="shared" si="17"/>
        <v>-338.2692053431</v>
      </c>
      <c r="I101">
        <v>1</v>
      </c>
      <c r="J101">
        <f t="shared" si="18"/>
        <v>-0.18494657113136995</v>
      </c>
      <c r="K101">
        <f t="shared" si="19"/>
        <v>-0.81473515177521749</v>
      </c>
      <c r="L101">
        <v>1</v>
      </c>
      <c r="M101">
        <f t="shared" si="20"/>
        <v>0.65788213404322349</v>
      </c>
      <c r="N101">
        <f t="shared" si="24"/>
        <v>6.898534127E-2</v>
      </c>
      <c r="O101">
        <f t="shared" si="22"/>
        <v>1.1594524225500001E-2</v>
      </c>
      <c r="P101">
        <f t="shared" si="23"/>
        <v>7.6273152236494002E-2</v>
      </c>
      <c r="V101">
        <v>3.69999999999997</v>
      </c>
      <c r="W101">
        <f t="shared" si="21"/>
        <v>-0.84940999999999856</v>
      </c>
    </row>
    <row r="102" spans="1:23" x14ac:dyDescent="0.3">
      <c r="A102">
        <v>4.1968081000000002</v>
      </c>
      <c r="B102">
        <v>0.40416000000000002</v>
      </c>
      <c r="C102">
        <f t="shared" si="14"/>
        <v>1.6961819616960001</v>
      </c>
      <c r="D102">
        <v>1.66E-2</v>
      </c>
      <c r="E102">
        <v>2.7899999999999999E-3</v>
      </c>
      <c r="F102">
        <f t="shared" si="15"/>
        <v>839.36162000000002</v>
      </c>
      <c r="G102">
        <f t="shared" si="16"/>
        <v>-0.40416000000000002</v>
      </c>
      <c r="H102">
        <f t="shared" si="17"/>
        <v>-339.23639233919999</v>
      </c>
      <c r="I102">
        <v>1</v>
      </c>
      <c r="J102">
        <f t="shared" si="18"/>
        <v>-0.17511365226355399</v>
      </c>
      <c r="K102">
        <f t="shared" si="19"/>
        <v>-0.81756515177521738</v>
      </c>
      <c r="L102">
        <v>1</v>
      </c>
      <c r="M102">
        <f t="shared" si="20"/>
        <v>0.65836689694340678</v>
      </c>
      <c r="N102">
        <f t="shared" si="24"/>
        <v>6.966701446000001E-2</v>
      </c>
      <c r="O102">
        <f t="shared" si="22"/>
        <v>1.1709094599E-2</v>
      </c>
      <c r="P102">
        <f t="shared" si="23"/>
        <v>7.7822145772810589E-2</v>
      </c>
      <c r="V102">
        <v>3.7999999999999701</v>
      </c>
      <c r="W102">
        <f t="shared" si="21"/>
        <v>-0.85433999999999855</v>
      </c>
    </row>
    <row r="103" spans="1:23" x14ac:dyDescent="0.3">
      <c r="A103">
        <v>4.2378727500000002</v>
      </c>
      <c r="B103">
        <v>0.40133999999999997</v>
      </c>
      <c r="C103">
        <f t="shared" si="14"/>
        <v>1.700827849485</v>
      </c>
      <c r="D103">
        <v>1.66E-2</v>
      </c>
      <c r="E103">
        <v>2.7899999999999999E-3</v>
      </c>
      <c r="F103">
        <f t="shared" si="15"/>
        <v>847.57455000000004</v>
      </c>
      <c r="G103">
        <f t="shared" si="16"/>
        <v>-0.40133999999999997</v>
      </c>
      <c r="H103">
        <f t="shared" si="17"/>
        <v>-340.16556989700001</v>
      </c>
      <c r="I103">
        <v>1</v>
      </c>
      <c r="J103">
        <f t="shared" si="18"/>
        <v>-0.16537647899442048</v>
      </c>
      <c r="K103">
        <f t="shared" si="19"/>
        <v>-0.82038515177521742</v>
      </c>
      <c r="L103">
        <v>1</v>
      </c>
      <c r="M103">
        <f t="shared" si="20"/>
        <v>0.65884693958557516</v>
      </c>
      <c r="N103">
        <f t="shared" si="24"/>
        <v>7.0348687650000005E-2</v>
      </c>
      <c r="O103">
        <f t="shared" si="22"/>
        <v>1.18236649725E-2</v>
      </c>
      <c r="P103">
        <f t="shared" si="23"/>
        <v>7.9365859567142261E-2</v>
      </c>
      <c r="V103">
        <v>3.8999999999999599</v>
      </c>
      <c r="W103">
        <f t="shared" si="21"/>
        <v>-0.85926999999999798</v>
      </c>
    </row>
    <row r="104" spans="1:23" x14ac:dyDescent="0.3">
      <c r="A104">
        <v>4.2789374499999999</v>
      </c>
      <c r="B104">
        <v>0.39850999999999998</v>
      </c>
      <c r="C104">
        <f t="shared" si="14"/>
        <v>1.7051993631994999</v>
      </c>
      <c r="D104">
        <v>1.66E-2</v>
      </c>
      <c r="E104">
        <v>2.7899999999999999E-3</v>
      </c>
      <c r="F104">
        <f t="shared" si="15"/>
        <v>855.78748999999993</v>
      </c>
      <c r="G104">
        <f t="shared" si="16"/>
        <v>-0.39850999999999998</v>
      </c>
      <c r="H104">
        <f t="shared" si="17"/>
        <v>-341.03987263990001</v>
      </c>
      <c r="I104">
        <v>1</v>
      </c>
      <c r="J104">
        <f t="shared" si="18"/>
        <v>-0.15573319300764199</v>
      </c>
      <c r="K104">
        <f t="shared" si="19"/>
        <v>-0.82321515177521754</v>
      </c>
      <c r="L104">
        <v>1</v>
      </c>
      <c r="M104">
        <f t="shared" si="20"/>
        <v>0.65932235358472324</v>
      </c>
      <c r="N104">
        <f t="shared" si="24"/>
        <v>7.103036167E-2</v>
      </c>
      <c r="O104">
        <f t="shared" si="22"/>
        <v>1.19382354855E-2</v>
      </c>
      <c r="P104">
        <f t="shared" si="23"/>
        <v>8.0924201034994286E-2</v>
      </c>
      <c r="V104">
        <v>3.99999999999996</v>
      </c>
      <c r="W104">
        <f t="shared" si="21"/>
        <v>-0.86419999999999808</v>
      </c>
    </row>
    <row r="105" spans="1:23" x14ac:dyDescent="0.3">
      <c r="A105">
        <v>4.3282150000000001</v>
      </c>
      <c r="B105">
        <v>0.39662999999999998</v>
      </c>
      <c r="C105">
        <f t="shared" si="14"/>
        <v>1.71669991545</v>
      </c>
      <c r="D105">
        <v>1.66E-2</v>
      </c>
      <c r="E105">
        <v>2.7899999999999999E-3</v>
      </c>
      <c r="F105">
        <f t="shared" si="15"/>
        <v>865.64300000000003</v>
      </c>
      <c r="G105">
        <f t="shared" si="16"/>
        <v>-0.39662999999999998</v>
      </c>
      <c r="H105">
        <f t="shared" si="17"/>
        <v>-343.33998308999998</v>
      </c>
      <c r="I105">
        <v>1</v>
      </c>
      <c r="J105">
        <f t="shared" si="18"/>
        <v>-0.14428269559880383</v>
      </c>
      <c r="K105">
        <f t="shared" si="19"/>
        <v>-0.82509515177521742</v>
      </c>
      <c r="L105">
        <v>1</v>
      </c>
      <c r="M105">
        <f t="shared" si="20"/>
        <v>0.65988686310697897</v>
      </c>
      <c r="N105">
        <f t="shared" si="24"/>
        <v>7.1848369000000009E-2</v>
      </c>
      <c r="O105">
        <f t="shared" si="22"/>
        <v>1.207571985E-2</v>
      </c>
      <c r="P105">
        <f t="shared" si="23"/>
        <v>8.1284199818238437E-2</v>
      </c>
      <c r="V105">
        <v>4.0999999999999996</v>
      </c>
      <c r="W105">
        <f t="shared" si="21"/>
        <v>-0.86912999999999996</v>
      </c>
    </row>
    <row r="106" spans="1:23" x14ac:dyDescent="0.3">
      <c r="A106">
        <v>4.3692796999999999</v>
      </c>
      <c r="B106">
        <v>0.39379999999999998</v>
      </c>
      <c r="C106">
        <f t="shared" si="14"/>
        <v>1.7206223458599998</v>
      </c>
      <c r="D106">
        <v>1.66E-2</v>
      </c>
      <c r="E106">
        <v>2.7899999999999999E-3</v>
      </c>
      <c r="F106">
        <f t="shared" si="15"/>
        <v>873.85593999999992</v>
      </c>
      <c r="G106">
        <f t="shared" si="16"/>
        <v>-0.39379999999999998</v>
      </c>
      <c r="H106">
        <f t="shared" si="17"/>
        <v>-344.12446917199998</v>
      </c>
      <c r="I106">
        <v>1</v>
      </c>
      <c r="J106">
        <f t="shared" si="18"/>
        <v>-0.13483974528757731</v>
      </c>
      <c r="K106">
        <f t="shared" si="19"/>
        <v>-0.82792515177521753</v>
      </c>
      <c r="L106">
        <v>1</v>
      </c>
      <c r="M106">
        <f t="shared" si="20"/>
        <v>0.66035240055732247</v>
      </c>
      <c r="N106">
        <f t="shared" si="24"/>
        <v>7.2530043020000004E-2</v>
      </c>
      <c r="O106">
        <f t="shared" si="22"/>
        <v>1.2190290362999999E-2</v>
      </c>
      <c r="P106">
        <f t="shared" si="23"/>
        <v>8.2852417834895054E-2</v>
      </c>
      <c r="V106">
        <v>4.2</v>
      </c>
      <c r="W106">
        <f t="shared" si="21"/>
        <v>-0.87406000000000006</v>
      </c>
    </row>
    <row r="107" spans="1:23" x14ac:dyDescent="0.3">
      <c r="A107">
        <v>4.4103443499999999</v>
      </c>
      <c r="B107">
        <v>0.39097999999999999</v>
      </c>
      <c r="C107">
        <f t="shared" si="14"/>
        <v>1.724356433963</v>
      </c>
      <c r="D107">
        <v>1.66E-2</v>
      </c>
      <c r="E107">
        <v>2.7899999999999999E-3</v>
      </c>
      <c r="F107">
        <f t="shared" si="15"/>
        <v>882.06886999999995</v>
      </c>
      <c r="G107">
        <f t="shared" si="16"/>
        <v>-0.39097999999999999</v>
      </c>
      <c r="H107">
        <f t="shared" si="17"/>
        <v>-344.87128679260002</v>
      </c>
      <c r="I107">
        <v>1</v>
      </c>
      <c r="J107">
        <f t="shared" si="18"/>
        <v>-0.12548514212350817</v>
      </c>
      <c r="K107">
        <f t="shared" si="19"/>
        <v>-0.83074515177521746</v>
      </c>
      <c r="L107">
        <v>1</v>
      </c>
      <c r="M107">
        <f t="shared" si="20"/>
        <v>0.66081358249331112</v>
      </c>
      <c r="N107">
        <f t="shared" si="24"/>
        <v>7.321171621E-2</v>
      </c>
      <c r="O107">
        <f t="shared" si="22"/>
        <v>1.2304860736499999E-2</v>
      </c>
      <c r="P107">
        <f t="shared" si="23"/>
        <v>8.4414992335406336E-2</v>
      </c>
      <c r="V107">
        <v>4.3</v>
      </c>
      <c r="W107">
        <f t="shared" si="21"/>
        <v>-0.87899000000000005</v>
      </c>
    </row>
    <row r="108" spans="1:23" x14ac:dyDescent="0.3">
      <c r="A108">
        <v>4.4514089999999999</v>
      </c>
      <c r="B108">
        <v>0.38815</v>
      </c>
      <c r="C108">
        <f t="shared" si="14"/>
        <v>1.72781440335</v>
      </c>
      <c r="D108">
        <v>1.66E-2</v>
      </c>
      <c r="E108">
        <v>2.7899999999999999E-3</v>
      </c>
      <c r="F108">
        <f t="shared" si="15"/>
        <v>890.28179999999998</v>
      </c>
      <c r="G108">
        <f t="shared" si="16"/>
        <v>-0.38815</v>
      </c>
      <c r="H108">
        <f t="shared" si="17"/>
        <v>-345.56288067000003</v>
      </c>
      <c r="I108">
        <v>1</v>
      </c>
      <c r="J108">
        <f t="shared" si="18"/>
        <v>-0.11621723715891917</v>
      </c>
      <c r="K108">
        <f t="shared" si="19"/>
        <v>-0.83357515177521746</v>
      </c>
      <c r="L108">
        <v>1</v>
      </c>
      <c r="M108">
        <f t="shared" si="20"/>
        <v>0.66127049020806528</v>
      </c>
      <c r="N108">
        <f t="shared" si="24"/>
        <v>7.3893389399999995E-2</v>
      </c>
      <c r="O108">
        <f t="shared" si="22"/>
        <v>1.241943111E-2</v>
      </c>
      <c r="P108">
        <f t="shared" si="23"/>
        <v>8.5991841057152185E-2</v>
      </c>
      <c r="V108">
        <v>4.4000000000000004</v>
      </c>
      <c r="W108">
        <f t="shared" si="21"/>
        <v>-0.88392000000000004</v>
      </c>
    </row>
    <row r="109" spans="1:23" x14ac:dyDescent="0.3">
      <c r="A109">
        <v>4.5006865999999999</v>
      </c>
      <c r="B109">
        <v>0.38532</v>
      </c>
      <c r="C109">
        <f t="shared" si="14"/>
        <v>1.734204560712</v>
      </c>
      <c r="D109">
        <v>1.66E-2</v>
      </c>
      <c r="E109">
        <v>2.7899999999999999E-3</v>
      </c>
      <c r="F109">
        <f t="shared" si="15"/>
        <v>900.13731999999993</v>
      </c>
      <c r="G109">
        <f t="shared" si="16"/>
        <v>-0.38532</v>
      </c>
      <c r="H109">
        <f t="shared" si="17"/>
        <v>-346.84091214239999</v>
      </c>
      <c r="I109">
        <v>1</v>
      </c>
      <c r="J109">
        <f t="shared" si="18"/>
        <v>-0.1052079495188539</v>
      </c>
      <c r="K109">
        <f t="shared" si="19"/>
        <v>-0.83640515177521746</v>
      </c>
      <c r="L109">
        <v>1</v>
      </c>
      <c r="M109">
        <f t="shared" si="20"/>
        <v>0.66181324808872055</v>
      </c>
      <c r="N109">
        <f t="shared" si="24"/>
        <v>7.4711397560000004E-2</v>
      </c>
      <c r="O109">
        <f t="shared" si="22"/>
        <v>1.2556915614E-2</v>
      </c>
      <c r="P109">
        <f t="shared" si="23"/>
        <v>8.7323590512496899E-2</v>
      </c>
      <c r="V109">
        <v>4.5</v>
      </c>
      <c r="W109">
        <f t="shared" si="21"/>
        <v>-0.88885000000000003</v>
      </c>
    </row>
    <row r="110" spans="1:23" x14ac:dyDescent="0.3">
      <c r="A110">
        <v>4.5417512499999999</v>
      </c>
      <c r="B110">
        <v>0.38344</v>
      </c>
      <c r="C110">
        <f t="shared" si="14"/>
        <v>1.7414890993000001</v>
      </c>
      <c r="D110">
        <v>1.66E-2</v>
      </c>
      <c r="E110">
        <v>2.7899999999999999E-3</v>
      </c>
      <c r="F110">
        <f t="shared" si="15"/>
        <v>908.35024999999996</v>
      </c>
      <c r="G110">
        <f t="shared" si="16"/>
        <v>-0.38344</v>
      </c>
      <c r="H110">
        <f t="shared" si="17"/>
        <v>-348.29781986</v>
      </c>
      <c r="I110">
        <v>1</v>
      </c>
      <c r="J110">
        <f t="shared" si="18"/>
        <v>-9.6125236873113182E-2</v>
      </c>
      <c r="K110">
        <f t="shared" si="19"/>
        <v>-0.83828515177521745</v>
      </c>
      <c r="L110">
        <v>1</v>
      </c>
      <c r="M110">
        <f t="shared" si="20"/>
        <v>0.66226102582215551</v>
      </c>
      <c r="N110">
        <f t="shared" si="24"/>
        <v>7.5393070749999999E-2</v>
      </c>
      <c r="O110">
        <f t="shared" si="22"/>
        <v>1.26714859875E-2</v>
      </c>
      <c r="P110">
        <f t="shared" si="23"/>
        <v>8.7959569215561945E-2</v>
      </c>
      <c r="V110">
        <v>4.5999999999999996</v>
      </c>
      <c r="W110">
        <f t="shared" si="21"/>
        <v>-0.89378000000000002</v>
      </c>
    </row>
    <row r="111" spans="1:23" x14ac:dyDescent="0.3">
      <c r="A111">
        <v>4.5828158999999999</v>
      </c>
      <c r="B111">
        <v>0.38061</v>
      </c>
      <c r="C111">
        <f t="shared" si="14"/>
        <v>1.744265559699</v>
      </c>
      <c r="D111">
        <v>1.66E-2</v>
      </c>
      <c r="E111">
        <v>2.7899999999999999E-3</v>
      </c>
      <c r="F111">
        <f t="shared" si="15"/>
        <v>916.56317999999999</v>
      </c>
      <c r="G111">
        <f t="shared" si="16"/>
        <v>-0.38061</v>
      </c>
      <c r="H111">
        <f t="shared" si="17"/>
        <v>-348.85311193979999</v>
      </c>
      <c r="I111">
        <v>1</v>
      </c>
      <c r="J111">
        <f t="shared" si="18"/>
        <v>-8.7124277908153136E-2</v>
      </c>
      <c r="K111">
        <f t="shared" si="19"/>
        <v>-0.84111515177521745</v>
      </c>
      <c r="L111">
        <v>1</v>
      </c>
      <c r="M111">
        <f t="shared" si="20"/>
        <v>0.66270477309912812</v>
      </c>
      <c r="N111">
        <f t="shared" si="24"/>
        <v>7.6074743939999995E-2</v>
      </c>
      <c r="O111">
        <f t="shared" si="22"/>
        <v>1.2786056360999999E-2</v>
      </c>
      <c r="P111">
        <f t="shared" si="23"/>
        <v>8.9549578375089339E-2</v>
      </c>
      <c r="V111">
        <v>4.7</v>
      </c>
      <c r="W111">
        <f t="shared" si="21"/>
        <v>-0.89871000000000001</v>
      </c>
    </row>
    <row r="112" spans="1:23" x14ac:dyDescent="0.3">
      <c r="A112">
        <v>4.6320934999999999</v>
      </c>
      <c r="B112">
        <v>0.37779000000000001</v>
      </c>
      <c r="C112">
        <f t="shared" si="14"/>
        <v>1.7499586033650001</v>
      </c>
      <c r="D112">
        <v>1.66E-2</v>
      </c>
      <c r="E112">
        <v>2.7899999999999999E-3</v>
      </c>
      <c r="F112">
        <f t="shared" si="15"/>
        <v>926.41869999999994</v>
      </c>
      <c r="G112">
        <f t="shared" si="16"/>
        <v>-0.37779000000000001</v>
      </c>
      <c r="H112">
        <f t="shared" si="17"/>
        <v>-349.99172067300003</v>
      </c>
      <c r="I112">
        <v>1</v>
      </c>
      <c r="J112">
        <f t="shared" si="18"/>
        <v>-7.6428986702194571E-2</v>
      </c>
      <c r="K112">
        <f t="shared" si="19"/>
        <v>-0.84393515177521738</v>
      </c>
      <c r="L112">
        <v>1</v>
      </c>
      <c r="M112">
        <f t="shared" si="20"/>
        <v>0.6632320509555818</v>
      </c>
      <c r="N112">
        <f t="shared" si="24"/>
        <v>7.6892752100000003E-2</v>
      </c>
      <c r="O112">
        <f t="shared" si="22"/>
        <v>1.2923540864999999E-2</v>
      </c>
      <c r="P112">
        <f t="shared" si="23"/>
        <v>9.0886807854635585E-2</v>
      </c>
      <c r="V112">
        <v>4.8</v>
      </c>
      <c r="W112">
        <f t="shared" si="21"/>
        <v>-0.90364</v>
      </c>
    </row>
    <row r="113" spans="1:23" x14ac:dyDescent="0.3">
      <c r="A113">
        <v>4.6731581499999999</v>
      </c>
      <c r="B113">
        <v>0.37496000000000002</v>
      </c>
      <c r="C113">
        <f t="shared" si="14"/>
        <v>1.7522473799239999</v>
      </c>
      <c r="D113">
        <v>1.66E-2</v>
      </c>
      <c r="E113">
        <v>2.7899999999999999E-3</v>
      </c>
      <c r="F113">
        <f t="shared" si="15"/>
        <v>934.63162999999997</v>
      </c>
      <c r="G113">
        <f t="shared" si="16"/>
        <v>-0.37496000000000002</v>
      </c>
      <c r="H113">
        <f t="shared" si="17"/>
        <v>-350.44947598479996</v>
      </c>
      <c r="I113">
        <v>1</v>
      </c>
      <c r="J113">
        <f t="shared" si="18"/>
        <v>-6.7602805933038579E-2</v>
      </c>
      <c r="K113">
        <f t="shared" si="19"/>
        <v>-0.8467651517752175</v>
      </c>
      <c r="L113">
        <v>1</v>
      </c>
      <c r="M113">
        <f t="shared" si="20"/>
        <v>0.66366718166750127</v>
      </c>
      <c r="N113">
        <f t="shared" si="24"/>
        <v>7.7574425289999999E-2</v>
      </c>
      <c r="O113">
        <f t="shared" si="22"/>
        <v>1.3038111238499999E-2</v>
      </c>
      <c r="P113">
        <f t="shared" si="23"/>
        <v>9.2485433579216222E-2</v>
      </c>
      <c r="V113">
        <v>4.9000000000000004</v>
      </c>
      <c r="W113">
        <f t="shared" si="21"/>
        <v>-0.9085700000000001</v>
      </c>
    </row>
    <row r="114" spans="1:23" x14ac:dyDescent="0.3">
      <c r="A114">
        <v>4.73064865</v>
      </c>
      <c r="B114">
        <v>0.37213000000000002</v>
      </c>
      <c r="C114">
        <f t="shared" si="14"/>
        <v>1.7604162821245002</v>
      </c>
      <c r="D114">
        <v>1.66E-2</v>
      </c>
      <c r="E114">
        <v>2.7899999999999999E-3</v>
      </c>
      <c r="F114">
        <f t="shared" si="15"/>
        <v>946.12973</v>
      </c>
      <c r="G114">
        <f t="shared" si="16"/>
        <v>-0.37213000000000002</v>
      </c>
      <c r="H114">
        <f t="shared" si="17"/>
        <v>-352.08325642490001</v>
      </c>
      <c r="I114">
        <v>1</v>
      </c>
      <c r="J114">
        <f t="shared" si="18"/>
        <v>-5.537558402589144E-2</v>
      </c>
      <c r="K114">
        <f t="shared" si="19"/>
        <v>-0.84959515177521738</v>
      </c>
      <c r="L114">
        <v>1</v>
      </c>
      <c r="M114">
        <f t="shared" si="20"/>
        <v>0.66426998370752355</v>
      </c>
      <c r="N114">
        <f t="shared" si="24"/>
        <v>7.8528767590000007E-2</v>
      </c>
      <c r="O114">
        <f t="shared" si="22"/>
        <v>1.3198509733499999E-2</v>
      </c>
      <c r="P114">
        <f t="shared" si="23"/>
        <v>9.3597890744193835E-2</v>
      </c>
      <c r="V114">
        <v>5</v>
      </c>
      <c r="W114">
        <f t="shared" si="21"/>
        <v>-0.91349999999999998</v>
      </c>
    </row>
    <row r="115" spans="1:23" x14ac:dyDescent="0.3">
      <c r="A115">
        <v>4.7799262499999999</v>
      </c>
      <c r="B115">
        <v>0.36931000000000003</v>
      </c>
      <c r="C115">
        <f t="shared" si="14"/>
        <v>1.7652745633875</v>
      </c>
      <c r="D115">
        <v>1.66E-2</v>
      </c>
      <c r="E115">
        <v>2.7899999999999999E-3</v>
      </c>
      <c r="F115">
        <f t="shared" si="15"/>
        <v>955.98524999999995</v>
      </c>
      <c r="G115">
        <f t="shared" si="16"/>
        <v>-0.36931000000000003</v>
      </c>
      <c r="H115">
        <f t="shared" si="17"/>
        <v>-353.0549126775</v>
      </c>
      <c r="I115">
        <v>1</v>
      </c>
      <c r="J115">
        <f t="shared" si="18"/>
        <v>-4.5012794920055006E-2</v>
      </c>
      <c r="K115">
        <f t="shared" si="19"/>
        <v>-0.85241515177521743</v>
      </c>
      <c r="L115">
        <v>1</v>
      </c>
      <c r="M115">
        <f t="shared" si="20"/>
        <v>0.66478086921044133</v>
      </c>
      <c r="N115">
        <f t="shared" si="24"/>
        <v>7.9346775750000001E-2</v>
      </c>
      <c r="O115">
        <f t="shared" si="22"/>
        <v>1.3335994237499999E-2</v>
      </c>
      <c r="P115">
        <f t="shared" si="23"/>
        <v>9.4951512577276104E-2</v>
      </c>
      <c r="V115">
        <v>5.0999999999999996</v>
      </c>
      <c r="W115">
        <f t="shared" si="21"/>
        <v>-0.91843000000000008</v>
      </c>
    </row>
    <row r="116" spans="1:23" x14ac:dyDescent="0.3">
      <c r="A116">
        <v>4.7388615999999999</v>
      </c>
      <c r="B116">
        <v>0.37025000000000002</v>
      </c>
      <c r="C116">
        <f t="shared" si="14"/>
        <v>1.7545635074000001</v>
      </c>
      <c r="D116">
        <v>1.66E-2</v>
      </c>
      <c r="E116">
        <v>2.7899999999999999E-3</v>
      </c>
      <c r="F116">
        <f t="shared" si="15"/>
        <v>947.77232000000004</v>
      </c>
      <c r="G116">
        <f t="shared" si="16"/>
        <v>-0.37025000000000002</v>
      </c>
      <c r="H116">
        <f t="shared" si="17"/>
        <v>-350.91270148000001</v>
      </c>
      <c r="I116">
        <v>1</v>
      </c>
      <c r="J116">
        <f t="shared" si="18"/>
        <v>-5.3640974348625685E-2</v>
      </c>
      <c r="K116">
        <f t="shared" si="19"/>
        <v>-0.85147515177521749</v>
      </c>
      <c r="L116">
        <v>1</v>
      </c>
      <c r="M116">
        <f t="shared" si="20"/>
        <v>0.66435549996461274</v>
      </c>
      <c r="N116">
        <f t="shared" si="24"/>
        <v>7.8665102560000005E-2</v>
      </c>
      <c r="O116">
        <f t="shared" si="22"/>
        <v>1.3221423864E-2</v>
      </c>
      <c r="P116">
        <f t="shared" si="23"/>
        <v>9.523312538660475E-2</v>
      </c>
      <c r="V116">
        <v>5.2</v>
      </c>
      <c r="W116">
        <f t="shared" si="21"/>
        <v>-0.92335999999999996</v>
      </c>
    </row>
    <row r="117" spans="1:23" x14ac:dyDescent="0.3">
      <c r="A117">
        <v>4.7799262499999999</v>
      </c>
      <c r="B117">
        <v>0.36836000000000002</v>
      </c>
      <c r="C117">
        <f t="shared" si="14"/>
        <v>1.7607336334500001</v>
      </c>
      <c r="D117">
        <v>1.66E-2</v>
      </c>
      <c r="E117">
        <v>2.7899999999999999E-3</v>
      </c>
      <c r="F117">
        <f t="shared" si="15"/>
        <v>955.98524999999995</v>
      </c>
      <c r="G117">
        <f t="shared" si="16"/>
        <v>-0.36836000000000002</v>
      </c>
      <c r="H117">
        <f t="shared" si="17"/>
        <v>-352.14672669000004</v>
      </c>
      <c r="I117">
        <v>1</v>
      </c>
      <c r="J117">
        <f t="shared" si="18"/>
        <v>-4.5012794920055006E-2</v>
      </c>
      <c r="K117">
        <f t="shared" si="19"/>
        <v>-0.85336515177521743</v>
      </c>
      <c r="L117">
        <v>1</v>
      </c>
      <c r="M117">
        <f t="shared" si="20"/>
        <v>0.66478086921044133</v>
      </c>
      <c r="N117">
        <f t="shared" si="24"/>
        <v>7.9346775750000001E-2</v>
      </c>
      <c r="O117">
        <f t="shared" si="22"/>
        <v>1.3335994237499999E-2</v>
      </c>
      <c r="P117">
        <f t="shared" si="23"/>
        <v>9.590151257727611E-2</v>
      </c>
      <c r="V117">
        <v>5.3</v>
      </c>
      <c r="W117">
        <f t="shared" si="21"/>
        <v>-0.92829000000000006</v>
      </c>
    </row>
    <row r="118" spans="1:23" x14ac:dyDescent="0.3">
      <c r="A118">
        <v>4.8292038499999999</v>
      </c>
      <c r="B118">
        <v>0.36647999999999997</v>
      </c>
      <c r="C118">
        <f t="shared" si="14"/>
        <v>1.7698066269479997</v>
      </c>
      <c r="D118">
        <v>1.66E-2</v>
      </c>
      <c r="E118">
        <v>2.7899999999999999E-3</v>
      </c>
      <c r="F118">
        <f t="shared" si="15"/>
        <v>965.84077000000002</v>
      </c>
      <c r="G118">
        <f t="shared" si="16"/>
        <v>-0.36647999999999997</v>
      </c>
      <c r="H118">
        <f t="shared" si="17"/>
        <v>-353.96132538959995</v>
      </c>
      <c r="I118">
        <v>1</v>
      </c>
      <c r="J118">
        <f t="shared" si="18"/>
        <v>-3.4756292724826637E-2</v>
      </c>
      <c r="K118">
        <f t="shared" si="19"/>
        <v>-0.85524515177521754</v>
      </c>
      <c r="L118">
        <v>1</v>
      </c>
      <c r="M118">
        <f t="shared" si="20"/>
        <v>0.66528651476866607</v>
      </c>
      <c r="N118">
        <f t="shared" si="24"/>
        <v>8.0164783909999995E-2</v>
      </c>
      <c r="O118">
        <f t="shared" si="22"/>
        <v>1.3473478741499999E-2</v>
      </c>
      <c r="P118">
        <f t="shared" si="23"/>
        <v>9.6320374355051475E-2</v>
      </c>
      <c r="V118">
        <v>5.4</v>
      </c>
      <c r="W118">
        <f t="shared" si="21"/>
        <v>-0.93322000000000005</v>
      </c>
    </row>
    <row r="119" spans="1:23" x14ac:dyDescent="0.3">
      <c r="A119">
        <v>4.8949072999999999</v>
      </c>
      <c r="B119">
        <v>0.36364999999999997</v>
      </c>
      <c r="C119">
        <f t="shared" si="14"/>
        <v>1.7800330396449997</v>
      </c>
      <c r="D119">
        <v>1.66E-2</v>
      </c>
      <c r="E119">
        <v>2.7899999999999999E-3</v>
      </c>
      <c r="F119">
        <f t="shared" si="15"/>
        <v>978.98145999999997</v>
      </c>
      <c r="G119">
        <f t="shared" si="16"/>
        <v>-0.36364999999999997</v>
      </c>
      <c r="H119">
        <f t="shared" si="17"/>
        <v>-356.00660792899993</v>
      </c>
      <c r="I119">
        <v>1</v>
      </c>
      <c r="J119">
        <f t="shared" si="18"/>
        <v>-2.1242574322469007E-2</v>
      </c>
      <c r="K119">
        <f t="shared" si="19"/>
        <v>-0.85807515177521743</v>
      </c>
      <c r="L119">
        <v>1</v>
      </c>
      <c r="M119">
        <f t="shared" si="20"/>
        <v>0.6659527410859023</v>
      </c>
      <c r="N119">
        <f t="shared" si="24"/>
        <v>8.1255461180000002E-2</v>
      </c>
      <c r="O119">
        <f t="shared" si="22"/>
        <v>1.3656791367E-2</v>
      </c>
      <c r="P119">
        <f t="shared" si="23"/>
        <v>9.7210158142315123E-2</v>
      </c>
      <c r="V119">
        <v>5.5</v>
      </c>
      <c r="W119">
        <f t="shared" si="21"/>
        <v>-0.93815000000000004</v>
      </c>
    </row>
    <row r="120" spans="1:23" x14ac:dyDescent="0.3">
      <c r="A120">
        <v>4.8538426500000007</v>
      </c>
      <c r="B120">
        <v>0.36364999999999997</v>
      </c>
      <c r="C120">
        <f t="shared" si="14"/>
        <v>1.7650998796725001</v>
      </c>
      <c r="D120">
        <v>1.66E-2</v>
      </c>
      <c r="E120">
        <v>2.7899999999999999E-3</v>
      </c>
      <c r="F120">
        <f t="shared" si="15"/>
        <v>970.76853000000017</v>
      </c>
      <c r="G120">
        <f t="shared" si="16"/>
        <v>-0.36364999999999997</v>
      </c>
      <c r="H120">
        <f t="shared" si="17"/>
        <v>-353.01997593450005</v>
      </c>
      <c r="I120">
        <v>1</v>
      </c>
      <c r="J120">
        <f t="shared" si="18"/>
        <v>-2.9667222218777538E-2</v>
      </c>
      <c r="K120">
        <f t="shared" si="19"/>
        <v>-0.85807515177521743</v>
      </c>
      <c r="L120">
        <v>1</v>
      </c>
      <c r="M120">
        <f t="shared" si="20"/>
        <v>0.6655374059446143</v>
      </c>
      <c r="N120">
        <f t="shared" si="24"/>
        <v>8.0573787990000006E-2</v>
      </c>
      <c r="O120">
        <f t="shared" si="22"/>
        <v>1.3542220993500002E-2</v>
      </c>
      <c r="P120">
        <f t="shared" si="23"/>
        <v>9.842173684710312E-2</v>
      </c>
      <c r="V120">
        <v>5.6</v>
      </c>
      <c r="W120">
        <f t="shared" si="21"/>
        <v>-0.94307999999999992</v>
      </c>
    </row>
    <row r="121" spans="1:23" x14ac:dyDescent="0.3">
      <c r="A121">
        <v>4.8127779999999998</v>
      </c>
      <c r="B121">
        <v>0.36459999999999998</v>
      </c>
      <c r="C121">
        <f t="shared" si="14"/>
        <v>1.7547388587999999</v>
      </c>
      <c r="D121">
        <v>1.66E-2</v>
      </c>
      <c r="E121">
        <v>2.7899999999999999E-3</v>
      </c>
      <c r="F121">
        <f t="shared" si="15"/>
        <v>962.55559999999991</v>
      </c>
      <c r="G121">
        <f t="shared" si="16"/>
        <v>-0.36459999999999998</v>
      </c>
      <c r="H121">
        <f t="shared" si="17"/>
        <v>-350.94777175999997</v>
      </c>
      <c r="I121">
        <v>1</v>
      </c>
      <c r="J121">
        <f t="shared" si="18"/>
        <v>-3.8163448254836203E-2</v>
      </c>
      <c r="K121">
        <f t="shared" si="19"/>
        <v>-0.85712515177521742</v>
      </c>
      <c r="L121">
        <v>1</v>
      </c>
      <c r="M121">
        <f t="shared" si="20"/>
        <v>0.66511854200103659</v>
      </c>
      <c r="N121">
        <f t="shared" si="24"/>
        <v>7.9892114799999997E-2</v>
      </c>
      <c r="O121">
        <f t="shared" si="22"/>
        <v>1.3427650619999999E-2</v>
      </c>
      <c r="P121">
        <f t="shared" si="23"/>
        <v>9.8686844354180833E-2</v>
      </c>
      <c r="V121">
        <v>5.7</v>
      </c>
      <c r="W121">
        <f t="shared" si="21"/>
        <v>-0.94801000000000002</v>
      </c>
    </row>
    <row r="122" spans="1:23" x14ac:dyDescent="0.3">
      <c r="A122">
        <v>4.8538426500000007</v>
      </c>
      <c r="B122">
        <v>0.36364999999999997</v>
      </c>
      <c r="C122">
        <f t="shared" si="14"/>
        <v>1.7650998796725001</v>
      </c>
      <c r="D122">
        <v>1.66E-2</v>
      </c>
      <c r="E122">
        <v>2.7899999999999999E-3</v>
      </c>
      <c r="F122">
        <f t="shared" si="15"/>
        <v>970.76853000000017</v>
      </c>
      <c r="G122">
        <f t="shared" si="16"/>
        <v>-0.36364999999999997</v>
      </c>
      <c r="H122">
        <f t="shared" si="17"/>
        <v>-353.01997593450005</v>
      </c>
      <c r="I122">
        <v>1</v>
      </c>
      <c r="J122">
        <f t="shared" si="18"/>
        <v>-2.9667222218777538E-2</v>
      </c>
      <c r="K122">
        <f t="shared" si="19"/>
        <v>-0.85807515177521743</v>
      </c>
      <c r="L122">
        <v>1</v>
      </c>
      <c r="M122">
        <f t="shared" si="20"/>
        <v>0.6655374059446143</v>
      </c>
      <c r="N122">
        <f t="shared" si="24"/>
        <v>8.0573787990000006E-2</v>
      </c>
      <c r="O122">
        <f t="shared" si="22"/>
        <v>1.3542220993500002E-2</v>
      </c>
      <c r="P122">
        <f t="shared" si="23"/>
        <v>9.842173684710312E-2</v>
      </c>
      <c r="V122">
        <v>5.8</v>
      </c>
      <c r="W122">
        <f t="shared" si="21"/>
        <v>-0.95294000000000001</v>
      </c>
    </row>
    <row r="123" spans="1:23" x14ac:dyDescent="0.3">
      <c r="A123">
        <v>4.8949072999999999</v>
      </c>
      <c r="B123">
        <v>0.36082999999999998</v>
      </c>
      <c r="C123">
        <f t="shared" si="14"/>
        <v>1.7662294010589998</v>
      </c>
      <c r="D123">
        <v>1.66E-2</v>
      </c>
      <c r="E123">
        <v>2.7899999999999999E-3</v>
      </c>
      <c r="F123">
        <f t="shared" si="15"/>
        <v>978.98145999999997</v>
      </c>
      <c r="G123">
        <f t="shared" si="16"/>
        <v>-0.36082999999999998</v>
      </c>
      <c r="H123">
        <f t="shared" si="17"/>
        <v>-353.24588021179994</v>
      </c>
      <c r="I123">
        <v>1</v>
      </c>
      <c r="J123">
        <f t="shared" si="18"/>
        <v>-2.1242574322469007E-2</v>
      </c>
      <c r="K123">
        <f t="shared" si="19"/>
        <v>-0.86089515177521747</v>
      </c>
      <c r="L123">
        <v>1</v>
      </c>
      <c r="M123">
        <f t="shared" si="20"/>
        <v>0.6659527410859023</v>
      </c>
      <c r="N123">
        <f t="shared" si="24"/>
        <v>8.1255461180000002E-2</v>
      </c>
      <c r="O123">
        <f t="shared" si="22"/>
        <v>1.3656791367E-2</v>
      </c>
      <c r="P123">
        <f t="shared" si="23"/>
        <v>0.10003015814231517</v>
      </c>
      <c r="V123">
        <v>5.9</v>
      </c>
      <c r="W123">
        <f t="shared" si="21"/>
        <v>-0.95787</v>
      </c>
    </row>
    <row r="124" spans="1:23" x14ac:dyDescent="0.3">
      <c r="A124">
        <v>4.9359719499999999</v>
      </c>
      <c r="B124">
        <v>0.35893999999999998</v>
      </c>
      <c r="C124">
        <f t="shared" si="14"/>
        <v>1.7717177717329999</v>
      </c>
      <c r="D124">
        <v>1.66E-2</v>
      </c>
      <c r="E124">
        <v>2.7899999999999999E-3</v>
      </c>
      <c r="F124">
        <f t="shared" si="15"/>
        <v>987.19439</v>
      </c>
      <c r="G124">
        <f t="shared" si="16"/>
        <v>-0.35893999999999998</v>
      </c>
      <c r="H124">
        <f t="shared" si="17"/>
        <v>-354.3435543466</v>
      </c>
      <c r="I124">
        <v>1</v>
      </c>
      <c r="J124">
        <f t="shared" si="18"/>
        <v>-1.2888308586220499E-2</v>
      </c>
      <c r="K124">
        <f t="shared" si="19"/>
        <v>-0.86278515177521742</v>
      </c>
      <c r="L124">
        <v>1</v>
      </c>
      <c r="M124">
        <f t="shared" si="20"/>
        <v>0.66636460638669937</v>
      </c>
      <c r="N124">
        <f t="shared" si="24"/>
        <v>8.1937134369999998E-2</v>
      </c>
      <c r="O124">
        <f t="shared" si="22"/>
        <v>1.3771361740499999E-2</v>
      </c>
      <c r="P124">
        <f t="shared" si="23"/>
        <v>0.10071204927801805</v>
      </c>
      <c r="V124">
        <v>6</v>
      </c>
      <c r="W124">
        <f t="shared" si="21"/>
        <v>-0.96279999999999999</v>
      </c>
    </row>
    <row r="125" spans="1:23" x14ac:dyDescent="0.3">
      <c r="A125">
        <v>4.9770365999999999</v>
      </c>
      <c r="B125">
        <v>0.35611999999999999</v>
      </c>
      <c r="C125">
        <f t="shared" si="14"/>
        <v>1.7724222739919999</v>
      </c>
      <c r="D125">
        <v>1.66E-2</v>
      </c>
      <c r="E125">
        <v>2.7899999999999999E-3</v>
      </c>
      <c r="F125">
        <f t="shared" si="15"/>
        <v>995.40732000000003</v>
      </c>
      <c r="G125">
        <f t="shared" si="16"/>
        <v>-0.35611999999999999</v>
      </c>
      <c r="H125">
        <f t="shared" si="17"/>
        <v>-354.48445479840001</v>
      </c>
      <c r="I125">
        <v>1</v>
      </c>
      <c r="J125">
        <f t="shared" si="18"/>
        <v>-4.6032587571155255E-3</v>
      </c>
      <c r="K125">
        <f t="shared" si="19"/>
        <v>-0.86560515177521746</v>
      </c>
      <c r="L125">
        <v>1</v>
      </c>
      <c r="M125">
        <f t="shared" si="20"/>
        <v>0.66677305934327424</v>
      </c>
      <c r="N125">
        <f t="shared" si="24"/>
        <v>8.2618807559999993E-2</v>
      </c>
      <c r="O125">
        <f t="shared" si="22"/>
        <v>1.3885932113999999E-2</v>
      </c>
      <c r="P125">
        <f t="shared" si="23"/>
        <v>0.10232735275794323</v>
      </c>
      <c r="V125">
        <v>6.1</v>
      </c>
      <c r="W125">
        <f t="shared" si="21"/>
        <v>-0.96772999999999998</v>
      </c>
    </row>
    <row r="126" spans="1:23" x14ac:dyDescent="0.3">
      <c r="A126">
        <v>5.0181013000000005</v>
      </c>
      <c r="B126">
        <v>0.35328999999999999</v>
      </c>
      <c r="C126">
        <f t="shared" si="14"/>
        <v>1.7728450082770002</v>
      </c>
      <c r="D126">
        <v>1.66E-2</v>
      </c>
      <c r="E126">
        <v>2.7899999999999999E-3</v>
      </c>
      <c r="F126">
        <f t="shared" si="15"/>
        <v>1003.6202600000001</v>
      </c>
      <c r="G126">
        <f t="shared" si="16"/>
        <v>-0.35328999999999999</v>
      </c>
      <c r="H126">
        <f t="shared" si="17"/>
        <v>-354.56900165540003</v>
      </c>
      <c r="I126">
        <v>1</v>
      </c>
      <c r="J126">
        <f t="shared" si="18"/>
        <v>3.6137226319967472E-3</v>
      </c>
      <c r="K126">
        <f t="shared" si="19"/>
        <v>-0.86843515177521746</v>
      </c>
      <c r="L126">
        <v>1</v>
      </c>
      <c r="M126">
        <f t="shared" si="20"/>
        <v>0.66717815652575752</v>
      </c>
      <c r="N126">
        <f t="shared" si="24"/>
        <v>8.3300481580000016E-2</v>
      </c>
      <c r="O126">
        <f t="shared" si="22"/>
        <v>1.4000502627000002E-2</v>
      </c>
      <c r="P126">
        <f t="shared" si="23"/>
        <v>0.10395601104245993</v>
      </c>
      <c r="V126">
        <v>6.2</v>
      </c>
      <c r="W126">
        <f t="shared" si="21"/>
        <v>-0.97266000000000008</v>
      </c>
    </row>
    <row r="127" spans="1:23" x14ac:dyDescent="0.3">
      <c r="A127">
        <v>5.0591659499999997</v>
      </c>
      <c r="B127">
        <v>0.35045999999999999</v>
      </c>
      <c r="C127">
        <f t="shared" si="14"/>
        <v>1.773035298837</v>
      </c>
      <c r="D127">
        <v>1.66E-2</v>
      </c>
      <c r="E127">
        <v>2.7899999999999999E-3</v>
      </c>
      <c r="F127">
        <f t="shared" si="15"/>
        <v>1011.8331899999999</v>
      </c>
      <c r="G127">
        <f t="shared" si="16"/>
        <v>-0.35045999999999999</v>
      </c>
      <c r="H127">
        <f t="shared" si="17"/>
        <v>-354.60705976740002</v>
      </c>
      <c r="I127">
        <v>1</v>
      </c>
      <c r="J127">
        <f t="shared" si="18"/>
        <v>1.1763725263173755E-2</v>
      </c>
      <c r="K127">
        <f t="shared" si="19"/>
        <v>-0.87126515177521746</v>
      </c>
      <c r="L127">
        <v>1</v>
      </c>
      <c r="M127">
        <f t="shared" si="20"/>
        <v>0.66757995165547446</v>
      </c>
      <c r="N127">
        <f t="shared" si="24"/>
        <v>8.3982154769999998E-2</v>
      </c>
      <c r="O127">
        <f t="shared" si="22"/>
        <v>1.4115073000499998E-2</v>
      </c>
      <c r="P127">
        <f t="shared" si="23"/>
        <v>0.10558797234924301</v>
      </c>
      <c r="V127">
        <v>6.3</v>
      </c>
      <c r="W127">
        <f t="shared" si="21"/>
        <v>-0.97758999999999996</v>
      </c>
    </row>
    <row r="128" spans="1:23" x14ac:dyDescent="0.3">
      <c r="A128">
        <v>5.1002305999999997</v>
      </c>
      <c r="B128">
        <v>0.34764</v>
      </c>
      <c r="C128">
        <f t="shared" si="14"/>
        <v>1.7730441657839999</v>
      </c>
      <c r="D128">
        <v>1.66E-2</v>
      </c>
      <c r="E128">
        <v>2.7899999999999999E-3</v>
      </c>
      <c r="F128">
        <f t="shared" si="15"/>
        <v>1020.04612</v>
      </c>
      <c r="G128">
        <f t="shared" si="16"/>
        <v>-0.34764</v>
      </c>
      <c r="H128">
        <f t="shared" si="17"/>
        <v>-354.60883315679996</v>
      </c>
      <c r="I128">
        <v>1</v>
      </c>
      <c r="J128">
        <f t="shared" si="18"/>
        <v>1.9847841960255838E-2</v>
      </c>
      <c r="K128">
        <f t="shared" si="19"/>
        <v>-0.87408515177521751</v>
      </c>
      <c r="L128">
        <v>1</v>
      </c>
      <c r="M128">
        <f t="shared" si="20"/>
        <v>0.66797849860864067</v>
      </c>
      <c r="N128">
        <f t="shared" si="24"/>
        <v>8.4663827959999993E-2</v>
      </c>
      <c r="O128">
        <f t="shared" si="22"/>
        <v>1.4229643374E-2</v>
      </c>
      <c r="P128">
        <f t="shared" si="23"/>
        <v>0.10721318183257685</v>
      </c>
      <c r="V128">
        <v>6.4</v>
      </c>
      <c r="W128">
        <f t="shared" si="21"/>
        <v>-0.98252000000000006</v>
      </c>
    </row>
    <row r="129" spans="1:23" x14ac:dyDescent="0.3">
      <c r="A129">
        <v>5.1412952499999998</v>
      </c>
      <c r="B129">
        <v>0.34481000000000001</v>
      </c>
      <c r="C129">
        <f t="shared" si="14"/>
        <v>1.7727700151524999</v>
      </c>
      <c r="D129">
        <v>1.66E-2</v>
      </c>
      <c r="E129">
        <v>2.7899999999999999E-3</v>
      </c>
      <c r="F129">
        <f t="shared" si="15"/>
        <v>1028.2590499999999</v>
      </c>
      <c r="G129">
        <f t="shared" si="16"/>
        <v>-0.34481000000000001</v>
      </c>
      <c r="H129">
        <f t="shared" si="17"/>
        <v>-354.55400303049998</v>
      </c>
      <c r="I129">
        <v>1</v>
      </c>
      <c r="J129">
        <f t="shared" si="18"/>
        <v>2.7867129451201202E-2</v>
      </c>
      <c r="K129">
        <f t="shared" si="19"/>
        <v>-0.87691515177521739</v>
      </c>
      <c r="L129">
        <v>1</v>
      </c>
      <c r="M129">
        <f t="shared" si="20"/>
        <v>0.66837384948194423</v>
      </c>
      <c r="N129">
        <f t="shared" si="24"/>
        <v>8.5345501150000003E-2</v>
      </c>
      <c r="O129">
        <f t="shared" si="22"/>
        <v>1.4344213747499999E-2</v>
      </c>
      <c r="P129">
        <f t="shared" si="23"/>
        <v>0.10885158739577316</v>
      </c>
      <c r="V129">
        <v>6.5</v>
      </c>
      <c r="W129">
        <f t="shared" si="21"/>
        <v>-0.98744999999999994</v>
      </c>
    </row>
    <row r="130" spans="1:23" x14ac:dyDescent="0.3">
      <c r="A130">
        <v>5.1823598999999998</v>
      </c>
      <c r="B130">
        <v>0.34199000000000002</v>
      </c>
      <c r="C130">
        <f t="shared" si="14"/>
        <v>1.7723152622010001</v>
      </c>
      <c r="D130">
        <v>1.66E-2</v>
      </c>
      <c r="E130">
        <v>2.7899999999999999E-3</v>
      </c>
      <c r="F130">
        <f t="shared" si="15"/>
        <v>1036.47198</v>
      </c>
      <c r="G130">
        <f t="shared" si="16"/>
        <v>-0.34199000000000002</v>
      </c>
      <c r="H130">
        <f t="shared" si="17"/>
        <v>-354.46305244020004</v>
      </c>
      <c r="I130">
        <v>1</v>
      </c>
      <c r="J130">
        <f t="shared" si="18"/>
        <v>3.5822619243197282E-2</v>
      </c>
      <c r="K130">
        <f t="shared" si="19"/>
        <v>-0.87973515177521744</v>
      </c>
      <c r="L130">
        <v>1</v>
      </c>
      <c r="M130">
        <f t="shared" si="20"/>
        <v>0.6687660551286897</v>
      </c>
      <c r="N130">
        <f t="shared" si="24"/>
        <v>8.6027174339999998E-2</v>
      </c>
      <c r="O130">
        <f t="shared" si="22"/>
        <v>1.4458784120999999E-2</v>
      </c>
      <c r="P130">
        <f t="shared" si="23"/>
        <v>0.11048313818552774</v>
      </c>
      <c r="V130">
        <v>6.6</v>
      </c>
      <c r="W130">
        <f t="shared" si="21"/>
        <v>-0.99238000000000004</v>
      </c>
    </row>
    <row r="131" spans="1:23" x14ac:dyDescent="0.3">
      <c r="A131">
        <v>5.2316375000000006</v>
      </c>
      <c r="B131">
        <v>0.33822000000000002</v>
      </c>
      <c r="C131">
        <f t="shared" si="14"/>
        <v>1.7694444352500003</v>
      </c>
      <c r="D131">
        <v>1.66E-2</v>
      </c>
      <c r="E131">
        <v>2.7899999999999999E-3</v>
      </c>
      <c r="F131">
        <f t="shared" si="15"/>
        <v>1046.3275000000001</v>
      </c>
      <c r="G131">
        <f t="shared" si="16"/>
        <v>-0.33822000000000002</v>
      </c>
      <c r="H131">
        <f t="shared" si="17"/>
        <v>-353.88888705000005</v>
      </c>
      <c r="I131">
        <v>1</v>
      </c>
      <c r="J131">
        <f t="shared" si="18"/>
        <v>4.528641415227342E-2</v>
      </c>
      <c r="K131">
        <f t="shared" si="19"/>
        <v>-0.88350515177521749</v>
      </c>
      <c r="L131">
        <v>1</v>
      </c>
      <c r="M131">
        <f t="shared" si="20"/>
        <v>0.66923262021770713</v>
      </c>
      <c r="N131">
        <f t="shared" si="24"/>
        <v>8.6845182500000007E-2</v>
      </c>
      <c r="O131">
        <f t="shared" si="22"/>
        <v>1.4596268625000002E-2</v>
      </c>
      <c r="P131">
        <f t="shared" si="23"/>
        <v>0.11283108043251035</v>
      </c>
      <c r="V131">
        <v>6.7</v>
      </c>
      <c r="W131">
        <f t="shared" si="21"/>
        <v>-0.99731000000000003</v>
      </c>
    </row>
    <row r="132" spans="1:23" x14ac:dyDescent="0.3">
      <c r="A132">
        <v>5.2727021499999998</v>
      </c>
      <c r="B132">
        <v>0.33539000000000002</v>
      </c>
      <c r="C132">
        <f t="shared" si="14"/>
        <v>1.7684115740885</v>
      </c>
      <c r="D132">
        <v>1.66E-2</v>
      </c>
      <c r="E132">
        <v>2.7899999999999999E-3</v>
      </c>
      <c r="F132">
        <f t="shared" si="15"/>
        <v>1054.54043</v>
      </c>
      <c r="G132">
        <f t="shared" si="16"/>
        <v>-0.33539000000000002</v>
      </c>
      <c r="H132">
        <f t="shared" si="17"/>
        <v>-353.68231481769999</v>
      </c>
      <c r="I132">
        <v>1</v>
      </c>
      <c r="J132">
        <f t="shared" si="18"/>
        <v>5.3105060647425081E-2</v>
      </c>
      <c r="K132">
        <f t="shared" si="19"/>
        <v>-0.88633515177521738</v>
      </c>
      <c r="L132">
        <v>1</v>
      </c>
      <c r="M132">
        <f t="shared" si="20"/>
        <v>0.66961807948991814</v>
      </c>
      <c r="N132">
        <f t="shared" si="24"/>
        <v>8.7526855690000002E-2</v>
      </c>
      <c r="O132">
        <f t="shared" si="22"/>
        <v>1.4710838998499998E-2</v>
      </c>
      <c r="P132">
        <f t="shared" si="23"/>
        <v>0.11447937759679923</v>
      </c>
      <c r="V132">
        <v>6.8</v>
      </c>
      <c r="W132">
        <f t="shared" si="21"/>
        <v>-1.00224</v>
      </c>
    </row>
    <row r="133" spans="1:23" x14ac:dyDescent="0.3">
      <c r="A133">
        <v>5.3137667999999998</v>
      </c>
      <c r="B133">
        <v>0.33256000000000002</v>
      </c>
      <c r="C133">
        <f t="shared" ref="C133:C196" si="25">A133*B133</f>
        <v>1.7671462870080001</v>
      </c>
      <c r="D133">
        <v>1.66E-2</v>
      </c>
      <c r="E133">
        <v>2.7899999999999999E-3</v>
      </c>
      <c r="F133">
        <f t="shared" ref="F133:F196" si="26">A133*200</f>
        <v>1062.7533599999999</v>
      </c>
      <c r="G133">
        <f t="shared" ref="G133:G144" si="27">-B133</f>
        <v>-0.33256000000000002</v>
      </c>
      <c r="H133">
        <f t="shared" ref="H133:H196" si="28">-C133*200</f>
        <v>-353.42925740160001</v>
      </c>
      <c r="I133">
        <v>1</v>
      </c>
      <c r="J133">
        <f t="shared" ref="J133:J196" si="29">LN(F133/1000)</f>
        <v>6.086304986079763E-2</v>
      </c>
      <c r="K133">
        <f t="shared" ref="K133:K187" si="30">((-G133)-$N$2)</f>
        <v>-0.88916515177521749</v>
      </c>
      <c r="L133">
        <v>1</v>
      </c>
      <c r="M133">
        <f t="shared" ref="M133:M196" si="31">-1*($S$4+($S$5*J133))</f>
        <v>0.67000054835813738</v>
      </c>
      <c r="N133">
        <f t="shared" si="24"/>
        <v>8.8208528879999998E-2</v>
      </c>
      <c r="O133">
        <f t="shared" si="22"/>
        <v>1.4825409372E-2</v>
      </c>
      <c r="P133">
        <f t="shared" si="23"/>
        <v>0.11613066516508011</v>
      </c>
      <c r="V133">
        <v>6.9</v>
      </c>
      <c r="W133">
        <f t="shared" ref="W133:W139" si="32">V133*$S$5+$S$4</f>
        <v>-1.0071699999999999</v>
      </c>
    </row>
    <row r="134" spans="1:23" x14ac:dyDescent="0.3">
      <c r="A134">
        <v>5.3548315000000004</v>
      </c>
      <c r="B134">
        <v>0.32973999999999998</v>
      </c>
      <c r="C134">
        <f t="shared" si="25"/>
        <v>1.76570213881</v>
      </c>
      <c r="D134">
        <v>1.66E-2</v>
      </c>
      <c r="E134">
        <v>2.7899999999999999E-3</v>
      </c>
      <c r="F134">
        <f t="shared" si="26"/>
        <v>1070.9663</v>
      </c>
      <c r="G134">
        <f t="shared" si="27"/>
        <v>-0.32973999999999998</v>
      </c>
      <c r="H134">
        <f t="shared" si="28"/>
        <v>-353.140427762</v>
      </c>
      <c r="I134">
        <v>1</v>
      </c>
      <c r="J134">
        <f t="shared" si="29"/>
        <v>6.8561325050848096E-2</v>
      </c>
      <c r="K134">
        <f t="shared" si="30"/>
        <v>-0.89198515177521753</v>
      </c>
      <c r="L134">
        <v>1</v>
      </c>
      <c r="M134">
        <f t="shared" si="31"/>
        <v>0.67038007332500682</v>
      </c>
      <c r="N134">
        <f t="shared" si="24"/>
        <v>8.8890202900000007E-2</v>
      </c>
      <c r="O134">
        <f t="shared" ref="O134:O144" si="33">E134*A134</f>
        <v>1.4939979885000001E-2</v>
      </c>
      <c r="P134">
        <f t="shared" ref="P134:P144" si="34">-K134-M134-N134-O134</f>
        <v>0.11777489566521072</v>
      </c>
      <c r="V134">
        <v>7</v>
      </c>
      <c r="W134">
        <f t="shared" si="32"/>
        <v>-1.0121</v>
      </c>
    </row>
    <row r="135" spans="1:23" x14ac:dyDescent="0.3">
      <c r="A135">
        <v>5.3958961499999996</v>
      </c>
      <c r="B135">
        <v>0.32690999999999998</v>
      </c>
      <c r="C135">
        <f t="shared" si="25"/>
        <v>1.7639724103964998</v>
      </c>
      <c r="D135">
        <v>1.66E-2</v>
      </c>
      <c r="E135">
        <v>2.7899999999999999E-3</v>
      </c>
      <c r="F135">
        <f t="shared" si="26"/>
        <v>1079.17923</v>
      </c>
      <c r="G135">
        <f t="shared" si="27"/>
        <v>-0.32690999999999998</v>
      </c>
      <c r="H135">
        <f t="shared" si="28"/>
        <v>-352.79448207929994</v>
      </c>
      <c r="I135">
        <v>1</v>
      </c>
      <c r="J135">
        <f t="shared" si="29"/>
        <v>7.6200779988624137E-2</v>
      </c>
      <c r="K135">
        <f t="shared" si="30"/>
        <v>-0.89481515177521742</v>
      </c>
      <c r="L135">
        <v>1</v>
      </c>
      <c r="M135">
        <f t="shared" si="31"/>
        <v>0.67075669845343922</v>
      </c>
      <c r="N135">
        <f t="shared" ref="N135:N144" si="35">D135*A135</f>
        <v>8.9571876089999988E-2</v>
      </c>
      <c r="O135">
        <f t="shared" si="33"/>
        <v>1.5054550258499999E-2</v>
      </c>
      <c r="P135">
        <f t="shared" si="34"/>
        <v>0.1194320269732782</v>
      </c>
      <c r="V135">
        <v>7.1</v>
      </c>
      <c r="W135">
        <f t="shared" si="32"/>
        <v>-1.0170300000000001</v>
      </c>
    </row>
    <row r="136" spans="1:23" x14ac:dyDescent="0.3">
      <c r="A136">
        <v>5.4369608000000005</v>
      </c>
      <c r="B136">
        <v>0.32408999999999999</v>
      </c>
      <c r="C136">
        <f t="shared" si="25"/>
        <v>1.7620646256720001</v>
      </c>
      <c r="D136">
        <v>1.66E-2</v>
      </c>
      <c r="E136">
        <v>2.7899999999999999E-3</v>
      </c>
      <c r="F136">
        <f t="shared" si="26"/>
        <v>1087.3921600000001</v>
      </c>
      <c r="G136">
        <f t="shared" si="27"/>
        <v>-0.32408999999999999</v>
      </c>
      <c r="H136">
        <f t="shared" si="28"/>
        <v>-352.41292513439998</v>
      </c>
      <c r="I136">
        <v>1</v>
      </c>
      <c r="J136">
        <f t="shared" si="29"/>
        <v>8.3782315845314342E-2</v>
      </c>
      <c r="K136">
        <f t="shared" si="30"/>
        <v>-0.89763515177521747</v>
      </c>
      <c r="L136">
        <v>1</v>
      </c>
      <c r="M136">
        <f t="shared" si="31"/>
        <v>0.67113046817117405</v>
      </c>
      <c r="N136">
        <f t="shared" si="35"/>
        <v>9.0253549280000012E-2</v>
      </c>
      <c r="O136">
        <f t="shared" si="33"/>
        <v>1.5169120632E-2</v>
      </c>
      <c r="P136">
        <f t="shared" si="34"/>
        <v>0.1210820136920434</v>
      </c>
      <c r="V136">
        <v>7.2</v>
      </c>
      <c r="W136">
        <f t="shared" si="32"/>
        <v>-1.02196</v>
      </c>
    </row>
    <row r="137" spans="1:23" x14ac:dyDescent="0.3">
      <c r="A137">
        <v>5.4780254500000005</v>
      </c>
      <c r="B137" s="1">
        <v>0.32031999999999999</v>
      </c>
      <c r="C137">
        <f t="shared" si="25"/>
        <v>1.7547211121440001</v>
      </c>
      <c r="D137">
        <v>1.66E-2</v>
      </c>
      <c r="E137">
        <v>2.7899999999999999E-3</v>
      </c>
      <c r="F137">
        <f t="shared" si="26"/>
        <v>1095.60509</v>
      </c>
      <c r="G137">
        <f t="shared" si="27"/>
        <v>-0.32031999999999999</v>
      </c>
      <c r="H137">
        <f t="shared" si="28"/>
        <v>-350.9442224288</v>
      </c>
      <c r="I137">
        <v>1</v>
      </c>
      <c r="J137">
        <f t="shared" si="29"/>
        <v>9.1306804252146018E-2</v>
      </c>
      <c r="K137">
        <f t="shared" si="30"/>
        <v>-0.90140515177521752</v>
      </c>
      <c r="L137">
        <v>1</v>
      </c>
      <c r="M137">
        <f t="shared" si="31"/>
        <v>0.67150142544963087</v>
      </c>
      <c r="N137">
        <f t="shared" si="35"/>
        <v>9.0935222470000007E-2</v>
      </c>
      <c r="O137">
        <f t="shared" si="33"/>
        <v>1.5283691005500002E-2</v>
      </c>
      <c r="P137">
        <f t="shared" si="34"/>
        <v>0.12368481285008662</v>
      </c>
      <c r="V137">
        <v>7.3</v>
      </c>
      <c r="W137">
        <f t="shared" si="32"/>
        <v>-1.0268900000000001</v>
      </c>
    </row>
    <row r="138" spans="1:23" x14ac:dyDescent="0.3">
      <c r="A138">
        <v>5.5273030500000004</v>
      </c>
      <c r="B138" s="1">
        <v>0.31748999999999999</v>
      </c>
      <c r="C138">
        <f t="shared" si="25"/>
        <v>1.7548634453445</v>
      </c>
      <c r="D138">
        <v>1.66E-2</v>
      </c>
      <c r="E138">
        <v>2.7899999999999999E-3</v>
      </c>
      <c r="F138">
        <f t="shared" si="26"/>
        <v>1105.4606100000001</v>
      </c>
      <c r="G138">
        <f t="shared" si="27"/>
        <v>-0.31748999999999999</v>
      </c>
      <c r="H138">
        <f t="shared" si="28"/>
        <v>-350.97268906890002</v>
      </c>
      <c r="I138">
        <v>1</v>
      </c>
      <c r="J138">
        <f t="shared" si="29"/>
        <v>0.10026208974433926</v>
      </c>
      <c r="K138">
        <f t="shared" si="30"/>
        <v>-0.90423515177521741</v>
      </c>
      <c r="L138">
        <v>1</v>
      </c>
      <c r="M138">
        <f t="shared" si="31"/>
        <v>0.67194292102439601</v>
      </c>
      <c r="N138">
        <f t="shared" si="35"/>
        <v>9.1753230630000002E-2</v>
      </c>
      <c r="O138">
        <f t="shared" si="33"/>
        <v>1.5421175509500002E-2</v>
      </c>
      <c r="P138">
        <f t="shared" si="34"/>
        <v>0.12511782461132137</v>
      </c>
      <c r="V138">
        <v>7.4</v>
      </c>
      <c r="W138">
        <f t="shared" si="32"/>
        <v>-1.03182</v>
      </c>
    </row>
    <row r="139" spans="1:23" x14ac:dyDescent="0.3">
      <c r="A139">
        <v>5.5683676999999996</v>
      </c>
      <c r="B139" s="1">
        <v>0.31372</v>
      </c>
      <c r="C139">
        <f t="shared" si="25"/>
        <v>1.7469083148439999</v>
      </c>
      <c r="D139">
        <v>1.66E-2</v>
      </c>
      <c r="E139">
        <v>2.7899999999999999E-3</v>
      </c>
      <c r="F139">
        <f t="shared" si="26"/>
        <v>1113.67354</v>
      </c>
      <c r="G139">
        <f t="shared" si="27"/>
        <v>-0.31372</v>
      </c>
      <c r="H139">
        <f t="shared" si="28"/>
        <v>-349.38166296879996</v>
      </c>
      <c r="I139">
        <v>1</v>
      </c>
      <c r="J139">
        <f t="shared" si="29"/>
        <v>0.10766404649231309</v>
      </c>
      <c r="K139">
        <f t="shared" si="30"/>
        <v>-0.90800515177521746</v>
      </c>
      <c r="L139">
        <v>1</v>
      </c>
      <c r="M139">
        <f t="shared" si="31"/>
        <v>0.67230783749207113</v>
      </c>
      <c r="N139">
        <f t="shared" si="35"/>
        <v>9.2434903819999997E-2</v>
      </c>
      <c r="O139">
        <f t="shared" si="33"/>
        <v>1.5535745882999998E-2</v>
      </c>
      <c r="P139">
        <f t="shared" si="34"/>
        <v>0.12772666458014634</v>
      </c>
      <c r="V139">
        <v>7.5</v>
      </c>
      <c r="W139">
        <f t="shared" si="32"/>
        <v>-1.0367500000000001</v>
      </c>
    </row>
    <row r="140" spans="1:23" x14ac:dyDescent="0.3">
      <c r="A140">
        <v>5.6094323499999996</v>
      </c>
      <c r="B140" s="1">
        <v>0.31090000000000001</v>
      </c>
      <c r="C140">
        <f t="shared" si="25"/>
        <v>1.7439725176149998</v>
      </c>
      <c r="D140">
        <v>1.66E-2</v>
      </c>
      <c r="E140">
        <v>2.7899999999999999E-3</v>
      </c>
      <c r="F140">
        <f t="shared" si="26"/>
        <v>1121.8864699999999</v>
      </c>
      <c r="G140">
        <f t="shared" si="27"/>
        <v>-0.31090000000000001</v>
      </c>
      <c r="H140">
        <f t="shared" si="28"/>
        <v>-348.79450352299995</v>
      </c>
      <c r="I140">
        <v>1</v>
      </c>
      <c r="J140">
        <f t="shared" si="29"/>
        <v>0.11501161659767409</v>
      </c>
      <c r="K140">
        <f t="shared" si="30"/>
        <v>-0.9108251517752175</v>
      </c>
      <c r="L140">
        <v>1</v>
      </c>
      <c r="M140">
        <f t="shared" si="31"/>
        <v>0.6726700726982654</v>
      </c>
      <c r="N140">
        <f t="shared" si="35"/>
        <v>9.3116577009999993E-2</v>
      </c>
      <c r="O140">
        <f t="shared" si="33"/>
        <v>1.5650316256499999E-2</v>
      </c>
      <c r="P140">
        <f t="shared" si="34"/>
        <v>0.12938818581045214</v>
      </c>
    </row>
    <row r="141" spans="1:23" x14ac:dyDescent="0.3">
      <c r="A141">
        <v>5.6504970500000002</v>
      </c>
      <c r="B141" s="1">
        <v>0.30713000000000001</v>
      </c>
      <c r="C141">
        <f t="shared" si="25"/>
        <v>1.7354371589665001</v>
      </c>
      <c r="D141">
        <v>1.66E-2</v>
      </c>
      <c r="E141">
        <v>2.7899999999999999E-3</v>
      </c>
      <c r="F141">
        <f t="shared" si="26"/>
        <v>1130.09941</v>
      </c>
      <c r="G141">
        <f t="shared" si="27"/>
        <v>-0.30713000000000001</v>
      </c>
      <c r="H141">
        <f t="shared" si="28"/>
        <v>-347.08743179330003</v>
      </c>
      <c r="I141">
        <v>1</v>
      </c>
      <c r="J141">
        <f t="shared" si="29"/>
        <v>0.12230560230613963</v>
      </c>
      <c r="K141">
        <f t="shared" si="30"/>
        <v>-0.91459515177521744</v>
      </c>
      <c r="L141">
        <v>1</v>
      </c>
      <c r="M141">
        <f t="shared" si="31"/>
        <v>0.67302966619369275</v>
      </c>
      <c r="N141">
        <f t="shared" si="35"/>
        <v>9.3798251030000002E-2</v>
      </c>
      <c r="O141">
        <f t="shared" si="33"/>
        <v>1.5764886769500001E-2</v>
      </c>
      <c r="P141">
        <f t="shared" si="34"/>
        <v>0.13200234778202469</v>
      </c>
    </row>
    <row r="142" spans="1:23" x14ac:dyDescent="0.3">
      <c r="A142">
        <v>5.6915616999999994</v>
      </c>
      <c r="B142" s="1">
        <v>0.30430000000000001</v>
      </c>
      <c r="C142">
        <f t="shared" si="25"/>
        <v>1.7319422253099999</v>
      </c>
      <c r="D142">
        <v>1.66E-2</v>
      </c>
      <c r="E142">
        <v>2.7899999999999999E-3</v>
      </c>
      <c r="F142">
        <f t="shared" si="26"/>
        <v>1138.3123399999999</v>
      </c>
      <c r="G142">
        <f t="shared" si="27"/>
        <v>-0.30430000000000001</v>
      </c>
      <c r="H142">
        <f t="shared" si="28"/>
        <v>-346.38844506199996</v>
      </c>
      <c r="I142">
        <v>1</v>
      </c>
      <c r="J142">
        <f t="shared" si="29"/>
        <v>0.12954676201767409</v>
      </c>
      <c r="K142">
        <f t="shared" si="30"/>
        <v>-0.91742515177521744</v>
      </c>
      <c r="L142">
        <v>1</v>
      </c>
      <c r="M142">
        <f t="shared" si="31"/>
        <v>0.67338665536747133</v>
      </c>
      <c r="N142">
        <f t="shared" si="35"/>
        <v>9.4479924219999997E-2</v>
      </c>
      <c r="O142">
        <f t="shared" si="33"/>
        <v>1.5879457142999997E-2</v>
      </c>
      <c r="P142">
        <f t="shared" si="34"/>
        <v>0.13367911504474611</v>
      </c>
    </row>
    <row r="143" spans="1:23" x14ac:dyDescent="0.3">
      <c r="A143">
        <v>5.7408392500000005</v>
      </c>
      <c r="B143" s="1">
        <v>0.30053000000000002</v>
      </c>
      <c r="C143">
        <f t="shared" si="25"/>
        <v>1.7252944198025002</v>
      </c>
      <c r="D143">
        <v>1.66E-2</v>
      </c>
      <c r="E143">
        <v>2.7899999999999999E-3</v>
      </c>
      <c r="F143">
        <f t="shared" si="26"/>
        <v>1148.16785</v>
      </c>
      <c r="G143">
        <f t="shared" si="27"/>
        <v>-0.30053000000000002</v>
      </c>
      <c r="H143">
        <f t="shared" si="28"/>
        <v>-345.05888396050005</v>
      </c>
      <c r="I143">
        <v>1</v>
      </c>
      <c r="J143">
        <f t="shared" si="29"/>
        <v>0.13816749801101103</v>
      </c>
      <c r="K143">
        <f t="shared" si="30"/>
        <v>-0.92119515177521749</v>
      </c>
      <c r="L143">
        <v>1</v>
      </c>
      <c r="M143">
        <f t="shared" si="31"/>
        <v>0.67381165765194284</v>
      </c>
      <c r="N143">
        <f t="shared" si="35"/>
        <v>9.5297931550000006E-2</v>
      </c>
      <c r="O143">
        <f t="shared" si="33"/>
        <v>1.60169415075E-2</v>
      </c>
      <c r="P143">
        <f t="shared" si="34"/>
        <v>0.13606862106577466</v>
      </c>
    </row>
    <row r="144" spans="1:23" x14ac:dyDescent="0.3">
      <c r="A144">
        <v>5.7819039499999993</v>
      </c>
      <c r="B144" s="1">
        <v>0.29770999999999997</v>
      </c>
      <c r="C144">
        <f t="shared" si="25"/>
        <v>1.7213306249544997</v>
      </c>
      <c r="D144">
        <v>1.66E-2</v>
      </c>
      <c r="E144">
        <v>2.7899999999999999E-3</v>
      </c>
      <c r="F144">
        <f t="shared" si="26"/>
        <v>1156.3807899999999</v>
      </c>
      <c r="G144">
        <f t="shared" si="27"/>
        <v>-0.29770999999999997</v>
      </c>
      <c r="H144">
        <f t="shared" si="28"/>
        <v>-344.26612499089993</v>
      </c>
      <c r="I144">
        <v>1</v>
      </c>
      <c r="J144">
        <f t="shared" si="29"/>
        <v>0.14529511912307777</v>
      </c>
      <c r="K144">
        <f t="shared" si="30"/>
        <v>-0.92401515177521754</v>
      </c>
      <c r="L144">
        <v>1</v>
      </c>
      <c r="M144">
        <f t="shared" si="31"/>
        <v>0.67416304937276772</v>
      </c>
      <c r="N144">
        <f t="shared" si="35"/>
        <v>9.5979605569999987E-2</v>
      </c>
      <c r="O144">
        <f t="shared" si="33"/>
        <v>1.6131512020499998E-2</v>
      </c>
      <c r="P144">
        <f t="shared" si="34"/>
        <v>0.13774098481194982</v>
      </c>
    </row>
    <row r="145" spans="1:16" x14ac:dyDescent="0.3">
      <c r="A145">
        <v>5.8229686000000003</v>
      </c>
      <c r="B145" s="1">
        <v>0.29393999999999998</v>
      </c>
      <c r="C145">
        <f t="shared" si="25"/>
        <v>1.711603390284</v>
      </c>
      <c r="D145">
        <v>1.66E-2</v>
      </c>
      <c r="E145">
        <v>2.7899999999999999E-3</v>
      </c>
      <c r="F145">
        <f t="shared" si="26"/>
        <v>1164.5937200000001</v>
      </c>
      <c r="G145">
        <f t="shared" ref="G145:G187" si="36">-B145</f>
        <v>-0.29393999999999998</v>
      </c>
      <c r="H145">
        <f t="shared" si="28"/>
        <v>-342.32067805679998</v>
      </c>
      <c r="I145">
        <v>1</v>
      </c>
      <c r="J145">
        <f t="shared" si="29"/>
        <v>0.15237228799693253</v>
      </c>
      <c r="K145">
        <f t="shared" si="30"/>
        <v>-0.92778515177521748</v>
      </c>
      <c r="L145">
        <v>1</v>
      </c>
      <c r="M145">
        <f t="shared" si="31"/>
        <v>0.6745119537982488</v>
      </c>
      <c r="N145">
        <f t="shared" ref="N145:N187" si="37">D145*A145</f>
        <v>9.6661278760000011E-2</v>
      </c>
      <c r="O145">
        <f t="shared" ref="O145:O187" si="38">E145*A145</f>
        <v>1.6246082394000001E-2</v>
      </c>
      <c r="P145">
        <f t="shared" ref="P145:P187" si="39">-K145-M145-N145-O145</f>
        <v>0.14036583682296866</v>
      </c>
    </row>
    <row r="146" spans="1:16" x14ac:dyDescent="0.3">
      <c r="A146">
        <v>5.8640332500000003</v>
      </c>
      <c r="B146" s="1">
        <v>0.29110999999999998</v>
      </c>
      <c r="C146">
        <f t="shared" si="25"/>
        <v>1.7070787194074999</v>
      </c>
      <c r="D146">
        <v>1.66E-2</v>
      </c>
      <c r="E146">
        <v>2.7899999999999999E-3</v>
      </c>
      <c r="F146">
        <f t="shared" si="26"/>
        <v>1172.80665</v>
      </c>
      <c r="G146">
        <f t="shared" si="36"/>
        <v>-0.29110999999999998</v>
      </c>
      <c r="H146">
        <f t="shared" si="28"/>
        <v>-341.41574388149996</v>
      </c>
      <c r="I146">
        <v>1</v>
      </c>
      <c r="J146">
        <f t="shared" si="29"/>
        <v>0.15939972232517047</v>
      </c>
      <c r="K146">
        <f t="shared" si="30"/>
        <v>-0.93061515177521748</v>
      </c>
      <c r="L146">
        <v>1</v>
      </c>
      <c r="M146">
        <f t="shared" si="31"/>
        <v>0.67485840631063099</v>
      </c>
      <c r="N146">
        <f t="shared" si="37"/>
        <v>9.7342951950000006E-2</v>
      </c>
      <c r="O146">
        <f t="shared" si="38"/>
        <v>1.6360652767500001E-2</v>
      </c>
      <c r="P146">
        <f t="shared" si="39"/>
        <v>0.14205314074708647</v>
      </c>
    </row>
    <row r="147" spans="1:16" x14ac:dyDescent="0.3">
      <c r="A147">
        <v>5.9050978999999995</v>
      </c>
      <c r="B147" s="1">
        <v>0.28733999999999998</v>
      </c>
      <c r="C147">
        <f t="shared" si="25"/>
        <v>1.6967708305859996</v>
      </c>
      <c r="D147">
        <v>1.66E-2</v>
      </c>
      <c r="E147">
        <v>2.7899999999999999E-3</v>
      </c>
      <c r="F147">
        <f t="shared" si="26"/>
        <v>1181.0195799999999</v>
      </c>
      <c r="G147">
        <f t="shared" si="36"/>
        <v>-0.28733999999999998</v>
      </c>
      <c r="H147">
        <f t="shared" si="28"/>
        <v>-339.35416611719995</v>
      </c>
      <c r="I147">
        <v>1</v>
      </c>
      <c r="J147">
        <f t="shared" si="29"/>
        <v>0.16637811624798696</v>
      </c>
      <c r="K147">
        <f t="shared" si="30"/>
        <v>-0.93438515177521753</v>
      </c>
      <c r="L147">
        <v>1</v>
      </c>
      <c r="M147">
        <f t="shared" si="31"/>
        <v>0.67520244113102579</v>
      </c>
      <c r="N147">
        <f t="shared" si="37"/>
        <v>9.8024625139999988E-2</v>
      </c>
      <c r="O147">
        <f t="shared" si="38"/>
        <v>1.6475223140999997E-2</v>
      </c>
      <c r="P147">
        <f t="shared" si="39"/>
        <v>0.14468286236319175</v>
      </c>
    </row>
    <row r="148" spans="1:16" x14ac:dyDescent="0.3">
      <c r="A148">
        <v>5.9543755000000003</v>
      </c>
      <c r="B148" s="1">
        <v>0.28356999999999999</v>
      </c>
      <c r="C148">
        <f t="shared" si="25"/>
        <v>1.6884822605350001</v>
      </c>
      <c r="D148">
        <v>1.66E-2</v>
      </c>
      <c r="E148">
        <v>2.7899999999999999E-3</v>
      </c>
      <c r="F148">
        <f t="shared" si="26"/>
        <v>1190.8751</v>
      </c>
      <c r="G148">
        <f t="shared" si="36"/>
        <v>-0.28356999999999999</v>
      </c>
      <c r="H148">
        <f t="shared" si="28"/>
        <v>-337.69645210700003</v>
      </c>
      <c r="I148">
        <v>1</v>
      </c>
      <c r="J148">
        <f t="shared" si="29"/>
        <v>0.17468841501667226</v>
      </c>
      <c r="K148">
        <f t="shared" si="30"/>
        <v>-0.93815515177521747</v>
      </c>
      <c r="L148">
        <v>1</v>
      </c>
      <c r="M148">
        <f t="shared" si="31"/>
        <v>0.67561213886032201</v>
      </c>
      <c r="N148">
        <f t="shared" si="37"/>
        <v>9.884263330000001E-2</v>
      </c>
      <c r="O148">
        <f t="shared" si="38"/>
        <v>1.6612707644999999E-2</v>
      </c>
      <c r="P148">
        <f t="shared" si="39"/>
        <v>0.14708767196989544</v>
      </c>
    </row>
    <row r="149" spans="1:16" x14ac:dyDescent="0.3">
      <c r="A149">
        <v>5.9954401499999994</v>
      </c>
      <c r="B149" s="1">
        <v>0.28075</v>
      </c>
      <c r="C149">
        <f t="shared" si="25"/>
        <v>1.6832198221124999</v>
      </c>
      <c r="D149">
        <v>1.66E-2</v>
      </c>
      <c r="E149">
        <v>2.7899999999999999E-3</v>
      </c>
      <c r="F149">
        <f t="shared" si="26"/>
        <v>1199.0880299999999</v>
      </c>
      <c r="G149">
        <f t="shared" si="36"/>
        <v>-0.28075</v>
      </c>
      <c r="H149">
        <f t="shared" si="28"/>
        <v>-336.64396442249995</v>
      </c>
      <c r="I149">
        <v>1</v>
      </c>
      <c r="J149">
        <f t="shared" si="29"/>
        <v>0.18156129286655995</v>
      </c>
      <c r="K149">
        <f t="shared" si="30"/>
        <v>-0.9409751517752174</v>
      </c>
      <c r="L149">
        <v>1</v>
      </c>
      <c r="M149">
        <f t="shared" si="31"/>
        <v>0.67595097173832142</v>
      </c>
      <c r="N149">
        <f t="shared" si="37"/>
        <v>9.9524306489999992E-2</v>
      </c>
      <c r="O149">
        <f t="shared" si="38"/>
        <v>1.6727278018499998E-2</v>
      </c>
      <c r="P149">
        <f t="shared" si="39"/>
        <v>0.148772595528396</v>
      </c>
    </row>
    <row r="150" spans="1:16" x14ac:dyDescent="0.3">
      <c r="A150">
        <v>6.0447177500000002</v>
      </c>
      <c r="B150" s="1">
        <v>0.27792</v>
      </c>
      <c r="C150">
        <f t="shared" si="25"/>
        <v>1.67994795708</v>
      </c>
      <c r="D150">
        <v>1.66E-2</v>
      </c>
      <c r="E150">
        <v>2.7899999999999999E-3</v>
      </c>
      <c r="F150">
        <f t="shared" si="26"/>
        <v>1208.94355</v>
      </c>
      <c r="G150">
        <f t="shared" si="36"/>
        <v>-0.27792</v>
      </c>
      <c r="H150">
        <f t="shared" si="28"/>
        <v>-335.989591416</v>
      </c>
      <c r="I150">
        <v>1</v>
      </c>
      <c r="J150">
        <f t="shared" si="29"/>
        <v>0.18974687906201196</v>
      </c>
      <c r="K150">
        <f t="shared" si="30"/>
        <v>-0.94380515177521751</v>
      </c>
      <c r="L150">
        <v>1</v>
      </c>
      <c r="M150">
        <f t="shared" si="31"/>
        <v>0.67635452113775718</v>
      </c>
      <c r="N150">
        <f t="shared" si="37"/>
        <v>0.10034231465</v>
      </c>
      <c r="O150">
        <f t="shared" si="38"/>
        <v>1.68647625225E-2</v>
      </c>
      <c r="P150">
        <f t="shared" si="39"/>
        <v>0.15024355346496035</v>
      </c>
    </row>
    <row r="151" spans="1:16" x14ac:dyDescent="0.3">
      <c r="A151">
        <v>6.0857824000000003</v>
      </c>
      <c r="B151" s="1">
        <v>0.27321000000000001</v>
      </c>
      <c r="C151">
        <f t="shared" si="25"/>
        <v>1.6626966095040001</v>
      </c>
      <c r="D151">
        <v>1.66E-2</v>
      </c>
      <c r="E151">
        <v>2.7899999999999999E-3</v>
      </c>
      <c r="F151">
        <f t="shared" si="26"/>
        <v>1217.1564800000001</v>
      </c>
      <c r="G151">
        <f t="shared" si="36"/>
        <v>-0.27321000000000001</v>
      </c>
      <c r="H151">
        <f t="shared" si="28"/>
        <v>-332.53932190080002</v>
      </c>
      <c r="I151">
        <v>1</v>
      </c>
      <c r="J151">
        <f t="shared" si="29"/>
        <v>0.19651738421153861</v>
      </c>
      <c r="K151">
        <f t="shared" si="30"/>
        <v>-0.9485151517752175</v>
      </c>
      <c r="L151">
        <v>1</v>
      </c>
      <c r="M151">
        <f t="shared" si="31"/>
        <v>0.67668830704162886</v>
      </c>
      <c r="N151">
        <f t="shared" si="37"/>
        <v>0.10102398784000001</v>
      </c>
      <c r="O151">
        <f t="shared" si="38"/>
        <v>1.6979332896E-2</v>
      </c>
      <c r="P151">
        <f t="shared" si="39"/>
        <v>0.15382352399758864</v>
      </c>
    </row>
    <row r="152" spans="1:16" x14ac:dyDescent="0.3">
      <c r="A152">
        <v>6.0447177500000002</v>
      </c>
      <c r="B152" s="1">
        <v>0.27415</v>
      </c>
      <c r="C152">
        <f t="shared" si="25"/>
        <v>1.6571593711625001</v>
      </c>
      <c r="D152">
        <v>1.66E-2</v>
      </c>
      <c r="E152">
        <v>2.7899999999999999E-3</v>
      </c>
      <c r="F152">
        <f t="shared" si="26"/>
        <v>1208.94355</v>
      </c>
      <c r="G152">
        <f t="shared" si="36"/>
        <v>-0.27415</v>
      </c>
      <c r="H152">
        <f t="shared" si="28"/>
        <v>-331.43187423250004</v>
      </c>
      <c r="I152">
        <v>1</v>
      </c>
      <c r="J152">
        <f t="shared" si="29"/>
        <v>0.18974687906201196</v>
      </c>
      <c r="K152">
        <f t="shared" si="30"/>
        <v>-0.94757515177521745</v>
      </c>
      <c r="L152">
        <v>1</v>
      </c>
      <c r="M152">
        <f t="shared" si="31"/>
        <v>0.67635452113775718</v>
      </c>
      <c r="N152">
        <f t="shared" si="37"/>
        <v>0.10034231465</v>
      </c>
      <c r="O152">
        <f t="shared" si="38"/>
        <v>1.68647625225E-2</v>
      </c>
      <c r="P152">
        <f t="shared" si="39"/>
        <v>0.15401355346496029</v>
      </c>
    </row>
    <row r="153" spans="1:16" x14ac:dyDescent="0.3">
      <c r="A153">
        <v>6.0857824000000003</v>
      </c>
      <c r="B153" s="1">
        <v>0.27321000000000001</v>
      </c>
      <c r="C153">
        <f t="shared" si="25"/>
        <v>1.6626966095040001</v>
      </c>
      <c r="D153">
        <v>1.66E-2</v>
      </c>
      <c r="E153">
        <v>2.7899999999999999E-3</v>
      </c>
      <c r="F153">
        <f t="shared" si="26"/>
        <v>1217.1564800000001</v>
      </c>
      <c r="G153">
        <f t="shared" si="36"/>
        <v>-0.27321000000000001</v>
      </c>
      <c r="H153">
        <f t="shared" si="28"/>
        <v>-332.53932190080002</v>
      </c>
      <c r="I153">
        <v>1</v>
      </c>
      <c r="J153">
        <f t="shared" si="29"/>
        <v>0.19651738421153861</v>
      </c>
      <c r="K153">
        <f t="shared" si="30"/>
        <v>-0.9485151517752175</v>
      </c>
      <c r="L153">
        <v>1</v>
      </c>
      <c r="M153">
        <f t="shared" si="31"/>
        <v>0.67668830704162886</v>
      </c>
      <c r="N153">
        <f t="shared" si="37"/>
        <v>0.10102398784000001</v>
      </c>
      <c r="O153">
        <f t="shared" si="38"/>
        <v>1.6979332896E-2</v>
      </c>
      <c r="P153">
        <f t="shared" si="39"/>
        <v>0.15382352399758864</v>
      </c>
    </row>
    <row r="154" spans="1:16" x14ac:dyDescent="0.3">
      <c r="A154">
        <v>6.1350599999999993</v>
      </c>
      <c r="B154" s="1">
        <v>0.27039000000000002</v>
      </c>
      <c r="C154">
        <f t="shared" si="25"/>
        <v>1.6588588733999998</v>
      </c>
      <c r="D154">
        <v>1.66E-2</v>
      </c>
      <c r="E154">
        <v>2.7899999999999999E-3</v>
      </c>
      <c r="F154">
        <f t="shared" si="26"/>
        <v>1227.0119999999999</v>
      </c>
      <c r="G154">
        <f t="shared" si="36"/>
        <v>-0.27039000000000002</v>
      </c>
      <c r="H154">
        <f t="shared" si="28"/>
        <v>-331.77177467999996</v>
      </c>
      <c r="I154">
        <v>1</v>
      </c>
      <c r="J154">
        <f t="shared" si="29"/>
        <v>0.2045819456320512</v>
      </c>
      <c r="K154">
        <f t="shared" si="30"/>
        <v>-0.95133515177521744</v>
      </c>
      <c r="L154">
        <v>1</v>
      </c>
      <c r="M154">
        <f t="shared" si="31"/>
        <v>0.67708588991966012</v>
      </c>
      <c r="N154">
        <f t="shared" si="37"/>
        <v>0.10184199599999999</v>
      </c>
      <c r="O154">
        <f t="shared" si="38"/>
        <v>1.7116817399999998E-2</v>
      </c>
      <c r="P154">
        <f t="shared" si="39"/>
        <v>0.15529044845555734</v>
      </c>
    </row>
    <row r="155" spans="1:16" x14ac:dyDescent="0.3">
      <c r="A155">
        <v>6.0939953500000001</v>
      </c>
      <c r="B155" s="1">
        <v>0.27039000000000002</v>
      </c>
      <c r="C155">
        <f t="shared" si="25"/>
        <v>1.6477554026865002</v>
      </c>
      <c r="D155">
        <v>1.66E-2</v>
      </c>
      <c r="E155">
        <v>2.7899999999999999E-3</v>
      </c>
      <c r="F155">
        <f t="shared" si="26"/>
        <v>1218.79907</v>
      </c>
      <c r="G155">
        <f t="shared" si="36"/>
        <v>-0.27039000000000002</v>
      </c>
      <c r="H155">
        <f t="shared" si="28"/>
        <v>-329.55108053730004</v>
      </c>
      <c r="I155">
        <v>1</v>
      </c>
      <c r="J155">
        <f t="shared" si="29"/>
        <v>0.19786600508350716</v>
      </c>
      <c r="K155">
        <f t="shared" si="30"/>
        <v>-0.95133515177521744</v>
      </c>
      <c r="L155">
        <v>1</v>
      </c>
      <c r="M155">
        <f t="shared" si="31"/>
        <v>0.67675479405061689</v>
      </c>
      <c r="N155">
        <f t="shared" si="37"/>
        <v>0.10116032281000001</v>
      </c>
      <c r="O155">
        <f t="shared" si="38"/>
        <v>1.7002247026500002E-2</v>
      </c>
      <c r="P155">
        <f t="shared" si="39"/>
        <v>0.15641778788810054</v>
      </c>
    </row>
    <row r="156" spans="1:16" x14ac:dyDescent="0.3">
      <c r="A156">
        <v>6.1350599999999993</v>
      </c>
      <c r="B156" s="1">
        <v>0.26850000000000002</v>
      </c>
      <c r="C156">
        <f t="shared" si="25"/>
        <v>1.64726361</v>
      </c>
      <c r="D156">
        <v>1.66E-2</v>
      </c>
      <c r="E156">
        <v>2.7899999999999999E-3</v>
      </c>
      <c r="F156">
        <f t="shared" si="26"/>
        <v>1227.0119999999999</v>
      </c>
      <c r="G156">
        <f t="shared" si="36"/>
        <v>-0.26850000000000002</v>
      </c>
      <c r="H156">
        <f t="shared" si="28"/>
        <v>-329.45272199999999</v>
      </c>
      <c r="I156">
        <v>1</v>
      </c>
      <c r="J156">
        <f t="shared" si="29"/>
        <v>0.2045819456320512</v>
      </c>
      <c r="K156">
        <f t="shared" si="30"/>
        <v>-0.95322515177521749</v>
      </c>
      <c r="L156">
        <v>1</v>
      </c>
      <c r="M156">
        <f t="shared" si="31"/>
        <v>0.67708588991966012</v>
      </c>
      <c r="N156">
        <f t="shared" si="37"/>
        <v>0.10184199599999999</v>
      </c>
      <c r="O156">
        <f t="shared" si="38"/>
        <v>1.7116817399999998E-2</v>
      </c>
      <c r="P156">
        <f t="shared" si="39"/>
        <v>0.1571804484555574</v>
      </c>
    </row>
    <row r="157" spans="1:16" x14ac:dyDescent="0.3">
      <c r="A157">
        <v>6.1761246500000002</v>
      </c>
      <c r="B157" s="1">
        <v>0.26662000000000002</v>
      </c>
      <c r="C157">
        <f t="shared" si="25"/>
        <v>1.6466783541830001</v>
      </c>
      <c r="D157">
        <v>1.66E-2</v>
      </c>
      <c r="E157">
        <v>2.7899999999999999E-3</v>
      </c>
      <c r="F157">
        <f t="shared" si="26"/>
        <v>1235.2249300000001</v>
      </c>
      <c r="G157">
        <f t="shared" si="36"/>
        <v>-0.26662000000000002</v>
      </c>
      <c r="H157">
        <f t="shared" si="28"/>
        <v>-329.3356708366</v>
      </c>
      <c r="I157">
        <v>1</v>
      </c>
      <c r="J157">
        <f t="shared" si="29"/>
        <v>0.21125308305102258</v>
      </c>
      <c r="K157">
        <f t="shared" si="30"/>
        <v>-0.95510515177521738</v>
      </c>
      <c r="L157">
        <v>1</v>
      </c>
      <c r="M157">
        <f t="shared" si="31"/>
        <v>0.67741477699441544</v>
      </c>
      <c r="N157">
        <f t="shared" si="37"/>
        <v>0.10252366919</v>
      </c>
      <c r="O157">
        <f t="shared" si="38"/>
        <v>1.7231387773500001E-2</v>
      </c>
      <c r="P157">
        <f t="shared" si="39"/>
        <v>0.15793531781730194</v>
      </c>
    </row>
    <row r="158" spans="1:16" x14ac:dyDescent="0.3">
      <c r="A158">
        <v>6.1350599999999993</v>
      </c>
      <c r="B158" s="1">
        <v>0.26662000000000002</v>
      </c>
      <c r="C158">
        <f t="shared" si="25"/>
        <v>1.6357296971999999</v>
      </c>
      <c r="D158">
        <v>1.66E-2</v>
      </c>
      <c r="E158">
        <v>2.7899999999999999E-3</v>
      </c>
      <c r="F158">
        <f t="shared" si="26"/>
        <v>1227.0119999999999</v>
      </c>
      <c r="G158">
        <f t="shared" si="36"/>
        <v>-0.26662000000000002</v>
      </c>
      <c r="H158">
        <f t="shared" si="28"/>
        <v>-327.14593944000001</v>
      </c>
      <c r="I158">
        <v>1</v>
      </c>
      <c r="J158">
        <f t="shared" si="29"/>
        <v>0.2045819456320512</v>
      </c>
      <c r="K158">
        <f t="shared" si="30"/>
        <v>-0.95510515177521738</v>
      </c>
      <c r="L158">
        <v>1</v>
      </c>
      <c r="M158">
        <f t="shared" si="31"/>
        <v>0.67708588991966012</v>
      </c>
      <c r="N158">
        <f t="shared" si="37"/>
        <v>0.10184199599999999</v>
      </c>
      <c r="O158">
        <f t="shared" si="38"/>
        <v>1.7116817399999998E-2</v>
      </c>
      <c r="P158">
        <f t="shared" si="39"/>
        <v>0.15906044845555728</v>
      </c>
    </row>
    <row r="159" spans="1:16" x14ac:dyDescent="0.3">
      <c r="A159">
        <v>6.1843376000000001</v>
      </c>
      <c r="B159" s="1">
        <v>0.26473000000000002</v>
      </c>
      <c r="C159">
        <f t="shared" si="25"/>
        <v>1.6371796928480002</v>
      </c>
      <c r="D159">
        <v>1.66E-2</v>
      </c>
      <c r="E159">
        <v>2.7899999999999999E-3</v>
      </c>
      <c r="F159">
        <f t="shared" si="26"/>
        <v>1236.86752</v>
      </c>
      <c r="G159">
        <f t="shared" si="36"/>
        <v>-0.26473000000000002</v>
      </c>
      <c r="H159">
        <f t="shared" si="28"/>
        <v>-327.43593856960007</v>
      </c>
      <c r="I159">
        <v>1</v>
      </c>
      <c r="J159">
        <f t="shared" si="29"/>
        <v>0.21258198985767027</v>
      </c>
      <c r="K159">
        <f t="shared" si="30"/>
        <v>-0.95699515177521743</v>
      </c>
      <c r="L159">
        <v>1</v>
      </c>
      <c r="M159">
        <f t="shared" si="31"/>
        <v>0.67748029209998317</v>
      </c>
      <c r="N159">
        <f t="shared" si="37"/>
        <v>0.10266000416</v>
      </c>
      <c r="O159">
        <f t="shared" si="38"/>
        <v>1.7254301904E-2</v>
      </c>
      <c r="P159">
        <f t="shared" si="39"/>
        <v>0.15960055361123426</v>
      </c>
    </row>
    <row r="160" spans="1:16" x14ac:dyDescent="0.3">
      <c r="A160">
        <v>6.1432729500000001</v>
      </c>
      <c r="B160" s="1">
        <v>0.26567000000000002</v>
      </c>
      <c r="C160">
        <f t="shared" si="25"/>
        <v>1.6320833246265001</v>
      </c>
      <c r="D160">
        <v>1.66E-2</v>
      </c>
      <c r="E160">
        <v>2.7899999999999999E-3</v>
      </c>
      <c r="F160">
        <f t="shared" si="26"/>
        <v>1228.6545900000001</v>
      </c>
      <c r="G160">
        <f t="shared" si="36"/>
        <v>-0.26567000000000002</v>
      </c>
      <c r="H160">
        <f t="shared" si="28"/>
        <v>-326.41666492530004</v>
      </c>
      <c r="I160">
        <v>1</v>
      </c>
      <c r="J160">
        <f t="shared" si="29"/>
        <v>0.20591974144819936</v>
      </c>
      <c r="K160">
        <f t="shared" si="30"/>
        <v>-0.95605515177521738</v>
      </c>
      <c r="L160">
        <v>1</v>
      </c>
      <c r="M160">
        <f t="shared" si="31"/>
        <v>0.67715184325339628</v>
      </c>
      <c r="N160">
        <f t="shared" si="37"/>
        <v>0.10197833097</v>
      </c>
      <c r="O160">
        <f t="shared" si="38"/>
        <v>1.71397315305E-2</v>
      </c>
      <c r="P160">
        <f t="shared" si="39"/>
        <v>0.1597852460213211</v>
      </c>
    </row>
    <row r="161" spans="1:16" x14ac:dyDescent="0.3">
      <c r="A161">
        <v>6.1843376000000001</v>
      </c>
      <c r="B161" s="1">
        <v>0.26567000000000002</v>
      </c>
      <c r="C161">
        <f t="shared" si="25"/>
        <v>1.6429929701920001</v>
      </c>
      <c r="D161">
        <v>1.66E-2</v>
      </c>
      <c r="E161">
        <v>2.7899999999999999E-3</v>
      </c>
      <c r="F161">
        <f t="shared" si="26"/>
        <v>1236.86752</v>
      </c>
      <c r="G161">
        <f t="shared" si="36"/>
        <v>-0.26567000000000002</v>
      </c>
      <c r="H161">
        <f t="shared" si="28"/>
        <v>-328.59859403839999</v>
      </c>
      <c r="I161">
        <v>1</v>
      </c>
      <c r="J161">
        <f t="shared" si="29"/>
        <v>0.21258198985767027</v>
      </c>
      <c r="K161">
        <f t="shared" si="30"/>
        <v>-0.95605515177521738</v>
      </c>
      <c r="L161">
        <v>1</v>
      </c>
      <c r="M161">
        <f t="shared" si="31"/>
        <v>0.67748029209998317</v>
      </c>
      <c r="N161">
        <f t="shared" si="37"/>
        <v>0.10266000416</v>
      </c>
      <c r="O161">
        <f t="shared" si="38"/>
        <v>1.7254301904E-2</v>
      </c>
      <c r="P161">
        <f t="shared" si="39"/>
        <v>0.15866055361123421</v>
      </c>
    </row>
    <row r="162" spans="1:16" x14ac:dyDescent="0.3">
      <c r="A162">
        <v>6.1350599999999993</v>
      </c>
      <c r="B162" s="1">
        <v>0.26567000000000002</v>
      </c>
      <c r="C162">
        <f t="shared" si="25"/>
        <v>1.6299013901999999</v>
      </c>
      <c r="D162">
        <v>1.66E-2</v>
      </c>
      <c r="E162">
        <v>2.7899999999999999E-3</v>
      </c>
      <c r="F162">
        <f t="shared" si="26"/>
        <v>1227.0119999999999</v>
      </c>
      <c r="G162">
        <f t="shared" si="36"/>
        <v>-0.26567000000000002</v>
      </c>
      <c r="H162">
        <f t="shared" si="28"/>
        <v>-325.98027803999997</v>
      </c>
      <c r="I162">
        <v>1</v>
      </c>
      <c r="J162">
        <f t="shared" si="29"/>
        <v>0.2045819456320512</v>
      </c>
      <c r="K162">
        <f t="shared" si="30"/>
        <v>-0.95605515177521738</v>
      </c>
      <c r="L162">
        <v>1</v>
      </c>
      <c r="M162">
        <f t="shared" si="31"/>
        <v>0.67708588991966012</v>
      </c>
      <c r="N162">
        <f t="shared" si="37"/>
        <v>0.10184199599999999</v>
      </c>
      <c r="O162">
        <f t="shared" si="38"/>
        <v>1.7116817399999998E-2</v>
      </c>
      <c r="P162">
        <f t="shared" si="39"/>
        <v>0.16001044845555729</v>
      </c>
    </row>
    <row r="163" spans="1:16" x14ac:dyDescent="0.3">
      <c r="A163">
        <v>6.1843376000000001</v>
      </c>
      <c r="B163" s="1">
        <v>0.26473000000000002</v>
      </c>
      <c r="C163">
        <f t="shared" si="25"/>
        <v>1.6371796928480002</v>
      </c>
      <c r="D163">
        <v>1.66E-2</v>
      </c>
      <c r="E163">
        <v>2.7899999999999999E-3</v>
      </c>
      <c r="F163">
        <f t="shared" si="26"/>
        <v>1236.86752</v>
      </c>
      <c r="G163">
        <f t="shared" si="36"/>
        <v>-0.26473000000000002</v>
      </c>
      <c r="H163">
        <f t="shared" si="28"/>
        <v>-327.43593856960007</v>
      </c>
      <c r="I163">
        <v>1</v>
      </c>
      <c r="J163">
        <f t="shared" si="29"/>
        <v>0.21258198985767027</v>
      </c>
      <c r="K163">
        <f t="shared" si="30"/>
        <v>-0.95699515177521743</v>
      </c>
      <c r="L163">
        <v>1</v>
      </c>
      <c r="M163">
        <f t="shared" si="31"/>
        <v>0.67748029209998317</v>
      </c>
      <c r="N163">
        <f t="shared" si="37"/>
        <v>0.10266000416</v>
      </c>
      <c r="O163">
        <f t="shared" si="38"/>
        <v>1.7254301904E-2</v>
      </c>
      <c r="P163">
        <f t="shared" si="39"/>
        <v>0.15960055361123426</v>
      </c>
    </row>
    <row r="164" spans="1:16" x14ac:dyDescent="0.3">
      <c r="A164">
        <v>6.1432729500000001</v>
      </c>
      <c r="B164" s="1">
        <v>0.26473000000000002</v>
      </c>
      <c r="C164">
        <f t="shared" si="25"/>
        <v>1.6263086480535001</v>
      </c>
      <c r="D164">
        <v>1.66E-2</v>
      </c>
      <c r="E164">
        <v>2.7899999999999999E-3</v>
      </c>
      <c r="F164">
        <f t="shared" si="26"/>
        <v>1228.6545900000001</v>
      </c>
      <c r="G164">
        <f t="shared" si="36"/>
        <v>-0.26473000000000002</v>
      </c>
      <c r="H164">
        <f t="shared" si="28"/>
        <v>-325.2617296107</v>
      </c>
      <c r="I164">
        <v>1</v>
      </c>
      <c r="J164">
        <f t="shared" si="29"/>
        <v>0.20591974144819936</v>
      </c>
      <c r="K164">
        <f t="shared" si="30"/>
        <v>-0.95699515177521743</v>
      </c>
      <c r="L164">
        <v>1</v>
      </c>
      <c r="M164">
        <f t="shared" si="31"/>
        <v>0.67715184325339628</v>
      </c>
      <c r="N164">
        <f t="shared" si="37"/>
        <v>0.10197833097</v>
      </c>
      <c r="O164">
        <f t="shared" si="38"/>
        <v>1.71397315305E-2</v>
      </c>
      <c r="P164">
        <f t="shared" si="39"/>
        <v>0.16072524602132116</v>
      </c>
    </row>
    <row r="165" spans="1:16" x14ac:dyDescent="0.3">
      <c r="A165">
        <v>6.1925504999999994</v>
      </c>
      <c r="B165" s="1">
        <v>0.26473000000000002</v>
      </c>
      <c r="C165">
        <f t="shared" si="25"/>
        <v>1.6393538938650001</v>
      </c>
      <c r="D165">
        <v>1.66E-2</v>
      </c>
      <c r="E165">
        <v>2.7899999999999999E-3</v>
      </c>
      <c r="F165">
        <f t="shared" si="26"/>
        <v>1238.5101</v>
      </c>
      <c r="G165">
        <f t="shared" si="36"/>
        <v>-0.26473000000000002</v>
      </c>
      <c r="H165">
        <f t="shared" si="28"/>
        <v>-327.87077877300004</v>
      </c>
      <c r="I165">
        <v>1</v>
      </c>
      <c r="J165">
        <f t="shared" si="29"/>
        <v>0.21390912494026662</v>
      </c>
      <c r="K165">
        <f t="shared" si="30"/>
        <v>-0.95699515177521743</v>
      </c>
      <c r="L165">
        <v>1</v>
      </c>
      <c r="M165">
        <f t="shared" si="31"/>
        <v>0.67754571985955514</v>
      </c>
      <c r="N165">
        <f t="shared" si="37"/>
        <v>0.1027963383</v>
      </c>
      <c r="O165">
        <f t="shared" si="38"/>
        <v>1.7277215894999996E-2</v>
      </c>
      <c r="P165">
        <f t="shared" si="39"/>
        <v>0.15937587772066228</v>
      </c>
    </row>
    <row r="166" spans="1:16" x14ac:dyDescent="0.3">
      <c r="A166">
        <v>6.2418281000000002</v>
      </c>
      <c r="B166" s="1">
        <v>0.26190999999999998</v>
      </c>
      <c r="C166">
        <f t="shared" si="25"/>
        <v>1.6347971976709998</v>
      </c>
      <c r="D166">
        <v>1.66E-2</v>
      </c>
      <c r="E166">
        <v>2.7899999999999999E-3</v>
      </c>
      <c r="F166">
        <f t="shared" si="26"/>
        <v>1248.36562</v>
      </c>
      <c r="G166">
        <f t="shared" si="36"/>
        <v>-0.26190999999999998</v>
      </c>
      <c r="H166">
        <f t="shared" si="28"/>
        <v>-326.95943953419999</v>
      </c>
      <c r="I166">
        <v>1</v>
      </c>
      <c r="J166">
        <f t="shared" si="29"/>
        <v>0.22183519178503486</v>
      </c>
      <c r="K166">
        <f t="shared" si="30"/>
        <v>-0.95981515177521748</v>
      </c>
      <c r="L166">
        <v>1</v>
      </c>
      <c r="M166">
        <f t="shared" si="31"/>
        <v>0.67793647495500231</v>
      </c>
      <c r="N166">
        <f t="shared" si="37"/>
        <v>0.10361434646000001</v>
      </c>
      <c r="O166">
        <f t="shared" si="38"/>
        <v>1.7414700399000001E-2</v>
      </c>
      <c r="P166">
        <f t="shared" si="39"/>
        <v>0.16084962996121516</v>
      </c>
    </row>
    <row r="167" spans="1:16" x14ac:dyDescent="0.3">
      <c r="A167">
        <v>6.1925504999999994</v>
      </c>
      <c r="B167" s="1">
        <v>0.26190999999999998</v>
      </c>
      <c r="C167">
        <f t="shared" si="25"/>
        <v>1.6218909014549996</v>
      </c>
      <c r="D167">
        <v>1.66E-2</v>
      </c>
      <c r="E167">
        <v>2.7899999999999999E-3</v>
      </c>
      <c r="F167">
        <f t="shared" si="26"/>
        <v>1238.5101</v>
      </c>
      <c r="G167">
        <f t="shared" si="36"/>
        <v>-0.26190999999999998</v>
      </c>
      <c r="H167">
        <f t="shared" si="28"/>
        <v>-324.37818029099992</v>
      </c>
      <c r="I167">
        <v>1</v>
      </c>
      <c r="J167">
        <f t="shared" si="29"/>
        <v>0.21390912494026662</v>
      </c>
      <c r="K167">
        <f t="shared" si="30"/>
        <v>-0.95981515177521748</v>
      </c>
      <c r="L167">
        <v>1</v>
      </c>
      <c r="M167">
        <f t="shared" si="31"/>
        <v>0.67754571985955514</v>
      </c>
      <c r="N167">
        <f t="shared" si="37"/>
        <v>0.1027963383</v>
      </c>
      <c r="O167">
        <f t="shared" si="38"/>
        <v>1.7277215894999996E-2</v>
      </c>
      <c r="P167">
        <f t="shared" si="39"/>
        <v>0.16219587772066232</v>
      </c>
    </row>
    <row r="168" spans="1:16" x14ac:dyDescent="0.3">
      <c r="A168">
        <v>6.1514858500000003</v>
      </c>
      <c r="B168" s="1">
        <v>0.26379000000000002</v>
      </c>
      <c r="C168">
        <f t="shared" si="25"/>
        <v>1.6227004523715003</v>
      </c>
      <c r="D168">
        <v>1.66E-2</v>
      </c>
      <c r="E168">
        <v>2.7899999999999999E-3</v>
      </c>
      <c r="F168">
        <f t="shared" si="26"/>
        <v>1230.2971700000001</v>
      </c>
      <c r="G168">
        <f t="shared" si="36"/>
        <v>-0.26379000000000002</v>
      </c>
      <c r="H168">
        <f t="shared" si="28"/>
        <v>-324.54009047430009</v>
      </c>
      <c r="I168">
        <v>1</v>
      </c>
      <c r="J168">
        <f t="shared" si="29"/>
        <v>0.20725574182936959</v>
      </c>
      <c r="K168">
        <f t="shared" si="30"/>
        <v>-0.95793515177521749</v>
      </c>
      <c r="L168">
        <v>1</v>
      </c>
      <c r="M168">
        <f t="shared" si="31"/>
        <v>0.67721770807218795</v>
      </c>
      <c r="N168">
        <f t="shared" si="37"/>
        <v>0.10211466511</v>
      </c>
      <c r="O168">
        <f t="shared" si="38"/>
        <v>1.71626455215E-2</v>
      </c>
      <c r="P168">
        <f t="shared" si="39"/>
        <v>0.16144013307152955</v>
      </c>
    </row>
    <row r="169" spans="1:16" x14ac:dyDescent="0.3">
      <c r="A169">
        <v>6.1925504999999994</v>
      </c>
      <c r="B169" s="1">
        <v>0.26379000000000002</v>
      </c>
      <c r="C169">
        <f t="shared" si="25"/>
        <v>1.633532896395</v>
      </c>
      <c r="D169">
        <v>1.66E-2</v>
      </c>
      <c r="E169">
        <v>2.7899999999999999E-3</v>
      </c>
      <c r="F169">
        <f t="shared" si="26"/>
        <v>1238.5101</v>
      </c>
      <c r="G169">
        <f t="shared" si="36"/>
        <v>-0.26379000000000002</v>
      </c>
      <c r="H169">
        <f t="shared" si="28"/>
        <v>-326.70657927899998</v>
      </c>
      <c r="I169">
        <v>1</v>
      </c>
      <c r="J169">
        <f t="shared" si="29"/>
        <v>0.21390912494026662</v>
      </c>
      <c r="K169">
        <f t="shared" si="30"/>
        <v>-0.95793515177521749</v>
      </c>
      <c r="L169">
        <v>1</v>
      </c>
      <c r="M169">
        <f t="shared" si="31"/>
        <v>0.67754571985955514</v>
      </c>
      <c r="N169">
        <f t="shared" si="37"/>
        <v>0.1027963383</v>
      </c>
      <c r="O169">
        <f t="shared" si="38"/>
        <v>1.7277215894999996E-2</v>
      </c>
      <c r="P169">
        <f t="shared" si="39"/>
        <v>0.16031587772066233</v>
      </c>
    </row>
    <row r="170" spans="1:16" x14ac:dyDescent="0.3">
      <c r="A170">
        <v>6.2664669000000002</v>
      </c>
      <c r="B170" s="1">
        <v>0.26001999999999997</v>
      </c>
      <c r="C170">
        <f t="shared" si="25"/>
        <v>1.6294067233379999</v>
      </c>
      <c r="D170">
        <v>1.66E-2</v>
      </c>
      <c r="E170">
        <v>2.7899999999999999E-3</v>
      </c>
      <c r="F170">
        <f t="shared" si="26"/>
        <v>1253.2933800000001</v>
      </c>
      <c r="G170">
        <f t="shared" si="36"/>
        <v>-0.26001999999999997</v>
      </c>
      <c r="H170">
        <f t="shared" si="28"/>
        <v>-325.88134466759999</v>
      </c>
      <c r="I170">
        <v>1</v>
      </c>
      <c r="J170">
        <f t="shared" si="29"/>
        <v>0.22577479056601571</v>
      </c>
      <c r="K170">
        <f t="shared" si="30"/>
        <v>-0.96170515177521754</v>
      </c>
      <c r="L170">
        <v>1</v>
      </c>
      <c r="M170">
        <f t="shared" si="31"/>
        <v>0.6781306971749046</v>
      </c>
      <c r="N170">
        <f t="shared" si="37"/>
        <v>0.10402335054</v>
      </c>
      <c r="O170">
        <f t="shared" si="38"/>
        <v>1.7483442650999999E-2</v>
      </c>
      <c r="P170">
        <f t="shared" si="39"/>
        <v>0.16206766140931295</v>
      </c>
    </row>
    <row r="171" spans="1:16" x14ac:dyDescent="0.3">
      <c r="A171">
        <v>6.3075315500000002</v>
      </c>
      <c r="B171" s="1">
        <v>0.25813999999999998</v>
      </c>
      <c r="C171">
        <f t="shared" si="25"/>
        <v>1.628226194317</v>
      </c>
      <c r="D171">
        <v>1.66E-2</v>
      </c>
      <c r="E171">
        <v>2.7899999999999999E-3</v>
      </c>
      <c r="F171">
        <f t="shared" si="26"/>
        <v>1261.50631</v>
      </c>
      <c r="G171">
        <f t="shared" si="36"/>
        <v>-0.25813999999999998</v>
      </c>
      <c r="H171">
        <f t="shared" si="28"/>
        <v>-325.64523886339998</v>
      </c>
      <c r="I171">
        <v>1</v>
      </c>
      <c r="J171">
        <f t="shared" si="29"/>
        <v>0.23230649106823317</v>
      </c>
      <c r="K171">
        <f t="shared" si="30"/>
        <v>-0.96358515177521742</v>
      </c>
      <c r="L171">
        <v>1</v>
      </c>
      <c r="M171">
        <f t="shared" si="31"/>
        <v>0.6784527100096639</v>
      </c>
      <c r="N171">
        <f t="shared" si="37"/>
        <v>0.10470502373</v>
      </c>
      <c r="O171">
        <f t="shared" si="38"/>
        <v>1.7598013024500002E-2</v>
      </c>
      <c r="P171">
        <f t="shared" si="39"/>
        <v>0.1628294050110535</v>
      </c>
    </row>
    <row r="172" spans="1:16" x14ac:dyDescent="0.3">
      <c r="A172">
        <v>6.2582539499999994</v>
      </c>
      <c r="B172" s="1">
        <v>0.25719999999999998</v>
      </c>
      <c r="C172">
        <f t="shared" si="25"/>
        <v>1.6096229159399997</v>
      </c>
      <c r="D172">
        <v>1.66E-2</v>
      </c>
      <c r="E172">
        <v>2.7899999999999999E-3</v>
      </c>
      <c r="F172">
        <f t="shared" si="26"/>
        <v>1251.6507899999999</v>
      </c>
      <c r="G172">
        <f t="shared" si="36"/>
        <v>-0.25719999999999998</v>
      </c>
      <c r="H172">
        <f t="shared" si="28"/>
        <v>-321.92458318799993</v>
      </c>
      <c r="I172">
        <v>1</v>
      </c>
      <c r="J172">
        <f t="shared" si="29"/>
        <v>0.22446331204676814</v>
      </c>
      <c r="K172">
        <f t="shared" si="30"/>
        <v>-0.96452515177521747</v>
      </c>
      <c r="L172">
        <v>1</v>
      </c>
      <c r="M172">
        <f t="shared" si="31"/>
        <v>0.67806604128390568</v>
      </c>
      <c r="N172">
        <f t="shared" si="37"/>
        <v>0.10388701556999999</v>
      </c>
      <c r="O172">
        <f t="shared" si="38"/>
        <v>1.7460528520499997E-2</v>
      </c>
      <c r="P172">
        <f t="shared" si="39"/>
        <v>0.16511156640081179</v>
      </c>
    </row>
    <row r="173" spans="1:16" x14ac:dyDescent="0.3">
      <c r="A173">
        <v>6.2171893000000003</v>
      </c>
      <c r="B173" s="1">
        <v>0.25813999999999998</v>
      </c>
      <c r="C173">
        <f t="shared" si="25"/>
        <v>1.6049052459019999</v>
      </c>
      <c r="D173">
        <v>1.66E-2</v>
      </c>
      <c r="E173">
        <v>2.7899999999999999E-3</v>
      </c>
      <c r="F173">
        <f t="shared" si="26"/>
        <v>1243.43786</v>
      </c>
      <c r="G173">
        <f t="shared" si="36"/>
        <v>-0.25813999999999998</v>
      </c>
      <c r="H173">
        <f t="shared" si="28"/>
        <v>-320.98104918039996</v>
      </c>
      <c r="I173">
        <v>1</v>
      </c>
      <c r="J173">
        <f t="shared" si="29"/>
        <v>0.2178800111590487</v>
      </c>
      <c r="K173">
        <f t="shared" si="30"/>
        <v>-0.96358515177521742</v>
      </c>
      <c r="L173">
        <v>1</v>
      </c>
      <c r="M173">
        <f t="shared" si="31"/>
        <v>0.67774148455014116</v>
      </c>
      <c r="N173">
        <f t="shared" si="37"/>
        <v>0.10320534238000001</v>
      </c>
      <c r="O173">
        <f t="shared" si="38"/>
        <v>1.7345958147000001E-2</v>
      </c>
      <c r="P173">
        <f t="shared" si="39"/>
        <v>0.16529236669807626</v>
      </c>
    </row>
    <row r="174" spans="1:16" x14ac:dyDescent="0.3">
      <c r="A174">
        <v>6.1761246500000002</v>
      </c>
      <c r="B174" s="1">
        <v>0.26001999999999997</v>
      </c>
      <c r="C174">
        <f t="shared" si="25"/>
        <v>1.6059159314929998</v>
      </c>
      <c r="D174">
        <v>1.66E-2</v>
      </c>
      <c r="E174">
        <v>2.7899999999999999E-3</v>
      </c>
      <c r="F174">
        <f t="shared" si="26"/>
        <v>1235.2249300000001</v>
      </c>
      <c r="G174">
        <f t="shared" si="36"/>
        <v>-0.26001999999999997</v>
      </c>
      <c r="H174">
        <f t="shared" si="28"/>
        <v>-321.18318629859999</v>
      </c>
      <c r="I174">
        <v>1</v>
      </c>
      <c r="J174">
        <f t="shared" si="29"/>
        <v>0.21125308305102258</v>
      </c>
      <c r="K174">
        <f t="shared" si="30"/>
        <v>-0.96170515177521754</v>
      </c>
      <c r="L174">
        <v>1</v>
      </c>
      <c r="M174">
        <f t="shared" si="31"/>
        <v>0.67741477699441544</v>
      </c>
      <c r="N174">
        <f t="shared" si="37"/>
        <v>0.10252366919</v>
      </c>
      <c r="O174">
        <f t="shared" si="38"/>
        <v>1.7231387773500001E-2</v>
      </c>
      <c r="P174">
        <f t="shared" si="39"/>
        <v>0.1645353178173021</v>
      </c>
    </row>
    <row r="175" spans="1:16" x14ac:dyDescent="0.3">
      <c r="A175">
        <v>6.2171893000000003</v>
      </c>
      <c r="B175" s="1">
        <v>0.26001999999999997</v>
      </c>
      <c r="C175">
        <f t="shared" si="25"/>
        <v>1.6165935617859999</v>
      </c>
      <c r="D175">
        <v>1.66E-2</v>
      </c>
      <c r="E175">
        <v>2.7899999999999999E-3</v>
      </c>
      <c r="F175">
        <f t="shared" si="26"/>
        <v>1243.43786</v>
      </c>
      <c r="G175">
        <f t="shared" si="36"/>
        <v>-0.26001999999999997</v>
      </c>
      <c r="H175">
        <f t="shared" si="28"/>
        <v>-323.31871235719996</v>
      </c>
      <c r="I175">
        <v>1</v>
      </c>
      <c r="J175">
        <f t="shared" si="29"/>
        <v>0.2178800111590487</v>
      </c>
      <c r="K175">
        <f t="shared" si="30"/>
        <v>-0.96170515177521754</v>
      </c>
      <c r="L175">
        <v>1</v>
      </c>
      <c r="M175">
        <f t="shared" si="31"/>
        <v>0.67774148455014116</v>
      </c>
      <c r="N175">
        <f t="shared" si="37"/>
        <v>0.10320534238000001</v>
      </c>
      <c r="O175">
        <f t="shared" si="38"/>
        <v>1.7345958147000001E-2</v>
      </c>
      <c r="P175">
        <f t="shared" si="39"/>
        <v>0.16341236669807638</v>
      </c>
    </row>
    <row r="176" spans="1:16" x14ac:dyDescent="0.3">
      <c r="A176">
        <v>6.2664669000000002</v>
      </c>
      <c r="B176" s="1">
        <v>0.25624999999999998</v>
      </c>
      <c r="C176">
        <f t="shared" si="25"/>
        <v>1.6057821431249999</v>
      </c>
      <c r="D176">
        <v>1.66E-2</v>
      </c>
      <c r="E176">
        <v>2.7899999999999999E-3</v>
      </c>
      <c r="F176">
        <f t="shared" si="26"/>
        <v>1253.2933800000001</v>
      </c>
      <c r="G176">
        <f t="shared" si="36"/>
        <v>-0.25624999999999998</v>
      </c>
      <c r="H176">
        <f t="shared" si="28"/>
        <v>-321.15642862499999</v>
      </c>
      <c r="I176">
        <v>1</v>
      </c>
      <c r="J176">
        <f t="shared" si="29"/>
        <v>0.22577479056601571</v>
      </c>
      <c r="K176">
        <f t="shared" si="30"/>
        <v>-0.96547515177521748</v>
      </c>
      <c r="L176">
        <v>1</v>
      </c>
      <c r="M176">
        <f t="shared" si="31"/>
        <v>0.6781306971749046</v>
      </c>
      <c r="N176">
        <f t="shared" si="37"/>
        <v>0.10402335054</v>
      </c>
      <c r="O176">
        <f t="shared" si="38"/>
        <v>1.7483442650999999E-2</v>
      </c>
      <c r="P176">
        <f t="shared" si="39"/>
        <v>0.16583766140931289</v>
      </c>
    </row>
    <row r="177" spans="1:16" x14ac:dyDescent="0.3">
      <c r="A177">
        <v>6.2254022499999992</v>
      </c>
      <c r="B177" s="1">
        <v>0.25624999999999998</v>
      </c>
      <c r="C177">
        <f t="shared" si="25"/>
        <v>1.5952593265624997</v>
      </c>
      <c r="D177">
        <v>1.66E-2</v>
      </c>
      <c r="E177">
        <v>2.7899999999999999E-3</v>
      </c>
      <c r="F177">
        <f t="shared" si="26"/>
        <v>1245.0804499999999</v>
      </c>
      <c r="G177">
        <f t="shared" si="36"/>
        <v>-0.25624999999999998</v>
      </c>
      <c r="H177">
        <f t="shared" si="28"/>
        <v>-319.05186531249996</v>
      </c>
      <c r="I177">
        <v>1</v>
      </c>
      <c r="J177">
        <f t="shared" si="29"/>
        <v>0.21920014630288279</v>
      </c>
      <c r="K177">
        <f t="shared" si="30"/>
        <v>-0.96547515177521748</v>
      </c>
      <c r="L177">
        <v>1</v>
      </c>
      <c r="M177">
        <f t="shared" si="31"/>
        <v>0.67780656721273214</v>
      </c>
      <c r="N177">
        <f t="shared" si="37"/>
        <v>0.10334167734999999</v>
      </c>
      <c r="O177">
        <f t="shared" si="38"/>
        <v>1.7368872277499999E-2</v>
      </c>
      <c r="P177">
        <f t="shared" si="39"/>
        <v>0.16695803493498534</v>
      </c>
    </row>
    <row r="178" spans="1:16" x14ac:dyDescent="0.3">
      <c r="A178">
        <v>6.2746798500000001</v>
      </c>
      <c r="B178" s="1">
        <v>0.25624999999999998</v>
      </c>
      <c r="C178">
        <f t="shared" si="25"/>
        <v>1.6078867115625</v>
      </c>
      <c r="D178">
        <v>1.66E-2</v>
      </c>
      <c r="E178">
        <v>2.7899999999999999E-3</v>
      </c>
      <c r="F178">
        <f t="shared" si="26"/>
        <v>1254.93597</v>
      </c>
      <c r="G178">
        <f t="shared" si="36"/>
        <v>-0.25624999999999998</v>
      </c>
      <c r="H178">
        <f t="shared" si="28"/>
        <v>-321.57734231249998</v>
      </c>
      <c r="I178">
        <v>1</v>
      </c>
      <c r="J178">
        <f t="shared" si="29"/>
        <v>0.22708455136186809</v>
      </c>
      <c r="K178">
        <f t="shared" si="30"/>
        <v>-0.96547515177521748</v>
      </c>
      <c r="L178">
        <v>1</v>
      </c>
      <c r="M178">
        <f t="shared" si="31"/>
        <v>0.67819526838214017</v>
      </c>
      <c r="N178">
        <f t="shared" si="37"/>
        <v>0.10415968551</v>
      </c>
      <c r="O178">
        <f t="shared" si="38"/>
        <v>1.7506356781500001E-2</v>
      </c>
      <c r="P178">
        <f t="shared" si="39"/>
        <v>0.16561384110157731</v>
      </c>
    </row>
    <row r="179" spans="1:16" x14ac:dyDescent="0.3">
      <c r="A179">
        <v>6.2254022499999992</v>
      </c>
      <c r="B179" s="1">
        <v>0.25719999999999998</v>
      </c>
      <c r="C179">
        <f t="shared" si="25"/>
        <v>1.6011734586999997</v>
      </c>
      <c r="D179">
        <v>1.66E-2</v>
      </c>
      <c r="E179">
        <v>2.7899999999999999E-3</v>
      </c>
      <c r="F179">
        <f t="shared" si="26"/>
        <v>1245.0804499999999</v>
      </c>
      <c r="G179">
        <f t="shared" si="36"/>
        <v>-0.25719999999999998</v>
      </c>
      <c r="H179">
        <f t="shared" si="28"/>
        <v>-320.23469173999996</v>
      </c>
      <c r="I179">
        <v>1</v>
      </c>
      <c r="J179">
        <f t="shared" si="29"/>
        <v>0.21920014630288279</v>
      </c>
      <c r="K179">
        <f t="shared" si="30"/>
        <v>-0.96452515177521747</v>
      </c>
      <c r="L179">
        <v>1</v>
      </c>
      <c r="M179">
        <f t="shared" si="31"/>
        <v>0.67780656721273214</v>
      </c>
      <c r="N179">
        <f t="shared" si="37"/>
        <v>0.10334167734999999</v>
      </c>
      <c r="O179">
        <f t="shared" si="38"/>
        <v>1.7368872277499999E-2</v>
      </c>
      <c r="P179">
        <f t="shared" si="39"/>
        <v>0.16600803493498534</v>
      </c>
    </row>
    <row r="180" spans="1:16" x14ac:dyDescent="0.3">
      <c r="A180">
        <v>6.2746798500000001</v>
      </c>
      <c r="B180" s="1">
        <v>0.25530999999999998</v>
      </c>
      <c r="C180">
        <f t="shared" si="25"/>
        <v>1.6019885125034998</v>
      </c>
      <c r="D180">
        <v>1.66E-2</v>
      </c>
      <c r="E180">
        <v>2.7899999999999999E-3</v>
      </c>
      <c r="F180">
        <f t="shared" si="26"/>
        <v>1254.93597</v>
      </c>
      <c r="G180">
        <f t="shared" si="36"/>
        <v>-0.25530999999999998</v>
      </c>
      <c r="H180">
        <f t="shared" si="28"/>
        <v>-320.39770250069995</v>
      </c>
      <c r="I180">
        <v>1</v>
      </c>
      <c r="J180">
        <f t="shared" si="29"/>
        <v>0.22708455136186809</v>
      </c>
      <c r="K180">
        <f t="shared" si="30"/>
        <v>-0.96641515177521753</v>
      </c>
      <c r="L180">
        <v>1</v>
      </c>
      <c r="M180">
        <f t="shared" si="31"/>
        <v>0.67819526838214017</v>
      </c>
      <c r="N180">
        <f t="shared" si="37"/>
        <v>0.10415968551</v>
      </c>
      <c r="O180">
        <f t="shared" si="38"/>
        <v>1.7506356781500001E-2</v>
      </c>
      <c r="P180">
        <f t="shared" si="39"/>
        <v>0.16655384110157737</v>
      </c>
    </row>
    <row r="181" spans="1:16" x14ac:dyDescent="0.3">
      <c r="A181">
        <v>6.32395745</v>
      </c>
      <c r="B181" s="1">
        <v>0.25342999999999999</v>
      </c>
      <c r="C181">
        <f t="shared" si="25"/>
        <v>1.6026805365535</v>
      </c>
      <c r="D181">
        <v>1.66E-2</v>
      </c>
      <c r="E181">
        <v>2.7899999999999999E-3</v>
      </c>
      <c r="F181">
        <f t="shared" si="26"/>
        <v>1264.7914900000001</v>
      </c>
      <c r="G181">
        <f t="shared" si="36"/>
        <v>-0.25342999999999999</v>
      </c>
      <c r="H181">
        <f t="shared" si="28"/>
        <v>-320.5361073107</v>
      </c>
      <c r="I181">
        <v>1</v>
      </c>
      <c r="J181">
        <f t="shared" si="29"/>
        <v>0.23490727855399407</v>
      </c>
      <c r="K181">
        <f t="shared" si="30"/>
        <v>-0.96829515177521741</v>
      </c>
      <c r="L181">
        <v>1</v>
      </c>
      <c r="M181">
        <f t="shared" si="31"/>
        <v>0.67858092883271193</v>
      </c>
      <c r="N181">
        <f t="shared" si="37"/>
        <v>0.10497769367</v>
      </c>
      <c r="O181">
        <f t="shared" si="38"/>
        <v>1.7643841285499999E-2</v>
      </c>
      <c r="P181">
        <f t="shared" si="39"/>
        <v>0.16709268798700549</v>
      </c>
    </row>
    <row r="182" spans="1:16" x14ac:dyDescent="0.3">
      <c r="A182">
        <v>6.3650221</v>
      </c>
      <c r="B182" s="1">
        <v>0.25153999999999999</v>
      </c>
      <c r="C182">
        <f t="shared" si="25"/>
        <v>1.601057659034</v>
      </c>
      <c r="D182">
        <v>1.66E-2</v>
      </c>
      <c r="E182">
        <v>2.7899999999999999E-3</v>
      </c>
      <c r="F182">
        <f t="shared" si="26"/>
        <v>1273.00442</v>
      </c>
      <c r="G182">
        <f t="shared" si="36"/>
        <v>-0.25153999999999999</v>
      </c>
      <c r="H182">
        <f t="shared" si="28"/>
        <v>-320.2115318068</v>
      </c>
      <c r="I182">
        <v>1</v>
      </c>
      <c r="J182">
        <f t="shared" si="29"/>
        <v>0.24137979168236023</v>
      </c>
      <c r="K182">
        <f t="shared" si="30"/>
        <v>-0.97018515177521747</v>
      </c>
      <c r="L182">
        <v>1</v>
      </c>
      <c r="M182">
        <f t="shared" si="31"/>
        <v>0.67890002372994041</v>
      </c>
      <c r="N182">
        <f t="shared" si="37"/>
        <v>0.10565936686000001</v>
      </c>
      <c r="O182">
        <f t="shared" si="38"/>
        <v>1.7758411658999999E-2</v>
      </c>
      <c r="P182">
        <f t="shared" si="39"/>
        <v>0.16786734952627708</v>
      </c>
    </row>
    <row r="183" spans="1:16" x14ac:dyDescent="0.3">
      <c r="A183">
        <v>6.32395745</v>
      </c>
      <c r="B183" s="1">
        <v>0.25153999999999999</v>
      </c>
      <c r="C183">
        <f t="shared" si="25"/>
        <v>1.5907282569729999</v>
      </c>
      <c r="D183">
        <v>1.66E-2</v>
      </c>
      <c r="E183">
        <v>2.7899999999999999E-3</v>
      </c>
      <c r="F183">
        <f t="shared" si="26"/>
        <v>1264.7914900000001</v>
      </c>
      <c r="G183">
        <f t="shared" si="36"/>
        <v>-0.25153999999999999</v>
      </c>
      <c r="H183">
        <f t="shared" si="28"/>
        <v>-318.14565139460001</v>
      </c>
      <c r="I183">
        <v>1</v>
      </c>
      <c r="J183">
        <f t="shared" si="29"/>
        <v>0.23490727855399407</v>
      </c>
      <c r="K183">
        <f t="shared" si="30"/>
        <v>-0.97018515177521747</v>
      </c>
      <c r="L183">
        <v>1</v>
      </c>
      <c r="M183">
        <f t="shared" si="31"/>
        <v>0.67858092883271193</v>
      </c>
      <c r="N183">
        <f t="shared" si="37"/>
        <v>0.10497769367</v>
      </c>
      <c r="O183">
        <f t="shared" si="38"/>
        <v>1.7643841285499999E-2</v>
      </c>
      <c r="P183">
        <f t="shared" si="39"/>
        <v>0.16898268798700555</v>
      </c>
    </row>
    <row r="184" spans="1:16" x14ac:dyDescent="0.3">
      <c r="A184">
        <v>6.2746798500000001</v>
      </c>
      <c r="B184" s="1">
        <v>0.25342999999999999</v>
      </c>
      <c r="C184">
        <f t="shared" si="25"/>
        <v>1.5901921143855</v>
      </c>
      <c r="D184">
        <v>1.66E-2</v>
      </c>
      <c r="E184">
        <v>2.7899999999999999E-3</v>
      </c>
      <c r="F184">
        <f t="shared" si="26"/>
        <v>1254.93597</v>
      </c>
      <c r="G184">
        <f t="shared" si="36"/>
        <v>-0.25342999999999999</v>
      </c>
      <c r="H184">
        <f t="shared" si="28"/>
        <v>-318.0384228771</v>
      </c>
      <c r="I184">
        <v>1</v>
      </c>
      <c r="J184">
        <f t="shared" si="29"/>
        <v>0.22708455136186809</v>
      </c>
      <c r="K184">
        <f t="shared" si="30"/>
        <v>-0.96829515177521741</v>
      </c>
      <c r="L184">
        <v>1</v>
      </c>
      <c r="M184">
        <f t="shared" si="31"/>
        <v>0.67819526838214017</v>
      </c>
      <c r="N184">
        <f t="shared" si="37"/>
        <v>0.10415968551</v>
      </c>
      <c r="O184">
        <f t="shared" si="38"/>
        <v>1.7506356781500001E-2</v>
      </c>
      <c r="P184">
        <f t="shared" si="39"/>
        <v>0.16843384110157725</v>
      </c>
    </row>
    <row r="185" spans="1:16" x14ac:dyDescent="0.3">
      <c r="A185">
        <v>6.2336152</v>
      </c>
      <c r="B185" s="1">
        <v>0.25436999999999999</v>
      </c>
      <c r="C185">
        <f t="shared" si="25"/>
        <v>1.585644698424</v>
      </c>
      <c r="D185">
        <v>1.66E-2</v>
      </c>
      <c r="E185">
        <v>2.7899999999999999E-3</v>
      </c>
      <c r="F185">
        <f t="shared" si="26"/>
        <v>1246.7230400000001</v>
      </c>
      <c r="G185">
        <f t="shared" si="36"/>
        <v>-0.25436999999999999</v>
      </c>
      <c r="H185">
        <f t="shared" si="28"/>
        <v>-317.1289396848</v>
      </c>
      <c r="I185">
        <v>1</v>
      </c>
      <c r="J185">
        <f t="shared" si="29"/>
        <v>0.22051854098730825</v>
      </c>
      <c r="K185">
        <f t="shared" si="30"/>
        <v>-0.96735515177521747</v>
      </c>
      <c r="L185">
        <v>1</v>
      </c>
      <c r="M185">
        <f t="shared" si="31"/>
        <v>0.67787156407067428</v>
      </c>
      <c r="N185">
        <f t="shared" si="37"/>
        <v>0.10347801232000001</v>
      </c>
      <c r="O185">
        <f t="shared" si="38"/>
        <v>1.7391786408000001E-2</v>
      </c>
      <c r="P185">
        <f t="shared" si="39"/>
        <v>0.16861378897654317</v>
      </c>
    </row>
    <row r="186" spans="1:16" x14ac:dyDescent="0.3">
      <c r="A186">
        <v>6.2746798500000001</v>
      </c>
      <c r="B186" s="1">
        <v>0.25530999999999998</v>
      </c>
      <c r="C186">
        <f t="shared" si="25"/>
        <v>1.6019885125034998</v>
      </c>
      <c r="D186">
        <v>1.66E-2</v>
      </c>
      <c r="E186">
        <v>2.7899999999999999E-3</v>
      </c>
      <c r="F186">
        <f t="shared" si="26"/>
        <v>1254.93597</v>
      </c>
      <c r="G186">
        <f t="shared" si="36"/>
        <v>-0.25530999999999998</v>
      </c>
      <c r="H186">
        <f t="shared" si="28"/>
        <v>-320.39770250069995</v>
      </c>
      <c r="I186">
        <v>1</v>
      </c>
      <c r="J186">
        <f t="shared" si="29"/>
        <v>0.22708455136186809</v>
      </c>
      <c r="K186">
        <f t="shared" si="30"/>
        <v>-0.96641515177521753</v>
      </c>
      <c r="L186">
        <v>1</v>
      </c>
      <c r="M186">
        <f t="shared" si="31"/>
        <v>0.67819526838214017</v>
      </c>
      <c r="N186">
        <f t="shared" si="37"/>
        <v>0.10415968551</v>
      </c>
      <c r="O186">
        <f t="shared" si="38"/>
        <v>1.7506356781500001E-2</v>
      </c>
      <c r="P186">
        <f t="shared" si="39"/>
        <v>0.16655384110157737</v>
      </c>
    </row>
    <row r="187" spans="1:16" x14ac:dyDescent="0.3">
      <c r="A187">
        <v>6.3321703500000002</v>
      </c>
      <c r="B187" s="1">
        <v>0.25153999999999999</v>
      </c>
      <c r="C187">
        <f t="shared" si="25"/>
        <v>1.592794129839</v>
      </c>
      <c r="D187">
        <v>1.66E-2</v>
      </c>
      <c r="E187">
        <v>2.7899999999999999E-3</v>
      </c>
      <c r="F187">
        <f t="shared" si="26"/>
        <v>1266.43407</v>
      </c>
      <c r="G187">
        <f t="shared" si="36"/>
        <v>-0.25153999999999999</v>
      </c>
      <c r="H187">
        <f t="shared" si="28"/>
        <v>-318.55882596780003</v>
      </c>
      <c r="I187">
        <v>1</v>
      </c>
      <c r="J187">
        <f t="shared" si="29"/>
        <v>0.23620513225500264</v>
      </c>
      <c r="K187">
        <f t="shared" si="30"/>
        <v>-0.97018515177521747</v>
      </c>
      <c r="L187">
        <v>1</v>
      </c>
      <c r="M187">
        <f t="shared" si="31"/>
        <v>0.67864491302017171</v>
      </c>
      <c r="N187">
        <f t="shared" si="37"/>
        <v>0.10511402781000001</v>
      </c>
      <c r="O187">
        <f t="shared" si="38"/>
        <v>1.7666755276499999E-2</v>
      </c>
      <c r="P187">
        <f t="shared" si="39"/>
        <v>0.16875945566854575</v>
      </c>
    </row>
    <row r="188" spans="1:16" x14ac:dyDescent="0.3">
      <c r="A188" s="1">
        <v>6.2828927499999994</v>
      </c>
      <c r="B188" s="1">
        <v>0.25342999999999999</v>
      </c>
      <c r="C188">
        <f t="shared" si="25"/>
        <v>1.5922735096324998</v>
      </c>
      <c r="D188">
        <v>1.66E-2</v>
      </c>
      <c r="E188">
        <v>2.7899999999999999E-3</v>
      </c>
      <c r="F188">
        <f t="shared" si="26"/>
        <v>1256.57855</v>
      </c>
      <c r="G188">
        <f t="shared" ref="G188:G211" si="40">-B188</f>
        <v>-0.25342999999999999</v>
      </c>
      <c r="H188">
        <f t="shared" si="28"/>
        <v>-318.45470192649998</v>
      </c>
      <c r="I188">
        <v>1</v>
      </c>
      <c r="J188">
        <f t="shared" si="29"/>
        <v>0.22839259096993697</v>
      </c>
      <c r="K188">
        <f t="shared" ref="K188:K211" si="41">((-G188)-$N$2)</f>
        <v>-0.96829515177521741</v>
      </c>
      <c r="L188">
        <v>1</v>
      </c>
      <c r="M188">
        <f t="shared" si="31"/>
        <v>0.67825975473481792</v>
      </c>
      <c r="N188">
        <f t="shared" ref="N188:N211" si="42">D188*A188</f>
        <v>0.10429601964999999</v>
      </c>
      <c r="O188">
        <f t="shared" ref="O188:O211" si="43">E188*A188</f>
        <v>1.7529270772499998E-2</v>
      </c>
      <c r="P188">
        <f t="shared" ref="P188:P211" si="44">-K188-M188-N188-O188</f>
        <v>0.16821010661789951</v>
      </c>
    </row>
    <row r="189" spans="1:16" x14ac:dyDescent="0.3">
      <c r="A189" s="1">
        <v>6.3568091500000001</v>
      </c>
      <c r="B189" s="1">
        <v>0.25153999999999999</v>
      </c>
      <c r="C189">
        <f t="shared" si="25"/>
        <v>1.598991773591</v>
      </c>
      <c r="D189">
        <v>1.66E-2</v>
      </c>
      <c r="E189">
        <v>2.7899999999999999E-3</v>
      </c>
      <c r="F189">
        <f t="shared" si="26"/>
        <v>1271.3618300000001</v>
      </c>
      <c r="G189">
        <f t="shared" si="40"/>
        <v>-0.25153999999999999</v>
      </c>
      <c r="H189">
        <f t="shared" si="28"/>
        <v>-319.79835471820002</v>
      </c>
      <c r="I189">
        <v>1</v>
      </c>
      <c r="J189">
        <f t="shared" si="29"/>
        <v>0.24008863304653461</v>
      </c>
      <c r="K189">
        <f t="shared" si="41"/>
        <v>-0.97018515177521747</v>
      </c>
      <c r="L189">
        <v>1</v>
      </c>
      <c r="M189">
        <f t="shared" si="31"/>
        <v>0.67883636960919425</v>
      </c>
      <c r="N189">
        <f t="shared" si="42"/>
        <v>0.10552303189000001</v>
      </c>
      <c r="O189">
        <f t="shared" si="43"/>
        <v>1.77354975285E-2</v>
      </c>
      <c r="P189">
        <f t="shared" si="44"/>
        <v>0.16809025274752321</v>
      </c>
    </row>
    <row r="190" spans="1:16" x14ac:dyDescent="0.3">
      <c r="A190" s="1">
        <v>6.29931865</v>
      </c>
      <c r="B190" s="1">
        <v>0.25153999999999999</v>
      </c>
      <c r="C190">
        <f t="shared" si="25"/>
        <v>1.584530613221</v>
      </c>
      <c r="D190">
        <v>1.66E-2</v>
      </c>
      <c r="E190">
        <v>2.7899999999999999E-3</v>
      </c>
      <c r="F190">
        <f t="shared" si="26"/>
        <v>1259.86373</v>
      </c>
      <c r="G190">
        <f t="shared" si="40"/>
        <v>-0.25153999999999999</v>
      </c>
      <c r="H190">
        <f t="shared" si="28"/>
        <v>-316.90612264419997</v>
      </c>
      <c r="I190">
        <v>1</v>
      </c>
      <c r="J190">
        <f t="shared" si="29"/>
        <v>0.23100356432101701</v>
      </c>
      <c r="K190">
        <f t="shared" si="41"/>
        <v>-0.97018515177521747</v>
      </c>
      <c r="L190">
        <v>1</v>
      </c>
      <c r="M190">
        <f t="shared" si="31"/>
        <v>0.67838847572102623</v>
      </c>
      <c r="N190">
        <f t="shared" si="42"/>
        <v>0.10456868959</v>
      </c>
      <c r="O190">
        <f t="shared" si="43"/>
        <v>1.7575099033499998E-2</v>
      </c>
      <c r="P190">
        <f t="shared" si="44"/>
        <v>0.16965288743069126</v>
      </c>
    </row>
    <row r="191" spans="1:16" x14ac:dyDescent="0.3">
      <c r="A191" s="1">
        <v>6.2500410500000001</v>
      </c>
      <c r="B191" s="1">
        <v>0.25342999999999999</v>
      </c>
      <c r="C191">
        <f t="shared" si="25"/>
        <v>1.5839479033015</v>
      </c>
      <c r="D191">
        <v>1.66E-2</v>
      </c>
      <c r="E191">
        <v>2.7899999999999999E-3</v>
      </c>
      <c r="F191">
        <f t="shared" si="26"/>
        <v>1250.00821</v>
      </c>
      <c r="G191">
        <f t="shared" si="40"/>
        <v>-0.25342999999999999</v>
      </c>
      <c r="H191">
        <f t="shared" si="28"/>
        <v>-316.78958066030003</v>
      </c>
      <c r="I191">
        <v>1</v>
      </c>
      <c r="J191">
        <f t="shared" si="29"/>
        <v>0.22315011929264059</v>
      </c>
      <c r="K191">
        <f t="shared" si="41"/>
        <v>-0.96829515177521741</v>
      </c>
      <c r="L191">
        <v>1</v>
      </c>
      <c r="M191">
        <f t="shared" si="31"/>
        <v>0.6780013008811272</v>
      </c>
      <c r="N191">
        <f t="shared" si="42"/>
        <v>0.10375068143000001</v>
      </c>
      <c r="O191">
        <f t="shared" si="43"/>
        <v>1.74376145295E-2</v>
      </c>
      <c r="P191">
        <f t="shared" si="44"/>
        <v>0.16910555493459023</v>
      </c>
    </row>
    <row r="192" spans="1:16" x14ac:dyDescent="0.3">
      <c r="A192" s="1">
        <v>6.29931865</v>
      </c>
      <c r="B192" s="1">
        <v>0.25342999999999999</v>
      </c>
      <c r="C192">
        <f t="shared" si="25"/>
        <v>1.5964363254695</v>
      </c>
      <c r="D192">
        <v>1.66E-2</v>
      </c>
      <c r="E192">
        <v>2.7899999999999999E-3</v>
      </c>
      <c r="F192">
        <f t="shared" si="26"/>
        <v>1259.86373</v>
      </c>
      <c r="G192">
        <f t="shared" si="40"/>
        <v>-0.25342999999999999</v>
      </c>
      <c r="H192">
        <f t="shared" si="28"/>
        <v>-319.28726509389998</v>
      </c>
      <c r="I192">
        <v>1</v>
      </c>
      <c r="J192">
        <f t="shared" si="29"/>
        <v>0.23100356432101701</v>
      </c>
      <c r="K192">
        <f t="shared" si="41"/>
        <v>-0.96829515177521741</v>
      </c>
      <c r="L192">
        <v>1</v>
      </c>
      <c r="M192">
        <f t="shared" si="31"/>
        <v>0.67838847572102623</v>
      </c>
      <c r="N192">
        <f t="shared" si="42"/>
        <v>0.10456868959</v>
      </c>
      <c r="O192">
        <f t="shared" si="43"/>
        <v>1.7575099033499998E-2</v>
      </c>
      <c r="P192">
        <f t="shared" si="44"/>
        <v>0.1677628874306912</v>
      </c>
    </row>
    <row r="193" spans="1:16" x14ac:dyDescent="0.3">
      <c r="A193" s="1">
        <v>6.3568091500000001</v>
      </c>
      <c r="B193" s="1">
        <v>0.25059999999999999</v>
      </c>
      <c r="C193">
        <f t="shared" si="25"/>
        <v>1.59301637299</v>
      </c>
      <c r="D193">
        <v>1.66E-2</v>
      </c>
      <c r="E193">
        <v>2.7899999999999999E-3</v>
      </c>
      <c r="F193">
        <f t="shared" si="26"/>
        <v>1271.3618300000001</v>
      </c>
      <c r="G193">
        <f t="shared" si="40"/>
        <v>-0.25059999999999999</v>
      </c>
      <c r="H193">
        <f t="shared" si="28"/>
        <v>-318.60327459799998</v>
      </c>
      <c r="I193">
        <v>1</v>
      </c>
      <c r="J193">
        <f t="shared" si="29"/>
        <v>0.24008863304653461</v>
      </c>
      <c r="K193">
        <f t="shared" si="41"/>
        <v>-0.97112515177521752</v>
      </c>
      <c r="L193">
        <v>1</v>
      </c>
      <c r="M193">
        <f t="shared" si="31"/>
        <v>0.67883636960919425</v>
      </c>
      <c r="N193">
        <f t="shared" si="42"/>
        <v>0.10552303189000001</v>
      </c>
      <c r="O193">
        <f t="shared" si="43"/>
        <v>1.77354975285E-2</v>
      </c>
      <c r="P193">
        <f t="shared" si="44"/>
        <v>0.16903025274752326</v>
      </c>
    </row>
    <row r="194" spans="1:16" x14ac:dyDescent="0.3">
      <c r="A194" s="1">
        <v>6.3075315500000002</v>
      </c>
      <c r="B194" s="1">
        <v>0.25059999999999999</v>
      </c>
      <c r="C194">
        <f t="shared" si="25"/>
        <v>1.5806674064299999</v>
      </c>
      <c r="D194">
        <v>1.66E-2</v>
      </c>
      <c r="E194">
        <v>2.7899999999999999E-3</v>
      </c>
      <c r="F194">
        <f t="shared" si="26"/>
        <v>1261.50631</v>
      </c>
      <c r="G194">
        <f t="shared" si="40"/>
        <v>-0.25059999999999999</v>
      </c>
      <c r="H194">
        <f t="shared" si="28"/>
        <v>-316.13348128600001</v>
      </c>
      <c r="I194">
        <v>1</v>
      </c>
      <c r="J194">
        <f t="shared" si="29"/>
        <v>0.23230649106823317</v>
      </c>
      <c r="K194">
        <f t="shared" si="41"/>
        <v>-0.97112515177521752</v>
      </c>
      <c r="L194">
        <v>1</v>
      </c>
      <c r="M194">
        <f t="shared" si="31"/>
        <v>0.6784527100096639</v>
      </c>
      <c r="N194">
        <f t="shared" si="42"/>
        <v>0.10470502373</v>
      </c>
      <c r="O194">
        <f t="shared" si="43"/>
        <v>1.7598013024500002E-2</v>
      </c>
      <c r="P194">
        <f t="shared" si="44"/>
        <v>0.1703694050110536</v>
      </c>
    </row>
    <row r="195" spans="1:16" x14ac:dyDescent="0.3">
      <c r="A195" s="1">
        <v>6.3568091500000001</v>
      </c>
      <c r="B195" s="1">
        <v>0.25059999999999999</v>
      </c>
      <c r="C195">
        <f t="shared" si="25"/>
        <v>1.59301637299</v>
      </c>
      <c r="D195">
        <v>1.66E-2</v>
      </c>
      <c r="E195">
        <v>2.7899999999999999E-3</v>
      </c>
      <c r="F195">
        <f t="shared" si="26"/>
        <v>1271.3618300000001</v>
      </c>
      <c r="G195">
        <f t="shared" si="40"/>
        <v>-0.25059999999999999</v>
      </c>
      <c r="H195">
        <f t="shared" si="28"/>
        <v>-318.60327459799998</v>
      </c>
      <c r="I195">
        <v>1</v>
      </c>
      <c r="J195">
        <f t="shared" si="29"/>
        <v>0.24008863304653461</v>
      </c>
      <c r="K195">
        <f t="shared" si="41"/>
        <v>-0.97112515177521752</v>
      </c>
      <c r="L195">
        <v>1</v>
      </c>
      <c r="M195">
        <f t="shared" si="31"/>
        <v>0.67883636960919425</v>
      </c>
      <c r="N195">
        <f t="shared" si="42"/>
        <v>0.10552303189000001</v>
      </c>
      <c r="O195">
        <f t="shared" si="43"/>
        <v>1.77354975285E-2</v>
      </c>
      <c r="P195">
        <f t="shared" si="44"/>
        <v>0.16903025274752326</v>
      </c>
    </row>
    <row r="196" spans="1:16" x14ac:dyDescent="0.3">
      <c r="A196" s="1">
        <v>6.3075315500000002</v>
      </c>
      <c r="B196" s="1">
        <v>0.25059999999999999</v>
      </c>
      <c r="C196">
        <f t="shared" si="25"/>
        <v>1.5806674064299999</v>
      </c>
      <c r="D196">
        <v>1.66E-2</v>
      </c>
      <c r="E196">
        <v>2.7899999999999999E-3</v>
      </c>
      <c r="F196">
        <f t="shared" si="26"/>
        <v>1261.50631</v>
      </c>
      <c r="G196">
        <f t="shared" si="40"/>
        <v>-0.25059999999999999</v>
      </c>
      <c r="H196">
        <f t="shared" si="28"/>
        <v>-316.13348128600001</v>
      </c>
      <c r="I196">
        <v>1</v>
      </c>
      <c r="J196">
        <f t="shared" si="29"/>
        <v>0.23230649106823317</v>
      </c>
      <c r="K196">
        <f t="shared" si="41"/>
        <v>-0.97112515177521752</v>
      </c>
      <c r="L196">
        <v>1</v>
      </c>
      <c r="M196">
        <f t="shared" si="31"/>
        <v>0.6784527100096639</v>
      </c>
      <c r="N196">
        <f t="shared" si="42"/>
        <v>0.10470502373</v>
      </c>
      <c r="O196">
        <f t="shared" si="43"/>
        <v>1.7598013024500002E-2</v>
      </c>
      <c r="P196">
        <f t="shared" si="44"/>
        <v>0.1703694050110536</v>
      </c>
    </row>
    <row r="197" spans="1:16" x14ac:dyDescent="0.3">
      <c r="A197" s="1">
        <v>6.2664669000000002</v>
      </c>
      <c r="B197" s="1">
        <v>0.25248999999999999</v>
      </c>
      <c r="C197">
        <f t="shared" ref="C197:C211" si="45">A197*B197</f>
        <v>1.582220227581</v>
      </c>
      <c r="D197">
        <v>1.66E-2</v>
      </c>
      <c r="E197">
        <v>2.7899999999999999E-3</v>
      </c>
      <c r="F197">
        <f t="shared" ref="F197:F260" si="46">A197*200</f>
        <v>1253.2933800000001</v>
      </c>
      <c r="G197">
        <f t="shared" si="40"/>
        <v>-0.25248999999999999</v>
      </c>
      <c r="H197">
        <f t="shared" ref="H197:H211" si="47">-C197*200</f>
        <v>-316.44404551619999</v>
      </c>
      <c r="I197">
        <v>1</v>
      </c>
      <c r="J197">
        <f t="shared" ref="J197:J260" si="48">LN(F197/1000)</f>
        <v>0.22577479056601571</v>
      </c>
      <c r="K197">
        <f t="shared" si="41"/>
        <v>-0.96923515177521746</v>
      </c>
      <c r="L197">
        <v>1</v>
      </c>
      <c r="M197">
        <f t="shared" ref="M197:M260" si="49">-1*($S$4+($S$5*J197))</f>
        <v>0.6781306971749046</v>
      </c>
      <c r="N197">
        <f t="shared" si="42"/>
        <v>0.10402335054</v>
      </c>
      <c r="O197">
        <f t="shared" si="43"/>
        <v>1.7483442650999999E-2</v>
      </c>
      <c r="P197">
        <f t="shared" si="44"/>
        <v>0.16959766140931287</v>
      </c>
    </row>
    <row r="198" spans="1:16" x14ac:dyDescent="0.3">
      <c r="A198" s="1">
        <v>6.3157444999999992</v>
      </c>
      <c r="B198" s="1">
        <v>0.25153999999999999</v>
      </c>
      <c r="C198">
        <f t="shared" si="45"/>
        <v>1.5886623715299997</v>
      </c>
      <c r="D198">
        <v>1.66E-2</v>
      </c>
      <c r="E198">
        <v>2.7899999999999999E-3</v>
      </c>
      <c r="F198">
        <f t="shared" si="46"/>
        <v>1263.1488999999999</v>
      </c>
      <c r="G198">
        <f t="shared" si="40"/>
        <v>-0.25153999999999999</v>
      </c>
      <c r="H198">
        <f t="shared" si="47"/>
        <v>-317.73247430599992</v>
      </c>
      <c r="I198">
        <v>1</v>
      </c>
      <c r="J198">
        <f t="shared" si="48"/>
        <v>0.23360773032281859</v>
      </c>
      <c r="K198">
        <f t="shared" si="41"/>
        <v>-0.97018515177521747</v>
      </c>
      <c r="L198">
        <v>1</v>
      </c>
      <c r="M198">
        <f t="shared" si="49"/>
        <v>0.67851686110491505</v>
      </c>
      <c r="N198">
        <f t="shared" si="42"/>
        <v>0.10484135869999998</v>
      </c>
      <c r="O198">
        <f t="shared" si="43"/>
        <v>1.7620927154999997E-2</v>
      </c>
      <c r="P198">
        <f t="shared" si="44"/>
        <v>0.16920600481530243</v>
      </c>
    </row>
    <row r="199" spans="1:16" x14ac:dyDescent="0.3">
      <c r="A199" s="1">
        <v>6.3568091500000001</v>
      </c>
      <c r="B199" s="1">
        <v>0.24965999999999999</v>
      </c>
      <c r="C199">
        <f t="shared" si="45"/>
        <v>1.587040972389</v>
      </c>
      <c r="D199">
        <v>1.66E-2</v>
      </c>
      <c r="E199">
        <v>2.7899999999999999E-3</v>
      </c>
      <c r="F199">
        <f t="shared" si="46"/>
        <v>1271.3618300000001</v>
      </c>
      <c r="G199">
        <f t="shared" si="40"/>
        <v>-0.24965999999999999</v>
      </c>
      <c r="H199">
        <f t="shared" si="47"/>
        <v>-317.40819447780001</v>
      </c>
      <c r="I199">
        <v>1</v>
      </c>
      <c r="J199">
        <f t="shared" si="48"/>
        <v>0.24008863304653461</v>
      </c>
      <c r="K199">
        <f t="shared" si="41"/>
        <v>-0.97206515177521746</v>
      </c>
      <c r="L199">
        <v>1</v>
      </c>
      <c r="M199">
        <f t="shared" si="49"/>
        <v>0.67883636960919425</v>
      </c>
      <c r="N199">
        <f t="shared" si="42"/>
        <v>0.10552303189000001</v>
      </c>
      <c r="O199">
        <f t="shared" si="43"/>
        <v>1.77354975285E-2</v>
      </c>
      <c r="P199">
        <f t="shared" si="44"/>
        <v>0.1699702527475232</v>
      </c>
    </row>
    <row r="200" spans="1:16" x14ac:dyDescent="0.3">
      <c r="A200" s="1">
        <v>6.3075315500000002</v>
      </c>
      <c r="B200" s="1">
        <v>0.24965999999999999</v>
      </c>
      <c r="C200">
        <f t="shared" si="45"/>
        <v>1.574738326773</v>
      </c>
      <c r="D200">
        <v>1.66E-2</v>
      </c>
      <c r="E200">
        <v>2.7899999999999999E-3</v>
      </c>
      <c r="F200">
        <f t="shared" si="46"/>
        <v>1261.50631</v>
      </c>
      <c r="G200">
        <f t="shared" si="40"/>
        <v>-0.24965999999999999</v>
      </c>
      <c r="H200">
        <f t="shared" si="47"/>
        <v>-314.94766535460002</v>
      </c>
      <c r="I200">
        <v>1</v>
      </c>
      <c r="J200">
        <f t="shared" si="48"/>
        <v>0.23230649106823317</v>
      </c>
      <c r="K200">
        <f t="shared" si="41"/>
        <v>-0.97206515177521746</v>
      </c>
      <c r="L200">
        <v>1</v>
      </c>
      <c r="M200">
        <f t="shared" si="49"/>
        <v>0.6784527100096639</v>
      </c>
      <c r="N200">
        <f t="shared" si="42"/>
        <v>0.10470502373</v>
      </c>
      <c r="O200">
        <f t="shared" si="43"/>
        <v>1.7598013024500002E-2</v>
      </c>
      <c r="P200">
        <f t="shared" si="44"/>
        <v>0.17130940501105354</v>
      </c>
    </row>
    <row r="201" spans="1:16" x14ac:dyDescent="0.3">
      <c r="A201" s="1">
        <v>6.3568091500000001</v>
      </c>
      <c r="B201" s="1">
        <v>0.24872</v>
      </c>
      <c r="C201">
        <f t="shared" si="45"/>
        <v>1.581065571788</v>
      </c>
      <c r="D201">
        <v>1.66E-2</v>
      </c>
      <c r="E201">
        <v>2.7899999999999999E-3</v>
      </c>
      <c r="F201">
        <f t="shared" si="46"/>
        <v>1271.3618300000001</v>
      </c>
      <c r="G201">
        <f t="shared" si="40"/>
        <v>-0.24872</v>
      </c>
      <c r="H201">
        <f t="shared" si="47"/>
        <v>-316.21311435759998</v>
      </c>
      <c r="I201">
        <v>1</v>
      </c>
      <c r="J201">
        <f t="shared" si="48"/>
        <v>0.24008863304653461</v>
      </c>
      <c r="K201">
        <f t="shared" si="41"/>
        <v>-0.9730051517752174</v>
      </c>
      <c r="L201">
        <v>1</v>
      </c>
      <c r="M201">
        <f t="shared" si="49"/>
        <v>0.67883636960919425</v>
      </c>
      <c r="N201">
        <f t="shared" si="42"/>
        <v>0.10552303189000001</v>
      </c>
      <c r="O201">
        <f t="shared" si="43"/>
        <v>1.77354975285E-2</v>
      </c>
      <c r="P201">
        <f t="shared" si="44"/>
        <v>0.17091025274752314</v>
      </c>
    </row>
    <row r="202" spans="1:16" x14ac:dyDescent="0.3">
      <c r="A202" s="1">
        <v>6.3157444999999992</v>
      </c>
      <c r="B202" s="1">
        <v>0.24776999999999999</v>
      </c>
      <c r="C202">
        <f t="shared" si="45"/>
        <v>1.5648520147649998</v>
      </c>
      <c r="D202">
        <v>1.66E-2</v>
      </c>
      <c r="E202">
        <v>2.7899999999999999E-3</v>
      </c>
      <c r="F202">
        <f t="shared" si="46"/>
        <v>1263.1488999999999</v>
      </c>
      <c r="G202">
        <f t="shared" si="40"/>
        <v>-0.24776999999999999</v>
      </c>
      <c r="H202">
        <f t="shared" si="47"/>
        <v>-312.97040295299996</v>
      </c>
      <c r="I202">
        <v>1</v>
      </c>
      <c r="J202">
        <f t="shared" si="48"/>
        <v>0.23360773032281859</v>
      </c>
      <c r="K202">
        <f t="shared" si="41"/>
        <v>-0.97395515177521741</v>
      </c>
      <c r="L202">
        <v>1</v>
      </c>
      <c r="M202">
        <f t="shared" si="49"/>
        <v>0.67851686110491505</v>
      </c>
      <c r="N202">
        <f t="shared" si="42"/>
        <v>0.10484135869999998</v>
      </c>
      <c r="O202">
        <f t="shared" si="43"/>
        <v>1.7620927154999997E-2</v>
      </c>
      <c r="P202">
        <f t="shared" si="44"/>
        <v>0.17297600481530237</v>
      </c>
    </row>
    <row r="203" spans="1:16" x14ac:dyDescent="0.3">
      <c r="A203" s="1">
        <v>6.3814479500000001</v>
      </c>
      <c r="B203" s="1">
        <v>0.24682999999999999</v>
      </c>
      <c r="C203">
        <f t="shared" si="45"/>
        <v>1.5751327974984999</v>
      </c>
      <c r="D203">
        <v>1.66E-2</v>
      </c>
      <c r="E203">
        <v>2.7899999999999999E-3</v>
      </c>
      <c r="F203">
        <f t="shared" si="46"/>
        <v>1276.2895900000001</v>
      </c>
      <c r="G203">
        <f t="shared" si="40"/>
        <v>-0.24682999999999999</v>
      </c>
      <c r="H203">
        <f t="shared" si="47"/>
        <v>-315.0265594997</v>
      </c>
      <c r="I203">
        <v>1</v>
      </c>
      <c r="J203">
        <f t="shared" si="48"/>
        <v>0.24395711058368105</v>
      </c>
      <c r="K203">
        <f t="shared" si="41"/>
        <v>-0.97489515177521746</v>
      </c>
      <c r="L203">
        <v>1</v>
      </c>
      <c r="M203">
        <f t="shared" si="49"/>
        <v>0.67902708555177549</v>
      </c>
      <c r="N203">
        <f t="shared" si="42"/>
        <v>0.10593203597</v>
      </c>
      <c r="O203">
        <f t="shared" si="43"/>
        <v>1.7804239780500001E-2</v>
      </c>
      <c r="P203">
        <f t="shared" si="44"/>
        <v>0.17213179047294197</v>
      </c>
    </row>
    <row r="204" spans="1:16" x14ac:dyDescent="0.3">
      <c r="A204" s="1">
        <v>6.3321703500000002</v>
      </c>
      <c r="B204" s="1">
        <v>0.24776999999999999</v>
      </c>
      <c r="C204">
        <f t="shared" si="45"/>
        <v>1.5689218476194999</v>
      </c>
      <c r="D204">
        <v>1.66E-2</v>
      </c>
      <c r="E204">
        <v>2.7899999999999999E-3</v>
      </c>
      <c r="F204">
        <f t="shared" si="46"/>
        <v>1266.43407</v>
      </c>
      <c r="G204">
        <f t="shared" si="40"/>
        <v>-0.24776999999999999</v>
      </c>
      <c r="H204">
        <f t="shared" si="47"/>
        <v>-313.78436952390001</v>
      </c>
      <c r="I204">
        <v>1</v>
      </c>
      <c r="J204">
        <f t="shared" si="48"/>
        <v>0.23620513225500264</v>
      </c>
      <c r="K204">
        <f t="shared" si="41"/>
        <v>-0.97395515177521741</v>
      </c>
      <c r="L204">
        <v>1</v>
      </c>
      <c r="M204">
        <f t="shared" si="49"/>
        <v>0.67864491302017171</v>
      </c>
      <c r="N204">
        <f t="shared" si="42"/>
        <v>0.10511402781000001</v>
      </c>
      <c r="O204">
        <f t="shared" si="43"/>
        <v>1.7666755276499999E-2</v>
      </c>
      <c r="P204">
        <f t="shared" si="44"/>
        <v>0.17252945566854569</v>
      </c>
    </row>
    <row r="205" spans="1:16" x14ac:dyDescent="0.3">
      <c r="A205" s="1">
        <v>6.3732349999999993</v>
      </c>
      <c r="B205" s="1">
        <v>0.24682999999999999</v>
      </c>
      <c r="C205">
        <f t="shared" si="45"/>
        <v>1.5731055950499997</v>
      </c>
      <c r="D205">
        <v>1.66E-2</v>
      </c>
      <c r="E205">
        <v>2.7899999999999999E-3</v>
      </c>
      <c r="F205">
        <f t="shared" si="46"/>
        <v>1274.6469999999999</v>
      </c>
      <c r="G205">
        <f t="shared" si="40"/>
        <v>-0.24682999999999999</v>
      </c>
      <c r="H205">
        <f t="shared" si="47"/>
        <v>-314.62111900999992</v>
      </c>
      <c r="I205">
        <v>1</v>
      </c>
      <c r="J205">
        <f t="shared" si="48"/>
        <v>0.24266927753172593</v>
      </c>
      <c r="K205">
        <f t="shared" si="41"/>
        <v>-0.97489515177521746</v>
      </c>
      <c r="L205">
        <v>1</v>
      </c>
      <c r="M205">
        <f t="shared" si="49"/>
        <v>0.6789635953823141</v>
      </c>
      <c r="N205">
        <f t="shared" si="42"/>
        <v>0.10579570099999999</v>
      </c>
      <c r="O205">
        <f t="shared" si="43"/>
        <v>1.7781325649999999E-2</v>
      </c>
      <c r="P205">
        <f t="shared" si="44"/>
        <v>0.17235452974290338</v>
      </c>
    </row>
    <row r="206" spans="1:16" x14ac:dyDescent="0.3">
      <c r="A206" s="1">
        <v>6.3321703500000002</v>
      </c>
      <c r="B206" s="1">
        <v>0.24682999999999999</v>
      </c>
      <c r="C206">
        <f t="shared" si="45"/>
        <v>1.5629696074905</v>
      </c>
      <c r="D206">
        <v>1.66E-2</v>
      </c>
      <c r="E206">
        <v>2.7899999999999999E-3</v>
      </c>
      <c r="F206">
        <f t="shared" si="46"/>
        <v>1266.43407</v>
      </c>
      <c r="G206">
        <f t="shared" si="40"/>
        <v>-0.24682999999999999</v>
      </c>
      <c r="H206">
        <f t="shared" si="47"/>
        <v>-312.59392149809997</v>
      </c>
      <c r="I206">
        <v>1</v>
      </c>
      <c r="J206">
        <f t="shared" si="48"/>
        <v>0.23620513225500264</v>
      </c>
      <c r="K206">
        <f t="shared" si="41"/>
        <v>-0.97489515177521746</v>
      </c>
      <c r="L206">
        <v>1</v>
      </c>
      <c r="M206">
        <f t="shared" si="49"/>
        <v>0.67864491302017171</v>
      </c>
      <c r="N206">
        <f t="shared" si="42"/>
        <v>0.10511402781000001</v>
      </c>
      <c r="O206">
        <f t="shared" si="43"/>
        <v>1.7666755276499999E-2</v>
      </c>
      <c r="P206">
        <f t="shared" si="44"/>
        <v>0.17346945566854574</v>
      </c>
    </row>
    <row r="207" spans="1:16" x14ac:dyDescent="0.3">
      <c r="A207" s="1">
        <v>6.3732349999999993</v>
      </c>
      <c r="B207" s="1">
        <v>0.24682999999999999</v>
      </c>
      <c r="C207">
        <f t="shared" si="45"/>
        <v>1.5731055950499997</v>
      </c>
      <c r="D207">
        <v>1.66E-2</v>
      </c>
      <c r="E207">
        <v>2.7899999999999999E-3</v>
      </c>
      <c r="F207">
        <f t="shared" si="46"/>
        <v>1274.6469999999999</v>
      </c>
      <c r="G207">
        <f t="shared" si="40"/>
        <v>-0.24682999999999999</v>
      </c>
      <c r="H207">
        <f t="shared" si="47"/>
        <v>-314.62111900999992</v>
      </c>
      <c r="I207">
        <v>1</v>
      </c>
      <c r="J207">
        <f t="shared" si="48"/>
        <v>0.24266927753172593</v>
      </c>
      <c r="K207">
        <f t="shared" si="41"/>
        <v>-0.97489515177521746</v>
      </c>
      <c r="L207">
        <v>1</v>
      </c>
      <c r="M207">
        <f t="shared" si="49"/>
        <v>0.6789635953823141</v>
      </c>
      <c r="N207">
        <f t="shared" si="42"/>
        <v>0.10579570099999999</v>
      </c>
      <c r="O207">
        <f t="shared" si="43"/>
        <v>1.7781325649999999E-2</v>
      </c>
      <c r="P207">
        <f t="shared" si="44"/>
        <v>0.17235452974290338</v>
      </c>
    </row>
    <row r="208" spans="1:16" x14ac:dyDescent="0.3">
      <c r="A208" s="1">
        <v>6.4142996999999999</v>
      </c>
      <c r="B208" s="1">
        <v>0.24495</v>
      </c>
      <c r="C208">
        <f t="shared" si="45"/>
        <v>1.5711827115149999</v>
      </c>
      <c r="D208">
        <v>1.66E-2</v>
      </c>
      <c r="E208">
        <v>2.7899999999999999E-3</v>
      </c>
      <c r="F208">
        <f t="shared" si="46"/>
        <v>1282.8599400000001</v>
      </c>
      <c r="G208">
        <f t="shared" si="40"/>
        <v>-0.24495</v>
      </c>
      <c r="H208">
        <f t="shared" si="47"/>
        <v>-314.23654230299996</v>
      </c>
      <c r="I208">
        <v>1</v>
      </c>
      <c r="J208">
        <f t="shared" si="48"/>
        <v>0.24909191365730876</v>
      </c>
      <c r="K208">
        <f t="shared" si="41"/>
        <v>-0.97677515177521745</v>
      </c>
      <c r="L208">
        <v>1</v>
      </c>
      <c r="M208">
        <f t="shared" si="49"/>
        <v>0.6792802313433054</v>
      </c>
      <c r="N208">
        <f t="shared" si="42"/>
        <v>0.10647737502</v>
      </c>
      <c r="O208">
        <f t="shared" si="43"/>
        <v>1.7895896163E-2</v>
      </c>
      <c r="P208">
        <f t="shared" si="44"/>
        <v>0.17312164924891207</v>
      </c>
    </row>
    <row r="209" spans="1:16" x14ac:dyDescent="0.3">
      <c r="A209" s="1">
        <v>6.3650221</v>
      </c>
      <c r="B209" s="1">
        <v>0.24306</v>
      </c>
      <c r="C209">
        <f t="shared" si="45"/>
        <v>1.547082271626</v>
      </c>
      <c r="D209">
        <v>1.66E-2</v>
      </c>
      <c r="E209">
        <v>2.7899999999999999E-3</v>
      </c>
      <c r="F209">
        <f t="shared" si="46"/>
        <v>1273.00442</v>
      </c>
      <c r="G209">
        <f t="shared" si="40"/>
        <v>-0.24306</v>
      </c>
      <c r="H209">
        <f t="shared" si="47"/>
        <v>-309.41645432519999</v>
      </c>
      <c r="I209">
        <v>1</v>
      </c>
      <c r="J209">
        <f t="shared" si="48"/>
        <v>0.24137979168236023</v>
      </c>
      <c r="K209">
        <f t="shared" si="41"/>
        <v>-0.9786651517752174</v>
      </c>
      <c r="L209">
        <v>1</v>
      </c>
      <c r="M209">
        <f t="shared" si="49"/>
        <v>0.67890002372994041</v>
      </c>
      <c r="N209">
        <f t="shared" si="42"/>
        <v>0.10565936686000001</v>
      </c>
      <c r="O209">
        <f t="shared" si="43"/>
        <v>1.7758411658999999E-2</v>
      </c>
      <c r="P209">
        <f t="shared" si="44"/>
        <v>0.17634734952627701</v>
      </c>
    </row>
    <row r="210" spans="1:16" x14ac:dyDescent="0.3">
      <c r="A210" s="1">
        <v>6.4142996999999999</v>
      </c>
      <c r="B210" s="1">
        <v>0.24306</v>
      </c>
      <c r="C210">
        <f t="shared" si="45"/>
        <v>1.559059685082</v>
      </c>
      <c r="D210">
        <v>1.66E-2</v>
      </c>
      <c r="E210">
        <v>2.7899999999999999E-3</v>
      </c>
      <c r="F210">
        <f t="shared" si="46"/>
        <v>1282.8599400000001</v>
      </c>
      <c r="G210">
        <f t="shared" si="40"/>
        <v>-0.24306</v>
      </c>
      <c r="H210">
        <f t="shared" si="47"/>
        <v>-311.81193701640001</v>
      </c>
      <c r="I210">
        <v>1</v>
      </c>
      <c r="J210">
        <f t="shared" si="48"/>
        <v>0.24909191365730876</v>
      </c>
      <c r="K210">
        <f t="shared" si="41"/>
        <v>-0.9786651517752174</v>
      </c>
      <c r="L210">
        <v>1</v>
      </c>
      <c r="M210">
        <f t="shared" si="49"/>
        <v>0.6792802313433054</v>
      </c>
      <c r="N210">
        <f t="shared" si="42"/>
        <v>0.10647737502</v>
      </c>
      <c r="O210">
        <f t="shared" si="43"/>
        <v>1.7895896163E-2</v>
      </c>
      <c r="P210">
        <f t="shared" si="44"/>
        <v>0.17501164924891202</v>
      </c>
    </row>
    <row r="211" spans="1:16" x14ac:dyDescent="0.3">
      <c r="A211" s="1">
        <v>6.3732349999999993</v>
      </c>
      <c r="B211" s="1">
        <v>0.24401</v>
      </c>
      <c r="C211">
        <f t="shared" si="45"/>
        <v>1.5551330723499999</v>
      </c>
      <c r="D211">
        <v>1.66E-2</v>
      </c>
      <c r="E211">
        <v>2.7899999999999999E-3</v>
      </c>
      <c r="F211">
        <f t="shared" si="46"/>
        <v>1274.6469999999999</v>
      </c>
      <c r="G211">
        <f t="shared" si="40"/>
        <v>-0.24401</v>
      </c>
      <c r="H211">
        <f t="shared" si="47"/>
        <v>-311.02661446999997</v>
      </c>
      <c r="I211">
        <v>1</v>
      </c>
      <c r="J211">
        <f t="shared" si="48"/>
        <v>0.24266927753172593</v>
      </c>
      <c r="K211">
        <f t="shared" si="41"/>
        <v>-0.97771515177521739</v>
      </c>
      <c r="L211">
        <v>1</v>
      </c>
      <c r="M211">
        <f t="shared" si="49"/>
        <v>0.6789635953823141</v>
      </c>
      <c r="N211">
        <f t="shared" si="42"/>
        <v>0.10579570099999999</v>
      </c>
      <c r="O211">
        <f t="shared" si="43"/>
        <v>1.7781325649999999E-2</v>
      </c>
      <c r="P211">
        <f t="shared" si="44"/>
        <v>0.17517452974290332</v>
      </c>
    </row>
    <row r="212" spans="1:16" x14ac:dyDescent="0.3">
      <c r="A212" s="1">
        <v>6.43072555</v>
      </c>
      <c r="B212" s="1">
        <v>0.24306</v>
      </c>
      <c r="C212">
        <f t="shared" ref="C212:C275" si="50">A212*B212</f>
        <v>1.5630521521830001</v>
      </c>
      <c r="D212">
        <v>1.66E-2</v>
      </c>
      <c r="E212">
        <v>2.7899999999999999E-3</v>
      </c>
      <c r="F212">
        <f t="shared" si="46"/>
        <v>1286.1451099999999</v>
      </c>
      <c r="G212">
        <f t="shared" ref="G212:G275" si="51">-B212</f>
        <v>-0.24306</v>
      </c>
      <c r="H212">
        <f t="shared" ref="H212:H275" si="52">-C212*200</f>
        <v>-312.61043043660004</v>
      </c>
      <c r="I212">
        <v>1</v>
      </c>
      <c r="J212">
        <f t="shared" si="48"/>
        <v>0.25164945770783498</v>
      </c>
      <c r="K212">
        <f t="shared" ref="K212:K275" si="53">((-G212)-$N$2)</f>
        <v>-0.9786651517752174</v>
      </c>
      <c r="L212">
        <v>1</v>
      </c>
      <c r="M212">
        <f t="shared" si="49"/>
        <v>0.67940631826499631</v>
      </c>
      <c r="N212">
        <f t="shared" ref="N212:N275" si="54">D212*A212</f>
        <v>0.10675004413</v>
      </c>
      <c r="O212">
        <f t="shared" ref="O212:O275" si="55">E212*A212</f>
        <v>1.7941724284499999E-2</v>
      </c>
      <c r="P212">
        <f t="shared" ref="P212:P275" si="56">-K212-M212-N212-O212</f>
        <v>0.17456706509572109</v>
      </c>
    </row>
    <row r="213" spans="1:16" x14ac:dyDescent="0.3">
      <c r="A213" s="1">
        <v>6.3814479500000001</v>
      </c>
      <c r="B213" s="1">
        <v>0.24306</v>
      </c>
      <c r="C213">
        <f t="shared" si="50"/>
        <v>1.5510747387270001</v>
      </c>
      <c r="D213">
        <v>1.66E-2</v>
      </c>
      <c r="E213">
        <v>2.7899999999999999E-3</v>
      </c>
      <c r="F213">
        <f t="shared" si="46"/>
        <v>1276.2895900000001</v>
      </c>
      <c r="G213">
        <f t="shared" si="51"/>
        <v>-0.24306</v>
      </c>
      <c r="H213">
        <f t="shared" si="52"/>
        <v>-310.21494774540002</v>
      </c>
      <c r="I213">
        <v>1</v>
      </c>
      <c r="J213">
        <f t="shared" si="48"/>
        <v>0.24395711058368105</v>
      </c>
      <c r="K213">
        <f t="shared" si="53"/>
        <v>-0.9786651517752174</v>
      </c>
      <c r="L213">
        <v>1</v>
      </c>
      <c r="M213">
        <f t="shared" si="49"/>
        <v>0.67902708555177549</v>
      </c>
      <c r="N213">
        <f t="shared" si="54"/>
        <v>0.10593203597</v>
      </c>
      <c r="O213">
        <f t="shared" si="55"/>
        <v>1.7804239780500001E-2</v>
      </c>
      <c r="P213">
        <f t="shared" si="56"/>
        <v>0.17590179047294191</v>
      </c>
    </row>
    <row r="214" spans="1:16" x14ac:dyDescent="0.3">
      <c r="A214" s="1">
        <v>6.4389384500000002</v>
      </c>
      <c r="B214" s="1">
        <v>0.24212</v>
      </c>
      <c r="C214">
        <f t="shared" si="50"/>
        <v>1.558995777514</v>
      </c>
      <c r="D214">
        <v>1.66E-2</v>
      </c>
      <c r="E214">
        <v>2.7899999999999999E-3</v>
      </c>
      <c r="F214">
        <f t="shared" si="46"/>
        <v>1287.7876900000001</v>
      </c>
      <c r="G214">
        <f t="shared" si="51"/>
        <v>-0.24212</v>
      </c>
      <c r="H214">
        <f t="shared" si="52"/>
        <v>-311.79915550279998</v>
      </c>
      <c r="I214">
        <v>1</v>
      </c>
      <c r="J214">
        <f t="shared" si="48"/>
        <v>0.25292577713853592</v>
      </c>
      <c r="K214">
        <f t="shared" si="53"/>
        <v>-0.97960515177521745</v>
      </c>
      <c r="L214">
        <v>1</v>
      </c>
      <c r="M214">
        <f t="shared" si="49"/>
        <v>0.67946924081292981</v>
      </c>
      <c r="N214">
        <f t="shared" si="54"/>
        <v>0.10688637827</v>
      </c>
      <c r="O214">
        <f t="shared" si="55"/>
        <v>1.7964638275499999E-2</v>
      </c>
      <c r="P214">
        <f t="shared" si="56"/>
        <v>0.17528489441678766</v>
      </c>
    </row>
    <row r="215" spans="1:16" x14ac:dyDescent="0.3">
      <c r="A215" s="1">
        <v>6.3896609</v>
      </c>
      <c r="B215" s="1">
        <v>0.24212</v>
      </c>
      <c r="C215">
        <f t="shared" si="50"/>
        <v>1.547064697108</v>
      </c>
      <c r="D215">
        <v>1.66E-2</v>
      </c>
      <c r="E215">
        <v>2.7899999999999999E-3</v>
      </c>
      <c r="F215">
        <f t="shared" si="46"/>
        <v>1277.93218</v>
      </c>
      <c r="G215">
        <f t="shared" si="51"/>
        <v>-0.24212</v>
      </c>
      <c r="H215">
        <f t="shared" si="52"/>
        <v>-309.41293942160002</v>
      </c>
      <c r="I215">
        <v>1</v>
      </c>
      <c r="J215">
        <f t="shared" si="48"/>
        <v>0.24524328725457978</v>
      </c>
      <c r="K215">
        <f t="shared" si="53"/>
        <v>-0.97960515177521745</v>
      </c>
      <c r="L215">
        <v>1</v>
      </c>
      <c r="M215">
        <f t="shared" si="49"/>
        <v>0.67909049406165078</v>
      </c>
      <c r="N215">
        <f t="shared" si="54"/>
        <v>0.10606837094</v>
      </c>
      <c r="O215">
        <f t="shared" si="55"/>
        <v>1.7827153910999999E-2</v>
      </c>
      <c r="P215">
        <f t="shared" si="56"/>
        <v>0.17661913286256667</v>
      </c>
    </row>
    <row r="216" spans="1:16" x14ac:dyDescent="0.3">
      <c r="A216" s="1">
        <v>6.4389384500000002</v>
      </c>
      <c r="B216" s="1">
        <v>0.24118000000000001</v>
      </c>
      <c r="C216">
        <f t="shared" si="50"/>
        <v>1.5529431753710001</v>
      </c>
      <c r="D216">
        <v>1.66E-2</v>
      </c>
      <c r="E216">
        <v>2.7899999999999999E-3</v>
      </c>
      <c r="F216">
        <f t="shared" si="46"/>
        <v>1287.7876900000001</v>
      </c>
      <c r="G216">
        <f t="shared" si="51"/>
        <v>-0.24118000000000001</v>
      </c>
      <c r="H216">
        <f t="shared" si="52"/>
        <v>-310.5886350742</v>
      </c>
      <c r="I216">
        <v>1</v>
      </c>
      <c r="J216">
        <f t="shared" si="48"/>
        <v>0.25292577713853592</v>
      </c>
      <c r="K216">
        <f t="shared" si="53"/>
        <v>-0.98054515177521751</v>
      </c>
      <c r="L216">
        <v>1</v>
      </c>
      <c r="M216">
        <f t="shared" si="49"/>
        <v>0.67946924081292981</v>
      </c>
      <c r="N216">
        <f t="shared" si="54"/>
        <v>0.10688637827</v>
      </c>
      <c r="O216">
        <f t="shared" si="55"/>
        <v>1.7964638275499999E-2</v>
      </c>
      <c r="P216">
        <f t="shared" si="56"/>
        <v>0.17622489441678771</v>
      </c>
    </row>
    <row r="217" spans="1:16" x14ac:dyDescent="0.3">
      <c r="A217" s="1">
        <v>6.3896609</v>
      </c>
      <c r="B217" s="1">
        <v>0.24118000000000001</v>
      </c>
      <c r="C217">
        <f t="shared" si="50"/>
        <v>1.541058415862</v>
      </c>
      <c r="D217">
        <v>1.66E-2</v>
      </c>
      <c r="E217">
        <v>2.7899999999999999E-3</v>
      </c>
      <c r="F217">
        <f t="shared" si="46"/>
        <v>1277.93218</v>
      </c>
      <c r="G217">
        <f t="shared" si="51"/>
        <v>-0.24118000000000001</v>
      </c>
      <c r="H217">
        <f t="shared" si="52"/>
        <v>-308.2116831724</v>
      </c>
      <c r="I217">
        <v>1</v>
      </c>
      <c r="J217">
        <f t="shared" si="48"/>
        <v>0.24524328725457978</v>
      </c>
      <c r="K217">
        <f t="shared" si="53"/>
        <v>-0.98054515177521751</v>
      </c>
      <c r="L217">
        <v>1</v>
      </c>
      <c r="M217">
        <f t="shared" si="49"/>
        <v>0.67909049406165078</v>
      </c>
      <c r="N217">
        <f t="shared" si="54"/>
        <v>0.10606837094</v>
      </c>
      <c r="O217">
        <f t="shared" si="55"/>
        <v>1.7827153910999999E-2</v>
      </c>
      <c r="P217">
        <f t="shared" si="56"/>
        <v>0.17755913286256672</v>
      </c>
    </row>
    <row r="218" spans="1:16" x14ac:dyDescent="0.3">
      <c r="A218" s="1">
        <v>6.43072555</v>
      </c>
      <c r="B218" s="1">
        <v>0.24212</v>
      </c>
      <c r="C218">
        <f t="shared" si="50"/>
        <v>1.557007270166</v>
      </c>
      <c r="D218">
        <v>1.66E-2</v>
      </c>
      <c r="E218">
        <v>2.7899999999999999E-3</v>
      </c>
      <c r="F218">
        <f t="shared" si="46"/>
        <v>1286.1451099999999</v>
      </c>
      <c r="G218">
        <f t="shared" si="51"/>
        <v>-0.24212</v>
      </c>
      <c r="H218">
        <f t="shared" si="52"/>
        <v>-311.40145403320003</v>
      </c>
      <c r="I218">
        <v>1</v>
      </c>
      <c r="J218">
        <f t="shared" si="48"/>
        <v>0.25164945770783498</v>
      </c>
      <c r="K218">
        <f t="shared" si="53"/>
        <v>-0.97960515177521745</v>
      </c>
      <c r="L218">
        <v>1</v>
      </c>
      <c r="M218">
        <f t="shared" si="49"/>
        <v>0.67940631826499631</v>
      </c>
      <c r="N218">
        <f t="shared" si="54"/>
        <v>0.10675004413</v>
      </c>
      <c r="O218">
        <f t="shared" si="55"/>
        <v>1.7941724284499999E-2</v>
      </c>
      <c r="P218">
        <f t="shared" si="56"/>
        <v>0.17550706509572114</v>
      </c>
    </row>
    <row r="219" spans="1:16" x14ac:dyDescent="0.3">
      <c r="A219" s="1">
        <v>6.3896609</v>
      </c>
      <c r="B219" s="1">
        <v>0.24212</v>
      </c>
      <c r="C219">
        <f t="shared" si="50"/>
        <v>1.547064697108</v>
      </c>
      <c r="D219">
        <v>1.66E-2</v>
      </c>
      <c r="E219">
        <v>2.7899999999999999E-3</v>
      </c>
      <c r="F219">
        <f t="shared" si="46"/>
        <v>1277.93218</v>
      </c>
      <c r="G219">
        <f t="shared" si="51"/>
        <v>-0.24212</v>
      </c>
      <c r="H219">
        <f t="shared" si="52"/>
        <v>-309.41293942160002</v>
      </c>
      <c r="I219">
        <v>1</v>
      </c>
      <c r="J219">
        <f t="shared" si="48"/>
        <v>0.24524328725457978</v>
      </c>
      <c r="K219">
        <f t="shared" si="53"/>
        <v>-0.97960515177521745</v>
      </c>
      <c r="L219">
        <v>1</v>
      </c>
      <c r="M219">
        <f t="shared" si="49"/>
        <v>0.67909049406165078</v>
      </c>
      <c r="N219">
        <f t="shared" si="54"/>
        <v>0.10606837094</v>
      </c>
      <c r="O219">
        <f t="shared" si="55"/>
        <v>1.7827153910999999E-2</v>
      </c>
      <c r="P219">
        <f t="shared" si="56"/>
        <v>0.17661913286256667</v>
      </c>
    </row>
    <row r="220" spans="1:16" x14ac:dyDescent="0.3">
      <c r="A220" s="1">
        <v>6.4389384500000002</v>
      </c>
      <c r="B220" s="1">
        <v>0.24118000000000001</v>
      </c>
      <c r="C220">
        <f t="shared" si="50"/>
        <v>1.5529431753710001</v>
      </c>
      <c r="D220">
        <v>1.66E-2</v>
      </c>
      <c r="E220">
        <v>2.7899999999999999E-3</v>
      </c>
      <c r="F220">
        <f t="shared" si="46"/>
        <v>1287.7876900000001</v>
      </c>
      <c r="G220">
        <f t="shared" si="51"/>
        <v>-0.24118000000000001</v>
      </c>
      <c r="H220">
        <f t="shared" si="52"/>
        <v>-310.5886350742</v>
      </c>
      <c r="I220">
        <v>1</v>
      </c>
      <c r="J220">
        <f t="shared" si="48"/>
        <v>0.25292577713853592</v>
      </c>
      <c r="K220">
        <f t="shared" si="53"/>
        <v>-0.98054515177521751</v>
      </c>
      <c r="L220">
        <v>1</v>
      </c>
      <c r="M220">
        <f t="shared" si="49"/>
        <v>0.67946924081292981</v>
      </c>
      <c r="N220">
        <f t="shared" si="54"/>
        <v>0.10688637827</v>
      </c>
      <c r="O220">
        <f t="shared" si="55"/>
        <v>1.7964638275499999E-2</v>
      </c>
      <c r="P220">
        <f t="shared" si="56"/>
        <v>0.17622489441678771</v>
      </c>
    </row>
    <row r="221" spans="1:16" x14ac:dyDescent="0.3">
      <c r="A221" s="1">
        <v>6.3896609</v>
      </c>
      <c r="B221" s="1">
        <v>0.24118000000000001</v>
      </c>
      <c r="C221">
        <f t="shared" si="50"/>
        <v>1.541058415862</v>
      </c>
      <c r="D221">
        <v>1.66E-2</v>
      </c>
      <c r="E221">
        <v>2.7899999999999999E-3</v>
      </c>
      <c r="F221">
        <f t="shared" si="46"/>
        <v>1277.93218</v>
      </c>
      <c r="G221">
        <f t="shared" si="51"/>
        <v>-0.24118000000000001</v>
      </c>
      <c r="H221">
        <f t="shared" si="52"/>
        <v>-308.2116831724</v>
      </c>
      <c r="I221">
        <v>1</v>
      </c>
      <c r="J221">
        <f t="shared" si="48"/>
        <v>0.24524328725457978</v>
      </c>
      <c r="K221">
        <f t="shared" si="53"/>
        <v>-0.98054515177521751</v>
      </c>
      <c r="L221">
        <v>1</v>
      </c>
      <c r="M221">
        <f t="shared" si="49"/>
        <v>0.67909049406165078</v>
      </c>
      <c r="N221">
        <f t="shared" si="54"/>
        <v>0.10606837094</v>
      </c>
      <c r="O221">
        <f t="shared" si="55"/>
        <v>1.7827153910999999E-2</v>
      </c>
      <c r="P221">
        <f t="shared" si="56"/>
        <v>0.17755913286256672</v>
      </c>
    </row>
    <row r="222" spans="1:16" x14ac:dyDescent="0.3">
      <c r="A222" s="1">
        <v>6.4389384500000002</v>
      </c>
      <c r="B222" s="1">
        <v>0.24024000000000001</v>
      </c>
      <c r="C222">
        <f t="shared" si="50"/>
        <v>1.5468905732280001</v>
      </c>
      <c r="D222">
        <v>1.66E-2</v>
      </c>
      <c r="E222">
        <v>2.7899999999999999E-3</v>
      </c>
      <c r="F222">
        <f t="shared" si="46"/>
        <v>1287.7876900000001</v>
      </c>
      <c r="G222">
        <f t="shared" si="51"/>
        <v>-0.24024000000000001</v>
      </c>
      <c r="H222">
        <f t="shared" si="52"/>
        <v>-309.37811464560002</v>
      </c>
      <c r="I222">
        <v>1</v>
      </c>
      <c r="J222">
        <f t="shared" si="48"/>
        <v>0.25292577713853592</v>
      </c>
      <c r="K222">
        <f t="shared" si="53"/>
        <v>-0.98148515177521745</v>
      </c>
      <c r="L222">
        <v>1</v>
      </c>
      <c r="M222">
        <f t="shared" si="49"/>
        <v>0.67946924081292981</v>
      </c>
      <c r="N222">
        <f t="shared" si="54"/>
        <v>0.10688637827</v>
      </c>
      <c r="O222">
        <f t="shared" si="55"/>
        <v>1.7964638275499999E-2</v>
      </c>
      <c r="P222">
        <f t="shared" si="56"/>
        <v>0.17716489441678765</v>
      </c>
    </row>
    <row r="223" spans="1:16" x14ac:dyDescent="0.3">
      <c r="A223" s="1">
        <v>6.3978738000000002</v>
      </c>
      <c r="B223" s="1">
        <v>0.24118000000000001</v>
      </c>
      <c r="C223">
        <f t="shared" si="50"/>
        <v>1.5430392030840001</v>
      </c>
      <c r="D223">
        <v>1.66E-2</v>
      </c>
      <c r="E223">
        <v>2.7899999999999999E-3</v>
      </c>
      <c r="F223">
        <f t="shared" si="46"/>
        <v>1279.57476</v>
      </c>
      <c r="G223">
        <f t="shared" si="51"/>
        <v>-0.24118000000000001</v>
      </c>
      <c r="H223">
        <f t="shared" si="52"/>
        <v>-308.60784061680005</v>
      </c>
      <c r="I223">
        <v>1</v>
      </c>
      <c r="J223">
        <f t="shared" si="48"/>
        <v>0.2465278039846516</v>
      </c>
      <c r="K223">
        <f t="shared" si="53"/>
        <v>-0.98054515177521751</v>
      </c>
      <c r="L223">
        <v>1</v>
      </c>
      <c r="M223">
        <f t="shared" si="49"/>
        <v>0.67915382073644337</v>
      </c>
      <c r="N223">
        <f t="shared" si="54"/>
        <v>0.10620470508</v>
      </c>
      <c r="O223">
        <f t="shared" si="55"/>
        <v>1.7850067902E-2</v>
      </c>
      <c r="P223">
        <f t="shared" si="56"/>
        <v>0.17733655805677412</v>
      </c>
    </row>
    <row r="224" spans="1:16" x14ac:dyDescent="0.3">
      <c r="A224" s="1">
        <v>6.4389384500000002</v>
      </c>
      <c r="B224" s="1">
        <v>0.24024000000000001</v>
      </c>
      <c r="C224">
        <f t="shared" si="50"/>
        <v>1.5468905732280001</v>
      </c>
      <c r="D224">
        <v>1.66E-2</v>
      </c>
      <c r="E224">
        <v>2.7899999999999999E-3</v>
      </c>
      <c r="F224">
        <f t="shared" si="46"/>
        <v>1287.7876900000001</v>
      </c>
      <c r="G224">
        <f t="shared" si="51"/>
        <v>-0.24024000000000001</v>
      </c>
      <c r="H224">
        <f t="shared" si="52"/>
        <v>-309.37811464560002</v>
      </c>
      <c r="I224">
        <v>1</v>
      </c>
      <c r="J224">
        <f t="shared" si="48"/>
        <v>0.25292577713853592</v>
      </c>
      <c r="K224">
        <f t="shared" si="53"/>
        <v>-0.98148515177521745</v>
      </c>
      <c r="L224">
        <v>1</v>
      </c>
      <c r="M224">
        <f t="shared" si="49"/>
        <v>0.67946924081292981</v>
      </c>
      <c r="N224">
        <f t="shared" si="54"/>
        <v>0.10688637827</v>
      </c>
      <c r="O224">
        <f t="shared" si="55"/>
        <v>1.7964638275499999E-2</v>
      </c>
      <c r="P224">
        <f t="shared" si="56"/>
        <v>0.17716489441678765</v>
      </c>
    </row>
    <row r="225" spans="1:18" x14ac:dyDescent="0.3">
      <c r="A225" s="1">
        <v>6.4964290000000009</v>
      </c>
      <c r="B225" s="1">
        <v>0.23647000000000001</v>
      </c>
      <c r="C225">
        <f t="shared" si="50"/>
        <v>1.5362105656300002</v>
      </c>
      <c r="D225">
        <v>1.66E-2</v>
      </c>
      <c r="E225">
        <v>2.7899999999999999E-3</v>
      </c>
      <c r="F225">
        <f t="shared" si="46"/>
        <v>1299.2858000000001</v>
      </c>
      <c r="G225">
        <f t="shared" si="51"/>
        <v>-0.23647000000000001</v>
      </c>
      <c r="H225">
        <f t="shared" si="52"/>
        <v>-307.24211312600005</v>
      </c>
      <c r="I225">
        <v>1</v>
      </c>
      <c r="J225">
        <f t="shared" si="48"/>
        <v>0.2618147288850835</v>
      </c>
      <c r="K225">
        <f t="shared" si="53"/>
        <v>-0.9852551517752175</v>
      </c>
      <c r="L225">
        <v>1</v>
      </c>
      <c r="M225">
        <f t="shared" si="49"/>
        <v>0.67990746613403463</v>
      </c>
      <c r="N225">
        <f t="shared" si="54"/>
        <v>0.10784072140000002</v>
      </c>
      <c r="O225">
        <f t="shared" si="55"/>
        <v>1.8125036910000003E-2</v>
      </c>
      <c r="P225">
        <f t="shared" si="56"/>
        <v>0.17938192733118286</v>
      </c>
      <c r="R225">
        <f>O225+N225+M225</f>
        <v>0.80587322444403464</v>
      </c>
    </row>
    <row r="226" spans="1:18" x14ac:dyDescent="0.3">
      <c r="A226" s="1">
        <v>6.45536435</v>
      </c>
      <c r="B226" s="1">
        <v>0.23741000000000001</v>
      </c>
      <c r="C226">
        <f t="shared" si="50"/>
        <v>1.5325680503335</v>
      </c>
      <c r="D226">
        <v>1.66E-2</v>
      </c>
      <c r="E226">
        <v>2.7899999999999999E-3</v>
      </c>
      <c r="F226">
        <f t="shared" si="46"/>
        <v>1291.07287</v>
      </c>
      <c r="G226">
        <f t="shared" si="51"/>
        <v>-0.23741000000000001</v>
      </c>
      <c r="H226">
        <f t="shared" si="52"/>
        <v>-306.51361006669998</v>
      </c>
      <c r="I226">
        <v>1</v>
      </c>
      <c r="J226">
        <f t="shared" si="48"/>
        <v>0.25547355488814433</v>
      </c>
      <c r="K226">
        <f t="shared" si="53"/>
        <v>-0.98431515177521745</v>
      </c>
      <c r="L226">
        <v>1</v>
      </c>
      <c r="M226">
        <f t="shared" si="49"/>
        <v>0.67959484625598554</v>
      </c>
      <c r="N226">
        <f t="shared" si="54"/>
        <v>0.10715904821</v>
      </c>
      <c r="O226">
        <f t="shared" si="55"/>
        <v>1.80104665365E-2</v>
      </c>
      <c r="P226">
        <f t="shared" si="56"/>
        <v>0.17955079077273189</v>
      </c>
    </row>
    <row r="227" spans="1:18" x14ac:dyDescent="0.3">
      <c r="A227" s="1">
        <v>6.45536435</v>
      </c>
      <c r="B227" s="1">
        <v>0.23647000000000001</v>
      </c>
      <c r="C227">
        <f t="shared" si="50"/>
        <v>1.5265000078445001</v>
      </c>
      <c r="D227">
        <v>1.66E-2</v>
      </c>
      <c r="E227">
        <v>2.7899999999999999E-3</v>
      </c>
      <c r="F227">
        <f t="shared" si="46"/>
        <v>1291.07287</v>
      </c>
      <c r="G227">
        <f t="shared" si="51"/>
        <v>-0.23647000000000001</v>
      </c>
      <c r="H227">
        <f t="shared" si="52"/>
        <v>-305.30000156890003</v>
      </c>
      <c r="I227">
        <v>1</v>
      </c>
      <c r="J227">
        <f t="shared" si="48"/>
        <v>0.25547355488814433</v>
      </c>
      <c r="K227">
        <f t="shared" si="53"/>
        <v>-0.9852551517752175</v>
      </c>
      <c r="L227">
        <v>1</v>
      </c>
      <c r="M227">
        <f t="shared" si="49"/>
        <v>0.67959484625598554</v>
      </c>
      <c r="N227">
        <f t="shared" si="54"/>
        <v>0.10715904821</v>
      </c>
      <c r="O227">
        <f t="shared" si="55"/>
        <v>1.80104665365E-2</v>
      </c>
      <c r="P227">
        <f t="shared" si="56"/>
        <v>0.18049079077273195</v>
      </c>
    </row>
    <row r="228" spans="1:18" x14ac:dyDescent="0.3">
      <c r="C228">
        <f t="shared" si="50"/>
        <v>0</v>
      </c>
      <c r="D228">
        <v>1.66E-2</v>
      </c>
      <c r="E228">
        <v>2.7899999999999999E-3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1:18" x14ac:dyDescent="0.3">
      <c r="C229">
        <f t="shared" si="50"/>
        <v>0</v>
      </c>
      <c r="D229">
        <v>1.66E-2</v>
      </c>
      <c r="E229">
        <v>2.7899999999999999E-3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1:18" x14ac:dyDescent="0.3">
      <c r="C230">
        <f t="shared" si="50"/>
        <v>0</v>
      </c>
      <c r="D230">
        <v>1.66E-2</v>
      </c>
      <c r="E230">
        <v>2.7899999999999999E-3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1:18" x14ac:dyDescent="0.3">
      <c r="C231">
        <f t="shared" si="50"/>
        <v>0</v>
      </c>
      <c r="D231">
        <v>1.66E-2</v>
      </c>
      <c r="E231">
        <v>2.7899999999999999E-3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1:18" x14ac:dyDescent="0.3">
      <c r="C232">
        <f t="shared" si="50"/>
        <v>0</v>
      </c>
      <c r="D232">
        <v>1.66E-2</v>
      </c>
      <c r="E232">
        <v>2.7899999999999999E-3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1:18" x14ac:dyDescent="0.3">
      <c r="C233">
        <f t="shared" si="50"/>
        <v>0</v>
      </c>
      <c r="D233">
        <v>1.66E-2</v>
      </c>
      <c r="E233">
        <v>2.7899999999999999E-3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1:18" x14ac:dyDescent="0.3">
      <c r="C234">
        <f t="shared" si="50"/>
        <v>0</v>
      </c>
      <c r="D234">
        <v>1.66E-2</v>
      </c>
      <c r="E234">
        <v>2.7899999999999999E-3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1:18" x14ac:dyDescent="0.3">
      <c r="C235">
        <f t="shared" si="50"/>
        <v>0</v>
      </c>
      <c r="D235">
        <v>1.66E-2</v>
      </c>
      <c r="E235">
        <v>2.7899999999999999E-3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1:18" x14ac:dyDescent="0.3">
      <c r="C236">
        <f t="shared" si="50"/>
        <v>0</v>
      </c>
      <c r="D236">
        <v>1.66E-2</v>
      </c>
      <c r="E236">
        <v>2.7899999999999999E-3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1:18" x14ac:dyDescent="0.3">
      <c r="C237">
        <f t="shared" si="50"/>
        <v>0</v>
      </c>
      <c r="D237">
        <v>1.66E-2</v>
      </c>
      <c r="E237">
        <v>2.7899999999999999E-3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1:18" x14ac:dyDescent="0.3">
      <c r="C238">
        <f t="shared" si="50"/>
        <v>0</v>
      </c>
      <c r="D238">
        <v>1.66E-2</v>
      </c>
      <c r="E238">
        <v>2.7899999999999999E-3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1:18" x14ac:dyDescent="0.3">
      <c r="C239">
        <f t="shared" si="50"/>
        <v>0</v>
      </c>
      <c r="D239">
        <v>1.66E-2</v>
      </c>
      <c r="E239">
        <v>2.7899999999999999E-3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1:18" x14ac:dyDescent="0.3">
      <c r="C240">
        <f t="shared" si="50"/>
        <v>0</v>
      </c>
      <c r="D240">
        <v>1.66E-2</v>
      </c>
      <c r="E240">
        <v>2.7899999999999999E-3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1.66E-2</v>
      </c>
      <c r="E241">
        <v>2.7899999999999999E-3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1.66E-2</v>
      </c>
      <c r="E242">
        <v>2.7899999999999999E-3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1.66E-2</v>
      </c>
      <c r="E243">
        <v>2.7899999999999999E-3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1.66E-2</v>
      </c>
      <c r="E244">
        <v>2.7899999999999999E-3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1.66E-2</v>
      </c>
      <c r="E245">
        <v>2.7899999999999999E-3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1.66E-2</v>
      </c>
      <c r="E246">
        <v>2.7899999999999999E-3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1.66E-2</v>
      </c>
      <c r="E247">
        <v>2.7899999999999999E-3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1.66E-2</v>
      </c>
      <c r="E248">
        <v>2.7899999999999999E-3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1.66E-2</v>
      </c>
      <c r="E249">
        <v>2.7899999999999999E-3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1.66E-2</v>
      </c>
      <c r="E250">
        <v>2.7899999999999999E-3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1.66E-2</v>
      </c>
      <c r="E251">
        <v>2.7899999999999999E-3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1.66E-2</v>
      </c>
      <c r="E252">
        <v>2.7899999999999999E-3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1.66E-2</v>
      </c>
      <c r="E253">
        <v>2.7899999999999999E-3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1.66E-2</v>
      </c>
      <c r="E254">
        <v>2.7899999999999999E-3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1.66E-2</v>
      </c>
      <c r="E255">
        <v>2.7899999999999999E-3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1.66E-2</v>
      </c>
      <c r="E256">
        <v>2.7899999999999999E-3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1.66E-2</v>
      </c>
      <c r="E257">
        <v>2.7899999999999999E-3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1.66E-2</v>
      </c>
      <c r="E258">
        <v>2.7899999999999999E-3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1.66E-2</v>
      </c>
      <c r="E259">
        <v>2.7899999999999999E-3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1.66E-2</v>
      </c>
      <c r="E260">
        <v>2.7899999999999999E-3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1.66E-2</v>
      </c>
      <c r="E261">
        <v>2.7899999999999999E-3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1.66E-2</v>
      </c>
      <c r="E262">
        <v>2.7899999999999999E-3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1.66E-2</v>
      </c>
      <c r="E263">
        <v>2.7899999999999999E-3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1.66E-2</v>
      </c>
      <c r="E264">
        <v>2.7899999999999999E-3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1.66E-2</v>
      </c>
      <c r="E265">
        <v>2.7899999999999999E-3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1.66E-2</v>
      </c>
      <c r="E266">
        <v>2.7899999999999999E-3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1.66E-2</v>
      </c>
      <c r="E267">
        <v>2.7899999999999999E-3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1.66E-2</v>
      </c>
      <c r="E268">
        <v>2.7899999999999999E-3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1.66E-2</v>
      </c>
      <c r="E269">
        <v>2.7899999999999999E-3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1.66E-2</v>
      </c>
      <c r="E270">
        <v>2.7899999999999999E-3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1.66E-2</v>
      </c>
      <c r="E271">
        <v>2.7899999999999999E-3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1.66E-2</v>
      </c>
      <c r="E272">
        <v>2.7899999999999999E-3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1.66E-2</v>
      </c>
      <c r="E273">
        <v>2.7899999999999999E-3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1.66E-2</v>
      </c>
      <c r="E274">
        <v>2.7899999999999999E-3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1.66E-2</v>
      </c>
      <c r="E275">
        <v>2.7899999999999999E-3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1.66E-2</v>
      </c>
      <c r="E276">
        <v>2.7899999999999999E-3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1.66E-2</v>
      </c>
      <c r="E277">
        <v>2.7899999999999999E-3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1.66E-2</v>
      </c>
      <c r="E278">
        <v>2.7899999999999999E-3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1.66E-2</v>
      </c>
      <c r="E279">
        <v>2.7899999999999999E-3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1.66E-2</v>
      </c>
      <c r="E280">
        <v>2.7899999999999999E-3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1.66E-2</v>
      </c>
      <c r="E281">
        <v>2.7899999999999999E-3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1.66E-2</v>
      </c>
      <c r="E282">
        <v>2.7899999999999999E-3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1.66E-2</v>
      </c>
      <c r="E283">
        <v>2.7899999999999999E-3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1.66E-2</v>
      </c>
      <c r="E284">
        <v>2.7899999999999999E-3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1.66E-2</v>
      </c>
      <c r="E285">
        <v>2.7899999999999999E-3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1.66E-2</v>
      </c>
      <c r="E286">
        <v>2.7899999999999999E-3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1.66E-2</v>
      </c>
      <c r="E287">
        <v>2.7899999999999999E-3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1.66E-2</v>
      </c>
      <c r="E288">
        <v>2.7899999999999999E-3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1.66E-2</v>
      </c>
      <c r="E289">
        <v>2.7899999999999999E-3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1.66E-2</v>
      </c>
      <c r="E290">
        <v>2.7899999999999999E-3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1.66E-2</v>
      </c>
      <c r="E291">
        <v>2.7899999999999999E-3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1.66E-2</v>
      </c>
      <c r="E292">
        <v>2.7899999999999999E-3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1.66E-2</v>
      </c>
      <c r="E293">
        <v>2.7899999999999999E-3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1.66E-2</v>
      </c>
      <c r="E294">
        <v>2.7899999999999999E-3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1.66E-2</v>
      </c>
      <c r="E295">
        <v>2.7899999999999999E-3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1.66E-2</v>
      </c>
      <c r="E296">
        <v>2.7899999999999999E-3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1.66E-2</v>
      </c>
      <c r="E297">
        <v>2.7899999999999999E-3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1.66E-2</v>
      </c>
      <c r="E298">
        <v>2.7899999999999999E-3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1.66E-2</v>
      </c>
      <c r="E299">
        <v>2.7899999999999999E-3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1.66E-2</v>
      </c>
      <c r="E300">
        <v>2.7899999999999999E-3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1.66E-2</v>
      </c>
      <c r="E301">
        <v>2.7899999999999999E-3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1.66E-2</v>
      </c>
      <c r="E302">
        <v>2.7899999999999999E-3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1.66E-2</v>
      </c>
      <c r="E303">
        <v>2.7899999999999999E-3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2026-03-24T13:40:12Z</dcterms:modified>
</cp:coreProperties>
</file>