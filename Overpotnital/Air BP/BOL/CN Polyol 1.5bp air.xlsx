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D288D5C2-EF86-43E9-80F1-3280C50F523D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<sst xmlns="http://schemas.openxmlformats.org/spreadsheetml/2006/main" count="40" uniqueCount="36">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</sst>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67" zoomScale="85" zoomScaleNormal="85" workbookViewId="0">
      <selection activeCell="N272" sqref="N272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-0.5292</v>
      </c>
      <c r="AC3" t="s">
        <v>30</v>
      </c>
    </row>
    <row r="4" spans="1:29" x14ac:dyDescent="0.3">
      <c r="A4">
        <v>9.6210427582263947E-2</v>
      </c>
      <c r="B4">
        <v>0.87958282232284546</v>
      </c>
      <c r="C4">
        <f>A4*B4</f>
        <v>8.4625039429695459E-2</v>
      </c>
      <c r="D4">
        <v>1.5599999999999999E-2</v>
      </c>
      <c r="E4" s="1">
        <v>1.2999999999999999E-2</v>
      </c>
      <c r="F4">
        <f>A4*200</f>
        <v>19.242085516452789</v>
      </c>
      <c r="G4">
        <f>-B4</f>
        <v>-0.87958282232284546</v>
      </c>
      <c r="H4">
        <f t="shared" ref="H4" si="0">-C4*200</f>
        <v>-16.925007885939092</v>
      </c>
      <c r="I4">
        <v>1</v>
      </c>
      <c r="J4">
        <f>LN(F4/1000)</f>
        <v>-3.9506554447928428</v>
      </c>
      <c r="K4">
        <f>((-G4)-$N$2)</f>
        <v>-0.342142329452372</v>
      </c>
      <c r="L4">
        <v>1</v>
      </c>
      <c r="M4">
        <f>-1*($S$4+($S$5*J4))</f>
        <v>0.30185011171744636</v>
      </c>
      <c r="N4">
        <f>D4*A4</f>
        <v>1.5008826702833174E-3</v>
      </c>
      <c r="O4">
        <f>E4*A4</f>
        <v>1.2507355585694312E-3</v>
      </c>
      <c r="P4">
        <f>-K4-M4-N4-O4</f>
        <v>3.7540599506072893E-2</v>
      </c>
      <c r="R4" s="2" t="s">
        <v>16</v>
      </c>
      <c r="S4">
        <v>-0.48199999999999998</v>
      </c>
      <c r="V4">
        <v>-6</v>
      </c>
      <c r="W4">
        <f>V4*$S$5+$S$4</f>
        <v>-0.20839999999999997</v>
      </c>
      <c r="Y4">
        <v>0</v>
      </c>
      <c r="Z4">
        <f>$AB$4*Y4+$AB$3</f>
        <v>-0.5292</v>
      </c>
      <c r="AB4">
        <v>14.477</v>
      </c>
      <c r="AC4" t="s">
        <v>31</v>
      </c>
    </row>
    <row r="5" spans="1:29" x14ac:dyDescent="0.3">
      <c r="A5">
        <v>0.19566817581653595</v>
      </c>
      <c r="B5">
        <v>0.85081154108047485</v>
      </c>
      <c r="C5">
        <f t="shared" ref="C5:C68" si="1">A5*B5</f>
        <v>0.16647674220687225</v>
      </c>
      <c r="D5">
        <v>1.5599999999999999E-2</v>
      </c>
      <c r="E5" s="1">
        <v>1.2999999999999999E-2</v>
      </c>
      <c r="F5">
        <f t="shared" ref="F5:F68" si="2">A5*200</f>
        <v>39.13363516330719</v>
      </c>
      <c r="G5">
        <f t="shared" ref="G5:G68" si="3">-B5</f>
        <v>-0.85081154108047485</v>
      </c>
      <c r="H5">
        <f t="shared" ref="H5:H68" si="4">-C5*200</f>
        <v>-33.29534844137445</v>
      </c>
      <c r="I5">
        <v>1</v>
      </c>
      <c r="J5">
        <f t="shared" ref="J5:J68" si="5">LN(F5/1000)</f>
        <v>-3.2407729474246527</v>
      </c>
      <c r="K5">
        <f t="shared" ref="K5:K68" si="6">((-G5)-$N$2)</f>
        <v>-0.3709136106947426</v>
      </c>
      <c r="L5">
        <v>1</v>
      </c>
      <c r="M5">
        <f t="shared" ref="M5:M68" si="7">-1*($S$4+($S$5*J5))</f>
        <v>0.3342207535974358</v>
      </c>
      <c r="N5">
        <f t="shared" ref="N5:N6" si="8">D5*A5</f>
        <v>3.0524235427379608E-3</v>
      </c>
      <c r="O5">
        <f>E5*A5</f>
        <v>2.5436862856149673E-3</v>
      </c>
      <c r="P5">
        <f>-K5-M5-N5-O5</f>
        <v>3.1096747268953867E-2</v>
      </c>
      <c r="R5" s="2" t="s">
        <v>17</v>
      </c>
      <c r="S5">
        <v>-4.5600000000000002E-2</v>
      </c>
      <c r="V5">
        <v>-5.9</v>
      </c>
      <c r="W5">
        <f t="shared" ref="W5:W68" si="9">V5*$S$5+$S$4</f>
        <v>-0.21295999999999998</v>
      </c>
      <c r="Y5">
        <v>0.01</v>
      </c>
      <c r="Z5">
        <f t="shared" ref="Z5:Z31" si="10">$AB$4*Y5+$AB$3</f>
        <v>-0.38442999999999999</v>
      </c>
    </row>
    <row r="6" spans="1:29" x14ac:dyDescent="0.3">
      <c r="A6">
        <v>0.29368451237678528</v>
      </c>
      <c r="B6">
        <v>0.83013349771499634</v>
      </c>
      <c r="C6">
        <f t="shared" si="1"/>
        <v>0.2437973514840639</v>
      </c>
      <c r="D6">
        <v>1.5599999999999999E-2</v>
      </c>
      <c r="E6" s="1">
        <v>1.2999999999999999E-2</v>
      </c>
      <c r="F6">
        <f t="shared" si="2"/>
        <v>58.736902475357056</v>
      </c>
      <c r="G6">
        <f t="shared" si="3"/>
        <v>-0.83013349771499634</v>
      </c>
      <c r="H6">
        <f t="shared" si="4"/>
        <v>-48.759470296812779</v>
      </c>
      <c r="I6">
        <v>1</v>
      </c>
      <c r="J6">
        <f t="shared" si="5"/>
        <v>-2.8346870874015915</v>
      </c>
      <c r="K6">
        <f t="shared" si="6"/>
        <v>-0.39159165406022112</v>
      </c>
      <c r="L6">
        <v>1</v>
      </c>
      <c r="M6">
        <f t="shared" si="7"/>
        <v>0.35273826881448744</v>
      </c>
      <c r="N6">
        <f t="shared" si="8"/>
        <v>4.5814783930778497E-3</v>
      </c>
      <c r="O6">
        <f t="shared" ref="O6:O69" si="11">E6*A6</f>
        <v>3.8178986608982082E-3</v>
      </c>
      <c r="P6">
        <f t="shared" ref="P6:P69" si="12">-K6-M6-N6-O6</f>
        <v>3.0454008191757618E-2</v>
      </c>
      <c r="V6">
        <v>-5.8</v>
      </c>
      <c r="W6">
        <f t="shared" si="9"/>
        <v>-0.21751999999999999</v>
      </c>
      <c r="Y6">
        <v>0.02</v>
      </c>
      <c r="Z6">
        <f t="shared" si="10"/>
        <v>-0.23965999999999998</v>
      </c>
      <c r="AB6" t="s">
        <v>32</v>
      </c>
    </row>
    <row r="7" spans="1:29" x14ac:dyDescent="0.3">
      <c r="A7">
        <v>0.39674580097198486</v>
      </c>
      <c r="B7">
        <v>0.81305205821990967</v>
      </c>
      <c r="C7">
        <f t="shared" si="1"/>
        <v>0.32257499007037893</v>
      </c>
      <c r="D7">
        <v>1.5599999999999999E-2</v>
      </c>
      <c r="E7" s="1">
        <v>1.2999999999999999E-2</v>
      </c>
      <c r="F7">
        <f t="shared" si="2"/>
        <v>79.349160194396973</v>
      </c>
      <c r="G7">
        <f t="shared" si="3"/>
        <v>-0.81305205821990967</v>
      </c>
      <c r="H7">
        <f t="shared" si="4"/>
        <v>-64.514998014075786</v>
      </c>
      <c r="I7">
        <v>1</v>
      </c>
      <c r="J7">
        <f t="shared" si="5"/>
        <v>-2.5338974156272003</v>
      </c>
      <c r="K7">
        <f t="shared" si="6"/>
        <v>-0.40867309355530779</v>
      </c>
      <c r="L7">
        <v>1</v>
      </c>
      <c r="M7">
        <f t="shared" si="7"/>
        <v>0.36645427784739965</v>
      </c>
      <c r="N7">
        <f t="shared" ref="N7:N70" si="13">D7*A7</f>
        <v>6.1892344951629636E-3</v>
      </c>
      <c r="O7">
        <f t="shared" si="11"/>
        <v>5.1576954126358026E-3</v>
      </c>
      <c r="P7">
        <f t="shared" si="12"/>
        <v>3.0871885800109376E-2</v>
      </c>
      <c r="V7">
        <v>-5.7</v>
      </c>
      <c r="W7">
        <f t="shared" si="9"/>
        <v>-0.22207999999999994</v>
      </c>
      <c r="Y7">
        <v>0.03</v>
      </c>
      <c r="Z7">
        <f t="shared" si="10"/>
        <v>-9.489000000000003E-2</v>
      </c>
      <c r="AB7" t="s">
        <v>33</v>
      </c>
      <c r="AC7">
        <f>-AB3/AB4</f>
        <v>3.6554534779305106E-2</v>
      </c>
    </row>
    <row r="8" spans="1:29" x14ac:dyDescent="0.3">
      <c r="A8">
        <v>0.49476215243339539</v>
      </c>
      <c r="B8">
        <v>0.79814112186431885</v>
      </c>
      <c r="C8">
        <f t="shared" si="1"/>
        <v>0.39489001939919532</v>
      </c>
      <c r="D8">
        <v>1.5599999999999999E-2</v>
      </c>
      <c r="E8" s="1">
        <v>1.2999999999999999E-2</v>
      </c>
      <c r="F8">
        <f t="shared" si="2"/>
        <v>98.952430486679077</v>
      </c>
      <c r="G8">
        <f t="shared" si="3"/>
        <v>-0.79814112186431885</v>
      </c>
      <c r="H8">
        <f t="shared" si="4"/>
        <v>-78.978003879839065</v>
      </c>
      <c r="I8">
        <v>1</v>
      </c>
      <c r="J8">
        <f t="shared" si="5"/>
        <v>-2.3131160444592842</v>
      </c>
      <c r="K8">
        <f t="shared" si="6"/>
        <v>-0.42358402991089861</v>
      </c>
      <c r="L8">
        <v>1</v>
      </c>
      <c r="M8">
        <f t="shared" si="7"/>
        <v>0.37652190837265664</v>
      </c>
      <c r="N8">
        <f t="shared" si="13"/>
        <v>7.7182895779609679E-3</v>
      </c>
      <c r="O8">
        <f t="shared" si="11"/>
        <v>6.43190798163414E-3</v>
      </c>
      <c r="P8">
        <f t="shared" si="12"/>
        <v>3.2911923978646854E-2</v>
      </c>
      <c r="V8">
        <v>-5.6</v>
      </c>
      <c r="W8">
        <f t="shared" si="9"/>
        <v>-0.22664000000000001</v>
      </c>
      <c r="Y8">
        <v>0.04</v>
      </c>
      <c r="Z8">
        <f t="shared" si="10"/>
        <v>4.9880000000000035E-2</v>
      </c>
    </row>
    <row r="9" spans="1:29" x14ac:dyDescent="0.3">
      <c r="A9">
        <v>0.59854418039321899</v>
      </c>
      <c r="B9">
        <v>0.78453946113586426</v>
      </c>
      <c r="C9">
        <f t="shared" si="1"/>
        <v>0.46958152875170356</v>
      </c>
      <c r="D9">
        <v>1.5599999999999999E-2</v>
      </c>
      <c r="E9" s="1">
        <v>1.2999999999999999E-2</v>
      </c>
      <c r="F9">
        <f t="shared" si="2"/>
        <v>119.7088360786438</v>
      </c>
      <c r="G9">
        <f t="shared" si="3"/>
        <v>-0.78453946113586426</v>
      </c>
      <c r="H9">
        <f t="shared" si="4"/>
        <v>-93.916305750340712</v>
      </c>
      <c r="I9">
        <v>1</v>
      </c>
      <c r="J9">
        <f t="shared" si="5"/>
        <v>-2.1226928506076277</v>
      </c>
      <c r="K9">
        <f t="shared" si="6"/>
        <v>-0.4371856906393532</v>
      </c>
      <c r="L9">
        <v>1</v>
      </c>
      <c r="M9">
        <f t="shared" si="7"/>
        <v>0.38520520601229213</v>
      </c>
      <c r="N9">
        <f t="shared" si="13"/>
        <v>9.3372892141342159E-3</v>
      </c>
      <c r="O9">
        <f t="shared" si="11"/>
        <v>7.7810743451118469E-3</v>
      </c>
      <c r="P9">
        <f t="shared" si="12"/>
        <v>3.4862121067815E-2</v>
      </c>
      <c r="V9">
        <v>-5.5</v>
      </c>
      <c r="W9">
        <f t="shared" si="9"/>
        <v>-0.23119999999999996</v>
      </c>
      <c r="Y9">
        <v>0.05</v>
      </c>
      <c r="Z9">
        <f t="shared" si="10"/>
        <v>0.1946500000000001</v>
      </c>
      <c r="AB9" t="s">
        <v>35</v>
      </c>
      <c r="AC9">
        <v>3.2222000000000001E-2</v>
      </c>
    </row>
    <row r="10" spans="1:29" x14ac:dyDescent="0.3">
      <c r="A10">
        <v>0.70016402006149292</v>
      </c>
      <c r="B10">
        <v>0.77171534299850464</v>
      </c>
      <c r="C10">
        <f t="shared" si="1"/>
        <v>0.54032731689696689</v>
      </c>
      <c r="D10">
        <v>1.5599999999999999E-2</v>
      </c>
      <c r="E10" s="1">
        <v>1.2999999999999999E-2</v>
      </c>
      <c r="F10">
        <f t="shared" si="2"/>
        <v>140.03280401229858</v>
      </c>
      <c r="G10">
        <f t="shared" si="3"/>
        <v>-0.77171534299850464</v>
      </c>
      <c r="H10">
        <f t="shared" si="4"/>
        <v>-108.06546337939338</v>
      </c>
      <c r="I10">
        <v>1</v>
      </c>
      <c r="J10">
        <f t="shared" si="5"/>
        <v>-1.9658785694465968</v>
      </c>
      <c r="K10">
        <f t="shared" si="6"/>
        <v>-0.45000980877671282</v>
      </c>
      <c r="L10">
        <v>1</v>
      </c>
      <c r="M10">
        <f t="shared" si="7"/>
        <v>0.39235593723323514</v>
      </c>
      <c r="N10">
        <f t="shared" si="13"/>
        <v>1.0922558712959289E-2</v>
      </c>
      <c r="O10">
        <f t="shared" si="11"/>
        <v>9.102132260799407E-3</v>
      </c>
      <c r="P10">
        <f t="shared" si="12"/>
        <v>3.7629180569718979E-2</v>
      </c>
      <c r="V10">
        <v>-5.4</v>
      </c>
      <c r="W10">
        <f t="shared" si="9"/>
        <v>-0.23575999999999997</v>
      </c>
      <c r="Y10">
        <v>0.06</v>
      </c>
      <c r="Z10">
        <f t="shared" si="10"/>
        <v>0.33941999999999994</v>
      </c>
    </row>
    <row r="11" spans="1:29" x14ac:dyDescent="0.3">
      <c r="A11">
        <v>0.79890108108520508</v>
      </c>
      <c r="B11">
        <v>0.75944572687149048</v>
      </c>
      <c r="C11">
        <f t="shared" si="1"/>
        <v>0.60672201222317312</v>
      </c>
      <c r="D11">
        <v>1.5599999999999999E-2</v>
      </c>
      <c r="E11" s="1">
        <v>1.2999999999999999E-2</v>
      </c>
      <c r="F11">
        <f t="shared" si="2"/>
        <v>159.78021621704102</v>
      </c>
      <c r="G11">
        <f t="shared" si="3"/>
        <v>-0.75944572687149048</v>
      </c>
      <c r="H11">
        <f t="shared" si="4"/>
        <v>-121.34440244463462</v>
      </c>
      <c r="I11">
        <v>1</v>
      </c>
      <c r="J11">
        <f t="shared" si="5"/>
        <v>-1.8339560567119768</v>
      </c>
      <c r="K11">
        <f t="shared" si="6"/>
        <v>-0.46227942490372698</v>
      </c>
      <c r="L11">
        <v>1</v>
      </c>
      <c r="M11">
        <f t="shared" si="7"/>
        <v>0.39837160381393383</v>
      </c>
      <c r="N11">
        <f t="shared" si="13"/>
        <v>1.2462856864929199E-2</v>
      </c>
      <c r="O11">
        <f t="shared" si="11"/>
        <v>1.0385714054107665E-2</v>
      </c>
      <c r="P11">
        <f t="shared" si="12"/>
        <v>4.1059250170756283E-2</v>
      </c>
      <c r="V11">
        <v>-5.3</v>
      </c>
      <c r="W11">
        <f t="shared" si="9"/>
        <v>-0.24031999999999998</v>
      </c>
      <c r="Y11">
        <v>7.0000000000000007E-2</v>
      </c>
      <c r="Z11">
        <f t="shared" si="10"/>
        <v>0.48419000000000001</v>
      </c>
      <c r="AB11" t="s">
        <v>34</v>
      </c>
      <c r="AC11">
        <f>AC7-AC9</f>
        <v>4.3325347793051056E-3</v>
      </c>
    </row>
    <row r="12" spans="1:29" x14ac:dyDescent="0.3">
      <c r="A12">
        <v>0.89835882186889648</v>
      </c>
      <c r="B12">
        <v>0.74752229452133179</v>
      </c>
      <c r="C12">
        <f t="shared" si="1"/>
        <v>0.67154324782691788</v>
      </c>
      <c r="D12">
        <v>1.5599999999999999E-2</v>
      </c>
      <c r="E12" s="1">
        <v>1.2999999999999999E-2</v>
      </c>
      <c r="F12">
        <f t="shared" si="2"/>
        <v>179.6717643737793</v>
      </c>
      <c r="G12">
        <f t="shared" si="3"/>
        <v>-0.74752229452133179</v>
      </c>
      <c r="H12">
        <f t="shared" si="4"/>
        <v>-134.30864956538358</v>
      </c>
      <c r="I12">
        <v>1</v>
      </c>
      <c r="J12">
        <f t="shared" si="5"/>
        <v>-1.7166236240058412</v>
      </c>
      <c r="K12">
        <f t="shared" si="6"/>
        <v>-0.47420285725388567</v>
      </c>
      <c r="L12">
        <v>1</v>
      </c>
      <c r="M12">
        <f t="shared" si="7"/>
        <v>0.40372196274533362</v>
      </c>
      <c r="N12">
        <f t="shared" si="13"/>
        <v>1.4014397621154785E-2</v>
      </c>
      <c r="O12">
        <f t="shared" si="11"/>
        <v>1.1678664684295653E-2</v>
      </c>
      <c r="P12">
        <f t="shared" si="12"/>
        <v>4.4787832203101612E-2</v>
      </c>
      <c r="V12">
        <v>-5.2</v>
      </c>
      <c r="W12">
        <f t="shared" si="9"/>
        <v>-0.24487999999999996</v>
      </c>
      <c r="Y12">
        <v>0.08</v>
      </c>
      <c r="Z12">
        <f t="shared" si="10"/>
        <v>0.62896000000000007</v>
      </c>
      <c r="AC12">
        <f>AC11*3</f>
        <v>1.2997604337915317E-2</v>
      </c>
    </row>
    <row r="13" spans="1:29" x14ac:dyDescent="0.3">
      <c r="A13">
        <v>0.99853730201721191</v>
      </c>
      <c r="B13">
        <v>0.73593586683273315</v>
      </c>
      <c r="C13">
        <f t="shared" si="1"/>
        <v>0.73485941492485551</v>
      </c>
      <c r="D13">
        <v>1.5599999999999999E-2</v>
      </c>
      <c r="E13" s="1">
        <v>1.2999999999999999E-2</v>
      </c>
      <c r="F13">
        <f t="shared" si="2"/>
        <v>199.70746040344238</v>
      </c>
      <c r="G13">
        <f t="shared" si="3"/>
        <v>-0.73593586683273315</v>
      </c>
      <c r="H13">
        <f t="shared" si="4"/>
        <v>-146.9718829849711</v>
      </c>
      <c r="I13">
        <v>1</v>
      </c>
      <c r="J13">
        <f t="shared" si="5"/>
        <v>-1.6109016812038688</v>
      </c>
      <c r="K13">
        <f t="shared" si="6"/>
        <v>-0.4857892849424843</v>
      </c>
      <c r="L13">
        <v>1</v>
      </c>
      <c r="M13">
        <f t="shared" si="7"/>
        <v>0.40854288333710354</v>
      </c>
      <c r="N13">
        <f t="shared" si="13"/>
        <v>1.5577181911468506E-2</v>
      </c>
      <c r="O13">
        <f t="shared" si="11"/>
        <v>1.2980984926223755E-2</v>
      </c>
      <c r="P13">
        <f t="shared" si="12"/>
        <v>4.8688234767688507E-2</v>
      </c>
      <c r="V13">
        <v>-5.0999999999999996</v>
      </c>
      <c r="W13">
        <f t="shared" si="9"/>
        <v>-0.24944</v>
      </c>
      <c r="Y13">
        <v>0.09</v>
      </c>
      <c r="Z13">
        <f t="shared" si="10"/>
        <v>0.77372999999999992</v>
      </c>
    </row>
    <row r="14" spans="1:29" x14ac:dyDescent="0.3">
      <c r="A14">
        <v>1.0979950428009033</v>
      </c>
      <c r="B14">
        <v>0.72451674938201904</v>
      </c>
      <c r="C14">
        <f t="shared" si="1"/>
        <v>0.79551579924768134</v>
      </c>
      <c r="D14">
        <v>1.5599999999999999E-2</v>
      </c>
      <c r="E14" s="1">
        <v>1.2999999999999999E-2</v>
      </c>
      <c r="F14">
        <f t="shared" si="2"/>
        <v>219.59900856018066</v>
      </c>
      <c r="G14">
        <f t="shared" si="3"/>
        <v>-0.72451674938201904</v>
      </c>
      <c r="H14">
        <f t="shared" si="4"/>
        <v>-159.10315984953627</v>
      </c>
      <c r="I14">
        <v>1</v>
      </c>
      <c r="J14">
        <f t="shared" si="5"/>
        <v>-1.5159520841102287</v>
      </c>
      <c r="K14">
        <f t="shared" si="6"/>
        <v>-0.49720840239319841</v>
      </c>
      <c r="L14">
        <v>1</v>
      </c>
      <c r="M14">
        <f t="shared" si="7"/>
        <v>0.41287258496457357</v>
      </c>
      <c r="N14">
        <f t="shared" si="13"/>
        <v>1.712872266769409E-2</v>
      </c>
      <c r="O14">
        <f t="shared" si="11"/>
        <v>1.4273935556411743E-2</v>
      </c>
      <c r="P14">
        <f t="shared" si="12"/>
        <v>5.2933159204518999E-2</v>
      </c>
      <c r="V14">
        <v>-5</v>
      </c>
      <c r="W14">
        <f t="shared" si="9"/>
        <v>-0.254</v>
      </c>
      <c r="Y14">
        <v>0.1</v>
      </c>
      <c r="Z14">
        <f t="shared" si="10"/>
        <v>0.91850000000000021</v>
      </c>
    </row>
    <row r="15" spans="1:29" x14ac:dyDescent="0.3">
      <c r="A15">
        <v>1.1938492059707642</v>
      </c>
      <c r="B15">
        <v>0.71326881647109985</v>
      </c>
      <c r="C15">
        <f t="shared" si="1"/>
        <v>0.85153541018772927</v>
      </c>
      <c r="D15">
        <v>1.5599999999999999E-2</v>
      </c>
      <c r="E15" s="1">
        <v>1.2999999999999999E-2</v>
      </c>
      <c r="F15">
        <f t="shared" si="2"/>
        <v>238.76984119415283</v>
      </c>
      <c r="G15">
        <f t="shared" si="3"/>
        <v>-0.71326881647109985</v>
      </c>
      <c r="H15">
        <f t="shared" si="4"/>
        <v>-170.30708203754585</v>
      </c>
      <c r="I15">
        <v>1</v>
      </c>
      <c r="J15">
        <f t="shared" si="5"/>
        <v>-1.4322551985961562</v>
      </c>
      <c r="K15">
        <f t="shared" si="6"/>
        <v>-0.5084563353041176</v>
      </c>
      <c r="L15">
        <v>1</v>
      </c>
      <c r="M15">
        <f t="shared" si="7"/>
        <v>0.41668916294401526</v>
      </c>
      <c r="N15">
        <f t="shared" si="13"/>
        <v>1.8624047613143919E-2</v>
      </c>
      <c r="O15">
        <f t="shared" si="11"/>
        <v>1.5520039677619933E-2</v>
      </c>
      <c r="P15">
        <f t="shared" si="12"/>
        <v>5.7623085069338498E-2</v>
      </c>
      <c r="V15">
        <v>-4.9000000000000004</v>
      </c>
      <c r="W15">
        <f t="shared" si="9"/>
        <v>-0.25855999999999996</v>
      </c>
      <c r="Y15">
        <v>0.11</v>
      </c>
      <c r="Z15">
        <f t="shared" si="10"/>
        <v>1.0632700000000002</v>
      </c>
    </row>
    <row r="16" spans="1:29" x14ac:dyDescent="0.3">
      <c r="A16">
        <v>1.2947484254837036</v>
      </c>
      <c r="B16">
        <v>0.70208358764648438</v>
      </c>
      <c r="C16">
        <f t="shared" si="1"/>
        <v>0.90902161966323547</v>
      </c>
      <c r="D16">
        <v>1.5599999999999999E-2</v>
      </c>
      <c r="E16" s="1">
        <v>1.2999999999999999E-2</v>
      </c>
      <c r="F16">
        <f t="shared" si="2"/>
        <v>258.94968509674072</v>
      </c>
      <c r="G16">
        <f t="shared" si="3"/>
        <v>-0.70208358764648438</v>
      </c>
      <c r="H16">
        <f t="shared" si="4"/>
        <v>-181.80432393264709</v>
      </c>
      <c r="I16">
        <v>1</v>
      </c>
      <c r="J16">
        <f t="shared" si="5"/>
        <v>-1.3511215021904399</v>
      </c>
      <c r="K16">
        <f t="shared" si="6"/>
        <v>-0.51964156412873308</v>
      </c>
      <c r="L16">
        <v>1</v>
      </c>
      <c r="M16">
        <f t="shared" si="7"/>
        <v>0.42038885950011595</v>
      </c>
      <c r="N16">
        <f t="shared" si="13"/>
        <v>2.0198075437545777E-2</v>
      </c>
      <c r="O16">
        <f t="shared" si="11"/>
        <v>1.6831729531288146E-2</v>
      </c>
      <c r="P16">
        <f t="shared" si="12"/>
        <v>6.2222899659783212E-2</v>
      </c>
      <c r="V16">
        <v>-4.8</v>
      </c>
      <c r="W16">
        <f t="shared" si="9"/>
        <v>-0.26312000000000002</v>
      </c>
      <c r="Y16">
        <v>0.12</v>
      </c>
      <c r="Z16">
        <f t="shared" si="10"/>
        <v>1.20804</v>
      </c>
    </row>
    <row r="17" spans="1:26" x14ac:dyDescent="0.3">
      <c r="A17">
        <v>1.394206166267395</v>
      </c>
      <c r="B17">
        <v>0.69115954637527466</v>
      </c>
      <c r="C17">
        <f t="shared" si="1"/>
        <v>0.9636189014309835</v>
      </c>
      <c r="D17">
        <v>1.5599999999999999E-2</v>
      </c>
      <c r="E17" s="1">
        <v>1.2999999999999999E-2</v>
      </c>
      <c r="F17">
        <f t="shared" si="2"/>
        <v>278.841233253479</v>
      </c>
      <c r="G17">
        <f t="shared" si="3"/>
        <v>-0.69115954637527466</v>
      </c>
      <c r="H17">
        <f t="shared" si="4"/>
        <v>-192.7237802861967</v>
      </c>
      <c r="I17">
        <v>1</v>
      </c>
      <c r="J17">
        <f t="shared" si="5"/>
        <v>-1.2771127155739814</v>
      </c>
      <c r="K17">
        <f t="shared" si="6"/>
        <v>-0.5305656053999428</v>
      </c>
      <c r="L17">
        <v>1</v>
      </c>
      <c r="M17">
        <f t="shared" si="7"/>
        <v>0.42376366016982642</v>
      </c>
      <c r="N17">
        <f t="shared" si="13"/>
        <v>2.1749616193771363E-2</v>
      </c>
      <c r="O17">
        <f t="shared" si="11"/>
        <v>1.8124680161476135E-2</v>
      </c>
      <c r="P17">
        <f t="shared" si="12"/>
        <v>6.6927648874868878E-2</v>
      </c>
      <c r="V17">
        <v>-4.7</v>
      </c>
      <c r="W17">
        <f t="shared" si="9"/>
        <v>-0.26767999999999997</v>
      </c>
      <c r="Y17">
        <v>0.13</v>
      </c>
      <c r="Z17">
        <f t="shared" si="10"/>
        <v>1.3528100000000003</v>
      </c>
    </row>
    <row r="18" spans="1:26" x14ac:dyDescent="0.3">
      <c r="A18">
        <v>1.4915018081665039</v>
      </c>
      <c r="B18">
        <v>0.68021166324615479</v>
      </c>
      <c r="C18">
        <f t="shared" si="1"/>
        <v>1.0145369256675849</v>
      </c>
      <c r="D18">
        <v>1.5599999999999999E-2</v>
      </c>
      <c r="E18" s="1">
        <v>1.2999999999999999E-2</v>
      </c>
      <c r="F18">
        <f t="shared" si="2"/>
        <v>298.30036163330078</v>
      </c>
      <c r="G18">
        <f t="shared" si="3"/>
        <v>-0.68021166324615479</v>
      </c>
      <c r="H18">
        <f t="shared" si="4"/>
        <v>-202.90738513351698</v>
      </c>
      <c r="I18">
        <v>1</v>
      </c>
      <c r="J18">
        <f t="shared" si="5"/>
        <v>-1.2096543751480533</v>
      </c>
      <c r="K18">
        <f t="shared" si="6"/>
        <v>-0.54151348852906267</v>
      </c>
      <c r="L18">
        <v>1</v>
      </c>
      <c r="M18">
        <f t="shared" si="7"/>
        <v>0.42683976049324873</v>
      </c>
      <c r="N18">
        <f t="shared" si="13"/>
        <v>2.326742820739746E-2</v>
      </c>
      <c r="O18">
        <f t="shared" si="11"/>
        <v>1.938952350616455E-2</v>
      </c>
      <c r="P18">
        <f t="shared" si="12"/>
        <v>7.2016776322251924E-2</v>
      </c>
      <c r="V18">
        <v>-4.5999999999999996</v>
      </c>
      <c r="W18">
        <f t="shared" si="9"/>
        <v>-0.27223999999999998</v>
      </c>
      <c r="Y18">
        <v>0.14000000000000001</v>
      </c>
      <c r="Z18">
        <f t="shared" si="10"/>
        <v>1.4975800000000001</v>
      </c>
    </row>
    <row r="19" spans="1:26" x14ac:dyDescent="0.3">
      <c r="A19">
        <v>1.5931216478347778</v>
      </c>
      <c r="B19">
        <v>0.66929274797439575</v>
      </c>
      <c r="C19">
        <f t="shared" si="1"/>
        <v>1.066264765536836</v>
      </c>
      <c r="D19">
        <v>1.5599999999999999E-2</v>
      </c>
      <c r="E19" s="1">
        <v>1.2999999999999999E-2</v>
      </c>
      <c r="F19">
        <f t="shared" si="2"/>
        <v>318.62432956695557</v>
      </c>
      <c r="G19">
        <f t="shared" si="3"/>
        <v>-0.66929274797439575</v>
      </c>
      <c r="H19">
        <f t="shared" si="4"/>
        <v>-213.2529531073672</v>
      </c>
      <c r="I19">
        <v>1</v>
      </c>
      <c r="J19">
        <f t="shared" si="5"/>
        <v>-1.1437425204325811</v>
      </c>
      <c r="K19">
        <f t="shared" si="6"/>
        <v>-0.5524324038008217</v>
      </c>
      <c r="L19">
        <v>1</v>
      </c>
      <c r="M19">
        <f t="shared" si="7"/>
        <v>0.42984534106827427</v>
      </c>
      <c r="N19">
        <f t="shared" si="13"/>
        <v>2.4852697706222532E-2</v>
      </c>
      <c r="O19">
        <f t="shared" si="11"/>
        <v>2.0710581421852111E-2</v>
      </c>
      <c r="P19">
        <f t="shared" si="12"/>
        <v>7.702378360447279E-2</v>
      </c>
      <c r="V19">
        <v>-4.5000000000000098</v>
      </c>
      <c r="W19">
        <f t="shared" si="9"/>
        <v>-0.27679999999999949</v>
      </c>
      <c r="Y19">
        <v>0.15</v>
      </c>
      <c r="Z19">
        <f t="shared" si="10"/>
        <v>1.64235</v>
      </c>
    </row>
    <row r="20" spans="1:26" x14ac:dyDescent="0.3">
      <c r="A20">
        <v>1.6918587684631348</v>
      </c>
      <c r="B20">
        <v>0.65848261117935181</v>
      </c>
      <c r="C20">
        <f t="shared" si="1"/>
        <v>1.1140595796042874</v>
      </c>
      <c r="D20">
        <v>1.5599999999999999E-2</v>
      </c>
      <c r="E20" s="1">
        <v>1.2999999999999999E-2</v>
      </c>
      <c r="F20">
        <f t="shared" si="2"/>
        <v>338.37175369262695</v>
      </c>
      <c r="G20">
        <f t="shared" si="3"/>
        <v>-0.65848261117935181</v>
      </c>
      <c r="H20">
        <f t="shared" si="4"/>
        <v>-222.81191592085747</v>
      </c>
      <c r="I20">
        <v>1</v>
      </c>
      <c r="J20">
        <f t="shared" si="5"/>
        <v>-1.0836101249093502</v>
      </c>
      <c r="K20">
        <f t="shared" si="6"/>
        <v>-0.56324254059586565</v>
      </c>
      <c r="L20">
        <v>1</v>
      </c>
      <c r="M20">
        <f t="shared" si="7"/>
        <v>0.43258737830413363</v>
      </c>
      <c r="N20">
        <f t="shared" si="13"/>
        <v>2.6392996788024901E-2</v>
      </c>
      <c r="O20">
        <f t="shared" si="11"/>
        <v>2.199416399002075E-2</v>
      </c>
      <c r="P20">
        <f t="shared" si="12"/>
        <v>8.2268001513686378E-2</v>
      </c>
      <c r="V20">
        <v>-4.4000000000000101</v>
      </c>
      <c r="W20">
        <f t="shared" si="9"/>
        <v>-0.2813599999999995</v>
      </c>
      <c r="Y20">
        <v>0.16</v>
      </c>
      <c r="Z20">
        <f t="shared" si="10"/>
        <v>1.7871200000000003</v>
      </c>
    </row>
    <row r="21" spans="1:26" x14ac:dyDescent="0.3">
      <c r="A21">
        <v>1.7927578687667847</v>
      </c>
      <c r="B21">
        <v>0.64766812324523926</v>
      </c>
      <c r="C21">
        <f t="shared" si="1"/>
        <v>1.1611121242973184</v>
      </c>
      <c r="D21">
        <v>1.5599999999999999E-2</v>
      </c>
      <c r="E21" s="1">
        <v>1.2999999999999999E-2</v>
      </c>
      <c r="F21">
        <f t="shared" si="2"/>
        <v>358.55157375335693</v>
      </c>
      <c r="G21">
        <f t="shared" si="3"/>
        <v>-0.64766812324523926</v>
      </c>
      <c r="H21">
        <f t="shared" si="4"/>
        <v>-232.22242485946367</v>
      </c>
      <c r="I21">
        <v>1</v>
      </c>
      <c r="J21">
        <f t="shared" si="5"/>
        <v>-1.025682769447297</v>
      </c>
      <c r="K21">
        <f t="shared" si="6"/>
        <v>-0.5740570285299782</v>
      </c>
      <c r="L21">
        <v>1</v>
      </c>
      <c r="M21">
        <f t="shared" si="7"/>
        <v>0.43522886571320324</v>
      </c>
      <c r="N21">
        <f t="shared" si="13"/>
        <v>2.796702275276184E-2</v>
      </c>
      <c r="O21">
        <f t="shared" si="11"/>
        <v>2.3305852293968199E-2</v>
      </c>
      <c r="P21">
        <f t="shared" si="12"/>
        <v>8.7555287770044926E-2</v>
      </c>
      <c r="V21">
        <v>-4.3000000000000096</v>
      </c>
      <c r="W21">
        <f t="shared" si="9"/>
        <v>-0.28591999999999951</v>
      </c>
      <c r="Y21">
        <v>0.17</v>
      </c>
      <c r="Z21">
        <f t="shared" si="10"/>
        <v>1.9318900000000006</v>
      </c>
    </row>
    <row r="22" spans="1:26" x14ac:dyDescent="0.3">
      <c r="A22">
        <v>1.8958191871643066</v>
      </c>
      <c r="B22">
        <v>0.63681507110595703</v>
      </c>
      <c r="C22">
        <f t="shared" si="1"/>
        <v>1.2072862304780756</v>
      </c>
      <c r="D22">
        <v>1.5599999999999999E-2</v>
      </c>
      <c r="E22" s="1">
        <v>1.2999999999999999E-2</v>
      </c>
      <c r="F22">
        <f t="shared" si="2"/>
        <v>379.16383743286133</v>
      </c>
      <c r="G22">
        <f t="shared" si="3"/>
        <v>-0.63681507110595703</v>
      </c>
      <c r="H22">
        <f t="shared" si="4"/>
        <v>-241.45724609561512</v>
      </c>
      <c r="I22">
        <v>1</v>
      </c>
      <c r="J22">
        <f t="shared" si="5"/>
        <v>-0.96978687856851065</v>
      </c>
      <c r="K22">
        <f t="shared" si="6"/>
        <v>-0.58491008066926042</v>
      </c>
      <c r="L22">
        <v>1</v>
      </c>
      <c r="M22">
        <f t="shared" si="7"/>
        <v>0.43777771833727591</v>
      </c>
      <c r="N22">
        <f t="shared" si="13"/>
        <v>2.9574779319763184E-2</v>
      </c>
      <c r="O22">
        <f t="shared" si="11"/>
        <v>2.4645649433135984E-2</v>
      </c>
      <c r="P22">
        <f t="shared" si="12"/>
        <v>9.2911933579085337E-2</v>
      </c>
      <c r="V22">
        <v>-4.2000000000000099</v>
      </c>
      <c r="W22">
        <f t="shared" si="9"/>
        <v>-0.29047999999999952</v>
      </c>
      <c r="Y22">
        <v>0.18</v>
      </c>
      <c r="Z22">
        <f t="shared" si="10"/>
        <v>2.07666</v>
      </c>
    </row>
    <row r="23" spans="1:26" x14ac:dyDescent="0.3">
      <c r="A23">
        <v>1.9938355684280396</v>
      </c>
      <c r="B23">
        <v>0.6260981559753418</v>
      </c>
      <c r="C23">
        <f t="shared" si="1"/>
        <v>1.248336772710843</v>
      </c>
      <c r="D23">
        <v>1.5599999999999999E-2</v>
      </c>
      <c r="E23" s="1">
        <v>1.2999999999999999E-2</v>
      </c>
      <c r="F23">
        <f t="shared" si="2"/>
        <v>398.76711368560791</v>
      </c>
      <c r="G23">
        <f t="shared" si="3"/>
        <v>-0.6260981559753418</v>
      </c>
      <c r="H23">
        <f t="shared" si="4"/>
        <v>-249.6673545421686</v>
      </c>
      <c r="I23">
        <v>1</v>
      </c>
      <c r="J23">
        <f t="shared" si="5"/>
        <v>-0.91937770747023517</v>
      </c>
      <c r="K23">
        <f t="shared" si="6"/>
        <v>-0.59562699579987566</v>
      </c>
      <c r="L23">
        <v>1</v>
      </c>
      <c r="M23">
        <f t="shared" si="7"/>
        <v>0.44007637653935727</v>
      </c>
      <c r="N23">
        <f t="shared" si="13"/>
        <v>3.1103834867477417E-2</v>
      </c>
      <c r="O23">
        <f t="shared" si="11"/>
        <v>2.5919862389564514E-2</v>
      </c>
      <c r="P23">
        <f t="shared" si="12"/>
        <v>9.8526922003476458E-2</v>
      </c>
      <c r="V23">
        <v>-4.1000000000000103</v>
      </c>
      <c r="W23">
        <f t="shared" si="9"/>
        <v>-0.29503999999999952</v>
      </c>
      <c r="Y23">
        <v>0.19</v>
      </c>
      <c r="Z23">
        <f t="shared" si="10"/>
        <v>2.2214300000000002</v>
      </c>
    </row>
    <row r="24" spans="1:26" x14ac:dyDescent="0.3">
      <c r="A24">
        <v>2.0940139293670654</v>
      </c>
      <c r="B24">
        <v>0.61532491445541382</v>
      </c>
      <c r="C24">
        <f t="shared" si="1"/>
        <v>1.2884989419562345</v>
      </c>
      <c r="D24">
        <v>1.5599999999999999E-2</v>
      </c>
      <c r="E24" s="1">
        <v>1.2999999999999999E-2</v>
      </c>
      <c r="F24">
        <f t="shared" si="2"/>
        <v>418.80278587341309</v>
      </c>
      <c r="G24">
        <f t="shared" si="3"/>
        <v>-0.61532491445541382</v>
      </c>
      <c r="H24">
        <f t="shared" si="4"/>
        <v>-257.6997883912469</v>
      </c>
      <c r="I24">
        <v>1</v>
      </c>
      <c r="J24">
        <f t="shared" si="5"/>
        <v>-0.87035514797012192</v>
      </c>
      <c r="K24">
        <f t="shared" si="6"/>
        <v>-0.60640023731980364</v>
      </c>
      <c r="L24">
        <v>1</v>
      </c>
      <c r="M24">
        <f t="shared" si="7"/>
        <v>0.44231180525256242</v>
      </c>
      <c r="N24">
        <f t="shared" si="13"/>
        <v>3.266661729812622E-2</v>
      </c>
      <c r="O24">
        <f t="shared" si="11"/>
        <v>2.7222181081771848E-2</v>
      </c>
      <c r="P24">
        <f t="shared" si="12"/>
        <v>0.10419963368734314</v>
      </c>
      <c r="V24">
        <v>-4.0000000000000098</v>
      </c>
      <c r="W24">
        <f t="shared" si="9"/>
        <v>-0.29959999999999953</v>
      </c>
      <c r="Y24">
        <v>0.2</v>
      </c>
      <c r="Z24">
        <f t="shared" si="10"/>
        <v>2.3662000000000005</v>
      </c>
    </row>
    <row r="25" spans="1:26" x14ac:dyDescent="0.3">
      <c r="A25">
        <v>2.1920304298400879</v>
      </c>
      <c r="B25">
        <v>0.60467123985290527</v>
      </c>
      <c r="C25">
        <f t="shared" si="1"/>
        <v>1.3254577578067028</v>
      </c>
      <c r="D25">
        <v>1.5599999999999999E-2</v>
      </c>
      <c r="E25" s="1">
        <v>1.2999999999999999E-2</v>
      </c>
      <c r="F25">
        <f t="shared" si="2"/>
        <v>438.40608596801758</v>
      </c>
      <c r="G25">
        <f t="shared" si="3"/>
        <v>-0.60467123985290527</v>
      </c>
      <c r="H25">
        <f t="shared" si="4"/>
        <v>-265.09155156134057</v>
      </c>
      <c r="I25">
        <v>1</v>
      </c>
      <c r="J25">
        <f t="shared" si="5"/>
        <v>-0.82460966121837109</v>
      </c>
      <c r="K25">
        <f t="shared" si="6"/>
        <v>-0.61705391192231218</v>
      </c>
      <c r="L25">
        <v>1</v>
      </c>
      <c r="M25">
        <f t="shared" si="7"/>
        <v>0.44439779944844227</v>
      </c>
      <c r="N25">
        <f t="shared" si="13"/>
        <v>3.4195674705505372E-2</v>
      </c>
      <c r="O25">
        <f t="shared" si="11"/>
        <v>2.849639558792114E-2</v>
      </c>
      <c r="P25">
        <f t="shared" si="12"/>
        <v>0.10996404218044339</v>
      </c>
      <c r="V25">
        <v>-3.9000000000000101</v>
      </c>
      <c r="W25">
        <f t="shared" si="9"/>
        <v>-0.30415999999999954</v>
      </c>
      <c r="Y25">
        <v>0.21</v>
      </c>
      <c r="Z25">
        <f t="shared" si="10"/>
        <v>2.5109699999999999</v>
      </c>
    </row>
    <row r="26" spans="1:26" x14ac:dyDescent="0.3">
      <c r="A26">
        <v>2.2929294109344482</v>
      </c>
      <c r="B26">
        <v>0.59393930435180664</v>
      </c>
      <c r="C26">
        <f t="shared" si="1"/>
        <v>1.361860899258204</v>
      </c>
      <c r="D26">
        <v>1.5599999999999999E-2</v>
      </c>
      <c r="E26" s="1">
        <v>1.2999999999999999E-2</v>
      </c>
      <c r="F26">
        <f t="shared" si="2"/>
        <v>458.58588218688965</v>
      </c>
      <c r="G26">
        <f t="shared" si="3"/>
        <v>-0.59393930435180664</v>
      </c>
      <c r="H26">
        <f t="shared" si="4"/>
        <v>-272.37217985164079</v>
      </c>
      <c r="I26">
        <v>1</v>
      </c>
      <c r="J26">
        <f t="shared" si="5"/>
        <v>-0.7796076936224855</v>
      </c>
      <c r="K26">
        <f t="shared" si="6"/>
        <v>-0.62778584742341081</v>
      </c>
      <c r="L26">
        <v>1</v>
      </c>
      <c r="M26">
        <f t="shared" si="7"/>
        <v>0.44644988917081463</v>
      </c>
      <c r="N26">
        <f t="shared" si="13"/>
        <v>3.5769698810577392E-2</v>
      </c>
      <c r="O26">
        <f t="shared" si="11"/>
        <v>2.9808082342147827E-2</v>
      </c>
      <c r="P26">
        <f t="shared" si="12"/>
        <v>0.11575817709987096</v>
      </c>
      <c r="V26">
        <v>-3.80000000000001</v>
      </c>
      <c r="W26">
        <f t="shared" si="9"/>
        <v>-0.30871999999999955</v>
      </c>
      <c r="Y26">
        <v>0.22</v>
      </c>
      <c r="Z26">
        <f t="shared" si="10"/>
        <v>2.6557400000000002</v>
      </c>
    </row>
    <row r="27" spans="1:26" x14ac:dyDescent="0.3">
      <c r="A27">
        <v>2.3923871517181396</v>
      </c>
      <c r="B27">
        <v>0.58314114809036255</v>
      </c>
      <c r="C27">
        <f t="shared" si="1"/>
        <v>1.3950993903295483</v>
      </c>
      <c r="D27">
        <v>1.5599999999999999E-2</v>
      </c>
      <c r="E27" s="1">
        <v>1.2999999999999999E-2</v>
      </c>
      <c r="F27">
        <f t="shared" si="2"/>
        <v>478.47743034362793</v>
      </c>
      <c r="G27">
        <f t="shared" si="3"/>
        <v>-0.58314114809036255</v>
      </c>
      <c r="H27">
        <f t="shared" si="4"/>
        <v>-279.01987806590967</v>
      </c>
      <c r="I27">
        <v>1</v>
      </c>
      <c r="J27">
        <f t="shared" si="5"/>
        <v>-0.73714623671747947</v>
      </c>
      <c r="K27">
        <f t="shared" si="6"/>
        <v>-0.63858400368485491</v>
      </c>
      <c r="L27">
        <v>1</v>
      </c>
      <c r="M27">
        <f t="shared" si="7"/>
        <v>0.44838613160568291</v>
      </c>
      <c r="N27">
        <f t="shared" si="13"/>
        <v>3.7321239566802979E-2</v>
      </c>
      <c r="O27">
        <f t="shared" si="11"/>
        <v>3.1101032972335813E-2</v>
      </c>
      <c r="P27">
        <f t="shared" si="12"/>
        <v>0.12177559954003321</v>
      </c>
      <c r="V27">
        <v>-3.7000000000000099</v>
      </c>
      <c r="W27">
        <f t="shared" si="9"/>
        <v>-0.31327999999999956</v>
      </c>
      <c r="Y27">
        <v>0.23</v>
      </c>
      <c r="Z27">
        <f t="shared" si="10"/>
        <v>2.8005100000000005</v>
      </c>
    </row>
    <row r="28" spans="1:26" x14ac:dyDescent="0.3">
      <c r="A28">
        <v>2.4925656318664551</v>
      </c>
      <c r="B28">
        <v>0.57251793146133423</v>
      </c>
      <c r="C28">
        <f t="shared" si="1"/>
        <v>1.4270385195877964</v>
      </c>
      <c r="D28">
        <v>1.5599999999999999E-2</v>
      </c>
      <c r="E28" s="1">
        <v>1.2999999999999999E-2</v>
      </c>
      <c r="F28">
        <f t="shared" si="2"/>
        <v>498.51312637329102</v>
      </c>
      <c r="G28">
        <f t="shared" si="3"/>
        <v>-0.57251793146133423</v>
      </c>
      <c r="H28">
        <f t="shared" si="4"/>
        <v>-285.40770391755927</v>
      </c>
      <c r="I28">
        <v>1</v>
      </c>
      <c r="J28">
        <f t="shared" si="5"/>
        <v>-0.69612535818511079</v>
      </c>
      <c r="K28">
        <f t="shared" si="6"/>
        <v>-0.64920722031388323</v>
      </c>
      <c r="L28">
        <v>1</v>
      </c>
      <c r="M28">
        <f t="shared" si="7"/>
        <v>0.45025668366675892</v>
      </c>
      <c r="N28">
        <f t="shared" si="13"/>
        <v>3.8884023857116701E-2</v>
      </c>
      <c r="O28">
        <f t="shared" si="11"/>
        <v>3.2403353214263915E-2</v>
      </c>
      <c r="P28">
        <f t="shared" si="12"/>
        <v>0.1276631595757437</v>
      </c>
      <c r="V28">
        <v>-3.6000000000000099</v>
      </c>
      <c r="W28">
        <f t="shared" si="9"/>
        <v>-0.31783999999999957</v>
      </c>
      <c r="Y28">
        <v>0.24</v>
      </c>
      <c r="Z28">
        <f t="shared" si="10"/>
        <v>2.9452799999999999</v>
      </c>
    </row>
    <row r="29" spans="1:26" x14ac:dyDescent="0.3">
      <c r="A29">
        <v>2.5920233726501465</v>
      </c>
      <c r="B29">
        <v>0.56186270713806152</v>
      </c>
      <c r="C29">
        <f t="shared" si="1"/>
        <v>1.4563612691223398</v>
      </c>
      <c r="D29">
        <v>1.5599999999999999E-2</v>
      </c>
      <c r="E29" s="1">
        <v>1.2999999999999999E-2</v>
      </c>
      <c r="F29">
        <f t="shared" si="2"/>
        <v>518.4046745300293</v>
      </c>
      <c r="G29">
        <f t="shared" si="3"/>
        <v>-0.56186270713806152</v>
      </c>
      <c r="H29">
        <f t="shared" si="4"/>
        <v>-291.27225382446795</v>
      </c>
      <c r="I29">
        <v>1</v>
      </c>
      <c r="J29">
        <f t="shared" si="5"/>
        <v>-0.65699911675859035</v>
      </c>
      <c r="K29">
        <f t="shared" si="6"/>
        <v>-0.65986244463715593</v>
      </c>
      <c r="L29">
        <v>1</v>
      </c>
      <c r="M29">
        <f t="shared" si="7"/>
        <v>0.45204084027580826</v>
      </c>
      <c r="N29">
        <f t="shared" si="13"/>
        <v>4.043556461334228E-2</v>
      </c>
      <c r="O29">
        <f t="shared" si="11"/>
        <v>3.3696303844451901E-2</v>
      </c>
      <c r="P29">
        <f t="shared" si="12"/>
        <v>0.13368973590355349</v>
      </c>
      <c r="V29">
        <v>-3.5000000000000102</v>
      </c>
      <c r="W29">
        <f t="shared" si="9"/>
        <v>-0.32239999999999952</v>
      </c>
      <c r="Y29">
        <v>0.25</v>
      </c>
      <c r="Z29">
        <f t="shared" si="10"/>
        <v>3.0900500000000002</v>
      </c>
    </row>
    <row r="30" spans="1:26" x14ac:dyDescent="0.3">
      <c r="A30">
        <v>2.6893191337585449</v>
      </c>
      <c r="B30">
        <v>0.55138182640075684</v>
      </c>
      <c r="C30">
        <f t="shared" si="1"/>
        <v>1.4828416957462878</v>
      </c>
      <c r="D30">
        <v>1.5599999999999999E-2</v>
      </c>
      <c r="E30" s="1">
        <v>1.2999999999999999E-2</v>
      </c>
      <c r="F30">
        <f t="shared" si="2"/>
        <v>537.86382675170898</v>
      </c>
      <c r="G30">
        <f t="shared" si="3"/>
        <v>-0.55138182640075684</v>
      </c>
      <c r="H30">
        <f t="shared" si="4"/>
        <v>-296.56833914925755</v>
      </c>
      <c r="I30">
        <v>1</v>
      </c>
      <c r="J30">
        <f t="shared" si="5"/>
        <v>-0.62014986098506197</v>
      </c>
      <c r="K30">
        <f t="shared" si="6"/>
        <v>-0.67034332537446062</v>
      </c>
      <c r="L30">
        <v>1</v>
      </c>
      <c r="M30">
        <f t="shared" si="7"/>
        <v>0.45372116633908116</v>
      </c>
      <c r="N30">
        <f t="shared" si="13"/>
        <v>4.1953378486633296E-2</v>
      </c>
      <c r="O30">
        <f t="shared" si="11"/>
        <v>3.4961148738861081E-2</v>
      </c>
      <c r="P30">
        <f t="shared" si="12"/>
        <v>0.13970763180988507</v>
      </c>
      <c r="V30">
        <v>-3.4000000000000101</v>
      </c>
      <c r="W30">
        <f t="shared" si="9"/>
        <v>-0.32695999999999953</v>
      </c>
      <c r="Y30">
        <v>0.26</v>
      </c>
      <c r="Z30">
        <f t="shared" si="10"/>
        <v>3.2348200000000005</v>
      </c>
    </row>
    <row r="31" spans="1:26" x14ac:dyDescent="0.3">
      <c r="A31">
        <v>2.7880561351776123</v>
      </c>
      <c r="B31">
        <v>0.54069536924362183</v>
      </c>
      <c r="C31">
        <f t="shared" si="1"/>
        <v>1.5074890414818043</v>
      </c>
      <c r="D31">
        <v>1.5599999999999999E-2</v>
      </c>
      <c r="E31" s="1">
        <v>1.2999999999999999E-2</v>
      </c>
      <c r="F31">
        <f t="shared" si="2"/>
        <v>557.61122703552246</v>
      </c>
      <c r="G31">
        <f t="shared" si="3"/>
        <v>-0.54069536924362183</v>
      </c>
      <c r="H31">
        <f t="shared" si="4"/>
        <v>-301.49780829636086</v>
      </c>
      <c r="I31">
        <v>1</v>
      </c>
      <c r="J31">
        <f t="shared" si="5"/>
        <v>-0.58409328516979309</v>
      </c>
      <c r="K31">
        <f t="shared" si="6"/>
        <v>-0.68102978253159563</v>
      </c>
      <c r="L31">
        <v>1</v>
      </c>
      <c r="M31">
        <f t="shared" si="7"/>
        <v>0.4553653461962574</v>
      </c>
      <c r="N31">
        <f t="shared" si="13"/>
        <v>4.3493675708770753E-2</v>
      </c>
      <c r="O31">
        <f t="shared" si="11"/>
        <v>3.6244729757308955E-2</v>
      </c>
      <c r="P31">
        <f t="shared" si="12"/>
        <v>0.14592603086925854</v>
      </c>
      <c r="V31">
        <v>-3.30000000000001</v>
      </c>
      <c r="W31">
        <f t="shared" si="9"/>
        <v>-0.33151999999999948</v>
      </c>
      <c r="Y31">
        <v>0.27</v>
      </c>
      <c r="Z31">
        <f t="shared" si="10"/>
        <v>3.3795900000000003</v>
      </c>
    </row>
    <row r="32" spans="1:26" x14ac:dyDescent="0.3">
      <c r="A32">
        <v>2.8903968334197998</v>
      </c>
      <c r="B32">
        <v>0.52998143434524536</v>
      </c>
      <c r="C32">
        <f t="shared" si="1"/>
        <v>1.5318566596027807</v>
      </c>
      <c r="D32">
        <v>1.5599999999999999E-2</v>
      </c>
      <c r="E32" s="1">
        <v>1.2999999999999999E-2</v>
      </c>
      <c r="F32">
        <f t="shared" si="2"/>
        <v>578.07936668395996</v>
      </c>
      <c r="G32">
        <f t="shared" si="3"/>
        <v>-0.52998143434524536</v>
      </c>
      <c r="H32">
        <f t="shared" si="4"/>
        <v>-306.37133192055614</v>
      </c>
      <c r="I32">
        <v>1</v>
      </c>
      <c r="J32">
        <f t="shared" si="5"/>
        <v>-0.5480441071342651</v>
      </c>
      <c r="K32">
        <f t="shared" si="6"/>
        <v>-0.69174371742997209</v>
      </c>
      <c r="L32">
        <v>1</v>
      </c>
      <c r="M32">
        <f t="shared" si="7"/>
        <v>0.45700918871467749</v>
      </c>
      <c r="N32">
        <f t="shared" si="13"/>
        <v>4.5090190601348876E-2</v>
      </c>
      <c r="O32">
        <f t="shared" si="11"/>
        <v>3.7575158834457396E-2</v>
      </c>
      <c r="P32">
        <f t="shared" si="12"/>
        <v>0.15206917927948832</v>
      </c>
      <c r="V32">
        <v>-3.2000000000000099</v>
      </c>
      <c r="W32">
        <f t="shared" si="9"/>
        <v>-0.33607999999999949</v>
      </c>
    </row>
    <row r="33" spans="1:23" x14ac:dyDescent="0.3">
      <c r="A33">
        <v>2.9884130954742432</v>
      </c>
      <c r="B33">
        <v>0.51920205354690552</v>
      </c>
      <c r="C33">
        <f t="shared" si="1"/>
        <v>1.5515902160166917</v>
      </c>
      <c r="D33">
        <v>1.5599999999999999E-2</v>
      </c>
      <c r="E33" s="1">
        <v>1.2999999999999999E-2</v>
      </c>
      <c r="F33">
        <f t="shared" si="2"/>
        <v>597.68261909484863</v>
      </c>
      <c r="G33">
        <f t="shared" si="3"/>
        <v>-0.51920205354690552</v>
      </c>
      <c r="H33">
        <f t="shared" si="4"/>
        <v>-310.31804320333833</v>
      </c>
      <c r="I33">
        <v>1</v>
      </c>
      <c r="J33">
        <f t="shared" si="5"/>
        <v>-0.51469540322198304</v>
      </c>
      <c r="K33">
        <f t="shared" si="6"/>
        <v>-0.70252309822831194</v>
      </c>
      <c r="L33">
        <v>1</v>
      </c>
      <c r="M33">
        <f t="shared" si="7"/>
        <v>0.45852988961307756</v>
      </c>
      <c r="N33">
        <f t="shared" si="13"/>
        <v>4.661924428939819E-2</v>
      </c>
      <c r="O33">
        <f t="shared" si="11"/>
        <v>3.8849370241165158E-2</v>
      </c>
      <c r="P33">
        <f t="shared" si="12"/>
        <v>0.15852459408467104</v>
      </c>
      <c r="V33">
        <v>-3.1000000000000099</v>
      </c>
      <c r="W33">
        <f t="shared" si="9"/>
        <v>-0.3406399999999995</v>
      </c>
    </row>
    <row r="34" spans="1:23" x14ac:dyDescent="0.3">
      <c r="A34">
        <v>3.0893123149871826</v>
      </c>
      <c r="B34">
        <v>0.50837969779968262</v>
      </c>
      <c r="C34">
        <f t="shared" si="1"/>
        <v>1.5705436611020218</v>
      </c>
      <c r="D34">
        <v>1.5599999999999999E-2</v>
      </c>
      <c r="E34" s="1">
        <v>1.2999999999999999E-2</v>
      </c>
      <c r="F34">
        <f t="shared" si="2"/>
        <v>617.86246299743652</v>
      </c>
      <c r="G34">
        <f t="shared" si="3"/>
        <v>-0.50837969779968262</v>
      </c>
      <c r="H34">
        <f t="shared" si="4"/>
        <v>-314.10873222040436</v>
      </c>
      <c r="I34">
        <v>1</v>
      </c>
      <c r="J34">
        <f t="shared" si="5"/>
        <v>-0.48148939807685276</v>
      </c>
      <c r="K34">
        <f t="shared" si="6"/>
        <v>-0.71334545397553484</v>
      </c>
      <c r="L34">
        <v>1</v>
      </c>
      <c r="M34">
        <f t="shared" si="7"/>
        <v>0.46004408344769548</v>
      </c>
      <c r="N34">
        <f t="shared" si="13"/>
        <v>4.8193272113800048E-2</v>
      </c>
      <c r="O34">
        <f t="shared" si="11"/>
        <v>4.0161060094833369E-2</v>
      </c>
      <c r="P34">
        <f t="shared" si="12"/>
        <v>0.16494703831920596</v>
      </c>
      <c r="V34">
        <v>-3.0000000000000102</v>
      </c>
      <c r="W34">
        <f t="shared" si="9"/>
        <v>-0.34519999999999951</v>
      </c>
    </row>
    <row r="35" spans="1:23" x14ac:dyDescent="0.3">
      <c r="A35">
        <v>3.186607837677002</v>
      </c>
      <c r="B35">
        <v>0.49750551581382751</v>
      </c>
      <c r="C35">
        <f t="shared" si="1"/>
        <v>1.5853549759798824</v>
      </c>
      <c r="D35">
        <v>1.5599999999999999E-2</v>
      </c>
      <c r="E35" s="1">
        <v>1.2999999999999999E-2</v>
      </c>
      <c r="F35">
        <f t="shared" si="2"/>
        <v>637.32156753540039</v>
      </c>
      <c r="G35">
        <f t="shared" si="3"/>
        <v>-0.49750551581382751</v>
      </c>
      <c r="H35">
        <f t="shared" si="4"/>
        <v>-317.07099519597648</v>
      </c>
      <c r="I35">
        <v>1</v>
      </c>
      <c r="J35">
        <f t="shared" si="5"/>
        <v>-0.45048093518932647</v>
      </c>
      <c r="K35">
        <f t="shared" si="6"/>
        <v>-0.72421963596138994</v>
      </c>
      <c r="L35">
        <v>1</v>
      </c>
      <c r="M35">
        <f t="shared" si="7"/>
        <v>0.46145806935536671</v>
      </c>
      <c r="N35">
        <f t="shared" si="13"/>
        <v>4.9711082267761227E-2</v>
      </c>
      <c r="O35">
        <f t="shared" si="11"/>
        <v>4.1425901889801026E-2</v>
      </c>
      <c r="P35">
        <f t="shared" si="12"/>
        <v>0.17162458244846099</v>
      </c>
      <c r="V35">
        <v>-2.9000000000000101</v>
      </c>
      <c r="W35">
        <f t="shared" si="9"/>
        <v>-0.34975999999999952</v>
      </c>
    </row>
    <row r="36" spans="1:23" x14ac:dyDescent="0.3">
      <c r="A36">
        <v>3.2867863178253174</v>
      </c>
      <c r="B36">
        <v>0.48637935519218445</v>
      </c>
      <c r="C36">
        <f t="shared" si="1"/>
        <v>1.5986250099183721</v>
      </c>
      <c r="D36">
        <v>1.5599999999999999E-2</v>
      </c>
      <c r="E36" s="1">
        <v>1.2999999999999999E-2</v>
      </c>
      <c r="F36">
        <f t="shared" si="2"/>
        <v>657.35726356506348</v>
      </c>
      <c r="G36">
        <f t="shared" si="3"/>
        <v>-0.48637935519218445</v>
      </c>
      <c r="H36">
        <f t="shared" si="4"/>
        <v>-319.72500198367442</v>
      </c>
      <c r="I36">
        <v>1</v>
      </c>
      <c r="J36">
        <f t="shared" si="5"/>
        <v>-0.41952762813246747</v>
      </c>
      <c r="K36">
        <f t="shared" si="6"/>
        <v>-0.73534579658303301</v>
      </c>
      <c r="L36">
        <v>1</v>
      </c>
      <c r="M36">
        <f t="shared" si="7"/>
        <v>0.46286954015715948</v>
      </c>
      <c r="N36">
        <f t="shared" si="13"/>
        <v>5.1273866558074949E-2</v>
      </c>
      <c r="O36">
        <f t="shared" si="11"/>
        <v>4.2728222131729124E-2</v>
      </c>
      <c r="P36">
        <f t="shared" si="12"/>
        <v>0.17847416773606944</v>
      </c>
      <c r="V36">
        <v>-2.80000000000001</v>
      </c>
      <c r="W36">
        <f t="shared" si="9"/>
        <v>-0.35431999999999952</v>
      </c>
    </row>
    <row r="37" spans="1:23" x14ac:dyDescent="0.3">
      <c r="A37">
        <v>3.3898475170135498</v>
      </c>
      <c r="B37">
        <v>0.47521552443504333</v>
      </c>
      <c r="C37">
        <f t="shared" si="1"/>
        <v>1.6109081655524236</v>
      </c>
      <c r="D37">
        <v>1.5599999999999999E-2</v>
      </c>
      <c r="E37" s="1">
        <v>1.2999999999999999E-2</v>
      </c>
      <c r="F37">
        <f t="shared" si="2"/>
        <v>677.96950340270996</v>
      </c>
      <c r="G37">
        <f t="shared" si="3"/>
        <v>-0.47521552443504333</v>
      </c>
      <c r="H37">
        <f t="shared" si="4"/>
        <v>-322.18163311048471</v>
      </c>
      <c r="I37">
        <v>1</v>
      </c>
      <c r="J37">
        <f t="shared" si="5"/>
        <v>-0.3886529722853736</v>
      </c>
      <c r="K37">
        <f t="shared" si="6"/>
        <v>-0.74650962734017412</v>
      </c>
      <c r="L37">
        <v>1</v>
      </c>
      <c r="M37">
        <f t="shared" si="7"/>
        <v>0.46427742446378695</v>
      </c>
      <c r="N37">
        <f t="shared" si="13"/>
        <v>5.2881621265411377E-2</v>
      </c>
      <c r="O37">
        <f t="shared" si="11"/>
        <v>4.4068017721176148E-2</v>
      </c>
      <c r="P37">
        <f t="shared" si="12"/>
        <v>0.18528256388979963</v>
      </c>
      <c r="V37">
        <v>-2.7000000000000099</v>
      </c>
      <c r="W37">
        <f t="shared" si="9"/>
        <v>-0.35887999999999953</v>
      </c>
    </row>
    <row r="38" spans="1:23" x14ac:dyDescent="0.3">
      <c r="A38">
        <v>3.4885847568511963</v>
      </c>
      <c r="B38">
        <v>0.46401029825210571</v>
      </c>
      <c r="C38">
        <f t="shared" si="1"/>
        <v>1.6187392535042733</v>
      </c>
      <c r="D38">
        <v>1.5599999999999999E-2</v>
      </c>
      <c r="E38" s="1">
        <v>1.2999999999999999E-2</v>
      </c>
      <c r="F38">
        <f t="shared" si="2"/>
        <v>697.71695137023926</v>
      </c>
      <c r="G38">
        <f t="shared" si="3"/>
        <v>-0.46401029825210571</v>
      </c>
      <c r="H38">
        <f t="shared" si="4"/>
        <v>-323.74785070085466</v>
      </c>
      <c r="I38">
        <v>1</v>
      </c>
      <c r="J38">
        <f t="shared" si="5"/>
        <v>-0.35994177225893736</v>
      </c>
      <c r="K38">
        <f t="shared" si="6"/>
        <v>-0.75771485352311174</v>
      </c>
      <c r="L38">
        <v>1</v>
      </c>
      <c r="M38">
        <f t="shared" si="7"/>
        <v>0.46558665518499243</v>
      </c>
      <c r="N38">
        <f t="shared" si="13"/>
        <v>5.4421922206878658E-2</v>
      </c>
      <c r="O38">
        <f t="shared" si="11"/>
        <v>4.5351601839065551E-2</v>
      </c>
      <c r="P38">
        <f t="shared" si="12"/>
        <v>0.19235467429217509</v>
      </c>
      <c r="V38">
        <v>-2.6000000000000099</v>
      </c>
      <c r="W38">
        <f t="shared" si="9"/>
        <v>-0.36343999999999954</v>
      </c>
    </row>
    <row r="39" spans="1:23" x14ac:dyDescent="0.3">
      <c r="A39">
        <v>3.5887632369995117</v>
      </c>
      <c r="B39">
        <v>0.45240521430969238</v>
      </c>
      <c r="C39">
        <f t="shared" si="1"/>
        <v>1.6235752013415095</v>
      </c>
      <c r="D39">
        <v>1.5599999999999999E-2</v>
      </c>
      <c r="E39" s="1">
        <v>1.2999999999999999E-2</v>
      </c>
      <c r="F39">
        <f t="shared" si="2"/>
        <v>717.75264739990234</v>
      </c>
      <c r="G39">
        <f t="shared" si="3"/>
        <v>-0.45240521430969238</v>
      </c>
      <c r="H39">
        <f t="shared" si="4"/>
        <v>-324.71504026830189</v>
      </c>
      <c r="I39">
        <v>1</v>
      </c>
      <c r="J39">
        <f t="shared" si="5"/>
        <v>-0.33163027151698615</v>
      </c>
      <c r="K39">
        <f t="shared" si="6"/>
        <v>-0.76931993746552507</v>
      </c>
      <c r="L39">
        <v>1</v>
      </c>
      <c r="M39">
        <f t="shared" si="7"/>
        <v>0.46687765961882544</v>
      </c>
      <c r="N39">
        <f t="shared" si="13"/>
        <v>5.598470649719238E-2</v>
      </c>
      <c r="O39">
        <f t="shared" si="11"/>
        <v>4.665392208099365E-2</v>
      </c>
      <c r="P39">
        <f t="shared" si="12"/>
        <v>0.1998036492685136</v>
      </c>
      <c r="V39">
        <v>-2.5000000000000102</v>
      </c>
      <c r="W39">
        <f t="shared" si="9"/>
        <v>-0.36799999999999949</v>
      </c>
    </row>
    <row r="40" spans="1:23" x14ac:dyDescent="0.3">
      <c r="A40">
        <v>3.6875002384185791</v>
      </c>
      <c r="B40">
        <v>0.44047361612319946</v>
      </c>
      <c r="C40">
        <f t="shared" si="1"/>
        <v>1.6242465644713917</v>
      </c>
      <c r="D40">
        <v>1.5599999999999999E-2</v>
      </c>
      <c r="E40" s="1">
        <v>1.2999999999999999E-2</v>
      </c>
      <c r="F40">
        <f t="shared" si="2"/>
        <v>737.50004768371582</v>
      </c>
      <c r="G40">
        <f t="shared" si="3"/>
        <v>-0.44047361612319946</v>
      </c>
      <c r="H40">
        <f t="shared" si="4"/>
        <v>-324.84931289427834</v>
      </c>
      <c r="I40">
        <v>1</v>
      </c>
      <c r="J40">
        <f t="shared" si="5"/>
        <v>-0.30448912611227841</v>
      </c>
      <c r="K40">
        <f t="shared" si="6"/>
        <v>-0.78125153565201799</v>
      </c>
      <c r="L40">
        <v>1</v>
      </c>
      <c r="M40">
        <f t="shared" si="7"/>
        <v>0.46811529584928008</v>
      </c>
      <c r="N40">
        <f t="shared" si="13"/>
        <v>5.752500371932983E-2</v>
      </c>
      <c r="O40">
        <f t="shared" si="11"/>
        <v>4.7937503099441524E-2</v>
      </c>
      <c r="P40">
        <f t="shared" si="12"/>
        <v>0.20767373298396655</v>
      </c>
      <c r="V40">
        <v>-2.4000000000000101</v>
      </c>
      <c r="W40">
        <f t="shared" si="9"/>
        <v>-0.3725599999999995</v>
      </c>
    </row>
    <row r="41" spans="1:23" x14ac:dyDescent="0.3">
      <c r="A41">
        <v>3.7869579792022705</v>
      </c>
      <c r="B41">
        <v>0.42841887474060059</v>
      </c>
      <c r="C41">
        <f t="shared" si="1"/>
        <v>1.6224042761397754</v>
      </c>
      <c r="D41">
        <v>1.5599999999999999E-2</v>
      </c>
      <c r="E41" s="1">
        <v>1.2999999999999999E-2</v>
      </c>
      <c r="F41">
        <f t="shared" si="2"/>
        <v>757.3915958404541</v>
      </c>
      <c r="G41">
        <f t="shared" si="3"/>
        <v>-0.42841887474060059</v>
      </c>
      <c r="H41">
        <f t="shared" si="4"/>
        <v>-324.48085522795509</v>
      </c>
      <c r="I41">
        <v>1</v>
      </c>
      <c r="J41">
        <f t="shared" si="5"/>
        <v>-0.27787485964089198</v>
      </c>
      <c r="K41">
        <f t="shared" si="6"/>
        <v>-0.79330627703461687</v>
      </c>
      <c r="L41">
        <v>1</v>
      </c>
      <c r="M41">
        <f t="shared" si="7"/>
        <v>0.46932890640037533</v>
      </c>
      <c r="N41">
        <f t="shared" si="13"/>
        <v>5.9076544475555416E-2</v>
      </c>
      <c r="O41">
        <f t="shared" si="11"/>
        <v>4.9230453729629517E-2</v>
      </c>
      <c r="P41">
        <f t="shared" si="12"/>
        <v>0.21567037242905657</v>
      </c>
      <c r="V41">
        <v>-2.30000000000001</v>
      </c>
      <c r="W41">
        <f t="shared" si="9"/>
        <v>-0.37711999999999951</v>
      </c>
    </row>
    <row r="42" spans="1:23" x14ac:dyDescent="0.3">
      <c r="A42">
        <v>3.8871364593505859</v>
      </c>
      <c r="B42">
        <v>0.41631650924682617</v>
      </c>
      <c r="C42">
        <f t="shared" si="1"/>
        <v>1.6182790817229034</v>
      </c>
      <c r="D42">
        <v>1.5599999999999999E-2</v>
      </c>
      <c r="E42" s="1">
        <v>1.2999999999999999E-2</v>
      </c>
      <c r="F42">
        <f t="shared" si="2"/>
        <v>777.42729187011719</v>
      </c>
      <c r="G42">
        <f t="shared" si="3"/>
        <v>-0.41631650924682617</v>
      </c>
      <c r="H42">
        <f t="shared" si="4"/>
        <v>-323.65581634458067</v>
      </c>
      <c r="I42">
        <v>1</v>
      </c>
      <c r="J42">
        <f t="shared" si="5"/>
        <v>-0.25176515458116633</v>
      </c>
      <c r="K42">
        <f t="shared" si="6"/>
        <v>-0.80540864252839128</v>
      </c>
      <c r="L42">
        <v>1</v>
      </c>
      <c r="M42">
        <f t="shared" si="7"/>
        <v>0.47051950895109879</v>
      </c>
      <c r="N42">
        <f t="shared" si="13"/>
        <v>6.0639328765869138E-2</v>
      </c>
      <c r="O42">
        <f t="shared" si="11"/>
        <v>5.0532773971557615E-2</v>
      </c>
      <c r="P42">
        <f t="shared" si="12"/>
        <v>0.22371703083986574</v>
      </c>
      <c r="V42">
        <v>-2.2000000000000099</v>
      </c>
      <c r="W42">
        <f t="shared" si="9"/>
        <v>-0.38167999999999952</v>
      </c>
    </row>
    <row r="43" spans="1:23" x14ac:dyDescent="0.3">
      <c r="A43">
        <v>3.9858734607696533</v>
      </c>
      <c r="B43">
        <v>0.40407207608222961</v>
      </c>
      <c r="C43">
        <f t="shared" si="1"/>
        <v>1.6105801642942552</v>
      </c>
      <c r="D43">
        <v>1.5599999999999999E-2</v>
      </c>
      <c r="E43" s="1">
        <v>1.2999999999999999E-2</v>
      </c>
      <c r="F43">
        <f t="shared" si="2"/>
        <v>797.17469215393066</v>
      </c>
      <c r="G43">
        <f t="shared" si="3"/>
        <v>-0.40407207608222961</v>
      </c>
      <c r="H43">
        <f t="shared" si="4"/>
        <v>-322.11603285885104</v>
      </c>
      <c r="I43">
        <v>1</v>
      </c>
      <c r="J43">
        <f t="shared" si="5"/>
        <v>-0.22668143706571045</v>
      </c>
      <c r="K43">
        <f t="shared" si="6"/>
        <v>-0.81765307569298784</v>
      </c>
      <c r="L43">
        <v>1</v>
      </c>
      <c r="M43">
        <f t="shared" si="7"/>
        <v>0.47166332646980358</v>
      </c>
      <c r="N43">
        <f t="shared" si="13"/>
        <v>6.2179625988006589E-2</v>
      </c>
      <c r="O43">
        <f t="shared" si="11"/>
        <v>5.1816354990005489E-2</v>
      </c>
      <c r="P43">
        <f t="shared" si="12"/>
        <v>0.2319937682451722</v>
      </c>
      <c r="V43">
        <v>-2.1000000000000099</v>
      </c>
      <c r="W43">
        <f t="shared" si="9"/>
        <v>-0.38623999999999953</v>
      </c>
    </row>
    <row r="44" spans="1:23" x14ac:dyDescent="0.3">
      <c r="A44">
        <v>4.0846104621887207</v>
      </c>
      <c r="B44">
        <v>0.39135545492172241</v>
      </c>
      <c r="C44">
        <f t="shared" si="1"/>
        <v>1.5985345856078936</v>
      </c>
      <c r="D44">
        <v>1.5599999999999999E-2</v>
      </c>
      <c r="E44" s="1">
        <v>1.2999999999999999E-2</v>
      </c>
      <c r="F44">
        <f t="shared" si="2"/>
        <v>816.92209243774414</v>
      </c>
      <c r="G44">
        <f t="shared" si="3"/>
        <v>-0.39135545492172241</v>
      </c>
      <c r="H44">
        <f t="shared" si="4"/>
        <v>-319.70691712157873</v>
      </c>
      <c r="I44">
        <v>1</v>
      </c>
      <c r="J44">
        <f t="shared" si="5"/>
        <v>-0.2022115467623426</v>
      </c>
      <c r="K44">
        <f t="shared" si="6"/>
        <v>-0.83036969685349504</v>
      </c>
      <c r="L44">
        <v>1</v>
      </c>
      <c r="M44">
        <f t="shared" si="7"/>
        <v>0.47277915346763716</v>
      </c>
      <c r="N44">
        <f t="shared" si="13"/>
        <v>6.3719923210144039E-2</v>
      </c>
      <c r="O44">
        <f t="shared" si="11"/>
        <v>5.3099936008453363E-2</v>
      </c>
      <c r="P44">
        <f t="shared" si="12"/>
        <v>0.2407706841672605</v>
      </c>
      <c r="V44">
        <v>-2.0000000000000102</v>
      </c>
      <c r="W44">
        <f t="shared" si="9"/>
        <v>-0.39079999999999948</v>
      </c>
    </row>
    <row r="45" spans="1:23" x14ac:dyDescent="0.3">
      <c r="A45">
        <v>4.1833477020263672</v>
      </c>
      <c r="B45">
        <v>0.37840080261230469</v>
      </c>
      <c r="C45">
        <f t="shared" si="1"/>
        <v>1.5829821280531178</v>
      </c>
      <c r="D45">
        <v>1.5599999999999999E-2</v>
      </c>
      <c r="E45" s="1">
        <v>1.2999999999999999E-2</v>
      </c>
      <c r="F45">
        <f t="shared" si="2"/>
        <v>836.66954040527344</v>
      </c>
      <c r="G45">
        <f t="shared" si="3"/>
        <v>-0.37840080261230469</v>
      </c>
      <c r="H45">
        <f t="shared" si="4"/>
        <v>-316.59642561062356</v>
      </c>
      <c r="I45">
        <v>1</v>
      </c>
      <c r="J45">
        <f t="shared" si="5"/>
        <v>-0.17832610078297717</v>
      </c>
      <c r="K45">
        <f t="shared" si="6"/>
        <v>-0.84332434916291277</v>
      </c>
      <c r="L45">
        <v>1</v>
      </c>
      <c r="M45">
        <f t="shared" si="7"/>
        <v>0.47386832980429622</v>
      </c>
      <c r="N45">
        <f t="shared" si="13"/>
        <v>6.5260224151611326E-2</v>
      </c>
      <c r="O45">
        <f t="shared" si="11"/>
        <v>5.4383520126342774E-2</v>
      </c>
      <c r="P45">
        <f t="shared" si="12"/>
        <v>0.24981227508066245</v>
      </c>
      <c r="V45">
        <v>-1.9000000000000099</v>
      </c>
      <c r="W45">
        <f t="shared" si="9"/>
        <v>-0.39535999999999955</v>
      </c>
    </row>
    <row r="46" spans="1:23" x14ac:dyDescent="0.3">
      <c r="A46">
        <v>4.2842469215393066</v>
      </c>
      <c r="B46">
        <v>0.36535930633544922</v>
      </c>
      <c r="C46">
        <f t="shared" si="1"/>
        <v>1.5652894834233848</v>
      </c>
      <c r="D46">
        <v>1.5599999999999999E-2</v>
      </c>
      <c r="E46" s="1">
        <v>1.2999999999999999E-2</v>
      </c>
      <c r="F46">
        <f t="shared" si="2"/>
        <v>856.84938430786133</v>
      </c>
      <c r="G46">
        <f t="shared" si="3"/>
        <v>-0.36535930633544922</v>
      </c>
      <c r="H46">
        <f t="shared" si="4"/>
        <v>-313.05789668467696</v>
      </c>
      <c r="I46">
        <v>1</v>
      </c>
      <c r="J46">
        <f t="shared" si="5"/>
        <v>-0.15449312342853783</v>
      </c>
      <c r="K46">
        <f t="shared" si="6"/>
        <v>-0.85636584543976824</v>
      </c>
      <c r="L46">
        <v>1</v>
      </c>
      <c r="M46">
        <f t="shared" si="7"/>
        <v>0.47495511357165865</v>
      </c>
      <c r="N46">
        <f t="shared" si="13"/>
        <v>6.6834251976013184E-2</v>
      </c>
      <c r="O46">
        <f t="shared" si="11"/>
        <v>5.5695209980010985E-2</v>
      </c>
      <c r="P46">
        <f t="shared" si="12"/>
        <v>0.25888126991208543</v>
      </c>
      <c r="V46">
        <v>-1.80000000000001</v>
      </c>
      <c r="W46">
        <f t="shared" si="9"/>
        <v>-0.3999199999999995</v>
      </c>
    </row>
    <row r="47" spans="1:23" x14ac:dyDescent="0.3">
      <c r="A47">
        <v>4.383704662322998</v>
      </c>
      <c r="B47">
        <v>0.35206890106201172</v>
      </c>
      <c r="C47">
        <f t="shared" si="1"/>
        <v>1.5433660830444751</v>
      </c>
      <c r="D47">
        <v>1.5599999999999999E-2</v>
      </c>
      <c r="E47" s="1">
        <v>1.2999999999999999E-2</v>
      </c>
      <c r="F47">
        <f t="shared" si="2"/>
        <v>876.74093246459961</v>
      </c>
      <c r="G47">
        <f t="shared" si="3"/>
        <v>-0.35206890106201172</v>
      </c>
      <c r="H47">
        <f t="shared" si="4"/>
        <v>-308.67321660889502</v>
      </c>
      <c r="I47">
        <v>1</v>
      </c>
      <c r="J47">
        <f t="shared" si="5"/>
        <v>-0.13154373222850471</v>
      </c>
      <c r="K47">
        <f t="shared" si="6"/>
        <v>-0.86965625071320574</v>
      </c>
      <c r="L47">
        <v>1</v>
      </c>
      <c r="M47">
        <f t="shared" si="7"/>
        <v>0.47600160581038015</v>
      </c>
      <c r="N47">
        <f t="shared" si="13"/>
        <v>6.838579273223877E-2</v>
      </c>
      <c r="O47">
        <f t="shared" si="11"/>
        <v>5.6988160610198971E-2</v>
      </c>
      <c r="P47">
        <f t="shared" si="12"/>
        <v>0.26828069156038786</v>
      </c>
      <c r="V47">
        <v>-1.7000000000000199</v>
      </c>
      <c r="W47">
        <f t="shared" si="9"/>
        <v>-0.40447999999999906</v>
      </c>
    </row>
    <row r="48" spans="1:23" x14ac:dyDescent="0.3">
      <c r="A48">
        <v>4.4824414253234863</v>
      </c>
      <c r="B48">
        <v>0.33810645341873169</v>
      </c>
      <c r="C48">
        <f t="shared" si="1"/>
        <v>1.5155423729733286</v>
      </c>
      <c r="D48">
        <v>1.5599999999999999E-2</v>
      </c>
      <c r="E48" s="1">
        <v>1.2999999999999999E-2</v>
      </c>
      <c r="F48">
        <f t="shared" si="2"/>
        <v>896.48828506469727</v>
      </c>
      <c r="G48">
        <f t="shared" si="3"/>
        <v>-0.33810645341873169</v>
      </c>
      <c r="H48">
        <f t="shared" si="4"/>
        <v>-303.10847459466572</v>
      </c>
      <c r="I48">
        <v>1</v>
      </c>
      <c r="J48">
        <f t="shared" si="5"/>
        <v>-0.10927005343482496</v>
      </c>
      <c r="K48">
        <f t="shared" si="6"/>
        <v>-0.88361869835648577</v>
      </c>
      <c r="L48">
        <v>1</v>
      </c>
      <c r="M48">
        <f t="shared" si="7"/>
        <v>0.47701728556337197</v>
      </c>
      <c r="N48">
        <f t="shared" si="13"/>
        <v>6.9926086235046384E-2</v>
      </c>
      <c r="O48">
        <f t="shared" si="11"/>
        <v>5.8271738529205322E-2</v>
      </c>
      <c r="P48">
        <f t="shared" si="12"/>
        <v>0.27840358802886211</v>
      </c>
      <c r="V48">
        <v>-1.6000000000000201</v>
      </c>
      <c r="W48">
        <f t="shared" si="9"/>
        <v>-0.40903999999999907</v>
      </c>
    </row>
    <row r="49" spans="1:23" x14ac:dyDescent="0.3">
      <c r="A49">
        <v>4.5826201438903809</v>
      </c>
      <c r="B49">
        <v>0.32418975234031677</v>
      </c>
      <c r="C49">
        <f t="shared" si="1"/>
        <v>1.4856384895175694</v>
      </c>
      <c r="D49">
        <v>1.5599999999999999E-2</v>
      </c>
      <c r="E49" s="1">
        <v>1.2999999999999999E-2</v>
      </c>
      <c r="F49">
        <f t="shared" si="2"/>
        <v>916.52402877807617</v>
      </c>
      <c r="G49">
        <f t="shared" si="3"/>
        <v>-0.32418975234031677</v>
      </c>
      <c r="H49">
        <f t="shared" si="4"/>
        <v>-297.12769790351388</v>
      </c>
      <c r="I49">
        <v>1</v>
      </c>
      <c r="J49">
        <f t="shared" si="5"/>
        <v>-8.716699406671051E-2</v>
      </c>
      <c r="K49">
        <f t="shared" si="6"/>
        <v>-0.89753539943490068</v>
      </c>
      <c r="L49">
        <v>1</v>
      </c>
      <c r="M49">
        <f t="shared" si="7"/>
        <v>0.47802518507055797</v>
      </c>
      <c r="N49">
        <f t="shared" si="13"/>
        <v>7.1488874244689943E-2</v>
      </c>
      <c r="O49">
        <f t="shared" si="11"/>
        <v>5.957406187057495E-2</v>
      </c>
      <c r="P49">
        <f t="shared" si="12"/>
        <v>0.28844727824907784</v>
      </c>
      <c r="V49">
        <v>-1.50000000000002</v>
      </c>
      <c r="W49">
        <f t="shared" si="9"/>
        <v>-0.41359999999999908</v>
      </c>
    </row>
    <row r="50" spans="1:23" x14ac:dyDescent="0.3">
      <c r="A50">
        <v>4.6835193634033203</v>
      </c>
      <c r="B50">
        <v>0.31009840965270996</v>
      </c>
      <c r="C50">
        <f t="shared" si="1"/>
        <v>1.4523519061690422</v>
      </c>
      <c r="D50">
        <v>1.5599999999999999E-2</v>
      </c>
      <c r="E50" s="1">
        <v>1.2999999999999999E-2</v>
      </c>
      <c r="F50">
        <f t="shared" si="2"/>
        <v>936.70387268066406</v>
      </c>
      <c r="G50">
        <f t="shared" si="3"/>
        <v>-0.31009840965270996</v>
      </c>
      <c r="H50">
        <f t="shared" si="4"/>
        <v>-290.47038123380844</v>
      </c>
      <c r="I50">
        <v>1</v>
      </c>
      <c r="J50">
        <f t="shared" si="5"/>
        <v>-6.5388084388213197E-2</v>
      </c>
      <c r="K50">
        <f t="shared" si="6"/>
        <v>-0.91162674212250749</v>
      </c>
      <c r="L50">
        <v>1</v>
      </c>
      <c r="M50">
        <f t="shared" si="7"/>
        <v>0.47901830335189743</v>
      </c>
      <c r="N50">
        <f t="shared" si="13"/>
        <v>7.3062902069091787E-2</v>
      </c>
      <c r="O50">
        <f t="shared" si="11"/>
        <v>6.088575172424316E-2</v>
      </c>
      <c r="P50">
        <f t="shared" si="12"/>
        <v>0.29865978497727513</v>
      </c>
      <c r="V50">
        <v>-1.4000000000000199</v>
      </c>
      <c r="W50">
        <f t="shared" si="9"/>
        <v>-0.41815999999999909</v>
      </c>
    </row>
    <row r="51" spans="1:23" x14ac:dyDescent="0.3">
      <c r="A51">
        <v>4.7822561264038086</v>
      </c>
      <c r="B51">
        <v>0.29617977142333984</v>
      </c>
      <c r="C51">
        <f t="shared" si="1"/>
        <v>1.4164075264061466</v>
      </c>
      <c r="D51">
        <v>1.5599999999999999E-2</v>
      </c>
      <c r="E51" s="1">
        <v>1.2999999999999999E-2</v>
      </c>
      <c r="F51">
        <f t="shared" si="2"/>
        <v>956.45122528076172</v>
      </c>
      <c r="G51">
        <f t="shared" si="3"/>
        <v>-0.29617977142333984</v>
      </c>
      <c r="H51">
        <f t="shared" si="4"/>
        <v>-283.28150528122933</v>
      </c>
      <c r="I51">
        <v>1</v>
      </c>
      <c r="J51">
        <f t="shared" si="5"/>
        <v>-4.4525484312872843E-2</v>
      </c>
      <c r="K51">
        <f t="shared" si="6"/>
        <v>-0.92554538035187761</v>
      </c>
      <c r="L51">
        <v>1</v>
      </c>
      <c r="M51">
        <f t="shared" si="7"/>
        <v>0.47996963791533298</v>
      </c>
      <c r="N51">
        <f t="shared" si="13"/>
        <v>7.4603195571899414E-2</v>
      </c>
      <c r="O51">
        <f t="shared" si="11"/>
        <v>6.2169329643249512E-2</v>
      </c>
      <c r="P51">
        <f t="shared" si="12"/>
        <v>0.3088032172213957</v>
      </c>
      <c r="V51">
        <v>-1.30000000000002</v>
      </c>
      <c r="W51">
        <f t="shared" si="9"/>
        <v>-0.4227199999999991</v>
      </c>
    </row>
    <row r="52" spans="1:23" x14ac:dyDescent="0.3">
      <c r="A52">
        <v>4.880272388458252</v>
      </c>
      <c r="B52">
        <v>0.28126958012580872</v>
      </c>
      <c r="C52">
        <f t="shared" si="1"/>
        <v>1.3726721656012302</v>
      </c>
      <c r="D52">
        <v>1.5599999999999999E-2</v>
      </c>
      <c r="E52" s="1">
        <v>1.2999999999999999E-2</v>
      </c>
      <c r="F52">
        <f t="shared" si="2"/>
        <v>976.05447769165039</v>
      </c>
      <c r="G52">
        <f t="shared" si="3"/>
        <v>-0.28126958012580872</v>
      </c>
      <c r="H52">
        <f t="shared" si="4"/>
        <v>-274.53443312024604</v>
      </c>
      <c r="I52">
        <v>1</v>
      </c>
      <c r="J52">
        <f t="shared" si="5"/>
        <v>-2.4236876819753592E-2</v>
      </c>
      <c r="K52">
        <f t="shared" si="6"/>
        <v>-0.94045557164940874</v>
      </c>
      <c r="L52">
        <v>1</v>
      </c>
      <c r="M52">
        <f t="shared" si="7"/>
        <v>0.48089479841701921</v>
      </c>
      <c r="N52">
        <f t="shared" si="13"/>
        <v>7.6132249259948728E-2</v>
      </c>
      <c r="O52">
        <f t="shared" si="11"/>
        <v>6.3443541049957267E-2</v>
      </c>
      <c r="P52">
        <f t="shared" si="12"/>
        <v>0.31998498292248356</v>
      </c>
      <c r="V52">
        <v>-1.2000000000000199</v>
      </c>
      <c r="W52">
        <f t="shared" si="9"/>
        <v>-0.42727999999999905</v>
      </c>
    </row>
    <row r="53" spans="1:23" x14ac:dyDescent="0.3">
      <c r="A53">
        <v>4.9826130867004395</v>
      </c>
      <c r="B53">
        <v>0.26625174283981323</v>
      </c>
      <c r="C53">
        <f t="shared" si="1"/>
        <v>1.3266294182304534</v>
      </c>
      <c r="D53">
        <v>1.5599999999999999E-2</v>
      </c>
      <c r="E53" s="1">
        <v>1.2999999999999999E-2</v>
      </c>
      <c r="F53">
        <f t="shared" si="2"/>
        <v>996.52261734008789</v>
      </c>
      <c r="G53">
        <f t="shared" si="3"/>
        <v>-0.26625174283981323</v>
      </c>
      <c r="H53">
        <f t="shared" si="4"/>
        <v>-265.32588364609069</v>
      </c>
      <c r="I53">
        <v>1</v>
      </c>
      <c r="J53">
        <f t="shared" si="5"/>
        <v>-3.4834428080419357E-3</v>
      </c>
      <c r="K53">
        <f t="shared" si="6"/>
        <v>-0.95547340893540422</v>
      </c>
      <c r="L53">
        <v>1</v>
      </c>
      <c r="M53">
        <f t="shared" si="7"/>
        <v>0.48184115500795327</v>
      </c>
      <c r="N53">
        <f t="shared" si="13"/>
        <v>7.7728764152526858E-2</v>
      </c>
      <c r="O53">
        <f t="shared" si="11"/>
        <v>6.4773970127105715E-2</v>
      </c>
      <c r="P53">
        <f t="shared" si="12"/>
        <v>0.33112951964781834</v>
      </c>
      <c r="V53">
        <v>-1.1000000000000201</v>
      </c>
      <c r="W53">
        <f t="shared" si="9"/>
        <v>-0.43183999999999906</v>
      </c>
    </row>
    <row r="54" spans="1:23" x14ac:dyDescent="0.3">
      <c r="A54">
        <v>5.0820708274841309</v>
      </c>
      <c r="B54">
        <v>0.24976456165313721</v>
      </c>
      <c r="C54">
        <f t="shared" si="1"/>
        <v>1.2693211925167702</v>
      </c>
      <c r="D54">
        <v>1.5599999999999999E-2</v>
      </c>
      <c r="E54" s="1">
        <v>1.2999999999999999E-2</v>
      </c>
      <c r="F54">
        <f t="shared" si="2"/>
        <v>1016.4141654968262</v>
      </c>
      <c r="G54">
        <f t="shared" si="3"/>
        <v>-0.24976456165313721</v>
      </c>
      <c r="H54">
        <f t="shared" si="4"/>
        <v>-253.86423850335404</v>
      </c>
      <c r="I54">
        <v>1</v>
      </c>
      <c r="J54">
        <f t="shared" si="5"/>
        <v>1.6280909297909072E-2</v>
      </c>
      <c r="K54">
        <f t="shared" si="6"/>
        <v>-0.97196059012208025</v>
      </c>
      <c r="L54">
        <v>1</v>
      </c>
      <c r="M54">
        <f t="shared" si="7"/>
        <v>0.48274240946398461</v>
      </c>
      <c r="N54">
        <f t="shared" si="13"/>
        <v>7.9280304908752444E-2</v>
      </c>
      <c r="O54">
        <f t="shared" si="11"/>
        <v>6.6066920757293701E-2</v>
      </c>
      <c r="P54">
        <f t="shared" si="12"/>
        <v>0.3438709549920495</v>
      </c>
      <c r="V54">
        <v>-1.00000000000002</v>
      </c>
      <c r="W54">
        <f t="shared" si="9"/>
        <v>-0.43639999999999907</v>
      </c>
    </row>
    <row r="55" spans="1:23" x14ac:dyDescent="0.3">
      <c r="C55">
        <f t="shared" si="1"/>
        <v>0</v>
      </c>
      <c r="D55">
        <v>1.5599999999999999E-2</v>
      </c>
      <c r="E55" s="1">
        <v>1.2999999999999999E-2</v>
      </c>
      <c r="F55">
        <f t="shared" si="2"/>
        <v>0</v>
      </c>
      <c r="G55">
        <f t="shared" si="3"/>
        <v>0</v>
      </c>
      <c r="H55">
        <f t="shared" si="4"/>
        <v>0</v>
      </c>
      <c r="I55">
        <v>1</v>
      </c>
      <c r="J55" t="e">
        <f t="shared" si="5"/>
        <v>#NUM!</v>
      </c>
      <c r="K55">
        <f t="shared" si="6"/>
        <v>-1.2217251517752175</v>
      </c>
      <c r="L55">
        <v>1</v>
      </c>
      <c r="M55" t="e">
        <f t="shared" si="7"/>
        <v>#NUM!</v>
      </c>
      <c r="N55">
        <f t="shared" si="13"/>
        <v>0</v>
      </c>
      <c r="O55">
        <f t="shared" si="11"/>
        <v>0</v>
      </c>
      <c r="P55" t="e">
        <f t="shared" si="12"/>
        <v>#NUM!</v>
      </c>
      <c r="V55">
        <v>-0.90000000000002001</v>
      </c>
      <c r="W55">
        <f t="shared" si="9"/>
        <v>-0.44095999999999907</v>
      </c>
    </row>
    <row r="56" spans="1:23" x14ac:dyDescent="0.3">
      <c r="C56">
        <f t="shared" si="1"/>
        <v>0</v>
      </c>
      <c r="D56">
        <v>1.5599999999999999E-2</v>
      </c>
      <c r="E56" s="1">
        <v>1.2999999999999999E-2</v>
      </c>
      <c r="F56">
        <f t="shared" si="2"/>
        <v>0</v>
      </c>
      <c r="G56">
        <f t="shared" si="3"/>
        <v>0</v>
      </c>
      <c r="H56">
        <f t="shared" si="4"/>
        <v>0</v>
      </c>
      <c r="I56">
        <v>1</v>
      </c>
      <c r="J56" t="e">
        <f t="shared" si="5"/>
        <v>#NUM!</v>
      </c>
      <c r="K56">
        <f t="shared" si="6"/>
        <v>-1.2217251517752175</v>
      </c>
      <c r="L56">
        <v>1</v>
      </c>
      <c r="M56" t="e">
        <f t="shared" si="7"/>
        <v>#NUM!</v>
      </c>
      <c r="N56">
        <f t="shared" si="13"/>
        <v>0</v>
      </c>
      <c r="O56">
        <f t="shared" si="11"/>
        <v>0</v>
      </c>
      <c r="P56" t="e">
        <f t="shared" si="12"/>
        <v>#NUM!</v>
      </c>
      <c r="V56">
        <v>-0.80000000000002003</v>
      </c>
      <c r="W56">
        <f t="shared" si="9"/>
        <v>-0.44551999999999908</v>
      </c>
    </row>
    <row r="57" spans="1:23" x14ac:dyDescent="0.3">
      <c r="C57">
        <f t="shared" si="1"/>
        <v>0</v>
      </c>
      <c r="D57">
        <v>1.5599999999999999E-2</v>
      </c>
      <c r="E57" s="1">
        <v>1.2999999999999999E-2</v>
      </c>
      <c r="F57">
        <f t="shared" si="2"/>
        <v>0</v>
      </c>
      <c r="G57">
        <f t="shared" si="3"/>
        <v>0</v>
      </c>
      <c r="H57">
        <f t="shared" si="4"/>
        <v>0</v>
      </c>
      <c r="I57">
        <v>1</v>
      </c>
      <c r="J57" t="e">
        <f t="shared" si="5"/>
        <v>#NUM!</v>
      </c>
      <c r="K57">
        <f t="shared" si="6"/>
        <v>-1.2217251517752175</v>
      </c>
      <c r="L57">
        <v>1</v>
      </c>
      <c r="M57" t="e">
        <f t="shared" si="7"/>
        <v>#NUM!</v>
      </c>
      <c r="N57">
        <f t="shared" si="13"/>
        <v>0</v>
      </c>
      <c r="O57">
        <f t="shared" si="11"/>
        <v>0</v>
      </c>
      <c r="P57" t="e">
        <f t="shared" si="12"/>
        <v>#NUM!</v>
      </c>
      <c r="V57">
        <v>-0.70000000000002005</v>
      </c>
      <c r="W57">
        <f t="shared" si="9"/>
        <v>-0.45007999999999909</v>
      </c>
    </row>
    <row r="58" spans="1:23" x14ac:dyDescent="0.3">
      <c r="C58">
        <f t="shared" si="1"/>
        <v>0</v>
      </c>
      <c r="D58">
        <v>1.5599999999999999E-2</v>
      </c>
      <c r="E58" s="1">
        <v>1.2999999999999999E-2</v>
      </c>
      <c r="F58">
        <f t="shared" si="2"/>
        <v>0</v>
      </c>
      <c r="G58">
        <f t="shared" si="3"/>
        <v>0</v>
      </c>
      <c r="H58">
        <f t="shared" si="4"/>
        <v>0</v>
      </c>
      <c r="I58">
        <v>1</v>
      </c>
      <c r="J58" t="e">
        <f t="shared" si="5"/>
        <v>#NUM!</v>
      </c>
      <c r="K58">
        <f t="shared" si="6"/>
        <v>-1.2217251517752175</v>
      </c>
      <c r="L58">
        <v>1</v>
      </c>
      <c r="M58" t="e">
        <f t="shared" si="7"/>
        <v>#NUM!</v>
      </c>
      <c r="N58">
        <f t="shared" si="13"/>
        <v>0</v>
      </c>
      <c r="O58">
        <f t="shared" si="11"/>
        <v>0</v>
      </c>
      <c r="P58" t="e">
        <f t="shared" si="12"/>
        <v>#NUM!</v>
      </c>
      <c r="V58">
        <v>-0.60000000000001996</v>
      </c>
      <c r="W58">
        <f t="shared" si="9"/>
        <v>-0.45463999999999904</v>
      </c>
    </row>
    <row r="59" spans="1:23" x14ac:dyDescent="0.3">
      <c r="C59">
        <f t="shared" si="1"/>
        <v>0</v>
      </c>
      <c r="D59">
        <v>1.5599999999999999E-2</v>
      </c>
      <c r="E59" s="1">
        <v>1.2999999999999999E-2</v>
      </c>
      <c r="F59">
        <f t="shared" si="2"/>
        <v>0</v>
      </c>
      <c r="G59">
        <f t="shared" si="3"/>
        <v>0</v>
      </c>
      <c r="H59">
        <f t="shared" si="4"/>
        <v>0</v>
      </c>
      <c r="I59">
        <v>1</v>
      </c>
      <c r="J59" t="e">
        <f t="shared" si="5"/>
        <v>#NUM!</v>
      </c>
      <c r="K59">
        <f t="shared" si="6"/>
        <v>-1.2217251517752175</v>
      </c>
      <c r="L59">
        <v>1</v>
      </c>
      <c r="M59" t="e">
        <f t="shared" si="7"/>
        <v>#NUM!</v>
      </c>
      <c r="N59">
        <f t="shared" si="13"/>
        <v>0</v>
      </c>
      <c r="O59">
        <f t="shared" si="11"/>
        <v>0</v>
      </c>
      <c r="P59" t="e">
        <f t="shared" si="12"/>
        <v>#NUM!</v>
      </c>
      <c r="V59">
        <v>-0.50000000000001998</v>
      </c>
      <c r="W59">
        <f t="shared" si="9"/>
        <v>-0.45919999999999905</v>
      </c>
    </row>
    <row r="60" spans="1:23" x14ac:dyDescent="0.3">
      <c r="C60">
        <f t="shared" si="1"/>
        <v>0</v>
      </c>
      <c r="D60">
        <v>1.5599999999999999E-2</v>
      </c>
      <c r="E60" s="1">
        <v>1.2999999999999999E-2</v>
      </c>
      <c r="F60">
        <f t="shared" si="2"/>
        <v>0</v>
      </c>
      <c r="G60">
        <f t="shared" si="3"/>
        <v>0</v>
      </c>
      <c r="H60">
        <f t="shared" si="4"/>
        <v>0</v>
      </c>
      <c r="I60">
        <v>1</v>
      </c>
      <c r="J60" t="e">
        <f t="shared" si="5"/>
        <v>#NUM!</v>
      </c>
      <c r="K60">
        <f t="shared" si="6"/>
        <v>-1.2217251517752175</v>
      </c>
      <c r="L60">
        <v>1</v>
      </c>
      <c r="M60" t="e">
        <f t="shared" si="7"/>
        <v>#NUM!</v>
      </c>
      <c r="N60">
        <f t="shared" si="13"/>
        <v>0</v>
      </c>
      <c r="O60">
        <f t="shared" si="11"/>
        <v>0</v>
      </c>
      <c r="P60" t="e">
        <f t="shared" si="12"/>
        <v>#NUM!</v>
      </c>
      <c r="V60">
        <v>-0.40000000000002001</v>
      </c>
      <c r="W60">
        <f t="shared" si="9"/>
        <v>-0.46375999999999906</v>
      </c>
    </row>
    <row r="61" spans="1:23" x14ac:dyDescent="0.3">
      <c r="C61">
        <f t="shared" si="1"/>
        <v>0</v>
      </c>
      <c r="D61">
        <v>1.5599999999999999E-2</v>
      </c>
      <c r="E61" s="1">
        <v>1.2999999999999999E-2</v>
      </c>
      <c r="F61">
        <f t="shared" si="2"/>
        <v>0</v>
      </c>
      <c r="G61">
        <f t="shared" si="3"/>
        <v>0</v>
      </c>
      <c r="H61">
        <f t="shared" si="4"/>
        <v>0</v>
      </c>
      <c r="I61">
        <v>1</v>
      </c>
      <c r="J61" t="e">
        <f t="shared" si="5"/>
        <v>#NUM!</v>
      </c>
      <c r="K61">
        <f t="shared" si="6"/>
        <v>-1.2217251517752175</v>
      </c>
      <c r="L61">
        <v>1</v>
      </c>
      <c r="M61" t="e">
        <f t="shared" si="7"/>
        <v>#NUM!</v>
      </c>
      <c r="N61">
        <f t="shared" si="13"/>
        <v>0</v>
      </c>
      <c r="O61">
        <f t="shared" si="11"/>
        <v>0</v>
      </c>
      <c r="P61" t="e">
        <f t="shared" si="12"/>
        <v>#NUM!</v>
      </c>
      <c r="V61">
        <v>-0.30000000000001997</v>
      </c>
      <c r="W61">
        <f t="shared" si="9"/>
        <v>-0.46831999999999907</v>
      </c>
    </row>
    <row r="62" spans="1:23" x14ac:dyDescent="0.3">
      <c r="C62">
        <f t="shared" si="1"/>
        <v>0</v>
      </c>
      <c r="D62">
        <v>1.5599999999999999E-2</v>
      </c>
      <c r="E62" s="1">
        <v>1.2999999999999999E-2</v>
      </c>
      <c r="F62">
        <f t="shared" si="2"/>
        <v>0</v>
      </c>
      <c r="G62">
        <f t="shared" si="3"/>
        <v>0</v>
      </c>
      <c r="H62">
        <f t="shared" si="4"/>
        <v>0</v>
      </c>
      <c r="I62">
        <v>1</v>
      </c>
      <c r="J62" t="e">
        <f t="shared" si="5"/>
        <v>#NUM!</v>
      </c>
      <c r="K62">
        <f t="shared" si="6"/>
        <v>-1.2217251517752175</v>
      </c>
      <c r="L62">
        <v>1</v>
      </c>
      <c r="M62" t="e">
        <f t="shared" si="7"/>
        <v>#NUM!</v>
      </c>
      <c r="N62">
        <f t="shared" si="13"/>
        <v>0</v>
      </c>
      <c r="O62">
        <f t="shared" si="11"/>
        <v>0</v>
      </c>
      <c r="P62" t="e">
        <f t="shared" si="12"/>
        <v>#NUM!</v>
      </c>
      <c r="V62">
        <v>-0.20000000000002</v>
      </c>
      <c r="W62">
        <f t="shared" si="9"/>
        <v>-0.47287999999999908</v>
      </c>
    </row>
    <row r="63" spans="1:23" x14ac:dyDescent="0.3">
      <c r="C63">
        <f t="shared" si="1"/>
        <v>0</v>
      </c>
      <c r="D63">
        <v>1.5599999999999999E-2</v>
      </c>
      <c r="E63" s="1">
        <v>1.2999999999999999E-2</v>
      </c>
      <c r="F63">
        <f t="shared" si="2"/>
        <v>0</v>
      </c>
      <c r="G63">
        <f t="shared" si="3"/>
        <v>0</v>
      </c>
      <c r="H63">
        <f t="shared" si="4"/>
        <v>0</v>
      </c>
      <c r="I63">
        <v>1</v>
      </c>
      <c r="J63" t="e">
        <f t="shared" si="5"/>
        <v>#NUM!</v>
      </c>
      <c r="K63">
        <f t="shared" si="6"/>
        <v>-1.2217251517752175</v>
      </c>
      <c r="L63">
        <v>1</v>
      </c>
      <c r="M63" t="e">
        <f t="shared" si="7"/>
        <v>#NUM!</v>
      </c>
      <c r="N63">
        <f t="shared" si="13"/>
        <v>0</v>
      </c>
      <c r="O63">
        <f t="shared" si="11"/>
        <v>0</v>
      </c>
      <c r="P63" t="e">
        <f t="shared" si="12"/>
        <v>#NUM!</v>
      </c>
      <c r="V63">
        <v>-0.10000000000002</v>
      </c>
      <c r="W63">
        <f t="shared" si="9"/>
        <v>-0.47743999999999909</v>
      </c>
    </row>
    <row r="64" spans="1:23" x14ac:dyDescent="0.3">
      <c r="C64">
        <f t="shared" si="1"/>
        <v>0</v>
      </c>
      <c r="D64">
        <v>1.5599999999999999E-2</v>
      </c>
      <c r="E64" s="1">
        <v>1.2999999999999999E-2</v>
      </c>
      <c r="F64">
        <f t="shared" si="2"/>
        <v>0</v>
      </c>
      <c r="G64">
        <f t="shared" si="3"/>
        <v>0</v>
      </c>
      <c r="H64">
        <f t="shared" si="4"/>
        <v>0</v>
      </c>
      <c r="I64">
        <v>1</v>
      </c>
      <c r="J64" t="e">
        <f t="shared" si="5"/>
        <v>#NUM!</v>
      </c>
      <c r="K64">
        <f t="shared" si="6"/>
        <v>-1.2217251517752175</v>
      </c>
      <c r="L64">
        <v>1</v>
      </c>
      <c r="M64" t="e">
        <f t="shared" si="7"/>
        <v>#NUM!</v>
      </c>
      <c r="N64">
        <f t="shared" si="13"/>
        <v>0</v>
      </c>
      <c r="O64">
        <f t="shared" si="11"/>
        <v>0</v>
      </c>
      <c r="P64" t="e">
        <f t="shared" si="12"/>
        <v>#NUM!</v>
      </c>
      <c r="V64">
        <v>-2.0428103653102899E-14</v>
      </c>
      <c r="W64">
        <f t="shared" si="9"/>
        <v>-0.48199999999999904</v>
      </c>
    </row>
    <row r="65" spans="3:23" x14ac:dyDescent="0.3">
      <c r="C65">
        <f t="shared" si="1"/>
        <v>0</v>
      </c>
      <c r="D65">
        <v>1.5599999999999999E-2</v>
      </c>
      <c r="E65" s="1">
        <v>1.2999999999999999E-2</v>
      </c>
      <c r="F65">
        <f t="shared" si="2"/>
        <v>0</v>
      </c>
      <c r="G65">
        <f t="shared" si="3"/>
        <v>0</v>
      </c>
      <c r="H65">
        <f t="shared" si="4"/>
        <v>0</v>
      </c>
      <c r="I65">
        <v>1</v>
      </c>
      <c r="J65" t="e">
        <f t="shared" si="5"/>
        <v>#NUM!</v>
      </c>
      <c r="K65">
        <f t="shared" si="6"/>
        <v>-1.2217251517752175</v>
      </c>
      <c r="L65">
        <v>1</v>
      </c>
      <c r="M65" t="e">
        <f t="shared" si="7"/>
        <v>#NUM!</v>
      </c>
      <c r="N65">
        <f t="shared" si="13"/>
        <v>0</v>
      </c>
      <c r="O65">
        <f t="shared" si="11"/>
        <v>0</v>
      </c>
      <c r="P65" t="e">
        <f t="shared" si="12"/>
        <v>#NUM!</v>
      </c>
      <c r="V65">
        <v>9.9999999999980105E-2</v>
      </c>
      <c r="W65">
        <f t="shared" si="9"/>
        <v>-0.4865599999999991</v>
      </c>
    </row>
    <row r="66" spans="3:23" x14ac:dyDescent="0.3">
      <c r="C66">
        <f t="shared" si="1"/>
        <v>0</v>
      </c>
      <c r="D66">
        <v>1.5599999999999999E-2</v>
      </c>
      <c r="E66" s="1">
        <v>1.2999999999999999E-2</v>
      </c>
      <c r="F66">
        <f t="shared" si="2"/>
        <v>0</v>
      </c>
      <c r="G66">
        <f t="shared" si="3"/>
        <v>0</v>
      </c>
      <c r="H66">
        <f t="shared" si="4"/>
        <v>0</v>
      </c>
      <c r="I66">
        <v>1</v>
      </c>
      <c r="J66" t="e">
        <f t="shared" si="5"/>
        <v>#NUM!</v>
      </c>
      <c r="K66">
        <f t="shared" si="6"/>
        <v>-1.2217251517752175</v>
      </c>
      <c r="L66">
        <v>1</v>
      </c>
      <c r="M66" t="e">
        <f t="shared" si="7"/>
        <v>#NUM!</v>
      </c>
      <c r="N66">
        <f t="shared" si="13"/>
        <v>0</v>
      </c>
      <c r="O66">
        <f t="shared" si="11"/>
        <v>0</v>
      </c>
      <c r="P66" t="e">
        <f t="shared" si="12"/>
        <v>#NUM!</v>
      </c>
      <c r="V66">
        <v>0.19999999999998</v>
      </c>
      <c r="W66">
        <f t="shared" si="9"/>
        <v>-0.49111999999999906</v>
      </c>
    </row>
    <row r="67" spans="3:23" x14ac:dyDescent="0.3">
      <c r="C67">
        <f t="shared" si="1"/>
        <v>0</v>
      </c>
      <c r="D67">
        <v>1.5599999999999999E-2</v>
      </c>
      <c r="E67" s="1">
        <v>1.2999999999999999E-2</v>
      </c>
      <c r="F67">
        <f t="shared" si="2"/>
        <v>0</v>
      </c>
      <c r="G67">
        <f t="shared" si="3"/>
        <v>0</v>
      </c>
      <c r="H67">
        <f t="shared" si="4"/>
        <v>0</v>
      </c>
      <c r="I67">
        <v>1</v>
      </c>
      <c r="J67" t="e">
        <f t="shared" si="5"/>
        <v>#NUM!</v>
      </c>
      <c r="K67">
        <f t="shared" si="6"/>
        <v>-1.2217251517752175</v>
      </c>
      <c r="L67">
        <v>1</v>
      </c>
      <c r="M67" t="e">
        <f t="shared" si="7"/>
        <v>#NUM!</v>
      </c>
      <c r="N67">
        <f t="shared" si="13"/>
        <v>0</v>
      </c>
      <c r="O67">
        <f t="shared" si="11"/>
        <v>0</v>
      </c>
      <c r="P67" t="e">
        <f t="shared" si="12"/>
        <v>#NUM!</v>
      </c>
      <c r="V67">
        <v>0.29999999999998</v>
      </c>
      <c r="W67">
        <f t="shared" si="9"/>
        <v>-0.49567999999999907</v>
      </c>
    </row>
    <row r="68" spans="3:23" x14ac:dyDescent="0.3">
      <c r="C68">
        <f t="shared" si="1"/>
        <v>0</v>
      </c>
      <c r="D68">
        <v>1.5599999999999999E-2</v>
      </c>
      <c r="E68" s="1">
        <v>1.2999999999999999E-2</v>
      </c>
      <c r="F68">
        <f t="shared" si="2"/>
        <v>0</v>
      </c>
      <c r="G68">
        <f t="shared" si="3"/>
        <v>0</v>
      </c>
      <c r="H68">
        <f t="shared" si="4"/>
        <v>0</v>
      </c>
      <c r="I68">
        <v>1</v>
      </c>
      <c r="J68" t="e">
        <f t="shared" si="5"/>
        <v>#NUM!</v>
      </c>
      <c r="K68">
        <f t="shared" si="6"/>
        <v>-1.2217251517752175</v>
      </c>
      <c r="L68">
        <v>1</v>
      </c>
      <c r="M68" t="e">
        <f t="shared" si="7"/>
        <v>#NUM!</v>
      </c>
      <c r="N68">
        <f t="shared" si="13"/>
        <v>0</v>
      </c>
      <c r="O68">
        <f t="shared" si="11"/>
        <v>0</v>
      </c>
      <c r="P68" t="e">
        <f t="shared" si="12"/>
        <v>#NUM!</v>
      </c>
      <c r="V68">
        <v>0.39999999999997998</v>
      </c>
      <c r="W68">
        <f t="shared" si="9"/>
        <v>-0.50023999999999902</v>
      </c>
    </row>
    <row r="69" spans="3:23" x14ac:dyDescent="0.3">
      <c r="C69">
        <f t="shared" ref="C69:C132" si="14">A69*B69</f>
        <v>0</v>
      </c>
      <c r="D69">
        <v>1.5599999999999999E-2</v>
      </c>
      <c r="E69" s="1">
        <v>1.2999999999999999E-2</v>
      </c>
      <c r="F69">
        <f t="shared" ref="F69:F132" si="15">A69*200</f>
        <v>0</v>
      </c>
      <c r="G69">
        <f t="shared" ref="G69:G132" si="16">-B69</f>
        <v>0</v>
      </c>
      <c r="H69">
        <f t="shared" ref="H69:H132" si="17">-C69*200</f>
        <v>0</v>
      </c>
      <c r="I69">
        <v>1</v>
      </c>
      <c r="J69" t="e">
        <f t="shared" ref="J69:J132" si="18">LN(F69/1000)</f>
        <v>#NUM!</v>
      </c>
      <c r="K69">
        <f t="shared" ref="K69:K132" si="19">((-G69)-$N$2)</f>
        <v>-1.2217251517752175</v>
      </c>
      <c r="L69">
        <v>1</v>
      </c>
      <c r="M69" t="e">
        <f t="shared" ref="M69:M132" si="20">-1*($S$4+($S$5*J69))</f>
        <v>#NUM!</v>
      </c>
      <c r="N69">
        <f t="shared" si="13"/>
        <v>0</v>
      </c>
      <c r="O69">
        <f t="shared" si="11"/>
        <v>0</v>
      </c>
      <c r="P69" t="e">
        <f t="shared" si="12"/>
        <v>#NUM!</v>
      </c>
      <c r="V69">
        <v>0.49999999999998002</v>
      </c>
      <c r="W69">
        <f t="shared" ref="W69:W132" si="21">V69*$S$5+$S$4</f>
        <v>-0.50479999999999903</v>
      </c>
    </row>
    <row r="70" spans="3:23" x14ac:dyDescent="0.3">
      <c r="C70">
        <f t="shared" si="14"/>
        <v>0</v>
      </c>
      <c r="D70">
        <v>1.5599999999999999E-2</v>
      </c>
      <c r="E70" s="1">
        <v>1.2999999999999999E-2</v>
      </c>
      <c r="F70">
        <f t="shared" si="15"/>
        <v>0</v>
      </c>
      <c r="G70">
        <f t="shared" si="16"/>
        <v>0</v>
      </c>
      <c r="H70">
        <f t="shared" si="17"/>
        <v>0</v>
      </c>
      <c r="I70">
        <v>1</v>
      </c>
      <c r="J70" t="e">
        <f t="shared" si="18"/>
        <v>#NUM!</v>
      </c>
      <c r="K70">
        <f t="shared" si="19"/>
        <v>-1.2217251517752175</v>
      </c>
      <c r="L70">
        <v>1</v>
      </c>
      <c r="M70" t="e">
        <f t="shared" si="20"/>
        <v>#NUM!</v>
      </c>
      <c r="N70">
        <f t="shared" si="13"/>
        <v>0</v>
      </c>
      <c r="O70">
        <f t="shared" ref="O70:O133" si="22">E70*A70</f>
        <v>0</v>
      </c>
      <c r="P70" t="e">
        <f t="shared" ref="P70:P133" si="23">-K70-M70-N70-O70</f>
        <v>#NUM!</v>
      </c>
      <c r="V70">
        <v>0.59999999999997999</v>
      </c>
      <c r="W70">
        <f t="shared" si="21"/>
        <v>-0.50935999999999904</v>
      </c>
    </row>
    <row r="71" spans="3:23" x14ac:dyDescent="0.3">
      <c r="C71">
        <f t="shared" si="14"/>
        <v>0</v>
      </c>
      <c r="D71">
        <v>1.5599999999999999E-2</v>
      </c>
      <c r="E71" s="1">
        <v>1.2999999999999999E-2</v>
      </c>
      <c r="F71">
        <f t="shared" si="15"/>
        <v>0</v>
      </c>
      <c r="G71">
        <f t="shared" si="16"/>
        <v>0</v>
      </c>
      <c r="H71">
        <f t="shared" si="17"/>
        <v>0</v>
      </c>
      <c r="I71">
        <v>1</v>
      </c>
      <c r="J71" t="e">
        <f t="shared" si="18"/>
        <v>#NUM!</v>
      </c>
      <c r="K71">
        <f t="shared" si="19"/>
        <v>-1.2217251517752175</v>
      </c>
      <c r="L71">
        <v>1</v>
      </c>
      <c r="M71" t="e">
        <f t="shared" si="20"/>
        <v>#NUM!</v>
      </c>
      <c r="N71">
        <f t="shared" ref="N71:N134" si="24">D71*A71</f>
        <v>0</v>
      </c>
      <c r="O71">
        <f t="shared" si="22"/>
        <v>0</v>
      </c>
      <c r="P71" t="e">
        <f t="shared" si="23"/>
        <v>#NUM!</v>
      </c>
      <c r="V71">
        <v>0.69999999999997997</v>
      </c>
      <c r="W71">
        <f t="shared" si="21"/>
        <v>-0.51391999999999904</v>
      </c>
    </row>
    <row r="72" spans="3:23" x14ac:dyDescent="0.3">
      <c r="C72">
        <f t="shared" si="14"/>
        <v>0</v>
      </c>
      <c r="D72">
        <v>1.5599999999999999E-2</v>
      </c>
      <c r="E72" s="1">
        <v>1.2999999999999999E-2</v>
      </c>
      <c r="F72">
        <f t="shared" si="15"/>
        <v>0</v>
      </c>
      <c r="G72">
        <f t="shared" si="16"/>
        <v>0</v>
      </c>
      <c r="H72">
        <f t="shared" si="17"/>
        <v>0</v>
      </c>
      <c r="I72">
        <v>1</v>
      </c>
      <c r="J72" t="e">
        <f t="shared" si="18"/>
        <v>#NUM!</v>
      </c>
      <c r="K72">
        <f t="shared" si="19"/>
        <v>-1.2217251517752175</v>
      </c>
      <c r="L72">
        <v>1</v>
      </c>
      <c r="M72" t="e">
        <f t="shared" si="20"/>
        <v>#NUM!</v>
      </c>
      <c r="N72">
        <f t="shared" si="24"/>
        <v>0</v>
      </c>
      <c r="O72">
        <f t="shared" si="22"/>
        <v>0</v>
      </c>
      <c r="P72" t="e">
        <f t="shared" si="23"/>
        <v>#NUM!</v>
      </c>
      <c r="V72">
        <v>0.79999999999997995</v>
      </c>
      <c r="W72">
        <f t="shared" si="21"/>
        <v>-0.51847999999999905</v>
      </c>
    </row>
    <row r="73" spans="3:23" x14ac:dyDescent="0.3">
      <c r="C73">
        <f t="shared" si="14"/>
        <v>0</v>
      </c>
      <c r="D73">
        <v>1.5599999999999999E-2</v>
      </c>
      <c r="E73" s="1">
        <v>1.2999999999999999E-2</v>
      </c>
      <c r="F73">
        <f t="shared" si="15"/>
        <v>0</v>
      </c>
      <c r="G73">
        <f t="shared" si="16"/>
        <v>0</v>
      </c>
      <c r="H73">
        <f t="shared" si="17"/>
        <v>0</v>
      </c>
      <c r="I73">
        <v>1</v>
      </c>
      <c r="J73" t="e">
        <f t="shared" si="18"/>
        <v>#NUM!</v>
      </c>
      <c r="K73">
        <f t="shared" si="19"/>
        <v>-1.2217251517752175</v>
      </c>
      <c r="L73">
        <v>1</v>
      </c>
      <c r="M73" t="e">
        <f t="shared" si="20"/>
        <v>#NUM!</v>
      </c>
      <c r="N73">
        <f t="shared" si="24"/>
        <v>0</v>
      </c>
      <c r="O73">
        <f t="shared" si="22"/>
        <v>0</v>
      </c>
      <c r="P73" t="e">
        <f t="shared" si="23"/>
        <v>#NUM!</v>
      </c>
      <c r="V73">
        <v>0.89999999999998004</v>
      </c>
      <c r="W73">
        <f t="shared" si="21"/>
        <v>-0.52303999999999906</v>
      </c>
    </row>
    <row r="74" spans="3:23" x14ac:dyDescent="0.3">
      <c r="C74">
        <f t="shared" si="14"/>
        <v>0</v>
      </c>
      <c r="D74">
        <v>1.5599999999999999E-2</v>
      </c>
      <c r="E74" s="1">
        <v>1.2999999999999999E-2</v>
      </c>
      <c r="F74">
        <f t="shared" si="15"/>
        <v>0</v>
      </c>
      <c r="G74">
        <f t="shared" si="16"/>
        <v>0</v>
      </c>
      <c r="H74">
        <f t="shared" si="17"/>
        <v>0</v>
      </c>
      <c r="I74">
        <v>1</v>
      </c>
      <c r="J74" t="e">
        <f t="shared" si="18"/>
        <v>#NUM!</v>
      </c>
      <c r="K74">
        <f t="shared" si="19"/>
        <v>-1.2217251517752175</v>
      </c>
      <c r="L74">
        <v>1</v>
      </c>
      <c r="M74" t="e">
        <f t="shared" si="20"/>
        <v>#NUM!</v>
      </c>
      <c r="N74">
        <f t="shared" si="24"/>
        <v>0</v>
      </c>
      <c r="O74">
        <f t="shared" si="22"/>
        <v>0</v>
      </c>
      <c r="P74" t="e">
        <f t="shared" si="23"/>
        <v>#NUM!</v>
      </c>
      <c r="V74">
        <v>0.99999999999998002</v>
      </c>
      <c r="W74">
        <f t="shared" si="21"/>
        <v>-0.52759999999999907</v>
      </c>
    </row>
    <row r="75" spans="3:23" x14ac:dyDescent="0.3">
      <c r="C75">
        <f t="shared" si="14"/>
        <v>0</v>
      </c>
      <c r="D75">
        <v>1.5599999999999999E-2</v>
      </c>
      <c r="E75" s="1">
        <v>1.2999999999999999E-2</v>
      </c>
      <c r="F75">
        <f t="shared" si="15"/>
        <v>0</v>
      </c>
      <c r="G75">
        <f t="shared" si="16"/>
        <v>0</v>
      </c>
      <c r="H75">
        <f t="shared" si="17"/>
        <v>0</v>
      </c>
      <c r="I75">
        <v>1</v>
      </c>
      <c r="J75" t="e">
        <f t="shared" si="18"/>
        <v>#NUM!</v>
      </c>
      <c r="K75">
        <f t="shared" si="19"/>
        <v>-1.2217251517752175</v>
      </c>
      <c r="L75">
        <v>1</v>
      </c>
      <c r="M75" t="e">
        <f t="shared" si="20"/>
        <v>#NUM!</v>
      </c>
      <c r="N75">
        <f t="shared" si="24"/>
        <v>0</v>
      </c>
      <c r="O75">
        <f t="shared" si="22"/>
        <v>0</v>
      </c>
      <c r="P75" t="e">
        <f t="shared" si="23"/>
        <v>#NUM!</v>
      </c>
      <c r="V75">
        <v>1.0999999999999699</v>
      </c>
      <c r="W75">
        <f t="shared" si="21"/>
        <v>-0.53215999999999863</v>
      </c>
    </row>
    <row r="76" spans="3:23" x14ac:dyDescent="0.3">
      <c r="C76">
        <f t="shared" si="14"/>
        <v>0</v>
      </c>
      <c r="D76">
        <v>1.5599999999999999E-2</v>
      </c>
      <c r="E76" s="1">
        <v>1.2999999999999999E-2</v>
      </c>
      <c r="F76">
        <f t="shared" si="15"/>
        <v>0</v>
      </c>
      <c r="G76">
        <f t="shared" si="16"/>
        <v>0</v>
      </c>
      <c r="H76">
        <f t="shared" si="17"/>
        <v>0</v>
      </c>
      <c r="I76">
        <v>1</v>
      </c>
      <c r="J76" t="e">
        <f t="shared" si="18"/>
        <v>#NUM!</v>
      </c>
      <c r="K76">
        <f t="shared" si="19"/>
        <v>-1.2217251517752175</v>
      </c>
      <c r="L76">
        <v>1</v>
      </c>
      <c r="M76" t="e">
        <f t="shared" si="20"/>
        <v>#NUM!</v>
      </c>
      <c r="N76">
        <f t="shared" si="24"/>
        <v>0</v>
      </c>
      <c r="O76">
        <f t="shared" si="22"/>
        <v>0</v>
      </c>
      <c r="P76" t="e">
        <f t="shared" si="23"/>
        <v>#NUM!</v>
      </c>
      <c r="V76">
        <v>1.19999999999997</v>
      </c>
      <c r="W76">
        <f t="shared" si="21"/>
        <v>-0.53671999999999864</v>
      </c>
    </row>
    <row r="77" spans="3:23" x14ac:dyDescent="0.3">
      <c r="C77">
        <f t="shared" si="14"/>
        <v>0</v>
      </c>
      <c r="D77">
        <v>1.5599999999999999E-2</v>
      </c>
      <c r="E77" s="1">
        <v>1.2999999999999999E-2</v>
      </c>
      <c r="F77">
        <f t="shared" si="15"/>
        <v>0</v>
      </c>
      <c r="G77">
        <f t="shared" si="16"/>
        <v>0</v>
      </c>
      <c r="H77">
        <f t="shared" si="17"/>
        <v>0</v>
      </c>
      <c r="I77">
        <v>1</v>
      </c>
      <c r="J77" t="e">
        <f t="shared" si="18"/>
        <v>#NUM!</v>
      </c>
      <c r="K77">
        <f t="shared" si="19"/>
        <v>-1.2217251517752175</v>
      </c>
      <c r="L77">
        <v>1</v>
      </c>
      <c r="M77" t="e">
        <f t="shared" si="20"/>
        <v>#NUM!</v>
      </c>
      <c r="N77">
        <f t="shared" si="24"/>
        <v>0</v>
      </c>
      <c r="O77">
        <f t="shared" si="22"/>
        <v>0</v>
      </c>
      <c r="P77" t="e">
        <f t="shared" si="23"/>
        <v>#NUM!</v>
      </c>
      <c r="V77">
        <v>1.2999999999999701</v>
      </c>
      <c r="W77">
        <f t="shared" si="21"/>
        <v>-0.54127999999999865</v>
      </c>
    </row>
    <row r="78" spans="3:23" x14ac:dyDescent="0.3">
      <c r="C78">
        <f t="shared" si="14"/>
        <v>0</v>
      </c>
      <c r="D78">
        <v>1.5599999999999999E-2</v>
      </c>
      <c r="E78" s="1">
        <v>1.2999999999999999E-2</v>
      </c>
      <c r="F78">
        <f t="shared" si="15"/>
        <v>0</v>
      </c>
      <c r="G78">
        <f t="shared" si="16"/>
        <v>0</v>
      </c>
      <c r="H78">
        <f t="shared" si="17"/>
        <v>0</v>
      </c>
      <c r="I78">
        <v>1</v>
      </c>
      <c r="J78" t="e">
        <f t="shared" si="18"/>
        <v>#NUM!</v>
      </c>
      <c r="K78">
        <f t="shared" si="19"/>
        <v>-1.2217251517752175</v>
      </c>
      <c r="L78">
        <v>1</v>
      </c>
      <c r="M78" t="e">
        <f t="shared" si="20"/>
        <v>#NUM!</v>
      </c>
      <c r="N78">
        <f t="shared" si="24"/>
        <v>0</v>
      </c>
      <c r="O78">
        <f t="shared" si="22"/>
        <v>0</v>
      </c>
      <c r="P78" t="e">
        <f t="shared" si="23"/>
        <v>#NUM!</v>
      </c>
      <c r="V78">
        <v>1.3999999999999699</v>
      </c>
      <c r="W78">
        <f t="shared" si="21"/>
        <v>-0.54583999999999866</v>
      </c>
    </row>
    <row r="79" spans="3:23" x14ac:dyDescent="0.3">
      <c r="C79">
        <f t="shared" si="14"/>
        <v>0</v>
      </c>
      <c r="D79">
        <v>1.5599999999999999E-2</v>
      </c>
      <c r="E79" s="1">
        <v>1.2999999999999999E-2</v>
      </c>
      <c r="F79">
        <f t="shared" si="15"/>
        <v>0</v>
      </c>
      <c r="G79">
        <f t="shared" si="16"/>
        <v>0</v>
      </c>
      <c r="H79">
        <f t="shared" si="17"/>
        <v>0</v>
      </c>
      <c r="I79">
        <v>1</v>
      </c>
      <c r="J79" t="e">
        <f t="shared" si="18"/>
        <v>#NUM!</v>
      </c>
      <c r="K79">
        <f t="shared" si="19"/>
        <v>-1.2217251517752175</v>
      </c>
      <c r="L79">
        <v>1</v>
      </c>
      <c r="M79" t="e">
        <f t="shared" si="20"/>
        <v>#NUM!</v>
      </c>
      <c r="N79">
        <f t="shared" si="24"/>
        <v>0</v>
      </c>
      <c r="O79">
        <f t="shared" si="22"/>
        <v>0</v>
      </c>
      <c r="P79" t="e">
        <f t="shared" si="23"/>
        <v>#NUM!</v>
      </c>
      <c r="V79">
        <v>1.49999999999997</v>
      </c>
      <c r="W79">
        <f t="shared" si="21"/>
        <v>-0.55039999999999867</v>
      </c>
    </row>
    <row r="80" spans="3:23" x14ac:dyDescent="0.3">
      <c r="C80">
        <f t="shared" si="14"/>
        <v>0</v>
      </c>
      <c r="D80">
        <v>1.5599999999999999E-2</v>
      </c>
      <c r="E80" s="1">
        <v>1.2999999999999999E-2</v>
      </c>
      <c r="F80">
        <f t="shared" si="15"/>
        <v>0</v>
      </c>
      <c r="G80">
        <f t="shared" si="16"/>
        <v>0</v>
      </c>
      <c r="H80">
        <f t="shared" si="17"/>
        <v>0</v>
      </c>
      <c r="I80">
        <v>1</v>
      </c>
      <c r="J80" t="e">
        <f t="shared" si="18"/>
        <v>#NUM!</v>
      </c>
      <c r="K80">
        <f t="shared" si="19"/>
        <v>-1.2217251517752175</v>
      </c>
      <c r="L80">
        <v>1</v>
      </c>
      <c r="M80" t="e">
        <f t="shared" si="20"/>
        <v>#NUM!</v>
      </c>
      <c r="N80">
        <f t="shared" si="24"/>
        <v>0</v>
      </c>
      <c r="O80">
        <f t="shared" si="22"/>
        <v>0</v>
      </c>
      <c r="P80" t="e">
        <f t="shared" si="23"/>
        <v>#NUM!</v>
      </c>
      <c r="V80">
        <v>1.5999999999999699</v>
      </c>
      <c r="W80">
        <f t="shared" si="21"/>
        <v>-0.55495999999999857</v>
      </c>
    </row>
    <row r="81" spans="3:23" x14ac:dyDescent="0.3">
      <c r="C81">
        <f t="shared" si="14"/>
        <v>0</v>
      </c>
      <c r="D81">
        <v>1.5599999999999999E-2</v>
      </c>
      <c r="E81" s="1">
        <v>1.2999999999999999E-2</v>
      </c>
      <c r="F81">
        <f t="shared" si="15"/>
        <v>0</v>
      </c>
      <c r="G81">
        <f t="shared" si="16"/>
        <v>0</v>
      </c>
      <c r="H81">
        <f t="shared" si="17"/>
        <v>0</v>
      </c>
      <c r="I81">
        <v>1</v>
      </c>
      <c r="J81" t="e">
        <f t="shared" si="18"/>
        <v>#NUM!</v>
      </c>
      <c r="K81">
        <f t="shared" si="19"/>
        <v>-1.2217251517752175</v>
      </c>
      <c r="L81">
        <v>1</v>
      </c>
      <c r="M81" t="e">
        <f t="shared" si="20"/>
        <v>#NUM!</v>
      </c>
      <c r="N81">
        <f t="shared" si="24"/>
        <v>0</v>
      </c>
      <c r="O81">
        <f t="shared" si="22"/>
        <v>0</v>
      </c>
      <c r="P81" t="e">
        <f t="shared" si="23"/>
        <v>#NUM!</v>
      </c>
      <c r="V81">
        <v>1.69999999999997</v>
      </c>
      <c r="W81">
        <f t="shared" si="21"/>
        <v>-0.55951999999999857</v>
      </c>
    </row>
    <row r="82" spans="3:23" x14ac:dyDescent="0.3">
      <c r="C82">
        <f t="shared" si="14"/>
        <v>0</v>
      </c>
      <c r="D82">
        <v>1.5599999999999999E-2</v>
      </c>
      <c r="E82" s="1">
        <v>1.2999999999999999E-2</v>
      </c>
      <c r="F82">
        <f t="shared" si="15"/>
        <v>0</v>
      </c>
      <c r="G82">
        <f t="shared" si="16"/>
        <v>0</v>
      </c>
      <c r="H82">
        <f t="shared" si="17"/>
        <v>0</v>
      </c>
      <c r="I82">
        <v>1</v>
      </c>
      <c r="J82" t="e">
        <f t="shared" si="18"/>
        <v>#NUM!</v>
      </c>
      <c r="K82">
        <f t="shared" si="19"/>
        <v>-1.2217251517752175</v>
      </c>
      <c r="L82">
        <v>1</v>
      </c>
      <c r="M82" t="e">
        <f t="shared" si="20"/>
        <v>#NUM!</v>
      </c>
      <c r="N82">
        <f t="shared" si="24"/>
        <v>0</v>
      </c>
      <c r="O82">
        <f t="shared" si="22"/>
        <v>0</v>
      </c>
      <c r="P82" t="e">
        <f t="shared" si="23"/>
        <v>#NUM!</v>
      </c>
      <c r="V82">
        <v>1.7999999999999701</v>
      </c>
      <c r="W82">
        <f t="shared" si="21"/>
        <v>-0.56407999999999858</v>
      </c>
    </row>
    <row r="83" spans="3:23" x14ac:dyDescent="0.3">
      <c r="C83">
        <f t="shared" si="14"/>
        <v>0</v>
      </c>
      <c r="D83">
        <v>1.5599999999999999E-2</v>
      </c>
      <c r="E83" s="1">
        <v>1.2999999999999999E-2</v>
      </c>
      <c r="F83">
        <f t="shared" si="15"/>
        <v>0</v>
      </c>
      <c r="G83">
        <f t="shared" si="16"/>
        <v>0</v>
      </c>
      <c r="H83">
        <f t="shared" si="17"/>
        <v>0</v>
      </c>
      <c r="I83">
        <v>1</v>
      </c>
      <c r="J83" t="e">
        <f t="shared" si="18"/>
        <v>#NUM!</v>
      </c>
      <c r="K83">
        <f t="shared" si="19"/>
        <v>-1.2217251517752175</v>
      </c>
      <c r="L83">
        <v>1</v>
      </c>
      <c r="M83" t="e">
        <f t="shared" si="20"/>
        <v>#NUM!</v>
      </c>
      <c r="N83">
        <f t="shared" si="24"/>
        <v>0</v>
      </c>
      <c r="O83">
        <f t="shared" si="22"/>
        <v>0</v>
      </c>
      <c r="P83" t="e">
        <f t="shared" si="23"/>
        <v>#NUM!</v>
      </c>
      <c r="V83">
        <v>1.8999999999999699</v>
      </c>
      <c r="W83">
        <f t="shared" si="21"/>
        <v>-0.56863999999999859</v>
      </c>
    </row>
    <row r="84" spans="3:23" x14ac:dyDescent="0.3">
      <c r="C84">
        <f t="shared" si="14"/>
        <v>0</v>
      </c>
      <c r="D84">
        <v>1.5599999999999999E-2</v>
      </c>
      <c r="E84" s="1">
        <v>1.2999999999999999E-2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-1.2217251517752175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-0.5731999999999986</v>
      </c>
    </row>
    <row r="85" spans="3:23" x14ac:dyDescent="0.3">
      <c r="C85">
        <f t="shared" si="14"/>
        <v>0</v>
      </c>
      <c r="D85">
        <v>1.5599999999999999E-2</v>
      </c>
      <c r="E85" s="1">
        <v>1.2999999999999999E-2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-1.2217251517752175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-0.57775999999999861</v>
      </c>
    </row>
    <row r="86" spans="3:23" x14ac:dyDescent="0.3">
      <c r="C86">
        <f t="shared" si="14"/>
        <v>0</v>
      </c>
      <c r="D86">
        <v>1.5599999999999999E-2</v>
      </c>
      <c r="E86" s="1">
        <v>1.2999999999999999E-2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-1.2217251517752175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-0.58231999999999862</v>
      </c>
    </row>
    <row r="87" spans="3:23" x14ac:dyDescent="0.3">
      <c r="C87">
        <f t="shared" si="14"/>
        <v>0</v>
      </c>
      <c r="D87">
        <v>1.5599999999999999E-2</v>
      </c>
      <c r="E87" s="1">
        <v>1.2999999999999999E-2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-1.2217251517752175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-0.58687999999999862</v>
      </c>
    </row>
    <row r="88" spans="3:23" x14ac:dyDescent="0.3">
      <c r="C88">
        <f t="shared" si="14"/>
        <v>0</v>
      </c>
      <c r="D88">
        <v>1.5599999999999999E-2</v>
      </c>
      <c r="E88" s="1">
        <v>1.2999999999999999E-2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-1.2217251517752175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-0.59143999999999863</v>
      </c>
    </row>
    <row r="89" spans="3:23" x14ac:dyDescent="0.3">
      <c r="C89">
        <f t="shared" si="14"/>
        <v>0</v>
      </c>
      <c r="D89">
        <v>1.5599999999999999E-2</v>
      </c>
      <c r="E89" s="1">
        <v>1.2999999999999999E-2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-1.2217251517752175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-0.59599999999999864</v>
      </c>
    </row>
    <row r="90" spans="3:23" x14ac:dyDescent="0.3">
      <c r="C90">
        <f t="shared" si="14"/>
        <v>0</v>
      </c>
      <c r="D90">
        <v>1.5599999999999999E-2</v>
      </c>
      <c r="E90" s="1">
        <v>1.2999999999999999E-2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-1.2217251517752175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-0.60055999999999865</v>
      </c>
    </row>
    <row r="91" spans="3:23" x14ac:dyDescent="0.3">
      <c r="C91">
        <f t="shared" si="14"/>
        <v>0</v>
      </c>
      <c r="D91">
        <v>1.5599999999999999E-2</v>
      </c>
      <c r="E91" s="1">
        <v>1.2999999999999999E-2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-1.2217251517752175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-0.60511999999999866</v>
      </c>
    </row>
    <row r="92" spans="3:23" x14ac:dyDescent="0.3">
      <c r="C92">
        <f t="shared" si="14"/>
        <v>0</v>
      </c>
      <c r="D92">
        <v>1.5599999999999999E-2</v>
      </c>
      <c r="E92" s="1">
        <v>1.2999999999999999E-2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-1.2217251517752175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-0.60967999999999867</v>
      </c>
    </row>
    <row r="93" spans="3:23" x14ac:dyDescent="0.3">
      <c r="C93">
        <f t="shared" si="14"/>
        <v>0</v>
      </c>
      <c r="D93">
        <v>1.5599999999999999E-2</v>
      </c>
      <c r="E93" s="1">
        <v>1.2999999999999999E-2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-1.2217251517752175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-0.61423999999999856</v>
      </c>
    </row>
    <row r="94" spans="3:23" x14ac:dyDescent="0.3">
      <c r="C94">
        <f t="shared" si="14"/>
        <v>0</v>
      </c>
      <c r="D94">
        <v>1.5599999999999999E-2</v>
      </c>
      <c r="E94" s="1">
        <v>1.2999999999999999E-2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-1.2217251517752175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-0.61879999999999857</v>
      </c>
    </row>
    <row r="95" spans="3:23" x14ac:dyDescent="0.3">
      <c r="C95">
        <f t="shared" si="14"/>
        <v>0</v>
      </c>
      <c r="D95">
        <v>1.5599999999999999E-2</v>
      </c>
      <c r="E95" s="1">
        <v>1.2999999999999999E-2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-1.2217251517752175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-0.62335999999999858</v>
      </c>
    </row>
    <row r="96" spans="3:23" x14ac:dyDescent="0.3">
      <c r="C96">
        <f t="shared" si="14"/>
        <v>0</v>
      </c>
      <c r="D96">
        <v>1.5599999999999999E-2</v>
      </c>
      <c r="E96" s="1">
        <v>1.2999999999999999E-2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-1.2217251517752175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-0.62791999999999859</v>
      </c>
    </row>
    <row r="97" spans="3:23" x14ac:dyDescent="0.3">
      <c r="C97">
        <f t="shared" si="14"/>
        <v>0</v>
      </c>
      <c r="D97">
        <v>1.5599999999999999E-2</v>
      </c>
      <c r="E97" s="1">
        <v>1.2999999999999999E-2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-1.2217251517752175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-0.6324799999999986</v>
      </c>
    </row>
    <row r="98" spans="3:23" x14ac:dyDescent="0.3">
      <c r="C98">
        <f t="shared" si="14"/>
        <v>0</v>
      </c>
      <c r="D98">
        <v>1.5599999999999999E-2</v>
      </c>
      <c r="E98" s="1">
        <v>1.2999999999999999E-2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-1.2217251517752175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-0.63703999999999861</v>
      </c>
    </row>
    <row r="99" spans="3:23" x14ac:dyDescent="0.3">
      <c r="C99">
        <f t="shared" si="14"/>
        <v>0</v>
      </c>
      <c r="D99">
        <v>1.5599999999999999E-2</v>
      </c>
      <c r="E99" s="1">
        <v>1.2999999999999999E-2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-0.64159999999999862</v>
      </c>
    </row>
    <row r="100" spans="3:23" x14ac:dyDescent="0.3">
      <c r="C100">
        <f t="shared" si="14"/>
        <v>0</v>
      </c>
      <c r="D100">
        <v>1.5599999999999999E-2</v>
      </c>
      <c r="E100" s="1">
        <v>1.2999999999999999E-2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-0.64615999999999862</v>
      </c>
    </row>
    <row r="101" spans="3:23" x14ac:dyDescent="0.3">
      <c r="C101">
        <f t="shared" si="14"/>
        <v>0</v>
      </c>
      <c r="D101">
        <v>1.5599999999999999E-2</v>
      </c>
      <c r="E101" s="1">
        <v>1.2999999999999999E-2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-0.65071999999999863</v>
      </c>
    </row>
    <row r="102" spans="3:23" x14ac:dyDescent="0.3">
      <c r="C102">
        <f t="shared" si="14"/>
        <v>0</v>
      </c>
      <c r="D102">
        <v>1.5599999999999999E-2</v>
      </c>
      <c r="E102" s="1">
        <v>1.2999999999999999E-2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-0.65527999999999864</v>
      </c>
    </row>
    <row r="103" spans="3:23" x14ac:dyDescent="0.3">
      <c r="C103">
        <f t="shared" si="14"/>
        <v>0</v>
      </c>
      <c r="D103">
        <v>1.5599999999999999E-2</v>
      </c>
      <c r="E103" s="1">
        <v>1.2999999999999999E-2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-0.65983999999999821</v>
      </c>
    </row>
    <row r="104" spans="3:23" x14ac:dyDescent="0.3">
      <c r="C104">
        <f t="shared" si="14"/>
        <v>0</v>
      </c>
      <c r="D104">
        <v>1.5599999999999999E-2</v>
      </c>
      <c r="E104" s="1">
        <v>1.2999999999999999E-2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-0.6643999999999981</v>
      </c>
    </row>
    <row r="105" spans="3:23" x14ac:dyDescent="0.3">
      <c r="C105">
        <f t="shared" si="14"/>
        <v>0</v>
      </c>
      <c r="D105">
        <v>1.5599999999999999E-2</v>
      </c>
      <c r="E105" s="1">
        <v>1.2999999999999999E-2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-0.66896</v>
      </c>
    </row>
    <row r="106" spans="3:23" x14ac:dyDescent="0.3">
      <c r="C106">
        <f t="shared" si="14"/>
        <v>0</v>
      </c>
      <c r="D106">
        <v>1.5599999999999999E-2</v>
      </c>
      <c r="E106" s="1">
        <v>1.2999999999999999E-2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-0.67352000000000001</v>
      </c>
    </row>
    <row r="107" spans="3:23" x14ac:dyDescent="0.3">
      <c r="C107">
        <f t="shared" si="14"/>
        <v>0</v>
      </c>
      <c r="D107">
        <v>1.5599999999999999E-2</v>
      </c>
      <c r="E107" s="1">
        <v>1.2999999999999999E-2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-0.67808000000000002</v>
      </c>
    </row>
    <row r="108" spans="3:23" x14ac:dyDescent="0.3">
      <c r="C108">
        <f t="shared" si="14"/>
        <v>0</v>
      </c>
      <c r="D108">
        <v>1.5599999999999999E-2</v>
      </c>
      <c r="E108" s="1">
        <v>1.2999999999999999E-2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-0.68264000000000002</v>
      </c>
    </row>
    <row r="109" spans="3:23" x14ac:dyDescent="0.3">
      <c r="C109">
        <f t="shared" si="14"/>
        <v>0</v>
      </c>
      <c r="D109">
        <v>1.5599999999999999E-2</v>
      </c>
      <c r="E109" s="1">
        <v>1.2999999999999999E-2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-0.68720000000000003</v>
      </c>
    </row>
    <row r="110" spans="3:23" x14ac:dyDescent="0.3">
      <c r="C110">
        <f t="shared" si="14"/>
        <v>0</v>
      </c>
      <c r="D110">
        <v>1.5599999999999999E-2</v>
      </c>
      <c r="E110" s="1">
        <v>1.2999999999999999E-2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-0.69175999999999993</v>
      </c>
    </row>
    <row r="111" spans="3:23" x14ac:dyDescent="0.3">
      <c r="C111">
        <f t="shared" si="14"/>
        <v>0</v>
      </c>
      <c r="D111">
        <v>1.5599999999999999E-2</v>
      </c>
      <c r="E111" s="1">
        <v>1.2999999999999999E-2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-0.69632000000000005</v>
      </c>
    </row>
    <row r="112" spans="3:23" x14ac:dyDescent="0.3">
      <c r="C112">
        <f t="shared" si="14"/>
        <v>0</v>
      </c>
      <c r="D112">
        <v>1.5599999999999999E-2</v>
      </c>
      <c r="E112" s="1">
        <v>1.2999999999999999E-2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-0.70087999999999995</v>
      </c>
    </row>
    <row r="113" spans="3:23" x14ac:dyDescent="0.3">
      <c r="C113">
        <f t="shared" si="14"/>
        <v>0</v>
      </c>
      <c r="D113">
        <v>1.5599999999999999E-2</v>
      </c>
      <c r="E113" s="1">
        <v>1.2999999999999999E-2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-0.70544000000000007</v>
      </c>
    </row>
    <row r="114" spans="3:23" x14ac:dyDescent="0.3">
      <c r="C114">
        <f t="shared" si="14"/>
        <v>0</v>
      </c>
      <c r="D114">
        <v>1.5599999999999999E-2</v>
      </c>
      <c r="E114" s="1">
        <v>1.2999999999999999E-2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-0.71</v>
      </c>
    </row>
    <row r="115" spans="3:23" x14ac:dyDescent="0.3">
      <c r="C115">
        <f t="shared" si="14"/>
        <v>0</v>
      </c>
      <c r="D115">
        <v>1.5599999999999999E-2</v>
      </c>
      <c r="E115" s="1">
        <v>1.2999999999999999E-2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-0.71455999999999997</v>
      </c>
    </row>
    <row r="116" spans="3:23" x14ac:dyDescent="0.3">
      <c r="C116">
        <f t="shared" si="14"/>
        <v>0</v>
      </c>
      <c r="D116">
        <v>1.5599999999999999E-2</v>
      </c>
      <c r="E116" s="1">
        <v>1.2999999999999999E-2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-0.71911999999999998</v>
      </c>
    </row>
    <row r="117" spans="3:23" x14ac:dyDescent="0.3">
      <c r="C117">
        <f t="shared" si="14"/>
        <v>0</v>
      </c>
      <c r="D117">
        <v>1.5599999999999999E-2</v>
      </c>
      <c r="E117" s="1">
        <v>1.2999999999999999E-2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-0.72367999999999999</v>
      </c>
    </row>
    <row r="118" spans="3:23" x14ac:dyDescent="0.3">
      <c r="C118">
        <f t="shared" si="14"/>
        <v>0</v>
      </c>
      <c r="D118">
        <v>1.5599999999999999E-2</v>
      </c>
      <c r="E118" s="1">
        <v>1.2999999999999999E-2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-0.72824</v>
      </c>
    </row>
    <row r="119" spans="3:23" x14ac:dyDescent="0.3">
      <c r="C119">
        <f t="shared" si="14"/>
        <v>0</v>
      </c>
      <c r="D119">
        <v>1.5599999999999999E-2</v>
      </c>
      <c r="E119" s="1">
        <v>1.2999999999999999E-2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-0.73280000000000001</v>
      </c>
    </row>
    <row r="120" spans="3:23" x14ac:dyDescent="0.3">
      <c r="C120">
        <f t="shared" si="14"/>
        <v>0</v>
      </c>
      <c r="D120">
        <v>1.5599999999999999E-2</v>
      </c>
      <c r="E120" s="1">
        <v>1.2999999999999999E-2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-0.73736000000000002</v>
      </c>
    </row>
    <row r="121" spans="3:23" x14ac:dyDescent="0.3">
      <c r="C121">
        <f t="shared" si="14"/>
        <v>0</v>
      </c>
      <c r="D121">
        <v>1.5599999999999999E-2</v>
      </c>
      <c r="E121" s="1">
        <v>1.2999999999999999E-2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-0.74192000000000002</v>
      </c>
    </row>
    <row r="122" spans="3:23" x14ac:dyDescent="0.3">
      <c r="C122">
        <f t="shared" si="14"/>
        <v>0</v>
      </c>
      <c r="D122">
        <v>1.5599999999999999E-2</v>
      </c>
      <c r="E122" s="1">
        <v>1.2999999999999999E-2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-0.74648000000000003</v>
      </c>
    </row>
    <row r="123" spans="3:23" x14ac:dyDescent="0.3">
      <c r="C123">
        <f t="shared" si="14"/>
        <v>0</v>
      </c>
      <c r="D123">
        <v>1.5599999999999999E-2</v>
      </c>
      <c r="E123" s="1">
        <v>1.2999999999999999E-2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-0.75103999999999993</v>
      </c>
    </row>
    <row r="124" spans="3:23" x14ac:dyDescent="0.3">
      <c r="C124">
        <f t="shared" si="14"/>
        <v>0</v>
      </c>
      <c r="D124">
        <v>1.5599999999999999E-2</v>
      </c>
      <c r="E124" s="1">
        <v>1.2999999999999999E-2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-0.75560000000000005</v>
      </c>
    </row>
    <row r="125" spans="3:23" x14ac:dyDescent="0.3">
      <c r="C125">
        <f t="shared" si="14"/>
        <v>0</v>
      </c>
      <c r="D125">
        <v>1.5599999999999999E-2</v>
      </c>
      <c r="E125" s="1">
        <v>1.2999999999999999E-2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-0.76015999999999995</v>
      </c>
    </row>
    <row r="126" spans="3:23" x14ac:dyDescent="0.3">
      <c r="C126">
        <f t="shared" si="14"/>
        <v>0</v>
      </c>
      <c r="D126">
        <v>1.5599999999999999E-2</v>
      </c>
      <c r="E126" s="1">
        <v>1.2999999999999999E-2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-0.76472000000000007</v>
      </c>
    </row>
    <row r="127" spans="3:23" x14ac:dyDescent="0.3">
      <c r="C127">
        <f t="shared" si="14"/>
        <v>0</v>
      </c>
      <c r="D127">
        <v>1.5599999999999999E-2</v>
      </c>
      <c r="E127" s="1">
        <v>1.2999999999999999E-2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-0.76927999999999996</v>
      </c>
    </row>
    <row r="128" spans="3:23" x14ac:dyDescent="0.3">
      <c r="C128">
        <f t="shared" si="14"/>
        <v>0</v>
      </c>
      <c r="D128">
        <v>1.5599999999999999E-2</v>
      </c>
      <c r="E128" s="1">
        <v>1.2999999999999999E-2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-0.77384000000000008</v>
      </c>
    </row>
    <row r="129" spans="3:23" x14ac:dyDescent="0.3">
      <c r="C129">
        <f t="shared" si="14"/>
        <v>0</v>
      </c>
      <c r="D129">
        <v>1.5599999999999999E-2</v>
      </c>
      <c r="E129" s="1">
        <v>1.2999999999999999E-2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-0.77839999999999998</v>
      </c>
    </row>
    <row r="130" spans="3:23" x14ac:dyDescent="0.3">
      <c r="C130">
        <f t="shared" si="14"/>
        <v>0</v>
      </c>
      <c r="D130">
        <v>1.5599999999999999E-2</v>
      </c>
      <c r="E130" s="1">
        <v>1.2999999999999999E-2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-0.78295999999999999</v>
      </c>
    </row>
    <row r="131" spans="3:23" x14ac:dyDescent="0.3">
      <c r="C131">
        <f t="shared" si="14"/>
        <v>0</v>
      </c>
      <c r="D131">
        <v>1.5599999999999999E-2</v>
      </c>
      <c r="E131" s="1">
        <v>1.2999999999999999E-2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-0.78752</v>
      </c>
    </row>
    <row r="132" spans="3:23" x14ac:dyDescent="0.3">
      <c r="C132">
        <f t="shared" si="14"/>
        <v>0</v>
      </c>
      <c r="D132">
        <v>1.5599999999999999E-2</v>
      </c>
      <c r="E132" s="1">
        <v>1.2999999999999999E-2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-0.79208000000000001</v>
      </c>
    </row>
    <row r="133" spans="3:23" x14ac:dyDescent="0.3">
      <c r="C133">
        <f t="shared" ref="C133:C196" si="25">A133*B133</f>
        <v>0</v>
      </c>
      <c r="D133">
        <v>1.5599999999999999E-2</v>
      </c>
      <c r="E133" s="1">
        <v>1.2999999999999999E-2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-0.79664000000000001</v>
      </c>
    </row>
    <row r="134" spans="3:23" x14ac:dyDescent="0.3">
      <c r="C134">
        <f t="shared" si="25"/>
        <v>0</v>
      </c>
      <c r="D134">
        <v>1.5599999999999999E-2</v>
      </c>
      <c r="E134" s="1">
        <v>1.2999999999999999E-2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-0.80120000000000002</v>
      </c>
    </row>
    <row r="135" spans="3:23" x14ac:dyDescent="0.3">
      <c r="C135">
        <f t="shared" si="25"/>
        <v>0</v>
      </c>
      <c r="D135">
        <v>1.5599999999999999E-2</v>
      </c>
      <c r="E135" s="1">
        <v>1.2999999999999999E-2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-0.80576000000000003</v>
      </c>
    </row>
    <row r="136" spans="3:23" x14ac:dyDescent="0.3">
      <c r="C136">
        <f t="shared" si="25"/>
        <v>0</v>
      </c>
      <c r="D136">
        <v>1.5599999999999999E-2</v>
      </c>
      <c r="E136" s="1">
        <v>1.2999999999999999E-2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-0.81031999999999993</v>
      </c>
    </row>
    <row r="137" spans="3:23" x14ac:dyDescent="0.3">
      <c r="C137">
        <f t="shared" si="25"/>
        <v>0</v>
      </c>
      <c r="D137">
        <v>1.5599999999999999E-2</v>
      </c>
      <c r="E137" s="1">
        <v>1.2999999999999999E-2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-0.81488000000000005</v>
      </c>
    </row>
    <row r="138" spans="3:23" x14ac:dyDescent="0.3">
      <c r="C138">
        <f t="shared" si="25"/>
        <v>0</v>
      </c>
      <c r="D138">
        <v>1.5599999999999999E-2</v>
      </c>
      <c r="E138" s="1">
        <v>1.2999999999999999E-2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-0.81943999999999995</v>
      </c>
    </row>
    <row r="139" spans="3:23" x14ac:dyDescent="0.3">
      <c r="C139">
        <f t="shared" si="25"/>
        <v>0</v>
      </c>
      <c r="D139">
        <v>1.5599999999999999E-2</v>
      </c>
      <c r="E139" s="1">
        <v>1.2999999999999999E-2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-0.82400000000000007</v>
      </c>
    </row>
    <row r="140" spans="3:23" x14ac:dyDescent="0.3">
      <c r="C140">
        <f t="shared" si="25"/>
        <v>0</v>
      </c>
      <c r="D140">
        <v>1.5599999999999999E-2</v>
      </c>
      <c r="E140" s="1">
        <v>1.2999999999999999E-2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1.5599999999999999E-2</v>
      </c>
      <c r="E141" s="1">
        <v>1.2999999999999999E-2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1.5599999999999999E-2</v>
      </c>
      <c r="E142" s="1">
        <v>1.2999999999999999E-2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1.5599999999999999E-2</v>
      </c>
      <c r="E143" s="1">
        <v>1.2999999999999999E-2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1.5599999999999999E-2</v>
      </c>
      <c r="E144" s="1">
        <v>1.2999999999999999E-2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1.5599999999999999E-2</v>
      </c>
      <c r="E145" s="1">
        <v>1.2999999999999999E-2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 x14ac:dyDescent="0.3">
      <c r="C146">
        <f t="shared" si="25"/>
        <v>0</v>
      </c>
      <c r="D146">
        <v>1.5599999999999999E-2</v>
      </c>
      <c r="E146" s="1">
        <v>1.2999999999999999E-2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 x14ac:dyDescent="0.3">
      <c r="C147">
        <f t="shared" si="25"/>
        <v>0</v>
      </c>
      <c r="D147">
        <v>1.5599999999999999E-2</v>
      </c>
      <c r="E147" s="1">
        <v>1.2999999999999999E-2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 x14ac:dyDescent="0.3">
      <c r="C148">
        <f t="shared" si="25"/>
        <v>0</v>
      </c>
      <c r="D148">
        <v>1.5599999999999999E-2</v>
      </c>
      <c r="E148" s="1">
        <v>1.2999999999999999E-2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 x14ac:dyDescent="0.3">
      <c r="C149">
        <f t="shared" si="25"/>
        <v>0</v>
      </c>
      <c r="D149">
        <v>1.5599999999999999E-2</v>
      </c>
      <c r="E149" s="1">
        <v>1.2999999999999999E-2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 x14ac:dyDescent="0.3">
      <c r="C150">
        <f t="shared" si="25"/>
        <v>0</v>
      </c>
      <c r="D150">
        <v>1.5599999999999999E-2</v>
      </c>
      <c r="E150" s="1">
        <v>1.2999999999999999E-2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 x14ac:dyDescent="0.3">
      <c r="C151">
        <f t="shared" si="25"/>
        <v>0</v>
      </c>
      <c r="D151">
        <v>1.5599999999999999E-2</v>
      </c>
      <c r="E151" s="1">
        <v>1.2999999999999999E-2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 x14ac:dyDescent="0.3">
      <c r="C152">
        <f t="shared" si="25"/>
        <v>0</v>
      </c>
      <c r="D152">
        <v>1.5599999999999999E-2</v>
      </c>
      <c r="E152" s="1">
        <v>1.2999999999999999E-2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 x14ac:dyDescent="0.3">
      <c r="C153">
        <f t="shared" si="25"/>
        <v>0</v>
      </c>
      <c r="D153">
        <v>1.5599999999999999E-2</v>
      </c>
      <c r="E153" s="1">
        <v>1.2999999999999999E-2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 x14ac:dyDescent="0.3">
      <c r="C154">
        <f t="shared" si="25"/>
        <v>0</v>
      </c>
      <c r="D154">
        <v>1.5599999999999999E-2</v>
      </c>
      <c r="E154" s="1">
        <v>1.2999999999999999E-2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 x14ac:dyDescent="0.3">
      <c r="C155">
        <f t="shared" si="25"/>
        <v>0</v>
      </c>
      <c r="D155">
        <v>1.5599999999999999E-2</v>
      </c>
      <c r="E155" s="1">
        <v>1.2999999999999999E-2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 x14ac:dyDescent="0.3">
      <c r="C156">
        <f t="shared" si="25"/>
        <v>0</v>
      </c>
      <c r="D156">
        <v>1.5599999999999999E-2</v>
      </c>
      <c r="E156" s="1">
        <v>1.2999999999999999E-2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 x14ac:dyDescent="0.3">
      <c r="C157">
        <f t="shared" si="25"/>
        <v>0</v>
      </c>
      <c r="D157">
        <v>1.5599999999999999E-2</v>
      </c>
      <c r="E157" s="1">
        <v>1.2999999999999999E-2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 x14ac:dyDescent="0.3">
      <c r="C158">
        <f t="shared" si="25"/>
        <v>0</v>
      </c>
      <c r="D158">
        <v>1.5599999999999999E-2</v>
      </c>
      <c r="E158" s="1">
        <v>1.2999999999999999E-2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 x14ac:dyDescent="0.3">
      <c r="C159">
        <f t="shared" si="25"/>
        <v>0</v>
      </c>
      <c r="D159">
        <v>1.5599999999999999E-2</v>
      </c>
      <c r="E159" s="1">
        <v>1.2999999999999999E-2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 x14ac:dyDescent="0.3">
      <c r="C160">
        <f t="shared" si="25"/>
        <v>0</v>
      </c>
      <c r="D160">
        <v>1.5599999999999999E-2</v>
      </c>
      <c r="E160" s="1">
        <v>1.2999999999999999E-2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 x14ac:dyDescent="0.3">
      <c r="C161">
        <f t="shared" si="25"/>
        <v>0</v>
      </c>
      <c r="D161">
        <v>1.5599999999999999E-2</v>
      </c>
      <c r="E161" s="1">
        <v>1.2999999999999999E-2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 x14ac:dyDescent="0.3">
      <c r="C162">
        <f t="shared" si="25"/>
        <v>0</v>
      </c>
      <c r="D162">
        <v>1.5599999999999999E-2</v>
      </c>
      <c r="E162" s="1">
        <v>1.2999999999999999E-2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 x14ac:dyDescent="0.3">
      <c r="C163">
        <f t="shared" si="25"/>
        <v>0</v>
      </c>
      <c r="D163">
        <v>1.5599999999999999E-2</v>
      </c>
      <c r="E163" s="1">
        <v>1.2999999999999999E-2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 x14ac:dyDescent="0.3">
      <c r="C164">
        <f t="shared" si="25"/>
        <v>0</v>
      </c>
      <c r="D164">
        <v>1.5599999999999999E-2</v>
      </c>
      <c r="E164" s="1">
        <v>1.2999999999999999E-2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 x14ac:dyDescent="0.3">
      <c r="C165">
        <f t="shared" si="25"/>
        <v>0</v>
      </c>
      <c r="D165">
        <v>1.5599999999999999E-2</v>
      </c>
      <c r="E165" s="1">
        <v>1.2999999999999999E-2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 x14ac:dyDescent="0.3">
      <c r="C166">
        <f t="shared" si="25"/>
        <v>0</v>
      </c>
      <c r="D166">
        <v>1.5599999999999999E-2</v>
      </c>
      <c r="E166" s="1">
        <v>1.2999999999999999E-2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 x14ac:dyDescent="0.3">
      <c r="C167">
        <f t="shared" si="25"/>
        <v>0</v>
      </c>
      <c r="D167">
        <v>1.5599999999999999E-2</v>
      </c>
      <c r="E167" s="1">
        <v>1.2999999999999999E-2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 x14ac:dyDescent="0.3">
      <c r="C168">
        <f t="shared" si="25"/>
        <v>0</v>
      </c>
      <c r="D168">
        <v>1.5599999999999999E-2</v>
      </c>
      <c r="E168" s="1">
        <v>1.2999999999999999E-2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 x14ac:dyDescent="0.3">
      <c r="C169">
        <f t="shared" si="25"/>
        <v>0</v>
      </c>
      <c r="D169">
        <v>1.5599999999999999E-2</v>
      </c>
      <c r="E169" s="1">
        <v>1.2999999999999999E-2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 x14ac:dyDescent="0.3">
      <c r="C170">
        <f t="shared" si="25"/>
        <v>0</v>
      </c>
      <c r="D170">
        <v>1.5599999999999999E-2</v>
      </c>
      <c r="E170" s="1">
        <v>1.2999999999999999E-2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 x14ac:dyDescent="0.3">
      <c r="C171">
        <f t="shared" si="25"/>
        <v>0</v>
      </c>
      <c r="D171">
        <v>1.5599999999999999E-2</v>
      </c>
      <c r="E171" s="1">
        <v>1.2999999999999999E-2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 x14ac:dyDescent="0.3">
      <c r="C172">
        <f t="shared" si="25"/>
        <v>0</v>
      </c>
      <c r="D172">
        <v>1.5599999999999999E-2</v>
      </c>
      <c r="E172" s="1">
        <v>1.2999999999999999E-2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 x14ac:dyDescent="0.3">
      <c r="C173">
        <f t="shared" si="25"/>
        <v>0</v>
      </c>
      <c r="D173">
        <v>1.5599999999999999E-2</v>
      </c>
      <c r="E173" s="1">
        <v>1.2999999999999999E-2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 x14ac:dyDescent="0.3">
      <c r="C174">
        <f t="shared" si="25"/>
        <v>0</v>
      </c>
      <c r="D174">
        <v>1.5599999999999999E-2</v>
      </c>
      <c r="E174" s="1">
        <v>1.2999999999999999E-2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 x14ac:dyDescent="0.3">
      <c r="C175">
        <f t="shared" si="25"/>
        <v>0</v>
      </c>
      <c r="D175">
        <v>1.5599999999999999E-2</v>
      </c>
      <c r="E175" s="1">
        <v>1.2999999999999999E-2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 x14ac:dyDescent="0.3">
      <c r="C176">
        <f t="shared" si="25"/>
        <v>0</v>
      </c>
      <c r="D176">
        <v>1.5599999999999999E-2</v>
      </c>
      <c r="E176" s="1">
        <v>1.2999999999999999E-2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 x14ac:dyDescent="0.3">
      <c r="C177">
        <f t="shared" si="25"/>
        <v>0</v>
      </c>
      <c r="D177">
        <v>1.5599999999999999E-2</v>
      </c>
      <c r="E177" s="1">
        <v>1.2999999999999999E-2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 x14ac:dyDescent="0.3">
      <c r="C178">
        <f t="shared" si="25"/>
        <v>0</v>
      </c>
      <c r="D178">
        <v>1.5599999999999999E-2</v>
      </c>
      <c r="E178" s="1">
        <v>1.2999999999999999E-2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 x14ac:dyDescent="0.3">
      <c r="C179">
        <f t="shared" si="25"/>
        <v>0</v>
      </c>
      <c r="D179">
        <v>1.5599999999999999E-2</v>
      </c>
      <c r="E179" s="1">
        <v>1.2999999999999999E-2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 x14ac:dyDescent="0.3">
      <c r="C180">
        <f t="shared" si="25"/>
        <v>0</v>
      </c>
      <c r="D180">
        <v>1.5599999999999999E-2</v>
      </c>
      <c r="E180" s="1">
        <v>1.2999999999999999E-2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 x14ac:dyDescent="0.3">
      <c r="C181">
        <f t="shared" si="25"/>
        <v>0</v>
      </c>
      <c r="D181">
        <v>1.5599999999999999E-2</v>
      </c>
      <c r="E181" s="1">
        <v>1.2999999999999999E-2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 x14ac:dyDescent="0.3">
      <c r="C182">
        <f t="shared" si="25"/>
        <v>0</v>
      </c>
      <c r="D182">
        <v>1.5599999999999999E-2</v>
      </c>
      <c r="E182" s="1">
        <v>1.2999999999999999E-2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 x14ac:dyDescent="0.3">
      <c r="C183">
        <f t="shared" si="25"/>
        <v>0</v>
      </c>
      <c r="D183">
        <v>1.5599999999999999E-2</v>
      </c>
      <c r="E183" s="1">
        <v>1.2999999999999999E-2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 x14ac:dyDescent="0.3">
      <c r="C184">
        <f t="shared" si="25"/>
        <v>0</v>
      </c>
      <c r="D184">
        <v>1.5599999999999999E-2</v>
      </c>
      <c r="E184" s="1">
        <v>1.2999999999999999E-2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 x14ac:dyDescent="0.3">
      <c r="C185">
        <f t="shared" si="25"/>
        <v>0</v>
      </c>
      <c r="D185">
        <v>1.5599999999999999E-2</v>
      </c>
      <c r="E185" s="1">
        <v>1.2999999999999999E-2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 x14ac:dyDescent="0.3">
      <c r="C186">
        <f t="shared" si="25"/>
        <v>0</v>
      </c>
      <c r="D186">
        <v>1.5599999999999999E-2</v>
      </c>
      <c r="E186" s="1">
        <v>1.2999999999999999E-2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 x14ac:dyDescent="0.3">
      <c r="C187">
        <f t="shared" si="25"/>
        <v>0</v>
      </c>
      <c r="D187">
        <v>1.5599999999999999E-2</v>
      </c>
      <c r="E187" s="1">
        <v>1.2999999999999999E-2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 x14ac:dyDescent="0.3">
      <c r="C188">
        <f t="shared" si="25"/>
        <v>0</v>
      </c>
      <c r="D188">
        <v>1.5599999999999999E-2</v>
      </c>
      <c r="E188" s="1">
        <v>1.2999999999999999E-2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-1.2217251517752175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 x14ac:dyDescent="0.3">
      <c r="C189">
        <f t="shared" si="25"/>
        <v>0</v>
      </c>
      <c r="D189">
        <v>1.5599999999999999E-2</v>
      </c>
      <c r="E189" s="1">
        <v>1.2999999999999999E-2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-1.2217251517752175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 x14ac:dyDescent="0.3">
      <c r="C190">
        <f t="shared" si="25"/>
        <v>0</v>
      </c>
      <c r="D190">
        <v>1.5599999999999999E-2</v>
      </c>
      <c r="E190" s="1">
        <v>1.2999999999999999E-2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-1.2217251517752175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 x14ac:dyDescent="0.3">
      <c r="C191">
        <f t="shared" si="25"/>
        <v>0</v>
      </c>
      <c r="D191">
        <v>1.5599999999999999E-2</v>
      </c>
      <c r="E191" s="1">
        <v>1.2999999999999999E-2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-1.2217251517752175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 x14ac:dyDescent="0.3">
      <c r="C192">
        <f t="shared" si="25"/>
        <v>0</v>
      </c>
      <c r="D192">
        <v>1.5599999999999999E-2</v>
      </c>
      <c r="E192" s="1">
        <v>1.2999999999999999E-2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-1.2217251517752175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 x14ac:dyDescent="0.3">
      <c r="C193">
        <f t="shared" si="25"/>
        <v>0</v>
      </c>
      <c r="D193">
        <v>1.5599999999999999E-2</v>
      </c>
      <c r="E193" s="1">
        <v>1.2999999999999999E-2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-1.2217251517752175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 x14ac:dyDescent="0.3">
      <c r="C194">
        <f t="shared" si="25"/>
        <v>0</v>
      </c>
      <c r="D194">
        <v>1.5599999999999999E-2</v>
      </c>
      <c r="E194" s="1">
        <v>1.2999999999999999E-2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-1.2217251517752175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 x14ac:dyDescent="0.3">
      <c r="C195">
        <f t="shared" si="25"/>
        <v>0</v>
      </c>
      <c r="D195">
        <v>1.5599999999999999E-2</v>
      </c>
      <c r="E195" s="1">
        <v>1.2999999999999999E-2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-1.2217251517752175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 x14ac:dyDescent="0.3">
      <c r="C196">
        <f t="shared" si="25"/>
        <v>0</v>
      </c>
      <c r="D196">
        <v>1.5599999999999999E-2</v>
      </c>
      <c r="E196" s="1">
        <v>1.2999999999999999E-2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-1.2217251517752175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 x14ac:dyDescent="0.3">
      <c r="C197">
        <f t="shared" ref="C197:C211" si="47">A197*B197</f>
        <v>0</v>
      </c>
      <c r="D197">
        <v>1.5599999999999999E-2</v>
      </c>
      <c r="E197" s="1">
        <v>1.2999999999999999E-2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-1.2217251517752175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 x14ac:dyDescent="0.3">
      <c r="C198">
        <f t="shared" si="47"/>
        <v>0</v>
      </c>
      <c r="D198">
        <v>1.5599999999999999E-2</v>
      </c>
      <c r="E198" s="1">
        <v>1.2999999999999999E-2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-1.2217251517752175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 x14ac:dyDescent="0.3">
      <c r="C199">
        <f t="shared" si="47"/>
        <v>0</v>
      </c>
      <c r="D199">
        <v>1.5599999999999999E-2</v>
      </c>
      <c r="E199" s="1">
        <v>1.2999999999999999E-2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-1.2217251517752175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 x14ac:dyDescent="0.3">
      <c r="C200">
        <f t="shared" si="47"/>
        <v>0</v>
      </c>
      <c r="D200">
        <v>1.5599999999999999E-2</v>
      </c>
      <c r="E200" s="1">
        <v>1.2999999999999999E-2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-1.2217251517752175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 x14ac:dyDescent="0.3">
      <c r="C201">
        <f t="shared" si="47"/>
        <v>0</v>
      </c>
      <c r="D201">
        <v>1.5599999999999999E-2</v>
      </c>
      <c r="E201" s="1">
        <v>1.2999999999999999E-2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-1.2217251517752175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 x14ac:dyDescent="0.3">
      <c r="C202">
        <f t="shared" si="47"/>
        <v>0</v>
      </c>
      <c r="D202">
        <v>1.5599999999999999E-2</v>
      </c>
      <c r="E202" s="1">
        <v>1.2999999999999999E-2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-1.2217251517752175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 x14ac:dyDescent="0.3">
      <c r="C203">
        <f t="shared" si="47"/>
        <v>0</v>
      </c>
      <c r="D203">
        <v>1.5599999999999999E-2</v>
      </c>
      <c r="E203" s="1">
        <v>1.2999999999999999E-2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-1.2217251517752175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 x14ac:dyDescent="0.3">
      <c r="C204">
        <f t="shared" si="47"/>
        <v>0</v>
      </c>
      <c r="D204">
        <v>1.5599999999999999E-2</v>
      </c>
      <c r="E204" s="1">
        <v>1.2999999999999999E-2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-1.2217251517752175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 x14ac:dyDescent="0.3">
      <c r="C205">
        <f t="shared" si="47"/>
        <v>0</v>
      </c>
      <c r="D205">
        <v>1.5599999999999999E-2</v>
      </c>
      <c r="E205" s="1">
        <v>1.2999999999999999E-2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-1.2217251517752175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 x14ac:dyDescent="0.3">
      <c r="C206">
        <f t="shared" si="47"/>
        <v>0</v>
      </c>
      <c r="D206">
        <v>1.5599999999999999E-2</v>
      </c>
      <c r="E206" s="1">
        <v>1.2999999999999999E-2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-1.2217251517752175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 x14ac:dyDescent="0.3">
      <c r="C207">
        <f t="shared" si="47"/>
        <v>0</v>
      </c>
      <c r="D207">
        <v>1.5599999999999999E-2</v>
      </c>
      <c r="E207" s="1">
        <v>1.2999999999999999E-2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-1.2217251517752175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 x14ac:dyDescent="0.3">
      <c r="C208">
        <f t="shared" si="47"/>
        <v>0</v>
      </c>
      <c r="D208">
        <v>1.5599999999999999E-2</v>
      </c>
      <c r="E208" s="1">
        <v>1.2999999999999999E-2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-1.2217251517752175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 x14ac:dyDescent="0.3">
      <c r="C209">
        <f t="shared" si="47"/>
        <v>0</v>
      </c>
      <c r="D209">
        <v>1.5599999999999999E-2</v>
      </c>
      <c r="E209" s="1">
        <v>1.2999999999999999E-2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-1.2217251517752175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 x14ac:dyDescent="0.3">
      <c r="C210">
        <f t="shared" si="47"/>
        <v>0</v>
      </c>
      <c r="D210">
        <v>1.5599999999999999E-2</v>
      </c>
      <c r="E210" s="1">
        <v>1.2999999999999999E-2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-1.2217251517752175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 x14ac:dyDescent="0.3">
      <c r="C211">
        <f t="shared" si="47"/>
        <v>0</v>
      </c>
      <c r="D211">
        <v>1.5599999999999999E-2</v>
      </c>
      <c r="E211" s="1">
        <v>1.2999999999999999E-2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-1.2217251517752175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 x14ac:dyDescent="0.3">
      <c r="C212">
        <f t="shared" ref="C212:C275" si="51">A212*B212</f>
        <v>0</v>
      </c>
      <c r="D212">
        <v>1.5599999999999999E-2</v>
      </c>
      <c r="E212" s="1">
        <v>1.2999999999999999E-2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-1.2217251517752175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 x14ac:dyDescent="0.3">
      <c r="C213">
        <f t="shared" si="51"/>
        <v>0</v>
      </c>
      <c r="D213">
        <v>1.5599999999999999E-2</v>
      </c>
      <c r="E213" s="1">
        <v>1.2999999999999999E-2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-1.2217251517752175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 x14ac:dyDescent="0.3">
      <c r="C214">
        <f t="shared" si="51"/>
        <v>0</v>
      </c>
      <c r="D214">
        <v>1.5599999999999999E-2</v>
      </c>
      <c r="E214" s="1">
        <v>1.2999999999999999E-2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-1.2217251517752175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 x14ac:dyDescent="0.3">
      <c r="C215">
        <f t="shared" si="51"/>
        <v>0</v>
      </c>
      <c r="D215">
        <v>1.5599999999999999E-2</v>
      </c>
      <c r="E215" s="1">
        <v>1.2999999999999999E-2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-1.2217251517752175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 x14ac:dyDescent="0.3">
      <c r="C216">
        <f t="shared" si="51"/>
        <v>0</v>
      </c>
      <c r="D216">
        <v>1.5599999999999999E-2</v>
      </c>
      <c r="E216" s="1">
        <v>1.2999999999999999E-2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-1.2217251517752175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 x14ac:dyDescent="0.3">
      <c r="C217">
        <f t="shared" si="51"/>
        <v>0</v>
      </c>
      <c r="D217">
        <v>1.5599999999999999E-2</v>
      </c>
      <c r="E217" s="1">
        <v>1.2999999999999999E-2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-1.2217251517752175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 x14ac:dyDescent="0.3">
      <c r="C218">
        <f t="shared" si="51"/>
        <v>0</v>
      </c>
      <c r="D218">
        <v>1.5599999999999999E-2</v>
      </c>
      <c r="E218" s="1">
        <v>1.2999999999999999E-2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-1.2217251517752175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 x14ac:dyDescent="0.3">
      <c r="C219">
        <f t="shared" si="51"/>
        <v>0</v>
      </c>
      <c r="D219">
        <v>1.5599999999999999E-2</v>
      </c>
      <c r="E219" s="1">
        <v>1.2999999999999999E-2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-1.2217251517752175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 x14ac:dyDescent="0.3">
      <c r="C220">
        <f t="shared" si="51"/>
        <v>0</v>
      </c>
      <c r="D220">
        <v>1.5599999999999999E-2</v>
      </c>
      <c r="E220" s="1">
        <v>1.2999999999999999E-2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-1.2217251517752175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 x14ac:dyDescent="0.3">
      <c r="C221">
        <f t="shared" si="51"/>
        <v>0</v>
      </c>
      <c r="D221">
        <v>1.5599999999999999E-2</v>
      </c>
      <c r="E221" s="1">
        <v>1.2999999999999999E-2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-1.2217251517752175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 x14ac:dyDescent="0.3">
      <c r="C222">
        <f t="shared" si="51"/>
        <v>0</v>
      </c>
      <c r="D222">
        <v>1.5599999999999999E-2</v>
      </c>
      <c r="E222" s="1">
        <v>1.2999999999999999E-2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-1.2217251517752175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 x14ac:dyDescent="0.3">
      <c r="C223">
        <f t="shared" si="51"/>
        <v>0</v>
      </c>
      <c r="D223">
        <v>1.5599999999999999E-2</v>
      </c>
      <c r="E223" s="1">
        <v>1.2999999999999999E-2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-1.2217251517752175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 x14ac:dyDescent="0.3">
      <c r="C224">
        <f t="shared" si="51"/>
        <v>0</v>
      </c>
      <c r="D224">
        <v>1.5599999999999999E-2</v>
      </c>
      <c r="E224" s="1">
        <v>1.2999999999999999E-2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 x14ac:dyDescent="0.3">
      <c r="C225">
        <f t="shared" si="51"/>
        <v>0</v>
      </c>
      <c r="D225">
        <v>1.5599999999999999E-2</v>
      </c>
      <c r="E225" s="1">
        <v>1.2999999999999999E-2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 x14ac:dyDescent="0.3">
      <c r="C226">
        <f t="shared" si="51"/>
        <v>0</v>
      </c>
      <c r="D226">
        <v>1.5599999999999999E-2</v>
      </c>
      <c r="E226" s="1">
        <v>1.2999999999999999E-2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 x14ac:dyDescent="0.3">
      <c r="C227">
        <f t="shared" si="51"/>
        <v>0</v>
      </c>
      <c r="D227">
        <v>1.5599999999999999E-2</v>
      </c>
      <c r="E227" s="1">
        <v>1.2999999999999999E-2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 x14ac:dyDescent="0.3">
      <c r="C228">
        <f t="shared" si="51"/>
        <v>0</v>
      </c>
      <c r="D228">
        <v>1.5599999999999999E-2</v>
      </c>
      <c r="E228" s="1">
        <v>1.2999999999999999E-2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 x14ac:dyDescent="0.3">
      <c r="C229">
        <f t="shared" si="51"/>
        <v>0</v>
      </c>
      <c r="D229">
        <v>1.5599999999999999E-2</v>
      </c>
      <c r="E229" s="1">
        <v>1.2999999999999999E-2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 x14ac:dyDescent="0.3">
      <c r="C230">
        <f t="shared" si="51"/>
        <v>0</v>
      </c>
      <c r="D230">
        <v>1.5599999999999999E-2</v>
      </c>
      <c r="E230" s="1">
        <v>1.2999999999999999E-2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 x14ac:dyDescent="0.3">
      <c r="C231">
        <f t="shared" si="51"/>
        <v>0</v>
      </c>
      <c r="D231">
        <v>1.5599999999999999E-2</v>
      </c>
      <c r="E231" s="1">
        <v>1.2999999999999999E-2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 x14ac:dyDescent="0.3">
      <c r="C232">
        <f t="shared" si="51"/>
        <v>0</v>
      </c>
      <c r="D232">
        <v>1.5599999999999999E-2</v>
      </c>
      <c r="E232" s="1">
        <v>1.2999999999999999E-2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 x14ac:dyDescent="0.3">
      <c r="C233">
        <f t="shared" si="51"/>
        <v>0</v>
      </c>
      <c r="D233">
        <v>1.5599999999999999E-2</v>
      </c>
      <c r="E233" s="1">
        <v>1.2999999999999999E-2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 x14ac:dyDescent="0.3">
      <c r="C234">
        <f t="shared" si="51"/>
        <v>0</v>
      </c>
      <c r="D234">
        <v>1.5599999999999999E-2</v>
      </c>
      <c r="E234" s="1">
        <v>1.2999999999999999E-2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 x14ac:dyDescent="0.3">
      <c r="C235">
        <f t="shared" si="51"/>
        <v>0</v>
      </c>
      <c r="D235">
        <v>1.5599999999999999E-2</v>
      </c>
      <c r="E235" s="1">
        <v>1.2999999999999999E-2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 x14ac:dyDescent="0.3">
      <c r="C236">
        <f t="shared" si="51"/>
        <v>0</v>
      </c>
      <c r="D236">
        <v>1.5599999999999999E-2</v>
      </c>
      <c r="E236" s="1">
        <v>1.2999999999999999E-2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 x14ac:dyDescent="0.3">
      <c r="C237">
        <f t="shared" si="51"/>
        <v>0</v>
      </c>
      <c r="D237">
        <v>1.5599999999999999E-2</v>
      </c>
      <c r="E237" s="1">
        <v>1.2999999999999999E-2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 x14ac:dyDescent="0.3">
      <c r="C238">
        <f t="shared" si="51"/>
        <v>0</v>
      </c>
      <c r="D238">
        <v>1.5599999999999999E-2</v>
      </c>
      <c r="E238" s="1">
        <v>1.2999999999999999E-2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 x14ac:dyDescent="0.3">
      <c r="C239">
        <f t="shared" si="51"/>
        <v>0</v>
      </c>
      <c r="D239">
        <v>1.5599999999999999E-2</v>
      </c>
      <c r="E239" s="1">
        <v>1.2999999999999999E-2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 x14ac:dyDescent="0.3">
      <c r="C240">
        <f t="shared" si="51"/>
        <v>0</v>
      </c>
      <c r="D240">
        <v>1.5599999999999999E-2</v>
      </c>
      <c r="E240" s="1">
        <v>1.2999999999999999E-2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1.5599999999999999E-2</v>
      </c>
      <c r="E241" s="1">
        <v>1.2999999999999999E-2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1.5599999999999999E-2</v>
      </c>
      <c r="E242" s="1">
        <v>1.2999999999999999E-2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1.5599999999999999E-2</v>
      </c>
      <c r="E243" s="1">
        <v>1.2999999999999999E-2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1.5599999999999999E-2</v>
      </c>
      <c r="E244" s="1">
        <v>1.2999999999999999E-2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1.5599999999999999E-2</v>
      </c>
      <c r="E245" s="1">
        <v>1.2999999999999999E-2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1.5599999999999999E-2</v>
      </c>
      <c r="E246" s="1">
        <v>1.2999999999999999E-2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1.5599999999999999E-2</v>
      </c>
      <c r="E247" s="1">
        <v>1.2999999999999999E-2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1.5599999999999999E-2</v>
      </c>
      <c r="E248" s="1">
        <v>1.2999999999999999E-2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1.5599999999999999E-2</v>
      </c>
      <c r="E249" s="1">
        <v>1.2999999999999999E-2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1.5599999999999999E-2</v>
      </c>
      <c r="E250" s="1">
        <v>1.2999999999999999E-2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1.5599999999999999E-2</v>
      </c>
      <c r="E251" s="1">
        <v>1.2999999999999999E-2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1.5599999999999999E-2</v>
      </c>
      <c r="E252" s="1">
        <v>1.2999999999999999E-2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1.5599999999999999E-2</v>
      </c>
      <c r="E253" s="1">
        <v>1.2999999999999999E-2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1.5599999999999999E-2</v>
      </c>
      <c r="E254" s="1">
        <v>1.2999999999999999E-2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1.5599999999999999E-2</v>
      </c>
      <c r="E255" s="1">
        <v>1.2999999999999999E-2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1.5599999999999999E-2</v>
      </c>
      <c r="E256" s="1">
        <v>1.2999999999999999E-2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1.5599999999999999E-2</v>
      </c>
      <c r="E257" s="1">
        <v>1.2999999999999999E-2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1.5599999999999999E-2</v>
      </c>
      <c r="E258" s="1">
        <v>1.2999999999999999E-2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1.5599999999999999E-2</v>
      </c>
      <c r="E259" s="1">
        <v>1.2999999999999999E-2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1.5599999999999999E-2</v>
      </c>
      <c r="E260" s="1">
        <v>1.2999999999999999E-2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1.5599999999999999E-2</v>
      </c>
      <c r="E261" s="1">
        <v>1.2999999999999999E-2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1.5599999999999999E-2</v>
      </c>
      <c r="E262" s="1">
        <v>1.2999999999999999E-2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1.5599999999999999E-2</v>
      </c>
      <c r="E263" s="1">
        <v>1.2999999999999999E-2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1.5599999999999999E-2</v>
      </c>
      <c r="E264" s="1">
        <v>1.2999999999999999E-2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1.5599999999999999E-2</v>
      </c>
      <c r="E265" s="1">
        <v>1.2999999999999999E-2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1.5599999999999999E-2</v>
      </c>
      <c r="E266" s="1">
        <v>1.2999999999999999E-2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1.5599999999999999E-2</v>
      </c>
      <c r="E267" s="1">
        <v>1.2999999999999999E-2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1.5599999999999999E-2</v>
      </c>
      <c r="E268" s="1">
        <v>1.2999999999999999E-2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1.5599999999999999E-2</v>
      </c>
      <c r="E269" s="1">
        <v>1.2999999999999999E-2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1.5599999999999999E-2</v>
      </c>
      <c r="E270" s="1">
        <v>1.2999999999999999E-2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1.5599999999999999E-2</v>
      </c>
      <c r="E271" s="1">
        <v>1.2999999999999999E-2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1.5599999999999999E-2</v>
      </c>
      <c r="E272" s="1">
        <v>1.2999999999999999E-2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1.5599999999999999E-2</v>
      </c>
      <c r="E273" s="1">
        <v>1.2999999999999999E-2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1.5599999999999999E-2</v>
      </c>
      <c r="E274" s="1">
        <v>1.2999999999999999E-2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1.5599999999999999E-2</v>
      </c>
      <c r="E275" s="1">
        <v>1.2999999999999999E-2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1.5599999999999999E-2</v>
      </c>
      <c r="E276" s="1">
        <v>1.2999999999999999E-2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1.5599999999999999E-2</v>
      </c>
      <c r="E277" s="1">
        <v>1.2999999999999999E-2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1.5599999999999999E-2</v>
      </c>
      <c r="E278" s="1">
        <v>1.2999999999999999E-2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1.5599999999999999E-2</v>
      </c>
      <c r="E279" s="1">
        <v>1.2999999999999999E-2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1.5599999999999999E-2</v>
      </c>
      <c r="E280" s="1">
        <v>1.2999999999999999E-2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1.5599999999999999E-2</v>
      </c>
      <c r="E281" s="1">
        <v>1.2999999999999999E-2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1.5599999999999999E-2</v>
      </c>
      <c r="E282" s="1">
        <v>1.2999999999999999E-2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1.5599999999999999E-2</v>
      </c>
      <c r="E283" s="1">
        <v>1.2999999999999999E-2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1.5599999999999999E-2</v>
      </c>
      <c r="E284" s="1">
        <v>1.2999999999999999E-2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1.5599999999999999E-2</v>
      </c>
      <c r="E285" s="1">
        <v>1.2999999999999999E-2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1.5599999999999999E-2</v>
      </c>
      <c r="E286" s="1">
        <v>1.2999999999999999E-2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1.5599999999999999E-2</v>
      </c>
      <c r="E287" s="1">
        <v>1.2999999999999999E-2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1.5599999999999999E-2</v>
      </c>
      <c r="E288" s="1">
        <v>1.2999999999999999E-2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1.5599999999999999E-2</v>
      </c>
      <c r="E289" s="1">
        <v>1.2999999999999999E-2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1.5599999999999999E-2</v>
      </c>
      <c r="E290" s="1">
        <v>1.2999999999999999E-2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1.5599999999999999E-2</v>
      </c>
      <c r="E291" s="1">
        <v>1.2999999999999999E-2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1.5599999999999999E-2</v>
      </c>
      <c r="E292" s="1">
        <v>1.2999999999999999E-2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1.5599999999999999E-2</v>
      </c>
      <c r="E293" s="1">
        <v>1.2999999999999999E-2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1.5599999999999999E-2</v>
      </c>
      <c r="E294" s="1">
        <v>1.2999999999999999E-2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1.5599999999999999E-2</v>
      </c>
      <c r="E295" s="1">
        <v>1.2999999999999999E-2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1.5599999999999999E-2</v>
      </c>
      <c r="E296" s="1">
        <v>1.2999999999999999E-2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1.5599999999999999E-2</v>
      </c>
      <c r="E297" s="1">
        <v>1.2999999999999999E-2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1.5599999999999999E-2</v>
      </c>
      <c r="E298" s="1">
        <v>1.2999999999999999E-2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1.5599999999999999E-2</v>
      </c>
      <c r="E299" s="1">
        <v>1.2999999999999999E-2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1.5599999999999999E-2</v>
      </c>
      <c r="E300" s="1">
        <v>1.2999999999999999E-2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1.5599999999999999E-2</v>
      </c>
      <c r="E301" s="1">
        <v>1.2999999999999999E-2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1.5599999999999999E-2</v>
      </c>
      <c r="E302" s="1">
        <v>1.2999999999999999E-2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1.5599999999999999E-2</v>
      </c>
      <c r="E303" s="1">
        <v>1.2999999999999999E-2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2026-04-20T04:26:23Z</dcterms:modified>
</cp:coreProperties>
</file>