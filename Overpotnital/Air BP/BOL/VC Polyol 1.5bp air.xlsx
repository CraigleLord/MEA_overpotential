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y Drive\KAIST MASc 2021\Laboratory Work\Protocol\overpotential calculation\For paper SI\Overpotnital\Air BP\"/>
    </mc:Choice>
  </mc:AlternateContent>
  <xr:revisionPtr revIDLastSave="0" documentId="13_ncr:1_{99B12259-A50D-4019-8794-909B3C1DF0D8}" xr6:coauthVersionLast="36" xr6:coauthVersionMax="36" xr10:uidLastSave="{00000000-0000-0000-0000-000000000000}"/>
  <bookViews>
    <workbookView xWindow="0" yWindow="0" windowWidth="23595" windowHeight="11265" xr2:uid="{7CB94D35-52ED-4DEA-9579-CC247F80CA29}"/>
  </bookViews>
  <sheets>
    <sheet name="Sheet1" sheetId="1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4" i="1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" i="3"/>
  <c r="AC7" i="1" l="1"/>
  <c r="AC11" i="1" s="1"/>
  <c r="AC12" i="1" s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4" i="1"/>
  <c r="J235" i="1" l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F195" i="3" l="1"/>
  <c r="F194" i="3"/>
  <c r="F193" i="3"/>
  <c r="F192" i="3"/>
  <c r="K192" i="3" s="1"/>
  <c r="F191" i="3"/>
  <c r="F190" i="3"/>
  <c r="F189" i="3"/>
  <c r="F188" i="3"/>
  <c r="K188" i="3" s="1"/>
  <c r="F187" i="3"/>
  <c r="F186" i="3"/>
  <c r="F185" i="3"/>
  <c r="F184" i="3"/>
  <c r="K184" i="3" s="1"/>
  <c r="F183" i="3"/>
  <c r="F182" i="3"/>
  <c r="F181" i="3"/>
  <c r="F180" i="3"/>
  <c r="K180" i="3" s="1"/>
  <c r="F179" i="3"/>
  <c r="F178" i="3"/>
  <c r="F177" i="3"/>
  <c r="F176" i="3"/>
  <c r="K176" i="3" s="1"/>
  <c r="F175" i="3"/>
  <c r="F174" i="3"/>
  <c r="F173" i="3"/>
  <c r="F172" i="3"/>
  <c r="K172" i="3" s="1"/>
  <c r="F171" i="3"/>
  <c r="F170" i="3"/>
  <c r="F169" i="3"/>
  <c r="F168" i="3"/>
  <c r="K168" i="3" s="1"/>
  <c r="F167" i="3"/>
  <c r="F166" i="3"/>
  <c r="F165" i="3"/>
  <c r="F164" i="3"/>
  <c r="K164" i="3" s="1"/>
  <c r="F163" i="3"/>
  <c r="F162" i="3"/>
  <c r="F161" i="3"/>
  <c r="F160" i="3"/>
  <c r="K160" i="3" s="1"/>
  <c r="F159" i="3"/>
  <c r="F158" i="3"/>
  <c r="F157" i="3"/>
  <c r="F156" i="3"/>
  <c r="K156" i="3" s="1"/>
  <c r="F155" i="3"/>
  <c r="F154" i="3"/>
  <c r="F153" i="3"/>
  <c r="F152" i="3"/>
  <c r="K152" i="3" s="1"/>
  <c r="F151" i="3"/>
  <c r="F150" i="3"/>
  <c r="F149" i="3"/>
  <c r="F148" i="3"/>
  <c r="K148" i="3" s="1"/>
  <c r="F147" i="3"/>
  <c r="F146" i="3"/>
  <c r="F145" i="3"/>
  <c r="F144" i="3"/>
  <c r="K144" i="3" s="1"/>
  <c r="F143" i="3"/>
  <c r="F142" i="3"/>
  <c r="F141" i="3"/>
  <c r="F140" i="3"/>
  <c r="K140" i="3" s="1"/>
  <c r="F139" i="3"/>
  <c r="F138" i="3"/>
  <c r="F137" i="3"/>
  <c r="F136" i="3"/>
  <c r="K136" i="3" s="1"/>
  <c r="F135" i="3"/>
  <c r="F134" i="3"/>
  <c r="F133" i="3"/>
  <c r="F132" i="3"/>
  <c r="K132" i="3" s="1"/>
  <c r="F131" i="3"/>
  <c r="F130" i="3"/>
  <c r="F129" i="3"/>
  <c r="F128" i="3"/>
  <c r="K128" i="3" s="1"/>
  <c r="F127" i="3"/>
  <c r="F126" i="3"/>
  <c r="F125" i="3"/>
  <c r="F124" i="3"/>
  <c r="K124" i="3" s="1"/>
  <c r="F123" i="3"/>
  <c r="F122" i="3"/>
  <c r="F121" i="3"/>
  <c r="F120" i="3"/>
  <c r="K120" i="3" s="1"/>
  <c r="F119" i="3"/>
  <c r="F118" i="3"/>
  <c r="F117" i="3"/>
  <c r="F116" i="3"/>
  <c r="K116" i="3" s="1"/>
  <c r="F115" i="3"/>
  <c r="F114" i="3"/>
  <c r="F113" i="3"/>
  <c r="F112" i="3"/>
  <c r="K112" i="3" s="1"/>
  <c r="F111" i="3"/>
  <c r="F110" i="3"/>
  <c r="F109" i="3"/>
  <c r="F108" i="3"/>
  <c r="K108" i="3" s="1"/>
  <c r="F107" i="3"/>
  <c r="F106" i="3"/>
  <c r="F105" i="3"/>
  <c r="F104" i="3"/>
  <c r="K104" i="3" s="1"/>
  <c r="F103" i="3"/>
  <c r="F102" i="3"/>
  <c r="F101" i="3"/>
  <c r="F100" i="3"/>
  <c r="K100" i="3" s="1"/>
  <c r="F99" i="3"/>
  <c r="F98" i="3"/>
  <c r="F97" i="3"/>
  <c r="F96" i="3"/>
  <c r="K96" i="3" s="1"/>
  <c r="F95" i="3"/>
  <c r="F94" i="3"/>
  <c r="F93" i="3"/>
  <c r="F92" i="3"/>
  <c r="K92" i="3" s="1"/>
  <c r="F91" i="3"/>
  <c r="F90" i="3"/>
  <c r="F89" i="3"/>
  <c r="F88" i="3"/>
  <c r="K88" i="3" s="1"/>
  <c r="F87" i="3"/>
  <c r="F86" i="3"/>
  <c r="F85" i="3"/>
  <c r="F84" i="3"/>
  <c r="K84" i="3" s="1"/>
  <c r="F83" i="3"/>
  <c r="F82" i="3"/>
  <c r="F81" i="3"/>
  <c r="F80" i="3"/>
  <c r="K80" i="3" s="1"/>
  <c r="F79" i="3"/>
  <c r="F78" i="3"/>
  <c r="F77" i="3"/>
  <c r="F76" i="3"/>
  <c r="K76" i="3" s="1"/>
  <c r="F75" i="3"/>
  <c r="F74" i="3"/>
  <c r="F73" i="3"/>
  <c r="F72" i="3"/>
  <c r="K72" i="3" s="1"/>
  <c r="F71" i="3"/>
  <c r="F70" i="3"/>
  <c r="F69" i="3"/>
  <c r="F68" i="3"/>
  <c r="K68" i="3" s="1"/>
  <c r="F67" i="3"/>
  <c r="F66" i="3"/>
  <c r="F65" i="3"/>
  <c r="F64" i="3"/>
  <c r="K64" i="3" s="1"/>
  <c r="F63" i="3"/>
  <c r="F62" i="3"/>
  <c r="F61" i="3"/>
  <c r="F60" i="3"/>
  <c r="K60" i="3" s="1"/>
  <c r="F59" i="3"/>
  <c r="F58" i="3"/>
  <c r="F57" i="3"/>
  <c r="F56" i="3"/>
  <c r="K56" i="3" s="1"/>
  <c r="F55" i="3"/>
  <c r="F54" i="3"/>
  <c r="F53" i="3"/>
  <c r="F52" i="3"/>
  <c r="K52" i="3" s="1"/>
  <c r="F51" i="3"/>
  <c r="F50" i="3"/>
  <c r="F49" i="3"/>
  <c r="F48" i="3"/>
  <c r="K48" i="3" s="1"/>
  <c r="F47" i="3"/>
  <c r="F46" i="3"/>
  <c r="F45" i="3"/>
  <c r="F44" i="3"/>
  <c r="K44" i="3" s="1"/>
  <c r="F43" i="3"/>
  <c r="F42" i="3"/>
  <c r="F41" i="3"/>
  <c r="F40" i="3"/>
  <c r="K40" i="3" s="1"/>
  <c r="F39" i="3"/>
  <c r="F38" i="3"/>
  <c r="F37" i="3"/>
  <c r="F36" i="3"/>
  <c r="K36" i="3" s="1"/>
  <c r="F35" i="3"/>
  <c r="F34" i="3"/>
  <c r="F33" i="3"/>
  <c r="F32" i="3"/>
  <c r="K32" i="3" s="1"/>
  <c r="F31" i="3"/>
  <c r="F30" i="3"/>
  <c r="F29" i="3"/>
  <c r="F28" i="3"/>
  <c r="K28" i="3" s="1"/>
  <c r="F27" i="3"/>
  <c r="F26" i="3"/>
  <c r="F25" i="3"/>
  <c r="F24" i="3"/>
  <c r="K24" i="3" s="1"/>
  <c r="F23" i="3"/>
  <c r="F22" i="3"/>
  <c r="F21" i="3"/>
  <c r="F20" i="3"/>
  <c r="K20" i="3" s="1"/>
  <c r="F19" i="3"/>
  <c r="F18" i="3"/>
  <c r="F17" i="3"/>
  <c r="F16" i="3"/>
  <c r="K16" i="3" s="1"/>
  <c r="F15" i="3"/>
  <c r="F14" i="3"/>
  <c r="F13" i="3"/>
  <c r="F12" i="3"/>
  <c r="K12" i="3" s="1"/>
  <c r="F11" i="3"/>
  <c r="F10" i="3"/>
  <c r="F9" i="3"/>
  <c r="F8" i="3"/>
  <c r="K8" i="3" s="1"/>
  <c r="F7" i="3"/>
  <c r="F6" i="3"/>
  <c r="F5" i="3"/>
  <c r="F4" i="3"/>
  <c r="K4" i="3" s="1"/>
  <c r="F3" i="3"/>
  <c r="F2" i="3"/>
  <c r="K199" i="3"/>
  <c r="K196" i="3"/>
  <c r="K223" i="3"/>
  <c r="K222" i="3"/>
  <c r="K221" i="3"/>
  <c r="K220" i="3"/>
  <c r="K219" i="3"/>
  <c r="K218" i="3"/>
  <c r="K217" i="3"/>
  <c r="K216" i="3"/>
  <c r="K215" i="3"/>
  <c r="K214" i="3"/>
  <c r="K213" i="3"/>
  <c r="K212" i="3"/>
  <c r="K211" i="3"/>
  <c r="K210" i="3"/>
  <c r="K209" i="3"/>
  <c r="K208" i="3"/>
  <c r="K207" i="3"/>
  <c r="K206" i="3"/>
  <c r="K205" i="3"/>
  <c r="K204" i="3"/>
  <c r="K203" i="3"/>
  <c r="K202" i="3"/>
  <c r="K201" i="3"/>
  <c r="K200" i="3"/>
  <c r="K198" i="3"/>
  <c r="K197" i="3"/>
  <c r="K195" i="3"/>
  <c r="K194" i="3"/>
  <c r="K193" i="3"/>
  <c r="K191" i="3"/>
  <c r="K190" i="3"/>
  <c r="K189" i="3"/>
  <c r="K187" i="3"/>
  <c r="K186" i="3"/>
  <c r="K185" i="3"/>
  <c r="K183" i="3"/>
  <c r="K182" i="3"/>
  <c r="K181" i="3"/>
  <c r="K179" i="3"/>
  <c r="K178" i="3"/>
  <c r="K177" i="3"/>
  <c r="K175" i="3"/>
  <c r="K174" i="3"/>
  <c r="K173" i="3"/>
  <c r="K171" i="3"/>
  <c r="K170" i="3"/>
  <c r="K169" i="3"/>
  <c r="K167" i="3"/>
  <c r="K166" i="3"/>
  <c r="K165" i="3"/>
  <c r="K163" i="3"/>
  <c r="K162" i="3"/>
  <c r="K161" i="3"/>
  <c r="K159" i="3"/>
  <c r="K158" i="3"/>
  <c r="K157" i="3"/>
  <c r="K155" i="3"/>
  <c r="K154" i="3"/>
  <c r="K153" i="3"/>
  <c r="K151" i="3"/>
  <c r="K150" i="3"/>
  <c r="K149" i="3"/>
  <c r="K147" i="3"/>
  <c r="K146" i="3"/>
  <c r="K145" i="3"/>
  <c r="K143" i="3"/>
  <c r="K142" i="3"/>
  <c r="K141" i="3"/>
  <c r="K139" i="3"/>
  <c r="K138" i="3"/>
  <c r="K137" i="3"/>
  <c r="K135" i="3"/>
  <c r="K134" i="3"/>
  <c r="K133" i="3"/>
  <c r="K131" i="3"/>
  <c r="K130" i="3"/>
  <c r="K129" i="3"/>
  <c r="K127" i="3"/>
  <c r="K126" i="3"/>
  <c r="K125" i="3"/>
  <c r="K123" i="3"/>
  <c r="K122" i="3"/>
  <c r="K121" i="3"/>
  <c r="K119" i="3"/>
  <c r="K118" i="3"/>
  <c r="K117" i="3"/>
  <c r="K115" i="3"/>
  <c r="K114" i="3"/>
  <c r="K113" i="3"/>
  <c r="K111" i="3"/>
  <c r="K110" i="3"/>
  <c r="K109" i="3"/>
  <c r="K107" i="3"/>
  <c r="K106" i="3"/>
  <c r="K105" i="3"/>
  <c r="K103" i="3"/>
  <c r="K102" i="3"/>
  <c r="K101" i="3"/>
  <c r="K99" i="3"/>
  <c r="K98" i="3"/>
  <c r="K97" i="3"/>
  <c r="K95" i="3"/>
  <c r="K94" i="3"/>
  <c r="K93" i="3"/>
  <c r="K91" i="3"/>
  <c r="K90" i="3"/>
  <c r="K89" i="3"/>
  <c r="K87" i="3"/>
  <c r="K86" i="3"/>
  <c r="K85" i="3"/>
  <c r="K83" i="3"/>
  <c r="K82" i="3"/>
  <c r="K81" i="3"/>
  <c r="K79" i="3"/>
  <c r="K78" i="3"/>
  <c r="K77" i="3"/>
  <c r="K75" i="3"/>
  <c r="K74" i="3"/>
  <c r="K73" i="3"/>
  <c r="K71" i="3"/>
  <c r="K70" i="3"/>
  <c r="K69" i="3"/>
  <c r="K67" i="3"/>
  <c r="K66" i="3"/>
  <c r="K65" i="3"/>
  <c r="K63" i="3"/>
  <c r="K62" i="3"/>
  <c r="K61" i="3"/>
  <c r="K59" i="3"/>
  <c r="K58" i="3"/>
  <c r="K57" i="3"/>
  <c r="K55" i="3"/>
  <c r="K54" i="3"/>
  <c r="K53" i="3"/>
  <c r="K51" i="3"/>
  <c r="K50" i="3"/>
  <c r="K49" i="3"/>
  <c r="K47" i="3"/>
  <c r="K46" i="3"/>
  <c r="K45" i="3"/>
  <c r="K43" i="3"/>
  <c r="K42" i="3"/>
  <c r="K41" i="3"/>
  <c r="K39" i="3"/>
  <c r="K38" i="3"/>
  <c r="K37" i="3"/>
  <c r="K35" i="3"/>
  <c r="K34" i="3"/>
  <c r="K33" i="3"/>
  <c r="K31" i="3"/>
  <c r="K30" i="3"/>
  <c r="K29" i="3"/>
  <c r="K27" i="3"/>
  <c r="K26" i="3"/>
  <c r="K25" i="3"/>
  <c r="K23" i="3"/>
  <c r="K22" i="3"/>
  <c r="K21" i="3"/>
  <c r="K19" i="3"/>
  <c r="K18" i="3"/>
  <c r="K17" i="3"/>
  <c r="K15" i="3"/>
  <c r="K14" i="3"/>
  <c r="K13" i="3"/>
  <c r="K11" i="3"/>
  <c r="K10" i="3"/>
  <c r="K9" i="3"/>
  <c r="K7" i="3"/>
  <c r="K6" i="3"/>
  <c r="K5" i="3"/>
  <c r="K3" i="3"/>
  <c r="K2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N4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M240" i="1"/>
  <c r="M244" i="1"/>
  <c r="M248" i="1"/>
  <c r="M256" i="1"/>
  <c r="M260" i="1"/>
  <c r="M264" i="1"/>
  <c r="M272" i="1"/>
  <c r="M276" i="1"/>
  <c r="M280" i="1"/>
  <c r="M288" i="1"/>
  <c r="M292" i="1"/>
  <c r="M296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4" i="1"/>
  <c r="M236" i="1"/>
  <c r="M252" i="1"/>
  <c r="M268" i="1"/>
  <c r="M284" i="1"/>
  <c r="M300" i="1"/>
  <c r="M235" i="1"/>
  <c r="M237" i="1"/>
  <c r="M238" i="1"/>
  <c r="M239" i="1"/>
  <c r="M241" i="1"/>
  <c r="M242" i="1"/>
  <c r="M243" i="1"/>
  <c r="M245" i="1"/>
  <c r="M246" i="1"/>
  <c r="M247" i="1"/>
  <c r="M249" i="1"/>
  <c r="M250" i="1"/>
  <c r="M251" i="1"/>
  <c r="M253" i="1"/>
  <c r="M254" i="1"/>
  <c r="M255" i="1"/>
  <c r="M257" i="1"/>
  <c r="M258" i="1"/>
  <c r="M259" i="1"/>
  <c r="M261" i="1"/>
  <c r="M262" i="1"/>
  <c r="M263" i="1"/>
  <c r="M265" i="1"/>
  <c r="M266" i="1"/>
  <c r="M267" i="1"/>
  <c r="M269" i="1"/>
  <c r="M270" i="1"/>
  <c r="M271" i="1"/>
  <c r="M273" i="1"/>
  <c r="M274" i="1"/>
  <c r="M275" i="1"/>
  <c r="M277" i="1"/>
  <c r="M278" i="1"/>
  <c r="M279" i="1"/>
  <c r="M281" i="1"/>
  <c r="M282" i="1"/>
  <c r="M283" i="1"/>
  <c r="M285" i="1"/>
  <c r="M286" i="1"/>
  <c r="M287" i="1"/>
  <c r="M289" i="1"/>
  <c r="M290" i="1"/>
  <c r="M291" i="1"/>
  <c r="M293" i="1"/>
  <c r="M294" i="1"/>
  <c r="M295" i="1"/>
  <c r="M297" i="1"/>
  <c r="M298" i="1"/>
  <c r="M299" i="1"/>
  <c r="M301" i="1"/>
  <c r="M302" i="1"/>
  <c r="M303" i="1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" i="3"/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N212" i="1" l="1"/>
  <c r="O212" i="1"/>
  <c r="N213" i="1"/>
  <c r="O213" i="1"/>
  <c r="N214" i="1"/>
  <c r="O214" i="1"/>
  <c r="N215" i="1"/>
  <c r="O215" i="1"/>
  <c r="N216" i="1"/>
  <c r="O216" i="1"/>
  <c r="N217" i="1"/>
  <c r="O217" i="1"/>
  <c r="N218" i="1"/>
  <c r="O218" i="1"/>
  <c r="N219" i="1"/>
  <c r="O219" i="1"/>
  <c r="N220" i="1"/>
  <c r="O220" i="1"/>
  <c r="N221" i="1"/>
  <c r="O221" i="1"/>
  <c r="N222" i="1"/>
  <c r="O222" i="1"/>
  <c r="N223" i="1"/>
  <c r="O223" i="1"/>
  <c r="N224" i="1"/>
  <c r="O224" i="1"/>
  <c r="N225" i="1"/>
  <c r="O225" i="1"/>
  <c r="N226" i="1"/>
  <c r="O226" i="1"/>
  <c r="N227" i="1"/>
  <c r="O227" i="1"/>
  <c r="N228" i="1"/>
  <c r="O228" i="1"/>
  <c r="N229" i="1"/>
  <c r="O229" i="1"/>
  <c r="N230" i="1"/>
  <c r="O230" i="1"/>
  <c r="N231" i="1"/>
  <c r="O231" i="1"/>
  <c r="N232" i="1"/>
  <c r="O232" i="1"/>
  <c r="N233" i="1"/>
  <c r="O233" i="1"/>
  <c r="N234" i="1"/>
  <c r="O234" i="1"/>
  <c r="N235" i="1"/>
  <c r="O235" i="1"/>
  <c r="N236" i="1"/>
  <c r="O236" i="1"/>
  <c r="N237" i="1"/>
  <c r="O237" i="1"/>
  <c r="N238" i="1"/>
  <c r="O238" i="1"/>
  <c r="N239" i="1"/>
  <c r="O239" i="1"/>
  <c r="N240" i="1"/>
  <c r="O240" i="1"/>
  <c r="N241" i="1"/>
  <c r="O241" i="1"/>
  <c r="N242" i="1"/>
  <c r="O242" i="1"/>
  <c r="N243" i="1"/>
  <c r="O243" i="1"/>
  <c r="N244" i="1"/>
  <c r="O244" i="1"/>
  <c r="N245" i="1"/>
  <c r="O245" i="1"/>
  <c r="N246" i="1"/>
  <c r="O246" i="1"/>
  <c r="N247" i="1"/>
  <c r="O247" i="1"/>
  <c r="N248" i="1"/>
  <c r="O248" i="1"/>
  <c r="N249" i="1"/>
  <c r="O249" i="1"/>
  <c r="N250" i="1"/>
  <c r="O250" i="1"/>
  <c r="N251" i="1"/>
  <c r="O251" i="1"/>
  <c r="N252" i="1"/>
  <c r="O252" i="1"/>
  <c r="N253" i="1"/>
  <c r="O253" i="1"/>
  <c r="N254" i="1"/>
  <c r="O254" i="1"/>
  <c r="N255" i="1"/>
  <c r="O255" i="1"/>
  <c r="N256" i="1"/>
  <c r="O256" i="1"/>
  <c r="N257" i="1"/>
  <c r="O257" i="1"/>
  <c r="N258" i="1"/>
  <c r="O258" i="1"/>
  <c r="N259" i="1"/>
  <c r="O259" i="1"/>
  <c r="N260" i="1"/>
  <c r="O260" i="1"/>
  <c r="N261" i="1"/>
  <c r="O261" i="1"/>
  <c r="N262" i="1"/>
  <c r="O262" i="1"/>
  <c r="N263" i="1"/>
  <c r="O263" i="1"/>
  <c r="N264" i="1"/>
  <c r="O264" i="1"/>
  <c r="N265" i="1"/>
  <c r="O265" i="1"/>
  <c r="N266" i="1"/>
  <c r="O266" i="1"/>
  <c r="N267" i="1"/>
  <c r="O267" i="1"/>
  <c r="N268" i="1"/>
  <c r="O268" i="1"/>
  <c r="N269" i="1"/>
  <c r="O269" i="1"/>
  <c r="N270" i="1"/>
  <c r="O270" i="1"/>
  <c r="N271" i="1"/>
  <c r="O271" i="1"/>
  <c r="N272" i="1"/>
  <c r="O272" i="1"/>
  <c r="N273" i="1"/>
  <c r="O273" i="1"/>
  <c r="N274" i="1"/>
  <c r="O274" i="1"/>
  <c r="N275" i="1"/>
  <c r="O275" i="1"/>
  <c r="N276" i="1"/>
  <c r="O276" i="1"/>
  <c r="N277" i="1"/>
  <c r="O277" i="1"/>
  <c r="N278" i="1"/>
  <c r="O278" i="1"/>
  <c r="N279" i="1"/>
  <c r="O279" i="1"/>
  <c r="N280" i="1"/>
  <c r="O280" i="1"/>
  <c r="N281" i="1"/>
  <c r="O281" i="1"/>
  <c r="N282" i="1"/>
  <c r="O282" i="1"/>
  <c r="N283" i="1"/>
  <c r="O283" i="1"/>
  <c r="N284" i="1"/>
  <c r="O284" i="1"/>
  <c r="N285" i="1"/>
  <c r="O285" i="1"/>
  <c r="N286" i="1"/>
  <c r="O286" i="1"/>
  <c r="N287" i="1"/>
  <c r="O287" i="1"/>
  <c r="N288" i="1"/>
  <c r="O288" i="1"/>
  <c r="N289" i="1"/>
  <c r="O289" i="1"/>
  <c r="N290" i="1"/>
  <c r="O290" i="1"/>
  <c r="N291" i="1"/>
  <c r="O291" i="1"/>
  <c r="N292" i="1"/>
  <c r="O292" i="1"/>
  <c r="N293" i="1"/>
  <c r="O293" i="1"/>
  <c r="N294" i="1"/>
  <c r="O294" i="1"/>
  <c r="N295" i="1"/>
  <c r="O295" i="1"/>
  <c r="N296" i="1"/>
  <c r="O296" i="1"/>
  <c r="N297" i="1"/>
  <c r="O297" i="1"/>
  <c r="N298" i="1"/>
  <c r="O298" i="1"/>
  <c r="N299" i="1"/>
  <c r="O299" i="1"/>
  <c r="N300" i="1"/>
  <c r="O300" i="1"/>
  <c r="N301" i="1"/>
  <c r="O301" i="1"/>
  <c r="N302" i="1"/>
  <c r="O302" i="1"/>
  <c r="N303" i="1"/>
  <c r="O303" i="1"/>
  <c r="C212" i="1"/>
  <c r="H212" i="1" s="1"/>
  <c r="J212" i="1"/>
  <c r="M212" i="1" s="1"/>
  <c r="G212" i="1"/>
  <c r="C213" i="1"/>
  <c r="H213" i="1" s="1"/>
  <c r="J213" i="1"/>
  <c r="M213" i="1" s="1"/>
  <c r="G213" i="1"/>
  <c r="C214" i="1"/>
  <c r="H214" i="1" s="1"/>
  <c r="J214" i="1"/>
  <c r="M214" i="1" s="1"/>
  <c r="G214" i="1"/>
  <c r="C215" i="1"/>
  <c r="H215" i="1" s="1"/>
  <c r="J215" i="1"/>
  <c r="M215" i="1" s="1"/>
  <c r="G215" i="1"/>
  <c r="C216" i="1"/>
  <c r="H216" i="1" s="1"/>
  <c r="J216" i="1"/>
  <c r="M216" i="1" s="1"/>
  <c r="G216" i="1"/>
  <c r="C217" i="1"/>
  <c r="H217" i="1" s="1"/>
  <c r="J217" i="1"/>
  <c r="M217" i="1" s="1"/>
  <c r="G217" i="1"/>
  <c r="C218" i="1"/>
  <c r="H218" i="1" s="1"/>
  <c r="J218" i="1"/>
  <c r="M218" i="1" s="1"/>
  <c r="G218" i="1"/>
  <c r="C219" i="1"/>
  <c r="H219" i="1" s="1"/>
  <c r="J219" i="1"/>
  <c r="M219" i="1" s="1"/>
  <c r="G219" i="1"/>
  <c r="C220" i="1"/>
  <c r="H220" i="1" s="1"/>
  <c r="J220" i="1"/>
  <c r="M220" i="1" s="1"/>
  <c r="G220" i="1"/>
  <c r="C221" i="1"/>
  <c r="H221" i="1" s="1"/>
  <c r="J221" i="1"/>
  <c r="M221" i="1" s="1"/>
  <c r="G221" i="1"/>
  <c r="C222" i="1"/>
  <c r="H222" i="1" s="1"/>
  <c r="J222" i="1"/>
  <c r="M222" i="1" s="1"/>
  <c r="G222" i="1"/>
  <c r="C223" i="1"/>
  <c r="H223" i="1" s="1"/>
  <c r="J223" i="1"/>
  <c r="M223" i="1" s="1"/>
  <c r="G223" i="1"/>
  <c r="C224" i="1"/>
  <c r="H224" i="1" s="1"/>
  <c r="J224" i="1"/>
  <c r="M224" i="1" s="1"/>
  <c r="G224" i="1"/>
  <c r="C225" i="1"/>
  <c r="H225" i="1" s="1"/>
  <c r="J225" i="1"/>
  <c r="M225" i="1" s="1"/>
  <c r="G225" i="1"/>
  <c r="C226" i="1"/>
  <c r="H226" i="1" s="1"/>
  <c r="J226" i="1"/>
  <c r="M226" i="1" s="1"/>
  <c r="G226" i="1"/>
  <c r="C227" i="1"/>
  <c r="H227" i="1" s="1"/>
  <c r="J227" i="1"/>
  <c r="M227" i="1" s="1"/>
  <c r="G227" i="1"/>
  <c r="C228" i="1"/>
  <c r="H228" i="1" s="1"/>
  <c r="J228" i="1"/>
  <c r="M228" i="1" s="1"/>
  <c r="G228" i="1"/>
  <c r="C229" i="1"/>
  <c r="H229" i="1" s="1"/>
  <c r="J229" i="1"/>
  <c r="M229" i="1" s="1"/>
  <c r="G229" i="1"/>
  <c r="C230" i="1"/>
  <c r="H230" i="1" s="1"/>
  <c r="J230" i="1"/>
  <c r="M230" i="1" s="1"/>
  <c r="G230" i="1"/>
  <c r="C231" i="1"/>
  <c r="H231" i="1" s="1"/>
  <c r="J231" i="1"/>
  <c r="M231" i="1" s="1"/>
  <c r="G231" i="1"/>
  <c r="C232" i="1"/>
  <c r="H232" i="1" s="1"/>
  <c r="J232" i="1"/>
  <c r="M232" i="1" s="1"/>
  <c r="G232" i="1"/>
  <c r="C233" i="1"/>
  <c r="H233" i="1" s="1"/>
  <c r="J233" i="1"/>
  <c r="M233" i="1" s="1"/>
  <c r="G233" i="1"/>
  <c r="C234" i="1"/>
  <c r="H234" i="1" s="1"/>
  <c r="J234" i="1"/>
  <c r="M234" i="1" s="1"/>
  <c r="G234" i="1"/>
  <c r="C235" i="1"/>
  <c r="H235" i="1" s="1"/>
  <c r="G235" i="1"/>
  <c r="C236" i="1"/>
  <c r="H236" i="1" s="1"/>
  <c r="G236" i="1"/>
  <c r="C237" i="1"/>
  <c r="H237" i="1" s="1"/>
  <c r="G237" i="1"/>
  <c r="C238" i="1"/>
  <c r="H238" i="1" s="1"/>
  <c r="G238" i="1"/>
  <c r="C239" i="1"/>
  <c r="H239" i="1" s="1"/>
  <c r="G239" i="1"/>
  <c r="C240" i="1"/>
  <c r="H240" i="1" s="1"/>
  <c r="G240" i="1"/>
  <c r="C241" i="1"/>
  <c r="H241" i="1" s="1"/>
  <c r="G241" i="1"/>
  <c r="C242" i="1"/>
  <c r="H242" i="1" s="1"/>
  <c r="G242" i="1"/>
  <c r="C243" i="1"/>
  <c r="H243" i="1" s="1"/>
  <c r="G243" i="1"/>
  <c r="C244" i="1"/>
  <c r="H244" i="1" s="1"/>
  <c r="G244" i="1"/>
  <c r="C245" i="1"/>
  <c r="H245" i="1" s="1"/>
  <c r="G245" i="1"/>
  <c r="C246" i="1"/>
  <c r="H246" i="1" s="1"/>
  <c r="G246" i="1"/>
  <c r="C247" i="1"/>
  <c r="H247" i="1" s="1"/>
  <c r="G247" i="1"/>
  <c r="C248" i="1"/>
  <c r="H248" i="1" s="1"/>
  <c r="G248" i="1"/>
  <c r="C249" i="1"/>
  <c r="H249" i="1" s="1"/>
  <c r="G249" i="1"/>
  <c r="C250" i="1"/>
  <c r="H250" i="1" s="1"/>
  <c r="G250" i="1"/>
  <c r="C251" i="1"/>
  <c r="H251" i="1" s="1"/>
  <c r="G251" i="1"/>
  <c r="C252" i="1"/>
  <c r="H252" i="1" s="1"/>
  <c r="G252" i="1"/>
  <c r="C253" i="1"/>
  <c r="H253" i="1" s="1"/>
  <c r="G253" i="1"/>
  <c r="C254" i="1"/>
  <c r="H254" i="1" s="1"/>
  <c r="G254" i="1"/>
  <c r="C255" i="1"/>
  <c r="H255" i="1" s="1"/>
  <c r="G255" i="1"/>
  <c r="C256" i="1"/>
  <c r="H256" i="1" s="1"/>
  <c r="G256" i="1"/>
  <c r="C257" i="1"/>
  <c r="H257" i="1" s="1"/>
  <c r="G257" i="1"/>
  <c r="C258" i="1"/>
  <c r="H258" i="1" s="1"/>
  <c r="G258" i="1"/>
  <c r="C259" i="1"/>
  <c r="H259" i="1" s="1"/>
  <c r="G259" i="1"/>
  <c r="C260" i="1"/>
  <c r="H260" i="1" s="1"/>
  <c r="G260" i="1"/>
  <c r="C261" i="1"/>
  <c r="H261" i="1" s="1"/>
  <c r="G261" i="1"/>
  <c r="C262" i="1"/>
  <c r="H262" i="1" s="1"/>
  <c r="G262" i="1"/>
  <c r="C263" i="1"/>
  <c r="H263" i="1" s="1"/>
  <c r="G263" i="1"/>
  <c r="C264" i="1"/>
  <c r="H264" i="1" s="1"/>
  <c r="G264" i="1"/>
  <c r="C265" i="1"/>
  <c r="H265" i="1" s="1"/>
  <c r="G265" i="1"/>
  <c r="C266" i="1"/>
  <c r="H266" i="1" s="1"/>
  <c r="G266" i="1"/>
  <c r="C267" i="1"/>
  <c r="H267" i="1" s="1"/>
  <c r="G267" i="1"/>
  <c r="C268" i="1"/>
  <c r="H268" i="1" s="1"/>
  <c r="G268" i="1"/>
  <c r="C269" i="1"/>
  <c r="H269" i="1" s="1"/>
  <c r="G269" i="1"/>
  <c r="C270" i="1"/>
  <c r="H270" i="1" s="1"/>
  <c r="G270" i="1"/>
  <c r="C271" i="1"/>
  <c r="H271" i="1" s="1"/>
  <c r="G271" i="1"/>
  <c r="C272" i="1"/>
  <c r="H272" i="1" s="1"/>
  <c r="G272" i="1"/>
  <c r="C273" i="1"/>
  <c r="H273" i="1" s="1"/>
  <c r="G273" i="1"/>
  <c r="C274" i="1"/>
  <c r="H274" i="1" s="1"/>
  <c r="G274" i="1"/>
  <c r="C275" i="1"/>
  <c r="H275" i="1" s="1"/>
  <c r="G275" i="1"/>
  <c r="C276" i="1"/>
  <c r="H276" i="1" s="1"/>
  <c r="G276" i="1"/>
  <c r="C277" i="1"/>
  <c r="H277" i="1" s="1"/>
  <c r="G277" i="1"/>
  <c r="C278" i="1"/>
  <c r="H278" i="1" s="1"/>
  <c r="G278" i="1"/>
  <c r="C279" i="1"/>
  <c r="H279" i="1" s="1"/>
  <c r="G279" i="1"/>
  <c r="C280" i="1"/>
  <c r="H280" i="1" s="1"/>
  <c r="G280" i="1"/>
  <c r="C281" i="1"/>
  <c r="H281" i="1" s="1"/>
  <c r="G281" i="1"/>
  <c r="C282" i="1"/>
  <c r="H282" i="1" s="1"/>
  <c r="G282" i="1"/>
  <c r="C283" i="1"/>
  <c r="H283" i="1" s="1"/>
  <c r="G283" i="1"/>
  <c r="C284" i="1"/>
  <c r="H284" i="1" s="1"/>
  <c r="G284" i="1"/>
  <c r="C285" i="1"/>
  <c r="H285" i="1" s="1"/>
  <c r="G285" i="1"/>
  <c r="C286" i="1"/>
  <c r="H286" i="1" s="1"/>
  <c r="G286" i="1"/>
  <c r="C287" i="1"/>
  <c r="H287" i="1" s="1"/>
  <c r="G287" i="1"/>
  <c r="C288" i="1"/>
  <c r="H288" i="1" s="1"/>
  <c r="G288" i="1"/>
  <c r="C289" i="1"/>
  <c r="H289" i="1" s="1"/>
  <c r="G289" i="1"/>
  <c r="C290" i="1"/>
  <c r="H290" i="1" s="1"/>
  <c r="G290" i="1"/>
  <c r="C291" i="1"/>
  <c r="H291" i="1" s="1"/>
  <c r="G291" i="1"/>
  <c r="C292" i="1"/>
  <c r="H292" i="1" s="1"/>
  <c r="G292" i="1"/>
  <c r="C293" i="1"/>
  <c r="H293" i="1" s="1"/>
  <c r="G293" i="1"/>
  <c r="C294" i="1"/>
  <c r="H294" i="1" s="1"/>
  <c r="G294" i="1"/>
  <c r="C295" i="1"/>
  <c r="H295" i="1" s="1"/>
  <c r="G295" i="1"/>
  <c r="C296" i="1"/>
  <c r="H296" i="1" s="1"/>
  <c r="G296" i="1"/>
  <c r="C297" i="1"/>
  <c r="H297" i="1" s="1"/>
  <c r="G297" i="1"/>
  <c r="C298" i="1"/>
  <c r="H298" i="1" s="1"/>
  <c r="G298" i="1"/>
  <c r="C299" i="1"/>
  <c r="H299" i="1" s="1"/>
  <c r="G299" i="1"/>
  <c r="C300" i="1"/>
  <c r="H300" i="1" s="1"/>
  <c r="G300" i="1"/>
  <c r="C301" i="1"/>
  <c r="H301" i="1" s="1"/>
  <c r="G301" i="1"/>
  <c r="C302" i="1"/>
  <c r="H302" i="1" s="1"/>
  <c r="G302" i="1"/>
  <c r="C303" i="1"/>
  <c r="H303" i="1" s="1"/>
  <c r="G303" i="1"/>
  <c r="R225" i="1" l="1"/>
  <c r="N188" i="1"/>
  <c r="O188" i="1"/>
  <c r="N189" i="1"/>
  <c r="O189" i="1"/>
  <c r="N190" i="1"/>
  <c r="O190" i="1"/>
  <c r="N191" i="1"/>
  <c r="O191" i="1"/>
  <c r="N192" i="1"/>
  <c r="O192" i="1"/>
  <c r="N193" i="1"/>
  <c r="O193" i="1"/>
  <c r="N194" i="1"/>
  <c r="O194" i="1"/>
  <c r="N195" i="1"/>
  <c r="O195" i="1"/>
  <c r="N196" i="1"/>
  <c r="O196" i="1"/>
  <c r="N197" i="1"/>
  <c r="O197" i="1"/>
  <c r="N198" i="1"/>
  <c r="O198" i="1"/>
  <c r="N199" i="1"/>
  <c r="O199" i="1"/>
  <c r="N200" i="1"/>
  <c r="O200" i="1"/>
  <c r="N201" i="1"/>
  <c r="O201" i="1"/>
  <c r="N202" i="1"/>
  <c r="O202" i="1"/>
  <c r="N203" i="1"/>
  <c r="O203" i="1"/>
  <c r="N204" i="1"/>
  <c r="O204" i="1"/>
  <c r="N205" i="1"/>
  <c r="O205" i="1"/>
  <c r="N206" i="1"/>
  <c r="O206" i="1"/>
  <c r="N207" i="1"/>
  <c r="O207" i="1"/>
  <c r="N208" i="1"/>
  <c r="O208" i="1"/>
  <c r="N209" i="1"/>
  <c r="O209" i="1"/>
  <c r="N210" i="1"/>
  <c r="O210" i="1"/>
  <c r="N211" i="1"/>
  <c r="O211" i="1"/>
  <c r="J188" i="1"/>
  <c r="M188" i="1" s="1"/>
  <c r="G188" i="1"/>
  <c r="J189" i="1"/>
  <c r="M189" i="1" s="1"/>
  <c r="G189" i="1"/>
  <c r="J190" i="1"/>
  <c r="M190" i="1" s="1"/>
  <c r="G190" i="1"/>
  <c r="J191" i="1"/>
  <c r="M191" i="1" s="1"/>
  <c r="G191" i="1"/>
  <c r="J192" i="1"/>
  <c r="M192" i="1" s="1"/>
  <c r="G192" i="1"/>
  <c r="J193" i="1"/>
  <c r="M193" i="1" s="1"/>
  <c r="G193" i="1"/>
  <c r="J194" i="1"/>
  <c r="M194" i="1" s="1"/>
  <c r="G194" i="1"/>
  <c r="J195" i="1"/>
  <c r="M195" i="1" s="1"/>
  <c r="G195" i="1"/>
  <c r="J196" i="1"/>
  <c r="M196" i="1" s="1"/>
  <c r="G196" i="1"/>
  <c r="J197" i="1"/>
  <c r="M197" i="1" s="1"/>
  <c r="G197" i="1"/>
  <c r="J198" i="1"/>
  <c r="M198" i="1" s="1"/>
  <c r="G198" i="1"/>
  <c r="J199" i="1"/>
  <c r="M199" i="1" s="1"/>
  <c r="G199" i="1"/>
  <c r="J200" i="1"/>
  <c r="M200" i="1" s="1"/>
  <c r="G200" i="1"/>
  <c r="J201" i="1"/>
  <c r="M201" i="1" s="1"/>
  <c r="G201" i="1"/>
  <c r="J202" i="1"/>
  <c r="M202" i="1" s="1"/>
  <c r="G202" i="1"/>
  <c r="J203" i="1"/>
  <c r="M203" i="1" s="1"/>
  <c r="G203" i="1"/>
  <c r="J204" i="1"/>
  <c r="M204" i="1" s="1"/>
  <c r="G204" i="1"/>
  <c r="J205" i="1"/>
  <c r="M205" i="1" s="1"/>
  <c r="G205" i="1"/>
  <c r="J206" i="1"/>
  <c r="M206" i="1" s="1"/>
  <c r="G206" i="1"/>
  <c r="J207" i="1"/>
  <c r="M207" i="1" s="1"/>
  <c r="G207" i="1"/>
  <c r="J208" i="1"/>
  <c r="M208" i="1" s="1"/>
  <c r="G208" i="1"/>
  <c r="J209" i="1"/>
  <c r="M209" i="1" s="1"/>
  <c r="G209" i="1"/>
  <c r="J210" i="1"/>
  <c r="M210" i="1" s="1"/>
  <c r="G210" i="1"/>
  <c r="J211" i="1"/>
  <c r="M211" i="1" s="1"/>
  <c r="G211" i="1"/>
  <c r="J5" i="1"/>
  <c r="M5" i="1" s="1"/>
  <c r="G5" i="1"/>
  <c r="J6" i="1"/>
  <c r="M6" i="1" s="1"/>
  <c r="G6" i="1"/>
  <c r="J7" i="1"/>
  <c r="M7" i="1" s="1"/>
  <c r="G7" i="1"/>
  <c r="J8" i="1"/>
  <c r="M8" i="1" s="1"/>
  <c r="G8" i="1"/>
  <c r="J9" i="1"/>
  <c r="M9" i="1" s="1"/>
  <c r="G9" i="1"/>
  <c r="J10" i="1"/>
  <c r="M10" i="1" s="1"/>
  <c r="G10" i="1"/>
  <c r="J11" i="1"/>
  <c r="M11" i="1" s="1"/>
  <c r="G11" i="1"/>
  <c r="J12" i="1"/>
  <c r="M12" i="1" s="1"/>
  <c r="G12" i="1"/>
  <c r="J13" i="1"/>
  <c r="M13" i="1" s="1"/>
  <c r="G13" i="1"/>
  <c r="J14" i="1"/>
  <c r="M14" i="1" s="1"/>
  <c r="G14" i="1"/>
  <c r="J15" i="1"/>
  <c r="M15" i="1" s="1"/>
  <c r="G15" i="1"/>
  <c r="J16" i="1"/>
  <c r="M16" i="1" s="1"/>
  <c r="G16" i="1"/>
  <c r="J17" i="1"/>
  <c r="M17" i="1" s="1"/>
  <c r="G17" i="1"/>
  <c r="J18" i="1"/>
  <c r="M18" i="1" s="1"/>
  <c r="G18" i="1"/>
  <c r="J19" i="1"/>
  <c r="M19" i="1" s="1"/>
  <c r="G19" i="1"/>
  <c r="J20" i="1"/>
  <c r="M20" i="1" s="1"/>
  <c r="G20" i="1"/>
  <c r="J21" i="1"/>
  <c r="M21" i="1" s="1"/>
  <c r="G21" i="1"/>
  <c r="J22" i="1"/>
  <c r="M22" i="1" s="1"/>
  <c r="G22" i="1"/>
  <c r="J23" i="1"/>
  <c r="M23" i="1" s="1"/>
  <c r="G23" i="1"/>
  <c r="J24" i="1"/>
  <c r="M24" i="1" s="1"/>
  <c r="G24" i="1"/>
  <c r="J25" i="1"/>
  <c r="M25" i="1" s="1"/>
  <c r="G25" i="1"/>
  <c r="J26" i="1"/>
  <c r="M26" i="1" s="1"/>
  <c r="G26" i="1"/>
  <c r="J27" i="1"/>
  <c r="M27" i="1" s="1"/>
  <c r="G27" i="1"/>
  <c r="J28" i="1"/>
  <c r="M28" i="1" s="1"/>
  <c r="G28" i="1"/>
  <c r="J29" i="1"/>
  <c r="M29" i="1" s="1"/>
  <c r="G29" i="1"/>
  <c r="J30" i="1"/>
  <c r="M30" i="1" s="1"/>
  <c r="G30" i="1"/>
  <c r="J31" i="1"/>
  <c r="M31" i="1" s="1"/>
  <c r="G31" i="1"/>
  <c r="J32" i="1"/>
  <c r="M32" i="1" s="1"/>
  <c r="G32" i="1"/>
  <c r="J33" i="1"/>
  <c r="M33" i="1" s="1"/>
  <c r="G33" i="1"/>
  <c r="J34" i="1"/>
  <c r="M34" i="1" s="1"/>
  <c r="G34" i="1"/>
  <c r="J35" i="1"/>
  <c r="M35" i="1" s="1"/>
  <c r="G35" i="1"/>
  <c r="J36" i="1"/>
  <c r="M36" i="1" s="1"/>
  <c r="G36" i="1"/>
  <c r="J37" i="1"/>
  <c r="M37" i="1" s="1"/>
  <c r="G37" i="1"/>
  <c r="J38" i="1"/>
  <c r="M38" i="1" s="1"/>
  <c r="G38" i="1"/>
  <c r="J39" i="1"/>
  <c r="M39" i="1" s="1"/>
  <c r="G39" i="1"/>
  <c r="J40" i="1"/>
  <c r="M40" i="1" s="1"/>
  <c r="G40" i="1"/>
  <c r="J41" i="1"/>
  <c r="M41" i="1" s="1"/>
  <c r="G41" i="1"/>
  <c r="J42" i="1"/>
  <c r="M42" i="1" s="1"/>
  <c r="G42" i="1"/>
  <c r="J43" i="1"/>
  <c r="M43" i="1" s="1"/>
  <c r="G43" i="1"/>
  <c r="J44" i="1"/>
  <c r="M44" i="1" s="1"/>
  <c r="G44" i="1"/>
  <c r="J45" i="1"/>
  <c r="M45" i="1" s="1"/>
  <c r="G45" i="1"/>
  <c r="J46" i="1"/>
  <c r="M46" i="1" s="1"/>
  <c r="G46" i="1"/>
  <c r="J47" i="1"/>
  <c r="M47" i="1" s="1"/>
  <c r="G47" i="1"/>
  <c r="J48" i="1"/>
  <c r="M48" i="1" s="1"/>
  <c r="G48" i="1"/>
  <c r="J49" i="1"/>
  <c r="M49" i="1" s="1"/>
  <c r="G49" i="1"/>
  <c r="J50" i="1"/>
  <c r="M50" i="1" s="1"/>
  <c r="G50" i="1"/>
  <c r="J51" i="1"/>
  <c r="M51" i="1" s="1"/>
  <c r="G51" i="1"/>
  <c r="J52" i="1"/>
  <c r="M52" i="1" s="1"/>
  <c r="G52" i="1"/>
  <c r="J53" i="1"/>
  <c r="M53" i="1" s="1"/>
  <c r="G53" i="1"/>
  <c r="J54" i="1"/>
  <c r="M54" i="1" s="1"/>
  <c r="G54" i="1"/>
  <c r="J55" i="1"/>
  <c r="M55" i="1" s="1"/>
  <c r="G55" i="1"/>
  <c r="J56" i="1"/>
  <c r="M56" i="1" s="1"/>
  <c r="G56" i="1"/>
  <c r="J57" i="1"/>
  <c r="M57" i="1" s="1"/>
  <c r="G57" i="1"/>
  <c r="J58" i="1"/>
  <c r="M58" i="1" s="1"/>
  <c r="G58" i="1"/>
  <c r="J59" i="1"/>
  <c r="M59" i="1" s="1"/>
  <c r="G59" i="1"/>
  <c r="J60" i="1"/>
  <c r="M60" i="1" s="1"/>
  <c r="G60" i="1"/>
  <c r="J61" i="1"/>
  <c r="M61" i="1" s="1"/>
  <c r="G61" i="1"/>
  <c r="J62" i="1"/>
  <c r="M62" i="1" s="1"/>
  <c r="G62" i="1"/>
  <c r="J63" i="1"/>
  <c r="M63" i="1" s="1"/>
  <c r="G63" i="1"/>
  <c r="J64" i="1"/>
  <c r="M64" i="1" s="1"/>
  <c r="G64" i="1"/>
  <c r="J65" i="1"/>
  <c r="M65" i="1" s="1"/>
  <c r="G65" i="1"/>
  <c r="J66" i="1"/>
  <c r="M66" i="1" s="1"/>
  <c r="G66" i="1"/>
  <c r="J67" i="1"/>
  <c r="M67" i="1" s="1"/>
  <c r="G67" i="1"/>
  <c r="J68" i="1"/>
  <c r="M68" i="1" s="1"/>
  <c r="G68" i="1"/>
  <c r="J69" i="1"/>
  <c r="M69" i="1" s="1"/>
  <c r="G69" i="1"/>
  <c r="J70" i="1"/>
  <c r="M70" i="1" s="1"/>
  <c r="G70" i="1"/>
  <c r="J71" i="1"/>
  <c r="M71" i="1" s="1"/>
  <c r="G71" i="1"/>
  <c r="J72" i="1"/>
  <c r="M72" i="1" s="1"/>
  <c r="G72" i="1"/>
  <c r="J73" i="1"/>
  <c r="M73" i="1" s="1"/>
  <c r="G73" i="1"/>
  <c r="J74" i="1"/>
  <c r="M74" i="1" s="1"/>
  <c r="G74" i="1"/>
  <c r="J75" i="1"/>
  <c r="M75" i="1" s="1"/>
  <c r="G75" i="1"/>
  <c r="J76" i="1"/>
  <c r="M76" i="1" s="1"/>
  <c r="G76" i="1"/>
  <c r="J77" i="1"/>
  <c r="M77" i="1" s="1"/>
  <c r="G77" i="1"/>
  <c r="J78" i="1"/>
  <c r="M78" i="1" s="1"/>
  <c r="G78" i="1"/>
  <c r="J79" i="1"/>
  <c r="M79" i="1" s="1"/>
  <c r="G79" i="1"/>
  <c r="J80" i="1"/>
  <c r="M80" i="1" s="1"/>
  <c r="G80" i="1"/>
  <c r="J81" i="1"/>
  <c r="M81" i="1" s="1"/>
  <c r="G81" i="1"/>
  <c r="J82" i="1"/>
  <c r="M82" i="1" s="1"/>
  <c r="G82" i="1"/>
  <c r="J83" i="1"/>
  <c r="M83" i="1" s="1"/>
  <c r="G83" i="1"/>
  <c r="J84" i="1"/>
  <c r="M84" i="1" s="1"/>
  <c r="G84" i="1"/>
  <c r="J85" i="1"/>
  <c r="M85" i="1" s="1"/>
  <c r="G85" i="1"/>
  <c r="J86" i="1"/>
  <c r="M86" i="1" s="1"/>
  <c r="G86" i="1"/>
  <c r="J87" i="1"/>
  <c r="M87" i="1" s="1"/>
  <c r="G87" i="1"/>
  <c r="J88" i="1"/>
  <c r="M88" i="1" s="1"/>
  <c r="G88" i="1"/>
  <c r="J89" i="1"/>
  <c r="M89" i="1" s="1"/>
  <c r="G89" i="1"/>
  <c r="J90" i="1"/>
  <c r="M90" i="1" s="1"/>
  <c r="G90" i="1"/>
  <c r="J91" i="1"/>
  <c r="M91" i="1" s="1"/>
  <c r="G91" i="1"/>
  <c r="J92" i="1"/>
  <c r="M92" i="1" s="1"/>
  <c r="G92" i="1"/>
  <c r="J93" i="1"/>
  <c r="M93" i="1" s="1"/>
  <c r="G93" i="1"/>
  <c r="J94" i="1"/>
  <c r="M94" i="1" s="1"/>
  <c r="G94" i="1"/>
  <c r="J95" i="1"/>
  <c r="M95" i="1" s="1"/>
  <c r="G95" i="1"/>
  <c r="J96" i="1"/>
  <c r="M96" i="1" s="1"/>
  <c r="G96" i="1"/>
  <c r="J97" i="1"/>
  <c r="M97" i="1" s="1"/>
  <c r="G97" i="1"/>
  <c r="J98" i="1"/>
  <c r="M98" i="1" s="1"/>
  <c r="G98" i="1"/>
  <c r="J99" i="1"/>
  <c r="M99" i="1" s="1"/>
  <c r="G99" i="1"/>
  <c r="J100" i="1"/>
  <c r="M100" i="1" s="1"/>
  <c r="G100" i="1"/>
  <c r="J101" i="1"/>
  <c r="M101" i="1" s="1"/>
  <c r="G101" i="1"/>
  <c r="J102" i="1"/>
  <c r="M102" i="1" s="1"/>
  <c r="G102" i="1"/>
  <c r="J103" i="1"/>
  <c r="M103" i="1" s="1"/>
  <c r="G103" i="1"/>
  <c r="J104" i="1"/>
  <c r="M104" i="1" s="1"/>
  <c r="G104" i="1"/>
  <c r="J105" i="1"/>
  <c r="M105" i="1" s="1"/>
  <c r="G105" i="1"/>
  <c r="J106" i="1"/>
  <c r="M106" i="1" s="1"/>
  <c r="G106" i="1"/>
  <c r="J107" i="1"/>
  <c r="M107" i="1" s="1"/>
  <c r="G107" i="1"/>
  <c r="J108" i="1"/>
  <c r="M108" i="1" s="1"/>
  <c r="G108" i="1"/>
  <c r="J109" i="1"/>
  <c r="M109" i="1" s="1"/>
  <c r="G109" i="1"/>
  <c r="J110" i="1"/>
  <c r="M110" i="1" s="1"/>
  <c r="G110" i="1"/>
  <c r="J111" i="1"/>
  <c r="M111" i="1" s="1"/>
  <c r="G111" i="1"/>
  <c r="J112" i="1"/>
  <c r="M112" i="1" s="1"/>
  <c r="G112" i="1"/>
  <c r="J113" i="1"/>
  <c r="M113" i="1" s="1"/>
  <c r="G113" i="1"/>
  <c r="J114" i="1"/>
  <c r="M114" i="1" s="1"/>
  <c r="G114" i="1"/>
  <c r="J115" i="1"/>
  <c r="M115" i="1" s="1"/>
  <c r="G115" i="1"/>
  <c r="J116" i="1"/>
  <c r="M116" i="1" s="1"/>
  <c r="G116" i="1"/>
  <c r="J117" i="1"/>
  <c r="M117" i="1" s="1"/>
  <c r="G117" i="1"/>
  <c r="J118" i="1"/>
  <c r="M118" i="1" s="1"/>
  <c r="G118" i="1"/>
  <c r="J119" i="1"/>
  <c r="M119" i="1" s="1"/>
  <c r="G119" i="1"/>
  <c r="J120" i="1"/>
  <c r="M120" i="1" s="1"/>
  <c r="G120" i="1"/>
  <c r="J121" i="1"/>
  <c r="M121" i="1" s="1"/>
  <c r="G121" i="1"/>
  <c r="J122" i="1"/>
  <c r="M122" i="1" s="1"/>
  <c r="G122" i="1"/>
  <c r="J123" i="1"/>
  <c r="M123" i="1" s="1"/>
  <c r="G123" i="1"/>
  <c r="J124" i="1"/>
  <c r="M124" i="1" s="1"/>
  <c r="G124" i="1"/>
  <c r="J125" i="1"/>
  <c r="M125" i="1" s="1"/>
  <c r="G125" i="1"/>
  <c r="J126" i="1"/>
  <c r="M126" i="1" s="1"/>
  <c r="G126" i="1"/>
  <c r="J127" i="1"/>
  <c r="M127" i="1" s="1"/>
  <c r="G127" i="1"/>
  <c r="J128" i="1"/>
  <c r="M128" i="1" s="1"/>
  <c r="G128" i="1"/>
  <c r="J129" i="1"/>
  <c r="M129" i="1" s="1"/>
  <c r="G129" i="1"/>
  <c r="J130" i="1"/>
  <c r="M130" i="1" s="1"/>
  <c r="G130" i="1"/>
  <c r="J131" i="1"/>
  <c r="M131" i="1" s="1"/>
  <c r="G131" i="1"/>
  <c r="J132" i="1"/>
  <c r="M132" i="1" s="1"/>
  <c r="G132" i="1"/>
  <c r="J133" i="1"/>
  <c r="M133" i="1" s="1"/>
  <c r="G133" i="1"/>
  <c r="J134" i="1"/>
  <c r="M134" i="1" s="1"/>
  <c r="G134" i="1"/>
  <c r="J135" i="1"/>
  <c r="M135" i="1" s="1"/>
  <c r="G135" i="1"/>
  <c r="J136" i="1"/>
  <c r="M136" i="1" s="1"/>
  <c r="G136" i="1"/>
  <c r="J137" i="1"/>
  <c r="M137" i="1" s="1"/>
  <c r="G137" i="1"/>
  <c r="J138" i="1"/>
  <c r="M138" i="1" s="1"/>
  <c r="G138" i="1"/>
  <c r="J139" i="1"/>
  <c r="M139" i="1" s="1"/>
  <c r="G139" i="1"/>
  <c r="J140" i="1"/>
  <c r="M140" i="1" s="1"/>
  <c r="G140" i="1"/>
  <c r="J141" i="1"/>
  <c r="M141" i="1" s="1"/>
  <c r="G141" i="1"/>
  <c r="J142" i="1"/>
  <c r="M142" i="1" s="1"/>
  <c r="G142" i="1"/>
  <c r="J143" i="1"/>
  <c r="M143" i="1" s="1"/>
  <c r="G143" i="1"/>
  <c r="J144" i="1"/>
  <c r="M144" i="1" s="1"/>
  <c r="G14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C145" i="1"/>
  <c r="H145" i="1" s="1"/>
  <c r="C146" i="1"/>
  <c r="H146" i="1" s="1"/>
  <c r="C147" i="1"/>
  <c r="H147" i="1" s="1"/>
  <c r="C148" i="1"/>
  <c r="H148" i="1" s="1"/>
  <c r="C149" i="1"/>
  <c r="H149" i="1" s="1"/>
  <c r="C150" i="1"/>
  <c r="H150" i="1" s="1"/>
  <c r="C151" i="1"/>
  <c r="H151" i="1" s="1"/>
  <c r="C152" i="1"/>
  <c r="H152" i="1" s="1"/>
  <c r="C153" i="1"/>
  <c r="H153" i="1" s="1"/>
  <c r="C154" i="1"/>
  <c r="H154" i="1" s="1"/>
  <c r="C155" i="1"/>
  <c r="H155" i="1" s="1"/>
  <c r="C156" i="1"/>
  <c r="H156" i="1" s="1"/>
  <c r="C157" i="1"/>
  <c r="H157" i="1" s="1"/>
  <c r="C158" i="1"/>
  <c r="H158" i="1" s="1"/>
  <c r="C159" i="1"/>
  <c r="H159" i="1" s="1"/>
  <c r="C160" i="1"/>
  <c r="H160" i="1" s="1"/>
  <c r="C161" i="1"/>
  <c r="H161" i="1" s="1"/>
  <c r="C162" i="1"/>
  <c r="H162" i="1" s="1"/>
  <c r="C163" i="1"/>
  <c r="H163" i="1" s="1"/>
  <c r="C164" i="1"/>
  <c r="H164" i="1" s="1"/>
  <c r="C165" i="1"/>
  <c r="H165" i="1" s="1"/>
  <c r="C166" i="1"/>
  <c r="H166" i="1" s="1"/>
  <c r="C167" i="1"/>
  <c r="H167" i="1" s="1"/>
  <c r="C168" i="1"/>
  <c r="H168" i="1" s="1"/>
  <c r="C169" i="1"/>
  <c r="H169" i="1" s="1"/>
  <c r="C170" i="1"/>
  <c r="H170" i="1" s="1"/>
  <c r="C171" i="1"/>
  <c r="H171" i="1" s="1"/>
  <c r="C172" i="1"/>
  <c r="H172" i="1" s="1"/>
  <c r="C173" i="1"/>
  <c r="H173" i="1" s="1"/>
  <c r="C174" i="1"/>
  <c r="H174" i="1" s="1"/>
  <c r="C175" i="1"/>
  <c r="H175" i="1" s="1"/>
  <c r="C176" i="1"/>
  <c r="H176" i="1" s="1"/>
  <c r="C177" i="1"/>
  <c r="H177" i="1" s="1"/>
  <c r="C178" i="1"/>
  <c r="H178" i="1" s="1"/>
  <c r="C179" i="1"/>
  <c r="H179" i="1" s="1"/>
  <c r="C180" i="1"/>
  <c r="H180" i="1" s="1"/>
  <c r="C181" i="1"/>
  <c r="H181" i="1" s="1"/>
  <c r="C182" i="1"/>
  <c r="H182" i="1" s="1"/>
  <c r="C183" i="1"/>
  <c r="H183" i="1" s="1"/>
  <c r="C184" i="1"/>
  <c r="H184" i="1" s="1"/>
  <c r="C185" i="1"/>
  <c r="H185" i="1" s="1"/>
  <c r="C186" i="1"/>
  <c r="H186" i="1" s="1"/>
  <c r="C187" i="1"/>
  <c r="H187" i="1" s="1"/>
  <c r="C188" i="1"/>
  <c r="H188" i="1" s="1"/>
  <c r="C189" i="1"/>
  <c r="H189" i="1" s="1"/>
  <c r="C190" i="1"/>
  <c r="H190" i="1" s="1"/>
  <c r="C191" i="1"/>
  <c r="H191" i="1" s="1"/>
  <c r="C192" i="1"/>
  <c r="H192" i="1" s="1"/>
  <c r="C193" i="1"/>
  <c r="H193" i="1" s="1"/>
  <c r="C194" i="1"/>
  <c r="H194" i="1" s="1"/>
  <c r="C195" i="1"/>
  <c r="H195" i="1" s="1"/>
  <c r="C196" i="1"/>
  <c r="H196" i="1" s="1"/>
  <c r="C197" i="1"/>
  <c r="H197" i="1" s="1"/>
  <c r="C198" i="1"/>
  <c r="H198" i="1" s="1"/>
  <c r="C199" i="1"/>
  <c r="H199" i="1" s="1"/>
  <c r="C200" i="1"/>
  <c r="H200" i="1" s="1"/>
  <c r="C201" i="1"/>
  <c r="H201" i="1" s="1"/>
  <c r="C202" i="1"/>
  <c r="H202" i="1" s="1"/>
  <c r="C203" i="1"/>
  <c r="H203" i="1" s="1"/>
  <c r="C204" i="1"/>
  <c r="H204" i="1" s="1"/>
  <c r="C205" i="1"/>
  <c r="H205" i="1" s="1"/>
  <c r="C206" i="1"/>
  <c r="H206" i="1" s="1"/>
  <c r="C207" i="1"/>
  <c r="H207" i="1" s="1"/>
  <c r="C208" i="1"/>
  <c r="H208" i="1" s="1"/>
  <c r="C209" i="1"/>
  <c r="H209" i="1" s="1"/>
  <c r="C210" i="1"/>
  <c r="H210" i="1" s="1"/>
  <c r="C211" i="1"/>
  <c r="H211" i="1" s="1"/>
  <c r="J145" i="1"/>
  <c r="M145" i="1" s="1"/>
  <c r="G145" i="1"/>
  <c r="J146" i="1"/>
  <c r="M146" i="1" s="1"/>
  <c r="G146" i="1"/>
  <c r="J147" i="1"/>
  <c r="M147" i="1" s="1"/>
  <c r="G147" i="1"/>
  <c r="J148" i="1"/>
  <c r="M148" i="1" s="1"/>
  <c r="G148" i="1"/>
  <c r="J149" i="1"/>
  <c r="M149" i="1" s="1"/>
  <c r="G149" i="1"/>
  <c r="J150" i="1"/>
  <c r="M150" i="1" s="1"/>
  <c r="G150" i="1"/>
  <c r="J151" i="1"/>
  <c r="M151" i="1" s="1"/>
  <c r="G151" i="1"/>
  <c r="J152" i="1"/>
  <c r="M152" i="1" s="1"/>
  <c r="G152" i="1"/>
  <c r="J153" i="1"/>
  <c r="M153" i="1" s="1"/>
  <c r="G153" i="1"/>
  <c r="J154" i="1"/>
  <c r="M154" i="1" s="1"/>
  <c r="G154" i="1"/>
  <c r="J155" i="1"/>
  <c r="M155" i="1" s="1"/>
  <c r="G155" i="1"/>
  <c r="J156" i="1"/>
  <c r="M156" i="1" s="1"/>
  <c r="G156" i="1"/>
  <c r="J157" i="1"/>
  <c r="M157" i="1" s="1"/>
  <c r="G157" i="1"/>
  <c r="J158" i="1"/>
  <c r="M158" i="1" s="1"/>
  <c r="G158" i="1"/>
  <c r="J159" i="1"/>
  <c r="M159" i="1" s="1"/>
  <c r="G159" i="1"/>
  <c r="J160" i="1"/>
  <c r="M160" i="1" s="1"/>
  <c r="G160" i="1"/>
  <c r="J161" i="1"/>
  <c r="M161" i="1" s="1"/>
  <c r="G161" i="1"/>
  <c r="J162" i="1"/>
  <c r="M162" i="1" s="1"/>
  <c r="G162" i="1"/>
  <c r="J163" i="1"/>
  <c r="M163" i="1" s="1"/>
  <c r="G163" i="1"/>
  <c r="J164" i="1"/>
  <c r="M164" i="1" s="1"/>
  <c r="G164" i="1"/>
  <c r="J165" i="1"/>
  <c r="M165" i="1" s="1"/>
  <c r="G165" i="1"/>
  <c r="J166" i="1"/>
  <c r="M166" i="1" s="1"/>
  <c r="G166" i="1"/>
  <c r="J167" i="1"/>
  <c r="M167" i="1" s="1"/>
  <c r="G167" i="1"/>
  <c r="J168" i="1"/>
  <c r="M168" i="1" s="1"/>
  <c r="G168" i="1"/>
  <c r="J169" i="1"/>
  <c r="M169" i="1" s="1"/>
  <c r="G169" i="1"/>
  <c r="J170" i="1"/>
  <c r="M170" i="1" s="1"/>
  <c r="G170" i="1"/>
  <c r="J171" i="1"/>
  <c r="M171" i="1" s="1"/>
  <c r="G171" i="1"/>
  <c r="J172" i="1"/>
  <c r="M172" i="1" s="1"/>
  <c r="G172" i="1"/>
  <c r="J173" i="1"/>
  <c r="M173" i="1" s="1"/>
  <c r="G173" i="1"/>
  <c r="J174" i="1"/>
  <c r="M174" i="1" s="1"/>
  <c r="G174" i="1"/>
  <c r="J175" i="1"/>
  <c r="M175" i="1" s="1"/>
  <c r="G175" i="1"/>
  <c r="J176" i="1"/>
  <c r="M176" i="1" s="1"/>
  <c r="G176" i="1"/>
  <c r="J177" i="1"/>
  <c r="M177" i="1" s="1"/>
  <c r="G177" i="1"/>
  <c r="J178" i="1"/>
  <c r="M178" i="1" s="1"/>
  <c r="G178" i="1"/>
  <c r="J179" i="1"/>
  <c r="M179" i="1" s="1"/>
  <c r="G179" i="1"/>
  <c r="J180" i="1"/>
  <c r="M180" i="1" s="1"/>
  <c r="G180" i="1"/>
  <c r="J181" i="1"/>
  <c r="M181" i="1" s="1"/>
  <c r="G181" i="1"/>
  <c r="J182" i="1"/>
  <c r="M182" i="1" s="1"/>
  <c r="G182" i="1"/>
  <c r="J183" i="1"/>
  <c r="M183" i="1" s="1"/>
  <c r="G183" i="1"/>
  <c r="J184" i="1"/>
  <c r="M184" i="1" s="1"/>
  <c r="G184" i="1"/>
  <c r="J185" i="1"/>
  <c r="M185" i="1" s="1"/>
  <c r="G185" i="1"/>
  <c r="J186" i="1"/>
  <c r="M186" i="1" s="1"/>
  <c r="G186" i="1"/>
  <c r="J187" i="1"/>
  <c r="M187" i="1" s="1"/>
  <c r="G187" i="1"/>
  <c r="N145" i="1" l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N28" i="1"/>
  <c r="N24" i="1"/>
  <c r="N20" i="1"/>
  <c r="N12" i="1"/>
  <c r="N8" i="1"/>
  <c r="O5" i="1"/>
  <c r="O6" i="1"/>
  <c r="O7" i="1"/>
  <c r="O8" i="1"/>
  <c r="O10" i="1"/>
  <c r="O12" i="1"/>
  <c r="O13" i="1"/>
  <c r="O14" i="1"/>
  <c r="O15" i="1"/>
  <c r="O17" i="1"/>
  <c r="O18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8" i="1"/>
  <c r="O49" i="1"/>
  <c r="O50" i="1"/>
  <c r="O52" i="1"/>
  <c r="O53" i="1"/>
  <c r="O55" i="1"/>
  <c r="O56" i="1"/>
  <c r="O57" i="1"/>
  <c r="O58" i="1"/>
  <c r="O60" i="1"/>
  <c r="O61" i="1"/>
  <c r="O62" i="1"/>
  <c r="O64" i="1"/>
  <c r="O65" i="1"/>
  <c r="O66" i="1"/>
  <c r="O67" i="1"/>
  <c r="O68" i="1"/>
  <c r="O72" i="1"/>
  <c r="O73" i="1"/>
  <c r="O74" i="1"/>
  <c r="O75" i="1"/>
  <c r="O76" i="1"/>
  <c r="O77" i="1"/>
  <c r="O78" i="1"/>
  <c r="O80" i="1"/>
  <c r="O81" i="1"/>
  <c r="O82" i="1"/>
  <c r="O84" i="1"/>
  <c r="O85" i="1"/>
  <c r="O87" i="1"/>
  <c r="O88" i="1"/>
  <c r="O90" i="1"/>
  <c r="O92" i="1"/>
  <c r="O93" i="1"/>
  <c r="O94" i="1"/>
  <c r="O96" i="1"/>
  <c r="O97" i="1"/>
  <c r="O98" i="1"/>
  <c r="O100" i="1"/>
  <c r="O101" i="1"/>
  <c r="O102" i="1"/>
  <c r="O104" i="1"/>
  <c r="O105" i="1"/>
  <c r="O106" i="1"/>
  <c r="O107" i="1"/>
  <c r="O108" i="1"/>
  <c r="O109" i="1"/>
  <c r="O110" i="1"/>
  <c r="O112" i="1"/>
  <c r="O113" i="1"/>
  <c r="O114" i="1"/>
  <c r="O116" i="1"/>
  <c r="O117" i="1"/>
  <c r="O118" i="1"/>
  <c r="O119" i="1"/>
  <c r="O120" i="1"/>
  <c r="O121" i="1"/>
  <c r="O122" i="1"/>
  <c r="O124" i="1"/>
  <c r="O125" i="1"/>
  <c r="O126" i="1"/>
  <c r="O128" i="1"/>
  <c r="O129" i="1"/>
  <c r="O130" i="1"/>
  <c r="O131" i="1"/>
  <c r="O132" i="1"/>
  <c r="O134" i="1"/>
  <c r="O136" i="1"/>
  <c r="O137" i="1"/>
  <c r="O138" i="1"/>
  <c r="O139" i="1"/>
  <c r="O140" i="1"/>
  <c r="O141" i="1"/>
  <c r="O142" i="1"/>
  <c r="O144" i="1"/>
  <c r="O4" i="1"/>
  <c r="N6" i="1"/>
  <c r="N7" i="1"/>
  <c r="N9" i="1"/>
  <c r="O9" i="1"/>
  <c r="N10" i="1"/>
  <c r="N11" i="1"/>
  <c r="O11" i="1"/>
  <c r="N13" i="1"/>
  <c r="N14" i="1"/>
  <c r="N15" i="1"/>
  <c r="N16" i="1"/>
  <c r="N17" i="1"/>
  <c r="N18" i="1"/>
  <c r="N19" i="1"/>
  <c r="O19" i="1"/>
  <c r="N21" i="1"/>
  <c r="N22" i="1"/>
  <c r="N23" i="1"/>
  <c r="N25" i="1"/>
  <c r="N26" i="1"/>
  <c r="N27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O47" i="1"/>
  <c r="N48" i="1"/>
  <c r="N49" i="1"/>
  <c r="N50" i="1"/>
  <c r="N51" i="1"/>
  <c r="O51" i="1"/>
  <c r="N52" i="1"/>
  <c r="N53" i="1"/>
  <c r="N54" i="1"/>
  <c r="O54" i="1"/>
  <c r="N55" i="1"/>
  <c r="N56" i="1"/>
  <c r="N57" i="1"/>
  <c r="N58" i="1"/>
  <c r="N59" i="1"/>
  <c r="O59" i="1"/>
  <c r="N60" i="1"/>
  <c r="N61" i="1"/>
  <c r="N62" i="1"/>
  <c r="N63" i="1"/>
  <c r="O63" i="1"/>
  <c r="N64" i="1"/>
  <c r="N65" i="1"/>
  <c r="N66" i="1"/>
  <c r="N67" i="1"/>
  <c r="N68" i="1"/>
  <c r="N69" i="1"/>
  <c r="O69" i="1"/>
  <c r="N70" i="1"/>
  <c r="O70" i="1"/>
  <c r="N71" i="1"/>
  <c r="O71" i="1"/>
  <c r="N72" i="1"/>
  <c r="N73" i="1"/>
  <c r="N74" i="1"/>
  <c r="N75" i="1"/>
  <c r="N76" i="1"/>
  <c r="N77" i="1"/>
  <c r="N78" i="1"/>
  <c r="N79" i="1"/>
  <c r="O79" i="1"/>
  <c r="N80" i="1"/>
  <c r="N81" i="1"/>
  <c r="N82" i="1"/>
  <c r="N83" i="1"/>
  <c r="O83" i="1"/>
  <c r="N84" i="1"/>
  <c r="N85" i="1"/>
  <c r="N86" i="1"/>
  <c r="O86" i="1"/>
  <c r="N87" i="1"/>
  <c r="N88" i="1"/>
  <c r="N89" i="1"/>
  <c r="O89" i="1"/>
  <c r="N90" i="1"/>
  <c r="N91" i="1"/>
  <c r="O91" i="1"/>
  <c r="N92" i="1"/>
  <c r="N93" i="1"/>
  <c r="N94" i="1"/>
  <c r="N95" i="1"/>
  <c r="O95" i="1"/>
  <c r="N96" i="1"/>
  <c r="N97" i="1"/>
  <c r="N98" i="1"/>
  <c r="N99" i="1"/>
  <c r="O99" i="1"/>
  <c r="N100" i="1"/>
  <c r="N101" i="1"/>
  <c r="N102" i="1"/>
  <c r="N103" i="1"/>
  <c r="O103" i="1"/>
  <c r="N104" i="1"/>
  <c r="N105" i="1"/>
  <c r="N106" i="1"/>
  <c r="N107" i="1"/>
  <c r="N108" i="1"/>
  <c r="N109" i="1"/>
  <c r="N110" i="1"/>
  <c r="N111" i="1"/>
  <c r="O111" i="1"/>
  <c r="N112" i="1"/>
  <c r="N113" i="1"/>
  <c r="N114" i="1"/>
  <c r="N115" i="1"/>
  <c r="O115" i="1"/>
  <c r="N116" i="1"/>
  <c r="N117" i="1"/>
  <c r="N118" i="1"/>
  <c r="N119" i="1"/>
  <c r="N120" i="1"/>
  <c r="N121" i="1"/>
  <c r="N122" i="1"/>
  <c r="N123" i="1"/>
  <c r="O123" i="1"/>
  <c r="N124" i="1"/>
  <c r="N125" i="1"/>
  <c r="N126" i="1"/>
  <c r="N127" i="1"/>
  <c r="O127" i="1"/>
  <c r="N128" i="1"/>
  <c r="N129" i="1"/>
  <c r="N130" i="1"/>
  <c r="N131" i="1"/>
  <c r="N132" i="1"/>
  <c r="N133" i="1"/>
  <c r="O133" i="1"/>
  <c r="N134" i="1"/>
  <c r="N135" i="1"/>
  <c r="O135" i="1"/>
  <c r="N136" i="1"/>
  <c r="N137" i="1"/>
  <c r="N138" i="1"/>
  <c r="N139" i="1"/>
  <c r="N140" i="1"/>
  <c r="N141" i="1"/>
  <c r="N142" i="1"/>
  <c r="N143" i="1"/>
  <c r="O143" i="1"/>
  <c r="N144" i="1"/>
  <c r="N5" i="1"/>
  <c r="O16" i="1" l="1"/>
  <c r="S2" i="1"/>
  <c r="N2" i="1" s="1"/>
  <c r="I1" i="3" l="1"/>
  <c r="K288" i="1"/>
  <c r="P288" i="1" s="1"/>
  <c r="K287" i="1"/>
  <c r="P287" i="1" s="1"/>
  <c r="K276" i="1"/>
  <c r="P276" i="1" s="1"/>
  <c r="K265" i="1"/>
  <c r="P265" i="1" s="1"/>
  <c r="K281" i="1"/>
  <c r="P281" i="1" s="1"/>
  <c r="K262" i="1"/>
  <c r="P262" i="1" s="1"/>
  <c r="K220" i="1"/>
  <c r="P220" i="1" s="1"/>
  <c r="K261" i="1"/>
  <c r="P261" i="1" s="1"/>
  <c r="K248" i="1"/>
  <c r="P248" i="1" s="1"/>
  <c r="K238" i="1"/>
  <c r="P238" i="1" s="1"/>
  <c r="K253" i="1"/>
  <c r="P253" i="1" s="1"/>
  <c r="K250" i="1"/>
  <c r="P250" i="1" s="1"/>
  <c r="K294" i="1"/>
  <c r="P294" i="1" s="1"/>
  <c r="K273" i="1"/>
  <c r="P273" i="1" s="1"/>
  <c r="K293" i="1"/>
  <c r="P293" i="1" s="1"/>
  <c r="K286" i="1"/>
  <c r="P286" i="1" s="1"/>
  <c r="K267" i="1"/>
  <c r="P267" i="1" s="1"/>
  <c r="K295" i="1"/>
  <c r="P295" i="1" s="1"/>
  <c r="K284" i="1"/>
  <c r="P284" i="1" s="1"/>
  <c r="K212" i="1"/>
  <c r="P212" i="1" s="1"/>
  <c r="K219" i="1"/>
  <c r="P219" i="1" s="1"/>
  <c r="K226" i="1"/>
  <c r="P226" i="1" s="1"/>
  <c r="K239" i="1"/>
  <c r="P239" i="1" s="1"/>
  <c r="K255" i="1"/>
  <c r="P255" i="1" s="1"/>
  <c r="K280" i="1"/>
  <c r="P280" i="1" s="1"/>
  <c r="K240" i="1"/>
  <c r="P240" i="1" s="1"/>
  <c r="K256" i="1"/>
  <c r="P256" i="1" s="1"/>
  <c r="K243" i="1"/>
  <c r="P243" i="1" s="1"/>
  <c r="K233" i="1"/>
  <c r="P233" i="1" s="1"/>
  <c r="K272" i="1"/>
  <c r="P272" i="1" s="1"/>
  <c r="K257" i="1"/>
  <c r="P257" i="1" s="1"/>
  <c r="K274" i="1"/>
  <c r="P274" i="1" s="1"/>
  <c r="K214" i="1"/>
  <c r="P214" i="1" s="1"/>
  <c r="K260" i="1"/>
  <c r="P260" i="1" s="1"/>
  <c r="K271" i="1"/>
  <c r="P271" i="1" s="1"/>
  <c r="K237" i="1"/>
  <c r="P237" i="1" s="1"/>
  <c r="K258" i="1"/>
  <c r="P258" i="1" s="1"/>
  <c r="K232" i="1"/>
  <c r="P232" i="1" s="1"/>
  <c r="K234" i="1"/>
  <c r="P234" i="1" s="1"/>
  <c r="K230" i="1"/>
  <c r="P230" i="1" s="1"/>
  <c r="K285" i="1"/>
  <c r="P285" i="1" s="1"/>
  <c r="K264" i="1"/>
  <c r="P264" i="1" s="1"/>
  <c r="K224" i="1"/>
  <c r="P224" i="1" s="1"/>
  <c r="K290" i="1"/>
  <c r="P290" i="1" s="1"/>
  <c r="K247" i="1"/>
  <c r="P247" i="1" s="1"/>
  <c r="K283" i="1"/>
  <c r="P283" i="1" s="1"/>
  <c r="K263" i="1"/>
  <c r="P263" i="1" s="1"/>
  <c r="K218" i="1"/>
  <c r="P218" i="1" s="1"/>
  <c r="K241" i="1"/>
  <c r="P241" i="1" s="1"/>
  <c r="K279" i="1"/>
  <c r="P279" i="1" s="1"/>
  <c r="K300" i="1"/>
  <c r="P300" i="1" s="1"/>
  <c r="K222" i="1"/>
  <c r="P222" i="1" s="1"/>
  <c r="K298" i="1"/>
  <c r="P298" i="1" s="1"/>
  <c r="K228" i="1"/>
  <c r="P228" i="1" s="1"/>
  <c r="K249" i="1"/>
  <c r="P249" i="1" s="1"/>
  <c r="K227" i="1"/>
  <c r="P227" i="1" s="1"/>
  <c r="K282" i="1"/>
  <c r="P282" i="1" s="1"/>
  <c r="K216" i="1"/>
  <c r="P216" i="1" s="1"/>
  <c r="K277" i="1"/>
  <c r="P277" i="1" s="1"/>
  <c r="K213" i="1"/>
  <c r="P213" i="1" s="1"/>
  <c r="K269" i="1"/>
  <c r="P269" i="1" s="1"/>
  <c r="K270" i="1"/>
  <c r="P270" i="1" s="1"/>
  <c r="K236" i="1"/>
  <c r="P236" i="1" s="1"/>
  <c r="K229" i="1"/>
  <c r="P229" i="1" s="1"/>
  <c r="K252" i="1"/>
  <c r="P252" i="1" s="1"/>
  <c r="K278" i="1"/>
  <c r="P278" i="1" s="1"/>
  <c r="K231" i="1"/>
  <c r="P231" i="1" s="1"/>
  <c r="K254" i="1"/>
  <c r="P254" i="1" s="1"/>
  <c r="K245" i="1"/>
  <c r="P245" i="1" s="1"/>
  <c r="K296" i="1"/>
  <c r="P296" i="1" s="1"/>
  <c r="K301" i="1"/>
  <c r="P301" i="1" s="1"/>
  <c r="K268" i="1"/>
  <c r="P268" i="1" s="1"/>
  <c r="K289" i="1"/>
  <c r="P289" i="1" s="1"/>
  <c r="K266" i="1"/>
  <c r="P266" i="1" s="1"/>
  <c r="K223" i="1"/>
  <c r="P223" i="1" s="1"/>
  <c r="K244" i="1"/>
  <c r="P244" i="1" s="1"/>
  <c r="K221" i="1"/>
  <c r="P221" i="1" s="1"/>
  <c r="K275" i="1"/>
  <c r="P275" i="1" s="1"/>
  <c r="K297" i="1"/>
  <c r="P297" i="1" s="1"/>
  <c r="K302" i="1"/>
  <c r="P302" i="1" s="1"/>
  <c r="K303" i="1"/>
  <c r="P303" i="1" s="1"/>
  <c r="K242" i="1"/>
  <c r="P242" i="1" s="1"/>
  <c r="K299" i="1"/>
  <c r="P299" i="1" s="1"/>
  <c r="K246" i="1"/>
  <c r="P246" i="1" s="1"/>
  <c r="K292" i="1"/>
  <c r="P292" i="1" s="1"/>
  <c r="K291" i="1"/>
  <c r="P291" i="1" s="1"/>
  <c r="K259" i="1"/>
  <c r="P259" i="1" s="1"/>
  <c r="K215" i="1"/>
  <c r="P215" i="1" s="1"/>
  <c r="K225" i="1"/>
  <c r="P225" i="1" s="1"/>
  <c r="K251" i="1"/>
  <c r="P251" i="1" s="1"/>
  <c r="K217" i="1"/>
  <c r="P217" i="1" s="1"/>
  <c r="K235" i="1"/>
  <c r="P235" i="1" s="1"/>
  <c r="K160" i="1"/>
  <c r="P160" i="1" s="1"/>
  <c r="K198" i="1"/>
  <c r="P198" i="1" s="1"/>
  <c r="K186" i="1"/>
  <c r="P186" i="1" s="1"/>
  <c r="K47" i="1"/>
  <c r="K32" i="1"/>
  <c r="K153" i="1"/>
  <c r="P153" i="1" s="1"/>
  <c r="K169" i="1"/>
  <c r="P169" i="1" s="1"/>
  <c r="K162" i="1"/>
  <c r="P162" i="1" s="1"/>
  <c r="K174" i="1"/>
  <c r="K24" i="1"/>
  <c r="K173" i="1"/>
  <c r="K7" i="1"/>
  <c r="K102" i="1"/>
  <c r="K134" i="1"/>
  <c r="K43" i="1"/>
  <c r="K111" i="1"/>
  <c r="K140" i="1"/>
  <c r="K74" i="1"/>
  <c r="K75" i="1"/>
  <c r="K91" i="1"/>
  <c r="K69" i="1"/>
  <c r="K146" i="1"/>
  <c r="P146" i="1" s="1"/>
  <c r="K133" i="1"/>
  <c r="K185" i="1"/>
  <c r="P185" i="1" s="1"/>
  <c r="K93" i="1"/>
  <c r="K63" i="1"/>
  <c r="K127" i="1"/>
  <c r="K154" i="1"/>
  <c r="P154" i="1" s="1"/>
  <c r="K164" i="1"/>
  <c r="P164" i="1" s="1"/>
  <c r="K11" i="1"/>
  <c r="K159" i="1"/>
  <c r="K188" i="1"/>
  <c r="P188" i="1" s="1"/>
  <c r="K79" i="1"/>
  <c r="K37" i="1"/>
  <c r="K209" i="1"/>
  <c r="P209" i="1" s="1"/>
  <c r="K116" i="1"/>
  <c r="K82" i="1"/>
  <c r="K152" i="1"/>
  <c r="P152" i="1" s="1"/>
  <c r="K97" i="1"/>
  <c r="K143" i="1"/>
  <c r="K126" i="1"/>
  <c r="K100" i="1"/>
  <c r="K125" i="1"/>
  <c r="K144" i="1"/>
  <c r="K207" i="1"/>
  <c r="P207" i="1" s="1"/>
  <c r="K156" i="1"/>
  <c r="P156" i="1" s="1"/>
  <c r="K105" i="1"/>
  <c r="K104" i="1"/>
  <c r="K205" i="1"/>
  <c r="P205" i="1" s="1"/>
  <c r="K80" i="1"/>
  <c r="K195" i="1"/>
  <c r="P195" i="1" s="1"/>
  <c r="K65" i="1"/>
  <c r="K166" i="1"/>
  <c r="P166" i="1" s="1"/>
  <c r="K39" i="1"/>
  <c r="K123" i="1"/>
  <c r="K142" i="1"/>
  <c r="K120" i="1"/>
  <c r="K15" i="1"/>
  <c r="K150" i="1"/>
  <c r="P150" i="1" s="1"/>
  <c r="K21" i="1"/>
  <c r="K138" i="1"/>
  <c r="K62" i="1"/>
  <c r="K187" i="1"/>
  <c r="P187" i="1" s="1"/>
  <c r="K196" i="1"/>
  <c r="P196" i="1" s="1"/>
  <c r="K27" i="1"/>
  <c r="K168" i="1"/>
  <c r="P168" i="1" s="1"/>
  <c r="K96" i="1"/>
  <c r="K22" i="1"/>
  <c r="K114" i="1"/>
  <c r="K163" i="1"/>
  <c r="K83" i="1"/>
  <c r="K95" i="1"/>
  <c r="K76" i="1"/>
  <c r="K60" i="1"/>
  <c r="K18" i="1"/>
  <c r="K46" i="1"/>
  <c r="K8" i="1"/>
  <c r="K190" i="1"/>
  <c r="P190" i="1" s="1"/>
  <c r="K64" i="1"/>
  <c r="K119" i="1"/>
  <c r="K81" i="1"/>
  <c r="K175" i="1"/>
  <c r="P175" i="1" s="1"/>
  <c r="K73" i="1"/>
  <c r="K84" i="1"/>
  <c r="K41" i="1"/>
  <c r="K78" i="1"/>
  <c r="K42" i="1"/>
  <c r="K87" i="1"/>
  <c r="K137" i="1"/>
  <c r="K158" i="1"/>
  <c r="P158" i="1" s="1"/>
  <c r="K177" i="1"/>
  <c r="K155" i="1"/>
  <c r="K17" i="1"/>
  <c r="K130" i="1"/>
  <c r="K86" i="1"/>
  <c r="K178" i="1"/>
  <c r="P178" i="1" s="1"/>
  <c r="K54" i="1"/>
  <c r="K136" i="1"/>
  <c r="K23" i="1"/>
  <c r="K181" i="1"/>
  <c r="P181" i="1" s="1"/>
  <c r="K110" i="1"/>
  <c r="K135" i="1"/>
  <c r="K149" i="1"/>
  <c r="P149" i="1" s="1"/>
  <c r="K171" i="1"/>
  <c r="P171" i="1" s="1"/>
  <c r="K66" i="1"/>
  <c r="K161" i="1"/>
  <c r="P161" i="1" s="1"/>
  <c r="K121" i="1"/>
  <c r="K124" i="1"/>
  <c r="K85" i="1"/>
  <c r="K101" i="1"/>
  <c r="K16" i="1"/>
  <c r="K30" i="1"/>
  <c r="K211" i="1"/>
  <c r="P211" i="1" s="1"/>
  <c r="K180" i="1"/>
  <c r="P180" i="1" s="1"/>
  <c r="K109" i="1"/>
  <c r="K61" i="1"/>
  <c r="K197" i="1"/>
  <c r="P197" i="1" s="1"/>
  <c r="K206" i="1"/>
  <c r="P206" i="1" s="1"/>
  <c r="K132" i="1"/>
  <c r="K33" i="1"/>
  <c r="K58" i="1"/>
  <c r="K77" i="1"/>
  <c r="K67" i="1"/>
  <c r="K148" i="1"/>
  <c r="P148" i="1" s="1"/>
  <c r="K167" i="1"/>
  <c r="P167" i="1" s="1"/>
  <c r="K88" i="1"/>
  <c r="K191" i="1"/>
  <c r="P191" i="1" s="1"/>
  <c r="K176" i="1"/>
  <c r="K26" i="1"/>
  <c r="K59" i="1"/>
  <c r="K12" i="1"/>
  <c r="K203" i="1"/>
  <c r="P203" i="1" s="1"/>
  <c r="K40" i="1"/>
  <c r="K108" i="1"/>
  <c r="K89" i="1"/>
  <c r="K29" i="1"/>
  <c r="K210" i="1"/>
  <c r="P210" i="1" s="1"/>
  <c r="K192" i="1"/>
  <c r="P192" i="1" s="1"/>
  <c r="K141" i="1"/>
  <c r="K157" i="1"/>
  <c r="P157" i="1" s="1"/>
  <c r="K38" i="1"/>
  <c r="K204" i="1"/>
  <c r="P204" i="1" s="1"/>
  <c r="K50" i="1"/>
  <c r="K170" i="1"/>
  <c r="P170" i="1" s="1"/>
  <c r="K36" i="1"/>
  <c r="K179" i="1"/>
  <c r="P179" i="1" s="1"/>
  <c r="K122" i="1"/>
  <c r="K14" i="1"/>
  <c r="K45" i="1"/>
  <c r="K128" i="1"/>
  <c r="K25" i="1"/>
  <c r="K98" i="1"/>
  <c r="K5" i="1"/>
  <c r="K145" i="1"/>
  <c r="K112" i="1"/>
  <c r="K131" i="1"/>
  <c r="K147" i="1"/>
  <c r="K28" i="1"/>
  <c r="K194" i="1"/>
  <c r="P194" i="1" s="1"/>
  <c r="K20" i="1"/>
  <c r="K56" i="1"/>
  <c r="K10" i="1"/>
  <c r="K103" i="1"/>
  <c r="K115" i="1"/>
  <c r="K52" i="1"/>
  <c r="K151" i="1"/>
  <c r="P151" i="1" s="1"/>
  <c r="K189" i="1"/>
  <c r="P189" i="1" s="1"/>
  <c r="K129" i="1"/>
  <c r="K99" i="1"/>
  <c r="K44" i="1"/>
  <c r="K55" i="1"/>
  <c r="K19" i="1"/>
  <c r="K35" i="1"/>
  <c r="K13" i="1"/>
  <c r="K92" i="1"/>
  <c r="K202" i="1"/>
  <c r="P202" i="1" s="1"/>
  <c r="K182" i="1"/>
  <c r="P182" i="1" s="1"/>
  <c r="K139" i="1"/>
  <c r="K34" i="1"/>
  <c r="K6" i="1"/>
  <c r="K71" i="1"/>
  <c r="K193" i="1"/>
  <c r="P193" i="1" s="1"/>
  <c r="K49" i="1"/>
  <c r="K51" i="1"/>
  <c r="K201" i="1"/>
  <c r="P201" i="1" s="1"/>
  <c r="K165" i="1"/>
  <c r="P165" i="1" s="1"/>
  <c r="K31" i="1"/>
  <c r="K106" i="1"/>
  <c r="K199" i="1"/>
  <c r="P199" i="1" s="1"/>
  <c r="K208" i="1"/>
  <c r="P208" i="1" s="1"/>
  <c r="K70" i="1"/>
  <c r="K57" i="1"/>
  <c r="K72" i="1"/>
  <c r="K183" i="1"/>
  <c r="P183" i="1" s="1"/>
  <c r="K200" i="1"/>
  <c r="P200" i="1" s="1"/>
  <c r="K172" i="1"/>
  <c r="P172" i="1" s="1"/>
  <c r="K48" i="1"/>
  <c r="K94" i="1"/>
  <c r="K107" i="1"/>
  <c r="K9" i="1"/>
  <c r="K90" i="1"/>
  <c r="K118" i="1"/>
  <c r="K68" i="1"/>
  <c r="K184" i="1"/>
  <c r="P184" i="1" s="1"/>
  <c r="K117" i="1"/>
  <c r="K113" i="1"/>
  <c r="K53" i="1"/>
  <c r="P174" i="1"/>
  <c r="P176" i="1"/>
  <c r="P173" i="1"/>
  <c r="P159" i="1"/>
  <c r="P145" i="1"/>
  <c r="P177" i="1"/>
  <c r="P147" i="1"/>
  <c r="P155" i="1"/>
  <c r="P163" i="1"/>
  <c r="L177" i="3" l="1"/>
  <c r="L119" i="3"/>
  <c r="L182" i="3"/>
  <c r="L102" i="3"/>
  <c r="L22" i="3"/>
  <c r="L73" i="3"/>
  <c r="L172" i="3"/>
  <c r="L55" i="3"/>
  <c r="L136" i="3"/>
  <c r="L56" i="3"/>
  <c r="L209" i="3"/>
  <c r="L196" i="3"/>
  <c r="L201" i="3"/>
  <c r="L197" i="3"/>
  <c r="L44" i="3"/>
  <c r="L161" i="3"/>
  <c r="L212" i="3"/>
  <c r="L112" i="3"/>
  <c r="L175" i="3"/>
  <c r="L108" i="3"/>
  <c r="L133" i="3"/>
  <c r="L24" i="3"/>
  <c r="L121" i="3"/>
  <c r="L20" i="3"/>
  <c r="L142" i="3"/>
  <c r="L207" i="3"/>
  <c r="L58" i="3"/>
  <c r="L12" i="3"/>
  <c r="L141" i="3"/>
  <c r="L79" i="3"/>
  <c r="L206" i="3"/>
  <c r="L139" i="3"/>
  <c r="L164" i="3"/>
  <c r="L198" i="3"/>
  <c r="L131" i="3"/>
  <c r="L184" i="3"/>
  <c r="L186" i="3"/>
  <c r="L200" i="3"/>
  <c r="L192" i="3"/>
  <c r="L185" i="3"/>
  <c r="L178" i="3"/>
  <c r="L98" i="3"/>
  <c r="L18" i="3"/>
  <c r="L69" i="3"/>
  <c r="L168" i="3"/>
  <c r="L51" i="3"/>
  <c r="L132" i="3"/>
  <c r="L52" i="3"/>
  <c r="L199" i="3"/>
  <c r="L220" i="3"/>
  <c r="L166" i="3"/>
  <c r="L120" i="3"/>
  <c r="L35" i="3"/>
  <c r="L32" i="3"/>
  <c r="L137" i="3"/>
  <c r="L219" i="3"/>
  <c r="L70" i="3"/>
  <c r="L104" i="3"/>
  <c r="L163" i="3"/>
  <c r="L113" i="3"/>
  <c r="L15" i="3"/>
  <c r="L129" i="3"/>
  <c r="L91" i="3"/>
  <c r="L203" i="3"/>
  <c r="L101" i="3"/>
  <c r="L4" i="3"/>
  <c r="L143" i="3"/>
  <c r="L13" i="3"/>
  <c r="L167" i="3"/>
  <c r="L208" i="3"/>
  <c r="L5" i="3"/>
  <c r="L190" i="3"/>
  <c r="L202" i="3"/>
  <c r="L59" i="3"/>
  <c r="L188" i="3"/>
  <c r="L189" i="3"/>
  <c r="L174" i="3"/>
  <c r="L94" i="3"/>
  <c r="L14" i="3"/>
  <c r="L65" i="3"/>
  <c r="L160" i="3"/>
  <c r="L47" i="3"/>
  <c r="L128" i="3"/>
  <c r="L48" i="3"/>
  <c r="L195" i="3"/>
  <c r="L216" i="3"/>
  <c r="L111" i="3"/>
  <c r="L154" i="3"/>
  <c r="L107" i="3"/>
  <c r="L150" i="3"/>
  <c r="L103" i="3"/>
  <c r="L215" i="3"/>
  <c r="L66" i="3"/>
  <c r="L100" i="3"/>
  <c r="L159" i="3"/>
  <c r="L29" i="3"/>
  <c r="L130" i="3"/>
  <c r="L17" i="3"/>
  <c r="L122" i="3"/>
  <c r="L76" i="3"/>
  <c r="L118" i="3"/>
  <c r="L85" i="3"/>
  <c r="L204" i="3"/>
  <c r="L30" i="3"/>
  <c r="L64" i="3"/>
  <c r="L26" i="3"/>
  <c r="L213" i="3"/>
  <c r="L157" i="3"/>
  <c r="L169" i="3"/>
  <c r="L170" i="3"/>
  <c r="L90" i="3"/>
  <c r="L10" i="3"/>
  <c r="L61" i="3"/>
  <c r="L156" i="3"/>
  <c r="L43" i="3"/>
  <c r="L124" i="3"/>
  <c r="L86" i="3"/>
  <c r="L6" i="3"/>
  <c r="L57" i="3"/>
  <c r="L152" i="3"/>
  <c r="L39" i="3"/>
  <c r="L40" i="3"/>
  <c r="L115" i="3"/>
  <c r="L36" i="3"/>
  <c r="L31" i="3"/>
  <c r="L74" i="3"/>
  <c r="L45" i="3"/>
  <c r="L27" i="3"/>
  <c r="L28" i="3"/>
  <c r="L171" i="3"/>
  <c r="L23" i="3"/>
  <c r="L146" i="3"/>
  <c r="L211" i="3"/>
  <c r="L62" i="3"/>
  <c r="L109" i="3"/>
  <c r="L92" i="3"/>
  <c r="L50" i="3"/>
  <c r="L210" i="3"/>
  <c r="L97" i="3"/>
  <c r="L80" i="3"/>
  <c r="L183" i="3"/>
  <c r="L9" i="3"/>
  <c r="L72" i="3"/>
  <c r="L194" i="3"/>
  <c r="L221" i="3"/>
  <c r="L144" i="3"/>
  <c r="L123" i="3"/>
  <c r="L187" i="3"/>
  <c r="L153" i="3"/>
  <c r="L162" i="3"/>
  <c r="L82" i="3"/>
  <c r="L181" i="3"/>
  <c r="L53" i="3"/>
  <c r="L116" i="3"/>
  <c r="L149" i="3"/>
  <c r="L41" i="3"/>
  <c r="L117" i="3"/>
  <c r="L19" i="3"/>
  <c r="L193" i="3"/>
  <c r="L11" i="3"/>
  <c r="L21" i="3"/>
  <c r="L191" i="3"/>
  <c r="L180" i="3"/>
  <c r="L38" i="3"/>
  <c r="L67" i="3"/>
  <c r="L110" i="3"/>
  <c r="L140" i="3"/>
  <c r="L60" i="3"/>
  <c r="L179" i="3"/>
  <c r="L145" i="3"/>
  <c r="L158" i="3"/>
  <c r="L78" i="3"/>
  <c r="L165" i="3"/>
  <c r="L49" i="3"/>
  <c r="L223" i="3"/>
  <c r="L125" i="3"/>
  <c r="L99" i="3"/>
  <c r="L33" i="3"/>
  <c r="L96" i="3"/>
  <c r="L138" i="3"/>
  <c r="L84" i="3"/>
  <c r="L46" i="3"/>
  <c r="L42" i="3"/>
  <c r="L205" i="3"/>
  <c r="L71" i="3"/>
  <c r="L34" i="3"/>
  <c r="L68" i="3"/>
  <c r="L81" i="3"/>
  <c r="L176" i="3"/>
  <c r="L37" i="3"/>
  <c r="L95" i="3"/>
  <c r="L16" i="3"/>
  <c r="L155" i="3"/>
  <c r="L83" i="3"/>
  <c r="L126" i="3"/>
  <c r="L218" i="3"/>
  <c r="L75" i="3"/>
  <c r="L222" i="3"/>
  <c r="L135" i="3"/>
  <c r="L148" i="3"/>
  <c r="L127" i="3"/>
  <c r="L217" i="3"/>
  <c r="L77" i="3"/>
  <c r="L151" i="3"/>
  <c r="L173" i="3"/>
  <c r="L134" i="3"/>
  <c r="L54" i="3"/>
  <c r="L105" i="3"/>
  <c r="L25" i="3"/>
  <c r="L87" i="3"/>
  <c r="L7" i="3"/>
  <c r="L88" i="3"/>
  <c r="L8" i="3"/>
  <c r="L214" i="3"/>
  <c r="L147" i="3"/>
  <c r="L3" i="3"/>
  <c r="L2" i="3"/>
  <c r="L93" i="3"/>
  <c r="L89" i="3"/>
  <c r="L114" i="3"/>
  <c r="L63" i="3"/>
  <c r="L106" i="3"/>
  <c r="J4" i="1"/>
  <c r="M4" i="1" s="1"/>
  <c r="G4" i="1"/>
  <c r="K4" i="1" s="1"/>
  <c r="P4" i="1" l="1"/>
  <c r="P144" i="1"/>
  <c r="P136" i="1"/>
  <c r="P132" i="1"/>
  <c r="P129" i="1"/>
  <c r="P143" i="1" l="1"/>
  <c r="P122" i="1"/>
  <c r="P58" i="1"/>
  <c r="P49" i="1"/>
  <c r="P65" i="1"/>
  <c r="P81" i="1"/>
  <c r="P97" i="1"/>
  <c r="P113" i="1"/>
  <c r="P11" i="1"/>
  <c r="P27" i="1"/>
  <c r="P75" i="1"/>
  <c r="P91" i="1"/>
  <c r="P127" i="1"/>
  <c r="P90" i="1"/>
  <c r="P74" i="1"/>
  <c r="P5" i="1"/>
  <c r="P21" i="1"/>
  <c r="P37" i="1"/>
  <c r="P53" i="1"/>
  <c r="P69" i="1"/>
  <c r="P85" i="1"/>
  <c r="P101" i="1"/>
  <c r="P117" i="1"/>
  <c r="P15" i="1"/>
  <c r="P47" i="1"/>
  <c r="P79" i="1"/>
  <c r="P107" i="1"/>
  <c r="P119" i="1"/>
  <c r="P34" i="1"/>
  <c r="P98" i="1"/>
  <c r="P114" i="1"/>
  <c r="P17" i="1"/>
  <c r="P137" i="1"/>
  <c r="P39" i="1"/>
  <c r="P46" i="1"/>
  <c r="P115" i="1"/>
  <c r="P83" i="1"/>
  <c r="P51" i="1"/>
  <c r="P19" i="1"/>
  <c r="P9" i="1"/>
  <c r="P25" i="1"/>
  <c r="P41" i="1"/>
  <c r="P57" i="1"/>
  <c r="P73" i="1"/>
  <c r="P89" i="1"/>
  <c r="P105" i="1"/>
  <c r="P121" i="1"/>
  <c r="P141" i="1"/>
  <c r="P31" i="1"/>
  <c r="P43" i="1"/>
  <c r="P59" i="1"/>
  <c r="P71" i="1"/>
  <c r="P87" i="1"/>
  <c r="P95" i="1"/>
  <c r="P135" i="1"/>
  <c r="P138" i="1"/>
  <c r="P33" i="1"/>
  <c r="P63" i="1"/>
  <c r="P99" i="1"/>
  <c r="P67" i="1"/>
  <c r="P35" i="1"/>
  <c r="P140" i="1"/>
  <c r="P128" i="1"/>
  <c r="P13" i="1"/>
  <c r="P29" i="1"/>
  <c r="P45" i="1"/>
  <c r="P61" i="1"/>
  <c r="P77" i="1"/>
  <c r="P93" i="1"/>
  <c r="P109" i="1"/>
  <c r="P125" i="1"/>
  <c r="P7" i="1"/>
  <c r="P23" i="1"/>
  <c r="P55" i="1"/>
  <c r="P103" i="1"/>
  <c r="P111" i="1"/>
  <c r="P123" i="1"/>
  <c r="P139" i="1"/>
  <c r="P18" i="1"/>
  <c r="P62" i="1"/>
  <c r="P82" i="1"/>
  <c r="P106" i="1"/>
  <c r="P78" i="1"/>
  <c r="P94" i="1"/>
  <c r="P110" i="1"/>
  <c r="P126" i="1"/>
  <c r="P134" i="1"/>
  <c r="P133" i="1"/>
  <c r="P26" i="1"/>
  <c r="P42" i="1"/>
  <c r="P142" i="1"/>
  <c r="P66" i="1"/>
  <c r="P14" i="1"/>
  <c r="P30" i="1"/>
  <c r="P50" i="1"/>
  <c r="P10" i="1"/>
  <c r="H4" i="1"/>
  <c r="P131" i="1"/>
  <c r="P102" i="1"/>
  <c r="P86" i="1"/>
  <c r="P70" i="1"/>
  <c r="P54" i="1"/>
  <c r="P38" i="1"/>
  <c r="P22" i="1"/>
  <c r="P6" i="1"/>
  <c r="P130" i="1"/>
  <c r="P118" i="1"/>
  <c r="P124" i="1"/>
  <c r="P120" i="1"/>
  <c r="P116" i="1"/>
  <c r="P112" i="1"/>
  <c r="P108" i="1"/>
  <c r="P104" i="1"/>
  <c r="P100" i="1"/>
  <c r="P96" i="1"/>
  <c r="P92" i="1"/>
  <c r="P88" i="1"/>
  <c r="P84" i="1"/>
  <c r="P80" i="1"/>
  <c r="P76" i="1"/>
  <c r="P72" i="1"/>
  <c r="P68" i="1"/>
  <c r="P64" i="1"/>
  <c r="P60" i="1"/>
  <c r="P56" i="1"/>
  <c r="P52" i="1"/>
  <c r="P48" i="1"/>
  <c r="P44" i="1"/>
  <c r="P40" i="1"/>
  <c r="P36" i="1"/>
  <c r="P32" i="1"/>
  <c r="P28" i="1"/>
  <c r="P24" i="1"/>
  <c r="P20" i="1"/>
  <c r="P16" i="1"/>
  <c r="P12" i="1"/>
  <c r="P8" i="1"/>
</calcChain>
</file>

<file path=xl/sharedStrings.xml><?xml version="1.0" encoding="utf-8"?>
<sst xmlns="http://schemas.openxmlformats.org/spreadsheetml/2006/main" count="40" uniqueCount="36">
  <si>
    <t>Overpotential Calculation</t>
    <phoneticPr fontId="1" type="noConversion"/>
  </si>
  <si>
    <t>I</t>
    <phoneticPr fontId="1" type="noConversion"/>
  </si>
  <si>
    <t>V</t>
    <phoneticPr fontId="1" type="noConversion"/>
  </si>
  <si>
    <t>P</t>
    <phoneticPr fontId="1" type="noConversion"/>
  </si>
  <si>
    <t>IR</t>
    <phoneticPr fontId="1" type="noConversion"/>
  </si>
  <si>
    <t>Raw</t>
    <phoneticPr fontId="1" type="noConversion"/>
  </si>
  <si>
    <t>Total Opot</t>
  </si>
  <si>
    <t>Total Opot</t>
    <phoneticPr fontId="1" type="noConversion"/>
  </si>
  <si>
    <t>Erev</t>
    <phoneticPr fontId="1" type="noConversion"/>
  </si>
  <si>
    <t>T</t>
    <phoneticPr fontId="1" type="noConversion"/>
  </si>
  <si>
    <t>Log()</t>
    <phoneticPr fontId="1" type="noConversion"/>
  </si>
  <si>
    <t>P_H2</t>
    <phoneticPr fontId="1" type="noConversion"/>
  </si>
  <si>
    <t>P_O2</t>
    <phoneticPr fontId="1" type="noConversion"/>
  </si>
  <si>
    <t>Ln(i)</t>
    <phoneticPr fontId="1" type="noConversion"/>
  </si>
  <si>
    <t>mA/cm2</t>
    <phoneticPr fontId="1" type="noConversion"/>
  </si>
  <si>
    <t>mW/cm2</t>
    <phoneticPr fontId="1" type="noConversion"/>
  </si>
  <si>
    <t>Intercept</t>
    <phoneticPr fontId="1" type="noConversion"/>
  </si>
  <si>
    <t>Slope</t>
    <phoneticPr fontId="1" type="noConversion"/>
  </si>
  <si>
    <t>Kin Opot</t>
    <phoneticPr fontId="1" type="noConversion"/>
  </si>
  <si>
    <t>Ohmic</t>
    <phoneticPr fontId="1" type="noConversion"/>
  </si>
  <si>
    <t>Mass</t>
    <phoneticPr fontId="1" type="noConversion"/>
  </si>
  <si>
    <t>proton</t>
    <phoneticPr fontId="1" type="noConversion"/>
  </si>
  <si>
    <t>I</t>
    <phoneticPr fontId="1" type="noConversion"/>
  </si>
  <si>
    <t>V</t>
    <phoneticPr fontId="1" type="noConversion"/>
  </si>
  <si>
    <t>AUX</t>
    <phoneticPr fontId="1" type="noConversion"/>
  </si>
  <si>
    <t>x</t>
    <phoneticPr fontId="1" type="noConversion"/>
  </si>
  <si>
    <t>y</t>
    <phoneticPr fontId="1" type="noConversion"/>
  </si>
  <si>
    <t>EIS</t>
    <phoneticPr fontId="1" type="noConversion"/>
  </si>
  <si>
    <t>X</t>
    <phoneticPr fontId="1" type="noConversion"/>
  </si>
  <si>
    <t>Y</t>
    <phoneticPr fontId="1" type="noConversion"/>
  </si>
  <si>
    <t>intercept</t>
    <phoneticPr fontId="1" type="noConversion"/>
  </si>
  <si>
    <t>slope</t>
    <phoneticPr fontId="1" type="noConversion"/>
  </si>
  <si>
    <t>y=0</t>
    <phoneticPr fontId="1" type="noConversion"/>
  </si>
  <si>
    <t>x=</t>
    <phoneticPr fontId="1" type="noConversion"/>
  </si>
  <si>
    <t>R=</t>
    <phoneticPr fontId="1" type="noConversion"/>
  </si>
  <si>
    <t>y intercept EIS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</si>
</sst>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DCD90-4538-46D2-963B-E53832BED7ED}">
  <dimension ref="A1:AC303"/>
  <sheetViews>
    <sheetView tabSelected="1" topLeftCell="E267" zoomScale="85" zoomScaleNormal="85" workbookViewId="0">
      <selection activeCell="S279" sqref="S279"/>
    </sheetView>
  </sheetViews>
  <sheetFormatPr defaultRowHeight="16.5" x14ac:dyDescent="0.3"/>
  <cols>
    <col min="10" max="10" width="12.25" customWidth="1"/>
    <col min="11" max="11" width="13.625" bestFit="1" customWidth="1"/>
    <col min="28" max="28" width="14" bestFit="1" customWidth="1"/>
  </cols>
  <sheetData>
    <row r="1" spans="1:29" x14ac:dyDescent="0.3">
      <c r="A1" s="2" t="s">
        <v>0</v>
      </c>
      <c r="R1" s="3" t="s">
        <v>9</v>
      </c>
      <c r="S1" s="3" t="s">
        <v>10</v>
      </c>
      <c r="T1" s="3" t="s">
        <v>11</v>
      </c>
      <c r="U1" s="3" t="s">
        <v>12</v>
      </c>
    </row>
    <row r="2" spans="1:29" x14ac:dyDescent="0.3">
      <c r="A2" t="s">
        <v>5</v>
      </c>
      <c r="F2" t="s">
        <v>14</v>
      </c>
      <c r="H2" t="s">
        <v>15</v>
      </c>
      <c r="J2" s="2" t="s">
        <v>7</v>
      </c>
      <c r="M2" t="s">
        <v>8</v>
      </c>
      <c r="N2" s="2">
        <f>1.23-0.0009*(R2-298)+(2.303*8.314*R2/(4*96485))*LOG(S2)</f>
        <v>1.2217251517752175</v>
      </c>
      <c r="R2" s="4">
        <v>353</v>
      </c>
      <c r="S2" s="4">
        <f>(((T2/101.3)^2)*((U2/101.3)))^2</f>
        <v>225.93493049352588</v>
      </c>
      <c r="T2" s="4">
        <v>250</v>
      </c>
      <c r="U2" s="4">
        <v>250</v>
      </c>
      <c r="Y2" t="s">
        <v>27</v>
      </c>
    </row>
    <row r="3" spans="1:29" x14ac:dyDescent="0.3">
      <c r="A3" t="s">
        <v>1</v>
      </c>
      <c r="B3" t="s">
        <v>2</v>
      </c>
      <c r="C3" t="s">
        <v>3</v>
      </c>
      <c r="D3" t="s">
        <v>4</v>
      </c>
      <c r="F3" t="s">
        <v>1</v>
      </c>
      <c r="G3" t="s">
        <v>2</v>
      </c>
      <c r="H3" t="s">
        <v>3</v>
      </c>
      <c r="J3" t="s">
        <v>13</v>
      </c>
      <c r="K3" t="s">
        <v>6</v>
      </c>
      <c r="M3" t="s">
        <v>18</v>
      </c>
      <c r="N3" t="s">
        <v>19</v>
      </c>
      <c r="O3" t="s">
        <v>21</v>
      </c>
      <c r="P3" t="s">
        <v>20</v>
      </c>
      <c r="V3" t="s">
        <v>25</v>
      </c>
      <c r="W3" t="s">
        <v>26</v>
      </c>
      <c r="Y3" t="s">
        <v>28</v>
      </c>
      <c r="Z3" t="s">
        <v>29</v>
      </c>
      <c r="AB3">
        <v>-0.33889000000000002</v>
      </c>
      <c r="AC3" t="s">
        <v>30</v>
      </c>
    </row>
    <row r="4" spans="1:29" x14ac:dyDescent="0.3">
      <c r="A4">
        <v>1.9470899999999999E-2</v>
      </c>
      <c r="B4">
        <v>0.92</v>
      </c>
      <c r="C4">
        <f>A4*B4</f>
        <v>1.7913228E-2</v>
      </c>
      <c r="D4">
        <v>1.6E-2</v>
      </c>
      <c r="E4">
        <v>3.8158201924077539E-3</v>
      </c>
      <c r="F4">
        <f>A4*200</f>
        <v>3.89418</v>
      </c>
      <c r="G4">
        <f>-B4</f>
        <v>-0.92</v>
      </c>
      <c r="H4">
        <f t="shared" ref="H4" si="0">-C4*200</f>
        <v>-3.5826455999999998</v>
      </c>
      <c r="I4">
        <v>1</v>
      </c>
      <c r="J4">
        <f>LN(F4/1000)</f>
        <v>-5.5482721481389907</v>
      </c>
      <c r="K4">
        <f>((-G4)-$N$2)</f>
        <v>-0.30172515177521742</v>
      </c>
      <c r="L4">
        <v>1</v>
      </c>
      <c r="M4">
        <f>-1*($S$4+($S$5*J4))</f>
        <v>0.25012155460783964</v>
      </c>
      <c r="N4">
        <f>D4*A4</f>
        <v>3.115344E-4</v>
      </c>
      <c r="O4">
        <f>E4*A4</f>
        <v>7.429745338435214E-5</v>
      </c>
      <c r="P4">
        <f>-K4-M4-N4-O4</f>
        <v>5.1217765313993427E-2</v>
      </c>
      <c r="R4" s="2" t="s">
        <v>16</v>
      </c>
      <c r="S4">
        <v>-0.51200000000000001</v>
      </c>
      <c r="V4">
        <v>-6</v>
      </c>
      <c r="W4">
        <f>V4*$S$5+$S$4</f>
        <v>-0.2288</v>
      </c>
      <c r="Y4">
        <v>0</v>
      </c>
      <c r="Z4">
        <f>$AB$4*Y4+$AB$3</f>
        <v>-0.33889000000000002</v>
      </c>
      <c r="AB4">
        <v>8.4570399999999992</v>
      </c>
      <c r="AC4" t="s">
        <v>31</v>
      </c>
    </row>
    <row r="5" spans="1:29" x14ac:dyDescent="0.3">
      <c r="A5">
        <v>6.5468600000000002E-2</v>
      </c>
      <c r="B5">
        <v>0.90900000000000003</v>
      </c>
      <c r="C5">
        <f t="shared" ref="C5:C68" si="1">A5*B5</f>
        <v>5.9510957400000002E-2</v>
      </c>
      <c r="D5">
        <v>1.6E-2</v>
      </c>
      <c r="E5">
        <v>3.8158201924077539E-3</v>
      </c>
      <c r="F5">
        <f t="shared" ref="F5:F68" si="2">A5*200</f>
        <v>13.093720000000001</v>
      </c>
      <c r="G5">
        <f t="shared" ref="G5:G68" si="3">-B5</f>
        <v>-0.90900000000000003</v>
      </c>
      <c r="H5">
        <f t="shared" ref="H5:H68" si="4">-C5*200</f>
        <v>-11.902191480000001</v>
      </c>
      <c r="I5">
        <v>1</v>
      </c>
      <c r="J5">
        <f t="shared" ref="J5:J68" si="5">LN(F5/1000)</f>
        <v>-4.3356225530318016</v>
      </c>
      <c r="K5">
        <f t="shared" ref="K5:K68" si="6">((-G5)-$N$2)</f>
        <v>-0.31272515177521742</v>
      </c>
      <c r="L5">
        <v>1</v>
      </c>
      <c r="M5">
        <f t="shared" ref="M5:M68" si="7">-1*($S$4+($S$5*J5))</f>
        <v>0.30735861549689902</v>
      </c>
      <c r="N5">
        <f t="shared" ref="N5:N6" si="8">D5*A5</f>
        <v>1.0474976000000001E-3</v>
      </c>
      <c r="O5">
        <f>E5*A5</f>
        <v>2.4981640584866629E-4</v>
      </c>
      <c r="P5">
        <f>-K5-M5-N5-O5</f>
        <v>4.0692222724697351E-3</v>
      </c>
      <c r="R5" s="2" t="s">
        <v>17</v>
      </c>
      <c r="S5">
        <v>-4.7199999999999999E-2</v>
      </c>
      <c r="V5">
        <v>-5.9</v>
      </c>
      <c r="W5">
        <f t="shared" ref="W5:W68" si="9">V5*$S$5+$S$4</f>
        <v>-0.23352000000000001</v>
      </c>
      <c r="Y5">
        <v>0.01</v>
      </c>
      <c r="Z5">
        <f t="shared" ref="Z5:Z31" si="10">$AB$4*Y5+$AB$3</f>
        <v>-0.25431960000000003</v>
      </c>
    </row>
    <row r="6" spans="1:29" x14ac:dyDescent="0.3">
      <c r="A6">
        <v>0.1107518</v>
      </c>
      <c r="B6">
        <v>0.86199999999999999</v>
      </c>
      <c r="C6">
        <f t="shared" si="1"/>
        <v>9.5468051599999992E-2</v>
      </c>
      <c r="D6">
        <v>1.6E-2</v>
      </c>
      <c r="E6">
        <v>3.8158201924077539E-3</v>
      </c>
      <c r="F6">
        <f t="shared" si="2"/>
        <v>22.150359999999999</v>
      </c>
      <c r="G6">
        <f t="shared" si="3"/>
        <v>-0.86199999999999999</v>
      </c>
      <c r="H6">
        <f t="shared" si="4"/>
        <v>-19.09361032</v>
      </c>
      <c r="I6">
        <v>1</v>
      </c>
      <c r="J6">
        <f t="shared" si="5"/>
        <v>-3.8099015298013974</v>
      </c>
      <c r="K6">
        <f t="shared" si="6"/>
        <v>-0.35972515177521747</v>
      </c>
      <c r="L6">
        <v>1</v>
      </c>
      <c r="M6">
        <f t="shared" si="7"/>
        <v>0.33217264779337408</v>
      </c>
      <c r="N6">
        <f t="shared" si="8"/>
        <v>1.7720288E-3</v>
      </c>
      <c r="O6">
        <f t="shared" ref="O6:O69" si="11">E6*A6</f>
        <v>4.226089547855051E-4</v>
      </c>
      <c r="P6">
        <f t="shared" ref="P6:P69" si="12">-K6-M6-N6-O6</f>
        <v>2.5357866227057886E-2</v>
      </c>
      <c r="V6">
        <v>-5.8</v>
      </c>
      <c r="W6">
        <f t="shared" si="9"/>
        <v>-0.23824000000000001</v>
      </c>
      <c r="Y6">
        <v>0.02</v>
      </c>
      <c r="Z6">
        <f t="shared" si="10"/>
        <v>-0.16974920000000004</v>
      </c>
      <c r="AB6" t="s">
        <v>32</v>
      </c>
    </row>
    <row r="7" spans="1:29" x14ac:dyDescent="0.3">
      <c r="A7">
        <v>0.15719614999999998</v>
      </c>
      <c r="B7">
        <v>0.84299999999999997</v>
      </c>
      <c r="C7">
        <f t="shared" si="1"/>
        <v>0.13251635444999998</v>
      </c>
      <c r="D7">
        <v>1.6E-2</v>
      </c>
      <c r="E7">
        <v>3.8158201924077539E-3</v>
      </c>
      <c r="F7">
        <f t="shared" si="2"/>
        <v>31.439229999999995</v>
      </c>
      <c r="G7">
        <f t="shared" si="3"/>
        <v>-0.84299999999999997</v>
      </c>
      <c r="H7">
        <f t="shared" si="4"/>
        <v>-26.503270889999996</v>
      </c>
      <c r="I7">
        <v>1</v>
      </c>
      <c r="J7">
        <f t="shared" si="5"/>
        <v>-3.4596988028151907</v>
      </c>
      <c r="K7">
        <f t="shared" si="6"/>
        <v>-0.37872515177521748</v>
      </c>
      <c r="L7">
        <v>1</v>
      </c>
      <c r="M7">
        <f t="shared" si="7"/>
        <v>0.34870221650712302</v>
      </c>
      <c r="N7">
        <f t="shared" ref="N7:N70" si="13">D7*A7</f>
        <v>2.5151383999999998E-3</v>
      </c>
      <c r="O7">
        <f t="shared" si="11"/>
        <v>5.9983224333875812E-4</v>
      </c>
      <c r="P7">
        <f t="shared" si="12"/>
        <v>2.6907964624755708E-2</v>
      </c>
      <c r="V7">
        <v>-5.7</v>
      </c>
      <c r="W7">
        <f t="shared" si="9"/>
        <v>-0.24296000000000001</v>
      </c>
      <c r="Y7">
        <v>0.03</v>
      </c>
      <c r="Z7">
        <f t="shared" si="10"/>
        <v>-8.5178800000000054E-2</v>
      </c>
      <c r="AB7" t="s">
        <v>33</v>
      </c>
      <c r="AC7">
        <f>-AB3/AB4</f>
        <v>4.0071940064135919E-2</v>
      </c>
    </row>
    <row r="8" spans="1:29" x14ac:dyDescent="0.3">
      <c r="A8">
        <v>0.20364045</v>
      </c>
      <c r="B8">
        <v>0.83199999999999996</v>
      </c>
      <c r="C8">
        <f t="shared" si="1"/>
        <v>0.1694288544</v>
      </c>
      <c r="D8">
        <v>1.6E-2</v>
      </c>
      <c r="E8">
        <v>3.8158201924077539E-3</v>
      </c>
      <c r="F8">
        <f t="shared" si="2"/>
        <v>40.728090000000002</v>
      </c>
      <c r="G8">
        <f t="shared" si="3"/>
        <v>-0.83199999999999996</v>
      </c>
      <c r="H8">
        <f t="shared" si="4"/>
        <v>-33.885770879999995</v>
      </c>
      <c r="I8">
        <v>1</v>
      </c>
      <c r="J8">
        <f t="shared" si="5"/>
        <v>-3.2008372526025757</v>
      </c>
      <c r="K8">
        <f t="shared" si="6"/>
        <v>-0.38972515177521749</v>
      </c>
      <c r="L8">
        <v>1</v>
      </c>
      <c r="M8">
        <f t="shared" si="7"/>
        <v>0.36092048167715846</v>
      </c>
      <c r="N8">
        <f t="shared" si="13"/>
        <v>3.2582472000000002E-3</v>
      </c>
      <c r="O8">
        <f t="shared" si="11"/>
        <v>7.7705534110100163E-4</v>
      </c>
      <c r="P8">
        <f t="shared" si="12"/>
        <v>2.4769367556958036E-2</v>
      </c>
      <c r="V8">
        <v>-5.6</v>
      </c>
      <c r="W8">
        <f t="shared" si="9"/>
        <v>-0.24768000000000001</v>
      </c>
      <c r="Y8">
        <v>0.04</v>
      </c>
      <c r="Z8">
        <f t="shared" si="10"/>
        <v>-6.0840000000006444E-4</v>
      </c>
    </row>
    <row r="9" spans="1:29" x14ac:dyDescent="0.3">
      <c r="A9">
        <v>0.25008475000000002</v>
      </c>
      <c r="B9">
        <v>0.82199999999999995</v>
      </c>
      <c r="C9">
        <f t="shared" si="1"/>
        <v>0.2055696645</v>
      </c>
      <c r="D9">
        <v>1.6E-2</v>
      </c>
      <c r="E9">
        <v>3.8158201924077539E-3</v>
      </c>
      <c r="F9">
        <f t="shared" si="2"/>
        <v>50.016950000000001</v>
      </c>
      <c r="G9">
        <f t="shared" si="3"/>
        <v>-0.82199999999999995</v>
      </c>
      <c r="H9">
        <f t="shared" si="4"/>
        <v>-41.113932900000002</v>
      </c>
      <c r="I9">
        <v>1</v>
      </c>
      <c r="J9">
        <f t="shared" si="5"/>
        <v>-2.995393331001508</v>
      </c>
      <c r="K9">
        <f t="shared" si="6"/>
        <v>-0.3997251517752175</v>
      </c>
      <c r="L9">
        <v>1</v>
      </c>
      <c r="M9">
        <f t="shared" si="7"/>
        <v>0.37061743477672882</v>
      </c>
      <c r="N9">
        <f t="shared" si="13"/>
        <v>4.0013560000000002E-3</v>
      </c>
      <c r="O9">
        <f t="shared" si="11"/>
        <v>9.5427843886324514E-4</v>
      </c>
      <c r="P9">
        <f t="shared" si="12"/>
        <v>2.4152082559625442E-2</v>
      </c>
      <c r="V9">
        <v>-5.5</v>
      </c>
      <c r="W9">
        <f t="shared" si="9"/>
        <v>-0.25240000000000001</v>
      </c>
      <c r="Y9">
        <v>0.05</v>
      </c>
      <c r="Z9">
        <f t="shared" si="10"/>
        <v>8.3961999999999981E-2</v>
      </c>
      <c r="AB9" t="s">
        <v>35</v>
      </c>
      <c r="AC9">
        <v>3.8800000000000001E-2</v>
      </c>
    </row>
    <row r="10" spans="1:29" x14ac:dyDescent="0.3">
      <c r="A10">
        <v>0.29563590000000001</v>
      </c>
      <c r="B10">
        <v>0.81399999999999995</v>
      </c>
      <c r="C10">
        <f t="shared" si="1"/>
        <v>0.2406476226</v>
      </c>
      <c r="D10">
        <v>1.6E-2</v>
      </c>
      <c r="E10">
        <v>3.8158201924077539E-3</v>
      </c>
      <c r="F10">
        <f t="shared" si="2"/>
        <v>59.127180000000003</v>
      </c>
      <c r="G10">
        <f t="shared" si="3"/>
        <v>-0.81399999999999995</v>
      </c>
      <c r="H10">
        <f t="shared" si="4"/>
        <v>-48.129524519999997</v>
      </c>
      <c r="I10">
        <v>1</v>
      </c>
      <c r="J10">
        <f t="shared" si="5"/>
        <v>-2.8280645618138189</v>
      </c>
      <c r="K10">
        <f t="shared" si="6"/>
        <v>-0.40772515177521751</v>
      </c>
      <c r="L10">
        <v>1</v>
      </c>
      <c r="M10">
        <f t="shared" si="7"/>
        <v>0.37851535268238778</v>
      </c>
      <c r="N10">
        <f t="shared" si="13"/>
        <v>4.7301744000000003E-3</v>
      </c>
      <c r="O10">
        <f t="shared" si="11"/>
        <v>1.1280934368206395E-3</v>
      </c>
      <c r="P10">
        <f t="shared" si="12"/>
        <v>2.3351531256009084E-2</v>
      </c>
      <c r="V10">
        <v>-5.4</v>
      </c>
      <c r="W10">
        <f t="shared" si="9"/>
        <v>-0.25712000000000002</v>
      </c>
      <c r="Y10">
        <v>0.06</v>
      </c>
      <c r="Z10">
        <f t="shared" si="10"/>
        <v>0.16853239999999992</v>
      </c>
    </row>
    <row r="11" spans="1:29" x14ac:dyDescent="0.3">
      <c r="A11">
        <v>0.34118704999999999</v>
      </c>
      <c r="B11">
        <v>0.80800000000000005</v>
      </c>
      <c r="C11">
        <f t="shared" si="1"/>
        <v>0.27567913640000002</v>
      </c>
      <c r="D11">
        <v>1.6E-2</v>
      </c>
      <c r="E11">
        <v>3.8158201924077539E-3</v>
      </c>
      <c r="F11">
        <f t="shared" si="2"/>
        <v>68.237409999999997</v>
      </c>
      <c r="G11">
        <f t="shared" si="3"/>
        <v>-0.80800000000000005</v>
      </c>
      <c r="H11">
        <f t="shared" si="4"/>
        <v>-55.135827280000008</v>
      </c>
      <c r="I11">
        <v>1</v>
      </c>
      <c r="J11">
        <f t="shared" si="5"/>
        <v>-2.6847623307980104</v>
      </c>
      <c r="K11">
        <f t="shared" si="6"/>
        <v>-0.4137251517752174</v>
      </c>
      <c r="L11">
        <v>1</v>
      </c>
      <c r="M11">
        <f t="shared" si="7"/>
        <v>0.38527921798633391</v>
      </c>
      <c r="N11">
        <f t="shared" si="13"/>
        <v>5.4589927999999996E-3</v>
      </c>
      <c r="O11">
        <f t="shared" si="11"/>
        <v>1.3019084347780339E-3</v>
      </c>
      <c r="P11">
        <f t="shared" si="12"/>
        <v>2.1685032554105459E-2</v>
      </c>
      <c r="V11">
        <v>-5.3</v>
      </c>
      <c r="W11">
        <f t="shared" si="9"/>
        <v>-0.26184000000000002</v>
      </c>
      <c r="Y11">
        <v>7.0000000000000007E-2</v>
      </c>
      <c r="Z11">
        <f t="shared" si="10"/>
        <v>0.25310279999999996</v>
      </c>
      <c r="AB11" t="s">
        <v>34</v>
      </c>
      <c r="AC11">
        <f>AC7-AC9</f>
        <v>1.271940064135918E-3</v>
      </c>
    </row>
    <row r="12" spans="1:29" x14ac:dyDescent="0.3">
      <c r="A12">
        <v>0.38673819999999998</v>
      </c>
      <c r="B12">
        <v>0.80200000000000005</v>
      </c>
      <c r="C12">
        <f t="shared" si="1"/>
        <v>0.31016403640000001</v>
      </c>
      <c r="D12">
        <v>1.6E-2</v>
      </c>
      <c r="E12">
        <v>3.8158201924077539E-3</v>
      </c>
      <c r="F12">
        <f t="shared" si="2"/>
        <v>77.347639999999998</v>
      </c>
      <c r="G12">
        <f t="shared" si="3"/>
        <v>-0.80200000000000005</v>
      </c>
      <c r="H12">
        <f t="shared" si="4"/>
        <v>-62.03280728</v>
      </c>
      <c r="I12">
        <v>1</v>
      </c>
      <c r="J12">
        <f t="shared" si="5"/>
        <v>-2.5594452130943268</v>
      </c>
      <c r="K12">
        <f t="shared" si="6"/>
        <v>-0.41972515177521741</v>
      </c>
      <c r="L12">
        <v>1</v>
      </c>
      <c r="M12">
        <f t="shared" si="7"/>
        <v>0.39119418594194777</v>
      </c>
      <c r="N12">
        <f t="shared" si="13"/>
        <v>6.1878111999999997E-3</v>
      </c>
      <c r="O12">
        <f t="shared" si="11"/>
        <v>1.4757234327354284E-3</v>
      </c>
      <c r="P12">
        <f t="shared" si="12"/>
        <v>2.086743120053421E-2</v>
      </c>
      <c r="V12">
        <v>-5.2</v>
      </c>
      <c r="W12">
        <f t="shared" si="9"/>
        <v>-0.26656000000000002</v>
      </c>
      <c r="Y12">
        <v>0.08</v>
      </c>
      <c r="Z12">
        <f t="shared" si="10"/>
        <v>0.3376731999999999</v>
      </c>
      <c r="AC12">
        <f>AC11*3</f>
        <v>3.8158201924077539E-3</v>
      </c>
    </row>
    <row r="13" spans="1:29" x14ac:dyDescent="0.3">
      <c r="A13">
        <v>0.43139620000000001</v>
      </c>
      <c r="B13">
        <v>0.79700000000000004</v>
      </c>
      <c r="C13">
        <f t="shared" si="1"/>
        <v>0.3438227714</v>
      </c>
      <c r="D13">
        <v>1.6E-2</v>
      </c>
      <c r="E13">
        <v>3.8158201924077539E-3</v>
      </c>
      <c r="F13">
        <f t="shared" si="2"/>
        <v>86.279240000000001</v>
      </c>
      <c r="G13">
        <f t="shared" si="3"/>
        <v>-0.79700000000000004</v>
      </c>
      <c r="H13">
        <f t="shared" si="4"/>
        <v>-68.764554279999999</v>
      </c>
      <c r="I13">
        <v>1</v>
      </c>
      <c r="J13">
        <f t="shared" si="5"/>
        <v>-2.4501662660303429</v>
      </c>
      <c r="K13">
        <f t="shared" si="6"/>
        <v>-0.42472515177521741</v>
      </c>
      <c r="L13">
        <v>1</v>
      </c>
      <c r="M13">
        <f t="shared" si="7"/>
        <v>0.39635215224336784</v>
      </c>
      <c r="N13">
        <f t="shared" si="13"/>
        <v>6.9023392000000005E-3</v>
      </c>
      <c r="O13">
        <f t="shared" si="11"/>
        <v>1.6461303308879739E-3</v>
      </c>
      <c r="P13">
        <f t="shared" si="12"/>
        <v>1.9824530000961602E-2</v>
      </c>
      <c r="V13">
        <v>-5.0999999999999996</v>
      </c>
      <c r="W13">
        <f t="shared" si="9"/>
        <v>-0.27128000000000002</v>
      </c>
      <c r="Y13">
        <v>0.09</v>
      </c>
      <c r="Z13">
        <f t="shared" si="10"/>
        <v>0.42224359999999983</v>
      </c>
    </row>
    <row r="14" spans="1:29" x14ac:dyDescent="0.3">
      <c r="A14">
        <v>0.47694734999999999</v>
      </c>
      <c r="B14">
        <v>0.79200000000000004</v>
      </c>
      <c r="C14">
        <f t="shared" si="1"/>
        <v>0.37774230120000002</v>
      </c>
      <c r="D14">
        <v>1.6E-2</v>
      </c>
      <c r="E14">
        <v>3.8158201924077539E-3</v>
      </c>
      <c r="F14">
        <f t="shared" si="2"/>
        <v>95.389470000000003</v>
      </c>
      <c r="G14">
        <f t="shared" si="3"/>
        <v>-0.79200000000000004</v>
      </c>
      <c r="H14">
        <f t="shared" si="4"/>
        <v>-75.548460239999997</v>
      </c>
      <c r="I14">
        <v>1</v>
      </c>
      <c r="J14">
        <f t="shared" si="5"/>
        <v>-2.3497870839784158</v>
      </c>
      <c r="K14">
        <f t="shared" si="6"/>
        <v>-0.42972515177521742</v>
      </c>
      <c r="L14">
        <v>1</v>
      </c>
      <c r="M14">
        <f t="shared" si="7"/>
        <v>0.4010900496362188</v>
      </c>
      <c r="N14">
        <f t="shared" si="13"/>
        <v>7.6311575999999997E-3</v>
      </c>
      <c r="O14">
        <f t="shared" si="11"/>
        <v>1.8199453288453684E-3</v>
      </c>
      <c r="P14">
        <f t="shared" si="12"/>
        <v>1.9183999210153246E-2</v>
      </c>
      <c r="V14">
        <v>-5</v>
      </c>
      <c r="W14">
        <f t="shared" si="9"/>
        <v>-0.27600000000000002</v>
      </c>
      <c r="Y14">
        <v>0.1</v>
      </c>
      <c r="Z14">
        <f t="shared" si="10"/>
        <v>0.50681399999999999</v>
      </c>
    </row>
    <row r="15" spans="1:29" x14ac:dyDescent="0.3">
      <c r="A15">
        <v>0.52160535000000008</v>
      </c>
      <c r="B15">
        <v>0.78700000000000003</v>
      </c>
      <c r="C15">
        <f t="shared" si="1"/>
        <v>0.41050341045000011</v>
      </c>
      <c r="D15">
        <v>1.6E-2</v>
      </c>
      <c r="E15">
        <v>3.8158201924077539E-3</v>
      </c>
      <c r="F15">
        <f t="shared" si="2"/>
        <v>104.32107000000002</v>
      </c>
      <c r="G15">
        <f t="shared" si="3"/>
        <v>-0.78700000000000003</v>
      </c>
      <c r="H15">
        <f t="shared" si="4"/>
        <v>-82.100682090000021</v>
      </c>
      <c r="I15">
        <v>1</v>
      </c>
      <c r="J15">
        <f t="shared" si="5"/>
        <v>-2.2602819239545551</v>
      </c>
      <c r="K15">
        <f t="shared" si="6"/>
        <v>-0.43472515177521742</v>
      </c>
      <c r="L15">
        <v>1</v>
      </c>
      <c r="M15">
        <f t="shared" si="7"/>
        <v>0.40531469318934499</v>
      </c>
      <c r="N15">
        <f t="shared" si="13"/>
        <v>8.3456856000000013E-3</v>
      </c>
      <c r="O15">
        <f t="shared" si="11"/>
        <v>1.9903522269979143E-3</v>
      </c>
      <c r="P15">
        <f t="shared" si="12"/>
        <v>1.907442075887452E-2</v>
      </c>
      <c r="V15">
        <v>-4.9000000000000004</v>
      </c>
      <c r="W15">
        <f t="shared" si="9"/>
        <v>-0.28071999999999997</v>
      </c>
      <c r="Y15">
        <v>0.11</v>
      </c>
      <c r="Z15">
        <f t="shared" si="10"/>
        <v>0.59138439999999992</v>
      </c>
    </row>
    <row r="16" spans="1:29" x14ac:dyDescent="0.3">
      <c r="A16">
        <v>0.56715649999999995</v>
      </c>
      <c r="B16">
        <v>0.78300000000000003</v>
      </c>
      <c r="C16">
        <f t="shared" si="1"/>
        <v>0.44408353949999996</v>
      </c>
      <c r="D16">
        <v>1.6E-2</v>
      </c>
      <c r="E16">
        <v>3.8158201924077539E-3</v>
      </c>
      <c r="F16">
        <f t="shared" si="2"/>
        <v>113.43129999999999</v>
      </c>
      <c r="G16">
        <f t="shared" si="3"/>
        <v>-0.78300000000000003</v>
      </c>
      <c r="H16">
        <f t="shared" si="4"/>
        <v>-88.816707899999997</v>
      </c>
      <c r="I16">
        <v>1</v>
      </c>
      <c r="J16">
        <f t="shared" si="5"/>
        <v>-2.1765579116640246</v>
      </c>
      <c r="K16">
        <f t="shared" si="6"/>
        <v>-0.43872515177521743</v>
      </c>
      <c r="L16">
        <v>1</v>
      </c>
      <c r="M16">
        <f t="shared" si="7"/>
        <v>0.40926646656945809</v>
      </c>
      <c r="N16">
        <f t="shared" si="13"/>
        <v>9.0745039999999989E-3</v>
      </c>
      <c r="O16">
        <f t="shared" si="11"/>
        <v>2.1641672249553081E-3</v>
      </c>
      <c r="P16">
        <f t="shared" si="12"/>
        <v>1.8220013980804032E-2</v>
      </c>
      <c r="V16">
        <v>-4.8</v>
      </c>
      <c r="W16">
        <f t="shared" si="9"/>
        <v>-0.28544000000000003</v>
      </c>
      <c r="Y16">
        <v>0.12</v>
      </c>
      <c r="Z16">
        <f t="shared" si="10"/>
        <v>0.67595479999999986</v>
      </c>
    </row>
    <row r="17" spans="1:26" x14ac:dyDescent="0.3">
      <c r="A17">
        <v>0.61181445000000001</v>
      </c>
      <c r="B17">
        <v>0.77900000000000003</v>
      </c>
      <c r="C17">
        <f t="shared" si="1"/>
        <v>0.47660345655000003</v>
      </c>
      <c r="D17">
        <v>1.6E-2</v>
      </c>
      <c r="E17">
        <v>3.8158201924077539E-3</v>
      </c>
      <c r="F17">
        <f t="shared" si="2"/>
        <v>122.36289000000001</v>
      </c>
      <c r="G17">
        <f t="shared" si="3"/>
        <v>-0.77900000000000003</v>
      </c>
      <c r="H17">
        <f t="shared" si="4"/>
        <v>-95.320691310000001</v>
      </c>
      <c r="I17">
        <v>1</v>
      </c>
      <c r="J17">
        <f t="shared" si="5"/>
        <v>-2.1007641411486717</v>
      </c>
      <c r="K17">
        <f t="shared" si="6"/>
        <v>-0.44272515177521743</v>
      </c>
      <c r="L17">
        <v>1</v>
      </c>
      <c r="M17">
        <f t="shared" si="7"/>
        <v>0.41284393253778273</v>
      </c>
      <c r="N17">
        <f t="shared" si="13"/>
        <v>9.7890312000000011E-3</v>
      </c>
      <c r="O17">
        <f t="shared" si="11"/>
        <v>2.3345739323168443E-3</v>
      </c>
      <c r="P17">
        <f t="shared" si="12"/>
        <v>1.7757614105117853E-2</v>
      </c>
      <c r="V17">
        <v>-4.7</v>
      </c>
      <c r="W17">
        <f t="shared" si="9"/>
        <v>-0.29015999999999997</v>
      </c>
      <c r="Y17">
        <v>0.13</v>
      </c>
      <c r="Z17">
        <f t="shared" si="10"/>
        <v>0.7605251999999999</v>
      </c>
    </row>
    <row r="18" spans="1:26" x14ac:dyDescent="0.3">
      <c r="A18">
        <v>0.65825880000000003</v>
      </c>
      <c r="B18">
        <v>0.77500000000000002</v>
      </c>
      <c r="C18">
        <f t="shared" si="1"/>
        <v>0.51015057000000008</v>
      </c>
      <c r="D18">
        <v>1.6E-2</v>
      </c>
      <c r="E18">
        <v>3.8158201924077539E-3</v>
      </c>
      <c r="F18">
        <f t="shared" si="2"/>
        <v>131.65176</v>
      </c>
      <c r="G18">
        <f t="shared" si="3"/>
        <v>-0.77500000000000002</v>
      </c>
      <c r="H18">
        <f t="shared" si="4"/>
        <v>-102.03011400000001</v>
      </c>
      <c r="I18">
        <v>1</v>
      </c>
      <c r="J18">
        <f t="shared" si="5"/>
        <v>-2.0275950243483214</v>
      </c>
      <c r="K18">
        <f t="shared" si="6"/>
        <v>-0.44672515177521743</v>
      </c>
      <c r="L18">
        <v>1</v>
      </c>
      <c r="M18">
        <f t="shared" si="7"/>
        <v>0.41629751485075928</v>
      </c>
      <c r="N18">
        <f t="shared" si="13"/>
        <v>1.0532140800000001E-2</v>
      </c>
      <c r="O18">
        <f t="shared" si="11"/>
        <v>2.5117972208700975E-3</v>
      </c>
      <c r="P18">
        <f t="shared" si="12"/>
        <v>1.7383698903588062E-2</v>
      </c>
      <c r="V18">
        <v>-4.5999999999999996</v>
      </c>
      <c r="W18">
        <f t="shared" si="9"/>
        <v>-0.29488000000000003</v>
      </c>
      <c r="Y18">
        <v>0.14000000000000001</v>
      </c>
      <c r="Z18">
        <f t="shared" si="10"/>
        <v>0.84509559999999995</v>
      </c>
    </row>
    <row r="19" spans="1:26" x14ac:dyDescent="0.3">
      <c r="A19">
        <v>0.70470310000000003</v>
      </c>
      <c r="B19">
        <v>0.77100000000000002</v>
      </c>
      <c r="C19">
        <f t="shared" si="1"/>
        <v>0.54332609009999999</v>
      </c>
      <c r="D19">
        <v>1.6E-2</v>
      </c>
      <c r="E19">
        <v>3.8158201924077539E-3</v>
      </c>
      <c r="F19">
        <f t="shared" si="2"/>
        <v>140.94062</v>
      </c>
      <c r="G19">
        <f t="shared" si="3"/>
        <v>-0.77100000000000002</v>
      </c>
      <c r="H19">
        <f t="shared" si="4"/>
        <v>-108.66521802</v>
      </c>
      <c r="I19">
        <v>1</v>
      </c>
      <c r="J19">
        <f t="shared" si="5"/>
        <v>-1.959416612057886</v>
      </c>
      <c r="K19">
        <f t="shared" si="6"/>
        <v>-0.45072515177521744</v>
      </c>
      <c r="L19">
        <v>1</v>
      </c>
      <c r="M19">
        <f t="shared" si="7"/>
        <v>0.41951553591086777</v>
      </c>
      <c r="N19">
        <f t="shared" si="13"/>
        <v>1.12752496E-2</v>
      </c>
      <c r="O19">
        <f t="shared" si="11"/>
        <v>2.6890203186323409E-3</v>
      </c>
      <c r="P19">
        <f t="shared" si="12"/>
        <v>1.724534594571733E-2</v>
      </c>
      <c r="V19">
        <v>-4.5000000000000098</v>
      </c>
      <c r="W19">
        <f t="shared" si="9"/>
        <v>-0.29959999999999953</v>
      </c>
      <c r="Y19">
        <v>0.15</v>
      </c>
      <c r="Z19">
        <f t="shared" si="10"/>
        <v>0.92966599999999977</v>
      </c>
    </row>
    <row r="20" spans="1:26" x14ac:dyDescent="0.3">
      <c r="A20">
        <v>0.75025425000000001</v>
      </c>
      <c r="B20">
        <v>0.76700000000000002</v>
      </c>
      <c r="C20">
        <f t="shared" si="1"/>
        <v>0.57544500975000001</v>
      </c>
      <c r="D20">
        <v>1.6E-2</v>
      </c>
      <c r="E20">
        <v>3.8158201924077539E-3</v>
      </c>
      <c r="F20">
        <f t="shared" si="2"/>
        <v>150.05085</v>
      </c>
      <c r="G20">
        <f t="shared" si="3"/>
        <v>-0.76700000000000002</v>
      </c>
      <c r="H20">
        <f t="shared" si="4"/>
        <v>-115.08900195</v>
      </c>
      <c r="I20">
        <v>1</v>
      </c>
      <c r="J20">
        <f t="shared" si="5"/>
        <v>-1.8967810423333986</v>
      </c>
      <c r="K20">
        <f t="shared" si="6"/>
        <v>-0.45472515177521744</v>
      </c>
      <c r="L20">
        <v>1</v>
      </c>
      <c r="M20">
        <f t="shared" si="7"/>
        <v>0.42247193480186362</v>
      </c>
      <c r="N20">
        <f t="shared" si="13"/>
        <v>1.2004068E-2</v>
      </c>
      <c r="O20">
        <f t="shared" si="11"/>
        <v>2.8628353165897351E-3</v>
      </c>
      <c r="P20">
        <f t="shared" si="12"/>
        <v>1.7386313656764081E-2</v>
      </c>
      <c r="V20">
        <v>-4.4000000000000101</v>
      </c>
      <c r="W20">
        <f t="shared" si="9"/>
        <v>-0.30431999999999954</v>
      </c>
      <c r="Y20">
        <v>0.16</v>
      </c>
      <c r="Z20">
        <f t="shared" si="10"/>
        <v>1.0142363999999997</v>
      </c>
    </row>
    <row r="21" spans="1:26" x14ac:dyDescent="0.3">
      <c r="A21">
        <v>0.79759170000000001</v>
      </c>
      <c r="B21">
        <v>0.76300000000000001</v>
      </c>
      <c r="C21">
        <f t="shared" si="1"/>
        <v>0.60856246710000006</v>
      </c>
      <c r="D21">
        <v>1.6E-2</v>
      </c>
      <c r="E21">
        <v>3.8158201924077539E-3</v>
      </c>
      <c r="F21">
        <f t="shared" si="2"/>
        <v>159.51833999999999</v>
      </c>
      <c r="G21">
        <f t="shared" si="3"/>
        <v>-0.76300000000000001</v>
      </c>
      <c r="H21">
        <f t="shared" si="4"/>
        <v>-121.71249342000002</v>
      </c>
      <c r="I21">
        <v>1</v>
      </c>
      <c r="J21">
        <f t="shared" si="5"/>
        <v>-1.8355963790414098</v>
      </c>
      <c r="K21">
        <f t="shared" si="6"/>
        <v>-0.45872515177521744</v>
      </c>
      <c r="L21">
        <v>1</v>
      </c>
      <c r="M21">
        <f t="shared" si="7"/>
        <v>0.42535985090924544</v>
      </c>
      <c r="N21">
        <f t="shared" si="13"/>
        <v>1.2761467200000001E-2</v>
      </c>
      <c r="O21">
        <f t="shared" si="11"/>
        <v>3.0434665141568277E-3</v>
      </c>
      <c r="P21">
        <f t="shared" si="12"/>
        <v>1.7560367151815175E-2</v>
      </c>
      <c r="V21">
        <v>-4.3000000000000096</v>
      </c>
      <c r="W21">
        <f t="shared" si="9"/>
        <v>-0.30903999999999954</v>
      </c>
      <c r="Y21">
        <v>0.17</v>
      </c>
      <c r="Z21">
        <f t="shared" si="10"/>
        <v>1.0988067999999998</v>
      </c>
    </row>
    <row r="22" spans="1:26" x14ac:dyDescent="0.3">
      <c r="A22">
        <v>0.84224969999999999</v>
      </c>
      <c r="B22">
        <v>0.76</v>
      </c>
      <c r="C22">
        <f t="shared" si="1"/>
        <v>0.64010977199999997</v>
      </c>
      <c r="D22">
        <v>1.6E-2</v>
      </c>
      <c r="E22">
        <v>3.8158201924077539E-3</v>
      </c>
      <c r="F22">
        <f t="shared" si="2"/>
        <v>168.44994</v>
      </c>
      <c r="G22">
        <f t="shared" si="3"/>
        <v>-0.76</v>
      </c>
      <c r="H22">
        <f t="shared" si="4"/>
        <v>-128.0219544</v>
      </c>
      <c r="I22">
        <v>1</v>
      </c>
      <c r="J22">
        <f t="shared" si="5"/>
        <v>-1.7811166653184187</v>
      </c>
      <c r="K22">
        <f t="shared" si="6"/>
        <v>-0.46172515177521745</v>
      </c>
      <c r="L22">
        <v>1</v>
      </c>
      <c r="M22">
        <f t="shared" si="7"/>
        <v>0.42793129339697067</v>
      </c>
      <c r="N22">
        <f t="shared" si="13"/>
        <v>1.34759952E-2</v>
      </c>
      <c r="O22">
        <f t="shared" si="11"/>
        <v>3.2138734123093732E-3</v>
      </c>
      <c r="P22">
        <f t="shared" si="12"/>
        <v>1.7103989765937404E-2</v>
      </c>
      <c r="V22">
        <v>-4.2000000000000099</v>
      </c>
      <c r="W22">
        <f t="shared" si="9"/>
        <v>-0.31375999999999954</v>
      </c>
      <c r="Y22">
        <v>0.18</v>
      </c>
      <c r="Z22">
        <f t="shared" si="10"/>
        <v>1.1833771999999998</v>
      </c>
    </row>
    <row r="23" spans="1:26" x14ac:dyDescent="0.3">
      <c r="A23">
        <v>0.88780084999999997</v>
      </c>
      <c r="B23">
        <v>0.75600000000000001</v>
      </c>
      <c r="C23">
        <f t="shared" si="1"/>
        <v>0.67117744260000001</v>
      </c>
      <c r="D23">
        <v>1.6E-2</v>
      </c>
      <c r="E23">
        <v>3.8158201924077539E-3</v>
      </c>
      <c r="F23">
        <f t="shared" si="2"/>
        <v>177.56017</v>
      </c>
      <c r="G23">
        <f t="shared" si="3"/>
        <v>-0.75600000000000001</v>
      </c>
      <c r="H23">
        <f t="shared" si="4"/>
        <v>-134.23548851999999</v>
      </c>
      <c r="I23">
        <v>1</v>
      </c>
      <c r="J23">
        <f t="shared" si="5"/>
        <v>-1.7284457415939181</v>
      </c>
      <c r="K23">
        <f t="shared" si="6"/>
        <v>-0.46572515177521745</v>
      </c>
      <c r="L23">
        <v>1</v>
      </c>
      <c r="M23">
        <f t="shared" si="7"/>
        <v>0.43041736099676708</v>
      </c>
      <c r="N23">
        <f t="shared" si="13"/>
        <v>1.4204813599999999E-2</v>
      </c>
      <c r="O23">
        <f t="shared" si="11"/>
        <v>3.3876884102667674E-3</v>
      </c>
      <c r="P23">
        <f t="shared" si="12"/>
        <v>1.7715288768183599E-2</v>
      </c>
      <c r="V23">
        <v>-4.1000000000000103</v>
      </c>
      <c r="W23">
        <f t="shared" si="9"/>
        <v>-0.31847999999999954</v>
      </c>
      <c r="Y23">
        <v>0.19</v>
      </c>
      <c r="Z23">
        <f t="shared" si="10"/>
        <v>1.2679475999999998</v>
      </c>
    </row>
    <row r="24" spans="1:26" x14ac:dyDescent="0.3">
      <c r="A24">
        <v>0.93781779999999992</v>
      </c>
      <c r="B24">
        <v>0.753</v>
      </c>
      <c r="C24">
        <f t="shared" si="1"/>
        <v>0.7061768034</v>
      </c>
      <c r="D24">
        <v>1.6E-2</v>
      </c>
      <c r="E24">
        <v>3.8158201924077539E-3</v>
      </c>
      <c r="F24">
        <f t="shared" si="2"/>
        <v>187.56356</v>
      </c>
      <c r="G24">
        <f t="shared" si="3"/>
        <v>-0.753</v>
      </c>
      <c r="H24">
        <f t="shared" si="4"/>
        <v>-141.23536067999999</v>
      </c>
      <c r="I24">
        <v>1</v>
      </c>
      <c r="J24">
        <f t="shared" si="5"/>
        <v>-1.6736375043480038</v>
      </c>
      <c r="K24">
        <f t="shared" si="6"/>
        <v>-0.46872515177521745</v>
      </c>
      <c r="L24">
        <v>1</v>
      </c>
      <c r="M24">
        <f t="shared" si="7"/>
        <v>0.43300430979477422</v>
      </c>
      <c r="N24">
        <f t="shared" si="13"/>
        <v>1.5005084799999999E-2</v>
      </c>
      <c r="O24">
        <f t="shared" si="11"/>
        <v>3.5785440980394163E-3</v>
      </c>
      <c r="P24">
        <f t="shared" si="12"/>
        <v>1.7137213082403815E-2</v>
      </c>
      <c r="V24">
        <v>-4.0000000000000098</v>
      </c>
      <c r="W24">
        <f t="shared" si="9"/>
        <v>-0.32319999999999954</v>
      </c>
      <c r="Y24">
        <v>0.2</v>
      </c>
      <c r="Z24">
        <f t="shared" si="10"/>
        <v>1.3525179999999999</v>
      </c>
    </row>
    <row r="25" spans="1:26" x14ac:dyDescent="0.3">
      <c r="A25">
        <v>0.98247580000000001</v>
      </c>
      <c r="B25">
        <v>0.75</v>
      </c>
      <c r="C25">
        <f t="shared" si="1"/>
        <v>0.73685685000000001</v>
      </c>
      <c r="D25">
        <v>1.6E-2</v>
      </c>
      <c r="E25">
        <v>3.8158201924077539E-3</v>
      </c>
      <c r="F25">
        <f t="shared" si="2"/>
        <v>196.49516</v>
      </c>
      <c r="G25">
        <f t="shared" si="3"/>
        <v>-0.75</v>
      </c>
      <c r="H25">
        <f t="shared" si="4"/>
        <v>-147.37137000000001</v>
      </c>
      <c r="I25">
        <v>1</v>
      </c>
      <c r="J25">
        <f t="shared" si="5"/>
        <v>-1.6271174790194272</v>
      </c>
      <c r="K25">
        <f t="shared" si="6"/>
        <v>-0.47172515177521745</v>
      </c>
      <c r="L25">
        <v>1</v>
      </c>
      <c r="M25">
        <f t="shared" si="7"/>
        <v>0.43520005499028303</v>
      </c>
      <c r="N25">
        <f t="shared" si="13"/>
        <v>1.5719612800000001E-2</v>
      </c>
      <c r="O25">
        <f t="shared" si="11"/>
        <v>3.7489509961919618E-3</v>
      </c>
      <c r="P25">
        <f t="shared" si="12"/>
        <v>1.7056532988742466E-2</v>
      </c>
      <c r="V25">
        <v>-3.9000000000000101</v>
      </c>
      <c r="W25">
        <f t="shared" si="9"/>
        <v>-0.32791999999999955</v>
      </c>
      <c r="Y25">
        <v>0.21</v>
      </c>
      <c r="Z25">
        <f t="shared" si="10"/>
        <v>1.4370883999999999</v>
      </c>
    </row>
    <row r="26" spans="1:26" x14ac:dyDescent="0.3">
      <c r="A26">
        <v>1.0271338000000001</v>
      </c>
      <c r="B26">
        <v>0.746</v>
      </c>
      <c r="C26">
        <f t="shared" si="1"/>
        <v>0.76624181480000009</v>
      </c>
      <c r="D26">
        <v>1.6E-2</v>
      </c>
      <c r="E26">
        <v>3.8158201924077539E-3</v>
      </c>
      <c r="F26">
        <f t="shared" si="2"/>
        <v>205.42676000000003</v>
      </c>
      <c r="G26">
        <f t="shared" si="3"/>
        <v>-0.746</v>
      </c>
      <c r="H26">
        <f t="shared" si="4"/>
        <v>-153.24836296000001</v>
      </c>
      <c r="I26">
        <v>1</v>
      </c>
      <c r="J26">
        <f t="shared" si="5"/>
        <v>-1.5826657075978388</v>
      </c>
      <c r="K26">
        <f t="shared" si="6"/>
        <v>-0.47572515177521746</v>
      </c>
      <c r="L26">
        <v>1</v>
      </c>
      <c r="M26">
        <f t="shared" si="7"/>
        <v>0.43729817860138204</v>
      </c>
      <c r="N26">
        <f t="shared" si="13"/>
        <v>1.6434140800000004E-2</v>
      </c>
      <c r="O26">
        <f t="shared" si="11"/>
        <v>3.9193578943445082E-3</v>
      </c>
      <c r="P26">
        <f t="shared" si="12"/>
        <v>1.8073474479490911E-2</v>
      </c>
      <c r="V26">
        <v>-3.80000000000001</v>
      </c>
      <c r="W26">
        <f t="shared" si="9"/>
        <v>-0.33263999999999955</v>
      </c>
      <c r="Y26">
        <v>0.22</v>
      </c>
      <c r="Z26">
        <f t="shared" si="10"/>
        <v>1.5216588</v>
      </c>
    </row>
    <row r="27" spans="1:26" x14ac:dyDescent="0.3">
      <c r="A27">
        <v>1.0717918</v>
      </c>
      <c r="B27">
        <v>0.74299999999999999</v>
      </c>
      <c r="C27">
        <f t="shared" si="1"/>
        <v>0.79634130739999998</v>
      </c>
      <c r="D27">
        <v>1.6E-2</v>
      </c>
      <c r="E27">
        <v>3.8158201924077539E-3</v>
      </c>
      <c r="F27">
        <f t="shared" si="2"/>
        <v>214.35836</v>
      </c>
      <c r="G27">
        <f t="shared" si="3"/>
        <v>-0.74299999999999999</v>
      </c>
      <c r="H27">
        <f t="shared" si="4"/>
        <v>-159.26826148000001</v>
      </c>
      <c r="I27">
        <v>1</v>
      </c>
      <c r="J27">
        <f t="shared" si="5"/>
        <v>-1.5401060850658514</v>
      </c>
      <c r="K27">
        <f t="shared" si="6"/>
        <v>-0.47872515177521746</v>
      </c>
      <c r="L27">
        <v>1</v>
      </c>
      <c r="M27">
        <f t="shared" si="7"/>
        <v>0.43930699278489183</v>
      </c>
      <c r="N27">
        <f t="shared" si="13"/>
        <v>1.7148668799999999E-2</v>
      </c>
      <c r="O27">
        <f t="shared" si="11"/>
        <v>4.0897647924970524E-3</v>
      </c>
      <c r="P27">
        <f t="shared" si="12"/>
        <v>1.8179725397828583E-2</v>
      </c>
      <c r="V27">
        <v>-3.7000000000000099</v>
      </c>
      <c r="W27">
        <f t="shared" si="9"/>
        <v>-0.33735999999999955</v>
      </c>
      <c r="Y27">
        <v>0.23</v>
      </c>
      <c r="Z27">
        <f t="shared" si="10"/>
        <v>1.6062292</v>
      </c>
    </row>
    <row r="28" spans="1:26" x14ac:dyDescent="0.3">
      <c r="A28">
        <v>1.1164497500000001</v>
      </c>
      <c r="B28">
        <v>0.74</v>
      </c>
      <c r="C28">
        <f t="shared" si="1"/>
        <v>0.82617281500000006</v>
      </c>
      <c r="D28">
        <v>1.6E-2</v>
      </c>
      <c r="E28">
        <v>3.8158201924077539E-3</v>
      </c>
      <c r="F28">
        <f t="shared" si="2"/>
        <v>223.28995000000003</v>
      </c>
      <c r="G28">
        <f t="shared" si="3"/>
        <v>-0.74</v>
      </c>
      <c r="H28">
        <f t="shared" si="4"/>
        <v>-165.23456300000001</v>
      </c>
      <c r="I28">
        <v>1</v>
      </c>
      <c r="J28">
        <f t="shared" si="5"/>
        <v>-1.4992841278662778</v>
      </c>
      <c r="K28">
        <f t="shared" si="6"/>
        <v>-0.48172515177521746</v>
      </c>
      <c r="L28">
        <v>1</v>
      </c>
      <c r="M28">
        <f t="shared" si="7"/>
        <v>0.44123378916471168</v>
      </c>
      <c r="N28">
        <f t="shared" si="13"/>
        <v>1.7863196000000001E-2</v>
      </c>
      <c r="O28">
        <f t="shared" si="11"/>
        <v>4.2601714998585895E-3</v>
      </c>
      <c r="P28">
        <f t="shared" si="12"/>
        <v>1.8367995110647198E-2</v>
      </c>
      <c r="V28">
        <v>-3.6000000000000099</v>
      </c>
      <c r="W28">
        <f t="shared" si="9"/>
        <v>-0.34207999999999955</v>
      </c>
      <c r="Y28">
        <v>0.24</v>
      </c>
      <c r="Z28">
        <f t="shared" si="10"/>
        <v>1.6907995999999996</v>
      </c>
    </row>
    <row r="29" spans="1:26" x14ac:dyDescent="0.3">
      <c r="A29">
        <v>1.16110775</v>
      </c>
      <c r="B29">
        <v>0.73599999999999999</v>
      </c>
      <c r="C29">
        <f t="shared" si="1"/>
        <v>0.85457530400000004</v>
      </c>
      <c r="D29">
        <v>1.6E-2</v>
      </c>
      <c r="E29">
        <v>3.8158201924077539E-3</v>
      </c>
      <c r="F29">
        <f t="shared" si="2"/>
        <v>232.22155000000001</v>
      </c>
      <c r="G29">
        <f t="shared" si="3"/>
        <v>-0.73599999999999999</v>
      </c>
      <c r="H29">
        <f t="shared" si="4"/>
        <v>-170.91506080000002</v>
      </c>
      <c r="I29">
        <v>1</v>
      </c>
      <c r="J29">
        <f t="shared" si="5"/>
        <v>-1.4600634061005315</v>
      </c>
      <c r="K29">
        <f t="shared" si="6"/>
        <v>-0.48572515177521747</v>
      </c>
      <c r="L29">
        <v>1</v>
      </c>
      <c r="M29">
        <f t="shared" si="7"/>
        <v>0.44308500723205491</v>
      </c>
      <c r="N29">
        <f t="shared" si="13"/>
        <v>1.8577724E-2</v>
      </c>
      <c r="O29">
        <f t="shared" si="11"/>
        <v>4.4305783980111346E-3</v>
      </c>
      <c r="P29">
        <f t="shared" si="12"/>
        <v>1.9631842145151426E-2</v>
      </c>
      <c r="V29">
        <v>-3.5000000000000102</v>
      </c>
      <c r="W29">
        <f t="shared" si="9"/>
        <v>-0.34679999999999955</v>
      </c>
      <c r="Y29">
        <v>0.25</v>
      </c>
      <c r="Z29">
        <f t="shared" si="10"/>
        <v>1.7753699999999997</v>
      </c>
    </row>
    <row r="30" spans="1:26" x14ac:dyDescent="0.3">
      <c r="A30">
        <v>1.2057657500000001</v>
      </c>
      <c r="B30">
        <v>0.73299999999999998</v>
      </c>
      <c r="C30">
        <f t="shared" si="1"/>
        <v>0.88382629475000007</v>
      </c>
      <c r="D30">
        <v>1.6E-2</v>
      </c>
      <c r="E30">
        <v>3.8158201924077539E-3</v>
      </c>
      <c r="F30">
        <f t="shared" si="2"/>
        <v>241.15315000000001</v>
      </c>
      <c r="G30">
        <f t="shared" si="3"/>
        <v>-0.73299999999999998</v>
      </c>
      <c r="H30">
        <f t="shared" si="4"/>
        <v>-176.76525895</v>
      </c>
      <c r="I30">
        <v>1</v>
      </c>
      <c r="J30">
        <f t="shared" si="5"/>
        <v>-1.4223230701431799</v>
      </c>
      <c r="K30">
        <f t="shared" si="6"/>
        <v>-0.48872515177521747</v>
      </c>
      <c r="L30">
        <v>1</v>
      </c>
      <c r="M30">
        <f t="shared" si="7"/>
        <v>0.44486635108924188</v>
      </c>
      <c r="N30">
        <f t="shared" si="13"/>
        <v>1.9292252000000003E-2</v>
      </c>
      <c r="O30">
        <f t="shared" si="11"/>
        <v>4.6009852961636797E-3</v>
      </c>
      <c r="P30">
        <f t="shared" si="12"/>
        <v>1.9965563389811904E-2</v>
      </c>
      <c r="V30">
        <v>-3.4000000000000101</v>
      </c>
      <c r="W30">
        <f t="shared" si="9"/>
        <v>-0.3515199999999995</v>
      </c>
      <c r="Y30">
        <v>0.26</v>
      </c>
      <c r="Z30">
        <f t="shared" si="10"/>
        <v>1.8599403999999997</v>
      </c>
    </row>
    <row r="31" spans="1:26" x14ac:dyDescent="0.3">
      <c r="A31">
        <v>1.2504237500000002</v>
      </c>
      <c r="B31">
        <v>0.73</v>
      </c>
      <c r="C31">
        <f t="shared" si="1"/>
        <v>0.91280933750000015</v>
      </c>
      <c r="D31">
        <v>1.6E-2</v>
      </c>
      <c r="E31">
        <v>3.8158201924077539E-3</v>
      </c>
      <c r="F31">
        <f t="shared" si="2"/>
        <v>250.08475000000004</v>
      </c>
      <c r="G31">
        <f t="shared" si="3"/>
        <v>-0.73</v>
      </c>
      <c r="H31">
        <f t="shared" si="4"/>
        <v>-182.56186750000003</v>
      </c>
      <c r="I31">
        <v>1</v>
      </c>
      <c r="J31">
        <f t="shared" si="5"/>
        <v>-1.3859554185674077</v>
      </c>
      <c r="K31">
        <f t="shared" si="6"/>
        <v>-0.49172515177521747</v>
      </c>
      <c r="L31">
        <v>1</v>
      </c>
      <c r="M31">
        <f t="shared" si="7"/>
        <v>0.44658290424361835</v>
      </c>
      <c r="N31">
        <f t="shared" si="13"/>
        <v>2.0006780000000002E-2</v>
      </c>
      <c r="O31">
        <f t="shared" si="11"/>
        <v>4.7713921943162256E-3</v>
      </c>
      <c r="P31">
        <f t="shared" si="12"/>
        <v>2.0364075337282895E-2</v>
      </c>
      <c r="V31">
        <v>-3.30000000000001</v>
      </c>
      <c r="W31">
        <f t="shared" si="9"/>
        <v>-0.35623999999999956</v>
      </c>
      <c r="Y31">
        <v>0.27</v>
      </c>
      <c r="Z31">
        <f t="shared" si="10"/>
        <v>1.9445107999999998</v>
      </c>
    </row>
    <row r="32" spans="1:26" x14ac:dyDescent="0.3">
      <c r="A32">
        <v>1.30401335</v>
      </c>
      <c r="B32">
        <v>0.72699999999999998</v>
      </c>
      <c r="C32">
        <f t="shared" si="1"/>
        <v>0.94801770544999997</v>
      </c>
      <c r="D32">
        <v>1.6E-2</v>
      </c>
      <c r="E32">
        <v>3.8158201924077539E-3</v>
      </c>
      <c r="F32">
        <f t="shared" si="2"/>
        <v>260.80266999999998</v>
      </c>
      <c r="G32">
        <f t="shared" si="3"/>
        <v>-0.72699999999999998</v>
      </c>
      <c r="H32">
        <f t="shared" si="4"/>
        <v>-189.60354108999999</v>
      </c>
      <c r="I32">
        <v>1</v>
      </c>
      <c r="J32">
        <f t="shared" si="5"/>
        <v>-1.3439912112519832</v>
      </c>
      <c r="K32">
        <f t="shared" si="6"/>
        <v>-0.49472515177521748</v>
      </c>
      <c r="L32">
        <v>1</v>
      </c>
      <c r="M32">
        <f t="shared" si="7"/>
        <v>0.44856361482890639</v>
      </c>
      <c r="N32">
        <f t="shared" si="13"/>
        <v>2.0864213600000001E-2</v>
      </c>
      <c r="O32">
        <f t="shared" si="11"/>
        <v>4.97588047209928E-3</v>
      </c>
      <c r="P32">
        <f t="shared" si="12"/>
        <v>2.0321442874211809E-2</v>
      </c>
      <c r="V32">
        <v>-3.2000000000000099</v>
      </c>
      <c r="W32">
        <f t="shared" si="9"/>
        <v>-0.3609599999999995</v>
      </c>
    </row>
    <row r="33" spans="1:23" x14ac:dyDescent="0.3">
      <c r="A33">
        <v>1.3486713000000001</v>
      </c>
      <c r="B33">
        <v>0.72399999999999998</v>
      </c>
      <c r="C33">
        <f t="shared" si="1"/>
        <v>0.97643802120000012</v>
      </c>
      <c r="D33">
        <v>1.6E-2</v>
      </c>
      <c r="E33">
        <v>3.8158201924077539E-3</v>
      </c>
      <c r="F33">
        <f t="shared" si="2"/>
        <v>269.73426000000001</v>
      </c>
      <c r="G33">
        <f t="shared" si="3"/>
        <v>-0.72399999999999998</v>
      </c>
      <c r="H33">
        <f t="shared" si="4"/>
        <v>-195.28760424000004</v>
      </c>
      <c r="I33">
        <v>1</v>
      </c>
      <c r="J33">
        <f t="shared" si="5"/>
        <v>-1.3103180268707137</v>
      </c>
      <c r="K33">
        <f t="shared" si="6"/>
        <v>-0.49772515177521748</v>
      </c>
      <c r="L33">
        <v>1</v>
      </c>
      <c r="M33">
        <f t="shared" si="7"/>
        <v>0.45015298913170232</v>
      </c>
      <c r="N33">
        <f t="shared" si="13"/>
        <v>2.1578740800000003E-2</v>
      </c>
      <c r="O33">
        <f t="shared" si="11"/>
        <v>5.1462871794608163E-3</v>
      </c>
      <c r="P33">
        <f t="shared" si="12"/>
        <v>2.0847134664054339E-2</v>
      </c>
      <c r="V33">
        <v>-3.1000000000000099</v>
      </c>
      <c r="W33">
        <f t="shared" si="9"/>
        <v>-0.36567999999999956</v>
      </c>
    </row>
    <row r="34" spans="1:23" x14ac:dyDescent="0.3">
      <c r="A34">
        <v>1.3933293</v>
      </c>
      <c r="B34">
        <v>0.72199999999999998</v>
      </c>
      <c r="C34">
        <f t="shared" si="1"/>
        <v>1.0059837545999999</v>
      </c>
      <c r="D34">
        <v>1.6E-2</v>
      </c>
      <c r="E34">
        <v>3.8158201924077539E-3</v>
      </c>
      <c r="F34">
        <f t="shared" si="2"/>
        <v>278.66586000000001</v>
      </c>
      <c r="G34">
        <f t="shared" si="3"/>
        <v>-0.72199999999999998</v>
      </c>
      <c r="H34">
        <f t="shared" si="4"/>
        <v>-201.19675091999997</v>
      </c>
      <c r="I34">
        <v>1</v>
      </c>
      <c r="J34">
        <f t="shared" si="5"/>
        <v>-1.2777418493065771</v>
      </c>
      <c r="K34">
        <f t="shared" si="6"/>
        <v>-0.49972515177521748</v>
      </c>
      <c r="L34">
        <v>1</v>
      </c>
      <c r="M34">
        <f t="shared" si="7"/>
        <v>0.4516905847127296</v>
      </c>
      <c r="N34">
        <f t="shared" si="13"/>
        <v>2.2293268800000002E-2</v>
      </c>
      <c r="O34">
        <f t="shared" si="11"/>
        <v>5.3166940776133613E-3</v>
      </c>
      <c r="P34">
        <f t="shared" si="12"/>
        <v>2.0424604184874514E-2</v>
      </c>
      <c r="V34">
        <v>-3.0000000000000102</v>
      </c>
      <c r="W34">
        <f t="shared" si="9"/>
        <v>-0.37039999999999951</v>
      </c>
    </row>
    <row r="35" spans="1:23" x14ac:dyDescent="0.3">
      <c r="A35">
        <v>1.4379873000000001</v>
      </c>
      <c r="B35">
        <v>0.71799999999999997</v>
      </c>
      <c r="C35">
        <f t="shared" si="1"/>
        <v>1.0324748814</v>
      </c>
      <c r="D35">
        <v>1.6E-2</v>
      </c>
      <c r="E35">
        <v>3.8158201924077539E-3</v>
      </c>
      <c r="F35">
        <f t="shared" si="2"/>
        <v>287.59746000000001</v>
      </c>
      <c r="G35">
        <f t="shared" si="3"/>
        <v>-0.71799999999999997</v>
      </c>
      <c r="H35">
        <f t="shared" si="4"/>
        <v>-206.49497628</v>
      </c>
      <c r="I35">
        <v>1</v>
      </c>
      <c r="J35">
        <f t="shared" si="5"/>
        <v>-1.2461934848849545</v>
      </c>
      <c r="K35">
        <f t="shared" si="6"/>
        <v>-0.50372515177521748</v>
      </c>
      <c r="L35">
        <v>1</v>
      </c>
      <c r="M35">
        <f t="shared" si="7"/>
        <v>0.45317966751343014</v>
      </c>
      <c r="N35">
        <f t="shared" si="13"/>
        <v>2.3007796800000001E-2</v>
      </c>
      <c r="O35">
        <f t="shared" si="11"/>
        <v>5.4871009757659073E-3</v>
      </c>
      <c r="P35">
        <f t="shared" si="12"/>
        <v>2.2050586486021435E-2</v>
      </c>
      <c r="V35">
        <v>-2.9000000000000101</v>
      </c>
      <c r="W35">
        <f t="shared" si="9"/>
        <v>-0.37511999999999956</v>
      </c>
    </row>
    <row r="36" spans="1:23" x14ac:dyDescent="0.3">
      <c r="A36">
        <v>1.4826453000000002</v>
      </c>
      <c r="B36">
        <v>0.71499999999999997</v>
      </c>
      <c r="C36">
        <f t="shared" si="1"/>
        <v>1.0600913895000001</v>
      </c>
      <c r="D36">
        <v>1.6E-2</v>
      </c>
      <c r="E36">
        <v>3.8158201924077539E-3</v>
      </c>
      <c r="F36">
        <f t="shared" si="2"/>
        <v>296.52906000000002</v>
      </c>
      <c r="G36">
        <f t="shared" si="3"/>
        <v>-0.71499999999999997</v>
      </c>
      <c r="H36">
        <f t="shared" si="4"/>
        <v>-212.01827790000004</v>
      </c>
      <c r="I36">
        <v>1</v>
      </c>
      <c r="J36">
        <f t="shared" si="5"/>
        <v>-1.2156100552289908</v>
      </c>
      <c r="K36">
        <f t="shared" si="6"/>
        <v>-0.50672515177521749</v>
      </c>
      <c r="L36">
        <v>1</v>
      </c>
      <c r="M36">
        <f t="shared" si="7"/>
        <v>0.45462320539319168</v>
      </c>
      <c r="N36">
        <f t="shared" si="13"/>
        <v>2.3722324800000003E-2</v>
      </c>
      <c r="O36">
        <f t="shared" si="11"/>
        <v>5.6575078739184523E-3</v>
      </c>
      <c r="P36">
        <f t="shared" si="12"/>
        <v>2.2722113708107353E-2</v>
      </c>
      <c r="V36">
        <v>-2.80000000000001</v>
      </c>
      <c r="W36">
        <f t="shared" si="9"/>
        <v>-0.37983999999999951</v>
      </c>
    </row>
    <row r="37" spans="1:23" x14ac:dyDescent="0.3">
      <c r="A37">
        <v>1.5273033</v>
      </c>
      <c r="B37">
        <v>0.71199999999999997</v>
      </c>
      <c r="C37">
        <f t="shared" si="1"/>
        <v>1.0874399496</v>
      </c>
      <c r="D37">
        <v>1.6E-2</v>
      </c>
      <c r="E37">
        <v>3.8158201924077539E-3</v>
      </c>
      <c r="F37">
        <f t="shared" si="2"/>
        <v>305.46066000000002</v>
      </c>
      <c r="G37">
        <f t="shared" si="3"/>
        <v>-0.71199999999999997</v>
      </c>
      <c r="H37">
        <f t="shared" si="4"/>
        <v>-217.48798991999999</v>
      </c>
      <c r="I37">
        <v>1</v>
      </c>
      <c r="J37">
        <f t="shared" si="5"/>
        <v>-1.1859342811664695</v>
      </c>
      <c r="K37">
        <f t="shared" si="6"/>
        <v>-0.50972515177521749</v>
      </c>
      <c r="L37">
        <v>1</v>
      </c>
      <c r="M37">
        <f t="shared" si="7"/>
        <v>0.45602390192894265</v>
      </c>
      <c r="N37">
        <f t="shared" si="13"/>
        <v>2.4436852800000002E-2</v>
      </c>
      <c r="O37">
        <f t="shared" si="11"/>
        <v>5.8279147720709974E-3</v>
      </c>
      <c r="P37">
        <f t="shared" si="12"/>
        <v>2.3436482274203835E-2</v>
      </c>
      <c r="V37">
        <v>-2.7000000000000099</v>
      </c>
      <c r="W37">
        <f t="shared" si="9"/>
        <v>-0.38455999999999957</v>
      </c>
    </row>
    <row r="38" spans="1:23" x14ac:dyDescent="0.3">
      <c r="A38">
        <v>1.57196125</v>
      </c>
      <c r="B38">
        <v>0.70899999999999996</v>
      </c>
      <c r="C38">
        <f t="shared" si="1"/>
        <v>1.11452052625</v>
      </c>
      <c r="D38">
        <v>1.6E-2</v>
      </c>
      <c r="E38">
        <v>3.8158201924077539E-3</v>
      </c>
      <c r="F38">
        <f t="shared" si="2"/>
        <v>314.39224999999999</v>
      </c>
      <c r="G38">
        <f t="shared" si="3"/>
        <v>-0.70899999999999996</v>
      </c>
      <c r="H38">
        <f t="shared" si="4"/>
        <v>-222.90410524999999</v>
      </c>
      <c r="I38">
        <v>1</v>
      </c>
      <c r="J38">
        <f t="shared" si="5"/>
        <v>-1.1571138688581315</v>
      </c>
      <c r="K38">
        <f t="shared" si="6"/>
        <v>-0.51272515177521749</v>
      </c>
      <c r="L38">
        <v>1</v>
      </c>
      <c r="M38">
        <f t="shared" si="7"/>
        <v>0.4573842253898962</v>
      </c>
      <c r="N38">
        <f t="shared" si="13"/>
        <v>2.5151380000000001E-2</v>
      </c>
      <c r="O38">
        <f t="shared" si="11"/>
        <v>5.9983214794325336E-3</v>
      </c>
      <c r="P38">
        <f t="shared" si="12"/>
        <v>2.4191224905888754E-2</v>
      </c>
      <c r="V38">
        <v>-2.6000000000000099</v>
      </c>
      <c r="W38">
        <f t="shared" si="9"/>
        <v>-0.38927999999999952</v>
      </c>
    </row>
    <row r="39" spans="1:23" x14ac:dyDescent="0.3">
      <c r="A39">
        <v>1.62555085</v>
      </c>
      <c r="B39">
        <v>0.70699999999999996</v>
      </c>
      <c r="C39">
        <f t="shared" si="1"/>
        <v>1.1492644509499998</v>
      </c>
      <c r="D39">
        <v>1.6E-2</v>
      </c>
      <c r="E39">
        <v>3.8158201924077539E-3</v>
      </c>
      <c r="F39">
        <f t="shared" si="2"/>
        <v>325.11016999999998</v>
      </c>
      <c r="G39">
        <f t="shared" si="3"/>
        <v>-0.70699999999999996</v>
      </c>
      <c r="H39">
        <f t="shared" si="4"/>
        <v>-229.85289018999998</v>
      </c>
      <c r="I39">
        <v>1</v>
      </c>
      <c r="J39">
        <f t="shared" si="5"/>
        <v>-1.1235911694793188</v>
      </c>
      <c r="K39">
        <f t="shared" si="6"/>
        <v>-0.51472515177521749</v>
      </c>
      <c r="L39">
        <v>1</v>
      </c>
      <c r="M39">
        <f t="shared" si="7"/>
        <v>0.45896649680057616</v>
      </c>
      <c r="N39">
        <f t="shared" si="13"/>
        <v>2.60088136E-2</v>
      </c>
      <c r="O39">
        <f t="shared" si="11"/>
        <v>6.2028097572155881E-3</v>
      </c>
      <c r="P39">
        <f t="shared" si="12"/>
        <v>2.3547031617425742E-2</v>
      </c>
      <c r="V39">
        <v>-2.5000000000000102</v>
      </c>
      <c r="W39">
        <f t="shared" si="9"/>
        <v>-0.39399999999999952</v>
      </c>
    </row>
    <row r="40" spans="1:23" x14ac:dyDescent="0.3">
      <c r="A40">
        <v>1.6702088499999999</v>
      </c>
      <c r="B40">
        <v>0.70399999999999996</v>
      </c>
      <c r="C40">
        <f t="shared" si="1"/>
        <v>1.1758270303999998</v>
      </c>
      <c r="D40">
        <v>1.6E-2</v>
      </c>
      <c r="E40">
        <v>3.8158201924077539E-3</v>
      </c>
      <c r="F40">
        <f t="shared" si="2"/>
        <v>334.04176999999999</v>
      </c>
      <c r="G40">
        <f t="shared" si="3"/>
        <v>-0.70399999999999996</v>
      </c>
      <c r="H40">
        <f t="shared" si="4"/>
        <v>-235.16540607999997</v>
      </c>
      <c r="I40">
        <v>1</v>
      </c>
      <c r="J40">
        <f t="shared" si="5"/>
        <v>-1.0964892339445322</v>
      </c>
      <c r="K40">
        <f t="shared" si="6"/>
        <v>-0.5177251517752175</v>
      </c>
      <c r="L40">
        <v>1</v>
      </c>
      <c r="M40">
        <f t="shared" si="7"/>
        <v>0.46024570815781807</v>
      </c>
      <c r="N40">
        <f t="shared" si="13"/>
        <v>2.6723341599999999E-2</v>
      </c>
      <c r="O40">
        <f t="shared" si="11"/>
        <v>6.3732166553681332E-3</v>
      </c>
      <c r="P40">
        <f t="shared" si="12"/>
        <v>2.4382885362031297E-2</v>
      </c>
      <c r="V40">
        <v>-2.4000000000000101</v>
      </c>
      <c r="W40">
        <f t="shared" si="9"/>
        <v>-0.39871999999999952</v>
      </c>
    </row>
    <row r="41" spans="1:23" x14ac:dyDescent="0.3">
      <c r="A41">
        <v>1.7148668499999999</v>
      </c>
      <c r="B41">
        <v>0.70099999999999996</v>
      </c>
      <c r="C41">
        <f t="shared" si="1"/>
        <v>1.2021216618499999</v>
      </c>
      <c r="D41">
        <v>1.6E-2</v>
      </c>
      <c r="E41">
        <v>3.8158201924077539E-3</v>
      </c>
      <c r="F41">
        <f t="shared" si="2"/>
        <v>342.97336999999999</v>
      </c>
      <c r="G41">
        <f t="shared" si="3"/>
        <v>-0.70099999999999996</v>
      </c>
      <c r="H41">
        <f t="shared" si="4"/>
        <v>-240.42433236999997</v>
      </c>
      <c r="I41">
        <v>1</v>
      </c>
      <c r="J41">
        <f t="shared" si="5"/>
        <v>-1.0701024733141853</v>
      </c>
      <c r="K41">
        <f t="shared" si="6"/>
        <v>-0.5207251517752175</v>
      </c>
      <c r="L41">
        <v>1</v>
      </c>
      <c r="M41">
        <f t="shared" si="7"/>
        <v>0.46149116325957046</v>
      </c>
      <c r="N41">
        <f t="shared" si="13"/>
        <v>2.7437869600000001E-2</v>
      </c>
      <c r="O41">
        <f t="shared" si="11"/>
        <v>6.5436235535206791E-3</v>
      </c>
      <c r="P41">
        <f t="shared" si="12"/>
        <v>2.5252495362126363E-2</v>
      </c>
      <c r="V41">
        <v>-2.30000000000001</v>
      </c>
      <c r="W41">
        <f t="shared" si="9"/>
        <v>-0.40343999999999952</v>
      </c>
    </row>
    <row r="42" spans="1:23" x14ac:dyDescent="0.3">
      <c r="A42">
        <v>1.75952485</v>
      </c>
      <c r="B42">
        <v>0.69799999999999995</v>
      </c>
      <c r="C42">
        <f t="shared" si="1"/>
        <v>1.2281483452999999</v>
      </c>
      <c r="D42">
        <v>1.6E-2</v>
      </c>
      <c r="E42">
        <v>3.8158201924077539E-3</v>
      </c>
      <c r="F42">
        <f t="shared" si="2"/>
        <v>351.90496999999999</v>
      </c>
      <c r="G42">
        <f t="shared" si="3"/>
        <v>-0.69799999999999995</v>
      </c>
      <c r="H42">
        <f t="shared" si="4"/>
        <v>-245.62966906</v>
      </c>
      <c r="I42">
        <v>1</v>
      </c>
      <c r="J42">
        <f t="shared" si="5"/>
        <v>-1.0443941114238393</v>
      </c>
      <c r="K42">
        <f t="shared" si="6"/>
        <v>-0.5237251517752175</v>
      </c>
      <c r="L42">
        <v>1</v>
      </c>
      <c r="M42">
        <f t="shared" si="7"/>
        <v>0.46270459794079477</v>
      </c>
      <c r="N42">
        <f t="shared" si="13"/>
        <v>2.81523976E-2</v>
      </c>
      <c r="O42">
        <f t="shared" si="11"/>
        <v>6.7140304516732242E-3</v>
      </c>
      <c r="P42">
        <f t="shared" si="12"/>
        <v>2.6154125782749504E-2</v>
      </c>
      <c r="V42">
        <v>-2.2000000000000099</v>
      </c>
      <c r="W42">
        <f t="shared" si="9"/>
        <v>-0.40815999999999952</v>
      </c>
    </row>
    <row r="43" spans="1:23" x14ac:dyDescent="0.3">
      <c r="A43">
        <v>1.8041828000000002</v>
      </c>
      <c r="B43">
        <v>0.69499999999999995</v>
      </c>
      <c r="C43">
        <f t="shared" si="1"/>
        <v>1.2539070460000001</v>
      </c>
      <c r="D43">
        <v>1.6E-2</v>
      </c>
      <c r="E43">
        <v>3.8158201924077539E-3</v>
      </c>
      <c r="F43">
        <f t="shared" si="2"/>
        <v>360.83656000000002</v>
      </c>
      <c r="G43">
        <f t="shared" si="3"/>
        <v>-0.69499999999999995</v>
      </c>
      <c r="H43">
        <f t="shared" si="4"/>
        <v>-250.78140920000004</v>
      </c>
      <c r="I43">
        <v>1</v>
      </c>
      <c r="J43">
        <f t="shared" si="5"/>
        <v>-1.0193301655503042</v>
      </c>
      <c r="K43">
        <f t="shared" si="6"/>
        <v>-0.5267251517752175</v>
      </c>
      <c r="L43">
        <v>1</v>
      </c>
      <c r="M43">
        <f t="shared" si="7"/>
        <v>0.46388761618602564</v>
      </c>
      <c r="N43">
        <f t="shared" si="13"/>
        <v>2.8866924800000002E-2</v>
      </c>
      <c r="O43">
        <f t="shared" si="11"/>
        <v>6.8844371590347612E-3</v>
      </c>
      <c r="P43">
        <f t="shared" si="12"/>
        <v>2.7086173630157102E-2</v>
      </c>
      <c r="V43">
        <v>-2.1000000000000099</v>
      </c>
      <c r="W43">
        <f t="shared" si="9"/>
        <v>-0.41287999999999958</v>
      </c>
    </row>
    <row r="44" spans="1:23" x14ac:dyDescent="0.3">
      <c r="A44">
        <v>1.8488408000000001</v>
      </c>
      <c r="B44">
        <v>0.69199999999999995</v>
      </c>
      <c r="C44">
        <f t="shared" si="1"/>
        <v>1.2793978336</v>
      </c>
      <c r="D44">
        <v>1.6E-2</v>
      </c>
      <c r="E44">
        <v>3.8158201924077539E-3</v>
      </c>
      <c r="F44">
        <f t="shared" si="2"/>
        <v>369.76816000000002</v>
      </c>
      <c r="G44">
        <f t="shared" si="3"/>
        <v>-0.69199999999999995</v>
      </c>
      <c r="H44">
        <f t="shared" si="4"/>
        <v>-255.87956672000001</v>
      </c>
      <c r="I44">
        <v>1</v>
      </c>
      <c r="J44">
        <f t="shared" si="5"/>
        <v>-0.99487906433089768</v>
      </c>
      <c r="K44">
        <f t="shared" si="6"/>
        <v>-0.52972515177521751</v>
      </c>
      <c r="L44">
        <v>1</v>
      </c>
      <c r="M44">
        <f t="shared" si="7"/>
        <v>0.46504170816358165</v>
      </c>
      <c r="N44">
        <f t="shared" si="13"/>
        <v>2.9581452800000001E-2</v>
      </c>
      <c r="O44">
        <f t="shared" si="11"/>
        <v>7.0548440571873063E-3</v>
      </c>
      <c r="P44">
        <f t="shared" si="12"/>
        <v>2.8047146754448547E-2</v>
      </c>
      <c r="V44">
        <v>-2.0000000000000102</v>
      </c>
      <c r="W44">
        <f t="shared" si="9"/>
        <v>-0.41759999999999953</v>
      </c>
    </row>
    <row r="45" spans="1:23" x14ac:dyDescent="0.3">
      <c r="A45">
        <v>1.8934988000000001</v>
      </c>
      <c r="B45">
        <v>0.69</v>
      </c>
      <c r="C45">
        <f t="shared" si="1"/>
        <v>1.306514172</v>
      </c>
      <c r="D45">
        <v>1.6E-2</v>
      </c>
      <c r="E45">
        <v>3.8158201924077539E-3</v>
      </c>
      <c r="F45">
        <f t="shared" si="2"/>
        <v>378.69976000000003</v>
      </c>
      <c r="G45">
        <f t="shared" si="3"/>
        <v>-0.69</v>
      </c>
      <c r="H45">
        <f t="shared" si="4"/>
        <v>-261.30283439999999</v>
      </c>
      <c r="I45">
        <v>1</v>
      </c>
      <c r="J45">
        <f t="shared" si="5"/>
        <v>-0.97101157782161795</v>
      </c>
      <c r="K45">
        <f t="shared" si="6"/>
        <v>-0.53172515177521751</v>
      </c>
      <c r="L45">
        <v>1</v>
      </c>
      <c r="M45">
        <f t="shared" si="7"/>
        <v>0.46616825352681962</v>
      </c>
      <c r="N45">
        <f t="shared" si="13"/>
        <v>3.0295980800000004E-2</v>
      </c>
      <c r="O45">
        <f t="shared" si="11"/>
        <v>7.2252509553398514E-3</v>
      </c>
      <c r="P45">
        <f t="shared" si="12"/>
        <v>2.8035666493058033E-2</v>
      </c>
      <c r="V45">
        <v>-1.9000000000000099</v>
      </c>
      <c r="W45">
        <f t="shared" si="9"/>
        <v>-0.42231999999999953</v>
      </c>
    </row>
    <row r="46" spans="1:23" x14ac:dyDescent="0.3">
      <c r="A46">
        <v>1.9381567999999998</v>
      </c>
      <c r="B46">
        <v>0.68700000000000006</v>
      </c>
      <c r="C46">
        <f t="shared" si="1"/>
        <v>1.3315137215999999</v>
      </c>
      <c r="D46">
        <v>1.6E-2</v>
      </c>
      <c r="E46">
        <v>3.8158201924077539E-3</v>
      </c>
      <c r="F46">
        <f t="shared" si="2"/>
        <v>387.63135999999997</v>
      </c>
      <c r="G46">
        <f t="shared" si="3"/>
        <v>-0.68700000000000006</v>
      </c>
      <c r="H46">
        <f t="shared" si="4"/>
        <v>-266.30274431999999</v>
      </c>
      <c r="I46">
        <v>1</v>
      </c>
      <c r="J46">
        <f t="shared" si="5"/>
        <v>-0.94770049408567925</v>
      </c>
      <c r="K46">
        <f t="shared" si="6"/>
        <v>-0.5347251517752174</v>
      </c>
      <c r="L46">
        <v>1</v>
      </c>
      <c r="M46">
        <f t="shared" si="7"/>
        <v>0.46726853667915597</v>
      </c>
      <c r="N46">
        <f t="shared" si="13"/>
        <v>3.1010508799999996E-2</v>
      </c>
      <c r="O46">
        <f t="shared" si="11"/>
        <v>7.3956578534923956E-3</v>
      </c>
      <c r="P46">
        <f t="shared" si="12"/>
        <v>2.9050448442569043E-2</v>
      </c>
      <c r="V46">
        <v>-1.80000000000001</v>
      </c>
      <c r="W46">
        <f t="shared" si="9"/>
        <v>-0.42703999999999953</v>
      </c>
    </row>
    <row r="47" spans="1:23" x14ac:dyDescent="0.3">
      <c r="A47">
        <v>1.9917464</v>
      </c>
      <c r="B47">
        <v>0.68400000000000005</v>
      </c>
      <c r="C47">
        <f t="shared" si="1"/>
        <v>1.3623545376000001</v>
      </c>
      <c r="D47">
        <v>1.6E-2</v>
      </c>
      <c r="E47">
        <v>3.8158201924077539E-3</v>
      </c>
      <c r="F47">
        <f t="shared" si="2"/>
        <v>398.34928000000002</v>
      </c>
      <c r="G47">
        <f t="shared" si="3"/>
        <v>-0.68400000000000005</v>
      </c>
      <c r="H47">
        <f t="shared" si="4"/>
        <v>-272.47090752000003</v>
      </c>
      <c r="I47">
        <v>1</v>
      </c>
      <c r="J47">
        <f t="shared" si="5"/>
        <v>-0.9204260706131504</v>
      </c>
      <c r="K47">
        <f t="shared" si="6"/>
        <v>-0.5377251517752174</v>
      </c>
      <c r="L47">
        <v>1</v>
      </c>
      <c r="M47">
        <f t="shared" si="7"/>
        <v>0.46855588946705928</v>
      </c>
      <c r="N47">
        <f t="shared" si="13"/>
        <v>3.1867942400000002E-2</v>
      </c>
      <c r="O47">
        <f t="shared" si="11"/>
        <v>7.6001461312754518E-3</v>
      </c>
      <c r="P47">
        <f t="shared" si="12"/>
        <v>2.9701173776882667E-2</v>
      </c>
      <c r="V47">
        <v>-1.7000000000000199</v>
      </c>
      <c r="W47">
        <f t="shared" si="9"/>
        <v>-0.43175999999999909</v>
      </c>
    </row>
    <row r="48" spans="1:23" x14ac:dyDescent="0.3">
      <c r="A48">
        <v>2.0364044000000003</v>
      </c>
      <c r="B48">
        <v>0.68200000000000005</v>
      </c>
      <c r="C48">
        <f t="shared" si="1"/>
        <v>1.3888278008000003</v>
      </c>
      <c r="D48">
        <v>1.6E-2</v>
      </c>
      <c r="E48">
        <v>3.8158201924077539E-3</v>
      </c>
      <c r="F48">
        <f t="shared" si="2"/>
        <v>407.28088000000008</v>
      </c>
      <c r="G48">
        <f t="shared" si="3"/>
        <v>-0.68200000000000005</v>
      </c>
      <c r="H48">
        <f t="shared" si="4"/>
        <v>-277.76556016000006</v>
      </c>
      <c r="I48">
        <v>1</v>
      </c>
      <c r="J48">
        <f t="shared" si="5"/>
        <v>-0.89825220871468836</v>
      </c>
      <c r="K48">
        <f t="shared" si="6"/>
        <v>-0.5397251517752174</v>
      </c>
      <c r="L48">
        <v>1</v>
      </c>
      <c r="M48">
        <f t="shared" si="7"/>
        <v>0.46960249574866675</v>
      </c>
      <c r="N48">
        <f t="shared" si="13"/>
        <v>3.2582470400000008E-2</v>
      </c>
      <c r="O48">
        <f t="shared" si="11"/>
        <v>7.7705530294279977E-3</v>
      </c>
      <c r="P48">
        <f t="shared" si="12"/>
        <v>2.9769632597122651E-2</v>
      </c>
      <c r="V48">
        <v>-1.6000000000000201</v>
      </c>
      <c r="W48">
        <f t="shared" si="9"/>
        <v>-0.43647999999999909</v>
      </c>
    </row>
    <row r="49" spans="1:23" x14ac:dyDescent="0.3">
      <c r="A49">
        <v>2.0810623499999998</v>
      </c>
      <c r="B49">
        <v>0.67900000000000005</v>
      </c>
      <c r="C49">
        <f t="shared" si="1"/>
        <v>1.41304133565</v>
      </c>
      <c r="D49">
        <v>1.6E-2</v>
      </c>
      <c r="E49">
        <v>3.8158201924077539E-3</v>
      </c>
      <c r="F49">
        <f t="shared" si="2"/>
        <v>416.21246999999994</v>
      </c>
      <c r="G49">
        <f t="shared" si="3"/>
        <v>-0.67900000000000005</v>
      </c>
      <c r="H49">
        <f t="shared" si="4"/>
        <v>-282.60826713</v>
      </c>
      <c r="I49">
        <v>1</v>
      </c>
      <c r="J49">
        <f t="shared" si="5"/>
        <v>-0.87655940391449783</v>
      </c>
      <c r="K49">
        <f t="shared" si="6"/>
        <v>-0.54272515177521741</v>
      </c>
      <c r="L49">
        <v>1</v>
      </c>
      <c r="M49">
        <f t="shared" si="7"/>
        <v>0.47062639613523571</v>
      </c>
      <c r="N49">
        <f t="shared" si="13"/>
        <v>3.3296997599999996E-2</v>
      </c>
      <c r="O49">
        <f t="shared" si="11"/>
        <v>7.9409597367895313E-3</v>
      </c>
      <c r="P49">
        <f t="shared" si="12"/>
        <v>3.0860798303192168E-2</v>
      </c>
      <c r="V49">
        <v>-1.50000000000002</v>
      </c>
      <c r="W49">
        <f t="shared" si="9"/>
        <v>-0.44119999999999904</v>
      </c>
    </row>
    <row r="50" spans="1:23" x14ac:dyDescent="0.3">
      <c r="A50">
        <v>2.1257203499999999</v>
      </c>
      <c r="B50">
        <v>0.67600000000000005</v>
      </c>
      <c r="C50">
        <f t="shared" si="1"/>
        <v>1.4369869566</v>
      </c>
      <c r="D50">
        <v>1.6E-2</v>
      </c>
      <c r="E50">
        <v>3.8158201924077539E-3</v>
      </c>
      <c r="F50">
        <f t="shared" si="2"/>
        <v>425.14407</v>
      </c>
      <c r="G50">
        <f t="shared" si="3"/>
        <v>-0.67600000000000005</v>
      </c>
      <c r="H50">
        <f t="shared" si="4"/>
        <v>-287.39739132</v>
      </c>
      <c r="I50">
        <v>1</v>
      </c>
      <c r="J50">
        <f t="shared" si="5"/>
        <v>-0.85532717926595658</v>
      </c>
      <c r="K50">
        <f t="shared" si="6"/>
        <v>-0.54572515177521741</v>
      </c>
      <c r="L50">
        <v>1</v>
      </c>
      <c r="M50">
        <f t="shared" si="7"/>
        <v>0.47162855713864688</v>
      </c>
      <c r="N50">
        <f t="shared" si="13"/>
        <v>3.4011525600000002E-2</v>
      </c>
      <c r="O50">
        <f t="shared" si="11"/>
        <v>8.1113666349420781E-3</v>
      </c>
      <c r="P50">
        <f t="shared" si="12"/>
        <v>3.1973702401628452E-2</v>
      </c>
      <c r="V50">
        <v>-1.4000000000000199</v>
      </c>
      <c r="W50">
        <f t="shared" si="9"/>
        <v>-0.44591999999999909</v>
      </c>
    </row>
    <row r="51" spans="1:23" x14ac:dyDescent="0.3">
      <c r="A51">
        <v>2.1793099499999999</v>
      </c>
      <c r="B51">
        <v>0.67300000000000004</v>
      </c>
      <c r="C51">
        <f t="shared" si="1"/>
        <v>1.46667559635</v>
      </c>
      <c r="D51">
        <v>1.6E-2</v>
      </c>
      <c r="E51">
        <v>3.8158201924077539E-3</v>
      </c>
      <c r="F51">
        <f t="shared" si="2"/>
        <v>435.86198999999999</v>
      </c>
      <c r="G51">
        <f t="shared" si="3"/>
        <v>-0.67300000000000004</v>
      </c>
      <c r="H51">
        <f t="shared" si="4"/>
        <v>-293.33511927000001</v>
      </c>
      <c r="I51">
        <v>1</v>
      </c>
      <c r="J51">
        <f t="shared" si="5"/>
        <v>-0.83042962243866525</v>
      </c>
      <c r="K51">
        <f t="shared" si="6"/>
        <v>-0.54872515177521741</v>
      </c>
      <c r="L51">
        <v>1</v>
      </c>
      <c r="M51">
        <f t="shared" si="7"/>
        <v>0.47280372182089503</v>
      </c>
      <c r="N51">
        <f t="shared" si="13"/>
        <v>3.4868959200000001E-2</v>
      </c>
      <c r="O51">
        <f t="shared" si="11"/>
        <v>8.3158549127251326E-3</v>
      </c>
      <c r="P51">
        <f t="shared" si="12"/>
        <v>3.2736615841597247E-2</v>
      </c>
      <c r="V51">
        <v>-1.30000000000002</v>
      </c>
      <c r="W51">
        <f t="shared" si="9"/>
        <v>-0.45063999999999904</v>
      </c>
    </row>
    <row r="52" spans="1:23" x14ac:dyDescent="0.3">
      <c r="A52">
        <v>2.22396795</v>
      </c>
      <c r="B52">
        <v>0.67100000000000004</v>
      </c>
      <c r="C52">
        <f t="shared" si="1"/>
        <v>1.4922824944500002</v>
      </c>
      <c r="D52">
        <v>1.6E-2</v>
      </c>
      <c r="E52">
        <v>3.8158201924077539E-3</v>
      </c>
      <c r="F52">
        <f t="shared" si="2"/>
        <v>444.79358999999999</v>
      </c>
      <c r="G52">
        <f t="shared" si="3"/>
        <v>-0.67100000000000004</v>
      </c>
      <c r="H52">
        <f t="shared" si="4"/>
        <v>-298.45649889000003</v>
      </c>
      <c r="I52">
        <v>1</v>
      </c>
      <c r="J52">
        <f t="shared" si="5"/>
        <v>-0.81014494712082641</v>
      </c>
      <c r="K52">
        <f t="shared" si="6"/>
        <v>-0.55072515177521741</v>
      </c>
      <c r="L52">
        <v>1</v>
      </c>
      <c r="M52">
        <f t="shared" si="7"/>
        <v>0.47376115849589701</v>
      </c>
      <c r="N52">
        <f t="shared" si="13"/>
        <v>3.55834872E-2</v>
      </c>
      <c r="O52">
        <f t="shared" si="11"/>
        <v>8.4862618108776777E-3</v>
      </c>
      <c r="P52">
        <f t="shared" si="12"/>
        <v>3.2894244268442729E-2</v>
      </c>
      <c r="V52">
        <v>-1.2000000000000199</v>
      </c>
      <c r="W52">
        <f t="shared" si="9"/>
        <v>-0.4553599999999991</v>
      </c>
    </row>
    <row r="53" spans="1:23" x14ac:dyDescent="0.3">
      <c r="A53">
        <v>2.2686259500000001</v>
      </c>
      <c r="B53">
        <v>0.66800000000000004</v>
      </c>
      <c r="C53">
        <f t="shared" si="1"/>
        <v>1.5154421346000002</v>
      </c>
      <c r="D53">
        <v>1.6E-2</v>
      </c>
      <c r="E53">
        <v>3.8158201924077539E-3</v>
      </c>
      <c r="F53">
        <f t="shared" si="2"/>
        <v>453.72519</v>
      </c>
      <c r="G53">
        <f t="shared" si="3"/>
        <v>-0.66800000000000004</v>
      </c>
      <c r="H53">
        <f t="shared" si="4"/>
        <v>-303.08842692000002</v>
      </c>
      <c r="I53">
        <v>1</v>
      </c>
      <c r="J53">
        <f t="shared" si="5"/>
        <v>-0.79026357258390612</v>
      </c>
      <c r="K53">
        <f t="shared" si="6"/>
        <v>-0.55372515177521742</v>
      </c>
      <c r="L53">
        <v>1</v>
      </c>
      <c r="M53">
        <f t="shared" si="7"/>
        <v>0.47469955937403963</v>
      </c>
      <c r="N53">
        <f t="shared" si="13"/>
        <v>3.6298015200000006E-2</v>
      </c>
      <c r="O53">
        <f t="shared" si="11"/>
        <v>8.6566687090302245E-3</v>
      </c>
      <c r="P53">
        <f t="shared" si="12"/>
        <v>3.4070908492147563E-2</v>
      </c>
      <c r="V53">
        <v>-1.1000000000000201</v>
      </c>
      <c r="W53">
        <f t="shared" si="9"/>
        <v>-0.46007999999999905</v>
      </c>
    </row>
    <row r="54" spans="1:23" x14ac:dyDescent="0.3">
      <c r="A54">
        <v>2.3132839000000001</v>
      </c>
      <c r="B54">
        <v>0.66600000000000004</v>
      </c>
      <c r="C54">
        <f t="shared" si="1"/>
        <v>1.5406470774000001</v>
      </c>
      <c r="D54">
        <v>1.6E-2</v>
      </c>
      <c r="E54">
        <v>3.8158201924077539E-3</v>
      </c>
      <c r="F54">
        <f t="shared" si="2"/>
        <v>462.65678000000003</v>
      </c>
      <c r="G54">
        <f t="shared" si="3"/>
        <v>-0.66600000000000004</v>
      </c>
      <c r="H54">
        <f t="shared" si="4"/>
        <v>-308.12941548000003</v>
      </c>
      <c r="I54">
        <v>1</v>
      </c>
      <c r="J54">
        <f t="shared" si="5"/>
        <v>-0.77076979568789517</v>
      </c>
      <c r="K54">
        <f t="shared" si="6"/>
        <v>-0.55572515177521742</v>
      </c>
      <c r="L54">
        <v>1</v>
      </c>
      <c r="M54">
        <f t="shared" si="7"/>
        <v>0.47561966564353136</v>
      </c>
      <c r="N54">
        <f t="shared" si="13"/>
        <v>3.7012542400000001E-2</v>
      </c>
      <c r="O54">
        <f t="shared" si="11"/>
        <v>8.8270754163917598E-3</v>
      </c>
      <c r="P54">
        <f t="shared" si="12"/>
        <v>3.4265868315294296E-2</v>
      </c>
      <c r="V54">
        <v>-1.00000000000002</v>
      </c>
      <c r="W54">
        <f t="shared" si="9"/>
        <v>-0.46479999999999905</v>
      </c>
    </row>
    <row r="55" spans="1:23" x14ac:dyDescent="0.3">
      <c r="A55">
        <v>2.3579418999999997</v>
      </c>
      <c r="B55">
        <v>0.66300000000000003</v>
      </c>
      <c r="C55">
        <f t="shared" si="1"/>
        <v>1.5633154797</v>
      </c>
      <c r="D55">
        <v>1.6E-2</v>
      </c>
      <c r="E55">
        <v>3.8158201924077539E-3</v>
      </c>
      <c r="F55">
        <f t="shared" si="2"/>
        <v>471.58837999999992</v>
      </c>
      <c r="G55">
        <f t="shared" si="3"/>
        <v>-0.66300000000000003</v>
      </c>
      <c r="H55">
        <f t="shared" si="4"/>
        <v>-312.66309594000001</v>
      </c>
      <c r="I55">
        <v>1</v>
      </c>
      <c r="J55">
        <f t="shared" si="5"/>
        <v>-0.75164875014750065</v>
      </c>
      <c r="K55">
        <f t="shared" si="6"/>
        <v>-0.55872515177521742</v>
      </c>
      <c r="L55">
        <v>1</v>
      </c>
      <c r="M55">
        <f t="shared" si="7"/>
        <v>0.476522178993038</v>
      </c>
      <c r="N55">
        <f t="shared" si="13"/>
        <v>3.7727070399999993E-2</v>
      </c>
      <c r="O55">
        <f t="shared" si="11"/>
        <v>8.9974823145443032E-3</v>
      </c>
      <c r="P55">
        <f t="shared" si="12"/>
        <v>3.5478420067635123E-2</v>
      </c>
      <c r="V55">
        <v>-0.90000000000002001</v>
      </c>
      <c r="W55">
        <f t="shared" si="9"/>
        <v>-0.46951999999999905</v>
      </c>
    </row>
    <row r="56" spans="1:23" x14ac:dyDescent="0.3">
      <c r="A56">
        <v>2.4115315000000002</v>
      </c>
      <c r="B56">
        <v>0.66</v>
      </c>
      <c r="C56">
        <f t="shared" si="1"/>
        <v>1.5916107900000003</v>
      </c>
      <c r="D56">
        <v>1.6E-2</v>
      </c>
      <c r="E56">
        <v>3.8158201924077539E-3</v>
      </c>
      <c r="F56">
        <f t="shared" si="2"/>
        <v>482.30630000000002</v>
      </c>
      <c r="G56">
        <f t="shared" si="3"/>
        <v>-0.66</v>
      </c>
      <c r="H56">
        <f t="shared" si="4"/>
        <v>-318.32215800000006</v>
      </c>
      <c r="I56">
        <v>1</v>
      </c>
      <c r="J56">
        <f t="shared" si="5"/>
        <v>-0.72917588958323454</v>
      </c>
      <c r="K56">
        <f t="shared" si="6"/>
        <v>-0.56172515177521742</v>
      </c>
      <c r="L56">
        <v>1</v>
      </c>
      <c r="M56">
        <f t="shared" si="7"/>
        <v>0.47758289801167136</v>
      </c>
      <c r="N56">
        <f t="shared" si="13"/>
        <v>3.8584504000000006E-2</v>
      </c>
      <c r="O56">
        <f t="shared" si="11"/>
        <v>9.2019705923273593E-3</v>
      </c>
      <c r="P56">
        <f t="shared" si="12"/>
        <v>3.6355779171218697E-2</v>
      </c>
      <c r="V56">
        <v>-0.80000000000002003</v>
      </c>
      <c r="W56">
        <f t="shared" si="9"/>
        <v>-0.47423999999999905</v>
      </c>
    </row>
    <row r="57" spans="1:23" x14ac:dyDescent="0.3">
      <c r="A57">
        <v>2.4561895000000002</v>
      </c>
      <c r="B57">
        <v>0.65800000000000003</v>
      </c>
      <c r="C57">
        <f t="shared" si="1"/>
        <v>1.6161726910000003</v>
      </c>
      <c r="D57">
        <v>1.6E-2</v>
      </c>
      <c r="E57">
        <v>3.8158201924077539E-3</v>
      </c>
      <c r="F57">
        <f t="shared" si="2"/>
        <v>491.23790000000002</v>
      </c>
      <c r="G57">
        <f t="shared" si="3"/>
        <v>-0.65800000000000003</v>
      </c>
      <c r="H57">
        <f t="shared" si="4"/>
        <v>-323.23453820000003</v>
      </c>
      <c r="I57">
        <v>1</v>
      </c>
      <c r="J57">
        <f t="shared" si="5"/>
        <v>-0.71082674714527216</v>
      </c>
      <c r="K57">
        <f t="shared" si="6"/>
        <v>-0.56372515177521743</v>
      </c>
      <c r="L57">
        <v>1</v>
      </c>
      <c r="M57">
        <f t="shared" si="7"/>
        <v>0.47844897753474314</v>
      </c>
      <c r="N57">
        <f t="shared" si="13"/>
        <v>3.9299032000000005E-2</v>
      </c>
      <c r="O57">
        <f t="shared" si="11"/>
        <v>9.3723774904799061E-3</v>
      </c>
      <c r="P57">
        <f t="shared" si="12"/>
        <v>3.6604764749994377E-2</v>
      </c>
      <c r="V57">
        <v>-0.70000000000002005</v>
      </c>
      <c r="W57">
        <f t="shared" si="9"/>
        <v>-0.47895999999999905</v>
      </c>
    </row>
    <row r="58" spans="1:23" x14ac:dyDescent="0.3">
      <c r="A58">
        <v>2.5008475000000003</v>
      </c>
      <c r="B58">
        <v>0.65500000000000003</v>
      </c>
      <c r="C58">
        <f t="shared" si="1"/>
        <v>1.6380551125000002</v>
      </c>
      <c r="D58">
        <v>1.6E-2</v>
      </c>
      <c r="E58">
        <v>3.8158201924077539E-3</v>
      </c>
      <c r="F58">
        <f t="shared" si="2"/>
        <v>500.16950000000008</v>
      </c>
      <c r="G58">
        <f t="shared" si="3"/>
        <v>-0.65500000000000003</v>
      </c>
      <c r="H58">
        <f t="shared" si="4"/>
        <v>-327.61102250000005</v>
      </c>
      <c r="I58">
        <v>1</v>
      </c>
      <c r="J58">
        <f t="shared" si="5"/>
        <v>-0.6928082380074625</v>
      </c>
      <c r="K58">
        <f t="shared" si="6"/>
        <v>-0.56672515177521743</v>
      </c>
      <c r="L58">
        <v>1</v>
      </c>
      <c r="M58">
        <f t="shared" si="7"/>
        <v>0.47929945116604777</v>
      </c>
      <c r="N58">
        <f t="shared" si="13"/>
        <v>4.0013560000000004E-2</v>
      </c>
      <c r="O58">
        <f t="shared" si="11"/>
        <v>9.5427843886324512E-3</v>
      </c>
      <c r="P58">
        <f t="shared" si="12"/>
        <v>3.7869356220537199E-2</v>
      </c>
      <c r="V58">
        <v>-0.60000000000001996</v>
      </c>
      <c r="W58">
        <f t="shared" si="9"/>
        <v>-0.48367999999999906</v>
      </c>
    </row>
    <row r="59" spans="1:23" x14ac:dyDescent="0.3">
      <c r="A59">
        <v>2.5455054499999998</v>
      </c>
      <c r="B59">
        <v>0.65200000000000002</v>
      </c>
      <c r="C59">
        <f t="shared" si="1"/>
        <v>1.6596695533999999</v>
      </c>
      <c r="D59">
        <v>1.6E-2</v>
      </c>
      <c r="E59">
        <v>3.8158201924077539E-3</v>
      </c>
      <c r="F59">
        <f t="shared" si="2"/>
        <v>509.10108999999994</v>
      </c>
      <c r="G59">
        <f t="shared" si="3"/>
        <v>-0.65200000000000002</v>
      </c>
      <c r="H59">
        <f t="shared" si="4"/>
        <v>-331.93391068</v>
      </c>
      <c r="I59">
        <v>1</v>
      </c>
      <c r="J59">
        <f t="shared" si="5"/>
        <v>-0.67510867704294308</v>
      </c>
      <c r="K59">
        <f t="shared" si="6"/>
        <v>-0.56972515177521743</v>
      </c>
      <c r="L59">
        <v>1</v>
      </c>
      <c r="M59">
        <f t="shared" si="7"/>
        <v>0.48013487044357311</v>
      </c>
      <c r="N59">
        <f t="shared" si="13"/>
        <v>4.0728087199999999E-2</v>
      </c>
      <c r="O59">
        <f t="shared" si="11"/>
        <v>9.7131910959939848E-3</v>
      </c>
      <c r="P59">
        <f t="shared" si="12"/>
        <v>3.9149003035650332E-2</v>
      </c>
      <c r="V59">
        <v>-0.50000000000001998</v>
      </c>
      <c r="W59">
        <f t="shared" si="9"/>
        <v>-0.48839999999999906</v>
      </c>
    </row>
    <row r="60" spans="1:23" x14ac:dyDescent="0.3">
      <c r="A60">
        <v>2.5990950500000003</v>
      </c>
      <c r="B60">
        <v>0.65</v>
      </c>
      <c r="C60">
        <f t="shared" si="1"/>
        <v>1.6894117825000003</v>
      </c>
      <c r="D60">
        <v>1.6E-2</v>
      </c>
      <c r="E60">
        <v>3.8158201924077539E-3</v>
      </c>
      <c r="F60">
        <f t="shared" si="2"/>
        <v>519.81901000000005</v>
      </c>
      <c r="G60">
        <f t="shared" si="3"/>
        <v>-0.65</v>
      </c>
      <c r="H60">
        <f t="shared" si="4"/>
        <v>-337.88235650000007</v>
      </c>
      <c r="I60">
        <v>1</v>
      </c>
      <c r="J60">
        <f t="shared" si="5"/>
        <v>-0.65427458568510888</v>
      </c>
      <c r="K60">
        <f t="shared" si="6"/>
        <v>-0.57172515177521743</v>
      </c>
      <c r="L60">
        <v>1</v>
      </c>
      <c r="M60">
        <f t="shared" si="7"/>
        <v>0.48111823955566285</v>
      </c>
      <c r="N60">
        <f t="shared" si="13"/>
        <v>4.1585520800000005E-2</v>
      </c>
      <c r="O60">
        <f t="shared" si="11"/>
        <v>9.9176793737770427E-3</v>
      </c>
      <c r="P60">
        <f t="shared" si="12"/>
        <v>3.9103712045777533E-2</v>
      </c>
      <c r="V60">
        <v>-0.40000000000002001</v>
      </c>
      <c r="W60">
        <f t="shared" si="9"/>
        <v>-0.49311999999999906</v>
      </c>
    </row>
    <row r="61" spans="1:23" x14ac:dyDescent="0.3">
      <c r="A61">
        <v>2.6437530500000004</v>
      </c>
      <c r="B61">
        <v>0.64700000000000002</v>
      </c>
      <c r="C61">
        <f t="shared" si="1"/>
        <v>1.7105082233500002</v>
      </c>
      <c r="D61">
        <v>1.6E-2</v>
      </c>
      <c r="E61">
        <v>3.8158201924077539E-3</v>
      </c>
      <c r="F61">
        <f t="shared" si="2"/>
        <v>528.75061000000005</v>
      </c>
      <c r="G61">
        <f t="shared" si="3"/>
        <v>-0.64700000000000002</v>
      </c>
      <c r="H61">
        <f t="shared" si="4"/>
        <v>-342.10164467000004</v>
      </c>
      <c r="I61">
        <v>1</v>
      </c>
      <c r="J61">
        <f t="shared" si="5"/>
        <v>-0.63723839495801216</v>
      </c>
      <c r="K61">
        <f t="shared" si="6"/>
        <v>-0.57472515177521744</v>
      </c>
      <c r="L61">
        <v>1</v>
      </c>
      <c r="M61">
        <f t="shared" si="7"/>
        <v>0.48192234775798182</v>
      </c>
      <c r="N61">
        <f t="shared" si="13"/>
        <v>4.2300048800000004E-2</v>
      </c>
      <c r="O61">
        <f t="shared" si="11"/>
        <v>1.0088086271929588E-2</v>
      </c>
      <c r="P61">
        <f t="shared" si="12"/>
        <v>4.0414668945306029E-2</v>
      </c>
      <c r="V61">
        <v>-0.30000000000001997</v>
      </c>
      <c r="W61">
        <f t="shared" si="9"/>
        <v>-0.49783999999999906</v>
      </c>
    </row>
    <row r="62" spans="1:23" x14ac:dyDescent="0.3">
      <c r="A62">
        <v>2.6884110500000005</v>
      </c>
      <c r="B62">
        <v>0.64500000000000002</v>
      </c>
      <c r="C62">
        <f t="shared" si="1"/>
        <v>1.7340251272500002</v>
      </c>
      <c r="D62">
        <v>1.6E-2</v>
      </c>
      <c r="E62">
        <v>3.8158201924077539E-3</v>
      </c>
      <c r="F62">
        <f t="shared" si="2"/>
        <v>537.68221000000005</v>
      </c>
      <c r="G62">
        <f t="shared" si="3"/>
        <v>-0.64500000000000002</v>
      </c>
      <c r="H62">
        <f t="shared" si="4"/>
        <v>-346.80502545000007</v>
      </c>
      <c r="I62">
        <v>1</v>
      </c>
      <c r="J62">
        <f t="shared" si="5"/>
        <v>-0.62048758107742297</v>
      </c>
      <c r="K62">
        <f t="shared" si="6"/>
        <v>-0.57672515177521744</v>
      </c>
      <c r="L62">
        <v>1</v>
      </c>
      <c r="M62">
        <f t="shared" si="7"/>
        <v>0.48271298617314562</v>
      </c>
      <c r="N62">
        <f t="shared" si="13"/>
        <v>4.3014576800000009E-2</v>
      </c>
      <c r="O62">
        <f t="shared" si="11"/>
        <v>1.0258493170082133E-2</v>
      </c>
      <c r="P62">
        <f t="shared" si="12"/>
        <v>4.0739095631989672E-2</v>
      </c>
      <c r="V62">
        <v>-0.20000000000002</v>
      </c>
      <c r="W62">
        <f t="shared" si="9"/>
        <v>-0.50255999999999912</v>
      </c>
    </row>
    <row r="63" spans="1:23" x14ac:dyDescent="0.3">
      <c r="A63">
        <v>2.7330690499999997</v>
      </c>
      <c r="B63">
        <v>0.64200000000000002</v>
      </c>
      <c r="C63">
        <f t="shared" si="1"/>
        <v>1.7546303300999999</v>
      </c>
      <c r="D63">
        <v>1.6E-2</v>
      </c>
      <c r="E63">
        <v>3.8158201924077539E-3</v>
      </c>
      <c r="F63">
        <f t="shared" si="2"/>
        <v>546.61380999999994</v>
      </c>
      <c r="G63">
        <f t="shared" si="3"/>
        <v>-0.64200000000000002</v>
      </c>
      <c r="H63">
        <f t="shared" si="4"/>
        <v>-350.92606602000001</v>
      </c>
      <c r="I63">
        <v>1</v>
      </c>
      <c r="J63">
        <f t="shared" si="5"/>
        <v>-0.60401274053107801</v>
      </c>
      <c r="K63">
        <f t="shared" si="6"/>
        <v>-0.57972515177521744</v>
      </c>
      <c r="L63">
        <v>1</v>
      </c>
      <c r="M63">
        <f t="shared" si="7"/>
        <v>0.48349059864693311</v>
      </c>
      <c r="N63">
        <f t="shared" si="13"/>
        <v>4.3729104799999995E-2</v>
      </c>
      <c r="O63">
        <f t="shared" si="11"/>
        <v>1.0428900068234676E-2</v>
      </c>
      <c r="P63">
        <f t="shared" si="12"/>
        <v>4.2076548260049654E-2</v>
      </c>
      <c r="V63">
        <v>-0.10000000000002</v>
      </c>
      <c r="W63">
        <f t="shared" si="9"/>
        <v>-0.50727999999999906</v>
      </c>
    </row>
    <row r="64" spans="1:23" x14ac:dyDescent="0.3">
      <c r="A64">
        <v>2.7777270000000001</v>
      </c>
      <c r="B64">
        <v>0.63900000000000001</v>
      </c>
      <c r="C64">
        <f t="shared" si="1"/>
        <v>1.774967553</v>
      </c>
      <c r="D64">
        <v>1.6E-2</v>
      </c>
      <c r="E64">
        <v>3.8158201924077539E-3</v>
      </c>
      <c r="F64">
        <f t="shared" si="2"/>
        <v>555.54539999999997</v>
      </c>
      <c r="G64">
        <f t="shared" si="3"/>
        <v>-0.63900000000000001</v>
      </c>
      <c r="H64">
        <f t="shared" si="4"/>
        <v>-354.99351059999998</v>
      </c>
      <c r="I64">
        <v>1</v>
      </c>
      <c r="J64">
        <f t="shared" si="5"/>
        <v>-0.58780494506920034</v>
      </c>
      <c r="K64">
        <f t="shared" si="6"/>
        <v>-0.58272515177521744</v>
      </c>
      <c r="L64">
        <v>1</v>
      </c>
      <c r="M64">
        <f t="shared" si="7"/>
        <v>0.48425560659273376</v>
      </c>
      <c r="N64">
        <f t="shared" si="13"/>
        <v>4.4443632000000004E-2</v>
      </c>
      <c r="O64">
        <f t="shared" si="11"/>
        <v>1.0599306775596213E-2</v>
      </c>
      <c r="P64">
        <f t="shared" si="12"/>
        <v>4.3426606406887468E-2</v>
      </c>
      <c r="V64">
        <v>-2.0428103653102899E-14</v>
      </c>
      <c r="W64">
        <f t="shared" si="9"/>
        <v>-0.51199999999999901</v>
      </c>
    </row>
    <row r="65" spans="1:23" x14ac:dyDescent="0.3">
      <c r="A65">
        <v>2.8223849999999997</v>
      </c>
      <c r="B65">
        <v>0.63700000000000001</v>
      </c>
      <c r="C65">
        <f t="shared" si="1"/>
        <v>1.7978592449999999</v>
      </c>
      <c r="D65">
        <v>1.6E-2</v>
      </c>
      <c r="E65">
        <v>3.8158201924077539E-3</v>
      </c>
      <c r="F65">
        <f t="shared" si="2"/>
        <v>564.47699999999998</v>
      </c>
      <c r="G65">
        <f t="shared" si="3"/>
        <v>-0.63700000000000001</v>
      </c>
      <c r="H65">
        <f t="shared" si="4"/>
        <v>-359.57184899999999</v>
      </c>
      <c r="I65">
        <v>1</v>
      </c>
      <c r="J65">
        <f t="shared" si="5"/>
        <v>-0.57185564024373825</v>
      </c>
      <c r="K65">
        <f t="shared" si="6"/>
        <v>-0.58472515177521744</v>
      </c>
      <c r="L65">
        <v>1</v>
      </c>
      <c r="M65">
        <f t="shared" si="7"/>
        <v>0.48500841378049558</v>
      </c>
      <c r="N65">
        <f t="shared" si="13"/>
        <v>4.5158159999999996E-2</v>
      </c>
      <c r="O65">
        <f t="shared" si="11"/>
        <v>1.0769713673748757E-2</v>
      </c>
      <c r="P65">
        <f t="shared" si="12"/>
        <v>4.3788864320973106E-2</v>
      </c>
      <c r="V65">
        <v>9.9999999999980105E-2</v>
      </c>
      <c r="W65">
        <f t="shared" si="9"/>
        <v>-0.51671999999999907</v>
      </c>
    </row>
    <row r="66" spans="1:23" x14ac:dyDescent="0.3">
      <c r="A66">
        <v>2.8670429999999998</v>
      </c>
      <c r="B66">
        <v>0.63500000000000001</v>
      </c>
      <c r="C66">
        <f t="shared" si="1"/>
        <v>1.8205723049999998</v>
      </c>
      <c r="D66">
        <v>1.6E-2</v>
      </c>
      <c r="E66">
        <v>3.8158201924077539E-3</v>
      </c>
      <c r="F66">
        <f t="shared" si="2"/>
        <v>573.40859999999998</v>
      </c>
      <c r="G66">
        <f t="shared" si="3"/>
        <v>-0.63500000000000001</v>
      </c>
      <c r="H66">
        <f t="shared" si="4"/>
        <v>-364.11446099999995</v>
      </c>
      <c r="I66">
        <v>1</v>
      </c>
      <c r="J66">
        <f t="shared" si="5"/>
        <v>-0.55615672738932365</v>
      </c>
      <c r="K66">
        <f t="shared" si="6"/>
        <v>-0.58672515177521745</v>
      </c>
      <c r="L66">
        <v>1</v>
      </c>
      <c r="M66">
        <f t="shared" si="7"/>
        <v>0.48574940246722392</v>
      </c>
      <c r="N66">
        <f t="shared" si="13"/>
        <v>4.5872687999999995E-2</v>
      </c>
      <c r="O66">
        <f t="shared" si="11"/>
        <v>1.0940120571901303E-2</v>
      </c>
      <c r="P66">
        <f t="shared" si="12"/>
        <v>4.4162940736092227E-2</v>
      </c>
      <c r="V66">
        <v>0.19999999999998</v>
      </c>
      <c r="W66">
        <f t="shared" si="9"/>
        <v>-0.52143999999999902</v>
      </c>
    </row>
    <row r="67" spans="1:23" x14ac:dyDescent="0.3">
      <c r="A67">
        <v>2.9206326000000002</v>
      </c>
      <c r="B67">
        <v>0.63200000000000001</v>
      </c>
      <c r="C67">
        <f t="shared" si="1"/>
        <v>1.8458398032000001</v>
      </c>
      <c r="D67">
        <v>1.6E-2</v>
      </c>
      <c r="E67">
        <v>3.8158201924077539E-3</v>
      </c>
      <c r="F67">
        <f t="shared" si="2"/>
        <v>584.12652000000003</v>
      </c>
      <c r="G67">
        <f t="shared" si="3"/>
        <v>-0.63200000000000001</v>
      </c>
      <c r="H67">
        <f t="shared" si="4"/>
        <v>-369.16796063999999</v>
      </c>
      <c r="I67">
        <v>1</v>
      </c>
      <c r="J67">
        <f t="shared" si="5"/>
        <v>-0.53763767578218058</v>
      </c>
      <c r="K67">
        <f t="shared" si="6"/>
        <v>-0.58972515177521745</v>
      </c>
      <c r="L67">
        <v>1</v>
      </c>
      <c r="M67">
        <f t="shared" si="7"/>
        <v>0.48662350170308111</v>
      </c>
      <c r="N67">
        <f t="shared" si="13"/>
        <v>4.6730121600000007E-2</v>
      </c>
      <c r="O67">
        <f t="shared" si="11"/>
        <v>1.114460884968436E-2</v>
      </c>
      <c r="P67">
        <f t="shared" si="12"/>
        <v>4.5226919622451976E-2</v>
      </c>
      <c r="V67">
        <v>0.29999999999998</v>
      </c>
      <c r="W67">
        <f t="shared" si="9"/>
        <v>-0.52615999999999907</v>
      </c>
    </row>
    <row r="68" spans="1:23" x14ac:dyDescent="0.3">
      <c r="A68">
        <v>2.9652906000000003</v>
      </c>
      <c r="B68">
        <v>0.629</v>
      </c>
      <c r="C68">
        <f t="shared" si="1"/>
        <v>1.8651677874000001</v>
      </c>
      <c r="D68">
        <v>1.6E-2</v>
      </c>
      <c r="E68">
        <v>3.8158201924077539E-3</v>
      </c>
      <c r="F68">
        <f t="shared" si="2"/>
        <v>593.05812000000003</v>
      </c>
      <c r="G68">
        <f t="shared" si="3"/>
        <v>-0.629</v>
      </c>
      <c r="H68">
        <f t="shared" si="4"/>
        <v>-373.03355748000001</v>
      </c>
      <c r="I68">
        <v>1</v>
      </c>
      <c r="J68">
        <f t="shared" si="5"/>
        <v>-0.52246287466904551</v>
      </c>
      <c r="K68">
        <f t="shared" si="6"/>
        <v>-0.59272515177521745</v>
      </c>
      <c r="L68">
        <v>1</v>
      </c>
      <c r="M68">
        <f t="shared" si="7"/>
        <v>0.48733975231562104</v>
      </c>
      <c r="N68">
        <f t="shared" si="13"/>
        <v>4.7444649600000006E-2</v>
      </c>
      <c r="O68">
        <f t="shared" si="11"/>
        <v>1.1315015747836905E-2</v>
      </c>
      <c r="P68">
        <f t="shared" si="12"/>
        <v>4.6625734111759493E-2</v>
      </c>
      <c r="V68">
        <v>0.39999999999997998</v>
      </c>
      <c r="W68">
        <f t="shared" si="9"/>
        <v>-0.53087999999999902</v>
      </c>
    </row>
    <row r="69" spans="1:23" x14ac:dyDescent="0.3">
      <c r="A69">
        <v>3.0099485499999998</v>
      </c>
      <c r="B69">
        <v>0.627</v>
      </c>
      <c r="C69">
        <f t="shared" ref="C69:C132" si="14">A69*B69</f>
        <v>1.8872377408499998</v>
      </c>
      <c r="D69">
        <v>1.6E-2</v>
      </c>
      <c r="E69">
        <v>3.8158201924077539E-3</v>
      </c>
      <c r="F69">
        <f t="shared" ref="F69:F132" si="15">A69*200</f>
        <v>601.98970999999995</v>
      </c>
      <c r="G69">
        <f t="shared" ref="G69:G132" si="16">-B69</f>
        <v>-0.627</v>
      </c>
      <c r="H69">
        <f t="shared" ref="H69:H132" si="17">-C69*200</f>
        <v>-377.44754816999995</v>
      </c>
      <c r="I69">
        <v>1</v>
      </c>
      <c r="J69">
        <f t="shared" ref="J69:J132" si="18">LN(F69/1000)</f>
        <v>-0.50751492684265942</v>
      </c>
      <c r="K69">
        <f t="shared" ref="K69:K132" si="19">((-G69)-$N$2)</f>
        <v>-0.59472515177521745</v>
      </c>
      <c r="L69">
        <v>1</v>
      </c>
      <c r="M69">
        <f t="shared" ref="M69:M132" si="20">-1*($S$4+($S$5*J69))</f>
        <v>0.4880452954530265</v>
      </c>
      <c r="N69">
        <f t="shared" si="13"/>
        <v>4.8159176800000002E-2</v>
      </c>
      <c r="O69">
        <f t="shared" si="11"/>
        <v>1.148542245519844E-2</v>
      </c>
      <c r="P69">
        <f t="shared" si="12"/>
        <v>4.703525706699252E-2</v>
      </c>
      <c r="V69">
        <v>0.49999999999998002</v>
      </c>
      <c r="W69">
        <f t="shared" ref="W69:W132" si="21">V69*$S$5+$S$4</f>
        <v>-0.53559999999999908</v>
      </c>
    </row>
    <row r="70" spans="1:23" x14ac:dyDescent="0.3">
      <c r="A70">
        <v>3.0546065499999999</v>
      </c>
      <c r="B70">
        <v>0.625</v>
      </c>
      <c r="C70">
        <f t="shared" si="14"/>
        <v>1.9091290937499998</v>
      </c>
      <c r="D70">
        <v>1.6E-2</v>
      </c>
      <c r="E70">
        <v>3.8158201924077539E-3</v>
      </c>
      <c r="F70">
        <f t="shared" si="15"/>
        <v>610.92130999999995</v>
      </c>
      <c r="G70">
        <f t="shared" si="16"/>
        <v>-0.625</v>
      </c>
      <c r="H70">
        <f t="shared" si="17"/>
        <v>-381.82581874999994</v>
      </c>
      <c r="I70">
        <v>1</v>
      </c>
      <c r="J70">
        <f t="shared" si="18"/>
        <v>-0.4927871169752443</v>
      </c>
      <c r="K70">
        <f t="shared" si="19"/>
        <v>-0.59672515177521745</v>
      </c>
      <c r="L70">
        <v>1</v>
      </c>
      <c r="M70">
        <f t="shared" si="20"/>
        <v>0.48874044807876849</v>
      </c>
      <c r="N70">
        <f t="shared" si="13"/>
        <v>4.8873704800000001E-2</v>
      </c>
      <c r="O70">
        <f t="shared" ref="O70:O133" si="22">E70*A70</f>
        <v>1.1655829353350985E-2</v>
      </c>
      <c r="P70">
        <f t="shared" ref="P70:P133" si="23">-K70-M70-N70-O70</f>
        <v>4.7455169543097982E-2</v>
      </c>
      <c r="V70">
        <v>0.59999999999997999</v>
      </c>
      <c r="W70">
        <f t="shared" si="21"/>
        <v>-0.54031999999999902</v>
      </c>
    </row>
    <row r="71" spans="1:23" x14ac:dyDescent="0.3">
      <c r="A71">
        <v>3.0992645499999996</v>
      </c>
      <c r="B71">
        <v>0.622</v>
      </c>
      <c r="C71">
        <f t="shared" si="14"/>
        <v>1.9277425500999996</v>
      </c>
      <c r="D71">
        <v>1.6E-2</v>
      </c>
      <c r="E71">
        <v>3.8158201924077539E-3</v>
      </c>
      <c r="F71">
        <f t="shared" si="15"/>
        <v>619.85290999999995</v>
      </c>
      <c r="G71">
        <f t="shared" si="16"/>
        <v>-0.622</v>
      </c>
      <c r="H71">
        <f t="shared" si="17"/>
        <v>-385.54851001999992</v>
      </c>
      <c r="I71">
        <v>1</v>
      </c>
      <c r="J71">
        <f t="shared" si="18"/>
        <v>-0.47827307102480343</v>
      </c>
      <c r="K71">
        <f t="shared" si="19"/>
        <v>-0.59972515177521746</v>
      </c>
      <c r="L71">
        <v>1</v>
      </c>
      <c r="M71">
        <f t="shared" si="20"/>
        <v>0.48942551104762927</v>
      </c>
      <c r="N71">
        <f t="shared" ref="N71:N134" si="24">D71*A71</f>
        <v>4.9588232799999993E-2</v>
      </c>
      <c r="O71">
        <f t="shared" si="22"/>
        <v>1.1826236251503528E-2</v>
      </c>
      <c r="P71">
        <f t="shared" si="23"/>
        <v>4.8885171676084666E-2</v>
      </c>
      <c r="V71">
        <v>0.69999999999997997</v>
      </c>
      <c r="W71">
        <f t="shared" si="21"/>
        <v>-0.54503999999999908</v>
      </c>
    </row>
    <row r="72" spans="1:23" x14ac:dyDescent="0.3">
      <c r="A72">
        <v>3.1439225499999996</v>
      </c>
      <c r="B72">
        <v>0.62</v>
      </c>
      <c r="C72">
        <f t="shared" si="14"/>
        <v>1.9492319809999998</v>
      </c>
      <c r="D72">
        <v>1.6E-2</v>
      </c>
      <c r="E72">
        <v>3.8158201924077539E-3</v>
      </c>
      <c r="F72">
        <f t="shared" si="15"/>
        <v>628.78450999999995</v>
      </c>
      <c r="G72">
        <f t="shared" si="16"/>
        <v>-0.62</v>
      </c>
      <c r="H72">
        <f t="shared" si="17"/>
        <v>-389.84639619999996</v>
      </c>
      <c r="I72">
        <v>1</v>
      </c>
      <c r="J72">
        <f t="shared" si="18"/>
        <v>-0.46396667239448647</v>
      </c>
      <c r="K72">
        <f t="shared" si="19"/>
        <v>-0.60172515177521746</v>
      </c>
      <c r="L72">
        <v>1</v>
      </c>
      <c r="M72">
        <f t="shared" si="20"/>
        <v>0.49010077306298028</v>
      </c>
      <c r="N72">
        <f t="shared" si="24"/>
        <v>5.0302760799999999E-2</v>
      </c>
      <c r="O72">
        <f t="shared" si="22"/>
        <v>1.1996643149656075E-2</v>
      </c>
      <c r="P72">
        <f t="shared" si="23"/>
        <v>4.932497476258111E-2</v>
      </c>
      <c r="V72">
        <v>0.79999999999997995</v>
      </c>
      <c r="W72">
        <f t="shared" si="21"/>
        <v>-0.54975999999999903</v>
      </c>
    </row>
    <row r="73" spans="1:23" x14ac:dyDescent="0.3">
      <c r="A73">
        <v>3.1885805499999997</v>
      </c>
      <c r="B73">
        <v>0.61699999999999999</v>
      </c>
      <c r="C73">
        <f t="shared" si="14"/>
        <v>1.9673541993499999</v>
      </c>
      <c r="D73">
        <v>1.6E-2</v>
      </c>
      <c r="E73">
        <v>3.8158201924077539E-3</v>
      </c>
      <c r="F73">
        <f t="shared" si="15"/>
        <v>637.71610999999996</v>
      </c>
      <c r="G73">
        <f t="shared" si="16"/>
        <v>-0.61699999999999999</v>
      </c>
      <c r="H73">
        <f t="shared" si="17"/>
        <v>-393.47083986999996</v>
      </c>
      <c r="I73">
        <v>1</v>
      </c>
      <c r="J73">
        <f t="shared" si="18"/>
        <v>-0.44986206331731282</v>
      </c>
      <c r="K73">
        <f t="shared" si="19"/>
        <v>-0.60472515177521746</v>
      </c>
      <c r="L73">
        <v>1</v>
      </c>
      <c r="M73">
        <f t="shared" si="20"/>
        <v>0.49076651061142285</v>
      </c>
      <c r="N73">
        <f t="shared" si="24"/>
        <v>5.1017288799999998E-2</v>
      </c>
      <c r="O73">
        <f t="shared" si="22"/>
        <v>1.216705004780862E-2</v>
      </c>
      <c r="P73">
        <f t="shared" si="23"/>
        <v>5.0774302315985995E-2</v>
      </c>
      <c r="V73">
        <v>0.89999999999998004</v>
      </c>
      <c r="W73">
        <f t="shared" si="21"/>
        <v>-0.55447999999999908</v>
      </c>
    </row>
    <row r="74" spans="1:23" x14ac:dyDescent="0.3">
      <c r="A74">
        <v>3.2332385499999998</v>
      </c>
      <c r="B74">
        <v>0.61499999999999999</v>
      </c>
      <c r="C74">
        <f t="shared" si="14"/>
        <v>1.9884417082499999</v>
      </c>
      <c r="D74">
        <v>1.6E-2</v>
      </c>
      <c r="E74">
        <v>3.8158201924077539E-3</v>
      </c>
      <c r="F74">
        <f t="shared" si="15"/>
        <v>646.64770999999996</v>
      </c>
      <c r="G74">
        <f t="shared" si="16"/>
        <v>-0.61499999999999999</v>
      </c>
      <c r="H74">
        <f t="shared" si="17"/>
        <v>-397.68834164999998</v>
      </c>
      <c r="I74">
        <v>1</v>
      </c>
      <c r="J74">
        <f t="shared" si="18"/>
        <v>-0.43595363045553903</v>
      </c>
      <c r="K74">
        <f t="shared" si="19"/>
        <v>-0.60672515177521746</v>
      </c>
      <c r="L74">
        <v>1</v>
      </c>
      <c r="M74">
        <f t="shared" si="20"/>
        <v>0.49142298864249856</v>
      </c>
      <c r="N74">
        <f t="shared" si="24"/>
        <v>5.1731816799999997E-2</v>
      </c>
      <c r="O74">
        <f t="shared" si="22"/>
        <v>1.2337456945961167E-2</v>
      </c>
      <c r="P74">
        <f t="shared" si="23"/>
        <v>5.1232889386757741E-2</v>
      </c>
      <c r="V74">
        <v>0.99999999999998002</v>
      </c>
      <c r="W74">
        <f t="shared" si="21"/>
        <v>-0.55919999999999903</v>
      </c>
    </row>
    <row r="75" spans="1:23" x14ac:dyDescent="0.3">
      <c r="A75">
        <v>3.2778964999999998</v>
      </c>
      <c r="B75">
        <v>0.61299999999999999</v>
      </c>
      <c r="C75">
        <f t="shared" si="14"/>
        <v>2.0093505544999997</v>
      </c>
      <c r="D75">
        <v>1.6E-2</v>
      </c>
      <c r="E75">
        <v>3.8158201924077539E-3</v>
      </c>
      <c r="F75">
        <f t="shared" si="15"/>
        <v>655.57929999999999</v>
      </c>
      <c r="G75">
        <f t="shared" si="16"/>
        <v>-0.61299999999999999</v>
      </c>
      <c r="H75">
        <f t="shared" si="17"/>
        <v>-401.87011089999993</v>
      </c>
      <c r="I75">
        <v>1</v>
      </c>
      <c r="J75">
        <f t="shared" si="18"/>
        <v>-0.42223600674150324</v>
      </c>
      <c r="K75">
        <f t="shared" si="19"/>
        <v>-0.60872515177521747</v>
      </c>
      <c r="L75">
        <v>1</v>
      </c>
      <c r="M75">
        <f t="shared" si="20"/>
        <v>0.49207046048180103</v>
      </c>
      <c r="N75">
        <f t="shared" si="24"/>
        <v>5.2446343999999999E-2</v>
      </c>
      <c r="O75">
        <f t="shared" si="22"/>
        <v>1.2507863653322703E-2</v>
      </c>
      <c r="P75">
        <f t="shared" si="23"/>
        <v>5.1700483640093726E-2</v>
      </c>
      <c r="V75">
        <v>1.0999999999999699</v>
      </c>
      <c r="W75">
        <f t="shared" si="21"/>
        <v>-0.56391999999999864</v>
      </c>
    </row>
    <row r="76" spans="1:23" x14ac:dyDescent="0.3">
      <c r="A76">
        <v>3.3314861000000002</v>
      </c>
      <c r="B76">
        <v>0.61</v>
      </c>
      <c r="C76">
        <f t="shared" si="14"/>
        <v>2.032206521</v>
      </c>
      <c r="D76">
        <v>1.6E-2</v>
      </c>
      <c r="E76">
        <v>3.8158201924077539E-3</v>
      </c>
      <c r="F76">
        <f t="shared" si="15"/>
        <v>666.29722000000004</v>
      </c>
      <c r="G76">
        <f t="shared" si="16"/>
        <v>-0.61</v>
      </c>
      <c r="H76">
        <f t="shared" si="17"/>
        <v>-406.44130419999999</v>
      </c>
      <c r="I76">
        <v>1</v>
      </c>
      <c r="J76">
        <f t="shared" si="18"/>
        <v>-0.40601943171711175</v>
      </c>
      <c r="K76">
        <f t="shared" si="19"/>
        <v>-0.61172515177521747</v>
      </c>
      <c r="L76">
        <v>1</v>
      </c>
      <c r="M76">
        <f t="shared" si="20"/>
        <v>0.49283588282295232</v>
      </c>
      <c r="N76">
        <f t="shared" si="24"/>
        <v>5.3303777600000005E-2</v>
      </c>
      <c r="O76">
        <f t="shared" si="22"/>
        <v>1.2712351931105759E-2</v>
      </c>
      <c r="P76">
        <f t="shared" si="23"/>
        <v>5.2873139421159385E-2</v>
      </c>
      <c r="V76">
        <v>1.19999999999997</v>
      </c>
      <c r="W76">
        <f t="shared" si="21"/>
        <v>-0.56863999999999859</v>
      </c>
    </row>
    <row r="77" spans="1:23" x14ac:dyDescent="0.3">
      <c r="A77">
        <v>3.3761441000000003</v>
      </c>
      <c r="B77">
        <v>0.60799999999999998</v>
      </c>
      <c r="C77">
        <f t="shared" si="14"/>
        <v>2.0526956128</v>
      </c>
      <c r="D77">
        <v>1.6E-2</v>
      </c>
      <c r="E77">
        <v>3.8158201924077539E-3</v>
      </c>
      <c r="F77">
        <f t="shared" si="15"/>
        <v>675.22882000000004</v>
      </c>
      <c r="G77">
        <f t="shared" si="16"/>
        <v>-0.60799999999999998</v>
      </c>
      <c r="H77">
        <f t="shared" si="17"/>
        <v>-410.53912256000001</v>
      </c>
      <c r="I77">
        <v>1</v>
      </c>
      <c r="J77">
        <f t="shared" si="18"/>
        <v>-0.39270365296202153</v>
      </c>
      <c r="K77">
        <f t="shared" si="19"/>
        <v>-0.61372515177521747</v>
      </c>
      <c r="L77">
        <v>1</v>
      </c>
      <c r="M77">
        <f t="shared" si="20"/>
        <v>0.49346438758019262</v>
      </c>
      <c r="N77">
        <f t="shared" si="24"/>
        <v>5.4018305600000004E-2</v>
      </c>
      <c r="O77">
        <f t="shared" si="22"/>
        <v>1.2882758829258304E-2</v>
      </c>
      <c r="P77">
        <f t="shared" si="23"/>
        <v>5.3359699765766537E-2</v>
      </c>
      <c r="V77">
        <v>1.2999999999999701</v>
      </c>
      <c r="W77">
        <f t="shared" si="21"/>
        <v>-0.57335999999999854</v>
      </c>
    </row>
    <row r="78" spans="1:23" x14ac:dyDescent="0.3">
      <c r="A78">
        <v>3.4208021000000004</v>
      </c>
      <c r="B78">
        <v>0.60499999999999998</v>
      </c>
      <c r="C78">
        <f t="shared" si="14"/>
        <v>2.0695852705000002</v>
      </c>
      <c r="D78">
        <v>1.6E-2</v>
      </c>
      <c r="E78">
        <v>3.8158201924077539E-3</v>
      </c>
      <c r="F78">
        <f t="shared" si="15"/>
        <v>684.16042000000004</v>
      </c>
      <c r="G78">
        <f t="shared" si="16"/>
        <v>-0.60499999999999998</v>
      </c>
      <c r="H78">
        <f t="shared" si="17"/>
        <v>-413.91705410000003</v>
      </c>
      <c r="I78">
        <v>1</v>
      </c>
      <c r="J78">
        <f t="shared" si="18"/>
        <v>-0.37956285669421241</v>
      </c>
      <c r="K78">
        <f t="shared" si="19"/>
        <v>-0.61672515177521747</v>
      </c>
      <c r="L78">
        <v>1</v>
      </c>
      <c r="M78">
        <f t="shared" si="20"/>
        <v>0.49408463316403317</v>
      </c>
      <c r="N78">
        <f t="shared" si="24"/>
        <v>5.473283360000001E-2</v>
      </c>
      <c r="O78">
        <f t="shared" si="22"/>
        <v>1.3053165727410851E-2</v>
      </c>
      <c r="P78">
        <f t="shared" si="23"/>
        <v>5.4854519283773447E-2</v>
      </c>
      <c r="V78">
        <v>1.3999999999999699</v>
      </c>
      <c r="W78">
        <f t="shared" si="21"/>
        <v>-0.57807999999999859</v>
      </c>
    </row>
    <row r="79" spans="1:23" x14ac:dyDescent="0.3">
      <c r="A79">
        <v>3.4654601</v>
      </c>
      <c r="B79">
        <v>0.60299999999999998</v>
      </c>
      <c r="C79">
        <f t="shared" si="14"/>
        <v>2.0896724402999998</v>
      </c>
      <c r="D79">
        <v>1.6E-2</v>
      </c>
      <c r="E79">
        <v>3.8158201924077539E-3</v>
      </c>
      <c r="F79">
        <f t="shared" si="15"/>
        <v>693.09202000000005</v>
      </c>
      <c r="G79">
        <f t="shared" si="16"/>
        <v>-0.60299999999999998</v>
      </c>
      <c r="H79">
        <f t="shared" si="17"/>
        <v>-417.93448805999998</v>
      </c>
      <c r="I79">
        <v>1</v>
      </c>
      <c r="J79">
        <f t="shared" si="18"/>
        <v>-0.36659250361459561</v>
      </c>
      <c r="K79">
        <f t="shared" si="19"/>
        <v>-0.61872515177521747</v>
      </c>
      <c r="L79">
        <v>1</v>
      </c>
      <c r="M79">
        <f t="shared" si="20"/>
        <v>0.49469683382939111</v>
      </c>
      <c r="N79">
        <f t="shared" si="24"/>
        <v>5.5447361600000002E-2</v>
      </c>
      <c r="O79">
        <f t="shared" si="22"/>
        <v>1.3223572625563394E-2</v>
      </c>
      <c r="P79">
        <f t="shared" si="23"/>
        <v>5.535738372026297E-2</v>
      </c>
      <c r="V79">
        <v>1.49999999999997</v>
      </c>
      <c r="W79">
        <f t="shared" si="21"/>
        <v>-0.58279999999999865</v>
      </c>
    </row>
    <row r="80" spans="1:23" x14ac:dyDescent="0.3">
      <c r="A80">
        <v>3.51011805</v>
      </c>
      <c r="B80">
        <v>0.6</v>
      </c>
      <c r="C80">
        <f t="shared" si="14"/>
        <v>2.1060708299999997</v>
      </c>
      <c r="D80">
        <v>1.6E-2</v>
      </c>
      <c r="E80">
        <v>3.8158201924077539E-3</v>
      </c>
      <c r="F80">
        <f t="shared" si="15"/>
        <v>702.02360999999996</v>
      </c>
      <c r="G80">
        <f t="shared" si="16"/>
        <v>-0.6</v>
      </c>
      <c r="H80">
        <f t="shared" si="17"/>
        <v>-421.21416599999992</v>
      </c>
      <c r="I80">
        <v>1</v>
      </c>
      <c r="J80">
        <f t="shared" si="18"/>
        <v>-0.35378824304325274</v>
      </c>
      <c r="K80">
        <f t="shared" si="19"/>
        <v>-0.62172515177521748</v>
      </c>
      <c r="L80">
        <v>1</v>
      </c>
      <c r="M80">
        <f t="shared" si="20"/>
        <v>0.4953011949283585</v>
      </c>
      <c r="N80">
        <f t="shared" si="24"/>
        <v>5.6161888800000004E-2</v>
      </c>
      <c r="O80">
        <f t="shared" si="22"/>
        <v>1.3393979332924929E-2</v>
      </c>
      <c r="P80">
        <f t="shared" si="23"/>
        <v>5.6868088713934041E-2</v>
      </c>
      <c r="V80">
        <v>1.5999999999999699</v>
      </c>
      <c r="W80">
        <f t="shared" si="21"/>
        <v>-0.5875199999999986</v>
      </c>
    </row>
    <row r="81" spans="1:23" x14ac:dyDescent="0.3">
      <c r="A81">
        <v>3.5547760499999996</v>
      </c>
      <c r="B81">
        <v>0.59799999999999998</v>
      </c>
      <c r="C81">
        <f t="shared" si="14"/>
        <v>2.1257560778999998</v>
      </c>
      <c r="D81">
        <v>1.6E-2</v>
      </c>
      <c r="E81">
        <v>3.8158201924077539E-3</v>
      </c>
      <c r="F81">
        <f t="shared" si="15"/>
        <v>710.95520999999997</v>
      </c>
      <c r="G81">
        <f t="shared" si="16"/>
        <v>-0.59799999999999998</v>
      </c>
      <c r="H81">
        <f t="shared" si="17"/>
        <v>-425.15121557999993</v>
      </c>
      <c r="I81">
        <v>1</v>
      </c>
      <c r="J81">
        <f t="shared" si="18"/>
        <v>-0.34114584694380451</v>
      </c>
      <c r="K81">
        <f t="shared" si="19"/>
        <v>-0.62372515177521748</v>
      </c>
      <c r="L81">
        <v>1</v>
      </c>
      <c r="M81">
        <f t="shared" si="20"/>
        <v>0.49589791602425243</v>
      </c>
      <c r="N81">
        <f t="shared" si="24"/>
        <v>5.6876416799999996E-2</v>
      </c>
      <c r="O81">
        <f t="shared" si="22"/>
        <v>1.3564386231077474E-2</v>
      </c>
      <c r="P81">
        <f t="shared" si="23"/>
        <v>5.7386432719887581E-2</v>
      </c>
      <c r="V81">
        <v>1.69999999999997</v>
      </c>
      <c r="W81">
        <f t="shared" si="21"/>
        <v>-0.59223999999999855</v>
      </c>
    </row>
    <row r="82" spans="1:23" x14ac:dyDescent="0.3">
      <c r="A82">
        <v>3.5994340499999997</v>
      </c>
      <c r="B82">
        <v>0.59499999999999997</v>
      </c>
      <c r="C82">
        <f t="shared" si="14"/>
        <v>2.1416632597499996</v>
      </c>
      <c r="D82">
        <v>1.6E-2</v>
      </c>
      <c r="E82">
        <v>3.8158201924077539E-3</v>
      </c>
      <c r="F82">
        <f t="shared" si="15"/>
        <v>719.88680999999997</v>
      </c>
      <c r="G82">
        <f t="shared" si="16"/>
        <v>-0.59499999999999997</v>
      </c>
      <c r="H82">
        <f t="shared" si="17"/>
        <v>-428.3326519499999</v>
      </c>
      <c r="I82">
        <v>1</v>
      </c>
      <c r="J82">
        <f t="shared" si="18"/>
        <v>-0.32866128766389469</v>
      </c>
      <c r="K82">
        <f t="shared" si="19"/>
        <v>-0.62672515177521748</v>
      </c>
      <c r="L82">
        <v>1</v>
      </c>
      <c r="M82">
        <f t="shared" si="20"/>
        <v>0.4964871872222642</v>
      </c>
      <c r="N82">
        <f t="shared" si="24"/>
        <v>5.7590944799999995E-2</v>
      </c>
      <c r="O82">
        <f t="shared" si="22"/>
        <v>1.3734793129230019E-2</v>
      </c>
      <c r="P82">
        <f t="shared" si="23"/>
        <v>5.8912226623723273E-2</v>
      </c>
      <c r="V82">
        <v>1.7999999999999701</v>
      </c>
      <c r="W82">
        <f t="shared" si="21"/>
        <v>-0.5969599999999986</v>
      </c>
    </row>
    <row r="83" spans="1:23" x14ac:dyDescent="0.3">
      <c r="A83">
        <v>3.6440920499999998</v>
      </c>
      <c r="B83">
        <v>0.59299999999999997</v>
      </c>
      <c r="C83">
        <f t="shared" si="14"/>
        <v>2.1609465856499996</v>
      </c>
      <c r="D83">
        <v>1.6E-2</v>
      </c>
      <c r="E83">
        <v>3.8158201924077539E-3</v>
      </c>
      <c r="F83">
        <f t="shared" si="15"/>
        <v>728.81840999999997</v>
      </c>
      <c r="G83">
        <f t="shared" si="16"/>
        <v>-0.59299999999999997</v>
      </c>
      <c r="H83">
        <f t="shared" si="17"/>
        <v>-432.18931712999995</v>
      </c>
      <c r="I83">
        <v>1</v>
      </c>
      <c r="J83">
        <f t="shared" si="18"/>
        <v>-0.31633067265291009</v>
      </c>
      <c r="K83">
        <f t="shared" si="19"/>
        <v>-0.62872515177521748</v>
      </c>
      <c r="L83">
        <v>1</v>
      </c>
      <c r="M83">
        <f t="shared" si="20"/>
        <v>0.49706919225078267</v>
      </c>
      <c r="N83">
        <f t="shared" si="24"/>
        <v>5.8305472800000001E-2</v>
      </c>
      <c r="O83">
        <f t="shared" si="22"/>
        <v>1.3905200027382566E-2</v>
      </c>
      <c r="P83">
        <f t="shared" si="23"/>
        <v>5.9445286697052242E-2</v>
      </c>
      <c r="V83">
        <v>1.8999999999999699</v>
      </c>
      <c r="W83">
        <f t="shared" si="21"/>
        <v>-0.60167999999999855</v>
      </c>
    </row>
    <row r="84" spans="1:23" x14ac:dyDescent="0.3">
      <c r="A84">
        <v>3.6887500499999999</v>
      </c>
      <c r="B84">
        <v>0.59099999999999997</v>
      </c>
      <c r="C84">
        <f t="shared" si="14"/>
        <v>2.1800512795499998</v>
      </c>
      <c r="D84">
        <v>1.6E-2</v>
      </c>
      <c r="E84">
        <v>3.8158201924077539E-3</v>
      </c>
      <c r="F84">
        <f t="shared" si="15"/>
        <v>737.75000999999997</v>
      </c>
      <c r="G84">
        <f t="shared" si="16"/>
        <v>-0.59099999999999997</v>
      </c>
      <c r="H84">
        <f t="shared" si="17"/>
        <v>-436.01025590999996</v>
      </c>
      <c r="I84">
        <v>1</v>
      </c>
      <c r="J84">
        <f t="shared" si="18"/>
        <v>-0.30415025160436121</v>
      </c>
      <c r="K84">
        <f t="shared" si="19"/>
        <v>-0.63072515177521749</v>
      </c>
      <c r="L84">
        <v>1</v>
      </c>
      <c r="M84">
        <f t="shared" si="20"/>
        <v>0.49764410812427418</v>
      </c>
      <c r="N84">
        <f t="shared" si="24"/>
        <v>5.90200008E-2</v>
      </c>
      <c r="O84">
        <f t="shared" si="22"/>
        <v>1.4075606925535111E-2</v>
      </c>
      <c r="P84">
        <f t="shared" si="23"/>
        <v>5.9985435925408198E-2</v>
      </c>
      <c r="V84">
        <v>1.99999999999997</v>
      </c>
      <c r="W84">
        <f t="shared" si="21"/>
        <v>-0.60639999999999861</v>
      </c>
    </row>
    <row r="85" spans="1:23" x14ac:dyDescent="0.3">
      <c r="A85">
        <v>3.7423396000000002</v>
      </c>
      <c r="B85">
        <v>0.58799999999999997</v>
      </c>
      <c r="C85">
        <f t="shared" si="14"/>
        <v>2.2004956847999999</v>
      </c>
      <c r="D85">
        <v>1.6E-2</v>
      </c>
      <c r="E85">
        <v>3.8158201924077539E-3</v>
      </c>
      <c r="F85">
        <f t="shared" si="15"/>
        <v>748.46792000000005</v>
      </c>
      <c r="G85">
        <f t="shared" si="16"/>
        <v>-0.58799999999999997</v>
      </c>
      <c r="H85">
        <f t="shared" si="17"/>
        <v>-440.09913696000001</v>
      </c>
      <c r="I85">
        <v>1</v>
      </c>
      <c r="J85">
        <f t="shared" si="18"/>
        <v>-0.28972693509236552</v>
      </c>
      <c r="K85">
        <f t="shared" si="19"/>
        <v>-0.63372515177521749</v>
      </c>
      <c r="L85">
        <v>1</v>
      </c>
      <c r="M85">
        <f t="shared" si="20"/>
        <v>0.49832488866364033</v>
      </c>
      <c r="N85">
        <f t="shared" si="24"/>
        <v>5.9877433600000002E-2</v>
      </c>
      <c r="O85">
        <f t="shared" si="22"/>
        <v>1.4280095012527158E-2</v>
      </c>
      <c r="P85">
        <f t="shared" si="23"/>
        <v>6.1242734499049996E-2</v>
      </c>
      <c r="V85">
        <v>2.0999999999999699</v>
      </c>
      <c r="W85">
        <f t="shared" si="21"/>
        <v>-0.61111999999999855</v>
      </c>
    </row>
    <row r="86" spans="1:23" x14ac:dyDescent="0.3">
      <c r="A86">
        <v>3.7869976000000003</v>
      </c>
      <c r="B86">
        <v>0.58599999999999997</v>
      </c>
      <c r="C86">
        <f t="shared" si="14"/>
        <v>2.2191805936</v>
      </c>
      <c r="D86">
        <v>1.6E-2</v>
      </c>
      <c r="E86">
        <v>3.8158201924077539E-3</v>
      </c>
      <c r="F86">
        <f t="shared" si="15"/>
        <v>757.39952000000005</v>
      </c>
      <c r="G86">
        <f t="shared" si="16"/>
        <v>-0.58599999999999997</v>
      </c>
      <c r="H86">
        <f t="shared" si="17"/>
        <v>-443.83611872</v>
      </c>
      <c r="I86">
        <v>1</v>
      </c>
      <c r="J86">
        <f t="shared" si="18"/>
        <v>-0.27786439726167261</v>
      </c>
      <c r="K86">
        <f t="shared" si="19"/>
        <v>-0.63572515177521749</v>
      </c>
      <c r="L86">
        <v>1</v>
      </c>
      <c r="M86">
        <f t="shared" si="20"/>
        <v>0.49888480044924904</v>
      </c>
      <c r="N86">
        <f t="shared" si="24"/>
        <v>6.0591961600000008E-2</v>
      </c>
      <c r="O86">
        <f t="shared" si="22"/>
        <v>1.4450501910679703E-2</v>
      </c>
      <c r="P86">
        <f t="shared" si="23"/>
        <v>6.1797887815288735E-2</v>
      </c>
      <c r="V86">
        <v>2.19999999999997</v>
      </c>
      <c r="W86">
        <f t="shared" si="21"/>
        <v>-0.61583999999999861</v>
      </c>
    </row>
    <row r="87" spans="1:23" x14ac:dyDescent="0.3">
      <c r="A87">
        <v>3.8316556000000004</v>
      </c>
      <c r="B87">
        <v>0.58299999999999996</v>
      </c>
      <c r="C87">
        <f t="shared" si="14"/>
        <v>2.2338552148000002</v>
      </c>
      <c r="D87">
        <v>1.6E-2</v>
      </c>
      <c r="E87">
        <v>3.8158201924077539E-3</v>
      </c>
      <c r="F87">
        <f t="shared" si="15"/>
        <v>766.33112000000006</v>
      </c>
      <c r="G87">
        <f t="shared" si="16"/>
        <v>-0.58299999999999996</v>
      </c>
      <c r="H87">
        <f t="shared" si="17"/>
        <v>-446.77104296000005</v>
      </c>
      <c r="I87">
        <v>1</v>
      </c>
      <c r="J87">
        <f t="shared" si="18"/>
        <v>-0.26614093110350223</v>
      </c>
      <c r="K87">
        <f t="shared" si="19"/>
        <v>-0.63872515177521749</v>
      </c>
      <c r="L87">
        <v>1</v>
      </c>
      <c r="M87">
        <f t="shared" si="20"/>
        <v>0.49943814805191472</v>
      </c>
      <c r="N87">
        <f t="shared" si="24"/>
        <v>6.1306489600000007E-2</v>
      </c>
      <c r="O87">
        <f t="shared" si="22"/>
        <v>1.462090880883225E-2</v>
      </c>
      <c r="P87">
        <f t="shared" si="23"/>
        <v>6.3359605314470505E-2</v>
      </c>
      <c r="V87">
        <v>2.2999999999999701</v>
      </c>
      <c r="W87">
        <f t="shared" si="21"/>
        <v>-0.62055999999999856</v>
      </c>
    </row>
    <row r="88" spans="1:23" x14ac:dyDescent="0.3">
      <c r="A88">
        <v>3.8763135999999996</v>
      </c>
      <c r="B88">
        <v>0.58099999999999996</v>
      </c>
      <c r="C88">
        <f t="shared" si="14"/>
        <v>2.2521382015999998</v>
      </c>
      <c r="D88">
        <v>1.6E-2</v>
      </c>
      <c r="E88">
        <v>3.8158201924077539E-3</v>
      </c>
      <c r="F88">
        <f t="shared" si="15"/>
        <v>775.26271999999994</v>
      </c>
      <c r="G88">
        <f t="shared" si="16"/>
        <v>-0.58099999999999996</v>
      </c>
      <c r="H88">
        <f t="shared" si="17"/>
        <v>-450.42764031999997</v>
      </c>
      <c r="I88">
        <v>1</v>
      </c>
      <c r="J88">
        <f t="shared" si="18"/>
        <v>-0.2545533135257339</v>
      </c>
      <c r="K88">
        <f t="shared" si="19"/>
        <v>-0.64072515177521749</v>
      </c>
      <c r="L88">
        <v>1</v>
      </c>
      <c r="M88">
        <f t="shared" si="20"/>
        <v>0.49998508360158539</v>
      </c>
      <c r="N88">
        <f t="shared" si="24"/>
        <v>6.2021017599999992E-2</v>
      </c>
      <c r="O88">
        <f t="shared" si="22"/>
        <v>1.4791315706984791E-2</v>
      </c>
      <c r="P88">
        <f t="shared" si="23"/>
        <v>6.3927734866647323E-2</v>
      </c>
      <c r="V88">
        <v>2.3999999999999702</v>
      </c>
      <c r="W88">
        <f t="shared" si="21"/>
        <v>-0.62527999999999861</v>
      </c>
    </row>
    <row r="89" spans="1:23" x14ac:dyDescent="0.3">
      <c r="A89">
        <v>3.9209715999999997</v>
      </c>
      <c r="B89">
        <v>0.57799999999999996</v>
      </c>
      <c r="C89">
        <f t="shared" si="14"/>
        <v>2.2663215847999996</v>
      </c>
      <c r="D89">
        <v>1.6E-2</v>
      </c>
      <c r="E89">
        <v>3.8158201924077539E-3</v>
      </c>
      <c r="F89">
        <f t="shared" si="15"/>
        <v>784.19431999999995</v>
      </c>
      <c r="G89">
        <f t="shared" si="16"/>
        <v>-0.57799999999999996</v>
      </c>
      <c r="H89">
        <f t="shared" si="17"/>
        <v>-453.26431695999992</v>
      </c>
      <c r="I89">
        <v>1</v>
      </c>
      <c r="J89">
        <f t="shared" si="18"/>
        <v>-0.24309843220037908</v>
      </c>
      <c r="K89">
        <f t="shared" si="19"/>
        <v>-0.6437251517752175</v>
      </c>
      <c r="L89">
        <v>1</v>
      </c>
      <c r="M89">
        <f t="shared" si="20"/>
        <v>0.5005257540001421</v>
      </c>
      <c r="N89">
        <f t="shared" si="24"/>
        <v>6.2735545599999998E-2</v>
      </c>
      <c r="O89">
        <f t="shared" si="22"/>
        <v>1.4961722605137338E-2</v>
      </c>
      <c r="P89">
        <f t="shared" si="23"/>
        <v>6.5502129569938061E-2</v>
      </c>
      <c r="V89">
        <v>2.4999999999999698</v>
      </c>
      <c r="W89">
        <f t="shared" si="21"/>
        <v>-0.62999999999999856</v>
      </c>
    </row>
    <row r="90" spans="1:23" x14ac:dyDescent="0.3">
      <c r="A90">
        <v>3.97456115</v>
      </c>
      <c r="B90">
        <v>0.57599999999999996</v>
      </c>
      <c r="C90">
        <f t="shared" si="14"/>
        <v>2.2893472224</v>
      </c>
      <c r="D90">
        <v>1.6E-2</v>
      </c>
      <c r="E90">
        <v>3.8158201924077539E-3</v>
      </c>
      <c r="F90">
        <f t="shared" si="15"/>
        <v>794.91223000000002</v>
      </c>
      <c r="G90">
        <f t="shared" si="16"/>
        <v>-0.57599999999999996</v>
      </c>
      <c r="H90">
        <f t="shared" si="17"/>
        <v>-457.86944447999997</v>
      </c>
      <c r="I90">
        <v>1</v>
      </c>
      <c r="J90">
        <f t="shared" si="18"/>
        <v>-0.22952357293833475</v>
      </c>
      <c r="K90">
        <f t="shared" si="19"/>
        <v>-0.6457251517752175</v>
      </c>
      <c r="L90">
        <v>1</v>
      </c>
      <c r="M90">
        <f t="shared" si="20"/>
        <v>0.50116648735731062</v>
      </c>
      <c r="N90">
        <f t="shared" si="24"/>
        <v>6.35929784E-2</v>
      </c>
      <c r="O90">
        <f t="shared" si="22"/>
        <v>1.5166210692129384E-2</v>
      </c>
      <c r="P90">
        <f t="shared" si="23"/>
        <v>6.5799475325777498E-2</v>
      </c>
      <c r="V90">
        <v>2.5999999999999699</v>
      </c>
      <c r="W90">
        <f t="shared" si="21"/>
        <v>-0.63471999999999862</v>
      </c>
    </row>
    <row r="91" spans="1:23" x14ac:dyDescent="0.3">
      <c r="A91">
        <v>4.0192191500000005</v>
      </c>
      <c r="B91">
        <v>0.57299999999999995</v>
      </c>
      <c r="C91">
        <f t="shared" si="14"/>
        <v>2.3030125729500002</v>
      </c>
      <c r="D91">
        <v>1.6E-2</v>
      </c>
      <c r="E91">
        <v>3.8158201924077539E-3</v>
      </c>
      <c r="F91">
        <f t="shared" si="15"/>
        <v>803.84383000000014</v>
      </c>
      <c r="G91">
        <f t="shared" si="16"/>
        <v>-0.57299999999999995</v>
      </c>
      <c r="H91">
        <f t="shared" si="17"/>
        <v>-460.60251459000006</v>
      </c>
      <c r="I91">
        <v>1</v>
      </c>
      <c r="J91">
        <f t="shared" si="18"/>
        <v>-0.21835026996398613</v>
      </c>
      <c r="K91">
        <f t="shared" si="19"/>
        <v>-0.6487251517752175</v>
      </c>
      <c r="L91">
        <v>1</v>
      </c>
      <c r="M91">
        <f t="shared" si="20"/>
        <v>0.50169386725769982</v>
      </c>
      <c r="N91">
        <f t="shared" si="24"/>
        <v>6.4307506400000006E-2</v>
      </c>
      <c r="O91">
        <f t="shared" si="22"/>
        <v>1.5336617590281931E-2</v>
      </c>
      <c r="P91">
        <f t="shared" si="23"/>
        <v>6.7387160527235743E-2</v>
      </c>
      <c r="V91">
        <v>2.69999999999997</v>
      </c>
      <c r="W91">
        <f t="shared" si="21"/>
        <v>-0.63943999999999857</v>
      </c>
    </row>
    <row r="92" spans="1:23" x14ac:dyDescent="0.3">
      <c r="A92">
        <v>4.0638771499999997</v>
      </c>
      <c r="B92">
        <v>0.57099999999999995</v>
      </c>
      <c r="C92">
        <f t="shared" si="14"/>
        <v>2.3204738526499997</v>
      </c>
      <c r="D92">
        <v>1.6E-2</v>
      </c>
      <c r="E92">
        <v>3.8158201924077539E-3</v>
      </c>
      <c r="F92">
        <f t="shared" si="15"/>
        <v>812.77542999999991</v>
      </c>
      <c r="G92">
        <f t="shared" si="16"/>
        <v>-0.57099999999999995</v>
      </c>
      <c r="H92">
        <f t="shared" si="17"/>
        <v>-464.09477052999995</v>
      </c>
      <c r="I92">
        <v>1</v>
      </c>
      <c r="J92">
        <f t="shared" si="18"/>
        <v>-0.20730043145340288</v>
      </c>
      <c r="K92">
        <f t="shared" si="19"/>
        <v>-0.6507251517752175</v>
      </c>
      <c r="L92">
        <v>1</v>
      </c>
      <c r="M92">
        <f t="shared" si="20"/>
        <v>0.5022154196353994</v>
      </c>
      <c r="N92">
        <f t="shared" si="24"/>
        <v>6.5022034399999998E-2</v>
      </c>
      <c r="O92">
        <f t="shared" si="22"/>
        <v>1.5507024488434473E-2</v>
      </c>
      <c r="P92">
        <f t="shared" si="23"/>
        <v>6.7980673251383641E-2</v>
      </c>
      <c r="V92">
        <v>2.7999999999999701</v>
      </c>
      <c r="W92">
        <f t="shared" si="21"/>
        <v>-0.64415999999999862</v>
      </c>
    </row>
    <row r="93" spans="1:23" x14ac:dyDescent="0.3">
      <c r="A93">
        <v>4.1085351499999998</v>
      </c>
      <c r="B93">
        <v>0.56899999999999995</v>
      </c>
      <c r="C93">
        <f t="shared" si="14"/>
        <v>2.3377565003499998</v>
      </c>
      <c r="D93">
        <v>1.6E-2</v>
      </c>
      <c r="E93">
        <v>3.8158201924077539E-3</v>
      </c>
      <c r="F93">
        <f t="shared" si="15"/>
        <v>821.70702999999992</v>
      </c>
      <c r="G93">
        <f t="shared" si="16"/>
        <v>-0.56899999999999995</v>
      </c>
      <c r="H93">
        <f t="shared" si="17"/>
        <v>-467.55130006999997</v>
      </c>
      <c r="I93">
        <v>1</v>
      </c>
      <c r="J93">
        <f t="shared" si="18"/>
        <v>-0.19637135864773589</v>
      </c>
      <c r="K93">
        <f t="shared" si="19"/>
        <v>-0.6527251517752175</v>
      </c>
      <c r="L93">
        <v>1</v>
      </c>
      <c r="M93">
        <f t="shared" si="20"/>
        <v>0.50273127187182687</v>
      </c>
      <c r="N93">
        <f t="shared" si="24"/>
        <v>6.5736562400000004E-2</v>
      </c>
      <c r="O93">
        <f t="shared" si="22"/>
        <v>1.5677431386587018E-2</v>
      </c>
      <c r="P93">
        <f t="shared" si="23"/>
        <v>6.8579886116803615E-2</v>
      </c>
      <c r="V93">
        <v>2.8999999999999702</v>
      </c>
      <c r="W93">
        <f t="shared" si="21"/>
        <v>-0.64887999999999857</v>
      </c>
    </row>
    <row r="94" spans="1:23" x14ac:dyDescent="0.3">
      <c r="A94">
        <v>4.1531931499999999</v>
      </c>
      <c r="B94">
        <v>0.56599999999999995</v>
      </c>
      <c r="C94">
        <f t="shared" si="14"/>
        <v>2.3507073228999995</v>
      </c>
      <c r="D94">
        <v>1.6E-2</v>
      </c>
      <c r="E94">
        <v>3.8158201924077539E-3</v>
      </c>
      <c r="F94">
        <f t="shared" si="15"/>
        <v>830.63862999999992</v>
      </c>
      <c r="G94">
        <f t="shared" si="16"/>
        <v>-0.56599999999999995</v>
      </c>
      <c r="H94">
        <f t="shared" si="17"/>
        <v>-470.14146457999988</v>
      </c>
      <c r="I94">
        <v>1</v>
      </c>
      <c r="J94">
        <f t="shared" si="18"/>
        <v>-0.1855604403189354</v>
      </c>
      <c r="K94">
        <f t="shared" si="19"/>
        <v>-0.65572515177521751</v>
      </c>
      <c r="L94">
        <v>1</v>
      </c>
      <c r="M94">
        <f t="shared" si="20"/>
        <v>0.50324154721694625</v>
      </c>
      <c r="N94">
        <f t="shared" si="24"/>
        <v>6.6451090399999996E-2</v>
      </c>
      <c r="O94">
        <f t="shared" si="22"/>
        <v>1.5847838284739565E-2</v>
      </c>
      <c r="P94">
        <f t="shared" si="23"/>
        <v>7.0184675873531693E-2</v>
      </c>
      <c r="V94">
        <v>2.9999999999999698</v>
      </c>
      <c r="W94">
        <f t="shared" si="21"/>
        <v>-0.65359999999999863</v>
      </c>
    </row>
    <row r="95" spans="1:23" x14ac:dyDescent="0.3">
      <c r="A95">
        <v>4.1978510999999994</v>
      </c>
      <c r="B95">
        <v>0.56299999999999994</v>
      </c>
      <c r="C95">
        <f t="shared" si="14"/>
        <v>2.3633901692999992</v>
      </c>
      <c r="D95">
        <v>1.6E-2</v>
      </c>
      <c r="E95">
        <v>3.8158201924077539E-3</v>
      </c>
      <c r="F95">
        <f t="shared" si="15"/>
        <v>839.57021999999984</v>
      </c>
      <c r="G95">
        <f t="shared" si="16"/>
        <v>-0.56299999999999994</v>
      </c>
      <c r="H95">
        <f t="shared" si="17"/>
        <v>-472.67803385999986</v>
      </c>
      <c r="I95">
        <v>1</v>
      </c>
      <c r="J95">
        <f t="shared" si="18"/>
        <v>-0.1748651609357903</v>
      </c>
      <c r="K95">
        <f t="shared" si="19"/>
        <v>-0.65872515177521751</v>
      </c>
      <c r="L95">
        <v>1</v>
      </c>
      <c r="M95">
        <f t="shared" si="20"/>
        <v>0.50374636440383069</v>
      </c>
      <c r="N95">
        <f t="shared" si="24"/>
        <v>6.7165617599999991E-2</v>
      </c>
      <c r="O95">
        <f t="shared" si="22"/>
        <v>1.60182449921011E-2</v>
      </c>
      <c r="P95">
        <f t="shared" si="23"/>
        <v>7.1794924779285729E-2</v>
      </c>
      <c r="V95">
        <v>3.0999999999999699</v>
      </c>
      <c r="W95">
        <f t="shared" si="21"/>
        <v>-0.65831999999999857</v>
      </c>
    </row>
    <row r="96" spans="1:23" x14ac:dyDescent="0.3">
      <c r="A96">
        <v>4.2425090999999995</v>
      </c>
      <c r="B96">
        <v>0.56100000000000005</v>
      </c>
      <c r="C96">
        <f t="shared" si="14"/>
        <v>2.3800476051000001</v>
      </c>
      <c r="D96">
        <v>1.6E-2</v>
      </c>
      <c r="E96">
        <v>3.8158201924077539E-3</v>
      </c>
      <c r="F96">
        <f t="shared" si="15"/>
        <v>848.50181999999995</v>
      </c>
      <c r="G96">
        <f t="shared" si="16"/>
        <v>-0.56100000000000005</v>
      </c>
      <c r="H96">
        <f t="shared" si="17"/>
        <v>-476.00952102000002</v>
      </c>
      <c r="I96">
        <v>1</v>
      </c>
      <c r="J96">
        <f t="shared" si="18"/>
        <v>-0.16428304934845941</v>
      </c>
      <c r="K96">
        <f t="shared" si="19"/>
        <v>-0.6607251517752174</v>
      </c>
      <c r="L96">
        <v>1</v>
      </c>
      <c r="M96">
        <f t="shared" si="20"/>
        <v>0.50424584007075268</v>
      </c>
      <c r="N96">
        <f t="shared" si="24"/>
        <v>6.7880145599999997E-2</v>
      </c>
      <c r="O96">
        <f t="shared" si="22"/>
        <v>1.6188651890253643E-2</v>
      </c>
      <c r="P96">
        <f t="shared" si="23"/>
        <v>7.2410514214211075E-2</v>
      </c>
      <c r="V96">
        <v>3.19999999999997</v>
      </c>
      <c r="W96">
        <f t="shared" si="21"/>
        <v>-0.66303999999999863</v>
      </c>
    </row>
    <row r="97" spans="1:23" x14ac:dyDescent="0.3">
      <c r="A97">
        <v>4.2871670999999996</v>
      </c>
      <c r="B97">
        <v>0.55800000000000005</v>
      </c>
      <c r="C97">
        <f t="shared" si="14"/>
        <v>2.3922392418</v>
      </c>
      <c r="D97">
        <v>1.6E-2</v>
      </c>
      <c r="E97">
        <v>3.8158201924077539E-3</v>
      </c>
      <c r="F97">
        <f t="shared" si="15"/>
        <v>857.43341999999996</v>
      </c>
      <c r="G97">
        <f t="shared" si="16"/>
        <v>-0.55800000000000005</v>
      </c>
      <c r="H97">
        <f t="shared" si="17"/>
        <v>-478.44784836000002</v>
      </c>
      <c r="I97">
        <v>1</v>
      </c>
      <c r="J97">
        <f t="shared" si="18"/>
        <v>-0.15381174727138672</v>
      </c>
      <c r="K97">
        <f t="shared" si="19"/>
        <v>-0.6637251517752174</v>
      </c>
      <c r="L97">
        <v>1</v>
      </c>
      <c r="M97">
        <f t="shared" si="20"/>
        <v>0.50474008552879057</v>
      </c>
      <c r="N97">
        <f t="shared" si="24"/>
        <v>6.8594673599999989E-2</v>
      </c>
      <c r="O97">
        <f t="shared" si="22"/>
        <v>1.635905878840619E-2</v>
      </c>
      <c r="P97">
        <f t="shared" si="23"/>
        <v>7.4031333858020659E-2</v>
      </c>
      <c r="V97">
        <v>3.2999999999999701</v>
      </c>
      <c r="W97">
        <f t="shared" si="21"/>
        <v>-0.66775999999999858</v>
      </c>
    </row>
    <row r="98" spans="1:23" x14ac:dyDescent="0.3">
      <c r="A98">
        <v>4.3407567</v>
      </c>
      <c r="B98">
        <v>0.55600000000000005</v>
      </c>
      <c r="C98">
        <f t="shared" si="14"/>
        <v>2.4134607252000002</v>
      </c>
      <c r="D98">
        <v>1.6E-2</v>
      </c>
      <c r="E98">
        <v>3.8158201924077539E-3</v>
      </c>
      <c r="F98">
        <f t="shared" si="15"/>
        <v>868.15134</v>
      </c>
      <c r="G98">
        <f t="shared" si="16"/>
        <v>-0.55600000000000005</v>
      </c>
      <c r="H98">
        <f t="shared" si="17"/>
        <v>-482.69214504000001</v>
      </c>
      <c r="I98">
        <v>1</v>
      </c>
      <c r="J98">
        <f t="shared" si="18"/>
        <v>-0.14138922468111551</v>
      </c>
      <c r="K98">
        <f t="shared" si="19"/>
        <v>-0.66572515177521741</v>
      </c>
      <c r="L98">
        <v>1</v>
      </c>
      <c r="M98">
        <f t="shared" si="20"/>
        <v>0.50532642859505139</v>
      </c>
      <c r="N98">
        <f t="shared" si="24"/>
        <v>6.9452107200000002E-2</v>
      </c>
      <c r="O98">
        <f t="shared" si="22"/>
        <v>1.6563547066189246E-2</v>
      </c>
      <c r="P98">
        <f t="shared" si="23"/>
        <v>7.4383068913976766E-2</v>
      </c>
      <c r="V98">
        <v>3.3999999999999702</v>
      </c>
      <c r="W98">
        <f t="shared" si="21"/>
        <v>-0.67247999999999863</v>
      </c>
    </row>
    <row r="99" spans="1:23" x14ac:dyDescent="0.3">
      <c r="A99">
        <v>4.3854147000000001</v>
      </c>
      <c r="B99">
        <v>0.55400000000000005</v>
      </c>
      <c r="C99">
        <f t="shared" si="14"/>
        <v>2.4295197438000002</v>
      </c>
      <c r="D99">
        <v>1.6E-2</v>
      </c>
      <c r="E99">
        <v>3.8158201924077539E-3</v>
      </c>
      <c r="F99">
        <f t="shared" si="15"/>
        <v>877.08294000000001</v>
      </c>
      <c r="G99">
        <f t="shared" si="16"/>
        <v>-0.55400000000000005</v>
      </c>
      <c r="H99">
        <f t="shared" si="17"/>
        <v>-485.90394876000005</v>
      </c>
      <c r="I99">
        <v>1</v>
      </c>
      <c r="J99">
        <f t="shared" si="18"/>
        <v>-0.13115371867571279</v>
      </c>
      <c r="K99">
        <f t="shared" si="19"/>
        <v>-0.66772515177521741</v>
      </c>
      <c r="L99">
        <v>1</v>
      </c>
      <c r="M99">
        <f t="shared" si="20"/>
        <v>0.50580954447850635</v>
      </c>
      <c r="N99">
        <f t="shared" si="24"/>
        <v>7.0166635200000008E-2</v>
      </c>
      <c r="O99">
        <f t="shared" si="22"/>
        <v>1.6733953964341793E-2</v>
      </c>
      <c r="P99">
        <f t="shared" si="23"/>
        <v>7.5015018132369257E-2</v>
      </c>
      <c r="V99">
        <v>3.4999999999999698</v>
      </c>
      <c r="W99">
        <f t="shared" si="21"/>
        <v>-0.67719999999999858</v>
      </c>
    </row>
    <row r="100" spans="1:23" x14ac:dyDescent="0.3">
      <c r="A100">
        <v>4.4300727000000002</v>
      </c>
      <c r="B100">
        <v>0.55100000000000005</v>
      </c>
      <c r="C100">
        <f t="shared" si="14"/>
        <v>2.4409700577000004</v>
      </c>
      <c r="D100">
        <v>1.6E-2</v>
      </c>
      <c r="E100">
        <v>3.8158201924077539E-3</v>
      </c>
      <c r="F100">
        <f t="shared" si="15"/>
        <v>886.01454000000001</v>
      </c>
      <c r="G100">
        <f t="shared" si="16"/>
        <v>-0.55100000000000005</v>
      </c>
      <c r="H100">
        <f t="shared" si="17"/>
        <v>-488.19401154000008</v>
      </c>
      <c r="I100">
        <v>1</v>
      </c>
      <c r="J100">
        <f t="shared" si="18"/>
        <v>-0.12102191767649792</v>
      </c>
      <c r="K100">
        <f t="shared" si="19"/>
        <v>-0.67072515177521741</v>
      </c>
      <c r="L100">
        <v>1</v>
      </c>
      <c r="M100">
        <f t="shared" si="20"/>
        <v>0.50628776548566934</v>
      </c>
      <c r="N100">
        <f t="shared" si="24"/>
        <v>7.08811632E-2</v>
      </c>
      <c r="O100">
        <f t="shared" si="22"/>
        <v>1.690436086249434E-2</v>
      </c>
      <c r="P100">
        <f t="shared" si="23"/>
        <v>7.6651862227053724E-2</v>
      </c>
      <c r="V100">
        <v>3.5999999999999699</v>
      </c>
      <c r="W100">
        <f t="shared" si="21"/>
        <v>-0.68191999999999853</v>
      </c>
    </row>
    <row r="101" spans="1:23" x14ac:dyDescent="0.3">
      <c r="A101">
        <v>4.4747306500000006</v>
      </c>
      <c r="B101">
        <v>0.54800000000000004</v>
      </c>
      <c r="C101">
        <f t="shared" si="14"/>
        <v>2.4521523962000007</v>
      </c>
      <c r="D101">
        <v>1.6E-2</v>
      </c>
      <c r="E101">
        <v>3.8158201924077539E-3</v>
      </c>
      <c r="F101">
        <f t="shared" si="15"/>
        <v>894.94613000000015</v>
      </c>
      <c r="G101">
        <f t="shared" si="16"/>
        <v>-0.54800000000000004</v>
      </c>
      <c r="H101">
        <f t="shared" si="17"/>
        <v>-490.43047924000012</v>
      </c>
      <c r="I101">
        <v>1</v>
      </c>
      <c r="J101">
        <f t="shared" si="18"/>
        <v>-0.11099175246290301</v>
      </c>
      <c r="K101">
        <f t="shared" si="19"/>
        <v>-0.67372515177521741</v>
      </c>
      <c r="L101">
        <v>1</v>
      </c>
      <c r="M101">
        <f t="shared" si="20"/>
        <v>0.50676118928375102</v>
      </c>
      <c r="N101">
        <f t="shared" si="24"/>
        <v>7.1595690400000009E-2</v>
      </c>
      <c r="O101">
        <f t="shared" si="22"/>
        <v>1.7074767569855875E-2</v>
      </c>
      <c r="P101">
        <f t="shared" si="23"/>
        <v>7.8293504521610505E-2</v>
      </c>
      <c r="V101">
        <v>3.69999999999997</v>
      </c>
      <c r="W101">
        <f t="shared" si="21"/>
        <v>-0.68663999999999858</v>
      </c>
    </row>
    <row r="102" spans="1:23" x14ac:dyDescent="0.3">
      <c r="A102">
        <v>4.5283202500000002</v>
      </c>
      <c r="B102">
        <v>0.54600000000000004</v>
      </c>
      <c r="C102">
        <f t="shared" si="14"/>
        <v>2.4724628565000004</v>
      </c>
      <c r="D102">
        <v>1.6E-2</v>
      </c>
      <c r="E102">
        <v>3.8158201924077539E-3</v>
      </c>
      <c r="F102">
        <f t="shared" si="15"/>
        <v>905.66405000000009</v>
      </c>
      <c r="G102">
        <f t="shared" si="16"/>
        <v>-0.54600000000000004</v>
      </c>
      <c r="H102">
        <f t="shared" si="17"/>
        <v>-494.49257130000007</v>
      </c>
      <c r="I102">
        <v>1</v>
      </c>
      <c r="J102">
        <f t="shared" si="18"/>
        <v>-9.9086847444119844E-2</v>
      </c>
      <c r="K102">
        <f t="shared" si="19"/>
        <v>-0.67572515177521741</v>
      </c>
      <c r="L102">
        <v>1</v>
      </c>
      <c r="M102">
        <f t="shared" si="20"/>
        <v>0.50732310080063758</v>
      </c>
      <c r="N102">
        <f t="shared" si="24"/>
        <v>7.2453124000000008E-2</v>
      </c>
      <c r="O102">
        <f t="shared" si="22"/>
        <v>1.7279255847638928E-2</v>
      </c>
      <c r="P102">
        <f t="shared" si="23"/>
        <v>7.8669671126940899E-2</v>
      </c>
      <c r="V102">
        <v>3.7999999999999701</v>
      </c>
      <c r="W102">
        <f t="shared" si="21"/>
        <v>-0.69135999999999864</v>
      </c>
    </row>
    <row r="103" spans="1:23" x14ac:dyDescent="0.3">
      <c r="A103">
        <v>4.5729782500000002</v>
      </c>
      <c r="B103">
        <v>0.54300000000000004</v>
      </c>
      <c r="C103">
        <f t="shared" si="14"/>
        <v>2.4831271897500002</v>
      </c>
      <c r="D103">
        <v>1.6E-2</v>
      </c>
      <c r="E103">
        <v>3.8158201924077539E-3</v>
      </c>
      <c r="F103">
        <f t="shared" si="15"/>
        <v>914.59565000000009</v>
      </c>
      <c r="G103">
        <f t="shared" si="16"/>
        <v>-0.54300000000000004</v>
      </c>
      <c r="H103">
        <f t="shared" si="17"/>
        <v>-496.62543795000005</v>
      </c>
      <c r="I103">
        <v>1</v>
      </c>
      <c r="J103">
        <f t="shared" si="18"/>
        <v>-8.9273223947056751E-2</v>
      </c>
      <c r="K103">
        <f t="shared" si="19"/>
        <v>-0.67872515177521742</v>
      </c>
      <c r="L103">
        <v>1</v>
      </c>
      <c r="M103">
        <f t="shared" si="20"/>
        <v>0.50778630382969892</v>
      </c>
      <c r="N103">
        <f t="shared" si="24"/>
        <v>7.3167652E-2</v>
      </c>
      <c r="O103">
        <f t="shared" si="22"/>
        <v>1.7449662745791475E-2</v>
      </c>
      <c r="P103">
        <f t="shared" si="23"/>
        <v>8.0321533199727027E-2</v>
      </c>
      <c r="V103">
        <v>3.8999999999999599</v>
      </c>
      <c r="W103">
        <f t="shared" si="21"/>
        <v>-0.69607999999999814</v>
      </c>
    </row>
    <row r="104" spans="1:23" x14ac:dyDescent="0.3">
      <c r="A104">
        <v>4.6176362500000003</v>
      </c>
      <c r="B104">
        <v>0.54</v>
      </c>
      <c r="C104">
        <f t="shared" si="14"/>
        <v>2.4935235750000002</v>
      </c>
      <c r="D104">
        <v>1.6E-2</v>
      </c>
      <c r="E104">
        <v>3.8158201924077539E-3</v>
      </c>
      <c r="F104">
        <f t="shared" si="15"/>
        <v>923.52725000000009</v>
      </c>
      <c r="G104">
        <f t="shared" si="16"/>
        <v>-0.54</v>
      </c>
      <c r="H104">
        <f t="shared" si="17"/>
        <v>-498.70471500000002</v>
      </c>
      <c r="I104">
        <v>1</v>
      </c>
      <c r="J104">
        <f t="shared" si="18"/>
        <v>-7.9554972469024363E-2</v>
      </c>
      <c r="K104">
        <f t="shared" si="19"/>
        <v>-0.68172515177521742</v>
      </c>
      <c r="L104">
        <v>1</v>
      </c>
      <c r="M104">
        <f t="shared" si="20"/>
        <v>0.50824500529946204</v>
      </c>
      <c r="N104">
        <f t="shared" si="24"/>
        <v>7.3882180000000006E-2</v>
      </c>
      <c r="O104">
        <f t="shared" si="22"/>
        <v>1.7620069643944022E-2</v>
      </c>
      <c r="P104">
        <f t="shared" si="23"/>
        <v>8.197789683181135E-2</v>
      </c>
      <c r="V104">
        <v>3.99999999999996</v>
      </c>
      <c r="W104">
        <f t="shared" si="21"/>
        <v>-0.70079999999999809</v>
      </c>
    </row>
    <row r="105" spans="1:23" x14ac:dyDescent="0.3">
      <c r="A105">
        <v>4.6622942499999995</v>
      </c>
      <c r="B105">
        <v>0.53700000000000003</v>
      </c>
      <c r="C105">
        <f t="shared" si="14"/>
        <v>2.5036520122499999</v>
      </c>
      <c r="D105">
        <v>1.6E-2</v>
      </c>
      <c r="E105">
        <v>3.8158201924077539E-3</v>
      </c>
      <c r="F105">
        <f t="shared" si="15"/>
        <v>932.45884999999987</v>
      </c>
      <c r="G105">
        <f t="shared" si="16"/>
        <v>-0.53700000000000003</v>
      </c>
      <c r="H105">
        <f t="shared" si="17"/>
        <v>-500.73040244999999</v>
      </c>
      <c r="I105">
        <v>1</v>
      </c>
      <c r="J105">
        <f t="shared" si="18"/>
        <v>-6.9930257124192818E-2</v>
      </c>
      <c r="K105">
        <f t="shared" si="19"/>
        <v>-0.68472515177521742</v>
      </c>
      <c r="L105">
        <v>1</v>
      </c>
      <c r="M105">
        <f t="shared" si="20"/>
        <v>0.50869929186373808</v>
      </c>
      <c r="N105">
        <f t="shared" si="24"/>
        <v>7.4596707999999998E-2</v>
      </c>
      <c r="O105">
        <f t="shared" si="22"/>
        <v>1.7790476542096562E-2</v>
      </c>
      <c r="P105">
        <f t="shared" si="23"/>
        <v>8.3638675369382784E-2</v>
      </c>
      <c r="V105">
        <v>4.0999999999999996</v>
      </c>
      <c r="W105">
        <f t="shared" si="21"/>
        <v>-0.70551999999999992</v>
      </c>
    </row>
    <row r="106" spans="1:23" x14ac:dyDescent="0.3">
      <c r="A106">
        <v>4.7069521999999999</v>
      </c>
      <c r="B106">
        <v>0.53500000000000003</v>
      </c>
      <c r="C106">
        <f t="shared" si="14"/>
        <v>2.518219427</v>
      </c>
      <c r="D106">
        <v>1.6E-2</v>
      </c>
      <c r="E106">
        <v>3.8158201924077539E-3</v>
      </c>
      <c r="F106">
        <f t="shared" si="15"/>
        <v>941.39044000000001</v>
      </c>
      <c r="G106">
        <f t="shared" si="16"/>
        <v>-0.53500000000000003</v>
      </c>
      <c r="H106">
        <f t="shared" si="17"/>
        <v>-503.64388539999999</v>
      </c>
      <c r="I106">
        <v>1</v>
      </c>
      <c r="J106">
        <f t="shared" si="18"/>
        <v>-6.0397305154824908E-2</v>
      </c>
      <c r="K106">
        <f t="shared" si="19"/>
        <v>-0.68672515177521742</v>
      </c>
      <c r="L106">
        <v>1</v>
      </c>
      <c r="M106">
        <f t="shared" si="20"/>
        <v>0.5091492471966923</v>
      </c>
      <c r="N106">
        <f t="shared" si="24"/>
        <v>7.5311235200000007E-2</v>
      </c>
      <c r="O106">
        <f t="shared" si="22"/>
        <v>1.79608832494581E-2</v>
      </c>
      <c r="P106">
        <f t="shared" si="23"/>
        <v>8.4303786129067013E-2</v>
      </c>
      <c r="V106">
        <v>4.2</v>
      </c>
      <c r="W106">
        <f t="shared" si="21"/>
        <v>-0.71023999999999998</v>
      </c>
    </row>
    <row r="107" spans="1:23" x14ac:dyDescent="0.3">
      <c r="A107">
        <v>4.7516102</v>
      </c>
      <c r="B107">
        <v>0.53300000000000003</v>
      </c>
      <c r="C107">
        <f t="shared" si="14"/>
        <v>2.5326082366000002</v>
      </c>
      <c r="D107">
        <v>1.6E-2</v>
      </c>
      <c r="E107">
        <v>3.8158201924077539E-3</v>
      </c>
      <c r="F107">
        <f t="shared" si="15"/>
        <v>950.32204000000002</v>
      </c>
      <c r="G107">
        <f t="shared" si="16"/>
        <v>-0.53300000000000003</v>
      </c>
      <c r="H107">
        <f t="shared" si="17"/>
        <v>-506.52164732000006</v>
      </c>
      <c r="I107">
        <v>1</v>
      </c>
      <c r="J107">
        <f t="shared" si="18"/>
        <v>-5.0954362357816418E-2</v>
      </c>
      <c r="K107">
        <f t="shared" si="19"/>
        <v>-0.68872515177521743</v>
      </c>
      <c r="L107">
        <v>1</v>
      </c>
      <c r="M107">
        <f t="shared" si="20"/>
        <v>0.50959495409671107</v>
      </c>
      <c r="N107">
        <f t="shared" si="24"/>
        <v>7.6025763199999999E-2</v>
      </c>
      <c r="O107">
        <f t="shared" si="22"/>
        <v>1.8131290147610647E-2</v>
      </c>
      <c r="P107">
        <f t="shared" si="23"/>
        <v>8.49731443308957E-2</v>
      </c>
      <c r="V107">
        <v>4.3</v>
      </c>
      <c r="W107">
        <f t="shared" si="21"/>
        <v>-0.71496000000000004</v>
      </c>
    </row>
    <row r="108" spans="1:23" x14ac:dyDescent="0.3">
      <c r="A108">
        <v>4.8051997999999996</v>
      </c>
      <c r="B108">
        <v>0.53</v>
      </c>
      <c r="C108">
        <f t="shared" si="14"/>
        <v>2.5467558939999999</v>
      </c>
      <c r="D108">
        <v>1.6E-2</v>
      </c>
      <c r="E108">
        <v>3.8158201924077539E-3</v>
      </c>
      <c r="F108">
        <f t="shared" si="15"/>
        <v>961.03995999999995</v>
      </c>
      <c r="G108">
        <f t="shared" si="16"/>
        <v>-0.53</v>
      </c>
      <c r="H108">
        <f t="shared" si="17"/>
        <v>-509.35117879999996</v>
      </c>
      <c r="I108">
        <v>1</v>
      </c>
      <c r="J108">
        <f t="shared" si="18"/>
        <v>-3.9739289190594961E-2</v>
      </c>
      <c r="K108">
        <f t="shared" si="19"/>
        <v>-0.69172515177521743</v>
      </c>
      <c r="L108">
        <v>1</v>
      </c>
      <c r="M108">
        <f t="shared" si="20"/>
        <v>0.51012430555020394</v>
      </c>
      <c r="N108">
        <f t="shared" si="24"/>
        <v>7.6883196799999998E-2</v>
      </c>
      <c r="O108">
        <f t="shared" si="22"/>
        <v>1.83357784253937E-2</v>
      </c>
      <c r="P108">
        <f t="shared" si="23"/>
        <v>8.6381870999619789E-2</v>
      </c>
      <c r="V108">
        <v>4.4000000000000004</v>
      </c>
      <c r="W108">
        <f t="shared" si="21"/>
        <v>-0.71967999999999999</v>
      </c>
    </row>
    <row r="109" spans="1:23" x14ac:dyDescent="0.3">
      <c r="A109">
        <v>4.8498577999999997</v>
      </c>
      <c r="B109">
        <v>0.52700000000000002</v>
      </c>
      <c r="C109">
        <f t="shared" si="14"/>
        <v>2.5558750606</v>
      </c>
      <c r="D109">
        <v>1.6E-2</v>
      </c>
      <c r="E109">
        <v>3.8158201924077539E-3</v>
      </c>
      <c r="F109">
        <f t="shared" si="15"/>
        <v>969.97155999999995</v>
      </c>
      <c r="G109">
        <f t="shared" si="16"/>
        <v>-0.52700000000000002</v>
      </c>
      <c r="H109">
        <f t="shared" si="17"/>
        <v>-511.17501212000002</v>
      </c>
      <c r="I109">
        <v>1</v>
      </c>
      <c r="J109">
        <f t="shared" si="18"/>
        <v>-3.0488527502164971E-2</v>
      </c>
      <c r="K109">
        <f t="shared" si="19"/>
        <v>-0.69472515177521743</v>
      </c>
      <c r="L109">
        <v>1</v>
      </c>
      <c r="M109">
        <f t="shared" si="20"/>
        <v>0.51056094150189779</v>
      </c>
      <c r="N109">
        <f t="shared" si="24"/>
        <v>7.759772479999999E-2</v>
      </c>
      <c r="O109">
        <f t="shared" si="22"/>
        <v>1.8506185323546243E-2</v>
      </c>
      <c r="P109">
        <f t="shared" si="23"/>
        <v>8.806030014977341E-2</v>
      </c>
      <c r="V109">
        <v>4.5</v>
      </c>
      <c r="W109">
        <f t="shared" si="21"/>
        <v>-0.72440000000000004</v>
      </c>
    </row>
    <row r="110" spans="1:23" x14ac:dyDescent="0.3">
      <c r="A110">
        <v>4.8945157999999998</v>
      </c>
      <c r="B110">
        <v>0.52500000000000002</v>
      </c>
      <c r="C110">
        <f t="shared" si="14"/>
        <v>2.5696207950000001</v>
      </c>
      <c r="D110">
        <v>1.6E-2</v>
      </c>
      <c r="E110">
        <v>3.8158201924077539E-3</v>
      </c>
      <c r="F110">
        <f t="shared" si="15"/>
        <v>978.90315999999996</v>
      </c>
      <c r="G110">
        <f t="shared" si="16"/>
        <v>-0.52500000000000002</v>
      </c>
      <c r="H110">
        <f t="shared" si="17"/>
        <v>-513.92415900000003</v>
      </c>
      <c r="I110">
        <v>1</v>
      </c>
      <c r="J110">
        <f t="shared" si="18"/>
        <v>-2.1322558606774501E-2</v>
      </c>
      <c r="K110">
        <f t="shared" si="19"/>
        <v>-0.69672515177521743</v>
      </c>
      <c r="L110">
        <v>1</v>
      </c>
      <c r="M110">
        <f t="shared" si="20"/>
        <v>0.51099357523376021</v>
      </c>
      <c r="N110">
        <f t="shared" si="24"/>
        <v>7.8312252799999996E-2</v>
      </c>
      <c r="O110">
        <f t="shared" si="22"/>
        <v>1.867659222169879E-2</v>
      </c>
      <c r="P110">
        <f t="shared" si="23"/>
        <v>8.8742731519758436E-2</v>
      </c>
      <c r="V110">
        <v>4.5999999999999996</v>
      </c>
      <c r="W110">
        <f t="shared" si="21"/>
        <v>-0.72911999999999999</v>
      </c>
    </row>
    <row r="111" spans="1:23" x14ac:dyDescent="0.3">
      <c r="A111">
        <v>4.9391737500000001</v>
      </c>
      <c r="B111">
        <v>0.52200000000000002</v>
      </c>
      <c r="C111">
        <f t="shared" si="14"/>
        <v>2.5782486975000003</v>
      </c>
      <c r="D111">
        <v>1.6E-2</v>
      </c>
      <c r="E111">
        <v>3.8158201924077539E-3</v>
      </c>
      <c r="F111">
        <f t="shared" si="15"/>
        <v>987.83474999999999</v>
      </c>
      <c r="G111">
        <f t="shared" si="16"/>
        <v>-0.52200000000000002</v>
      </c>
      <c r="H111">
        <f t="shared" si="17"/>
        <v>-515.64973950000001</v>
      </c>
      <c r="I111">
        <v>1</v>
      </c>
      <c r="J111">
        <f t="shared" si="18"/>
        <v>-1.2239852308315606E-2</v>
      </c>
      <c r="K111">
        <f t="shared" si="19"/>
        <v>-0.69972515177521744</v>
      </c>
      <c r="L111">
        <v>1</v>
      </c>
      <c r="M111">
        <f t="shared" si="20"/>
        <v>0.51142227897104753</v>
      </c>
      <c r="N111">
        <f t="shared" si="24"/>
        <v>7.9026780000000005E-2</v>
      </c>
      <c r="O111">
        <f t="shared" si="22"/>
        <v>1.8846998929060329E-2</v>
      </c>
      <c r="P111">
        <f t="shared" si="23"/>
        <v>9.042909387510957E-2</v>
      </c>
      <c r="V111">
        <v>4.7</v>
      </c>
      <c r="W111">
        <f t="shared" si="21"/>
        <v>-0.73384000000000005</v>
      </c>
    </row>
    <row r="112" spans="1:23" x14ac:dyDescent="0.3">
      <c r="A112">
        <v>4.9838317500000002</v>
      </c>
      <c r="B112">
        <v>0.51900000000000002</v>
      </c>
      <c r="C112">
        <f t="shared" si="14"/>
        <v>2.5866086782500002</v>
      </c>
      <c r="D112">
        <v>1.6E-2</v>
      </c>
      <c r="E112">
        <v>3.8158201924077539E-3</v>
      </c>
      <c r="F112">
        <f t="shared" si="15"/>
        <v>996.7663500000001</v>
      </c>
      <c r="G112">
        <f t="shared" si="16"/>
        <v>-0.51900000000000002</v>
      </c>
      <c r="H112">
        <f t="shared" si="17"/>
        <v>-517.32173565000005</v>
      </c>
      <c r="I112">
        <v>1</v>
      </c>
      <c r="J112">
        <f t="shared" si="18"/>
        <v>-3.2388895444453764E-3</v>
      </c>
      <c r="K112">
        <f t="shared" si="19"/>
        <v>-0.70272515177521744</v>
      </c>
      <c r="L112">
        <v>1</v>
      </c>
      <c r="M112">
        <f t="shared" si="20"/>
        <v>0.51184712441350222</v>
      </c>
      <c r="N112">
        <f t="shared" si="24"/>
        <v>7.9741308000000011E-2</v>
      </c>
      <c r="O112">
        <f t="shared" si="22"/>
        <v>1.9017405827212872E-2</v>
      </c>
      <c r="P112">
        <f t="shared" si="23"/>
        <v>9.211931353450234E-2</v>
      </c>
      <c r="V112">
        <v>4.8</v>
      </c>
      <c r="W112">
        <f t="shared" si="21"/>
        <v>-0.73855999999999999</v>
      </c>
    </row>
    <row r="113" spans="1:23" x14ac:dyDescent="0.3">
      <c r="A113">
        <v>5.0284897500000003</v>
      </c>
      <c r="B113">
        <v>0.51700000000000002</v>
      </c>
      <c r="C113">
        <f t="shared" si="14"/>
        <v>2.5997292007500001</v>
      </c>
      <c r="D113">
        <v>1.6E-2</v>
      </c>
      <c r="E113">
        <v>3.8158201924077539E-3</v>
      </c>
      <c r="F113">
        <f t="shared" si="15"/>
        <v>1005.6979500000001</v>
      </c>
      <c r="G113">
        <f t="shared" si="16"/>
        <v>-0.51700000000000002</v>
      </c>
      <c r="H113">
        <f t="shared" si="17"/>
        <v>-519.94584014999998</v>
      </c>
      <c r="I113">
        <v>1</v>
      </c>
      <c r="J113">
        <f t="shared" si="18"/>
        <v>5.6817780849932253E-3</v>
      </c>
      <c r="K113">
        <f t="shared" si="19"/>
        <v>-0.70472515177521744</v>
      </c>
      <c r="L113">
        <v>1</v>
      </c>
      <c r="M113">
        <f t="shared" si="20"/>
        <v>0.51226817992561169</v>
      </c>
      <c r="N113">
        <f t="shared" si="24"/>
        <v>8.0455836000000003E-2</v>
      </c>
      <c r="O113">
        <f t="shared" si="22"/>
        <v>1.9187812725365419E-2</v>
      </c>
      <c r="P113">
        <f t="shared" si="23"/>
        <v>9.2813323124240329E-2</v>
      </c>
      <c r="V113">
        <v>4.9000000000000004</v>
      </c>
      <c r="W113">
        <f t="shared" si="21"/>
        <v>-0.74328000000000005</v>
      </c>
    </row>
    <row r="114" spans="1:23" x14ac:dyDescent="0.3">
      <c r="A114">
        <v>5.0731477500000004</v>
      </c>
      <c r="B114">
        <v>0.51400000000000001</v>
      </c>
      <c r="C114">
        <f t="shared" si="14"/>
        <v>2.6075979435000001</v>
      </c>
      <c r="D114">
        <v>1.6E-2</v>
      </c>
      <c r="E114">
        <v>3.8158201924077539E-3</v>
      </c>
      <c r="F114">
        <f t="shared" si="15"/>
        <v>1014.6295500000001</v>
      </c>
      <c r="G114">
        <f t="shared" si="16"/>
        <v>-0.51400000000000001</v>
      </c>
      <c r="H114">
        <f t="shared" si="17"/>
        <v>-521.51958869999999</v>
      </c>
      <c r="I114">
        <v>1</v>
      </c>
      <c r="J114">
        <f t="shared" si="18"/>
        <v>1.4523570504572383E-2</v>
      </c>
      <c r="K114">
        <f t="shared" si="19"/>
        <v>-0.70772515177521744</v>
      </c>
      <c r="L114">
        <v>1</v>
      </c>
      <c r="M114">
        <f t="shared" si="20"/>
        <v>0.5126855125278158</v>
      </c>
      <c r="N114">
        <f t="shared" si="24"/>
        <v>8.1170364000000009E-2</v>
      </c>
      <c r="O114">
        <f t="shared" si="22"/>
        <v>1.9358219623517966E-2</v>
      </c>
      <c r="P114">
        <f t="shared" si="23"/>
        <v>9.4511055623883664E-2</v>
      </c>
      <c r="V114">
        <v>5</v>
      </c>
      <c r="W114">
        <f t="shared" si="21"/>
        <v>-0.748</v>
      </c>
    </row>
    <row r="115" spans="1:23" x14ac:dyDescent="0.3">
      <c r="A115">
        <v>5.12673735</v>
      </c>
      <c r="B115">
        <v>0.51100000000000001</v>
      </c>
      <c r="C115">
        <f t="shared" si="14"/>
        <v>2.6197627858499999</v>
      </c>
      <c r="D115">
        <v>1.6E-2</v>
      </c>
      <c r="E115">
        <v>3.8158201924077539E-3</v>
      </c>
      <c r="F115">
        <f t="shared" si="15"/>
        <v>1025.3474699999999</v>
      </c>
      <c r="G115">
        <f t="shared" si="16"/>
        <v>-0.51100000000000001</v>
      </c>
      <c r="H115">
        <f t="shared" si="17"/>
        <v>-523.95255716999998</v>
      </c>
      <c r="I115">
        <v>1</v>
      </c>
      <c r="J115">
        <f t="shared" si="18"/>
        <v>2.5031550266458615E-2</v>
      </c>
      <c r="K115">
        <f t="shared" si="19"/>
        <v>-0.71072515177521745</v>
      </c>
      <c r="L115">
        <v>1</v>
      </c>
      <c r="M115">
        <f t="shared" si="20"/>
        <v>0.51318148917257689</v>
      </c>
      <c r="N115">
        <f t="shared" si="24"/>
        <v>8.2027797600000008E-2</v>
      </c>
      <c r="O115">
        <f t="shared" si="22"/>
        <v>1.9562707901301019E-2</v>
      </c>
      <c r="P115">
        <f t="shared" si="23"/>
        <v>9.5953157101339531E-2</v>
      </c>
      <c r="V115">
        <v>5.0999999999999996</v>
      </c>
      <c r="W115">
        <f t="shared" si="21"/>
        <v>-0.75272000000000006</v>
      </c>
    </row>
    <row r="116" spans="1:23" x14ac:dyDescent="0.3">
      <c r="A116">
        <v>5.1713953000000004</v>
      </c>
      <c r="B116">
        <v>0.50800000000000001</v>
      </c>
      <c r="C116">
        <f t="shared" si="14"/>
        <v>2.6270688124000001</v>
      </c>
      <c r="D116">
        <v>1.6E-2</v>
      </c>
      <c r="E116">
        <v>3.8158201924077539E-3</v>
      </c>
      <c r="F116">
        <f t="shared" si="15"/>
        <v>1034.2790600000001</v>
      </c>
      <c r="G116">
        <f t="shared" si="16"/>
        <v>-0.50800000000000001</v>
      </c>
      <c r="H116">
        <f t="shared" si="17"/>
        <v>-525.41376248000006</v>
      </c>
      <c r="I116">
        <v>1</v>
      </c>
      <c r="J116">
        <f t="shared" si="18"/>
        <v>3.3704623619957914E-2</v>
      </c>
      <c r="K116">
        <f t="shared" si="19"/>
        <v>-0.71372515177521745</v>
      </c>
      <c r="L116">
        <v>1</v>
      </c>
      <c r="M116">
        <f t="shared" si="20"/>
        <v>0.51359085823486206</v>
      </c>
      <c r="N116">
        <f t="shared" si="24"/>
        <v>8.2742324800000003E-2</v>
      </c>
      <c r="O116">
        <f t="shared" si="22"/>
        <v>1.9733114608662557E-2</v>
      </c>
      <c r="P116">
        <f t="shared" si="23"/>
        <v>9.7658854131692827E-2</v>
      </c>
      <c r="V116">
        <v>5.2</v>
      </c>
      <c r="W116">
        <f t="shared" si="21"/>
        <v>-0.75744</v>
      </c>
    </row>
    <row r="117" spans="1:23" x14ac:dyDescent="0.3">
      <c r="A117">
        <v>5.2160532999999996</v>
      </c>
      <c r="B117">
        <v>0.505</v>
      </c>
      <c r="C117">
        <f t="shared" si="14"/>
        <v>2.6341069165</v>
      </c>
      <c r="D117">
        <v>1.6E-2</v>
      </c>
      <c r="E117">
        <v>3.8158201924077539E-3</v>
      </c>
      <c r="F117">
        <f t="shared" si="15"/>
        <v>1043.21066</v>
      </c>
      <c r="G117">
        <f t="shared" si="16"/>
        <v>-0.505</v>
      </c>
      <c r="H117">
        <f t="shared" si="17"/>
        <v>-526.82138329999998</v>
      </c>
      <c r="I117">
        <v>1</v>
      </c>
      <c r="J117">
        <f t="shared" si="18"/>
        <v>4.2303130696324513E-2</v>
      </c>
      <c r="K117">
        <f t="shared" si="19"/>
        <v>-0.71672515177521745</v>
      </c>
      <c r="L117">
        <v>1</v>
      </c>
      <c r="M117">
        <f t="shared" si="20"/>
        <v>0.51399670776886652</v>
      </c>
      <c r="N117">
        <f t="shared" si="24"/>
        <v>8.3456852799999995E-2</v>
      </c>
      <c r="O117">
        <f t="shared" si="22"/>
        <v>1.9903521506815097E-2</v>
      </c>
      <c r="P117">
        <f t="shared" si="23"/>
        <v>9.9368069699535835E-2</v>
      </c>
      <c r="V117">
        <v>5.3</v>
      </c>
      <c r="W117">
        <f t="shared" si="21"/>
        <v>-0.76215999999999995</v>
      </c>
    </row>
    <row r="118" spans="1:23" x14ac:dyDescent="0.3">
      <c r="A118">
        <v>5.2607113000000005</v>
      </c>
      <c r="B118">
        <v>0.503</v>
      </c>
      <c r="C118">
        <f t="shared" si="14"/>
        <v>2.6461377839000004</v>
      </c>
      <c r="D118">
        <v>1.6E-2</v>
      </c>
      <c r="E118">
        <v>3.8158201924077539E-3</v>
      </c>
      <c r="F118">
        <f t="shared" si="15"/>
        <v>1052.1422600000001</v>
      </c>
      <c r="G118">
        <f t="shared" si="16"/>
        <v>-0.503</v>
      </c>
      <c r="H118">
        <f t="shared" si="17"/>
        <v>-529.2275567800001</v>
      </c>
      <c r="I118">
        <v>1</v>
      </c>
      <c r="J118">
        <f t="shared" si="18"/>
        <v>5.0828333309900053E-2</v>
      </c>
      <c r="K118">
        <f t="shared" si="19"/>
        <v>-0.71872515177521745</v>
      </c>
      <c r="L118">
        <v>1</v>
      </c>
      <c r="M118">
        <f t="shared" si="20"/>
        <v>0.51439909733222733</v>
      </c>
      <c r="N118">
        <f t="shared" si="24"/>
        <v>8.4171380800000015E-2</v>
      </c>
      <c r="O118">
        <f t="shared" si="22"/>
        <v>2.0073928404967648E-2</v>
      </c>
      <c r="P118">
        <f t="shared" si="23"/>
        <v>0.10008074523802246</v>
      </c>
      <c r="V118">
        <v>5.4</v>
      </c>
      <c r="W118">
        <f t="shared" si="21"/>
        <v>-0.76688000000000001</v>
      </c>
    </row>
    <row r="119" spans="1:23" x14ac:dyDescent="0.3">
      <c r="A119">
        <v>5.3053692999999997</v>
      </c>
      <c r="B119">
        <v>0.5</v>
      </c>
      <c r="C119">
        <f t="shared" si="14"/>
        <v>2.6526846499999999</v>
      </c>
      <c r="D119">
        <v>1.6E-2</v>
      </c>
      <c r="E119">
        <v>3.8158201924077539E-3</v>
      </c>
      <c r="F119">
        <f t="shared" si="15"/>
        <v>1061.07386</v>
      </c>
      <c r="G119">
        <f t="shared" si="16"/>
        <v>-0.5</v>
      </c>
      <c r="H119">
        <f t="shared" si="17"/>
        <v>-530.53692999999998</v>
      </c>
      <c r="I119">
        <v>1</v>
      </c>
      <c r="J119">
        <f t="shared" si="18"/>
        <v>5.9281470781035642E-2</v>
      </c>
      <c r="K119">
        <f t="shared" si="19"/>
        <v>-0.72172515177521745</v>
      </c>
      <c r="L119">
        <v>1</v>
      </c>
      <c r="M119">
        <f t="shared" si="20"/>
        <v>0.51479808542086491</v>
      </c>
      <c r="N119">
        <f t="shared" si="24"/>
        <v>8.4885908799999993E-2</v>
      </c>
      <c r="O119">
        <f t="shared" si="22"/>
        <v>2.0244335303120191E-2</v>
      </c>
      <c r="P119">
        <f t="shared" si="23"/>
        <v>0.10179682225123235</v>
      </c>
      <c r="V119">
        <v>5.5</v>
      </c>
      <c r="W119">
        <f t="shared" si="21"/>
        <v>-0.77160000000000006</v>
      </c>
    </row>
    <row r="120" spans="1:23" x14ac:dyDescent="0.3">
      <c r="A120">
        <v>5.3500273000000007</v>
      </c>
      <c r="B120">
        <v>0.497</v>
      </c>
      <c r="C120">
        <f t="shared" si="14"/>
        <v>2.6589635681000003</v>
      </c>
      <c r="D120">
        <v>1.6E-2</v>
      </c>
      <c r="E120">
        <v>3.8158201924077539E-3</v>
      </c>
      <c r="F120">
        <f t="shared" si="15"/>
        <v>1070.0054600000001</v>
      </c>
      <c r="G120">
        <f t="shared" si="16"/>
        <v>-0.497</v>
      </c>
      <c r="H120">
        <f t="shared" si="17"/>
        <v>-531.79271362000009</v>
      </c>
      <c r="I120">
        <v>1</v>
      </c>
      <c r="J120">
        <f t="shared" si="18"/>
        <v>6.7663751264534042E-2</v>
      </c>
      <c r="K120">
        <f t="shared" si="19"/>
        <v>-0.72472515177521746</v>
      </c>
      <c r="L120">
        <v>1</v>
      </c>
      <c r="M120">
        <f t="shared" si="20"/>
        <v>0.51519372905968597</v>
      </c>
      <c r="N120">
        <f t="shared" si="24"/>
        <v>8.5600436800000013E-2</v>
      </c>
      <c r="O120">
        <f t="shared" si="22"/>
        <v>2.0414742201272738E-2</v>
      </c>
      <c r="P120">
        <f t="shared" si="23"/>
        <v>0.10351624371425874</v>
      </c>
      <c r="V120">
        <v>5.6</v>
      </c>
      <c r="W120">
        <f t="shared" si="21"/>
        <v>-0.77632000000000001</v>
      </c>
    </row>
    <row r="121" spans="1:23" x14ac:dyDescent="0.3">
      <c r="A121">
        <v>5.3946852500000002</v>
      </c>
      <c r="B121">
        <v>0.49399999999999999</v>
      </c>
      <c r="C121">
        <f t="shared" si="14"/>
        <v>2.6649745135000003</v>
      </c>
      <c r="D121">
        <v>1.6E-2</v>
      </c>
      <c r="E121">
        <v>3.8158201924077539E-3</v>
      </c>
      <c r="F121">
        <f t="shared" si="15"/>
        <v>1078.93705</v>
      </c>
      <c r="G121">
        <f t="shared" si="16"/>
        <v>-0.49399999999999999</v>
      </c>
      <c r="H121">
        <f t="shared" si="17"/>
        <v>-532.99490270000001</v>
      </c>
      <c r="I121">
        <v>1</v>
      </c>
      <c r="J121">
        <f t="shared" si="18"/>
        <v>7.5976343517558109E-2</v>
      </c>
      <c r="K121">
        <f t="shared" si="19"/>
        <v>-0.72772515177521746</v>
      </c>
      <c r="L121">
        <v>1</v>
      </c>
      <c r="M121">
        <f t="shared" si="20"/>
        <v>0.51558608341402878</v>
      </c>
      <c r="N121">
        <f t="shared" si="24"/>
        <v>8.6314964000000008E-2</v>
      </c>
      <c r="O121">
        <f t="shared" si="22"/>
        <v>2.0585148908634273E-2</v>
      </c>
      <c r="P121">
        <f t="shared" si="23"/>
        <v>0.10523895545255441</v>
      </c>
      <c r="V121">
        <v>5.7</v>
      </c>
      <c r="W121">
        <f t="shared" si="21"/>
        <v>-0.78103999999999996</v>
      </c>
    </row>
    <row r="122" spans="1:23" x14ac:dyDescent="0.3">
      <c r="A122">
        <v>5.4482748500000007</v>
      </c>
      <c r="B122">
        <v>0.49099999999999999</v>
      </c>
      <c r="C122">
        <f t="shared" si="14"/>
        <v>2.6751029513500004</v>
      </c>
      <c r="D122">
        <v>1.6E-2</v>
      </c>
      <c r="E122">
        <v>3.8158201924077539E-3</v>
      </c>
      <c r="F122">
        <f t="shared" si="15"/>
        <v>1089.65497</v>
      </c>
      <c r="G122">
        <f t="shared" si="16"/>
        <v>-0.49099999999999999</v>
      </c>
      <c r="H122">
        <f t="shared" si="17"/>
        <v>-535.02059027000007</v>
      </c>
      <c r="I122">
        <v>1</v>
      </c>
      <c r="J122">
        <f t="shared" si="18"/>
        <v>8.5861104846881475E-2</v>
      </c>
      <c r="K122">
        <f t="shared" si="19"/>
        <v>-0.73072515177521746</v>
      </c>
      <c r="L122">
        <v>1</v>
      </c>
      <c r="M122">
        <f t="shared" si="20"/>
        <v>0.51605264414877283</v>
      </c>
      <c r="N122">
        <f t="shared" si="24"/>
        <v>8.7172397600000007E-2</v>
      </c>
      <c r="O122">
        <f t="shared" si="22"/>
        <v>2.0789637186417329E-2</v>
      </c>
      <c r="P122">
        <f t="shared" si="23"/>
        <v>0.1067104728400273</v>
      </c>
      <c r="V122">
        <v>5.8</v>
      </c>
      <c r="W122">
        <f t="shared" si="21"/>
        <v>-0.78576000000000001</v>
      </c>
    </row>
    <row r="123" spans="1:23" x14ac:dyDescent="0.3">
      <c r="A123">
        <v>5.4929328499999999</v>
      </c>
      <c r="B123">
        <v>0.48799999999999999</v>
      </c>
      <c r="C123">
        <f t="shared" si="14"/>
        <v>2.6805512307999999</v>
      </c>
      <c r="D123">
        <v>1.6E-2</v>
      </c>
      <c r="E123">
        <v>3.8158201924077539E-3</v>
      </c>
      <c r="F123">
        <f t="shared" si="15"/>
        <v>1098.5865699999999</v>
      </c>
      <c r="G123">
        <f t="shared" si="16"/>
        <v>-0.48799999999999999</v>
      </c>
      <c r="H123">
        <f t="shared" si="17"/>
        <v>-536.11024615999997</v>
      </c>
      <c r="I123">
        <v>1</v>
      </c>
      <c r="J123">
        <f t="shared" si="18"/>
        <v>9.4024417202107302E-2</v>
      </c>
      <c r="K123">
        <f t="shared" si="19"/>
        <v>-0.73372515177521747</v>
      </c>
      <c r="L123">
        <v>1</v>
      </c>
      <c r="M123">
        <f t="shared" si="20"/>
        <v>0.51643795249193947</v>
      </c>
      <c r="N123">
        <f t="shared" si="24"/>
        <v>8.7886925599999999E-2</v>
      </c>
      <c r="O123">
        <f t="shared" si="22"/>
        <v>2.0960044084569873E-2</v>
      </c>
      <c r="P123">
        <f t="shared" si="23"/>
        <v>0.10844022959870812</v>
      </c>
      <c r="V123">
        <v>5.9</v>
      </c>
      <c r="W123">
        <f t="shared" si="21"/>
        <v>-0.79048000000000007</v>
      </c>
    </row>
    <row r="124" spans="1:23" x14ac:dyDescent="0.3">
      <c r="A124">
        <v>5.5465224500000003</v>
      </c>
      <c r="B124">
        <v>0.48499999999999999</v>
      </c>
      <c r="C124">
        <f t="shared" si="14"/>
        <v>2.69006338825</v>
      </c>
      <c r="D124">
        <v>1.6E-2</v>
      </c>
      <c r="E124">
        <v>3.8158201924077539E-3</v>
      </c>
      <c r="F124">
        <f t="shared" si="15"/>
        <v>1109.30449</v>
      </c>
      <c r="G124">
        <f t="shared" si="16"/>
        <v>-0.48499999999999999</v>
      </c>
      <c r="H124">
        <f t="shared" si="17"/>
        <v>-538.01267765</v>
      </c>
      <c r="I124">
        <v>1</v>
      </c>
      <c r="J124">
        <f t="shared" si="18"/>
        <v>0.10373323335186943</v>
      </c>
      <c r="K124">
        <f t="shared" si="19"/>
        <v>-0.73672515177521747</v>
      </c>
      <c r="L124">
        <v>1</v>
      </c>
      <c r="M124">
        <f t="shared" si="20"/>
        <v>0.51689620861420826</v>
      </c>
      <c r="N124">
        <f t="shared" si="24"/>
        <v>8.8744359200000011E-2</v>
      </c>
      <c r="O124">
        <f t="shared" si="22"/>
        <v>2.1164532362352929E-2</v>
      </c>
      <c r="P124">
        <f t="shared" si="23"/>
        <v>0.10992005159865627</v>
      </c>
      <c r="V124">
        <v>6</v>
      </c>
      <c r="W124">
        <f t="shared" si="21"/>
        <v>-0.79520000000000002</v>
      </c>
    </row>
    <row r="125" spans="1:23" x14ac:dyDescent="0.3">
      <c r="A125">
        <v>5.5911804500000004</v>
      </c>
      <c r="B125">
        <v>0.48199999999999998</v>
      </c>
      <c r="C125">
        <f t="shared" si="14"/>
        <v>2.6949489769000001</v>
      </c>
      <c r="D125">
        <v>1.6E-2</v>
      </c>
      <c r="E125">
        <v>3.8158201924077539E-3</v>
      </c>
      <c r="F125">
        <f t="shared" si="15"/>
        <v>1118.2360900000001</v>
      </c>
      <c r="G125">
        <f t="shared" si="16"/>
        <v>-0.48199999999999998</v>
      </c>
      <c r="H125">
        <f t="shared" si="17"/>
        <v>-538.98979538000003</v>
      </c>
      <c r="I125">
        <v>1</v>
      </c>
      <c r="J125">
        <f t="shared" si="18"/>
        <v>0.11175252417453661</v>
      </c>
      <c r="K125">
        <f t="shared" si="19"/>
        <v>-0.73972515177521747</v>
      </c>
      <c r="L125">
        <v>1</v>
      </c>
      <c r="M125">
        <f t="shared" si="20"/>
        <v>0.51727471914103818</v>
      </c>
      <c r="N125">
        <f t="shared" si="24"/>
        <v>8.9458887200000003E-2</v>
      </c>
      <c r="O125">
        <f t="shared" si="22"/>
        <v>2.1334939260505476E-2</v>
      </c>
      <c r="P125">
        <f t="shared" si="23"/>
        <v>0.11165660617367382</v>
      </c>
      <c r="V125">
        <v>6.1</v>
      </c>
      <c r="W125">
        <f t="shared" si="21"/>
        <v>-0.79991999999999996</v>
      </c>
    </row>
    <row r="126" spans="1:23" x14ac:dyDescent="0.3">
      <c r="A126">
        <v>5.6358383999999999</v>
      </c>
      <c r="B126">
        <v>0.47799999999999998</v>
      </c>
      <c r="C126">
        <f t="shared" si="14"/>
        <v>2.6939307551999998</v>
      </c>
      <c r="D126">
        <v>1.6E-2</v>
      </c>
      <c r="E126">
        <v>3.8158201924077539E-3</v>
      </c>
      <c r="F126">
        <f t="shared" si="15"/>
        <v>1127.16768</v>
      </c>
      <c r="G126">
        <f t="shared" si="16"/>
        <v>-0.47799999999999998</v>
      </c>
      <c r="H126">
        <f t="shared" si="17"/>
        <v>-538.78615103999994</v>
      </c>
      <c r="I126">
        <v>1</v>
      </c>
      <c r="J126">
        <f t="shared" si="18"/>
        <v>0.11970800837365929</v>
      </c>
      <c r="K126">
        <f t="shared" si="19"/>
        <v>-0.74372515177521747</v>
      </c>
      <c r="L126">
        <v>1</v>
      </c>
      <c r="M126">
        <f t="shared" si="20"/>
        <v>0.51765021799523669</v>
      </c>
      <c r="N126">
        <f t="shared" si="24"/>
        <v>9.0173414399999999E-2</v>
      </c>
      <c r="O126">
        <f t="shared" si="22"/>
        <v>2.1505345967867007E-2</v>
      </c>
      <c r="P126">
        <f t="shared" si="23"/>
        <v>0.11439617341211379</v>
      </c>
      <c r="V126">
        <v>6.2</v>
      </c>
      <c r="W126">
        <f t="shared" si="21"/>
        <v>-0.80464000000000002</v>
      </c>
    </row>
    <row r="127" spans="1:23" x14ac:dyDescent="0.3">
      <c r="A127">
        <v>5.6804963999999991</v>
      </c>
      <c r="B127">
        <v>0.47499999999999998</v>
      </c>
      <c r="C127">
        <f t="shared" si="14"/>
        <v>2.6982357899999996</v>
      </c>
      <c r="D127">
        <v>1.6E-2</v>
      </c>
      <c r="E127">
        <v>3.8158201924077539E-3</v>
      </c>
      <c r="F127">
        <f t="shared" si="15"/>
        <v>1136.0992799999999</v>
      </c>
      <c r="G127">
        <f t="shared" si="16"/>
        <v>-0.47499999999999998</v>
      </c>
      <c r="H127">
        <f t="shared" si="17"/>
        <v>-539.64715799999988</v>
      </c>
      <c r="I127">
        <v>1</v>
      </c>
      <c r="J127">
        <f t="shared" si="18"/>
        <v>0.12760071084649149</v>
      </c>
      <c r="K127">
        <f t="shared" si="19"/>
        <v>-0.74672515177521748</v>
      </c>
      <c r="L127">
        <v>1</v>
      </c>
      <c r="M127">
        <f t="shared" si="20"/>
        <v>0.51802275355195437</v>
      </c>
      <c r="N127">
        <f t="shared" si="24"/>
        <v>9.0887942399999991E-2</v>
      </c>
      <c r="O127">
        <f t="shared" si="22"/>
        <v>2.1675752866019551E-2</v>
      </c>
      <c r="P127">
        <f t="shared" si="23"/>
        <v>0.11613870295724357</v>
      </c>
      <c r="V127">
        <v>6.3</v>
      </c>
      <c r="W127">
        <f t="shared" si="21"/>
        <v>-0.80935999999999997</v>
      </c>
    </row>
    <row r="128" spans="1:23" x14ac:dyDescent="0.3">
      <c r="A128">
        <v>5.7251544000000001</v>
      </c>
      <c r="B128">
        <v>0.47199999999999998</v>
      </c>
      <c r="C128">
        <f t="shared" si="14"/>
        <v>2.7022728767999999</v>
      </c>
      <c r="D128">
        <v>1.6E-2</v>
      </c>
      <c r="E128">
        <v>3.8158201924077539E-3</v>
      </c>
      <c r="F128">
        <f t="shared" si="15"/>
        <v>1145.03088</v>
      </c>
      <c r="G128">
        <f t="shared" si="16"/>
        <v>-0.47199999999999998</v>
      </c>
      <c r="H128">
        <f t="shared" si="17"/>
        <v>-540.45457536000004</v>
      </c>
      <c r="I128">
        <v>1</v>
      </c>
      <c r="J128">
        <f t="shared" si="18"/>
        <v>0.13543160607484875</v>
      </c>
      <c r="K128">
        <f t="shared" si="19"/>
        <v>-0.74972515177521748</v>
      </c>
      <c r="L128">
        <v>1</v>
      </c>
      <c r="M128">
        <f t="shared" si="20"/>
        <v>0.51839237180673292</v>
      </c>
      <c r="N128">
        <f t="shared" si="24"/>
        <v>9.1602470399999997E-2</v>
      </c>
      <c r="O128">
        <f t="shared" si="22"/>
        <v>2.1846159764172101E-2</v>
      </c>
      <c r="P128">
        <f t="shared" si="23"/>
        <v>0.11788414980431246</v>
      </c>
      <c r="V128">
        <v>6.4</v>
      </c>
      <c r="W128">
        <f t="shared" si="21"/>
        <v>-0.81408000000000003</v>
      </c>
    </row>
    <row r="129" spans="1:23" x14ac:dyDescent="0.3">
      <c r="A129">
        <v>5.7787440000000005</v>
      </c>
      <c r="B129">
        <v>0.46899999999999997</v>
      </c>
      <c r="C129">
        <f t="shared" si="14"/>
        <v>2.7102309360000003</v>
      </c>
      <c r="D129">
        <v>1.6E-2</v>
      </c>
      <c r="E129">
        <v>3.8158201924077539E-3</v>
      </c>
      <c r="F129">
        <f t="shared" si="15"/>
        <v>1155.7488000000001</v>
      </c>
      <c r="G129">
        <f t="shared" si="16"/>
        <v>-0.46899999999999997</v>
      </c>
      <c r="H129">
        <f t="shared" si="17"/>
        <v>-542.04618720000008</v>
      </c>
      <c r="I129">
        <v>1</v>
      </c>
      <c r="J129">
        <f t="shared" si="18"/>
        <v>0.14474844559883204</v>
      </c>
      <c r="K129">
        <f t="shared" si="19"/>
        <v>-0.75272515177521748</v>
      </c>
      <c r="L129">
        <v>1</v>
      </c>
      <c r="M129">
        <f t="shared" si="20"/>
        <v>0.51883212663226486</v>
      </c>
      <c r="N129">
        <f t="shared" si="24"/>
        <v>9.2459904000000009E-2</v>
      </c>
      <c r="O129">
        <f t="shared" si="22"/>
        <v>2.2050648041955157E-2</v>
      </c>
      <c r="P129">
        <f t="shared" si="23"/>
        <v>0.11938247310099746</v>
      </c>
      <c r="V129">
        <v>6.5</v>
      </c>
      <c r="W129">
        <f t="shared" si="21"/>
        <v>-0.81879999999999997</v>
      </c>
    </row>
    <row r="130" spans="1:23" x14ac:dyDescent="0.3">
      <c r="A130">
        <v>5.8234019999999997</v>
      </c>
      <c r="B130">
        <v>0.46600000000000003</v>
      </c>
      <c r="C130">
        <f t="shared" si="14"/>
        <v>2.713705332</v>
      </c>
      <c r="D130">
        <v>1.6E-2</v>
      </c>
      <c r="E130">
        <v>3.8158201924077539E-3</v>
      </c>
      <c r="F130">
        <f t="shared" si="15"/>
        <v>1164.6804</v>
      </c>
      <c r="G130">
        <f t="shared" si="16"/>
        <v>-0.46600000000000003</v>
      </c>
      <c r="H130">
        <f t="shared" si="17"/>
        <v>-542.74106640000002</v>
      </c>
      <c r="I130">
        <v>1</v>
      </c>
      <c r="J130">
        <f t="shared" si="18"/>
        <v>0.15244671461705048</v>
      </c>
      <c r="K130">
        <f t="shared" si="19"/>
        <v>-0.75572515177521749</v>
      </c>
      <c r="L130">
        <v>1</v>
      </c>
      <c r="M130">
        <f t="shared" si="20"/>
        <v>0.51919548492992484</v>
      </c>
      <c r="N130">
        <f t="shared" si="24"/>
        <v>9.3174432000000001E-2</v>
      </c>
      <c r="O130">
        <f t="shared" si="22"/>
        <v>2.2221054940107697E-2</v>
      </c>
      <c r="P130">
        <f t="shared" si="23"/>
        <v>0.12113417990518494</v>
      </c>
      <c r="V130">
        <v>6.6</v>
      </c>
      <c r="W130">
        <f t="shared" si="21"/>
        <v>-0.82352000000000003</v>
      </c>
    </row>
    <row r="131" spans="1:23" x14ac:dyDescent="0.3">
      <c r="A131">
        <v>5.8680600000000007</v>
      </c>
      <c r="B131">
        <v>0.46300000000000002</v>
      </c>
      <c r="C131">
        <f t="shared" si="14"/>
        <v>2.7169117800000007</v>
      </c>
      <c r="D131">
        <v>1.6E-2</v>
      </c>
      <c r="E131">
        <v>3.8158201924077539E-3</v>
      </c>
      <c r="F131">
        <f t="shared" si="15"/>
        <v>1173.6120000000001</v>
      </c>
      <c r="G131">
        <f t="shared" si="16"/>
        <v>-0.46300000000000002</v>
      </c>
      <c r="H131">
        <f t="shared" si="17"/>
        <v>-543.38235600000019</v>
      </c>
      <c r="I131">
        <v>1</v>
      </c>
      <c r="J131">
        <f t="shared" si="18"/>
        <v>0.16008617274323581</v>
      </c>
      <c r="K131">
        <f t="shared" si="19"/>
        <v>-0.75872515177521738</v>
      </c>
      <c r="L131">
        <v>1</v>
      </c>
      <c r="M131">
        <f t="shared" si="20"/>
        <v>0.5195560673534807</v>
      </c>
      <c r="N131">
        <f t="shared" si="24"/>
        <v>9.3888960000000007E-2</v>
      </c>
      <c r="O131">
        <f t="shared" si="22"/>
        <v>2.2391461838260247E-2</v>
      </c>
      <c r="P131">
        <f t="shared" si="23"/>
        <v>0.12288866258347642</v>
      </c>
      <c r="V131">
        <v>6.7</v>
      </c>
      <c r="W131">
        <f t="shared" si="21"/>
        <v>-0.82824000000000009</v>
      </c>
    </row>
    <row r="132" spans="1:23" x14ac:dyDescent="0.3">
      <c r="A132">
        <v>5.9127179500000002</v>
      </c>
      <c r="B132">
        <v>0.46</v>
      </c>
      <c r="C132">
        <f t="shared" si="14"/>
        <v>2.719850257</v>
      </c>
      <c r="D132">
        <v>1.6E-2</v>
      </c>
      <c r="E132">
        <v>3.8158201924077539E-3</v>
      </c>
      <c r="F132">
        <f t="shared" si="15"/>
        <v>1182.54359</v>
      </c>
      <c r="G132">
        <f t="shared" si="16"/>
        <v>-0.46</v>
      </c>
      <c r="H132">
        <f t="shared" si="17"/>
        <v>-543.97005139999999</v>
      </c>
      <c r="I132">
        <v>1</v>
      </c>
      <c r="J132">
        <f t="shared" si="18"/>
        <v>0.16766770328382405</v>
      </c>
      <c r="K132">
        <f t="shared" si="19"/>
        <v>-0.76172515177521749</v>
      </c>
      <c r="L132">
        <v>1</v>
      </c>
      <c r="M132">
        <f t="shared" si="20"/>
        <v>0.51991391559499656</v>
      </c>
      <c r="N132">
        <f t="shared" si="24"/>
        <v>9.4603487200000003E-2</v>
      </c>
      <c r="O132">
        <f t="shared" si="22"/>
        <v>2.2561868545621783E-2</v>
      </c>
      <c r="P132">
        <f t="shared" si="23"/>
        <v>0.12464588043459915</v>
      </c>
      <c r="V132">
        <v>6.8</v>
      </c>
      <c r="W132">
        <f t="shared" si="21"/>
        <v>-0.83295999999999992</v>
      </c>
    </row>
    <row r="133" spans="1:23" x14ac:dyDescent="0.3">
      <c r="A133">
        <v>5.9573759500000003</v>
      </c>
      <c r="B133">
        <v>0.45600000000000002</v>
      </c>
      <c r="C133">
        <f t="shared" ref="C133:C196" si="25">A133*B133</f>
        <v>2.7165634332000002</v>
      </c>
      <c r="D133">
        <v>1.6E-2</v>
      </c>
      <c r="E133">
        <v>3.8158201924077539E-3</v>
      </c>
      <c r="F133">
        <f t="shared" ref="F133:F196" si="26">A133*200</f>
        <v>1191.4751900000001</v>
      </c>
      <c r="G133">
        <f t="shared" ref="G133:G144" si="27">-B133</f>
        <v>-0.45600000000000002</v>
      </c>
      <c r="H133">
        <f t="shared" ref="H133:H196" si="28">-C133*200</f>
        <v>-543.31268664000004</v>
      </c>
      <c r="I133">
        <v>1</v>
      </c>
      <c r="J133">
        <f t="shared" ref="J133:J196" si="29">LN(F133/1000)</f>
        <v>0.17519219484721235</v>
      </c>
      <c r="K133">
        <f t="shared" ref="K133:K187" si="30">((-G133)-$N$2)</f>
        <v>-0.76572515177521749</v>
      </c>
      <c r="L133">
        <v>1</v>
      </c>
      <c r="M133">
        <f t="shared" ref="M133:M196" si="31">-1*($S$4+($S$5*J133))</f>
        <v>0.52026907159678848</v>
      </c>
      <c r="N133">
        <f t="shared" si="24"/>
        <v>9.5318015200000009E-2</v>
      </c>
      <c r="O133">
        <f t="shared" si="22"/>
        <v>2.2732275443774326E-2</v>
      </c>
      <c r="P133">
        <f t="shared" si="23"/>
        <v>0.1274057895346547</v>
      </c>
      <c r="V133">
        <v>6.9</v>
      </c>
      <c r="W133">
        <f t="shared" ref="W133:W139" si="32">V133*$S$5+$S$4</f>
        <v>-0.83767999999999998</v>
      </c>
    </row>
    <row r="134" spans="1:23" x14ac:dyDescent="0.3">
      <c r="A134">
        <v>6.0020339500000004</v>
      </c>
      <c r="B134">
        <v>0.45300000000000001</v>
      </c>
      <c r="C134">
        <f t="shared" si="25"/>
        <v>2.7189213793500002</v>
      </c>
      <c r="D134">
        <v>1.6E-2</v>
      </c>
      <c r="E134">
        <v>3.8158201924077539E-3</v>
      </c>
      <c r="F134">
        <f t="shared" si="26"/>
        <v>1200.40679</v>
      </c>
      <c r="G134">
        <f t="shared" si="27"/>
        <v>-0.45300000000000001</v>
      </c>
      <c r="H134">
        <f t="shared" si="28"/>
        <v>-543.7842758700001</v>
      </c>
      <c r="I134">
        <v>1</v>
      </c>
      <c r="J134">
        <f t="shared" si="29"/>
        <v>0.18266049101592802</v>
      </c>
      <c r="K134">
        <f t="shared" si="30"/>
        <v>-0.76872515177521739</v>
      </c>
      <c r="L134">
        <v>1</v>
      </c>
      <c r="M134">
        <f t="shared" si="31"/>
        <v>0.52062157517595187</v>
      </c>
      <c r="N134">
        <f t="shared" si="24"/>
        <v>9.6032543200000015E-2</v>
      </c>
      <c r="O134">
        <f t="shared" ref="O134:O144" si="33">E134*A134</f>
        <v>2.2902682341926873E-2</v>
      </c>
      <c r="P134">
        <f t="shared" ref="P134:P144" si="34">-K134-M134-N134-O134</f>
        <v>0.12916835105733862</v>
      </c>
      <c r="V134">
        <v>7</v>
      </c>
      <c r="W134">
        <f t="shared" si="32"/>
        <v>-0.84240000000000004</v>
      </c>
    </row>
    <row r="135" spans="1:23" x14ac:dyDescent="0.3">
      <c r="A135">
        <v>6.0466919499999996</v>
      </c>
      <c r="B135">
        <v>0.45</v>
      </c>
      <c r="C135">
        <f t="shared" si="25"/>
        <v>2.7210113775</v>
      </c>
      <c r="D135">
        <v>1.6E-2</v>
      </c>
      <c r="E135">
        <v>3.8158201924077539E-3</v>
      </c>
      <c r="F135">
        <f t="shared" si="26"/>
        <v>1209.3383899999999</v>
      </c>
      <c r="G135">
        <f t="shared" si="27"/>
        <v>-0.45</v>
      </c>
      <c r="H135">
        <f t="shared" si="28"/>
        <v>-544.20227550000004</v>
      </c>
      <c r="I135">
        <v>1</v>
      </c>
      <c r="J135">
        <f t="shared" si="29"/>
        <v>0.19007342494318291</v>
      </c>
      <c r="K135">
        <f t="shared" si="30"/>
        <v>-0.7717251517752175</v>
      </c>
      <c r="L135">
        <v>1</v>
      </c>
      <c r="M135">
        <f t="shared" si="31"/>
        <v>0.52097146565731822</v>
      </c>
      <c r="N135">
        <f t="shared" ref="N135:N144" si="35">D135*A135</f>
        <v>9.6747071199999993E-2</v>
      </c>
      <c r="O135">
        <f t="shared" si="33"/>
        <v>2.3073089240079416E-2</v>
      </c>
      <c r="P135">
        <f t="shared" si="34"/>
        <v>0.13093352567781988</v>
      </c>
      <c r="V135">
        <v>7.1</v>
      </c>
      <c r="W135">
        <f t="shared" si="32"/>
        <v>-0.84711999999999998</v>
      </c>
    </row>
    <row r="136" spans="1:23" x14ac:dyDescent="0.3">
      <c r="A136">
        <v>6.1002815500000001</v>
      </c>
      <c r="B136">
        <v>0.44600000000000001</v>
      </c>
      <c r="C136">
        <f t="shared" si="25"/>
        <v>2.7207255713</v>
      </c>
      <c r="D136">
        <v>1.6E-2</v>
      </c>
      <c r="E136">
        <v>3.8158201924077539E-3</v>
      </c>
      <c r="F136">
        <f t="shared" si="26"/>
        <v>1220.0563099999999</v>
      </c>
      <c r="G136">
        <f t="shared" si="27"/>
        <v>-0.44600000000000001</v>
      </c>
      <c r="H136">
        <f t="shared" si="28"/>
        <v>-544.14511426000001</v>
      </c>
      <c r="I136">
        <v>1</v>
      </c>
      <c r="J136">
        <f t="shared" si="29"/>
        <v>0.19889701341772675</v>
      </c>
      <c r="K136">
        <f t="shared" si="30"/>
        <v>-0.7757251517752175</v>
      </c>
      <c r="L136">
        <v>1</v>
      </c>
      <c r="M136">
        <f t="shared" si="31"/>
        <v>0.52138793903331671</v>
      </c>
      <c r="N136">
        <f t="shared" si="35"/>
        <v>9.7604504800000005E-2</v>
      </c>
      <c r="O136">
        <f t="shared" si="33"/>
        <v>2.3277577517862472E-2</v>
      </c>
      <c r="P136">
        <f t="shared" si="34"/>
        <v>0.13345513042403834</v>
      </c>
      <c r="V136">
        <v>7.2</v>
      </c>
      <c r="W136">
        <f t="shared" si="32"/>
        <v>-0.85183999999999993</v>
      </c>
    </row>
    <row r="137" spans="1:23" x14ac:dyDescent="0.3">
      <c r="A137">
        <v>6.1449395000000004</v>
      </c>
      <c r="B137">
        <v>0.443</v>
      </c>
      <c r="C137">
        <f t="shared" si="25"/>
        <v>2.7222081985000002</v>
      </c>
      <c r="D137">
        <v>1.6E-2</v>
      </c>
      <c r="E137">
        <v>3.8158201924077539E-3</v>
      </c>
      <c r="F137">
        <f t="shared" si="26"/>
        <v>1228.9879000000001</v>
      </c>
      <c r="G137">
        <f t="shared" si="27"/>
        <v>-0.443</v>
      </c>
      <c r="H137">
        <f t="shared" si="28"/>
        <v>-544.4416397</v>
      </c>
      <c r="I137">
        <v>1</v>
      </c>
      <c r="J137">
        <f t="shared" si="29"/>
        <v>0.20619098513266509</v>
      </c>
      <c r="K137">
        <f t="shared" si="30"/>
        <v>-0.77872515177521739</v>
      </c>
      <c r="L137">
        <v>1</v>
      </c>
      <c r="M137">
        <f t="shared" si="31"/>
        <v>0.52173221449826179</v>
      </c>
      <c r="N137">
        <f t="shared" si="35"/>
        <v>9.8319032000000015E-2</v>
      </c>
      <c r="O137">
        <f t="shared" si="33"/>
        <v>2.3447984225224008E-2</v>
      </c>
      <c r="P137">
        <f t="shared" si="34"/>
        <v>0.13522592105173156</v>
      </c>
      <c r="V137">
        <v>7.3</v>
      </c>
      <c r="W137">
        <f t="shared" si="32"/>
        <v>-0.85655999999999999</v>
      </c>
    </row>
    <row r="138" spans="1:23" x14ac:dyDescent="0.3">
      <c r="A138">
        <v>6.1895974999999996</v>
      </c>
      <c r="B138">
        <v>0.44</v>
      </c>
      <c r="C138">
        <f t="shared" si="25"/>
        <v>2.7234228999999996</v>
      </c>
      <c r="D138">
        <v>1.6E-2</v>
      </c>
      <c r="E138">
        <v>3.8158201924077539E-3</v>
      </c>
      <c r="F138">
        <f t="shared" si="26"/>
        <v>1237.9195</v>
      </c>
      <c r="G138">
        <f t="shared" si="27"/>
        <v>-0.44</v>
      </c>
      <c r="H138">
        <f t="shared" si="28"/>
        <v>-544.68457999999998</v>
      </c>
      <c r="I138">
        <v>1</v>
      </c>
      <c r="J138">
        <f t="shared" si="29"/>
        <v>0.21343214791560405</v>
      </c>
      <c r="K138">
        <f t="shared" si="30"/>
        <v>-0.78172515177521751</v>
      </c>
      <c r="L138">
        <v>1</v>
      </c>
      <c r="M138">
        <f t="shared" si="31"/>
        <v>0.52207399738161653</v>
      </c>
      <c r="N138">
        <f t="shared" si="35"/>
        <v>9.9033559999999993E-2</v>
      </c>
      <c r="O138">
        <f t="shared" si="33"/>
        <v>2.3618391123376551E-2</v>
      </c>
      <c r="P138">
        <f t="shared" si="34"/>
        <v>0.13699920327022444</v>
      </c>
      <c r="V138">
        <v>7.4</v>
      </c>
      <c r="W138">
        <f t="shared" si="32"/>
        <v>-0.86128000000000005</v>
      </c>
    </row>
    <row r="139" spans="1:23" x14ac:dyDescent="0.3">
      <c r="A139">
        <v>6.2342555000000006</v>
      </c>
      <c r="B139">
        <v>0.436</v>
      </c>
      <c r="C139">
        <f t="shared" si="25"/>
        <v>2.7181353980000003</v>
      </c>
      <c r="D139">
        <v>1.6E-2</v>
      </c>
      <c r="E139">
        <v>3.8158201924077539E-3</v>
      </c>
      <c r="F139">
        <f t="shared" si="26"/>
        <v>1246.8511000000001</v>
      </c>
      <c r="G139">
        <f t="shared" si="27"/>
        <v>-0.436</v>
      </c>
      <c r="H139">
        <f t="shared" si="28"/>
        <v>-543.6270796</v>
      </c>
      <c r="I139">
        <v>1</v>
      </c>
      <c r="J139">
        <f t="shared" si="29"/>
        <v>0.22062125299258481</v>
      </c>
      <c r="K139">
        <f t="shared" si="30"/>
        <v>-0.78572515177521751</v>
      </c>
      <c r="L139">
        <v>1</v>
      </c>
      <c r="M139">
        <f t="shared" si="31"/>
        <v>0.52241332314125</v>
      </c>
      <c r="N139">
        <f t="shared" si="35"/>
        <v>9.9748088000000013E-2</v>
      </c>
      <c r="O139">
        <f t="shared" si="33"/>
        <v>2.3788798021529101E-2</v>
      </c>
      <c r="P139">
        <f t="shared" si="34"/>
        <v>0.13977494261243839</v>
      </c>
      <c r="V139">
        <v>7.5</v>
      </c>
      <c r="W139">
        <f t="shared" si="32"/>
        <v>-0.86599999999999999</v>
      </c>
    </row>
    <row r="140" spans="1:23" x14ac:dyDescent="0.3">
      <c r="A140">
        <v>6.2789134999999998</v>
      </c>
      <c r="B140">
        <v>0.433</v>
      </c>
      <c r="C140">
        <f t="shared" si="25"/>
        <v>2.7187695454999998</v>
      </c>
      <c r="D140">
        <v>1.6E-2</v>
      </c>
      <c r="E140">
        <v>3.8158201924077539E-3</v>
      </c>
      <c r="F140">
        <f t="shared" si="26"/>
        <v>1255.7827</v>
      </c>
      <c r="G140">
        <f t="shared" si="27"/>
        <v>-0.433</v>
      </c>
      <c r="H140">
        <f t="shared" si="28"/>
        <v>-543.75390909999999</v>
      </c>
      <c r="I140">
        <v>1</v>
      </c>
      <c r="J140">
        <f t="shared" si="29"/>
        <v>0.2277590435239874</v>
      </c>
      <c r="K140">
        <f t="shared" si="30"/>
        <v>-0.7887251517752174</v>
      </c>
      <c r="L140">
        <v>1</v>
      </c>
      <c r="M140">
        <f t="shared" si="31"/>
        <v>0.52275022685433226</v>
      </c>
      <c r="N140">
        <f t="shared" si="35"/>
        <v>0.100462616</v>
      </c>
      <c r="O140">
        <f t="shared" si="33"/>
        <v>2.3959204919681645E-2</v>
      </c>
      <c r="P140">
        <f t="shared" si="34"/>
        <v>0.14155310400120349</v>
      </c>
    </row>
    <row r="141" spans="1:23" x14ac:dyDescent="0.3">
      <c r="A141">
        <v>6.3325031000000003</v>
      </c>
      <c r="B141">
        <v>0.42899999999999999</v>
      </c>
      <c r="C141">
        <f t="shared" si="25"/>
        <v>2.7166438299000002</v>
      </c>
      <c r="D141">
        <v>1.6E-2</v>
      </c>
      <c r="E141">
        <v>3.8158201924077539E-3</v>
      </c>
      <c r="F141">
        <f t="shared" si="26"/>
        <v>1266.50062</v>
      </c>
      <c r="G141">
        <f t="shared" si="27"/>
        <v>-0.42899999999999999</v>
      </c>
      <c r="H141">
        <f t="shared" si="28"/>
        <v>-543.32876598000007</v>
      </c>
      <c r="I141">
        <v>1</v>
      </c>
      <c r="J141">
        <f t="shared" si="29"/>
        <v>0.23625767999757014</v>
      </c>
      <c r="K141">
        <f t="shared" si="30"/>
        <v>-0.79272515177521741</v>
      </c>
      <c r="L141">
        <v>1</v>
      </c>
      <c r="M141">
        <f t="shared" si="31"/>
        <v>0.52315136249588534</v>
      </c>
      <c r="N141">
        <f t="shared" si="35"/>
        <v>0.1013200496</v>
      </c>
      <c r="O141">
        <f t="shared" si="33"/>
        <v>2.4163693197464701E-2</v>
      </c>
      <c r="P141">
        <f t="shared" si="34"/>
        <v>0.14409004648186735</v>
      </c>
    </row>
    <row r="142" spans="1:23" x14ac:dyDescent="0.3">
      <c r="A142">
        <v>6.3771610499999998</v>
      </c>
      <c r="B142">
        <v>0.42599999999999999</v>
      </c>
      <c r="C142">
        <f t="shared" si="25"/>
        <v>2.7166706072999998</v>
      </c>
      <c r="D142">
        <v>1.6E-2</v>
      </c>
      <c r="E142">
        <v>3.8158201924077539E-3</v>
      </c>
      <c r="F142">
        <f t="shared" si="26"/>
        <v>1275.4322099999999</v>
      </c>
      <c r="G142">
        <f t="shared" si="27"/>
        <v>-0.42599999999999999</v>
      </c>
      <c r="H142">
        <f t="shared" si="28"/>
        <v>-543.33412146000001</v>
      </c>
      <c r="I142">
        <v>1</v>
      </c>
      <c r="J142">
        <f t="shared" si="29"/>
        <v>0.24328510940215314</v>
      </c>
      <c r="K142">
        <f t="shared" si="30"/>
        <v>-0.79572515177521752</v>
      </c>
      <c r="L142">
        <v>1</v>
      </c>
      <c r="M142">
        <f t="shared" si="31"/>
        <v>0.52348305716378163</v>
      </c>
      <c r="N142">
        <f t="shared" si="35"/>
        <v>0.1020345768</v>
      </c>
      <c r="O142">
        <f t="shared" si="33"/>
        <v>2.4334099904826233E-2</v>
      </c>
      <c r="P142">
        <f t="shared" si="34"/>
        <v>0.14587341790660965</v>
      </c>
    </row>
    <row r="143" spans="1:23" x14ac:dyDescent="0.3">
      <c r="A143">
        <v>6.4218190499999999</v>
      </c>
      <c r="B143">
        <v>0.42199999999999999</v>
      </c>
      <c r="C143">
        <f t="shared" si="25"/>
        <v>2.7100076390999996</v>
      </c>
      <c r="D143">
        <v>1.6E-2</v>
      </c>
      <c r="E143">
        <v>3.8158201924077539E-3</v>
      </c>
      <c r="F143">
        <f t="shared" si="26"/>
        <v>1284.3638100000001</v>
      </c>
      <c r="G143">
        <f t="shared" si="27"/>
        <v>-0.42199999999999999</v>
      </c>
      <c r="H143">
        <f t="shared" si="28"/>
        <v>-542.00152781999998</v>
      </c>
      <c r="I143">
        <v>1</v>
      </c>
      <c r="J143">
        <f t="shared" si="29"/>
        <v>0.25026350625575006</v>
      </c>
      <c r="K143">
        <f t="shared" si="30"/>
        <v>-0.79972515177521752</v>
      </c>
      <c r="L143">
        <v>1</v>
      </c>
      <c r="M143">
        <f t="shared" si="31"/>
        <v>0.5238124374952714</v>
      </c>
      <c r="N143">
        <f t="shared" si="35"/>
        <v>0.1027491048</v>
      </c>
      <c r="O143">
        <f t="shared" si="33"/>
        <v>2.450450680297878E-2</v>
      </c>
      <c r="P143">
        <f t="shared" si="34"/>
        <v>0.14865910267696736</v>
      </c>
    </row>
    <row r="144" spans="1:23" x14ac:dyDescent="0.3">
      <c r="A144">
        <v>6.4664770499999999</v>
      </c>
      <c r="B144">
        <v>0.41899999999999998</v>
      </c>
      <c r="C144">
        <f t="shared" si="25"/>
        <v>2.7094538839499998</v>
      </c>
      <c r="D144">
        <v>1.6E-2</v>
      </c>
      <c r="E144">
        <v>3.8158201924077539E-3</v>
      </c>
      <c r="F144">
        <f t="shared" si="26"/>
        <v>1293.2954099999999</v>
      </c>
      <c r="G144">
        <f t="shared" si="27"/>
        <v>-0.41899999999999998</v>
      </c>
      <c r="H144">
        <f t="shared" si="28"/>
        <v>-541.8907767899999</v>
      </c>
      <c r="I144">
        <v>1</v>
      </c>
      <c r="J144">
        <f t="shared" si="29"/>
        <v>0.25719354237222086</v>
      </c>
      <c r="K144">
        <f t="shared" si="30"/>
        <v>-0.80272515177521742</v>
      </c>
      <c r="L144">
        <v>1</v>
      </c>
      <c r="M144">
        <f t="shared" si="31"/>
        <v>0.52413953519996881</v>
      </c>
      <c r="N144">
        <f t="shared" si="35"/>
        <v>0.1034636328</v>
      </c>
      <c r="O144">
        <f t="shared" si="33"/>
        <v>2.4674913701131326E-2</v>
      </c>
      <c r="P144">
        <f t="shared" si="34"/>
        <v>0.15044707007411728</v>
      </c>
    </row>
    <row r="145" spans="1:16" x14ac:dyDescent="0.3">
      <c r="A145">
        <v>6.5200666500000004</v>
      </c>
      <c r="B145">
        <v>0.41499999999999998</v>
      </c>
      <c r="C145">
        <f t="shared" si="25"/>
        <v>2.7058276597500002</v>
      </c>
      <c r="D145">
        <v>1.6E-2</v>
      </c>
      <c r="E145">
        <v>3.8158201924077539E-3</v>
      </c>
      <c r="F145">
        <f t="shared" si="26"/>
        <v>1304.01333</v>
      </c>
      <c r="G145">
        <f t="shared" ref="G145:G187" si="36">-B145</f>
        <v>-0.41499999999999998</v>
      </c>
      <c r="H145">
        <f t="shared" si="28"/>
        <v>-541.16553195000006</v>
      </c>
      <c r="I145">
        <v>1</v>
      </c>
      <c r="J145">
        <f t="shared" si="29"/>
        <v>0.26544668584485098</v>
      </c>
      <c r="K145">
        <f t="shared" si="30"/>
        <v>-0.80672515177521742</v>
      </c>
      <c r="L145">
        <v>1</v>
      </c>
      <c r="M145">
        <f t="shared" si="31"/>
        <v>0.524529083571877</v>
      </c>
      <c r="N145">
        <f t="shared" ref="N145:N187" si="37">D145*A145</f>
        <v>0.10432106640000001</v>
      </c>
      <c r="O145">
        <f t="shared" ref="O145:O187" si="38">E145*A145</f>
        <v>2.4879401978914382E-2</v>
      </c>
      <c r="P145">
        <f t="shared" ref="P145:P187" si="39">-K145-M145-N145-O145</f>
        <v>0.15299559982442604</v>
      </c>
    </row>
    <row r="146" spans="1:16" x14ac:dyDescent="0.3">
      <c r="A146">
        <v>6.5647246500000005</v>
      </c>
      <c r="B146">
        <v>0.41099999999999998</v>
      </c>
      <c r="C146">
        <f t="shared" si="25"/>
        <v>2.6981018311500002</v>
      </c>
      <c r="D146">
        <v>1.6E-2</v>
      </c>
      <c r="E146">
        <v>3.8158201924077539E-3</v>
      </c>
      <c r="F146">
        <f t="shared" si="26"/>
        <v>1312.9449300000001</v>
      </c>
      <c r="G146">
        <f t="shared" si="36"/>
        <v>-0.41099999999999998</v>
      </c>
      <c r="H146">
        <f t="shared" si="28"/>
        <v>-539.62036623000006</v>
      </c>
      <c r="I146">
        <v>1</v>
      </c>
      <c r="J146">
        <f t="shared" si="29"/>
        <v>0.27227265232377529</v>
      </c>
      <c r="K146">
        <f t="shared" si="30"/>
        <v>-0.81072515177521742</v>
      </c>
      <c r="L146">
        <v>1</v>
      </c>
      <c r="M146">
        <f t="shared" si="31"/>
        <v>0.52485126918968217</v>
      </c>
      <c r="N146">
        <f t="shared" si="37"/>
        <v>0.10503559440000002</v>
      </c>
      <c r="O146">
        <f t="shared" si="38"/>
        <v>2.5049808877066926E-2</v>
      </c>
      <c r="P146">
        <f t="shared" si="39"/>
        <v>0.15578847930846831</v>
      </c>
    </row>
    <row r="147" spans="1:16" x14ac:dyDescent="0.3">
      <c r="A147">
        <v>6.6093826</v>
      </c>
      <c r="B147">
        <v>0.40799999999999997</v>
      </c>
      <c r="C147">
        <f t="shared" si="25"/>
        <v>2.6966281007999999</v>
      </c>
      <c r="D147">
        <v>1.6E-2</v>
      </c>
      <c r="E147">
        <v>3.8158201924077539E-3</v>
      </c>
      <c r="F147">
        <f t="shared" si="26"/>
        <v>1321.87652</v>
      </c>
      <c r="G147">
        <f t="shared" si="36"/>
        <v>-0.40799999999999997</v>
      </c>
      <c r="H147">
        <f t="shared" si="28"/>
        <v>-539.32562015999997</v>
      </c>
      <c r="I147">
        <v>1</v>
      </c>
      <c r="J147">
        <f t="shared" si="29"/>
        <v>0.27905233313364131</v>
      </c>
      <c r="K147">
        <f t="shared" si="30"/>
        <v>-0.81372515177521754</v>
      </c>
      <c r="L147">
        <v>1</v>
      </c>
      <c r="M147">
        <f t="shared" si="31"/>
        <v>0.52517127012390785</v>
      </c>
      <c r="N147">
        <f t="shared" si="37"/>
        <v>0.1057501216</v>
      </c>
      <c r="O147">
        <f t="shared" si="38"/>
        <v>2.5220215584428461E-2</v>
      </c>
      <c r="P147">
        <f t="shared" si="39"/>
        <v>0.15758354446688122</v>
      </c>
    </row>
    <row r="148" spans="1:16" x14ac:dyDescent="0.3">
      <c r="A148">
        <v>6.6540405999999992</v>
      </c>
      <c r="B148">
        <v>0.40400000000000003</v>
      </c>
      <c r="C148">
        <f t="shared" si="25"/>
        <v>2.6882324023999997</v>
      </c>
      <c r="D148">
        <v>1.6E-2</v>
      </c>
      <c r="E148">
        <v>3.8158201924077539E-3</v>
      </c>
      <c r="F148">
        <f t="shared" si="26"/>
        <v>1330.8081199999999</v>
      </c>
      <c r="G148">
        <f t="shared" si="36"/>
        <v>-0.40400000000000003</v>
      </c>
      <c r="H148">
        <f t="shared" si="28"/>
        <v>-537.64648047999992</v>
      </c>
      <c r="I148">
        <v>1</v>
      </c>
      <c r="J148">
        <f t="shared" si="29"/>
        <v>0.28578636673659669</v>
      </c>
      <c r="K148">
        <f t="shared" si="30"/>
        <v>-0.81772515177521743</v>
      </c>
      <c r="L148">
        <v>1</v>
      </c>
      <c r="M148">
        <f t="shared" si="31"/>
        <v>0.52548911650996732</v>
      </c>
      <c r="N148">
        <f t="shared" si="37"/>
        <v>0.10646464959999999</v>
      </c>
      <c r="O148">
        <f t="shared" si="38"/>
        <v>2.5390622482581005E-2</v>
      </c>
      <c r="P148">
        <f t="shared" si="39"/>
        <v>0.16038076318266911</v>
      </c>
    </row>
    <row r="149" spans="1:16" x14ac:dyDescent="0.3">
      <c r="A149">
        <v>6.6986986000000002</v>
      </c>
      <c r="B149">
        <v>0.40100000000000002</v>
      </c>
      <c r="C149">
        <f t="shared" si="25"/>
        <v>2.6861781386000003</v>
      </c>
      <c r="D149">
        <v>1.6E-2</v>
      </c>
      <c r="E149">
        <v>3.8158201924077539E-3</v>
      </c>
      <c r="F149">
        <f t="shared" si="26"/>
        <v>1339.73972</v>
      </c>
      <c r="G149">
        <f t="shared" si="36"/>
        <v>-0.40100000000000002</v>
      </c>
      <c r="H149">
        <f t="shared" si="28"/>
        <v>-537.23562772000002</v>
      </c>
      <c r="I149">
        <v>1</v>
      </c>
      <c r="J149">
        <f t="shared" si="29"/>
        <v>0.29247535629004989</v>
      </c>
      <c r="K149">
        <f t="shared" si="30"/>
        <v>-0.82072515177521743</v>
      </c>
      <c r="L149">
        <v>1</v>
      </c>
      <c r="M149">
        <f t="shared" si="31"/>
        <v>0.52580483681689039</v>
      </c>
      <c r="N149">
        <f t="shared" si="37"/>
        <v>0.10717917760000001</v>
      </c>
      <c r="O149">
        <f t="shared" si="38"/>
        <v>2.5561029380733551E-2</v>
      </c>
      <c r="P149">
        <f t="shared" si="39"/>
        <v>0.1621801079775935</v>
      </c>
    </row>
    <row r="150" spans="1:16" x14ac:dyDescent="0.3">
      <c r="A150">
        <v>6.7433565999999994</v>
      </c>
      <c r="B150">
        <v>0.39700000000000002</v>
      </c>
      <c r="C150">
        <f t="shared" si="25"/>
        <v>2.6771125701999998</v>
      </c>
      <c r="D150">
        <v>1.6E-2</v>
      </c>
      <c r="E150">
        <v>3.8158201924077539E-3</v>
      </c>
      <c r="F150">
        <f t="shared" si="26"/>
        <v>1348.6713199999999</v>
      </c>
      <c r="G150">
        <f t="shared" si="36"/>
        <v>-0.39700000000000002</v>
      </c>
      <c r="H150">
        <f t="shared" si="28"/>
        <v>-535.42251404000001</v>
      </c>
      <c r="I150">
        <v>1</v>
      </c>
      <c r="J150">
        <f t="shared" si="29"/>
        <v>0.29911990039279668</v>
      </c>
      <c r="K150">
        <f t="shared" si="30"/>
        <v>-0.82472515177521744</v>
      </c>
      <c r="L150">
        <v>1</v>
      </c>
      <c r="M150">
        <f t="shared" si="31"/>
        <v>0.52611845929854006</v>
      </c>
      <c r="N150">
        <f t="shared" si="37"/>
        <v>0.10789370559999999</v>
      </c>
      <c r="O150">
        <f t="shared" si="38"/>
        <v>2.5731436278886095E-2</v>
      </c>
      <c r="P150">
        <f t="shared" si="39"/>
        <v>0.16498155059779127</v>
      </c>
    </row>
    <row r="151" spans="1:16" x14ac:dyDescent="0.3">
      <c r="A151">
        <v>6.7880146000000003</v>
      </c>
      <c r="B151">
        <v>0.39400000000000002</v>
      </c>
      <c r="C151">
        <f t="shared" si="25"/>
        <v>2.6744777524000001</v>
      </c>
      <c r="D151">
        <v>1.6E-2</v>
      </c>
      <c r="E151">
        <v>3.8158201924077539E-3</v>
      </c>
      <c r="F151">
        <f t="shared" si="26"/>
        <v>1357.60292</v>
      </c>
      <c r="G151">
        <f t="shared" si="36"/>
        <v>-0.39400000000000002</v>
      </c>
      <c r="H151">
        <f t="shared" si="28"/>
        <v>-534.89555048</v>
      </c>
      <c r="I151">
        <v>1</v>
      </c>
      <c r="J151">
        <f t="shared" si="29"/>
        <v>0.30572058579001543</v>
      </c>
      <c r="K151">
        <f t="shared" si="30"/>
        <v>-0.82772515177521744</v>
      </c>
      <c r="L151">
        <v>1</v>
      </c>
      <c r="M151">
        <f t="shared" si="31"/>
        <v>0.52643001164928871</v>
      </c>
      <c r="N151">
        <f t="shared" si="37"/>
        <v>0.10860823360000001</v>
      </c>
      <c r="O151">
        <f t="shared" si="38"/>
        <v>2.5901843177038645E-2</v>
      </c>
      <c r="P151">
        <f t="shared" si="39"/>
        <v>0.16678506334889009</v>
      </c>
    </row>
    <row r="152" spans="1:16" x14ac:dyDescent="0.3">
      <c r="A152">
        <v>6.8326725999999995</v>
      </c>
      <c r="B152">
        <v>0.39</v>
      </c>
      <c r="C152">
        <f t="shared" si="25"/>
        <v>2.6647423139999997</v>
      </c>
      <c r="D152">
        <v>1.6E-2</v>
      </c>
      <c r="E152">
        <v>3.8158201924077539E-3</v>
      </c>
      <c r="F152">
        <f t="shared" si="26"/>
        <v>1366.5345199999999</v>
      </c>
      <c r="G152">
        <f t="shared" si="36"/>
        <v>-0.39</v>
      </c>
      <c r="H152">
        <f t="shared" si="28"/>
        <v>-532.9484627999999</v>
      </c>
      <c r="I152">
        <v>1</v>
      </c>
      <c r="J152">
        <f t="shared" si="29"/>
        <v>0.31227798768418669</v>
      </c>
      <c r="K152">
        <f t="shared" si="30"/>
        <v>-0.83172515177521744</v>
      </c>
      <c r="L152">
        <v>1</v>
      </c>
      <c r="M152">
        <f t="shared" si="31"/>
        <v>0.52673952101869359</v>
      </c>
      <c r="N152">
        <f t="shared" si="37"/>
        <v>0.1093227616</v>
      </c>
      <c r="O152">
        <f t="shared" si="38"/>
        <v>2.6072250075191188E-2</v>
      </c>
      <c r="P152">
        <f t="shared" si="39"/>
        <v>0.16959061908133269</v>
      </c>
    </row>
    <row r="153" spans="1:16" x14ac:dyDescent="0.3">
      <c r="A153">
        <v>6.8862621500000003</v>
      </c>
      <c r="B153">
        <v>0.38700000000000001</v>
      </c>
      <c r="C153">
        <f t="shared" si="25"/>
        <v>2.66498345205</v>
      </c>
      <c r="D153">
        <v>1.6E-2</v>
      </c>
      <c r="E153">
        <v>3.8158201924077539E-3</v>
      </c>
      <c r="F153">
        <f t="shared" si="26"/>
        <v>1377.25243</v>
      </c>
      <c r="G153">
        <f t="shared" si="36"/>
        <v>-0.38700000000000001</v>
      </c>
      <c r="H153">
        <f t="shared" si="28"/>
        <v>-532.99669041000004</v>
      </c>
      <c r="I153">
        <v>1</v>
      </c>
      <c r="J153">
        <f t="shared" si="29"/>
        <v>0.32009052175468322</v>
      </c>
      <c r="K153">
        <f t="shared" si="30"/>
        <v>-0.83472515177521744</v>
      </c>
      <c r="L153">
        <v>1</v>
      </c>
      <c r="M153">
        <f t="shared" si="31"/>
        <v>0.52710827262682103</v>
      </c>
      <c r="N153">
        <f t="shared" si="37"/>
        <v>0.1101801944</v>
      </c>
      <c r="O153">
        <f t="shared" si="38"/>
        <v>2.6276738162183233E-2</v>
      </c>
      <c r="P153">
        <f t="shared" si="39"/>
        <v>0.1711599465862132</v>
      </c>
    </row>
    <row r="154" spans="1:16" x14ac:dyDescent="0.3">
      <c r="A154">
        <v>6.9309201499999995</v>
      </c>
      <c r="B154">
        <v>0.38300000000000001</v>
      </c>
      <c r="C154">
        <f t="shared" si="25"/>
        <v>2.6545424174500001</v>
      </c>
      <c r="D154">
        <v>1.6E-2</v>
      </c>
      <c r="E154">
        <v>3.8158201924077539E-3</v>
      </c>
      <c r="F154">
        <f t="shared" si="26"/>
        <v>1386.1840299999999</v>
      </c>
      <c r="G154">
        <f t="shared" si="36"/>
        <v>-0.38300000000000001</v>
      </c>
      <c r="H154">
        <f t="shared" si="28"/>
        <v>-530.90848348999998</v>
      </c>
      <c r="I154">
        <v>1</v>
      </c>
      <c r="J154">
        <f t="shared" si="29"/>
        <v>0.32655466973130026</v>
      </c>
      <c r="K154">
        <f t="shared" si="30"/>
        <v>-0.83872515177521745</v>
      </c>
      <c r="L154">
        <v>1</v>
      </c>
      <c r="M154">
        <f t="shared" si="31"/>
        <v>0.52741338041131736</v>
      </c>
      <c r="N154">
        <f t="shared" si="37"/>
        <v>0.11089472239999999</v>
      </c>
      <c r="O154">
        <f t="shared" si="38"/>
        <v>2.6447145060335776E-2</v>
      </c>
      <c r="P154">
        <f t="shared" si="39"/>
        <v>0.17396990390356434</v>
      </c>
    </row>
    <row r="155" spans="1:16" x14ac:dyDescent="0.3">
      <c r="A155">
        <v>6.9755781500000005</v>
      </c>
      <c r="B155">
        <v>0.38</v>
      </c>
      <c r="C155">
        <f t="shared" si="25"/>
        <v>2.6507196970000004</v>
      </c>
      <c r="D155">
        <v>1.6E-2</v>
      </c>
      <c r="E155">
        <v>3.8158201924077539E-3</v>
      </c>
      <c r="F155">
        <f t="shared" si="26"/>
        <v>1395.11563</v>
      </c>
      <c r="G155">
        <f t="shared" si="36"/>
        <v>-0.38</v>
      </c>
      <c r="H155">
        <f t="shared" si="28"/>
        <v>-530.14393940000014</v>
      </c>
      <c r="I155">
        <v>1</v>
      </c>
      <c r="J155">
        <f t="shared" si="29"/>
        <v>0.33297730072712373</v>
      </c>
      <c r="K155">
        <f t="shared" si="30"/>
        <v>-0.84172515177521745</v>
      </c>
      <c r="L155">
        <v>1</v>
      </c>
      <c r="M155">
        <f t="shared" si="31"/>
        <v>0.52771652859432028</v>
      </c>
      <c r="N155">
        <f t="shared" si="37"/>
        <v>0.11160925040000001</v>
      </c>
      <c r="O155">
        <f t="shared" si="38"/>
        <v>2.6617551958488327E-2</v>
      </c>
      <c r="P155">
        <f t="shared" si="39"/>
        <v>0.17578182082240881</v>
      </c>
    </row>
    <row r="156" spans="1:16" x14ac:dyDescent="0.3">
      <c r="A156">
        <v>7.0202361499999997</v>
      </c>
      <c r="B156">
        <v>0.376</v>
      </c>
      <c r="C156">
        <f t="shared" si="25"/>
        <v>2.6396087923999998</v>
      </c>
      <c r="D156">
        <v>1.6E-2</v>
      </c>
      <c r="E156">
        <v>3.8158201924077539E-3</v>
      </c>
      <c r="F156">
        <f t="shared" si="26"/>
        <v>1404.0472299999999</v>
      </c>
      <c r="G156">
        <f t="shared" si="36"/>
        <v>-0.376</v>
      </c>
      <c r="H156">
        <f t="shared" si="28"/>
        <v>-527.92175847999999</v>
      </c>
      <c r="I156">
        <v>1</v>
      </c>
      <c r="J156">
        <f t="shared" si="29"/>
        <v>0.33935894463896027</v>
      </c>
      <c r="K156">
        <f t="shared" si="30"/>
        <v>-0.84572515177521745</v>
      </c>
      <c r="L156">
        <v>1</v>
      </c>
      <c r="M156">
        <f t="shared" si="31"/>
        <v>0.52801774218695896</v>
      </c>
      <c r="N156">
        <f t="shared" si="37"/>
        <v>0.11232377839999999</v>
      </c>
      <c r="O156">
        <f t="shared" si="38"/>
        <v>2.678795885664087E-2</v>
      </c>
      <c r="P156">
        <f t="shared" si="39"/>
        <v>0.17859567233161763</v>
      </c>
    </row>
    <row r="157" spans="1:16" x14ac:dyDescent="0.3">
      <c r="A157">
        <v>7.0648941499999998</v>
      </c>
      <c r="B157">
        <v>0.372</v>
      </c>
      <c r="C157">
        <f t="shared" si="25"/>
        <v>2.6281406237999998</v>
      </c>
      <c r="D157">
        <v>1.6E-2</v>
      </c>
      <c r="E157">
        <v>3.8158201924077539E-3</v>
      </c>
      <c r="F157">
        <f t="shared" si="26"/>
        <v>1412.97883</v>
      </c>
      <c r="G157">
        <f t="shared" si="36"/>
        <v>-0.372</v>
      </c>
      <c r="H157">
        <f t="shared" si="28"/>
        <v>-525.62812475999999</v>
      </c>
      <c r="I157">
        <v>1</v>
      </c>
      <c r="J157">
        <f t="shared" si="29"/>
        <v>0.34570012128300653</v>
      </c>
      <c r="K157">
        <f t="shared" si="30"/>
        <v>-0.84972515177521746</v>
      </c>
      <c r="L157">
        <v>1</v>
      </c>
      <c r="M157">
        <f t="shared" si="31"/>
        <v>0.52831704572455795</v>
      </c>
      <c r="N157">
        <f t="shared" si="37"/>
        <v>0.1130383064</v>
      </c>
      <c r="O157">
        <f t="shared" si="38"/>
        <v>2.6958365754793413E-2</v>
      </c>
      <c r="P157">
        <f t="shared" si="39"/>
        <v>0.18141143389586609</v>
      </c>
    </row>
    <row r="158" spans="1:16" x14ac:dyDescent="0.3">
      <c r="A158">
        <v>7.1095520999999993</v>
      </c>
      <c r="B158">
        <v>0.36799999999999999</v>
      </c>
      <c r="C158">
        <f t="shared" si="25"/>
        <v>2.6163151727999998</v>
      </c>
      <c r="D158">
        <v>1.6E-2</v>
      </c>
      <c r="E158">
        <v>3.8158201924077539E-3</v>
      </c>
      <c r="F158">
        <f t="shared" si="26"/>
        <v>1421.9104199999999</v>
      </c>
      <c r="G158">
        <f t="shared" si="36"/>
        <v>-0.36799999999999999</v>
      </c>
      <c r="H158">
        <f t="shared" si="28"/>
        <v>-523.26303455999994</v>
      </c>
      <c r="I158">
        <v>1</v>
      </c>
      <c r="J158">
        <f t="shared" si="29"/>
        <v>0.35200133361614083</v>
      </c>
      <c r="K158">
        <f t="shared" si="30"/>
        <v>-0.85372515177521746</v>
      </c>
      <c r="L158">
        <v>1</v>
      </c>
      <c r="M158">
        <f t="shared" si="31"/>
        <v>0.52861446294668191</v>
      </c>
      <c r="N158">
        <f t="shared" si="37"/>
        <v>0.11375283359999999</v>
      </c>
      <c r="O158">
        <f t="shared" si="38"/>
        <v>2.7128772462154949E-2</v>
      </c>
      <c r="P158">
        <f t="shared" si="39"/>
        <v>0.18422908276638061</v>
      </c>
    </row>
    <row r="159" spans="1:16" x14ac:dyDescent="0.3">
      <c r="A159">
        <v>7.1542101000000002</v>
      </c>
      <c r="B159">
        <v>0.36399999999999999</v>
      </c>
      <c r="C159">
        <f t="shared" si="25"/>
        <v>2.6041324764000002</v>
      </c>
      <c r="D159">
        <v>1.6E-2</v>
      </c>
      <c r="E159">
        <v>3.8158201924077539E-3</v>
      </c>
      <c r="F159">
        <f t="shared" si="26"/>
        <v>1430.84202</v>
      </c>
      <c r="G159">
        <f t="shared" si="36"/>
        <v>-0.36399999999999999</v>
      </c>
      <c r="H159">
        <f t="shared" si="28"/>
        <v>-520.82649528000002</v>
      </c>
      <c r="I159">
        <v>1</v>
      </c>
      <c r="J159">
        <f t="shared" si="29"/>
        <v>0.35826309615711938</v>
      </c>
      <c r="K159">
        <f t="shared" si="30"/>
        <v>-0.85772515177521746</v>
      </c>
      <c r="L159">
        <v>1</v>
      </c>
      <c r="M159">
        <f t="shared" si="31"/>
        <v>0.52891001813861604</v>
      </c>
      <c r="N159">
        <f t="shared" si="37"/>
        <v>0.11446736160000001</v>
      </c>
      <c r="O159">
        <f t="shared" si="38"/>
        <v>2.7299179360307499E-2</v>
      </c>
      <c r="P159">
        <f t="shared" si="39"/>
        <v>0.18704859267629392</v>
      </c>
    </row>
    <row r="160" spans="1:16" x14ac:dyDescent="0.3">
      <c r="A160">
        <v>7.1988680999999994</v>
      </c>
      <c r="B160">
        <v>0.36099999999999999</v>
      </c>
      <c r="C160">
        <f t="shared" si="25"/>
        <v>2.5987913840999997</v>
      </c>
      <c r="D160">
        <v>1.6E-2</v>
      </c>
      <c r="E160">
        <v>3.8158201924077539E-3</v>
      </c>
      <c r="F160">
        <f t="shared" si="26"/>
        <v>1439.7736199999999</v>
      </c>
      <c r="G160">
        <f t="shared" si="36"/>
        <v>-0.36099999999999999</v>
      </c>
      <c r="H160">
        <f t="shared" si="28"/>
        <v>-519.75827681999988</v>
      </c>
      <c r="I160">
        <v>1</v>
      </c>
      <c r="J160">
        <f t="shared" si="29"/>
        <v>0.3644858928960506</v>
      </c>
      <c r="K160">
        <f t="shared" si="30"/>
        <v>-0.86072515177521747</v>
      </c>
      <c r="L160">
        <v>1</v>
      </c>
      <c r="M160">
        <f t="shared" si="31"/>
        <v>0.52920373414469357</v>
      </c>
      <c r="N160">
        <f t="shared" si="37"/>
        <v>0.11518188959999999</v>
      </c>
      <c r="O160">
        <f t="shared" si="38"/>
        <v>2.7469586258460039E-2</v>
      </c>
      <c r="P160">
        <f t="shared" si="39"/>
        <v>0.18886994177206387</v>
      </c>
    </row>
    <row r="161" spans="1:16" x14ac:dyDescent="0.3">
      <c r="A161">
        <v>7.2435261000000004</v>
      </c>
      <c r="B161">
        <v>0.35699999999999998</v>
      </c>
      <c r="C161">
        <f t="shared" si="25"/>
        <v>2.5859388177000002</v>
      </c>
      <c r="D161">
        <v>1.6E-2</v>
      </c>
      <c r="E161">
        <v>3.8158201924077539E-3</v>
      </c>
      <c r="F161">
        <f t="shared" si="26"/>
        <v>1448.7052200000001</v>
      </c>
      <c r="G161">
        <f t="shared" si="36"/>
        <v>-0.35699999999999998</v>
      </c>
      <c r="H161">
        <f t="shared" si="28"/>
        <v>-517.18776353999999</v>
      </c>
      <c r="I161">
        <v>1</v>
      </c>
      <c r="J161">
        <f t="shared" si="29"/>
        <v>0.37067020578945981</v>
      </c>
      <c r="K161">
        <f t="shared" si="30"/>
        <v>-0.86472515177521747</v>
      </c>
      <c r="L161">
        <v>1</v>
      </c>
      <c r="M161">
        <f t="shared" si="31"/>
        <v>0.52949563371326247</v>
      </c>
      <c r="N161">
        <f t="shared" si="37"/>
        <v>0.11589641760000001</v>
      </c>
      <c r="O161">
        <f t="shared" si="38"/>
        <v>2.7639993156612589E-2</v>
      </c>
      <c r="P161">
        <f t="shared" si="39"/>
        <v>0.19169310730534239</v>
      </c>
    </row>
    <row r="162" spans="1:16" x14ac:dyDescent="0.3">
      <c r="A162">
        <v>7.2971157000000009</v>
      </c>
      <c r="B162">
        <v>0.35299999999999998</v>
      </c>
      <c r="C162">
        <f t="shared" si="25"/>
        <v>2.5758818421000003</v>
      </c>
      <c r="D162">
        <v>1.6E-2</v>
      </c>
      <c r="E162">
        <v>3.8158201924077539E-3</v>
      </c>
      <c r="F162">
        <f t="shared" si="26"/>
        <v>1459.4231400000001</v>
      </c>
      <c r="G162">
        <f t="shared" si="36"/>
        <v>-0.35299999999999998</v>
      </c>
      <c r="H162">
        <f t="shared" si="28"/>
        <v>-515.17636842000002</v>
      </c>
      <c r="I162">
        <v>1</v>
      </c>
      <c r="J162">
        <f t="shared" si="29"/>
        <v>0.3780412480548439</v>
      </c>
      <c r="K162">
        <f t="shared" si="30"/>
        <v>-0.86872515177521747</v>
      </c>
      <c r="L162">
        <v>1</v>
      </c>
      <c r="M162">
        <f t="shared" si="31"/>
        <v>0.52984354690818869</v>
      </c>
      <c r="N162">
        <f t="shared" si="37"/>
        <v>0.11675385120000002</v>
      </c>
      <c r="O162">
        <f t="shared" si="38"/>
        <v>2.7844481434395645E-2</v>
      </c>
      <c r="P162">
        <f t="shared" si="39"/>
        <v>0.19428327223263311</v>
      </c>
    </row>
    <row r="163" spans="1:16" x14ac:dyDescent="0.3">
      <c r="A163">
        <v>7.3417736500000004</v>
      </c>
      <c r="B163">
        <v>0.35</v>
      </c>
      <c r="C163">
        <f t="shared" si="25"/>
        <v>2.5696207775</v>
      </c>
      <c r="D163">
        <v>1.6E-2</v>
      </c>
      <c r="E163">
        <v>3.8158201924077539E-3</v>
      </c>
      <c r="F163">
        <f t="shared" si="26"/>
        <v>1468.35473</v>
      </c>
      <c r="G163">
        <f t="shared" si="36"/>
        <v>-0.35</v>
      </c>
      <c r="H163">
        <f t="shared" si="28"/>
        <v>-513.92415549999998</v>
      </c>
      <c r="I163">
        <v>1</v>
      </c>
      <c r="J163">
        <f t="shared" si="29"/>
        <v>0.38414254269104642</v>
      </c>
      <c r="K163">
        <f t="shared" si="30"/>
        <v>-0.87172515177521748</v>
      </c>
      <c r="L163">
        <v>1</v>
      </c>
      <c r="M163">
        <f t="shared" si="31"/>
        <v>0.53013152801501739</v>
      </c>
      <c r="N163">
        <f t="shared" si="37"/>
        <v>0.1174683784</v>
      </c>
      <c r="O163">
        <f t="shared" si="38"/>
        <v>2.8014888141757181E-2</v>
      </c>
      <c r="P163">
        <f t="shared" si="39"/>
        <v>0.19611035721844289</v>
      </c>
    </row>
    <row r="164" spans="1:16" x14ac:dyDescent="0.3">
      <c r="A164">
        <v>7.3864316499999996</v>
      </c>
      <c r="B164">
        <v>0.34599999999999997</v>
      </c>
      <c r="C164">
        <f t="shared" si="25"/>
        <v>2.5557053508999998</v>
      </c>
      <c r="D164">
        <v>1.6E-2</v>
      </c>
      <c r="E164">
        <v>3.8158201924077539E-3</v>
      </c>
      <c r="F164">
        <f t="shared" si="26"/>
        <v>1477.2863299999999</v>
      </c>
      <c r="G164">
        <f t="shared" si="36"/>
        <v>-0.34599999999999997</v>
      </c>
      <c r="H164">
        <f t="shared" si="28"/>
        <v>-511.14107017999999</v>
      </c>
      <c r="I164">
        <v>1</v>
      </c>
      <c r="J164">
        <f t="shared" si="29"/>
        <v>0.39020684393498251</v>
      </c>
      <c r="K164">
        <f t="shared" si="30"/>
        <v>-0.87572515177521748</v>
      </c>
      <c r="L164">
        <v>1</v>
      </c>
      <c r="M164">
        <f t="shared" si="31"/>
        <v>0.53041776303373123</v>
      </c>
      <c r="N164">
        <f t="shared" si="37"/>
        <v>0.1181829064</v>
      </c>
      <c r="O164">
        <f t="shared" si="38"/>
        <v>2.818529503990972E-2</v>
      </c>
      <c r="P164">
        <f t="shared" si="39"/>
        <v>0.19893918730157653</v>
      </c>
    </row>
    <row r="165" spans="1:16" x14ac:dyDescent="0.3">
      <c r="A165">
        <v>7.4310896500000005</v>
      </c>
      <c r="B165">
        <v>0.34200000000000003</v>
      </c>
      <c r="C165">
        <f t="shared" si="25"/>
        <v>2.5414326603000004</v>
      </c>
      <c r="D165">
        <v>1.6E-2</v>
      </c>
      <c r="E165">
        <v>3.8158201924077539E-3</v>
      </c>
      <c r="F165">
        <f t="shared" si="26"/>
        <v>1486.21793</v>
      </c>
      <c r="G165">
        <f t="shared" si="36"/>
        <v>-0.34200000000000003</v>
      </c>
      <c r="H165">
        <f t="shared" si="28"/>
        <v>-508.28653206000007</v>
      </c>
      <c r="I165">
        <v>1</v>
      </c>
      <c r="J165">
        <f t="shared" si="29"/>
        <v>0.39623459099358294</v>
      </c>
      <c r="K165">
        <f t="shared" si="30"/>
        <v>-0.87972515177521737</v>
      </c>
      <c r="L165">
        <v>1</v>
      </c>
      <c r="M165">
        <f t="shared" si="31"/>
        <v>0.53070227269489711</v>
      </c>
      <c r="N165">
        <f t="shared" si="37"/>
        <v>0.11889743440000002</v>
      </c>
      <c r="O165">
        <f t="shared" si="38"/>
        <v>2.8355701938062271E-2</v>
      </c>
      <c r="P165">
        <f t="shared" si="39"/>
        <v>0.20176974274225798</v>
      </c>
    </row>
    <row r="166" spans="1:16" x14ac:dyDescent="0.3">
      <c r="A166">
        <v>7.4757476499999997</v>
      </c>
      <c r="B166">
        <v>0.33800000000000002</v>
      </c>
      <c r="C166">
        <f t="shared" si="25"/>
        <v>2.5268027057000002</v>
      </c>
      <c r="D166">
        <v>1.6E-2</v>
      </c>
      <c r="E166">
        <v>3.8158201924077539E-3</v>
      </c>
      <c r="F166">
        <f t="shared" si="26"/>
        <v>1495.1495299999999</v>
      </c>
      <c r="G166">
        <f t="shared" si="36"/>
        <v>-0.33800000000000002</v>
      </c>
      <c r="H166">
        <f t="shared" si="28"/>
        <v>-505.36054114000007</v>
      </c>
      <c r="I166">
        <v>1</v>
      </c>
      <c r="J166">
        <f t="shared" si="29"/>
        <v>0.40222622190786594</v>
      </c>
      <c r="K166">
        <f t="shared" si="30"/>
        <v>-0.88372515177521738</v>
      </c>
      <c r="L166">
        <v>1</v>
      </c>
      <c r="M166">
        <f t="shared" si="31"/>
        <v>0.53098507767405123</v>
      </c>
      <c r="N166">
        <f t="shared" si="37"/>
        <v>0.11961196239999999</v>
      </c>
      <c r="O166">
        <f t="shared" si="38"/>
        <v>2.8526108836214814E-2</v>
      </c>
      <c r="P166">
        <f t="shared" si="39"/>
        <v>0.20460200286495134</v>
      </c>
    </row>
    <row r="167" spans="1:16" x14ac:dyDescent="0.3">
      <c r="A167">
        <v>7.5204056499999998</v>
      </c>
      <c r="B167">
        <v>0.33500000000000002</v>
      </c>
      <c r="C167">
        <f t="shared" si="25"/>
        <v>2.51933589275</v>
      </c>
      <c r="D167">
        <v>1.6E-2</v>
      </c>
      <c r="E167">
        <v>3.8158201924077539E-3</v>
      </c>
      <c r="F167">
        <f t="shared" si="26"/>
        <v>1504.08113</v>
      </c>
      <c r="G167">
        <f t="shared" si="36"/>
        <v>-0.33500000000000002</v>
      </c>
      <c r="H167">
        <f t="shared" si="28"/>
        <v>-503.86717855000001</v>
      </c>
      <c r="I167">
        <v>1</v>
      </c>
      <c r="J167">
        <f t="shared" si="29"/>
        <v>0.40818216689193554</v>
      </c>
      <c r="K167">
        <f t="shared" si="30"/>
        <v>-0.88672515177521749</v>
      </c>
      <c r="L167">
        <v>1</v>
      </c>
      <c r="M167">
        <f t="shared" si="31"/>
        <v>0.53126619827729937</v>
      </c>
      <c r="N167">
        <f t="shared" si="37"/>
        <v>0.1203264904</v>
      </c>
      <c r="O167">
        <f t="shared" si="38"/>
        <v>2.8696515734367361E-2</v>
      </c>
      <c r="P167">
        <f t="shared" si="39"/>
        <v>0.20643594736355078</v>
      </c>
    </row>
    <row r="168" spans="1:16" x14ac:dyDescent="0.3">
      <c r="A168">
        <v>7.5650635999999993</v>
      </c>
      <c r="B168">
        <v>0.33</v>
      </c>
      <c r="C168">
        <f t="shared" si="25"/>
        <v>2.496470988</v>
      </c>
      <c r="D168">
        <v>1.6E-2</v>
      </c>
      <c r="E168">
        <v>3.8158201924077539E-3</v>
      </c>
      <c r="F168">
        <f t="shared" si="26"/>
        <v>1513.0127199999999</v>
      </c>
      <c r="G168">
        <f t="shared" si="36"/>
        <v>-0.33</v>
      </c>
      <c r="H168">
        <f t="shared" si="28"/>
        <v>-499.29419760000002</v>
      </c>
      <c r="I168">
        <v>1</v>
      </c>
      <c r="J168">
        <f t="shared" si="29"/>
        <v>0.41410284190901514</v>
      </c>
      <c r="K168">
        <f t="shared" si="30"/>
        <v>-0.89172515177521738</v>
      </c>
      <c r="L168">
        <v>1</v>
      </c>
      <c r="M168">
        <f t="shared" si="31"/>
        <v>0.53154565413810551</v>
      </c>
      <c r="N168">
        <f t="shared" si="37"/>
        <v>0.12104101759999999</v>
      </c>
      <c r="O168">
        <f t="shared" si="38"/>
        <v>2.8866922441728893E-2</v>
      </c>
      <c r="P168">
        <f t="shared" si="39"/>
        <v>0.21027155759538299</v>
      </c>
    </row>
    <row r="169" spans="1:16" x14ac:dyDescent="0.3">
      <c r="A169">
        <v>7.6186531999999998</v>
      </c>
      <c r="B169">
        <v>0.32600000000000001</v>
      </c>
      <c r="C169">
        <f t="shared" si="25"/>
        <v>2.4836809432</v>
      </c>
      <c r="D169">
        <v>1.6E-2</v>
      </c>
      <c r="E169">
        <v>3.8158201924077539E-3</v>
      </c>
      <c r="F169">
        <f t="shared" si="26"/>
        <v>1523.73064</v>
      </c>
      <c r="G169">
        <f t="shared" si="36"/>
        <v>-0.32600000000000001</v>
      </c>
      <c r="H169">
        <f t="shared" si="28"/>
        <v>-496.73618864000002</v>
      </c>
      <c r="I169">
        <v>1</v>
      </c>
      <c r="J169">
        <f t="shared" si="29"/>
        <v>0.42116169623632022</v>
      </c>
      <c r="K169">
        <f t="shared" si="30"/>
        <v>-0.89572515177521739</v>
      </c>
      <c r="L169">
        <v>1</v>
      </c>
      <c r="M169">
        <f t="shared" si="31"/>
        <v>0.53187883206235431</v>
      </c>
      <c r="N169">
        <f t="shared" si="37"/>
        <v>0.12189845119999999</v>
      </c>
      <c r="O169">
        <f t="shared" si="38"/>
        <v>2.9071410719511949E-2</v>
      </c>
      <c r="P169">
        <f t="shared" si="39"/>
        <v>0.21287645779335115</v>
      </c>
    </row>
    <row r="170" spans="1:16" x14ac:dyDescent="0.3">
      <c r="A170">
        <v>7.6633112000000008</v>
      </c>
      <c r="B170">
        <v>0.32200000000000001</v>
      </c>
      <c r="C170">
        <f t="shared" si="25"/>
        <v>2.4675862064000005</v>
      </c>
      <c r="D170">
        <v>1.6E-2</v>
      </c>
      <c r="E170">
        <v>3.8158201924077539E-3</v>
      </c>
      <c r="F170">
        <f t="shared" si="26"/>
        <v>1532.6622400000001</v>
      </c>
      <c r="G170">
        <f t="shared" si="36"/>
        <v>-0.32200000000000001</v>
      </c>
      <c r="H170">
        <f t="shared" si="28"/>
        <v>-493.51724128000012</v>
      </c>
      <c r="I170">
        <v>1</v>
      </c>
      <c r="J170">
        <f t="shared" si="29"/>
        <v>0.42700624945644305</v>
      </c>
      <c r="K170">
        <f t="shared" si="30"/>
        <v>-0.89972515177521739</v>
      </c>
      <c r="L170">
        <v>1</v>
      </c>
      <c r="M170">
        <f t="shared" si="31"/>
        <v>0.53215469497434409</v>
      </c>
      <c r="N170">
        <f t="shared" si="37"/>
        <v>0.12261297920000001</v>
      </c>
      <c r="O170">
        <f t="shared" si="38"/>
        <v>2.9241817617664499E-2</v>
      </c>
      <c r="P170">
        <f t="shared" si="39"/>
        <v>0.21571565998320877</v>
      </c>
    </row>
    <row r="171" spans="1:16" x14ac:dyDescent="0.3">
      <c r="A171">
        <v>7.7169007999999994</v>
      </c>
      <c r="B171">
        <v>0.318</v>
      </c>
      <c r="C171">
        <f t="shared" si="25"/>
        <v>2.4539744543999999</v>
      </c>
      <c r="D171">
        <v>1.6E-2</v>
      </c>
      <c r="E171">
        <v>3.8158201924077539E-3</v>
      </c>
      <c r="F171">
        <f t="shared" si="26"/>
        <v>1543.3801599999999</v>
      </c>
      <c r="G171">
        <f t="shared" si="36"/>
        <v>-0.318</v>
      </c>
      <c r="H171">
        <f t="shared" si="28"/>
        <v>-490.79489087999997</v>
      </c>
      <c r="I171">
        <v>1</v>
      </c>
      <c r="J171">
        <f t="shared" si="29"/>
        <v>0.43397492022244621</v>
      </c>
      <c r="K171">
        <f t="shared" si="30"/>
        <v>-0.90372515177521739</v>
      </c>
      <c r="L171">
        <v>1</v>
      </c>
      <c r="M171">
        <f t="shared" si="31"/>
        <v>0.53248361623449947</v>
      </c>
      <c r="N171">
        <f t="shared" si="37"/>
        <v>0.1234704128</v>
      </c>
      <c r="O171">
        <f t="shared" si="38"/>
        <v>2.9446305895447548E-2</v>
      </c>
      <c r="P171">
        <f t="shared" si="39"/>
        <v>0.21832481684527039</v>
      </c>
    </row>
    <row r="172" spans="1:16" x14ac:dyDescent="0.3">
      <c r="A172">
        <v>7.7704903999999999</v>
      </c>
      <c r="B172">
        <v>0.315</v>
      </c>
      <c r="C172">
        <f t="shared" si="25"/>
        <v>2.4477044760000002</v>
      </c>
      <c r="D172">
        <v>1.6E-2</v>
      </c>
      <c r="E172">
        <v>3.8158201924077539E-3</v>
      </c>
      <c r="F172">
        <f t="shared" si="26"/>
        <v>1554.09808</v>
      </c>
      <c r="G172">
        <f t="shared" si="36"/>
        <v>-0.315</v>
      </c>
      <c r="H172">
        <f t="shared" si="28"/>
        <v>-489.54089520000002</v>
      </c>
      <c r="I172">
        <v>1</v>
      </c>
      <c r="J172">
        <f t="shared" si="29"/>
        <v>0.44089536449693123</v>
      </c>
      <c r="K172">
        <f t="shared" si="30"/>
        <v>-0.90672515177521751</v>
      </c>
      <c r="L172">
        <v>1</v>
      </c>
      <c r="M172">
        <f t="shared" si="31"/>
        <v>0.53281026120425512</v>
      </c>
      <c r="N172">
        <f t="shared" si="37"/>
        <v>0.1243278464</v>
      </c>
      <c r="O172">
        <f t="shared" si="38"/>
        <v>2.9650794173230605E-2</v>
      </c>
      <c r="P172">
        <f t="shared" si="39"/>
        <v>0.21993624999773179</v>
      </c>
    </row>
    <row r="173" spans="1:16" x14ac:dyDescent="0.3">
      <c r="A173">
        <v>7.8151483499999994</v>
      </c>
      <c r="B173">
        <v>0.31</v>
      </c>
      <c r="C173">
        <f t="shared" si="25"/>
        <v>2.4226959884999997</v>
      </c>
      <c r="D173">
        <v>1.6E-2</v>
      </c>
      <c r="E173">
        <v>3.8158201924077539E-3</v>
      </c>
      <c r="F173">
        <f t="shared" si="26"/>
        <v>1563.0296699999999</v>
      </c>
      <c r="G173">
        <f t="shared" si="36"/>
        <v>-0.31</v>
      </c>
      <c r="H173">
        <f t="shared" si="28"/>
        <v>-484.53919769999993</v>
      </c>
      <c r="I173">
        <v>1</v>
      </c>
      <c r="J173">
        <f t="shared" si="29"/>
        <v>0.44662603398469769</v>
      </c>
      <c r="K173">
        <f t="shared" si="30"/>
        <v>-0.9117251517752174</v>
      </c>
      <c r="L173">
        <v>1</v>
      </c>
      <c r="M173">
        <f t="shared" si="31"/>
        <v>0.53308074880407774</v>
      </c>
      <c r="N173">
        <f t="shared" si="37"/>
        <v>0.12504237360000001</v>
      </c>
      <c r="O173">
        <f t="shared" si="38"/>
        <v>2.982120088059214E-2</v>
      </c>
      <c r="P173">
        <f t="shared" si="39"/>
        <v>0.22378082849054748</v>
      </c>
    </row>
    <row r="174" spans="1:16" x14ac:dyDescent="0.3">
      <c r="A174">
        <v>7.8598063500000004</v>
      </c>
      <c r="B174">
        <v>0.30599999999999999</v>
      </c>
      <c r="C174">
        <f t="shared" si="25"/>
        <v>2.4051007431000002</v>
      </c>
      <c r="D174">
        <v>1.6E-2</v>
      </c>
      <c r="E174">
        <v>3.8158201924077539E-3</v>
      </c>
      <c r="F174">
        <f t="shared" si="26"/>
        <v>1571.96127</v>
      </c>
      <c r="G174">
        <f t="shared" si="36"/>
        <v>-0.30599999999999999</v>
      </c>
      <c r="H174">
        <f t="shared" si="28"/>
        <v>-481.02014862000004</v>
      </c>
      <c r="I174">
        <v>1</v>
      </c>
      <c r="J174">
        <f t="shared" si="29"/>
        <v>0.45232405629892886</v>
      </c>
      <c r="K174">
        <f t="shared" si="30"/>
        <v>-0.91572515177521741</v>
      </c>
      <c r="L174">
        <v>1</v>
      </c>
      <c r="M174">
        <f t="shared" si="31"/>
        <v>0.53334969545730948</v>
      </c>
      <c r="N174">
        <f t="shared" si="37"/>
        <v>0.1257569016</v>
      </c>
      <c r="O174">
        <f t="shared" si="38"/>
        <v>2.9991607778744687E-2</v>
      </c>
      <c r="P174">
        <f t="shared" si="39"/>
        <v>0.22662694693916327</v>
      </c>
    </row>
    <row r="175" spans="1:16" x14ac:dyDescent="0.3">
      <c r="A175">
        <v>7.91339595</v>
      </c>
      <c r="B175">
        <v>0.30199999999999999</v>
      </c>
      <c r="C175">
        <f t="shared" si="25"/>
        <v>2.3898455769</v>
      </c>
      <c r="D175">
        <v>1.6E-2</v>
      </c>
      <c r="E175">
        <v>3.8158201924077539E-3</v>
      </c>
      <c r="F175">
        <f t="shared" si="26"/>
        <v>1582.6791900000001</v>
      </c>
      <c r="G175">
        <f t="shared" si="36"/>
        <v>-0.30199999999999999</v>
      </c>
      <c r="H175">
        <f t="shared" si="28"/>
        <v>-477.96911538000001</v>
      </c>
      <c r="I175">
        <v>1</v>
      </c>
      <c r="J175">
        <f t="shared" si="29"/>
        <v>0.45911910085339763</v>
      </c>
      <c r="K175">
        <f t="shared" si="30"/>
        <v>-0.91972515177521741</v>
      </c>
      <c r="L175">
        <v>1</v>
      </c>
      <c r="M175">
        <f t="shared" si="31"/>
        <v>0.53367042156028033</v>
      </c>
      <c r="N175">
        <f t="shared" si="37"/>
        <v>0.12661433520000001</v>
      </c>
      <c r="O175">
        <f t="shared" si="38"/>
        <v>3.0196096056527739E-2</v>
      </c>
      <c r="P175">
        <f t="shared" si="39"/>
        <v>0.22924429895840936</v>
      </c>
    </row>
    <row r="176" spans="1:16" x14ac:dyDescent="0.3">
      <c r="A176">
        <v>7.95805395</v>
      </c>
      <c r="B176">
        <v>0.29799999999999999</v>
      </c>
      <c r="C176">
        <f t="shared" si="25"/>
        <v>2.3715000770999999</v>
      </c>
      <c r="D176">
        <v>1.6E-2</v>
      </c>
      <c r="E176">
        <v>3.8158201924077539E-3</v>
      </c>
      <c r="F176">
        <f t="shared" si="26"/>
        <v>1591.61079</v>
      </c>
      <c r="G176">
        <f t="shared" si="36"/>
        <v>-0.29799999999999999</v>
      </c>
      <c r="H176">
        <f t="shared" si="28"/>
        <v>-474.30001541999997</v>
      </c>
      <c r="I176">
        <v>1</v>
      </c>
      <c r="J176">
        <f t="shared" si="29"/>
        <v>0.46474657888920001</v>
      </c>
      <c r="K176">
        <f t="shared" si="30"/>
        <v>-0.92372515177521741</v>
      </c>
      <c r="L176">
        <v>1</v>
      </c>
      <c r="M176">
        <f t="shared" si="31"/>
        <v>0.5339360385235703</v>
      </c>
      <c r="N176">
        <f t="shared" si="37"/>
        <v>0.1273288632</v>
      </c>
      <c r="O176">
        <f t="shared" si="38"/>
        <v>3.0366502954680286E-2</v>
      </c>
      <c r="P176">
        <f t="shared" si="39"/>
        <v>0.23209374709696678</v>
      </c>
    </row>
    <row r="177" spans="1:16" x14ac:dyDescent="0.3">
      <c r="A177">
        <v>8.0027119500000001</v>
      </c>
      <c r="B177">
        <v>0.29399999999999998</v>
      </c>
      <c r="C177">
        <f t="shared" si="25"/>
        <v>2.3527973133</v>
      </c>
      <c r="D177">
        <v>1.6E-2</v>
      </c>
      <c r="E177">
        <v>3.8158201924077539E-3</v>
      </c>
      <c r="F177">
        <f t="shared" si="26"/>
        <v>1600.5423900000001</v>
      </c>
      <c r="G177">
        <f t="shared" si="36"/>
        <v>-0.29399999999999998</v>
      </c>
      <c r="H177">
        <f t="shared" si="28"/>
        <v>-470.55946266000001</v>
      </c>
      <c r="I177">
        <v>1</v>
      </c>
      <c r="J177">
        <f t="shared" si="29"/>
        <v>0.47034256555033632</v>
      </c>
      <c r="K177">
        <f t="shared" si="30"/>
        <v>-0.92772515177521742</v>
      </c>
      <c r="L177">
        <v>1</v>
      </c>
      <c r="M177">
        <f t="shared" si="31"/>
        <v>0.53420016909397594</v>
      </c>
      <c r="N177">
        <f t="shared" si="37"/>
        <v>0.1280433912</v>
      </c>
      <c r="O177">
        <f t="shared" si="38"/>
        <v>3.0536909852832833E-2</v>
      </c>
      <c r="P177">
        <f t="shared" si="39"/>
        <v>0.23494468162840867</v>
      </c>
    </row>
    <row r="178" spans="1:16" x14ac:dyDescent="0.3">
      <c r="A178">
        <v>8.0563015</v>
      </c>
      <c r="B178">
        <v>0.28899999999999998</v>
      </c>
      <c r="C178">
        <f t="shared" si="25"/>
        <v>2.3282711334999999</v>
      </c>
      <c r="D178">
        <v>1.6E-2</v>
      </c>
      <c r="E178">
        <v>3.8158201924077539E-3</v>
      </c>
      <c r="F178">
        <f t="shared" si="26"/>
        <v>1611.2602999999999</v>
      </c>
      <c r="G178">
        <f t="shared" si="36"/>
        <v>-0.28899999999999998</v>
      </c>
      <c r="H178">
        <f t="shared" si="28"/>
        <v>-465.65422669999998</v>
      </c>
      <c r="I178">
        <v>1</v>
      </c>
      <c r="J178">
        <f t="shared" si="29"/>
        <v>0.47701666780319391</v>
      </c>
      <c r="K178">
        <f t="shared" si="30"/>
        <v>-0.93272515177521753</v>
      </c>
      <c r="L178">
        <v>1</v>
      </c>
      <c r="M178">
        <f t="shared" si="31"/>
        <v>0.53451518672031073</v>
      </c>
      <c r="N178">
        <f t="shared" si="37"/>
        <v>0.128900824</v>
      </c>
      <c r="O178">
        <f t="shared" si="38"/>
        <v>3.0741397939824878E-2</v>
      </c>
      <c r="P178">
        <f t="shared" si="39"/>
        <v>0.23856774311508189</v>
      </c>
    </row>
    <row r="179" spans="1:16" x14ac:dyDescent="0.3">
      <c r="A179">
        <v>8.1009595000000001</v>
      </c>
      <c r="B179">
        <v>0.28399999999999997</v>
      </c>
      <c r="C179">
        <f t="shared" si="25"/>
        <v>2.300672498</v>
      </c>
      <c r="D179">
        <v>1.6E-2</v>
      </c>
      <c r="E179">
        <v>3.8158201924077539E-3</v>
      </c>
      <c r="F179">
        <f t="shared" si="26"/>
        <v>1620.1919</v>
      </c>
      <c r="G179">
        <f t="shared" si="36"/>
        <v>-0.28399999999999997</v>
      </c>
      <c r="H179">
        <f t="shared" si="28"/>
        <v>-460.13449959999997</v>
      </c>
      <c r="I179">
        <v>1</v>
      </c>
      <c r="J179">
        <f t="shared" si="29"/>
        <v>0.48254459901896463</v>
      </c>
      <c r="K179">
        <f t="shared" si="30"/>
        <v>-0.93772515177521742</v>
      </c>
      <c r="L179">
        <v>1</v>
      </c>
      <c r="M179">
        <f t="shared" si="31"/>
        <v>0.53477610507369511</v>
      </c>
      <c r="N179">
        <f t="shared" si="37"/>
        <v>0.12961535200000002</v>
      </c>
      <c r="O179">
        <f t="shared" si="38"/>
        <v>3.0911804837977421E-2</v>
      </c>
      <c r="P179">
        <f t="shared" si="39"/>
        <v>0.24242188986354488</v>
      </c>
    </row>
    <row r="180" spans="1:16" x14ac:dyDescent="0.3">
      <c r="A180">
        <v>8.1456175000000002</v>
      </c>
      <c r="B180">
        <v>0.28100000000000003</v>
      </c>
      <c r="C180">
        <f t="shared" si="25"/>
        <v>2.2889185175000004</v>
      </c>
      <c r="D180">
        <v>1.6E-2</v>
      </c>
      <c r="E180">
        <v>3.8158201924077539E-3</v>
      </c>
      <c r="F180">
        <f t="shared" si="26"/>
        <v>1629.1235000000001</v>
      </c>
      <c r="G180">
        <f t="shared" si="36"/>
        <v>-0.28100000000000003</v>
      </c>
      <c r="H180">
        <f t="shared" si="28"/>
        <v>-457.78370350000006</v>
      </c>
      <c r="I180">
        <v>1</v>
      </c>
      <c r="J180">
        <f t="shared" si="29"/>
        <v>0.48804214012866215</v>
      </c>
      <c r="K180">
        <f t="shared" si="30"/>
        <v>-0.94072515177521743</v>
      </c>
      <c r="L180">
        <v>1</v>
      </c>
      <c r="M180">
        <f t="shared" si="31"/>
        <v>0.53503558901407289</v>
      </c>
      <c r="N180">
        <f t="shared" si="37"/>
        <v>0.13032988000000001</v>
      </c>
      <c r="O180">
        <f t="shared" si="38"/>
        <v>3.1082211736129968E-2</v>
      </c>
      <c r="P180">
        <f t="shared" si="39"/>
        <v>0.24427747102501457</v>
      </c>
    </row>
    <row r="181" spans="1:16" x14ac:dyDescent="0.3">
      <c r="A181">
        <v>8.1902755000000003</v>
      </c>
      <c r="B181">
        <v>0.27600000000000002</v>
      </c>
      <c r="C181">
        <f t="shared" si="25"/>
        <v>2.2605160380000004</v>
      </c>
      <c r="D181">
        <v>1.6E-2</v>
      </c>
      <c r="E181">
        <v>3.8158201924077539E-3</v>
      </c>
      <c r="F181">
        <f t="shared" si="26"/>
        <v>1638.0551</v>
      </c>
      <c r="G181">
        <f t="shared" si="36"/>
        <v>-0.27600000000000002</v>
      </c>
      <c r="H181">
        <f t="shared" si="28"/>
        <v>-452.10320760000008</v>
      </c>
      <c r="I181">
        <v>1</v>
      </c>
      <c r="J181">
        <f t="shared" si="29"/>
        <v>0.49350962344875188</v>
      </c>
      <c r="K181">
        <f t="shared" si="30"/>
        <v>-0.94572515177521743</v>
      </c>
      <c r="L181">
        <v>1</v>
      </c>
      <c r="M181">
        <f t="shared" si="31"/>
        <v>0.5352936542267811</v>
      </c>
      <c r="N181">
        <f t="shared" si="37"/>
        <v>0.131044408</v>
      </c>
      <c r="O181">
        <f t="shared" si="38"/>
        <v>3.1252618634282511E-2</v>
      </c>
      <c r="P181">
        <f t="shared" si="39"/>
        <v>0.2481344709141538</v>
      </c>
    </row>
    <row r="182" spans="1:16" x14ac:dyDescent="0.3">
      <c r="A182">
        <v>8.2438651000000007</v>
      </c>
      <c r="B182">
        <v>0.27200000000000002</v>
      </c>
      <c r="C182">
        <f t="shared" si="25"/>
        <v>2.2423313072000002</v>
      </c>
      <c r="D182">
        <v>1.6E-2</v>
      </c>
      <c r="E182">
        <v>3.8158201924077539E-3</v>
      </c>
      <c r="F182">
        <f t="shared" si="26"/>
        <v>1648.7730200000001</v>
      </c>
      <c r="G182">
        <f t="shared" si="36"/>
        <v>-0.27200000000000002</v>
      </c>
      <c r="H182">
        <f t="shared" si="28"/>
        <v>-448.46626144000004</v>
      </c>
      <c r="I182">
        <v>1</v>
      </c>
      <c r="J182">
        <f t="shared" si="29"/>
        <v>0.50003138704441263</v>
      </c>
      <c r="K182">
        <f t="shared" si="30"/>
        <v>-0.94972515177521744</v>
      </c>
      <c r="L182">
        <v>1</v>
      </c>
      <c r="M182">
        <f t="shared" si="31"/>
        <v>0.53560148146849629</v>
      </c>
      <c r="N182">
        <f t="shared" si="37"/>
        <v>0.13190184160000001</v>
      </c>
      <c r="O182">
        <f t="shared" si="38"/>
        <v>3.1457106912065567E-2</v>
      </c>
      <c r="P182">
        <f t="shared" si="39"/>
        <v>0.25076472179465559</v>
      </c>
    </row>
    <row r="183" spans="1:16" x14ac:dyDescent="0.3">
      <c r="A183">
        <v>8.2885230500000002</v>
      </c>
      <c r="B183">
        <v>0.26800000000000002</v>
      </c>
      <c r="C183">
        <f t="shared" si="25"/>
        <v>2.2213241774000001</v>
      </c>
      <c r="D183">
        <v>1.6E-2</v>
      </c>
      <c r="E183">
        <v>3.8158201924077539E-3</v>
      </c>
      <c r="F183">
        <f t="shared" si="26"/>
        <v>1657.70461</v>
      </c>
      <c r="G183">
        <f t="shared" si="36"/>
        <v>-0.26800000000000002</v>
      </c>
      <c r="H183">
        <f t="shared" si="28"/>
        <v>-444.26483548000004</v>
      </c>
      <c r="I183">
        <v>1</v>
      </c>
      <c r="J183">
        <f t="shared" si="29"/>
        <v>0.50543388040638959</v>
      </c>
      <c r="K183">
        <f t="shared" si="30"/>
        <v>-0.95372515177521744</v>
      </c>
      <c r="L183">
        <v>1</v>
      </c>
      <c r="M183">
        <f t="shared" si="31"/>
        <v>0.53585647915518164</v>
      </c>
      <c r="N183">
        <f t="shared" si="37"/>
        <v>0.1326163688</v>
      </c>
      <c r="O183">
        <f t="shared" si="38"/>
        <v>3.1627513619427103E-2</v>
      </c>
      <c r="P183">
        <f t="shared" si="39"/>
        <v>0.25362479020060869</v>
      </c>
    </row>
    <row r="184" spans="1:16" x14ac:dyDescent="0.3">
      <c r="A184">
        <v>8.3331810500000003</v>
      </c>
      <c r="B184">
        <v>0.26400000000000001</v>
      </c>
      <c r="C184">
        <f t="shared" si="25"/>
        <v>2.1999597972</v>
      </c>
      <c r="D184">
        <v>1.6E-2</v>
      </c>
      <c r="E184">
        <v>3.8158201924077539E-3</v>
      </c>
      <c r="F184">
        <f t="shared" si="26"/>
        <v>1666.6362100000001</v>
      </c>
      <c r="G184">
        <f t="shared" si="36"/>
        <v>-0.26400000000000001</v>
      </c>
      <c r="H184">
        <f t="shared" si="28"/>
        <v>-439.99195944000002</v>
      </c>
      <c r="I184">
        <v>1</v>
      </c>
      <c r="J184">
        <f t="shared" si="29"/>
        <v>0.51080734959901919</v>
      </c>
      <c r="K184">
        <f t="shared" si="30"/>
        <v>-0.95772515177521744</v>
      </c>
      <c r="L184">
        <v>1</v>
      </c>
      <c r="M184">
        <f t="shared" si="31"/>
        <v>0.53611010690107375</v>
      </c>
      <c r="N184">
        <f t="shared" si="37"/>
        <v>0.13333089680000001</v>
      </c>
      <c r="O184">
        <f t="shared" si="38"/>
        <v>3.1797920517579653E-2</v>
      </c>
      <c r="P184">
        <f t="shared" si="39"/>
        <v>0.25648622755656403</v>
      </c>
    </row>
    <row r="185" spans="1:16" x14ac:dyDescent="0.3">
      <c r="A185">
        <v>8.3778390500000004</v>
      </c>
      <c r="B185">
        <v>0.26</v>
      </c>
      <c r="C185">
        <f t="shared" si="25"/>
        <v>2.1782381530000001</v>
      </c>
      <c r="D185">
        <v>1.6E-2</v>
      </c>
      <c r="E185">
        <v>3.8158201924077539E-3</v>
      </c>
      <c r="F185">
        <f t="shared" si="26"/>
        <v>1675.56781</v>
      </c>
      <c r="G185">
        <f t="shared" si="36"/>
        <v>-0.26</v>
      </c>
      <c r="H185">
        <f t="shared" si="28"/>
        <v>-435.64763060000001</v>
      </c>
      <c r="I185">
        <v>1</v>
      </c>
      <c r="J185">
        <f t="shared" si="29"/>
        <v>0.51615209887732338</v>
      </c>
      <c r="K185">
        <f t="shared" si="30"/>
        <v>-0.96172515177521745</v>
      </c>
      <c r="L185">
        <v>1</v>
      </c>
      <c r="M185">
        <f t="shared" si="31"/>
        <v>0.53636237906700968</v>
      </c>
      <c r="N185">
        <f t="shared" si="37"/>
        <v>0.13404542480000001</v>
      </c>
      <c r="O185">
        <f t="shared" si="38"/>
        <v>3.1968327415732196E-2</v>
      </c>
      <c r="P185">
        <f t="shared" si="39"/>
        <v>0.25934902049247555</v>
      </c>
    </row>
    <row r="186" spans="1:16" x14ac:dyDescent="0.3">
      <c r="A186">
        <v>8.4314286500000009</v>
      </c>
      <c r="B186">
        <v>0.25600000000000001</v>
      </c>
      <c r="C186">
        <f t="shared" si="25"/>
        <v>2.1584457344000003</v>
      </c>
      <c r="D186">
        <v>1.6E-2</v>
      </c>
      <c r="E186">
        <v>3.8158201924077539E-3</v>
      </c>
      <c r="F186">
        <f t="shared" si="26"/>
        <v>1686.2857300000001</v>
      </c>
      <c r="G186">
        <f t="shared" si="36"/>
        <v>-0.25600000000000001</v>
      </c>
      <c r="H186">
        <f t="shared" si="28"/>
        <v>-431.68914688000007</v>
      </c>
      <c r="I186">
        <v>1</v>
      </c>
      <c r="J186">
        <f t="shared" si="29"/>
        <v>0.52252831734425464</v>
      </c>
      <c r="K186">
        <f t="shared" si="30"/>
        <v>-0.96572515177521745</v>
      </c>
      <c r="L186">
        <v>1</v>
      </c>
      <c r="M186">
        <f t="shared" si="31"/>
        <v>0.53666333657864884</v>
      </c>
      <c r="N186">
        <f t="shared" si="37"/>
        <v>0.13490285840000002</v>
      </c>
      <c r="O186">
        <f t="shared" si="38"/>
        <v>3.2172815693515253E-2</v>
      </c>
      <c r="P186">
        <f t="shared" si="39"/>
        <v>0.26198614110305329</v>
      </c>
    </row>
    <row r="187" spans="1:16" x14ac:dyDescent="0.3">
      <c r="A187">
        <v>8.4671550500000006</v>
      </c>
      <c r="B187">
        <v>0.251</v>
      </c>
      <c r="C187">
        <f t="shared" si="25"/>
        <v>2.1252559175500001</v>
      </c>
      <c r="D187">
        <v>1.6E-2</v>
      </c>
      <c r="E187">
        <v>3.8158201924077539E-3</v>
      </c>
      <c r="F187">
        <f t="shared" si="26"/>
        <v>1693.43101</v>
      </c>
      <c r="G187">
        <f t="shared" si="36"/>
        <v>-0.251</v>
      </c>
      <c r="H187">
        <f t="shared" si="28"/>
        <v>-425.05118351000004</v>
      </c>
      <c r="I187">
        <v>1</v>
      </c>
      <c r="J187">
        <f t="shared" si="29"/>
        <v>0.52675665432954266</v>
      </c>
      <c r="K187">
        <f t="shared" si="30"/>
        <v>-0.97072515177521745</v>
      </c>
      <c r="L187">
        <v>1</v>
      </c>
      <c r="M187">
        <f t="shared" si="31"/>
        <v>0.53686291408435438</v>
      </c>
      <c r="N187">
        <f t="shared" si="37"/>
        <v>0.13547448080000002</v>
      </c>
      <c r="O187">
        <f t="shared" si="38"/>
        <v>3.230914121203729E-2</v>
      </c>
      <c r="P187">
        <f t="shared" si="39"/>
        <v>0.26607861567882574</v>
      </c>
    </row>
    <row r="188" spans="1:16" x14ac:dyDescent="0.3">
      <c r="C188">
        <f t="shared" si="25"/>
        <v>0</v>
      </c>
      <c r="D188">
        <v>1.6E-2</v>
      </c>
      <c r="E188">
        <v>3.8158201924077539E-3</v>
      </c>
      <c r="F188">
        <f t="shared" si="26"/>
        <v>0</v>
      </c>
      <c r="G188">
        <f t="shared" ref="G188:G211" si="40">-B188</f>
        <v>0</v>
      </c>
      <c r="H188">
        <f t="shared" si="28"/>
        <v>0</v>
      </c>
      <c r="I188">
        <v>1</v>
      </c>
      <c r="J188" t="e">
        <f t="shared" si="29"/>
        <v>#NUM!</v>
      </c>
      <c r="K188">
        <f t="shared" ref="K188:K211" si="41">((-G188)-$N$2)</f>
        <v>-1.2217251517752175</v>
      </c>
      <c r="L188">
        <v>1</v>
      </c>
      <c r="M188" t="e">
        <f t="shared" si="31"/>
        <v>#NUM!</v>
      </c>
      <c r="N188">
        <f t="shared" ref="N188:N211" si="42">D188*A188</f>
        <v>0</v>
      </c>
      <c r="O188">
        <f t="shared" ref="O188:O211" si="43">E188*A188</f>
        <v>0</v>
      </c>
      <c r="P188" t="e">
        <f t="shared" ref="P188:P211" si="44">-K188-M188-N188-O188</f>
        <v>#NUM!</v>
      </c>
    </row>
    <row r="189" spans="1:16" x14ac:dyDescent="0.3">
      <c r="C189">
        <f t="shared" si="25"/>
        <v>0</v>
      </c>
      <c r="D189">
        <v>1.6E-2</v>
      </c>
      <c r="E189">
        <v>3.8158201924077539E-3</v>
      </c>
      <c r="F189">
        <f t="shared" si="26"/>
        <v>0</v>
      </c>
      <c r="G189">
        <f t="shared" si="40"/>
        <v>0</v>
      </c>
      <c r="H189">
        <f t="shared" si="28"/>
        <v>0</v>
      </c>
      <c r="I189">
        <v>1</v>
      </c>
      <c r="J189" t="e">
        <f t="shared" si="29"/>
        <v>#NUM!</v>
      </c>
      <c r="K189">
        <f t="shared" si="41"/>
        <v>-1.2217251517752175</v>
      </c>
      <c r="L189">
        <v>1</v>
      </c>
      <c r="M189" t="e">
        <f t="shared" si="31"/>
        <v>#NUM!</v>
      </c>
      <c r="N189">
        <f t="shared" si="42"/>
        <v>0</v>
      </c>
      <c r="O189">
        <f t="shared" si="43"/>
        <v>0</v>
      </c>
      <c r="P189" t="e">
        <f t="shared" si="44"/>
        <v>#NUM!</v>
      </c>
    </row>
    <row r="190" spans="1:16" x14ac:dyDescent="0.3">
      <c r="C190">
        <f t="shared" si="25"/>
        <v>0</v>
      </c>
      <c r="D190">
        <v>1.6E-2</v>
      </c>
      <c r="E190">
        <v>3.8158201924077539E-3</v>
      </c>
      <c r="F190">
        <f t="shared" si="26"/>
        <v>0</v>
      </c>
      <c r="G190">
        <f t="shared" si="40"/>
        <v>0</v>
      </c>
      <c r="H190">
        <f t="shared" si="28"/>
        <v>0</v>
      </c>
      <c r="I190">
        <v>1</v>
      </c>
      <c r="J190" t="e">
        <f t="shared" si="29"/>
        <v>#NUM!</v>
      </c>
      <c r="K190">
        <f t="shared" si="41"/>
        <v>-1.2217251517752175</v>
      </c>
      <c r="L190">
        <v>1</v>
      </c>
      <c r="M190" t="e">
        <f t="shared" si="31"/>
        <v>#NUM!</v>
      </c>
      <c r="N190">
        <f t="shared" si="42"/>
        <v>0</v>
      </c>
      <c r="O190">
        <f t="shared" si="43"/>
        <v>0</v>
      </c>
      <c r="P190" t="e">
        <f t="shared" si="44"/>
        <v>#NUM!</v>
      </c>
    </row>
    <row r="191" spans="1:16" x14ac:dyDescent="0.3">
      <c r="C191">
        <f t="shared" si="25"/>
        <v>0</v>
      </c>
      <c r="D191">
        <v>1.6E-2</v>
      </c>
      <c r="E191">
        <v>3.8158201924077539E-3</v>
      </c>
      <c r="F191">
        <f t="shared" si="26"/>
        <v>0</v>
      </c>
      <c r="G191">
        <f t="shared" si="40"/>
        <v>0</v>
      </c>
      <c r="H191">
        <f t="shared" si="28"/>
        <v>0</v>
      </c>
      <c r="I191">
        <v>1</v>
      </c>
      <c r="J191" t="e">
        <f t="shared" si="29"/>
        <v>#NUM!</v>
      </c>
      <c r="K191">
        <f t="shared" si="41"/>
        <v>-1.2217251517752175</v>
      </c>
      <c r="L191">
        <v>1</v>
      </c>
      <c r="M191" t="e">
        <f t="shared" si="31"/>
        <v>#NUM!</v>
      </c>
      <c r="N191">
        <f t="shared" si="42"/>
        <v>0</v>
      </c>
      <c r="O191">
        <f t="shared" si="43"/>
        <v>0</v>
      </c>
      <c r="P191" t="e">
        <f t="shared" si="44"/>
        <v>#NUM!</v>
      </c>
    </row>
    <row r="192" spans="1:16" x14ac:dyDescent="0.3">
      <c r="C192">
        <f t="shared" si="25"/>
        <v>0</v>
      </c>
      <c r="D192">
        <v>1.6E-2</v>
      </c>
      <c r="E192">
        <v>3.8158201924077539E-3</v>
      </c>
      <c r="F192">
        <f t="shared" si="26"/>
        <v>0</v>
      </c>
      <c r="G192">
        <f t="shared" si="40"/>
        <v>0</v>
      </c>
      <c r="H192">
        <f t="shared" si="28"/>
        <v>0</v>
      </c>
      <c r="I192">
        <v>1</v>
      </c>
      <c r="J192" t="e">
        <f t="shared" si="29"/>
        <v>#NUM!</v>
      </c>
      <c r="K192">
        <f t="shared" si="41"/>
        <v>-1.2217251517752175</v>
      </c>
      <c r="L192">
        <v>1</v>
      </c>
      <c r="M192" t="e">
        <f t="shared" si="31"/>
        <v>#NUM!</v>
      </c>
      <c r="N192">
        <f t="shared" si="42"/>
        <v>0</v>
      </c>
      <c r="O192">
        <f t="shared" si="43"/>
        <v>0</v>
      </c>
      <c r="P192" t="e">
        <f t="shared" si="44"/>
        <v>#NUM!</v>
      </c>
    </row>
    <row r="193" spans="3:16" x14ac:dyDescent="0.3">
      <c r="C193">
        <f t="shared" si="25"/>
        <v>0</v>
      </c>
      <c r="D193">
        <v>1.6E-2</v>
      </c>
      <c r="E193">
        <v>3.8158201924077539E-3</v>
      </c>
      <c r="F193">
        <f t="shared" si="26"/>
        <v>0</v>
      </c>
      <c r="G193">
        <f t="shared" si="40"/>
        <v>0</v>
      </c>
      <c r="H193">
        <f t="shared" si="28"/>
        <v>0</v>
      </c>
      <c r="I193">
        <v>1</v>
      </c>
      <c r="J193" t="e">
        <f t="shared" si="29"/>
        <v>#NUM!</v>
      </c>
      <c r="K193">
        <f t="shared" si="41"/>
        <v>-1.2217251517752175</v>
      </c>
      <c r="L193">
        <v>1</v>
      </c>
      <c r="M193" t="e">
        <f t="shared" si="31"/>
        <v>#NUM!</v>
      </c>
      <c r="N193">
        <f t="shared" si="42"/>
        <v>0</v>
      </c>
      <c r="O193">
        <f t="shared" si="43"/>
        <v>0</v>
      </c>
      <c r="P193" t="e">
        <f t="shared" si="44"/>
        <v>#NUM!</v>
      </c>
    </row>
    <row r="194" spans="3:16" x14ac:dyDescent="0.3">
      <c r="C194">
        <f t="shared" si="25"/>
        <v>0</v>
      </c>
      <c r="D194">
        <v>1.6E-2</v>
      </c>
      <c r="E194">
        <v>3.8158201924077539E-3</v>
      </c>
      <c r="F194">
        <f t="shared" si="26"/>
        <v>0</v>
      </c>
      <c r="G194">
        <f t="shared" si="40"/>
        <v>0</v>
      </c>
      <c r="H194">
        <f t="shared" si="28"/>
        <v>0</v>
      </c>
      <c r="I194">
        <v>1</v>
      </c>
      <c r="J194" t="e">
        <f t="shared" si="29"/>
        <v>#NUM!</v>
      </c>
      <c r="K194">
        <f t="shared" si="41"/>
        <v>-1.2217251517752175</v>
      </c>
      <c r="L194">
        <v>1</v>
      </c>
      <c r="M194" t="e">
        <f t="shared" si="31"/>
        <v>#NUM!</v>
      </c>
      <c r="N194">
        <f t="shared" si="42"/>
        <v>0</v>
      </c>
      <c r="O194">
        <f t="shared" si="43"/>
        <v>0</v>
      </c>
      <c r="P194" t="e">
        <f t="shared" si="44"/>
        <v>#NUM!</v>
      </c>
    </row>
    <row r="195" spans="3:16" x14ac:dyDescent="0.3">
      <c r="C195">
        <f t="shared" si="25"/>
        <v>0</v>
      </c>
      <c r="D195">
        <v>1.6E-2</v>
      </c>
      <c r="E195">
        <v>3.8158201924077539E-3</v>
      </c>
      <c r="F195">
        <f t="shared" si="26"/>
        <v>0</v>
      </c>
      <c r="G195">
        <f t="shared" si="40"/>
        <v>0</v>
      </c>
      <c r="H195">
        <f t="shared" si="28"/>
        <v>0</v>
      </c>
      <c r="I195">
        <v>1</v>
      </c>
      <c r="J195" t="e">
        <f t="shared" si="29"/>
        <v>#NUM!</v>
      </c>
      <c r="K195">
        <f t="shared" si="41"/>
        <v>-1.2217251517752175</v>
      </c>
      <c r="L195">
        <v>1</v>
      </c>
      <c r="M195" t="e">
        <f t="shared" si="31"/>
        <v>#NUM!</v>
      </c>
      <c r="N195">
        <f t="shared" si="42"/>
        <v>0</v>
      </c>
      <c r="O195">
        <f t="shared" si="43"/>
        <v>0</v>
      </c>
      <c r="P195" t="e">
        <f t="shared" si="44"/>
        <v>#NUM!</v>
      </c>
    </row>
    <row r="196" spans="3:16" x14ac:dyDescent="0.3">
      <c r="C196">
        <f t="shared" si="25"/>
        <v>0</v>
      </c>
      <c r="D196">
        <v>1.6E-2</v>
      </c>
      <c r="E196">
        <v>3.8158201924077539E-3</v>
      </c>
      <c r="F196">
        <f t="shared" si="26"/>
        <v>0</v>
      </c>
      <c r="G196">
        <f t="shared" si="40"/>
        <v>0</v>
      </c>
      <c r="H196">
        <f t="shared" si="28"/>
        <v>0</v>
      </c>
      <c r="I196">
        <v>1</v>
      </c>
      <c r="J196" t="e">
        <f t="shared" si="29"/>
        <v>#NUM!</v>
      </c>
      <c r="K196">
        <f t="shared" si="41"/>
        <v>-1.2217251517752175</v>
      </c>
      <c r="L196">
        <v>1</v>
      </c>
      <c r="M196" t="e">
        <f t="shared" si="31"/>
        <v>#NUM!</v>
      </c>
      <c r="N196">
        <f t="shared" si="42"/>
        <v>0</v>
      </c>
      <c r="O196">
        <f t="shared" si="43"/>
        <v>0</v>
      </c>
      <c r="P196" t="e">
        <f t="shared" si="44"/>
        <v>#NUM!</v>
      </c>
    </row>
    <row r="197" spans="3:16" x14ac:dyDescent="0.3">
      <c r="C197">
        <f t="shared" ref="C197:C211" si="45">A197*B197</f>
        <v>0</v>
      </c>
      <c r="D197">
        <v>1.6E-2</v>
      </c>
      <c r="E197">
        <v>3.8158201924077539E-3</v>
      </c>
      <c r="F197">
        <f t="shared" ref="F197:F260" si="46">A197*200</f>
        <v>0</v>
      </c>
      <c r="G197">
        <f t="shared" si="40"/>
        <v>0</v>
      </c>
      <c r="H197">
        <f t="shared" ref="H197:H211" si="47">-C197*200</f>
        <v>0</v>
      </c>
      <c r="I197">
        <v>1</v>
      </c>
      <c r="J197" t="e">
        <f t="shared" ref="J197:J260" si="48">LN(F197/1000)</f>
        <v>#NUM!</v>
      </c>
      <c r="K197">
        <f t="shared" si="41"/>
        <v>-1.2217251517752175</v>
      </c>
      <c r="L197">
        <v>1</v>
      </c>
      <c r="M197" t="e">
        <f t="shared" ref="M197:M260" si="49">-1*($S$4+($S$5*J197))</f>
        <v>#NUM!</v>
      </c>
      <c r="N197">
        <f t="shared" si="42"/>
        <v>0</v>
      </c>
      <c r="O197">
        <f t="shared" si="43"/>
        <v>0</v>
      </c>
      <c r="P197" t="e">
        <f t="shared" si="44"/>
        <v>#NUM!</v>
      </c>
    </row>
    <row r="198" spans="3:16" x14ac:dyDescent="0.3">
      <c r="C198">
        <f t="shared" si="45"/>
        <v>0</v>
      </c>
      <c r="D198">
        <v>1.6E-2</v>
      </c>
      <c r="E198">
        <v>3.8158201924077539E-3</v>
      </c>
      <c r="F198">
        <f t="shared" si="46"/>
        <v>0</v>
      </c>
      <c r="G198">
        <f t="shared" si="40"/>
        <v>0</v>
      </c>
      <c r="H198">
        <f t="shared" si="47"/>
        <v>0</v>
      </c>
      <c r="I198">
        <v>1</v>
      </c>
      <c r="J198" t="e">
        <f t="shared" si="48"/>
        <v>#NUM!</v>
      </c>
      <c r="K198">
        <f t="shared" si="41"/>
        <v>-1.2217251517752175</v>
      </c>
      <c r="L198">
        <v>1</v>
      </c>
      <c r="M198" t="e">
        <f t="shared" si="49"/>
        <v>#NUM!</v>
      </c>
      <c r="N198">
        <f t="shared" si="42"/>
        <v>0</v>
      </c>
      <c r="O198">
        <f t="shared" si="43"/>
        <v>0</v>
      </c>
      <c r="P198" t="e">
        <f t="shared" si="44"/>
        <v>#NUM!</v>
      </c>
    </row>
    <row r="199" spans="3:16" x14ac:dyDescent="0.3">
      <c r="C199">
        <f t="shared" si="45"/>
        <v>0</v>
      </c>
      <c r="D199">
        <v>1.6E-2</v>
      </c>
      <c r="E199">
        <v>3.8158201924077539E-3</v>
      </c>
      <c r="F199">
        <f t="shared" si="46"/>
        <v>0</v>
      </c>
      <c r="G199">
        <f t="shared" si="40"/>
        <v>0</v>
      </c>
      <c r="H199">
        <f t="shared" si="47"/>
        <v>0</v>
      </c>
      <c r="I199">
        <v>1</v>
      </c>
      <c r="J199" t="e">
        <f t="shared" si="48"/>
        <v>#NUM!</v>
      </c>
      <c r="K199">
        <f t="shared" si="41"/>
        <v>-1.2217251517752175</v>
      </c>
      <c r="L199">
        <v>1</v>
      </c>
      <c r="M199" t="e">
        <f t="shared" si="49"/>
        <v>#NUM!</v>
      </c>
      <c r="N199">
        <f t="shared" si="42"/>
        <v>0</v>
      </c>
      <c r="O199">
        <f t="shared" si="43"/>
        <v>0</v>
      </c>
      <c r="P199" t="e">
        <f t="shared" si="44"/>
        <v>#NUM!</v>
      </c>
    </row>
    <row r="200" spans="3:16" x14ac:dyDescent="0.3">
      <c r="C200">
        <f t="shared" si="45"/>
        <v>0</v>
      </c>
      <c r="D200">
        <v>1.6E-2</v>
      </c>
      <c r="E200">
        <v>3.8158201924077539E-3</v>
      </c>
      <c r="F200">
        <f t="shared" si="46"/>
        <v>0</v>
      </c>
      <c r="G200">
        <f t="shared" si="40"/>
        <v>0</v>
      </c>
      <c r="H200">
        <f t="shared" si="47"/>
        <v>0</v>
      </c>
      <c r="I200">
        <v>1</v>
      </c>
      <c r="J200" t="e">
        <f t="shared" si="48"/>
        <v>#NUM!</v>
      </c>
      <c r="K200">
        <f t="shared" si="41"/>
        <v>-1.2217251517752175</v>
      </c>
      <c r="L200">
        <v>1</v>
      </c>
      <c r="M200" t="e">
        <f t="shared" si="49"/>
        <v>#NUM!</v>
      </c>
      <c r="N200">
        <f t="shared" si="42"/>
        <v>0</v>
      </c>
      <c r="O200">
        <f t="shared" si="43"/>
        <v>0</v>
      </c>
      <c r="P200" t="e">
        <f t="shared" si="44"/>
        <v>#NUM!</v>
      </c>
    </row>
    <row r="201" spans="3:16" x14ac:dyDescent="0.3">
      <c r="C201">
        <f t="shared" si="45"/>
        <v>0</v>
      </c>
      <c r="D201">
        <v>1.6E-2</v>
      </c>
      <c r="E201">
        <v>3.8158201924077539E-3</v>
      </c>
      <c r="F201">
        <f t="shared" si="46"/>
        <v>0</v>
      </c>
      <c r="G201">
        <f t="shared" si="40"/>
        <v>0</v>
      </c>
      <c r="H201">
        <f t="shared" si="47"/>
        <v>0</v>
      </c>
      <c r="I201">
        <v>1</v>
      </c>
      <c r="J201" t="e">
        <f t="shared" si="48"/>
        <v>#NUM!</v>
      </c>
      <c r="K201">
        <f t="shared" si="41"/>
        <v>-1.2217251517752175</v>
      </c>
      <c r="L201">
        <v>1</v>
      </c>
      <c r="M201" t="e">
        <f t="shared" si="49"/>
        <v>#NUM!</v>
      </c>
      <c r="N201">
        <f t="shared" si="42"/>
        <v>0</v>
      </c>
      <c r="O201">
        <f t="shared" si="43"/>
        <v>0</v>
      </c>
      <c r="P201" t="e">
        <f t="shared" si="44"/>
        <v>#NUM!</v>
      </c>
    </row>
    <row r="202" spans="3:16" x14ac:dyDescent="0.3">
      <c r="C202">
        <f t="shared" si="45"/>
        <v>0</v>
      </c>
      <c r="D202">
        <v>1.6E-2</v>
      </c>
      <c r="E202">
        <v>3.8158201924077539E-3</v>
      </c>
      <c r="F202">
        <f t="shared" si="46"/>
        <v>0</v>
      </c>
      <c r="G202">
        <f t="shared" si="40"/>
        <v>0</v>
      </c>
      <c r="H202">
        <f t="shared" si="47"/>
        <v>0</v>
      </c>
      <c r="I202">
        <v>1</v>
      </c>
      <c r="J202" t="e">
        <f t="shared" si="48"/>
        <v>#NUM!</v>
      </c>
      <c r="K202">
        <f t="shared" si="41"/>
        <v>-1.2217251517752175</v>
      </c>
      <c r="L202">
        <v>1</v>
      </c>
      <c r="M202" t="e">
        <f t="shared" si="49"/>
        <v>#NUM!</v>
      </c>
      <c r="N202">
        <f t="shared" si="42"/>
        <v>0</v>
      </c>
      <c r="O202">
        <f t="shared" si="43"/>
        <v>0</v>
      </c>
      <c r="P202" t="e">
        <f t="shared" si="44"/>
        <v>#NUM!</v>
      </c>
    </row>
    <row r="203" spans="3:16" x14ac:dyDescent="0.3">
      <c r="C203">
        <f t="shared" si="45"/>
        <v>0</v>
      </c>
      <c r="D203">
        <v>1.6E-2</v>
      </c>
      <c r="E203">
        <v>3.8158201924077539E-3</v>
      </c>
      <c r="F203">
        <f t="shared" si="46"/>
        <v>0</v>
      </c>
      <c r="G203">
        <f t="shared" si="40"/>
        <v>0</v>
      </c>
      <c r="H203">
        <f t="shared" si="47"/>
        <v>0</v>
      </c>
      <c r="I203">
        <v>1</v>
      </c>
      <c r="J203" t="e">
        <f t="shared" si="48"/>
        <v>#NUM!</v>
      </c>
      <c r="K203">
        <f t="shared" si="41"/>
        <v>-1.2217251517752175</v>
      </c>
      <c r="L203">
        <v>1</v>
      </c>
      <c r="M203" t="e">
        <f t="shared" si="49"/>
        <v>#NUM!</v>
      </c>
      <c r="N203">
        <f t="shared" si="42"/>
        <v>0</v>
      </c>
      <c r="O203">
        <f t="shared" si="43"/>
        <v>0</v>
      </c>
      <c r="P203" t="e">
        <f t="shared" si="44"/>
        <v>#NUM!</v>
      </c>
    </row>
    <row r="204" spans="3:16" x14ac:dyDescent="0.3">
      <c r="C204">
        <f t="shared" si="45"/>
        <v>0</v>
      </c>
      <c r="D204">
        <v>1.6E-2</v>
      </c>
      <c r="E204">
        <v>3.8158201924077539E-3</v>
      </c>
      <c r="F204">
        <f t="shared" si="46"/>
        <v>0</v>
      </c>
      <c r="G204">
        <f t="shared" si="40"/>
        <v>0</v>
      </c>
      <c r="H204">
        <f t="shared" si="47"/>
        <v>0</v>
      </c>
      <c r="I204">
        <v>1</v>
      </c>
      <c r="J204" t="e">
        <f t="shared" si="48"/>
        <v>#NUM!</v>
      </c>
      <c r="K204">
        <f t="shared" si="41"/>
        <v>-1.2217251517752175</v>
      </c>
      <c r="L204">
        <v>1</v>
      </c>
      <c r="M204" t="e">
        <f t="shared" si="49"/>
        <v>#NUM!</v>
      </c>
      <c r="N204">
        <f t="shared" si="42"/>
        <v>0</v>
      </c>
      <c r="O204">
        <f t="shared" si="43"/>
        <v>0</v>
      </c>
      <c r="P204" t="e">
        <f t="shared" si="44"/>
        <v>#NUM!</v>
      </c>
    </row>
    <row r="205" spans="3:16" x14ac:dyDescent="0.3">
      <c r="C205">
        <f t="shared" si="45"/>
        <v>0</v>
      </c>
      <c r="D205">
        <v>1.6E-2</v>
      </c>
      <c r="E205">
        <v>3.8158201924077539E-3</v>
      </c>
      <c r="F205">
        <f t="shared" si="46"/>
        <v>0</v>
      </c>
      <c r="G205">
        <f t="shared" si="40"/>
        <v>0</v>
      </c>
      <c r="H205">
        <f t="shared" si="47"/>
        <v>0</v>
      </c>
      <c r="I205">
        <v>1</v>
      </c>
      <c r="J205" t="e">
        <f t="shared" si="48"/>
        <v>#NUM!</v>
      </c>
      <c r="K205">
        <f t="shared" si="41"/>
        <v>-1.2217251517752175</v>
      </c>
      <c r="L205">
        <v>1</v>
      </c>
      <c r="M205" t="e">
        <f t="shared" si="49"/>
        <v>#NUM!</v>
      </c>
      <c r="N205">
        <f t="shared" si="42"/>
        <v>0</v>
      </c>
      <c r="O205">
        <f t="shared" si="43"/>
        <v>0</v>
      </c>
      <c r="P205" t="e">
        <f t="shared" si="44"/>
        <v>#NUM!</v>
      </c>
    </row>
    <row r="206" spans="3:16" x14ac:dyDescent="0.3">
      <c r="C206">
        <f t="shared" si="45"/>
        <v>0</v>
      </c>
      <c r="D206">
        <v>1.6E-2</v>
      </c>
      <c r="E206">
        <v>3.8158201924077539E-3</v>
      </c>
      <c r="F206">
        <f t="shared" si="46"/>
        <v>0</v>
      </c>
      <c r="G206">
        <f t="shared" si="40"/>
        <v>0</v>
      </c>
      <c r="H206">
        <f t="shared" si="47"/>
        <v>0</v>
      </c>
      <c r="I206">
        <v>1</v>
      </c>
      <c r="J206" t="e">
        <f t="shared" si="48"/>
        <v>#NUM!</v>
      </c>
      <c r="K206">
        <f t="shared" si="41"/>
        <v>-1.2217251517752175</v>
      </c>
      <c r="L206">
        <v>1</v>
      </c>
      <c r="M206" t="e">
        <f t="shared" si="49"/>
        <v>#NUM!</v>
      </c>
      <c r="N206">
        <f t="shared" si="42"/>
        <v>0</v>
      </c>
      <c r="O206">
        <f t="shared" si="43"/>
        <v>0</v>
      </c>
      <c r="P206" t="e">
        <f t="shared" si="44"/>
        <v>#NUM!</v>
      </c>
    </row>
    <row r="207" spans="3:16" x14ac:dyDescent="0.3">
      <c r="C207">
        <f t="shared" si="45"/>
        <v>0</v>
      </c>
      <c r="D207">
        <v>1.6E-2</v>
      </c>
      <c r="E207">
        <v>3.8158201924077539E-3</v>
      </c>
      <c r="F207">
        <f t="shared" si="46"/>
        <v>0</v>
      </c>
      <c r="G207">
        <f t="shared" si="40"/>
        <v>0</v>
      </c>
      <c r="H207">
        <f t="shared" si="47"/>
        <v>0</v>
      </c>
      <c r="I207">
        <v>1</v>
      </c>
      <c r="J207" t="e">
        <f t="shared" si="48"/>
        <v>#NUM!</v>
      </c>
      <c r="K207">
        <f t="shared" si="41"/>
        <v>-1.2217251517752175</v>
      </c>
      <c r="L207">
        <v>1</v>
      </c>
      <c r="M207" t="e">
        <f t="shared" si="49"/>
        <v>#NUM!</v>
      </c>
      <c r="N207">
        <f t="shared" si="42"/>
        <v>0</v>
      </c>
      <c r="O207">
        <f t="shared" si="43"/>
        <v>0</v>
      </c>
      <c r="P207" t="e">
        <f t="shared" si="44"/>
        <v>#NUM!</v>
      </c>
    </row>
    <row r="208" spans="3:16" x14ac:dyDescent="0.3">
      <c r="C208">
        <f t="shared" si="45"/>
        <v>0</v>
      </c>
      <c r="D208">
        <v>1.6E-2</v>
      </c>
      <c r="E208">
        <v>3.8158201924077539E-3</v>
      </c>
      <c r="F208">
        <f t="shared" si="46"/>
        <v>0</v>
      </c>
      <c r="G208">
        <f t="shared" si="40"/>
        <v>0</v>
      </c>
      <c r="H208">
        <f t="shared" si="47"/>
        <v>0</v>
      </c>
      <c r="I208">
        <v>1</v>
      </c>
      <c r="J208" t="e">
        <f t="shared" si="48"/>
        <v>#NUM!</v>
      </c>
      <c r="K208">
        <f t="shared" si="41"/>
        <v>-1.2217251517752175</v>
      </c>
      <c r="L208">
        <v>1</v>
      </c>
      <c r="M208" t="e">
        <f t="shared" si="49"/>
        <v>#NUM!</v>
      </c>
      <c r="N208">
        <f t="shared" si="42"/>
        <v>0</v>
      </c>
      <c r="O208">
        <f t="shared" si="43"/>
        <v>0</v>
      </c>
      <c r="P208" t="e">
        <f t="shared" si="44"/>
        <v>#NUM!</v>
      </c>
    </row>
    <row r="209" spans="3:16" x14ac:dyDescent="0.3">
      <c r="C209">
        <f t="shared" si="45"/>
        <v>0</v>
      </c>
      <c r="D209">
        <v>1.6E-2</v>
      </c>
      <c r="E209">
        <v>3.8158201924077539E-3</v>
      </c>
      <c r="F209">
        <f t="shared" si="46"/>
        <v>0</v>
      </c>
      <c r="G209">
        <f t="shared" si="40"/>
        <v>0</v>
      </c>
      <c r="H209">
        <f t="shared" si="47"/>
        <v>0</v>
      </c>
      <c r="I209">
        <v>1</v>
      </c>
      <c r="J209" t="e">
        <f t="shared" si="48"/>
        <v>#NUM!</v>
      </c>
      <c r="K209">
        <f t="shared" si="41"/>
        <v>-1.2217251517752175</v>
      </c>
      <c r="L209">
        <v>1</v>
      </c>
      <c r="M209" t="e">
        <f t="shared" si="49"/>
        <v>#NUM!</v>
      </c>
      <c r="N209">
        <f t="shared" si="42"/>
        <v>0</v>
      </c>
      <c r="O209">
        <f t="shared" si="43"/>
        <v>0</v>
      </c>
      <c r="P209" t="e">
        <f t="shared" si="44"/>
        <v>#NUM!</v>
      </c>
    </row>
    <row r="210" spans="3:16" x14ac:dyDescent="0.3">
      <c r="C210">
        <f t="shared" si="45"/>
        <v>0</v>
      </c>
      <c r="D210">
        <v>1.6E-2</v>
      </c>
      <c r="E210">
        <v>3.8158201924077539E-3</v>
      </c>
      <c r="F210">
        <f t="shared" si="46"/>
        <v>0</v>
      </c>
      <c r="G210">
        <f t="shared" si="40"/>
        <v>0</v>
      </c>
      <c r="H210">
        <f t="shared" si="47"/>
        <v>0</v>
      </c>
      <c r="I210">
        <v>1</v>
      </c>
      <c r="J210" t="e">
        <f t="shared" si="48"/>
        <v>#NUM!</v>
      </c>
      <c r="K210">
        <f t="shared" si="41"/>
        <v>-1.2217251517752175</v>
      </c>
      <c r="L210">
        <v>1</v>
      </c>
      <c r="M210" t="e">
        <f t="shared" si="49"/>
        <v>#NUM!</v>
      </c>
      <c r="N210">
        <f t="shared" si="42"/>
        <v>0</v>
      </c>
      <c r="O210">
        <f t="shared" si="43"/>
        <v>0</v>
      </c>
      <c r="P210" t="e">
        <f t="shared" si="44"/>
        <v>#NUM!</v>
      </c>
    </row>
    <row r="211" spans="3:16" x14ac:dyDescent="0.3">
      <c r="C211">
        <f t="shared" si="45"/>
        <v>0</v>
      </c>
      <c r="D211">
        <v>1.6E-2</v>
      </c>
      <c r="E211">
        <v>3.8158201924077539E-3</v>
      </c>
      <c r="F211">
        <f t="shared" si="46"/>
        <v>0</v>
      </c>
      <c r="G211">
        <f t="shared" si="40"/>
        <v>0</v>
      </c>
      <c r="H211">
        <f t="shared" si="47"/>
        <v>0</v>
      </c>
      <c r="I211">
        <v>1</v>
      </c>
      <c r="J211" t="e">
        <f t="shared" si="48"/>
        <v>#NUM!</v>
      </c>
      <c r="K211">
        <f t="shared" si="41"/>
        <v>-1.2217251517752175</v>
      </c>
      <c r="L211">
        <v>1</v>
      </c>
      <c r="M211" t="e">
        <f t="shared" si="49"/>
        <v>#NUM!</v>
      </c>
      <c r="N211">
        <f t="shared" si="42"/>
        <v>0</v>
      </c>
      <c r="O211">
        <f t="shared" si="43"/>
        <v>0</v>
      </c>
      <c r="P211" t="e">
        <f t="shared" si="44"/>
        <v>#NUM!</v>
      </c>
    </row>
    <row r="212" spans="3:16" x14ac:dyDescent="0.3">
      <c r="C212">
        <f t="shared" ref="C212:C275" si="50">A212*B212</f>
        <v>0</v>
      </c>
      <c r="D212">
        <v>1.6E-2</v>
      </c>
      <c r="E212">
        <v>3.8158201924077539E-3</v>
      </c>
      <c r="F212">
        <f t="shared" si="46"/>
        <v>0</v>
      </c>
      <c r="G212">
        <f t="shared" ref="G212:G275" si="51">-B212</f>
        <v>0</v>
      </c>
      <c r="H212">
        <f t="shared" ref="H212:H275" si="52">-C212*200</f>
        <v>0</v>
      </c>
      <c r="I212">
        <v>1</v>
      </c>
      <c r="J212" t="e">
        <f t="shared" si="48"/>
        <v>#NUM!</v>
      </c>
      <c r="K212">
        <f t="shared" ref="K212:K275" si="53">((-G212)-$N$2)</f>
        <v>-1.2217251517752175</v>
      </c>
      <c r="L212">
        <v>1</v>
      </c>
      <c r="M212" t="e">
        <f t="shared" si="49"/>
        <v>#NUM!</v>
      </c>
      <c r="N212">
        <f t="shared" ref="N212:N275" si="54">D212*A212</f>
        <v>0</v>
      </c>
      <c r="O212">
        <f t="shared" ref="O212:O275" si="55">E212*A212</f>
        <v>0</v>
      </c>
      <c r="P212" t="e">
        <f t="shared" ref="P212:P275" si="56">-K212-M212-N212-O212</f>
        <v>#NUM!</v>
      </c>
    </row>
    <row r="213" spans="3:16" x14ac:dyDescent="0.3">
      <c r="C213">
        <f t="shared" si="50"/>
        <v>0</v>
      </c>
      <c r="D213">
        <v>1.6E-2</v>
      </c>
      <c r="E213">
        <v>3.8158201924077539E-3</v>
      </c>
      <c r="F213">
        <f t="shared" si="46"/>
        <v>0</v>
      </c>
      <c r="G213">
        <f t="shared" si="51"/>
        <v>0</v>
      </c>
      <c r="H213">
        <f t="shared" si="52"/>
        <v>0</v>
      </c>
      <c r="I213">
        <v>1</v>
      </c>
      <c r="J213" t="e">
        <f t="shared" si="48"/>
        <v>#NUM!</v>
      </c>
      <c r="K213">
        <f t="shared" si="53"/>
        <v>-1.2217251517752175</v>
      </c>
      <c r="L213">
        <v>1</v>
      </c>
      <c r="M213" t="e">
        <f t="shared" si="49"/>
        <v>#NUM!</v>
      </c>
      <c r="N213">
        <f t="shared" si="54"/>
        <v>0</v>
      </c>
      <c r="O213">
        <f t="shared" si="55"/>
        <v>0</v>
      </c>
      <c r="P213" t="e">
        <f t="shared" si="56"/>
        <v>#NUM!</v>
      </c>
    </row>
    <row r="214" spans="3:16" x14ac:dyDescent="0.3">
      <c r="C214">
        <f t="shared" si="50"/>
        <v>0</v>
      </c>
      <c r="D214">
        <v>1.6E-2</v>
      </c>
      <c r="E214">
        <v>3.8158201924077539E-3</v>
      </c>
      <c r="F214">
        <f t="shared" si="46"/>
        <v>0</v>
      </c>
      <c r="G214">
        <f t="shared" si="51"/>
        <v>0</v>
      </c>
      <c r="H214">
        <f t="shared" si="52"/>
        <v>0</v>
      </c>
      <c r="I214">
        <v>1</v>
      </c>
      <c r="J214" t="e">
        <f t="shared" si="48"/>
        <v>#NUM!</v>
      </c>
      <c r="K214">
        <f t="shared" si="53"/>
        <v>-1.2217251517752175</v>
      </c>
      <c r="L214">
        <v>1</v>
      </c>
      <c r="M214" t="e">
        <f t="shared" si="49"/>
        <v>#NUM!</v>
      </c>
      <c r="N214">
        <f t="shared" si="54"/>
        <v>0</v>
      </c>
      <c r="O214">
        <f t="shared" si="55"/>
        <v>0</v>
      </c>
      <c r="P214" t="e">
        <f t="shared" si="56"/>
        <v>#NUM!</v>
      </c>
    </row>
    <row r="215" spans="3:16" x14ac:dyDescent="0.3">
      <c r="C215">
        <f t="shared" si="50"/>
        <v>0</v>
      </c>
      <c r="D215">
        <v>1.6E-2</v>
      </c>
      <c r="E215">
        <v>3.8158201924077539E-3</v>
      </c>
      <c r="F215">
        <f t="shared" si="46"/>
        <v>0</v>
      </c>
      <c r="G215">
        <f t="shared" si="51"/>
        <v>0</v>
      </c>
      <c r="H215">
        <f t="shared" si="52"/>
        <v>0</v>
      </c>
      <c r="I215">
        <v>1</v>
      </c>
      <c r="J215" t="e">
        <f t="shared" si="48"/>
        <v>#NUM!</v>
      </c>
      <c r="K215">
        <f t="shared" si="53"/>
        <v>-1.2217251517752175</v>
      </c>
      <c r="L215">
        <v>1</v>
      </c>
      <c r="M215" t="e">
        <f t="shared" si="49"/>
        <v>#NUM!</v>
      </c>
      <c r="N215">
        <f t="shared" si="54"/>
        <v>0</v>
      </c>
      <c r="O215">
        <f t="shared" si="55"/>
        <v>0</v>
      </c>
      <c r="P215" t="e">
        <f t="shared" si="56"/>
        <v>#NUM!</v>
      </c>
    </row>
    <row r="216" spans="3:16" x14ac:dyDescent="0.3">
      <c r="C216">
        <f t="shared" si="50"/>
        <v>0</v>
      </c>
      <c r="D216">
        <v>1.6E-2</v>
      </c>
      <c r="E216">
        <v>3.8158201924077539E-3</v>
      </c>
      <c r="F216">
        <f t="shared" si="46"/>
        <v>0</v>
      </c>
      <c r="G216">
        <f t="shared" si="51"/>
        <v>0</v>
      </c>
      <c r="H216">
        <f t="shared" si="52"/>
        <v>0</v>
      </c>
      <c r="I216">
        <v>1</v>
      </c>
      <c r="J216" t="e">
        <f t="shared" si="48"/>
        <v>#NUM!</v>
      </c>
      <c r="K216">
        <f t="shared" si="53"/>
        <v>-1.2217251517752175</v>
      </c>
      <c r="L216">
        <v>1</v>
      </c>
      <c r="M216" t="e">
        <f t="shared" si="49"/>
        <v>#NUM!</v>
      </c>
      <c r="N216">
        <f t="shared" si="54"/>
        <v>0</v>
      </c>
      <c r="O216">
        <f t="shared" si="55"/>
        <v>0</v>
      </c>
      <c r="P216" t="e">
        <f t="shared" si="56"/>
        <v>#NUM!</v>
      </c>
    </row>
    <row r="217" spans="3:16" x14ac:dyDescent="0.3">
      <c r="C217">
        <f t="shared" si="50"/>
        <v>0</v>
      </c>
      <c r="D217">
        <v>1.6E-2</v>
      </c>
      <c r="E217">
        <v>3.8158201924077539E-3</v>
      </c>
      <c r="F217">
        <f t="shared" si="46"/>
        <v>0</v>
      </c>
      <c r="G217">
        <f t="shared" si="51"/>
        <v>0</v>
      </c>
      <c r="H217">
        <f t="shared" si="52"/>
        <v>0</v>
      </c>
      <c r="I217">
        <v>1</v>
      </c>
      <c r="J217" t="e">
        <f t="shared" si="48"/>
        <v>#NUM!</v>
      </c>
      <c r="K217">
        <f t="shared" si="53"/>
        <v>-1.2217251517752175</v>
      </c>
      <c r="L217">
        <v>1</v>
      </c>
      <c r="M217" t="e">
        <f t="shared" si="49"/>
        <v>#NUM!</v>
      </c>
      <c r="N217">
        <f t="shared" si="54"/>
        <v>0</v>
      </c>
      <c r="O217">
        <f t="shared" si="55"/>
        <v>0</v>
      </c>
      <c r="P217" t="e">
        <f t="shared" si="56"/>
        <v>#NUM!</v>
      </c>
    </row>
    <row r="218" spans="3:16" x14ac:dyDescent="0.3">
      <c r="C218">
        <f t="shared" si="50"/>
        <v>0</v>
      </c>
      <c r="D218">
        <v>1.6E-2</v>
      </c>
      <c r="E218">
        <v>3.8158201924077539E-3</v>
      </c>
      <c r="F218">
        <f t="shared" si="46"/>
        <v>0</v>
      </c>
      <c r="G218">
        <f t="shared" si="51"/>
        <v>0</v>
      </c>
      <c r="H218">
        <f t="shared" si="52"/>
        <v>0</v>
      </c>
      <c r="I218">
        <v>1</v>
      </c>
      <c r="J218" t="e">
        <f t="shared" si="48"/>
        <v>#NUM!</v>
      </c>
      <c r="K218">
        <f t="shared" si="53"/>
        <v>-1.2217251517752175</v>
      </c>
      <c r="L218">
        <v>1</v>
      </c>
      <c r="M218" t="e">
        <f t="shared" si="49"/>
        <v>#NUM!</v>
      </c>
      <c r="N218">
        <f t="shared" si="54"/>
        <v>0</v>
      </c>
      <c r="O218">
        <f t="shared" si="55"/>
        <v>0</v>
      </c>
      <c r="P218" t="e">
        <f t="shared" si="56"/>
        <v>#NUM!</v>
      </c>
    </row>
    <row r="219" spans="3:16" x14ac:dyDescent="0.3">
      <c r="C219">
        <f t="shared" si="50"/>
        <v>0</v>
      </c>
      <c r="D219">
        <v>1.6E-2</v>
      </c>
      <c r="E219">
        <v>3.8158201924077539E-3</v>
      </c>
      <c r="F219">
        <f t="shared" si="46"/>
        <v>0</v>
      </c>
      <c r="G219">
        <f t="shared" si="51"/>
        <v>0</v>
      </c>
      <c r="H219">
        <f t="shared" si="52"/>
        <v>0</v>
      </c>
      <c r="I219">
        <v>1</v>
      </c>
      <c r="J219" t="e">
        <f t="shared" si="48"/>
        <v>#NUM!</v>
      </c>
      <c r="K219">
        <f t="shared" si="53"/>
        <v>-1.2217251517752175</v>
      </c>
      <c r="L219">
        <v>1</v>
      </c>
      <c r="M219" t="e">
        <f t="shared" si="49"/>
        <v>#NUM!</v>
      </c>
      <c r="N219">
        <f t="shared" si="54"/>
        <v>0</v>
      </c>
      <c r="O219">
        <f t="shared" si="55"/>
        <v>0</v>
      </c>
      <c r="P219" t="e">
        <f t="shared" si="56"/>
        <v>#NUM!</v>
      </c>
    </row>
    <row r="220" spans="3:16" x14ac:dyDescent="0.3">
      <c r="C220">
        <f t="shared" si="50"/>
        <v>0</v>
      </c>
      <c r="D220">
        <v>1.6E-2</v>
      </c>
      <c r="E220">
        <v>3.8158201924077539E-3</v>
      </c>
      <c r="F220">
        <f t="shared" si="46"/>
        <v>0</v>
      </c>
      <c r="G220">
        <f t="shared" si="51"/>
        <v>0</v>
      </c>
      <c r="H220">
        <f t="shared" si="52"/>
        <v>0</v>
      </c>
      <c r="I220">
        <v>1</v>
      </c>
      <c r="J220" t="e">
        <f t="shared" si="48"/>
        <v>#NUM!</v>
      </c>
      <c r="K220">
        <f t="shared" si="53"/>
        <v>-1.2217251517752175</v>
      </c>
      <c r="L220">
        <v>1</v>
      </c>
      <c r="M220" t="e">
        <f t="shared" si="49"/>
        <v>#NUM!</v>
      </c>
      <c r="N220">
        <f t="shared" si="54"/>
        <v>0</v>
      </c>
      <c r="O220">
        <f t="shared" si="55"/>
        <v>0</v>
      </c>
      <c r="P220" t="e">
        <f t="shared" si="56"/>
        <v>#NUM!</v>
      </c>
    </row>
    <row r="221" spans="3:16" x14ac:dyDescent="0.3">
      <c r="C221">
        <f t="shared" si="50"/>
        <v>0</v>
      </c>
      <c r="D221">
        <v>1.6E-2</v>
      </c>
      <c r="E221">
        <v>3.8158201924077539E-3</v>
      </c>
      <c r="F221">
        <f t="shared" si="46"/>
        <v>0</v>
      </c>
      <c r="G221">
        <f t="shared" si="51"/>
        <v>0</v>
      </c>
      <c r="H221">
        <f t="shared" si="52"/>
        <v>0</v>
      </c>
      <c r="I221">
        <v>1</v>
      </c>
      <c r="J221" t="e">
        <f t="shared" si="48"/>
        <v>#NUM!</v>
      </c>
      <c r="K221">
        <f t="shared" si="53"/>
        <v>-1.2217251517752175</v>
      </c>
      <c r="L221">
        <v>1</v>
      </c>
      <c r="M221" t="e">
        <f t="shared" si="49"/>
        <v>#NUM!</v>
      </c>
      <c r="N221">
        <f t="shared" si="54"/>
        <v>0</v>
      </c>
      <c r="O221">
        <f t="shared" si="55"/>
        <v>0</v>
      </c>
      <c r="P221" t="e">
        <f t="shared" si="56"/>
        <v>#NUM!</v>
      </c>
    </row>
    <row r="222" spans="3:16" x14ac:dyDescent="0.3">
      <c r="C222">
        <f t="shared" si="50"/>
        <v>0</v>
      </c>
      <c r="D222">
        <v>1.6E-2</v>
      </c>
      <c r="E222">
        <v>3.8158201924077539E-3</v>
      </c>
      <c r="F222">
        <f t="shared" si="46"/>
        <v>0</v>
      </c>
      <c r="G222">
        <f t="shared" si="51"/>
        <v>0</v>
      </c>
      <c r="H222">
        <f t="shared" si="52"/>
        <v>0</v>
      </c>
      <c r="I222">
        <v>1</v>
      </c>
      <c r="J222" t="e">
        <f t="shared" si="48"/>
        <v>#NUM!</v>
      </c>
      <c r="K222">
        <f t="shared" si="53"/>
        <v>-1.2217251517752175</v>
      </c>
      <c r="L222">
        <v>1</v>
      </c>
      <c r="M222" t="e">
        <f t="shared" si="49"/>
        <v>#NUM!</v>
      </c>
      <c r="N222">
        <f t="shared" si="54"/>
        <v>0</v>
      </c>
      <c r="O222">
        <f t="shared" si="55"/>
        <v>0</v>
      </c>
      <c r="P222" t="e">
        <f t="shared" si="56"/>
        <v>#NUM!</v>
      </c>
    </row>
    <row r="223" spans="3:16" x14ac:dyDescent="0.3">
      <c r="C223">
        <f t="shared" si="50"/>
        <v>0</v>
      </c>
      <c r="D223">
        <v>1.6E-2</v>
      </c>
      <c r="E223">
        <v>3.8158201924077539E-3</v>
      </c>
      <c r="F223">
        <f t="shared" si="46"/>
        <v>0</v>
      </c>
      <c r="G223">
        <f t="shared" si="51"/>
        <v>0</v>
      </c>
      <c r="H223">
        <f t="shared" si="52"/>
        <v>0</v>
      </c>
      <c r="I223">
        <v>1</v>
      </c>
      <c r="J223" t="e">
        <f t="shared" si="48"/>
        <v>#NUM!</v>
      </c>
      <c r="K223">
        <f t="shared" si="53"/>
        <v>-1.2217251517752175</v>
      </c>
      <c r="L223">
        <v>1</v>
      </c>
      <c r="M223" t="e">
        <f t="shared" si="49"/>
        <v>#NUM!</v>
      </c>
      <c r="N223">
        <f t="shared" si="54"/>
        <v>0</v>
      </c>
      <c r="O223">
        <f t="shared" si="55"/>
        <v>0</v>
      </c>
      <c r="P223" t="e">
        <f t="shared" si="56"/>
        <v>#NUM!</v>
      </c>
    </row>
    <row r="224" spans="3:16" x14ac:dyDescent="0.3">
      <c r="C224">
        <f t="shared" si="50"/>
        <v>0</v>
      </c>
      <c r="D224">
        <v>1.6E-2</v>
      </c>
      <c r="E224">
        <v>3.8158201924077539E-3</v>
      </c>
      <c r="F224">
        <f t="shared" si="46"/>
        <v>0</v>
      </c>
      <c r="G224">
        <f t="shared" si="51"/>
        <v>0</v>
      </c>
      <c r="H224">
        <f t="shared" si="52"/>
        <v>0</v>
      </c>
      <c r="I224">
        <v>1</v>
      </c>
      <c r="J224" t="e">
        <f t="shared" si="48"/>
        <v>#NUM!</v>
      </c>
      <c r="K224">
        <f t="shared" si="53"/>
        <v>-1.2217251517752175</v>
      </c>
      <c r="L224">
        <v>1</v>
      </c>
      <c r="M224" t="e">
        <f t="shared" si="49"/>
        <v>#NUM!</v>
      </c>
      <c r="N224">
        <f t="shared" si="54"/>
        <v>0</v>
      </c>
      <c r="O224">
        <f t="shared" si="55"/>
        <v>0</v>
      </c>
      <c r="P224" t="e">
        <f t="shared" si="56"/>
        <v>#NUM!</v>
      </c>
    </row>
    <row r="225" spans="3:18" x14ac:dyDescent="0.3">
      <c r="C225">
        <f t="shared" si="50"/>
        <v>0</v>
      </c>
      <c r="D225">
        <v>1.6E-2</v>
      </c>
      <c r="E225">
        <v>3.8158201924077539E-3</v>
      </c>
      <c r="F225">
        <f t="shared" si="46"/>
        <v>0</v>
      </c>
      <c r="G225">
        <f t="shared" si="51"/>
        <v>0</v>
      </c>
      <c r="H225">
        <f t="shared" si="52"/>
        <v>0</v>
      </c>
      <c r="I225">
        <v>1</v>
      </c>
      <c r="J225" t="e">
        <f t="shared" si="48"/>
        <v>#NUM!</v>
      </c>
      <c r="K225">
        <f t="shared" si="53"/>
        <v>-1.2217251517752175</v>
      </c>
      <c r="L225">
        <v>1</v>
      </c>
      <c r="M225" t="e">
        <f t="shared" si="49"/>
        <v>#NUM!</v>
      </c>
      <c r="N225">
        <f t="shared" si="54"/>
        <v>0</v>
      </c>
      <c r="O225">
        <f t="shared" si="55"/>
        <v>0</v>
      </c>
      <c r="P225" t="e">
        <f t="shared" si="56"/>
        <v>#NUM!</v>
      </c>
      <c r="R225" t="e">
        <f>O225+N225+M225</f>
        <v>#NUM!</v>
      </c>
    </row>
    <row r="226" spans="3:18" x14ac:dyDescent="0.3">
      <c r="C226">
        <f t="shared" si="50"/>
        <v>0</v>
      </c>
      <c r="D226">
        <v>1.6E-2</v>
      </c>
      <c r="E226">
        <v>3.8158201924077539E-3</v>
      </c>
      <c r="F226">
        <f t="shared" si="46"/>
        <v>0</v>
      </c>
      <c r="G226">
        <f t="shared" si="51"/>
        <v>0</v>
      </c>
      <c r="H226">
        <f t="shared" si="52"/>
        <v>0</v>
      </c>
      <c r="I226">
        <v>1</v>
      </c>
      <c r="J226" t="e">
        <f t="shared" si="48"/>
        <v>#NUM!</v>
      </c>
      <c r="K226">
        <f t="shared" si="53"/>
        <v>-1.2217251517752175</v>
      </c>
      <c r="L226">
        <v>1</v>
      </c>
      <c r="M226" t="e">
        <f t="shared" si="49"/>
        <v>#NUM!</v>
      </c>
      <c r="N226">
        <f t="shared" si="54"/>
        <v>0</v>
      </c>
      <c r="O226">
        <f t="shared" si="55"/>
        <v>0</v>
      </c>
      <c r="P226" t="e">
        <f t="shared" si="56"/>
        <v>#NUM!</v>
      </c>
    </row>
    <row r="227" spans="3:18" x14ac:dyDescent="0.3">
      <c r="C227">
        <f t="shared" si="50"/>
        <v>0</v>
      </c>
      <c r="D227">
        <v>1.6E-2</v>
      </c>
      <c r="E227">
        <v>3.8158201924077539E-3</v>
      </c>
      <c r="F227">
        <f t="shared" si="46"/>
        <v>0</v>
      </c>
      <c r="G227">
        <f t="shared" si="51"/>
        <v>0</v>
      </c>
      <c r="H227">
        <f t="shared" si="52"/>
        <v>0</v>
      </c>
      <c r="I227">
        <v>1</v>
      </c>
      <c r="J227" t="e">
        <f t="shared" si="48"/>
        <v>#NUM!</v>
      </c>
      <c r="K227">
        <f t="shared" si="53"/>
        <v>-1.2217251517752175</v>
      </c>
      <c r="L227">
        <v>1</v>
      </c>
      <c r="M227" t="e">
        <f t="shared" si="49"/>
        <v>#NUM!</v>
      </c>
      <c r="N227">
        <f t="shared" si="54"/>
        <v>0</v>
      </c>
      <c r="O227">
        <f t="shared" si="55"/>
        <v>0</v>
      </c>
      <c r="P227" t="e">
        <f t="shared" si="56"/>
        <v>#NUM!</v>
      </c>
    </row>
    <row r="228" spans="3:18" x14ac:dyDescent="0.3">
      <c r="C228">
        <f t="shared" si="50"/>
        <v>0</v>
      </c>
      <c r="D228">
        <v>1.6E-2</v>
      </c>
      <c r="E228">
        <v>3.8158201924077539E-3</v>
      </c>
      <c r="F228">
        <f t="shared" si="46"/>
        <v>0</v>
      </c>
      <c r="G228">
        <f t="shared" si="51"/>
        <v>0</v>
      </c>
      <c r="H228">
        <f t="shared" si="52"/>
        <v>0</v>
      </c>
      <c r="I228">
        <v>1</v>
      </c>
      <c r="J228" t="e">
        <f t="shared" si="48"/>
        <v>#NUM!</v>
      </c>
      <c r="K228">
        <f t="shared" si="53"/>
        <v>-1.2217251517752175</v>
      </c>
      <c r="L228">
        <v>1</v>
      </c>
      <c r="M228" t="e">
        <f t="shared" si="49"/>
        <v>#NUM!</v>
      </c>
      <c r="N228">
        <f t="shared" si="54"/>
        <v>0</v>
      </c>
      <c r="O228">
        <f t="shared" si="55"/>
        <v>0</v>
      </c>
      <c r="P228" t="e">
        <f t="shared" si="56"/>
        <v>#NUM!</v>
      </c>
    </row>
    <row r="229" spans="3:18" x14ac:dyDescent="0.3">
      <c r="C229">
        <f t="shared" si="50"/>
        <v>0</v>
      </c>
      <c r="D229">
        <v>1.6E-2</v>
      </c>
      <c r="E229">
        <v>3.8158201924077539E-3</v>
      </c>
      <c r="F229">
        <f t="shared" si="46"/>
        <v>0</v>
      </c>
      <c r="G229">
        <f t="shared" si="51"/>
        <v>0</v>
      </c>
      <c r="H229">
        <f t="shared" si="52"/>
        <v>0</v>
      </c>
      <c r="I229">
        <v>1</v>
      </c>
      <c r="J229" t="e">
        <f t="shared" si="48"/>
        <v>#NUM!</v>
      </c>
      <c r="K229">
        <f t="shared" si="53"/>
        <v>-1.2217251517752175</v>
      </c>
      <c r="L229">
        <v>1</v>
      </c>
      <c r="M229" t="e">
        <f t="shared" si="49"/>
        <v>#NUM!</v>
      </c>
      <c r="N229">
        <f t="shared" si="54"/>
        <v>0</v>
      </c>
      <c r="O229">
        <f t="shared" si="55"/>
        <v>0</v>
      </c>
      <c r="P229" t="e">
        <f t="shared" si="56"/>
        <v>#NUM!</v>
      </c>
    </row>
    <row r="230" spans="3:18" x14ac:dyDescent="0.3">
      <c r="C230">
        <f t="shared" si="50"/>
        <v>0</v>
      </c>
      <c r="D230">
        <v>1.6E-2</v>
      </c>
      <c r="E230">
        <v>3.8158201924077539E-3</v>
      </c>
      <c r="F230">
        <f t="shared" si="46"/>
        <v>0</v>
      </c>
      <c r="G230">
        <f t="shared" si="51"/>
        <v>0</v>
      </c>
      <c r="H230">
        <f t="shared" si="52"/>
        <v>0</v>
      </c>
      <c r="I230">
        <v>1</v>
      </c>
      <c r="J230" t="e">
        <f t="shared" si="48"/>
        <v>#NUM!</v>
      </c>
      <c r="K230">
        <f t="shared" si="53"/>
        <v>-1.2217251517752175</v>
      </c>
      <c r="L230">
        <v>1</v>
      </c>
      <c r="M230" t="e">
        <f t="shared" si="49"/>
        <v>#NUM!</v>
      </c>
      <c r="N230">
        <f t="shared" si="54"/>
        <v>0</v>
      </c>
      <c r="O230">
        <f t="shared" si="55"/>
        <v>0</v>
      </c>
      <c r="P230" t="e">
        <f t="shared" si="56"/>
        <v>#NUM!</v>
      </c>
    </row>
    <row r="231" spans="3:18" x14ac:dyDescent="0.3">
      <c r="C231">
        <f t="shared" si="50"/>
        <v>0</v>
      </c>
      <c r="D231">
        <v>1.6E-2</v>
      </c>
      <c r="E231">
        <v>3.8158201924077539E-3</v>
      </c>
      <c r="F231">
        <f t="shared" si="46"/>
        <v>0</v>
      </c>
      <c r="G231">
        <f t="shared" si="51"/>
        <v>0</v>
      </c>
      <c r="H231">
        <f t="shared" si="52"/>
        <v>0</v>
      </c>
      <c r="I231">
        <v>1</v>
      </c>
      <c r="J231" t="e">
        <f t="shared" si="48"/>
        <v>#NUM!</v>
      </c>
      <c r="K231">
        <f t="shared" si="53"/>
        <v>-1.2217251517752175</v>
      </c>
      <c r="L231">
        <v>1</v>
      </c>
      <c r="M231" t="e">
        <f t="shared" si="49"/>
        <v>#NUM!</v>
      </c>
      <c r="N231">
        <f t="shared" si="54"/>
        <v>0</v>
      </c>
      <c r="O231">
        <f t="shared" si="55"/>
        <v>0</v>
      </c>
      <c r="P231" t="e">
        <f t="shared" si="56"/>
        <v>#NUM!</v>
      </c>
    </row>
    <row r="232" spans="3:18" x14ac:dyDescent="0.3">
      <c r="C232">
        <f t="shared" si="50"/>
        <v>0</v>
      </c>
      <c r="D232">
        <v>1.6E-2</v>
      </c>
      <c r="E232">
        <v>3.8158201924077539E-3</v>
      </c>
      <c r="F232">
        <f t="shared" si="46"/>
        <v>0</v>
      </c>
      <c r="G232">
        <f t="shared" si="51"/>
        <v>0</v>
      </c>
      <c r="H232">
        <f t="shared" si="52"/>
        <v>0</v>
      </c>
      <c r="I232">
        <v>1</v>
      </c>
      <c r="J232" t="e">
        <f t="shared" si="48"/>
        <v>#NUM!</v>
      </c>
      <c r="K232">
        <f t="shared" si="53"/>
        <v>-1.2217251517752175</v>
      </c>
      <c r="L232">
        <v>1</v>
      </c>
      <c r="M232" t="e">
        <f t="shared" si="49"/>
        <v>#NUM!</v>
      </c>
      <c r="N232">
        <f t="shared" si="54"/>
        <v>0</v>
      </c>
      <c r="O232">
        <f t="shared" si="55"/>
        <v>0</v>
      </c>
      <c r="P232" t="e">
        <f t="shared" si="56"/>
        <v>#NUM!</v>
      </c>
    </row>
    <row r="233" spans="3:18" x14ac:dyDescent="0.3">
      <c r="C233">
        <f t="shared" si="50"/>
        <v>0</v>
      </c>
      <c r="D233">
        <v>1.6E-2</v>
      </c>
      <c r="E233">
        <v>3.8158201924077539E-3</v>
      </c>
      <c r="F233">
        <f t="shared" si="46"/>
        <v>0</v>
      </c>
      <c r="G233">
        <f t="shared" si="51"/>
        <v>0</v>
      </c>
      <c r="H233">
        <f t="shared" si="52"/>
        <v>0</v>
      </c>
      <c r="I233">
        <v>1</v>
      </c>
      <c r="J233" t="e">
        <f t="shared" si="48"/>
        <v>#NUM!</v>
      </c>
      <c r="K233">
        <f t="shared" si="53"/>
        <v>-1.2217251517752175</v>
      </c>
      <c r="L233">
        <v>1</v>
      </c>
      <c r="M233" t="e">
        <f t="shared" si="49"/>
        <v>#NUM!</v>
      </c>
      <c r="N233">
        <f t="shared" si="54"/>
        <v>0</v>
      </c>
      <c r="O233">
        <f t="shared" si="55"/>
        <v>0</v>
      </c>
      <c r="P233" t="e">
        <f t="shared" si="56"/>
        <v>#NUM!</v>
      </c>
    </row>
    <row r="234" spans="3:18" x14ac:dyDescent="0.3">
      <c r="C234">
        <f t="shared" si="50"/>
        <v>0</v>
      </c>
      <c r="D234">
        <v>1.6E-2</v>
      </c>
      <c r="E234">
        <v>3.8158201924077539E-3</v>
      </c>
      <c r="F234">
        <f t="shared" si="46"/>
        <v>0</v>
      </c>
      <c r="G234">
        <f t="shared" si="51"/>
        <v>0</v>
      </c>
      <c r="H234">
        <f t="shared" si="52"/>
        <v>0</v>
      </c>
      <c r="I234">
        <v>1</v>
      </c>
      <c r="J234" t="e">
        <f t="shared" si="48"/>
        <v>#NUM!</v>
      </c>
      <c r="K234">
        <f t="shared" si="53"/>
        <v>-1.2217251517752175</v>
      </c>
      <c r="L234">
        <v>1</v>
      </c>
      <c r="M234" t="e">
        <f t="shared" si="49"/>
        <v>#NUM!</v>
      </c>
      <c r="N234">
        <f t="shared" si="54"/>
        <v>0</v>
      </c>
      <c r="O234">
        <f t="shared" si="55"/>
        <v>0</v>
      </c>
      <c r="P234" t="e">
        <f t="shared" si="56"/>
        <v>#NUM!</v>
      </c>
    </row>
    <row r="235" spans="3:18" x14ac:dyDescent="0.3">
      <c r="C235">
        <f t="shared" si="50"/>
        <v>0</v>
      </c>
      <c r="D235">
        <v>1.6E-2</v>
      </c>
      <c r="E235">
        <v>3.8158201924077539E-3</v>
      </c>
      <c r="F235">
        <f t="shared" si="46"/>
        <v>0</v>
      </c>
      <c r="G235">
        <f t="shared" si="51"/>
        <v>0</v>
      </c>
      <c r="H235">
        <f t="shared" si="52"/>
        <v>0</v>
      </c>
      <c r="I235">
        <v>1</v>
      </c>
      <c r="J235" t="e">
        <f t="shared" si="48"/>
        <v>#NUM!</v>
      </c>
      <c r="K235">
        <f t="shared" si="53"/>
        <v>-1.2217251517752175</v>
      </c>
      <c r="L235">
        <v>1</v>
      </c>
      <c r="M235" t="e">
        <f t="shared" si="49"/>
        <v>#NUM!</v>
      </c>
      <c r="N235">
        <f t="shared" si="54"/>
        <v>0</v>
      </c>
      <c r="O235">
        <f t="shared" si="55"/>
        <v>0</v>
      </c>
      <c r="P235" t="e">
        <f t="shared" si="56"/>
        <v>#NUM!</v>
      </c>
    </row>
    <row r="236" spans="3:18" x14ac:dyDescent="0.3">
      <c r="C236">
        <f t="shared" si="50"/>
        <v>0</v>
      </c>
      <c r="D236">
        <v>1.6E-2</v>
      </c>
      <c r="E236">
        <v>3.8158201924077539E-3</v>
      </c>
      <c r="F236">
        <f t="shared" si="46"/>
        <v>0</v>
      </c>
      <c r="G236">
        <f t="shared" si="51"/>
        <v>0</v>
      </c>
      <c r="H236">
        <f t="shared" si="52"/>
        <v>0</v>
      </c>
      <c r="I236">
        <v>1</v>
      </c>
      <c r="J236" t="e">
        <f t="shared" si="48"/>
        <v>#NUM!</v>
      </c>
      <c r="K236">
        <f t="shared" si="53"/>
        <v>-1.2217251517752175</v>
      </c>
      <c r="L236">
        <v>1</v>
      </c>
      <c r="M236" t="e">
        <f t="shared" si="49"/>
        <v>#NUM!</v>
      </c>
      <c r="N236">
        <f t="shared" si="54"/>
        <v>0</v>
      </c>
      <c r="O236">
        <f t="shared" si="55"/>
        <v>0</v>
      </c>
      <c r="P236" t="e">
        <f t="shared" si="56"/>
        <v>#NUM!</v>
      </c>
    </row>
    <row r="237" spans="3:18" x14ac:dyDescent="0.3">
      <c r="C237">
        <f t="shared" si="50"/>
        <v>0</v>
      </c>
      <c r="D237">
        <v>1.6E-2</v>
      </c>
      <c r="E237">
        <v>3.8158201924077539E-3</v>
      </c>
      <c r="F237">
        <f t="shared" si="46"/>
        <v>0</v>
      </c>
      <c r="G237">
        <f t="shared" si="51"/>
        <v>0</v>
      </c>
      <c r="H237">
        <f t="shared" si="52"/>
        <v>0</v>
      </c>
      <c r="I237">
        <v>1</v>
      </c>
      <c r="J237" t="e">
        <f t="shared" si="48"/>
        <v>#NUM!</v>
      </c>
      <c r="K237">
        <f t="shared" si="53"/>
        <v>-1.2217251517752175</v>
      </c>
      <c r="L237">
        <v>1</v>
      </c>
      <c r="M237" t="e">
        <f t="shared" si="49"/>
        <v>#NUM!</v>
      </c>
      <c r="N237">
        <f t="shared" si="54"/>
        <v>0</v>
      </c>
      <c r="O237">
        <f t="shared" si="55"/>
        <v>0</v>
      </c>
      <c r="P237" t="e">
        <f t="shared" si="56"/>
        <v>#NUM!</v>
      </c>
    </row>
    <row r="238" spans="3:18" x14ac:dyDescent="0.3">
      <c r="C238">
        <f t="shared" si="50"/>
        <v>0</v>
      </c>
      <c r="D238">
        <v>1.6E-2</v>
      </c>
      <c r="E238">
        <v>3.8158201924077539E-3</v>
      </c>
      <c r="F238">
        <f t="shared" si="46"/>
        <v>0</v>
      </c>
      <c r="G238">
        <f t="shared" si="51"/>
        <v>0</v>
      </c>
      <c r="H238">
        <f t="shared" si="52"/>
        <v>0</v>
      </c>
      <c r="I238">
        <v>1</v>
      </c>
      <c r="J238" t="e">
        <f t="shared" si="48"/>
        <v>#NUM!</v>
      </c>
      <c r="K238">
        <f t="shared" si="53"/>
        <v>-1.2217251517752175</v>
      </c>
      <c r="L238">
        <v>1</v>
      </c>
      <c r="M238" t="e">
        <f t="shared" si="49"/>
        <v>#NUM!</v>
      </c>
      <c r="N238">
        <f t="shared" si="54"/>
        <v>0</v>
      </c>
      <c r="O238">
        <f t="shared" si="55"/>
        <v>0</v>
      </c>
      <c r="P238" t="e">
        <f t="shared" si="56"/>
        <v>#NUM!</v>
      </c>
    </row>
    <row r="239" spans="3:18" x14ac:dyDescent="0.3">
      <c r="C239">
        <f t="shared" si="50"/>
        <v>0</v>
      </c>
      <c r="D239">
        <v>1.6E-2</v>
      </c>
      <c r="E239">
        <v>3.8158201924077539E-3</v>
      </c>
      <c r="F239">
        <f t="shared" si="46"/>
        <v>0</v>
      </c>
      <c r="G239">
        <f t="shared" si="51"/>
        <v>0</v>
      </c>
      <c r="H239">
        <f t="shared" si="52"/>
        <v>0</v>
      </c>
      <c r="I239">
        <v>1</v>
      </c>
      <c r="J239" t="e">
        <f t="shared" si="48"/>
        <v>#NUM!</v>
      </c>
      <c r="K239">
        <f t="shared" si="53"/>
        <v>-1.2217251517752175</v>
      </c>
      <c r="L239">
        <v>1</v>
      </c>
      <c r="M239" t="e">
        <f t="shared" si="49"/>
        <v>#NUM!</v>
      </c>
      <c r="N239">
        <f t="shared" si="54"/>
        <v>0</v>
      </c>
      <c r="O239">
        <f t="shared" si="55"/>
        <v>0</v>
      </c>
      <c r="P239" t="e">
        <f t="shared" si="56"/>
        <v>#NUM!</v>
      </c>
    </row>
    <row r="240" spans="3:18" x14ac:dyDescent="0.3">
      <c r="C240">
        <f t="shared" si="50"/>
        <v>0</v>
      </c>
      <c r="D240">
        <v>1.6E-2</v>
      </c>
      <c r="E240">
        <v>3.8158201924077539E-3</v>
      </c>
      <c r="F240">
        <f t="shared" si="46"/>
        <v>0</v>
      </c>
      <c r="G240">
        <f t="shared" si="51"/>
        <v>0</v>
      </c>
      <c r="H240">
        <f t="shared" si="52"/>
        <v>0</v>
      </c>
      <c r="I240">
        <v>1</v>
      </c>
      <c r="J240" t="e">
        <f t="shared" si="48"/>
        <v>#NUM!</v>
      </c>
      <c r="K240">
        <f t="shared" si="53"/>
        <v>-1.2217251517752175</v>
      </c>
      <c r="L240">
        <v>1</v>
      </c>
      <c r="M240" t="e">
        <f t="shared" si="49"/>
        <v>#NUM!</v>
      </c>
      <c r="N240">
        <f t="shared" si="54"/>
        <v>0</v>
      </c>
      <c r="O240">
        <f t="shared" si="55"/>
        <v>0</v>
      </c>
      <c r="P240" t="e">
        <f t="shared" si="56"/>
        <v>#NUM!</v>
      </c>
    </row>
    <row r="241" spans="3:16" x14ac:dyDescent="0.3">
      <c r="C241">
        <f t="shared" si="50"/>
        <v>0</v>
      </c>
      <c r="D241">
        <v>1.6E-2</v>
      </c>
      <c r="E241">
        <v>3.8158201924077539E-3</v>
      </c>
      <c r="F241">
        <f t="shared" si="46"/>
        <v>0</v>
      </c>
      <c r="G241">
        <f t="shared" si="51"/>
        <v>0</v>
      </c>
      <c r="H241">
        <f t="shared" si="52"/>
        <v>0</v>
      </c>
      <c r="I241">
        <v>1</v>
      </c>
      <c r="J241" t="e">
        <f t="shared" si="48"/>
        <v>#NUM!</v>
      </c>
      <c r="K241">
        <f t="shared" si="53"/>
        <v>-1.2217251517752175</v>
      </c>
      <c r="L241">
        <v>1</v>
      </c>
      <c r="M241" t="e">
        <f t="shared" si="49"/>
        <v>#NUM!</v>
      </c>
      <c r="N241">
        <f t="shared" si="54"/>
        <v>0</v>
      </c>
      <c r="O241">
        <f t="shared" si="55"/>
        <v>0</v>
      </c>
      <c r="P241" t="e">
        <f t="shared" si="56"/>
        <v>#NUM!</v>
      </c>
    </row>
    <row r="242" spans="3:16" x14ac:dyDescent="0.3">
      <c r="C242">
        <f t="shared" si="50"/>
        <v>0</v>
      </c>
      <c r="D242">
        <v>1.6E-2</v>
      </c>
      <c r="E242">
        <v>3.8158201924077539E-3</v>
      </c>
      <c r="F242">
        <f t="shared" si="46"/>
        <v>0</v>
      </c>
      <c r="G242">
        <f t="shared" si="51"/>
        <v>0</v>
      </c>
      <c r="H242">
        <f t="shared" si="52"/>
        <v>0</v>
      </c>
      <c r="I242">
        <v>1</v>
      </c>
      <c r="J242" t="e">
        <f t="shared" si="48"/>
        <v>#NUM!</v>
      </c>
      <c r="K242">
        <f t="shared" si="53"/>
        <v>-1.2217251517752175</v>
      </c>
      <c r="L242">
        <v>1</v>
      </c>
      <c r="M242" t="e">
        <f t="shared" si="49"/>
        <v>#NUM!</v>
      </c>
      <c r="N242">
        <f t="shared" si="54"/>
        <v>0</v>
      </c>
      <c r="O242">
        <f t="shared" si="55"/>
        <v>0</v>
      </c>
      <c r="P242" t="e">
        <f t="shared" si="56"/>
        <v>#NUM!</v>
      </c>
    </row>
    <row r="243" spans="3:16" x14ac:dyDescent="0.3">
      <c r="C243">
        <f t="shared" si="50"/>
        <v>0</v>
      </c>
      <c r="D243">
        <v>1.6E-2</v>
      </c>
      <c r="E243">
        <v>3.8158201924077539E-3</v>
      </c>
      <c r="F243">
        <f t="shared" si="46"/>
        <v>0</v>
      </c>
      <c r="G243">
        <f t="shared" si="51"/>
        <v>0</v>
      </c>
      <c r="H243">
        <f t="shared" si="52"/>
        <v>0</v>
      </c>
      <c r="I243">
        <v>1</v>
      </c>
      <c r="J243" t="e">
        <f t="shared" si="48"/>
        <v>#NUM!</v>
      </c>
      <c r="K243">
        <f t="shared" si="53"/>
        <v>-1.2217251517752175</v>
      </c>
      <c r="L243">
        <v>1</v>
      </c>
      <c r="M243" t="e">
        <f t="shared" si="49"/>
        <v>#NUM!</v>
      </c>
      <c r="N243">
        <f t="shared" si="54"/>
        <v>0</v>
      </c>
      <c r="O243">
        <f t="shared" si="55"/>
        <v>0</v>
      </c>
      <c r="P243" t="e">
        <f t="shared" si="56"/>
        <v>#NUM!</v>
      </c>
    </row>
    <row r="244" spans="3:16" x14ac:dyDescent="0.3">
      <c r="C244">
        <f t="shared" si="50"/>
        <v>0</v>
      </c>
      <c r="D244">
        <v>1.6E-2</v>
      </c>
      <c r="E244">
        <v>3.8158201924077539E-3</v>
      </c>
      <c r="F244">
        <f t="shared" si="46"/>
        <v>0</v>
      </c>
      <c r="G244">
        <f t="shared" si="51"/>
        <v>0</v>
      </c>
      <c r="H244">
        <f t="shared" si="52"/>
        <v>0</v>
      </c>
      <c r="I244">
        <v>1</v>
      </c>
      <c r="J244" t="e">
        <f t="shared" si="48"/>
        <v>#NUM!</v>
      </c>
      <c r="K244">
        <f t="shared" si="53"/>
        <v>-1.2217251517752175</v>
      </c>
      <c r="L244">
        <v>1</v>
      </c>
      <c r="M244" t="e">
        <f t="shared" si="49"/>
        <v>#NUM!</v>
      </c>
      <c r="N244">
        <f t="shared" si="54"/>
        <v>0</v>
      </c>
      <c r="O244">
        <f t="shared" si="55"/>
        <v>0</v>
      </c>
      <c r="P244" t="e">
        <f t="shared" si="56"/>
        <v>#NUM!</v>
      </c>
    </row>
    <row r="245" spans="3:16" x14ac:dyDescent="0.3">
      <c r="C245">
        <f t="shared" si="50"/>
        <v>0</v>
      </c>
      <c r="D245">
        <v>1.6E-2</v>
      </c>
      <c r="E245">
        <v>3.8158201924077539E-3</v>
      </c>
      <c r="F245">
        <f t="shared" si="46"/>
        <v>0</v>
      </c>
      <c r="G245">
        <f t="shared" si="51"/>
        <v>0</v>
      </c>
      <c r="H245">
        <f t="shared" si="52"/>
        <v>0</v>
      </c>
      <c r="I245">
        <v>1</v>
      </c>
      <c r="J245" t="e">
        <f t="shared" si="48"/>
        <v>#NUM!</v>
      </c>
      <c r="K245">
        <f t="shared" si="53"/>
        <v>-1.2217251517752175</v>
      </c>
      <c r="L245">
        <v>1</v>
      </c>
      <c r="M245" t="e">
        <f t="shared" si="49"/>
        <v>#NUM!</v>
      </c>
      <c r="N245">
        <f t="shared" si="54"/>
        <v>0</v>
      </c>
      <c r="O245">
        <f t="shared" si="55"/>
        <v>0</v>
      </c>
      <c r="P245" t="e">
        <f t="shared" si="56"/>
        <v>#NUM!</v>
      </c>
    </row>
    <row r="246" spans="3:16" x14ac:dyDescent="0.3">
      <c r="C246">
        <f t="shared" si="50"/>
        <v>0</v>
      </c>
      <c r="D246">
        <v>1.6E-2</v>
      </c>
      <c r="E246">
        <v>3.8158201924077539E-3</v>
      </c>
      <c r="F246">
        <f t="shared" si="46"/>
        <v>0</v>
      </c>
      <c r="G246">
        <f t="shared" si="51"/>
        <v>0</v>
      </c>
      <c r="H246">
        <f t="shared" si="52"/>
        <v>0</v>
      </c>
      <c r="I246">
        <v>1</v>
      </c>
      <c r="J246" t="e">
        <f t="shared" si="48"/>
        <v>#NUM!</v>
      </c>
      <c r="K246">
        <f t="shared" si="53"/>
        <v>-1.2217251517752175</v>
      </c>
      <c r="L246">
        <v>1</v>
      </c>
      <c r="M246" t="e">
        <f t="shared" si="49"/>
        <v>#NUM!</v>
      </c>
      <c r="N246">
        <f t="shared" si="54"/>
        <v>0</v>
      </c>
      <c r="O246">
        <f t="shared" si="55"/>
        <v>0</v>
      </c>
      <c r="P246" t="e">
        <f t="shared" si="56"/>
        <v>#NUM!</v>
      </c>
    </row>
    <row r="247" spans="3:16" x14ac:dyDescent="0.3">
      <c r="C247">
        <f t="shared" si="50"/>
        <v>0</v>
      </c>
      <c r="D247">
        <v>1.6E-2</v>
      </c>
      <c r="E247">
        <v>3.8158201924077539E-3</v>
      </c>
      <c r="F247">
        <f t="shared" si="46"/>
        <v>0</v>
      </c>
      <c r="G247">
        <f t="shared" si="51"/>
        <v>0</v>
      </c>
      <c r="H247">
        <f t="shared" si="52"/>
        <v>0</v>
      </c>
      <c r="I247">
        <v>1</v>
      </c>
      <c r="J247" t="e">
        <f t="shared" si="48"/>
        <v>#NUM!</v>
      </c>
      <c r="K247">
        <f t="shared" si="53"/>
        <v>-1.2217251517752175</v>
      </c>
      <c r="L247">
        <v>1</v>
      </c>
      <c r="M247" t="e">
        <f t="shared" si="49"/>
        <v>#NUM!</v>
      </c>
      <c r="N247">
        <f t="shared" si="54"/>
        <v>0</v>
      </c>
      <c r="O247">
        <f t="shared" si="55"/>
        <v>0</v>
      </c>
      <c r="P247" t="e">
        <f t="shared" si="56"/>
        <v>#NUM!</v>
      </c>
    </row>
    <row r="248" spans="3:16" x14ac:dyDescent="0.3">
      <c r="C248">
        <f t="shared" si="50"/>
        <v>0</v>
      </c>
      <c r="D248">
        <v>1.6E-2</v>
      </c>
      <c r="E248">
        <v>3.8158201924077539E-3</v>
      </c>
      <c r="F248">
        <f t="shared" si="46"/>
        <v>0</v>
      </c>
      <c r="G248">
        <f t="shared" si="51"/>
        <v>0</v>
      </c>
      <c r="H248">
        <f t="shared" si="52"/>
        <v>0</v>
      </c>
      <c r="I248">
        <v>1</v>
      </c>
      <c r="J248" t="e">
        <f t="shared" si="48"/>
        <v>#NUM!</v>
      </c>
      <c r="K248">
        <f t="shared" si="53"/>
        <v>-1.2217251517752175</v>
      </c>
      <c r="L248">
        <v>1</v>
      </c>
      <c r="M248" t="e">
        <f t="shared" si="49"/>
        <v>#NUM!</v>
      </c>
      <c r="N248">
        <f t="shared" si="54"/>
        <v>0</v>
      </c>
      <c r="O248">
        <f t="shared" si="55"/>
        <v>0</v>
      </c>
      <c r="P248" t="e">
        <f t="shared" si="56"/>
        <v>#NUM!</v>
      </c>
    </row>
    <row r="249" spans="3:16" x14ac:dyDescent="0.3">
      <c r="C249">
        <f t="shared" si="50"/>
        <v>0</v>
      </c>
      <c r="D249">
        <v>1.6E-2</v>
      </c>
      <c r="E249">
        <v>3.8158201924077539E-3</v>
      </c>
      <c r="F249">
        <f t="shared" si="46"/>
        <v>0</v>
      </c>
      <c r="G249">
        <f t="shared" si="51"/>
        <v>0</v>
      </c>
      <c r="H249">
        <f t="shared" si="52"/>
        <v>0</v>
      </c>
      <c r="I249">
        <v>1</v>
      </c>
      <c r="J249" t="e">
        <f t="shared" si="48"/>
        <v>#NUM!</v>
      </c>
      <c r="K249">
        <f t="shared" si="53"/>
        <v>-1.2217251517752175</v>
      </c>
      <c r="L249">
        <v>1</v>
      </c>
      <c r="M249" t="e">
        <f t="shared" si="49"/>
        <v>#NUM!</v>
      </c>
      <c r="N249">
        <f t="shared" si="54"/>
        <v>0</v>
      </c>
      <c r="O249">
        <f t="shared" si="55"/>
        <v>0</v>
      </c>
      <c r="P249" t="e">
        <f t="shared" si="56"/>
        <v>#NUM!</v>
      </c>
    </row>
    <row r="250" spans="3:16" x14ac:dyDescent="0.3">
      <c r="C250">
        <f t="shared" si="50"/>
        <v>0</v>
      </c>
      <c r="D250">
        <v>1.6E-2</v>
      </c>
      <c r="E250">
        <v>3.8158201924077539E-3</v>
      </c>
      <c r="F250">
        <f t="shared" si="46"/>
        <v>0</v>
      </c>
      <c r="G250">
        <f t="shared" si="51"/>
        <v>0</v>
      </c>
      <c r="H250">
        <f t="shared" si="52"/>
        <v>0</v>
      </c>
      <c r="I250">
        <v>1</v>
      </c>
      <c r="J250" t="e">
        <f t="shared" si="48"/>
        <v>#NUM!</v>
      </c>
      <c r="K250">
        <f t="shared" si="53"/>
        <v>-1.2217251517752175</v>
      </c>
      <c r="L250">
        <v>1</v>
      </c>
      <c r="M250" t="e">
        <f t="shared" si="49"/>
        <v>#NUM!</v>
      </c>
      <c r="N250">
        <f t="shared" si="54"/>
        <v>0</v>
      </c>
      <c r="O250">
        <f t="shared" si="55"/>
        <v>0</v>
      </c>
      <c r="P250" t="e">
        <f t="shared" si="56"/>
        <v>#NUM!</v>
      </c>
    </row>
    <row r="251" spans="3:16" x14ac:dyDescent="0.3">
      <c r="C251">
        <f t="shared" si="50"/>
        <v>0</v>
      </c>
      <c r="D251">
        <v>1.6E-2</v>
      </c>
      <c r="E251">
        <v>3.8158201924077539E-3</v>
      </c>
      <c r="F251">
        <f t="shared" si="46"/>
        <v>0</v>
      </c>
      <c r="G251">
        <f t="shared" si="51"/>
        <v>0</v>
      </c>
      <c r="H251">
        <f t="shared" si="52"/>
        <v>0</v>
      </c>
      <c r="I251">
        <v>1</v>
      </c>
      <c r="J251" t="e">
        <f t="shared" si="48"/>
        <v>#NUM!</v>
      </c>
      <c r="K251">
        <f t="shared" si="53"/>
        <v>-1.2217251517752175</v>
      </c>
      <c r="L251">
        <v>1</v>
      </c>
      <c r="M251" t="e">
        <f t="shared" si="49"/>
        <v>#NUM!</v>
      </c>
      <c r="N251">
        <f t="shared" si="54"/>
        <v>0</v>
      </c>
      <c r="O251">
        <f t="shared" si="55"/>
        <v>0</v>
      </c>
      <c r="P251" t="e">
        <f t="shared" si="56"/>
        <v>#NUM!</v>
      </c>
    </row>
    <row r="252" spans="3:16" x14ac:dyDescent="0.3">
      <c r="C252">
        <f t="shared" si="50"/>
        <v>0</v>
      </c>
      <c r="D252">
        <v>1.6E-2</v>
      </c>
      <c r="E252">
        <v>3.8158201924077539E-3</v>
      </c>
      <c r="F252">
        <f t="shared" si="46"/>
        <v>0</v>
      </c>
      <c r="G252">
        <f t="shared" si="51"/>
        <v>0</v>
      </c>
      <c r="H252">
        <f t="shared" si="52"/>
        <v>0</v>
      </c>
      <c r="I252">
        <v>1</v>
      </c>
      <c r="J252" t="e">
        <f t="shared" si="48"/>
        <v>#NUM!</v>
      </c>
      <c r="K252">
        <f t="shared" si="53"/>
        <v>-1.2217251517752175</v>
      </c>
      <c r="L252">
        <v>1</v>
      </c>
      <c r="M252" t="e">
        <f t="shared" si="49"/>
        <v>#NUM!</v>
      </c>
      <c r="N252">
        <f t="shared" si="54"/>
        <v>0</v>
      </c>
      <c r="O252">
        <f t="shared" si="55"/>
        <v>0</v>
      </c>
      <c r="P252" t="e">
        <f t="shared" si="56"/>
        <v>#NUM!</v>
      </c>
    </row>
    <row r="253" spans="3:16" x14ac:dyDescent="0.3">
      <c r="C253">
        <f t="shared" si="50"/>
        <v>0</v>
      </c>
      <c r="D253">
        <v>1.6E-2</v>
      </c>
      <c r="E253">
        <v>3.8158201924077539E-3</v>
      </c>
      <c r="F253">
        <f t="shared" si="46"/>
        <v>0</v>
      </c>
      <c r="G253">
        <f t="shared" si="51"/>
        <v>0</v>
      </c>
      <c r="H253">
        <f t="shared" si="52"/>
        <v>0</v>
      </c>
      <c r="I253">
        <v>1</v>
      </c>
      <c r="J253" t="e">
        <f t="shared" si="48"/>
        <v>#NUM!</v>
      </c>
      <c r="K253">
        <f t="shared" si="53"/>
        <v>-1.2217251517752175</v>
      </c>
      <c r="L253">
        <v>1</v>
      </c>
      <c r="M253" t="e">
        <f t="shared" si="49"/>
        <v>#NUM!</v>
      </c>
      <c r="N253">
        <f t="shared" si="54"/>
        <v>0</v>
      </c>
      <c r="O253">
        <f t="shared" si="55"/>
        <v>0</v>
      </c>
      <c r="P253" t="e">
        <f t="shared" si="56"/>
        <v>#NUM!</v>
      </c>
    </row>
    <row r="254" spans="3:16" x14ac:dyDescent="0.3">
      <c r="C254">
        <f t="shared" si="50"/>
        <v>0</v>
      </c>
      <c r="D254">
        <v>1.6E-2</v>
      </c>
      <c r="E254">
        <v>3.8158201924077539E-3</v>
      </c>
      <c r="F254">
        <f t="shared" si="46"/>
        <v>0</v>
      </c>
      <c r="G254">
        <f t="shared" si="51"/>
        <v>0</v>
      </c>
      <c r="H254">
        <f t="shared" si="52"/>
        <v>0</v>
      </c>
      <c r="I254">
        <v>1</v>
      </c>
      <c r="J254" t="e">
        <f t="shared" si="48"/>
        <v>#NUM!</v>
      </c>
      <c r="K254">
        <f t="shared" si="53"/>
        <v>-1.2217251517752175</v>
      </c>
      <c r="L254">
        <v>1</v>
      </c>
      <c r="M254" t="e">
        <f t="shared" si="49"/>
        <v>#NUM!</v>
      </c>
      <c r="N254">
        <f t="shared" si="54"/>
        <v>0</v>
      </c>
      <c r="O254">
        <f t="shared" si="55"/>
        <v>0</v>
      </c>
      <c r="P254" t="e">
        <f t="shared" si="56"/>
        <v>#NUM!</v>
      </c>
    </row>
    <row r="255" spans="3:16" x14ac:dyDescent="0.3">
      <c r="C255">
        <f t="shared" si="50"/>
        <v>0</v>
      </c>
      <c r="D255">
        <v>1.6E-2</v>
      </c>
      <c r="E255">
        <v>3.8158201924077539E-3</v>
      </c>
      <c r="F255">
        <f t="shared" si="46"/>
        <v>0</v>
      </c>
      <c r="G255">
        <f t="shared" si="51"/>
        <v>0</v>
      </c>
      <c r="H255">
        <f t="shared" si="52"/>
        <v>0</v>
      </c>
      <c r="I255">
        <v>1</v>
      </c>
      <c r="J255" t="e">
        <f t="shared" si="48"/>
        <v>#NUM!</v>
      </c>
      <c r="K255">
        <f t="shared" si="53"/>
        <v>-1.2217251517752175</v>
      </c>
      <c r="L255">
        <v>1</v>
      </c>
      <c r="M255" t="e">
        <f t="shared" si="49"/>
        <v>#NUM!</v>
      </c>
      <c r="N255">
        <f t="shared" si="54"/>
        <v>0</v>
      </c>
      <c r="O255">
        <f t="shared" si="55"/>
        <v>0</v>
      </c>
      <c r="P255" t="e">
        <f t="shared" si="56"/>
        <v>#NUM!</v>
      </c>
    </row>
    <row r="256" spans="3:16" x14ac:dyDescent="0.3">
      <c r="C256">
        <f t="shared" si="50"/>
        <v>0</v>
      </c>
      <c r="D256">
        <v>1.6E-2</v>
      </c>
      <c r="E256">
        <v>3.8158201924077539E-3</v>
      </c>
      <c r="F256">
        <f t="shared" si="46"/>
        <v>0</v>
      </c>
      <c r="G256">
        <f t="shared" si="51"/>
        <v>0</v>
      </c>
      <c r="H256">
        <f t="shared" si="52"/>
        <v>0</v>
      </c>
      <c r="I256">
        <v>1</v>
      </c>
      <c r="J256" t="e">
        <f t="shared" si="48"/>
        <v>#NUM!</v>
      </c>
      <c r="K256">
        <f t="shared" si="53"/>
        <v>-1.2217251517752175</v>
      </c>
      <c r="L256">
        <v>1</v>
      </c>
      <c r="M256" t="e">
        <f t="shared" si="49"/>
        <v>#NUM!</v>
      </c>
      <c r="N256">
        <f t="shared" si="54"/>
        <v>0</v>
      </c>
      <c r="O256">
        <f t="shared" si="55"/>
        <v>0</v>
      </c>
      <c r="P256" t="e">
        <f t="shared" si="56"/>
        <v>#NUM!</v>
      </c>
    </row>
    <row r="257" spans="3:16" x14ac:dyDescent="0.3">
      <c r="C257">
        <f t="shared" si="50"/>
        <v>0</v>
      </c>
      <c r="D257">
        <v>1.6E-2</v>
      </c>
      <c r="E257">
        <v>3.8158201924077539E-3</v>
      </c>
      <c r="F257">
        <f t="shared" si="46"/>
        <v>0</v>
      </c>
      <c r="G257">
        <f t="shared" si="51"/>
        <v>0</v>
      </c>
      <c r="H257">
        <f t="shared" si="52"/>
        <v>0</v>
      </c>
      <c r="I257">
        <v>1</v>
      </c>
      <c r="J257" t="e">
        <f t="shared" si="48"/>
        <v>#NUM!</v>
      </c>
      <c r="K257">
        <f t="shared" si="53"/>
        <v>-1.2217251517752175</v>
      </c>
      <c r="L257">
        <v>1</v>
      </c>
      <c r="M257" t="e">
        <f t="shared" si="49"/>
        <v>#NUM!</v>
      </c>
      <c r="N257">
        <f t="shared" si="54"/>
        <v>0</v>
      </c>
      <c r="O257">
        <f t="shared" si="55"/>
        <v>0</v>
      </c>
      <c r="P257" t="e">
        <f t="shared" si="56"/>
        <v>#NUM!</v>
      </c>
    </row>
    <row r="258" spans="3:16" x14ac:dyDescent="0.3">
      <c r="C258">
        <f t="shared" si="50"/>
        <v>0</v>
      </c>
      <c r="D258">
        <v>1.6E-2</v>
      </c>
      <c r="E258">
        <v>3.8158201924077539E-3</v>
      </c>
      <c r="F258">
        <f t="shared" si="46"/>
        <v>0</v>
      </c>
      <c r="G258">
        <f t="shared" si="51"/>
        <v>0</v>
      </c>
      <c r="H258">
        <f t="shared" si="52"/>
        <v>0</v>
      </c>
      <c r="I258">
        <v>1</v>
      </c>
      <c r="J258" t="e">
        <f t="shared" si="48"/>
        <v>#NUM!</v>
      </c>
      <c r="K258">
        <f t="shared" si="53"/>
        <v>-1.2217251517752175</v>
      </c>
      <c r="L258">
        <v>1</v>
      </c>
      <c r="M258" t="e">
        <f t="shared" si="49"/>
        <v>#NUM!</v>
      </c>
      <c r="N258">
        <f t="shared" si="54"/>
        <v>0</v>
      </c>
      <c r="O258">
        <f t="shared" si="55"/>
        <v>0</v>
      </c>
      <c r="P258" t="e">
        <f t="shared" si="56"/>
        <v>#NUM!</v>
      </c>
    </row>
    <row r="259" spans="3:16" x14ac:dyDescent="0.3">
      <c r="C259">
        <f t="shared" si="50"/>
        <v>0</v>
      </c>
      <c r="D259">
        <v>1.6E-2</v>
      </c>
      <c r="E259">
        <v>3.8158201924077539E-3</v>
      </c>
      <c r="F259">
        <f t="shared" si="46"/>
        <v>0</v>
      </c>
      <c r="G259">
        <f t="shared" si="51"/>
        <v>0</v>
      </c>
      <c r="H259">
        <f t="shared" si="52"/>
        <v>0</v>
      </c>
      <c r="I259">
        <v>1</v>
      </c>
      <c r="J259" t="e">
        <f t="shared" si="48"/>
        <v>#NUM!</v>
      </c>
      <c r="K259">
        <f t="shared" si="53"/>
        <v>-1.2217251517752175</v>
      </c>
      <c r="L259">
        <v>1</v>
      </c>
      <c r="M259" t="e">
        <f t="shared" si="49"/>
        <v>#NUM!</v>
      </c>
      <c r="N259">
        <f t="shared" si="54"/>
        <v>0</v>
      </c>
      <c r="O259">
        <f t="shared" si="55"/>
        <v>0</v>
      </c>
      <c r="P259" t="e">
        <f t="shared" si="56"/>
        <v>#NUM!</v>
      </c>
    </row>
    <row r="260" spans="3:16" x14ac:dyDescent="0.3">
      <c r="C260">
        <f t="shared" si="50"/>
        <v>0</v>
      </c>
      <c r="D260">
        <v>1.6E-2</v>
      </c>
      <c r="E260">
        <v>3.8158201924077539E-3</v>
      </c>
      <c r="F260">
        <f t="shared" si="46"/>
        <v>0</v>
      </c>
      <c r="G260">
        <f t="shared" si="51"/>
        <v>0</v>
      </c>
      <c r="H260">
        <f t="shared" si="52"/>
        <v>0</v>
      </c>
      <c r="I260">
        <v>1</v>
      </c>
      <c r="J260" t="e">
        <f t="shared" si="48"/>
        <v>#NUM!</v>
      </c>
      <c r="K260">
        <f t="shared" si="53"/>
        <v>-1.2217251517752175</v>
      </c>
      <c r="L260">
        <v>1</v>
      </c>
      <c r="M260" t="e">
        <f t="shared" si="49"/>
        <v>#NUM!</v>
      </c>
      <c r="N260">
        <f t="shared" si="54"/>
        <v>0</v>
      </c>
      <c r="O260">
        <f t="shared" si="55"/>
        <v>0</v>
      </c>
      <c r="P260" t="e">
        <f t="shared" si="56"/>
        <v>#NUM!</v>
      </c>
    </row>
    <row r="261" spans="3:16" x14ac:dyDescent="0.3">
      <c r="C261">
        <f t="shared" si="50"/>
        <v>0</v>
      </c>
      <c r="D261">
        <v>1.6E-2</v>
      </c>
      <c r="E261">
        <v>3.8158201924077539E-3</v>
      </c>
      <c r="F261">
        <f t="shared" ref="F261:F303" si="57">A261*200</f>
        <v>0</v>
      </c>
      <c r="G261">
        <f t="shared" si="51"/>
        <v>0</v>
      </c>
      <c r="H261">
        <f t="shared" si="52"/>
        <v>0</v>
      </c>
      <c r="I261">
        <v>1</v>
      </c>
      <c r="J261" t="e">
        <f t="shared" ref="J261:J303" si="58">LN(F261/1000)</f>
        <v>#NUM!</v>
      </c>
      <c r="K261">
        <f t="shared" si="53"/>
        <v>-1.2217251517752175</v>
      </c>
      <c r="L261">
        <v>1</v>
      </c>
      <c r="M261" t="e">
        <f t="shared" ref="M261:M303" si="59">-1*($S$4+($S$5*J261))</f>
        <v>#NUM!</v>
      </c>
      <c r="N261">
        <f t="shared" si="54"/>
        <v>0</v>
      </c>
      <c r="O261">
        <f t="shared" si="55"/>
        <v>0</v>
      </c>
      <c r="P261" t="e">
        <f t="shared" si="56"/>
        <v>#NUM!</v>
      </c>
    </row>
    <row r="262" spans="3:16" x14ac:dyDescent="0.3">
      <c r="C262">
        <f t="shared" si="50"/>
        <v>0</v>
      </c>
      <c r="D262">
        <v>1.6E-2</v>
      </c>
      <c r="E262">
        <v>3.8158201924077539E-3</v>
      </c>
      <c r="F262">
        <f t="shared" si="57"/>
        <v>0</v>
      </c>
      <c r="G262">
        <f t="shared" si="51"/>
        <v>0</v>
      </c>
      <c r="H262">
        <f t="shared" si="52"/>
        <v>0</v>
      </c>
      <c r="I262">
        <v>1</v>
      </c>
      <c r="J262" t="e">
        <f t="shared" si="58"/>
        <v>#NUM!</v>
      </c>
      <c r="K262">
        <f t="shared" si="53"/>
        <v>-1.2217251517752175</v>
      </c>
      <c r="L262">
        <v>1</v>
      </c>
      <c r="M262" t="e">
        <f t="shared" si="59"/>
        <v>#NUM!</v>
      </c>
      <c r="N262">
        <f t="shared" si="54"/>
        <v>0</v>
      </c>
      <c r="O262">
        <f t="shared" si="55"/>
        <v>0</v>
      </c>
      <c r="P262" t="e">
        <f t="shared" si="56"/>
        <v>#NUM!</v>
      </c>
    </row>
    <row r="263" spans="3:16" x14ac:dyDescent="0.3">
      <c r="C263">
        <f t="shared" si="50"/>
        <v>0</v>
      </c>
      <c r="D263">
        <v>1.6E-2</v>
      </c>
      <c r="E263">
        <v>3.8158201924077539E-3</v>
      </c>
      <c r="F263">
        <f t="shared" si="57"/>
        <v>0</v>
      </c>
      <c r="G263">
        <f t="shared" si="51"/>
        <v>0</v>
      </c>
      <c r="H263">
        <f t="shared" si="52"/>
        <v>0</v>
      </c>
      <c r="I263">
        <v>1</v>
      </c>
      <c r="J263" t="e">
        <f t="shared" si="58"/>
        <v>#NUM!</v>
      </c>
      <c r="K263">
        <f t="shared" si="53"/>
        <v>-1.2217251517752175</v>
      </c>
      <c r="L263">
        <v>1</v>
      </c>
      <c r="M263" t="e">
        <f t="shared" si="59"/>
        <v>#NUM!</v>
      </c>
      <c r="N263">
        <f t="shared" si="54"/>
        <v>0</v>
      </c>
      <c r="O263">
        <f t="shared" si="55"/>
        <v>0</v>
      </c>
      <c r="P263" t="e">
        <f t="shared" si="56"/>
        <v>#NUM!</v>
      </c>
    </row>
    <row r="264" spans="3:16" x14ac:dyDescent="0.3">
      <c r="C264">
        <f t="shared" si="50"/>
        <v>0</v>
      </c>
      <c r="D264">
        <v>1.6E-2</v>
      </c>
      <c r="E264">
        <v>3.8158201924077539E-3</v>
      </c>
      <c r="F264">
        <f t="shared" si="57"/>
        <v>0</v>
      </c>
      <c r="G264">
        <f t="shared" si="51"/>
        <v>0</v>
      </c>
      <c r="H264">
        <f t="shared" si="52"/>
        <v>0</v>
      </c>
      <c r="I264">
        <v>1</v>
      </c>
      <c r="J264" t="e">
        <f t="shared" si="58"/>
        <v>#NUM!</v>
      </c>
      <c r="K264">
        <f t="shared" si="53"/>
        <v>-1.2217251517752175</v>
      </c>
      <c r="L264">
        <v>1</v>
      </c>
      <c r="M264" t="e">
        <f t="shared" si="59"/>
        <v>#NUM!</v>
      </c>
      <c r="N264">
        <f t="shared" si="54"/>
        <v>0</v>
      </c>
      <c r="O264">
        <f t="shared" si="55"/>
        <v>0</v>
      </c>
      <c r="P264" t="e">
        <f t="shared" si="56"/>
        <v>#NUM!</v>
      </c>
    </row>
    <row r="265" spans="3:16" x14ac:dyDescent="0.3">
      <c r="C265">
        <f t="shared" si="50"/>
        <v>0</v>
      </c>
      <c r="D265">
        <v>1.6E-2</v>
      </c>
      <c r="E265">
        <v>3.8158201924077539E-3</v>
      </c>
      <c r="F265">
        <f t="shared" si="57"/>
        <v>0</v>
      </c>
      <c r="G265">
        <f t="shared" si="51"/>
        <v>0</v>
      </c>
      <c r="H265">
        <f t="shared" si="52"/>
        <v>0</v>
      </c>
      <c r="I265">
        <v>1</v>
      </c>
      <c r="J265" t="e">
        <f t="shared" si="58"/>
        <v>#NUM!</v>
      </c>
      <c r="K265">
        <f t="shared" si="53"/>
        <v>-1.2217251517752175</v>
      </c>
      <c r="L265">
        <v>1</v>
      </c>
      <c r="M265" t="e">
        <f t="shared" si="59"/>
        <v>#NUM!</v>
      </c>
      <c r="N265">
        <f t="shared" si="54"/>
        <v>0</v>
      </c>
      <c r="O265">
        <f t="shared" si="55"/>
        <v>0</v>
      </c>
      <c r="P265" t="e">
        <f t="shared" si="56"/>
        <v>#NUM!</v>
      </c>
    </row>
    <row r="266" spans="3:16" x14ac:dyDescent="0.3">
      <c r="C266">
        <f t="shared" si="50"/>
        <v>0</v>
      </c>
      <c r="D266">
        <v>1.6E-2</v>
      </c>
      <c r="E266">
        <v>3.8158201924077539E-3</v>
      </c>
      <c r="F266">
        <f t="shared" si="57"/>
        <v>0</v>
      </c>
      <c r="G266">
        <f t="shared" si="51"/>
        <v>0</v>
      </c>
      <c r="H266">
        <f t="shared" si="52"/>
        <v>0</v>
      </c>
      <c r="I266">
        <v>1</v>
      </c>
      <c r="J266" t="e">
        <f t="shared" si="58"/>
        <v>#NUM!</v>
      </c>
      <c r="K266">
        <f t="shared" si="53"/>
        <v>-1.2217251517752175</v>
      </c>
      <c r="L266">
        <v>1</v>
      </c>
      <c r="M266" t="e">
        <f t="shared" si="59"/>
        <v>#NUM!</v>
      </c>
      <c r="N266">
        <f t="shared" si="54"/>
        <v>0</v>
      </c>
      <c r="O266">
        <f t="shared" si="55"/>
        <v>0</v>
      </c>
      <c r="P266" t="e">
        <f t="shared" si="56"/>
        <v>#NUM!</v>
      </c>
    </row>
    <row r="267" spans="3:16" x14ac:dyDescent="0.3">
      <c r="C267">
        <f t="shared" si="50"/>
        <v>0</v>
      </c>
      <c r="D267">
        <v>1.6E-2</v>
      </c>
      <c r="E267">
        <v>3.8158201924077539E-3</v>
      </c>
      <c r="F267">
        <f t="shared" si="57"/>
        <v>0</v>
      </c>
      <c r="G267">
        <f t="shared" si="51"/>
        <v>0</v>
      </c>
      <c r="H267">
        <f t="shared" si="52"/>
        <v>0</v>
      </c>
      <c r="I267">
        <v>1</v>
      </c>
      <c r="J267" t="e">
        <f t="shared" si="58"/>
        <v>#NUM!</v>
      </c>
      <c r="K267">
        <f t="shared" si="53"/>
        <v>-1.2217251517752175</v>
      </c>
      <c r="L267">
        <v>1</v>
      </c>
      <c r="M267" t="e">
        <f t="shared" si="59"/>
        <v>#NUM!</v>
      </c>
      <c r="N267">
        <f t="shared" si="54"/>
        <v>0</v>
      </c>
      <c r="O267">
        <f t="shared" si="55"/>
        <v>0</v>
      </c>
      <c r="P267" t="e">
        <f t="shared" si="56"/>
        <v>#NUM!</v>
      </c>
    </row>
    <row r="268" spans="3:16" x14ac:dyDescent="0.3">
      <c r="C268">
        <f t="shared" si="50"/>
        <v>0</v>
      </c>
      <c r="D268">
        <v>1.6E-2</v>
      </c>
      <c r="E268">
        <v>3.8158201924077539E-3</v>
      </c>
      <c r="F268">
        <f t="shared" si="57"/>
        <v>0</v>
      </c>
      <c r="G268">
        <f t="shared" si="51"/>
        <v>0</v>
      </c>
      <c r="H268">
        <f t="shared" si="52"/>
        <v>0</v>
      </c>
      <c r="I268">
        <v>1</v>
      </c>
      <c r="J268" t="e">
        <f t="shared" si="58"/>
        <v>#NUM!</v>
      </c>
      <c r="K268">
        <f t="shared" si="53"/>
        <v>-1.2217251517752175</v>
      </c>
      <c r="L268">
        <v>1</v>
      </c>
      <c r="M268" t="e">
        <f t="shared" si="59"/>
        <v>#NUM!</v>
      </c>
      <c r="N268">
        <f t="shared" si="54"/>
        <v>0</v>
      </c>
      <c r="O268">
        <f t="shared" si="55"/>
        <v>0</v>
      </c>
      <c r="P268" t="e">
        <f t="shared" si="56"/>
        <v>#NUM!</v>
      </c>
    </row>
    <row r="269" spans="3:16" x14ac:dyDescent="0.3">
      <c r="C269">
        <f t="shared" si="50"/>
        <v>0</v>
      </c>
      <c r="D269">
        <v>1.6E-2</v>
      </c>
      <c r="E269">
        <v>3.8158201924077539E-3</v>
      </c>
      <c r="F269">
        <f t="shared" si="57"/>
        <v>0</v>
      </c>
      <c r="G269">
        <f t="shared" si="51"/>
        <v>0</v>
      </c>
      <c r="H269">
        <f t="shared" si="52"/>
        <v>0</v>
      </c>
      <c r="I269">
        <v>1</v>
      </c>
      <c r="J269" t="e">
        <f t="shared" si="58"/>
        <v>#NUM!</v>
      </c>
      <c r="K269">
        <f t="shared" si="53"/>
        <v>-1.2217251517752175</v>
      </c>
      <c r="L269">
        <v>1</v>
      </c>
      <c r="M269" t="e">
        <f t="shared" si="59"/>
        <v>#NUM!</v>
      </c>
      <c r="N269">
        <f t="shared" si="54"/>
        <v>0</v>
      </c>
      <c r="O269">
        <f t="shared" si="55"/>
        <v>0</v>
      </c>
      <c r="P269" t="e">
        <f t="shared" si="56"/>
        <v>#NUM!</v>
      </c>
    </row>
    <row r="270" spans="3:16" x14ac:dyDescent="0.3">
      <c r="C270">
        <f t="shared" si="50"/>
        <v>0</v>
      </c>
      <c r="D270">
        <v>1.6E-2</v>
      </c>
      <c r="E270">
        <v>3.8158201924077539E-3</v>
      </c>
      <c r="F270">
        <f t="shared" si="57"/>
        <v>0</v>
      </c>
      <c r="G270">
        <f t="shared" si="51"/>
        <v>0</v>
      </c>
      <c r="H270">
        <f t="shared" si="52"/>
        <v>0</v>
      </c>
      <c r="I270">
        <v>1</v>
      </c>
      <c r="J270" t="e">
        <f t="shared" si="58"/>
        <v>#NUM!</v>
      </c>
      <c r="K270">
        <f t="shared" si="53"/>
        <v>-1.2217251517752175</v>
      </c>
      <c r="L270">
        <v>1</v>
      </c>
      <c r="M270" t="e">
        <f t="shared" si="59"/>
        <v>#NUM!</v>
      </c>
      <c r="N270">
        <f t="shared" si="54"/>
        <v>0</v>
      </c>
      <c r="O270">
        <f t="shared" si="55"/>
        <v>0</v>
      </c>
      <c r="P270" t="e">
        <f t="shared" si="56"/>
        <v>#NUM!</v>
      </c>
    </row>
    <row r="271" spans="3:16" x14ac:dyDescent="0.3">
      <c r="C271">
        <f t="shared" si="50"/>
        <v>0</v>
      </c>
      <c r="D271">
        <v>1.6E-2</v>
      </c>
      <c r="E271">
        <v>3.8158201924077539E-3</v>
      </c>
      <c r="F271">
        <f t="shared" si="57"/>
        <v>0</v>
      </c>
      <c r="G271">
        <f t="shared" si="51"/>
        <v>0</v>
      </c>
      <c r="H271">
        <f t="shared" si="52"/>
        <v>0</v>
      </c>
      <c r="I271">
        <v>1</v>
      </c>
      <c r="J271" t="e">
        <f t="shared" si="58"/>
        <v>#NUM!</v>
      </c>
      <c r="K271">
        <f t="shared" si="53"/>
        <v>-1.2217251517752175</v>
      </c>
      <c r="L271">
        <v>1</v>
      </c>
      <c r="M271" t="e">
        <f t="shared" si="59"/>
        <v>#NUM!</v>
      </c>
      <c r="N271">
        <f t="shared" si="54"/>
        <v>0</v>
      </c>
      <c r="O271">
        <f t="shared" si="55"/>
        <v>0</v>
      </c>
      <c r="P271" t="e">
        <f t="shared" si="56"/>
        <v>#NUM!</v>
      </c>
    </row>
    <row r="272" spans="3:16" x14ac:dyDescent="0.3">
      <c r="C272">
        <f t="shared" si="50"/>
        <v>0</v>
      </c>
      <c r="D272">
        <v>1.6E-2</v>
      </c>
      <c r="E272">
        <v>3.8158201924077539E-3</v>
      </c>
      <c r="F272">
        <f t="shared" si="57"/>
        <v>0</v>
      </c>
      <c r="G272">
        <f t="shared" si="51"/>
        <v>0</v>
      </c>
      <c r="H272">
        <f t="shared" si="52"/>
        <v>0</v>
      </c>
      <c r="I272">
        <v>1</v>
      </c>
      <c r="J272" t="e">
        <f t="shared" si="58"/>
        <v>#NUM!</v>
      </c>
      <c r="K272">
        <f t="shared" si="53"/>
        <v>-1.2217251517752175</v>
      </c>
      <c r="L272">
        <v>1</v>
      </c>
      <c r="M272" t="e">
        <f t="shared" si="59"/>
        <v>#NUM!</v>
      </c>
      <c r="N272">
        <f t="shared" si="54"/>
        <v>0</v>
      </c>
      <c r="O272">
        <f t="shared" si="55"/>
        <v>0</v>
      </c>
      <c r="P272" t="e">
        <f t="shared" si="56"/>
        <v>#NUM!</v>
      </c>
    </row>
    <row r="273" spans="3:16" x14ac:dyDescent="0.3">
      <c r="C273">
        <f t="shared" si="50"/>
        <v>0</v>
      </c>
      <c r="D273">
        <v>1.6E-2</v>
      </c>
      <c r="E273">
        <v>3.8158201924077539E-3</v>
      </c>
      <c r="F273">
        <f t="shared" si="57"/>
        <v>0</v>
      </c>
      <c r="G273">
        <f t="shared" si="51"/>
        <v>0</v>
      </c>
      <c r="H273">
        <f t="shared" si="52"/>
        <v>0</v>
      </c>
      <c r="I273">
        <v>1</v>
      </c>
      <c r="J273" t="e">
        <f t="shared" si="58"/>
        <v>#NUM!</v>
      </c>
      <c r="K273">
        <f t="shared" si="53"/>
        <v>-1.2217251517752175</v>
      </c>
      <c r="L273">
        <v>1</v>
      </c>
      <c r="M273" t="e">
        <f t="shared" si="59"/>
        <v>#NUM!</v>
      </c>
      <c r="N273">
        <f t="shared" si="54"/>
        <v>0</v>
      </c>
      <c r="O273">
        <f t="shared" si="55"/>
        <v>0</v>
      </c>
      <c r="P273" t="e">
        <f t="shared" si="56"/>
        <v>#NUM!</v>
      </c>
    </row>
    <row r="274" spans="3:16" x14ac:dyDescent="0.3">
      <c r="C274">
        <f t="shared" si="50"/>
        <v>0</v>
      </c>
      <c r="D274">
        <v>1.6E-2</v>
      </c>
      <c r="E274">
        <v>3.8158201924077539E-3</v>
      </c>
      <c r="F274">
        <f t="shared" si="57"/>
        <v>0</v>
      </c>
      <c r="G274">
        <f t="shared" si="51"/>
        <v>0</v>
      </c>
      <c r="H274">
        <f t="shared" si="52"/>
        <v>0</v>
      </c>
      <c r="I274">
        <v>1</v>
      </c>
      <c r="J274" t="e">
        <f t="shared" si="58"/>
        <v>#NUM!</v>
      </c>
      <c r="K274">
        <f t="shared" si="53"/>
        <v>-1.2217251517752175</v>
      </c>
      <c r="L274">
        <v>1</v>
      </c>
      <c r="M274" t="e">
        <f t="shared" si="59"/>
        <v>#NUM!</v>
      </c>
      <c r="N274">
        <f t="shared" si="54"/>
        <v>0</v>
      </c>
      <c r="O274">
        <f t="shared" si="55"/>
        <v>0</v>
      </c>
      <c r="P274" t="e">
        <f t="shared" si="56"/>
        <v>#NUM!</v>
      </c>
    </row>
    <row r="275" spans="3:16" x14ac:dyDescent="0.3">
      <c r="C275">
        <f t="shared" si="50"/>
        <v>0</v>
      </c>
      <c r="D275">
        <v>1.6E-2</v>
      </c>
      <c r="E275">
        <v>3.8158201924077539E-3</v>
      </c>
      <c r="F275">
        <f t="shared" si="57"/>
        <v>0</v>
      </c>
      <c r="G275">
        <f t="shared" si="51"/>
        <v>0</v>
      </c>
      <c r="H275">
        <f t="shared" si="52"/>
        <v>0</v>
      </c>
      <c r="I275">
        <v>1</v>
      </c>
      <c r="J275" t="e">
        <f t="shared" si="58"/>
        <v>#NUM!</v>
      </c>
      <c r="K275">
        <f t="shared" si="53"/>
        <v>-1.2217251517752175</v>
      </c>
      <c r="L275">
        <v>1</v>
      </c>
      <c r="M275" t="e">
        <f t="shared" si="59"/>
        <v>#NUM!</v>
      </c>
      <c r="N275">
        <f t="shared" si="54"/>
        <v>0</v>
      </c>
      <c r="O275">
        <f t="shared" si="55"/>
        <v>0</v>
      </c>
      <c r="P275" t="e">
        <f t="shared" si="56"/>
        <v>#NUM!</v>
      </c>
    </row>
    <row r="276" spans="3:16" x14ac:dyDescent="0.3">
      <c r="C276">
        <f t="shared" ref="C276:C303" si="60">A276*B276</f>
        <v>0</v>
      </c>
      <c r="D276">
        <v>1.6E-2</v>
      </c>
      <c r="E276">
        <v>3.8158201924077539E-3</v>
      </c>
      <c r="F276">
        <f t="shared" si="57"/>
        <v>0</v>
      </c>
      <c r="G276">
        <f t="shared" ref="G276:G303" si="61">-B276</f>
        <v>0</v>
      </c>
      <c r="H276">
        <f t="shared" ref="H276:H303" si="62">-C276*200</f>
        <v>0</v>
      </c>
      <c r="I276">
        <v>1</v>
      </c>
      <c r="J276" t="e">
        <f t="shared" si="58"/>
        <v>#NUM!</v>
      </c>
      <c r="K276">
        <f t="shared" ref="K276:K303" si="63">((-G276)-$N$2)</f>
        <v>-1.2217251517752175</v>
      </c>
      <c r="L276">
        <v>1</v>
      </c>
      <c r="M276" t="e">
        <f t="shared" si="59"/>
        <v>#NUM!</v>
      </c>
      <c r="N276">
        <f t="shared" ref="N276:N303" si="64">D276*A276</f>
        <v>0</v>
      </c>
      <c r="O276">
        <f t="shared" ref="O276:O303" si="65">E276*A276</f>
        <v>0</v>
      </c>
      <c r="P276" t="e">
        <f t="shared" ref="P276:P303" si="66">-K276-M276-N276-O276</f>
        <v>#NUM!</v>
      </c>
    </row>
    <row r="277" spans="3:16" x14ac:dyDescent="0.3">
      <c r="C277">
        <f t="shared" si="60"/>
        <v>0</v>
      </c>
      <c r="D277">
        <v>1.6E-2</v>
      </c>
      <c r="E277">
        <v>3.8158201924077539E-3</v>
      </c>
      <c r="F277">
        <f t="shared" si="57"/>
        <v>0</v>
      </c>
      <c r="G277">
        <f t="shared" si="61"/>
        <v>0</v>
      </c>
      <c r="H277">
        <f t="shared" si="62"/>
        <v>0</v>
      </c>
      <c r="I277">
        <v>1</v>
      </c>
      <c r="J277" t="e">
        <f t="shared" si="58"/>
        <v>#NUM!</v>
      </c>
      <c r="K277">
        <f t="shared" si="63"/>
        <v>-1.2217251517752175</v>
      </c>
      <c r="L277">
        <v>1</v>
      </c>
      <c r="M277" t="e">
        <f t="shared" si="59"/>
        <v>#NUM!</v>
      </c>
      <c r="N277">
        <f t="shared" si="64"/>
        <v>0</v>
      </c>
      <c r="O277">
        <f t="shared" si="65"/>
        <v>0</v>
      </c>
      <c r="P277" t="e">
        <f t="shared" si="66"/>
        <v>#NUM!</v>
      </c>
    </row>
    <row r="278" spans="3:16" x14ac:dyDescent="0.3">
      <c r="C278">
        <f t="shared" si="60"/>
        <v>0</v>
      </c>
      <c r="D278">
        <v>1.6E-2</v>
      </c>
      <c r="E278">
        <v>3.8158201924077539E-3</v>
      </c>
      <c r="F278">
        <f t="shared" si="57"/>
        <v>0</v>
      </c>
      <c r="G278">
        <f t="shared" si="61"/>
        <v>0</v>
      </c>
      <c r="H278">
        <f t="shared" si="62"/>
        <v>0</v>
      </c>
      <c r="I278">
        <v>1</v>
      </c>
      <c r="J278" t="e">
        <f t="shared" si="58"/>
        <v>#NUM!</v>
      </c>
      <c r="K278">
        <f t="shared" si="63"/>
        <v>-1.2217251517752175</v>
      </c>
      <c r="L278">
        <v>1</v>
      </c>
      <c r="M278" t="e">
        <f t="shared" si="59"/>
        <v>#NUM!</v>
      </c>
      <c r="N278">
        <f t="shared" si="64"/>
        <v>0</v>
      </c>
      <c r="O278">
        <f t="shared" si="65"/>
        <v>0</v>
      </c>
      <c r="P278" t="e">
        <f t="shared" si="66"/>
        <v>#NUM!</v>
      </c>
    </row>
    <row r="279" spans="3:16" x14ac:dyDescent="0.3">
      <c r="C279">
        <f t="shared" si="60"/>
        <v>0</v>
      </c>
      <c r="D279">
        <v>1.6E-2</v>
      </c>
      <c r="E279">
        <v>3.8158201924077539E-3</v>
      </c>
      <c r="F279">
        <f t="shared" si="57"/>
        <v>0</v>
      </c>
      <c r="G279">
        <f t="shared" si="61"/>
        <v>0</v>
      </c>
      <c r="H279">
        <f t="shared" si="62"/>
        <v>0</v>
      </c>
      <c r="I279">
        <v>1</v>
      </c>
      <c r="J279" t="e">
        <f t="shared" si="58"/>
        <v>#NUM!</v>
      </c>
      <c r="K279">
        <f t="shared" si="63"/>
        <v>-1.2217251517752175</v>
      </c>
      <c r="L279">
        <v>1</v>
      </c>
      <c r="M279" t="e">
        <f t="shared" si="59"/>
        <v>#NUM!</v>
      </c>
      <c r="N279">
        <f t="shared" si="64"/>
        <v>0</v>
      </c>
      <c r="O279">
        <f t="shared" si="65"/>
        <v>0</v>
      </c>
      <c r="P279" t="e">
        <f t="shared" si="66"/>
        <v>#NUM!</v>
      </c>
    </row>
    <row r="280" spans="3:16" x14ac:dyDescent="0.3">
      <c r="C280">
        <f t="shared" si="60"/>
        <v>0</v>
      </c>
      <c r="D280">
        <v>1.6E-2</v>
      </c>
      <c r="E280">
        <v>3.8158201924077539E-3</v>
      </c>
      <c r="F280">
        <f t="shared" si="57"/>
        <v>0</v>
      </c>
      <c r="G280">
        <f t="shared" si="61"/>
        <v>0</v>
      </c>
      <c r="H280">
        <f t="shared" si="62"/>
        <v>0</v>
      </c>
      <c r="I280">
        <v>1</v>
      </c>
      <c r="J280" t="e">
        <f t="shared" si="58"/>
        <v>#NUM!</v>
      </c>
      <c r="K280">
        <f t="shared" si="63"/>
        <v>-1.2217251517752175</v>
      </c>
      <c r="L280">
        <v>1</v>
      </c>
      <c r="M280" t="e">
        <f t="shared" si="59"/>
        <v>#NUM!</v>
      </c>
      <c r="N280">
        <f t="shared" si="64"/>
        <v>0</v>
      </c>
      <c r="O280">
        <f t="shared" si="65"/>
        <v>0</v>
      </c>
      <c r="P280" t="e">
        <f t="shared" si="66"/>
        <v>#NUM!</v>
      </c>
    </row>
    <row r="281" spans="3:16" x14ac:dyDescent="0.3">
      <c r="C281">
        <f t="shared" si="60"/>
        <v>0</v>
      </c>
      <c r="D281">
        <v>1.6E-2</v>
      </c>
      <c r="E281">
        <v>3.8158201924077539E-3</v>
      </c>
      <c r="F281">
        <f t="shared" si="57"/>
        <v>0</v>
      </c>
      <c r="G281">
        <f t="shared" si="61"/>
        <v>0</v>
      </c>
      <c r="H281">
        <f t="shared" si="62"/>
        <v>0</v>
      </c>
      <c r="I281">
        <v>1</v>
      </c>
      <c r="J281" t="e">
        <f t="shared" si="58"/>
        <v>#NUM!</v>
      </c>
      <c r="K281">
        <f t="shared" si="63"/>
        <v>-1.2217251517752175</v>
      </c>
      <c r="L281">
        <v>1</v>
      </c>
      <c r="M281" t="e">
        <f t="shared" si="59"/>
        <v>#NUM!</v>
      </c>
      <c r="N281">
        <f t="shared" si="64"/>
        <v>0</v>
      </c>
      <c r="O281">
        <f t="shared" si="65"/>
        <v>0</v>
      </c>
      <c r="P281" t="e">
        <f t="shared" si="66"/>
        <v>#NUM!</v>
      </c>
    </row>
    <row r="282" spans="3:16" x14ac:dyDescent="0.3">
      <c r="C282">
        <f t="shared" si="60"/>
        <v>0</v>
      </c>
      <c r="D282">
        <v>1.6E-2</v>
      </c>
      <c r="E282">
        <v>3.8158201924077539E-3</v>
      </c>
      <c r="F282">
        <f t="shared" si="57"/>
        <v>0</v>
      </c>
      <c r="G282">
        <f t="shared" si="61"/>
        <v>0</v>
      </c>
      <c r="H282">
        <f t="shared" si="62"/>
        <v>0</v>
      </c>
      <c r="I282">
        <v>1</v>
      </c>
      <c r="J282" t="e">
        <f t="shared" si="58"/>
        <v>#NUM!</v>
      </c>
      <c r="K282">
        <f t="shared" si="63"/>
        <v>-1.2217251517752175</v>
      </c>
      <c r="L282">
        <v>1</v>
      </c>
      <c r="M282" t="e">
        <f t="shared" si="59"/>
        <v>#NUM!</v>
      </c>
      <c r="N282">
        <f t="shared" si="64"/>
        <v>0</v>
      </c>
      <c r="O282">
        <f t="shared" si="65"/>
        <v>0</v>
      </c>
      <c r="P282" t="e">
        <f t="shared" si="66"/>
        <v>#NUM!</v>
      </c>
    </row>
    <row r="283" spans="3:16" x14ac:dyDescent="0.3">
      <c r="C283">
        <f t="shared" si="60"/>
        <v>0</v>
      </c>
      <c r="D283">
        <v>1.6E-2</v>
      </c>
      <c r="E283">
        <v>3.8158201924077539E-3</v>
      </c>
      <c r="F283">
        <f t="shared" si="57"/>
        <v>0</v>
      </c>
      <c r="G283">
        <f t="shared" si="61"/>
        <v>0</v>
      </c>
      <c r="H283">
        <f t="shared" si="62"/>
        <v>0</v>
      </c>
      <c r="I283">
        <v>1</v>
      </c>
      <c r="J283" t="e">
        <f t="shared" si="58"/>
        <v>#NUM!</v>
      </c>
      <c r="K283">
        <f t="shared" si="63"/>
        <v>-1.2217251517752175</v>
      </c>
      <c r="L283">
        <v>1</v>
      </c>
      <c r="M283" t="e">
        <f t="shared" si="59"/>
        <v>#NUM!</v>
      </c>
      <c r="N283">
        <f t="shared" si="64"/>
        <v>0</v>
      </c>
      <c r="O283">
        <f t="shared" si="65"/>
        <v>0</v>
      </c>
      <c r="P283" t="e">
        <f t="shared" si="66"/>
        <v>#NUM!</v>
      </c>
    </row>
    <row r="284" spans="3:16" x14ac:dyDescent="0.3">
      <c r="C284">
        <f t="shared" si="60"/>
        <v>0</v>
      </c>
      <c r="D284">
        <v>1.6E-2</v>
      </c>
      <c r="E284">
        <v>3.8158201924077539E-3</v>
      </c>
      <c r="F284">
        <f t="shared" si="57"/>
        <v>0</v>
      </c>
      <c r="G284">
        <f t="shared" si="61"/>
        <v>0</v>
      </c>
      <c r="H284">
        <f t="shared" si="62"/>
        <v>0</v>
      </c>
      <c r="I284">
        <v>1</v>
      </c>
      <c r="J284" t="e">
        <f t="shared" si="58"/>
        <v>#NUM!</v>
      </c>
      <c r="K284">
        <f t="shared" si="63"/>
        <v>-1.2217251517752175</v>
      </c>
      <c r="L284">
        <v>1</v>
      </c>
      <c r="M284" t="e">
        <f t="shared" si="59"/>
        <v>#NUM!</v>
      </c>
      <c r="N284">
        <f t="shared" si="64"/>
        <v>0</v>
      </c>
      <c r="O284">
        <f t="shared" si="65"/>
        <v>0</v>
      </c>
      <c r="P284" t="e">
        <f t="shared" si="66"/>
        <v>#NUM!</v>
      </c>
    </row>
    <row r="285" spans="3:16" x14ac:dyDescent="0.3">
      <c r="C285">
        <f t="shared" si="60"/>
        <v>0</v>
      </c>
      <c r="D285">
        <v>1.6E-2</v>
      </c>
      <c r="E285">
        <v>3.8158201924077539E-3</v>
      </c>
      <c r="F285">
        <f t="shared" si="57"/>
        <v>0</v>
      </c>
      <c r="G285">
        <f t="shared" si="61"/>
        <v>0</v>
      </c>
      <c r="H285">
        <f t="shared" si="62"/>
        <v>0</v>
      </c>
      <c r="I285">
        <v>1</v>
      </c>
      <c r="J285" t="e">
        <f t="shared" si="58"/>
        <v>#NUM!</v>
      </c>
      <c r="K285">
        <f t="shared" si="63"/>
        <v>-1.2217251517752175</v>
      </c>
      <c r="L285">
        <v>1</v>
      </c>
      <c r="M285" t="e">
        <f t="shared" si="59"/>
        <v>#NUM!</v>
      </c>
      <c r="N285">
        <f t="shared" si="64"/>
        <v>0</v>
      </c>
      <c r="O285">
        <f t="shared" si="65"/>
        <v>0</v>
      </c>
      <c r="P285" t="e">
        <f t="shared" si="66"/>
        <v>#NUM!</v>
      </c>
    </row>
    <row r="286" spans="3:16" x14ac:dyDescent="0.3">
      <c r="C286">
        <f t="shared" si="60"/>
        <v>0</v>
      </c>
      <c r="D286">
        <v>1.6E-2</v>
      </c>
      <c r="E286">
        <v>3.8158201924077539E-3</v>
      </c>
      <c r="F286">
        <f t="shared" si="57"/>
        <v>0</v>
      </c>
      <c r="G286">
        <f t="shared" si="61"/>
        <v>0</v>
      </c>
      <c r="H286">
        <f t="shared" si="62"/>
        <v>0</v>
      </c>
      <c r="I286">
        <v>1</v>
      </c>
      <c r="J286" t="e">
        <f t="shared" si="58"/>
        <v>#NUM!</v>
      </c>
      <c r="K286">
        <f t="shared" si="63"/>
        <v>-1.2217251517752175</v>
      </c>
      <c r="L286">
        <v>1</v>
      </c>
      <c r="M286" t="e">
        <f t="shared" si="59"/>
        <v>#NUM!</v>
      </c>
      <c r="N286">
        <f t="shared" si="64"/>
        <v>0</v>
      </c>
      <c r="O286">
        <f t="shared" si="65"/>
        <v>0</v>
      </c>
      <c r="P286" t="e">
        <f t="shared" si="66"/>
        <v>#NUM!</v>
      </c>
    </row>
    <row r="287" spans="3:16" x14ac:dyDescent="0.3">
      <c r="C287">
        <f t="shared" si="60"/>
        <v>0</v>
      </c>
      <c r="D287">
        <v>1.6E-2</v>
      </c>
      <c r="E287">
        <v>3.8158201924077539E-3</v>
      </c>
      <c r="F287">
        <f t="shared" si="57"/>
        <v>0</v>
      </c>
      <c r="G287">
        <f t="shared" si="61"/>
        <v>0</v>
      </c>
      <c r="H287">
        <f t="shared" si="62"/>
        <v>0</v>
      </c>
      <c r="I287">
        <v>1</v>
      </c>
      <c r="J287" t="e">
        <f t="shared" si="58"/>
        <v>#NUM!</v>
      </c>
      <c r="K287">
        <f t="shared" si="63"/>
        <v>-1.2217251517752175</v>
      </c>
      <c r="L287">
        <v>1</v>
      </c>
      <c r="M287" t="e">
        <f t="shared" si="59"/>
        <v>#NUM!</v>
      </c>
      <c r="N287">
        <f t="shared" si="64"/>
        <v>0</v>
      </c>
      <c r="O287">
        <f t="shared" si="65"/>
        <v>0</v>
      </c>
      <c r="P287" t="e">
        <f t="shared" si="66"/>
        <v>#NUM!</v>
      </c>
    </row>
    <row r="288" spans="3:16" x14ac:dyDescent="0.3">
      <c r="C288">
        <f t="shared" si="60"/>
        <v>0</v>
      </c>
      <c r="D288">
        <v>1.6E-2</v>
      </c>
      <c r="E288">
        <v>3.8158201924077539E-3</v>
      </c>
      <c r="F288">
        <f t="shared" si="57"/>
        <v>0</v>
      </c>
      <c r="G288">
        <f t="shared" si="61"/>
        <v>0</v>
      </c>
      <c r="H288">
        <f t="shared" si="62"/>
        <v>0</v>
      </c>
      <c r="I288">
        <v>1</v>
      </c>
      <c r="J288" t="e">
        <f t="shared" si="58"/>
        <v>#NUM!</v>
      </c>
      <c r="K288">
        <f t="shared" si="63"/>
        <v>-1.2217251517752175</v>
      </c>
      <c r="L288">
        <v>1</v>
      </c>
      <c r="M288" t="e">
        <f t="shared" si="59"/>
        <v>#NUM!</v>
      </c>
      <c r="N288">
        <f t="shared" si="64"/>
        <v>0</v>
      </c>
      <c r="O288">
        <f t="shared" si="65"/>
        <v>0</v>
      </c>
      <c r="P288" t="e">
        <f t="shared" si="66"/>
        <v>#NUM!</v>
      </c>
    </row>
    <row r="289" spans="3:16" x14ac:dyDescent="0.3">
      <c r="C289">
        <f t="shared" si="60"/>
        <v>0</v>
      </c>
      <c r="D289">
        <v>1.6E-2</v>
      </c>
      <c r="E289">
        <v>3.8158201924077539E-3</v>
      </c>
      <c r="F289">
        <f t="shared" si="57"/>
        <v>0</v>
      </c>
      <c r="G289">
        <f t="shared" si="61"/>
        <v>0</v>
      </c>
      <c r="H289">
        <f t="shared" si="62"/>
        <v>0</v>
      </c>
      <c r="I289">
        <v>1</v>
      </c>
      <c r="J289" t="e">
        <f t="shared" si="58"/>
        <v>#NUM!</v>
      </c>
      <c r="K289">
        <f t="shared" si="63"/>
        <v>-1.2217251517752175</v>
      </c>
      <c r="L289">
        <v>1</v>
      </c>
      <c r="M289" t="e">
        <f t="shared" si="59"/>
        <v>#NUM!</v>
      </c>
      <c r="N289">
        <f t="shared" si="64"/>
        <v>0</v>
      </c>
      <c r="O289">
        <f t="shared" si="65"/>
        <v>0</v>
      </c>
      <c r="P289" t="e">
        <f t="shared" si="66"/>
        <v>#NUM!</v>
      </c>
    </row>
    <row r="290" spans="3:16" x14ac:dyDescent="0.3">
      <c r="C290">
        <f t="shared" si="60"/>
        <v>0</v>
      </c>
      <c r="D290">
        <v>1.6E-2</v>
      </c>
      <c r="E290">
        <v>3.8158201924077539E-3</v>
      </c>
      <c r="F290">
        <f t="shared" si="57"/>
        <v>0</v>
      </c>
      <c r="G290">
        <f t="shared" si="61"/>
        <v>0</v>
      </c>
      <c r="H290">
        <f t="shared" si="62"/>
        <v>0</v>
      </c>
      <c r="I290">
        <v>1</v>
      </c>
      <c r="J290" t="e">
        <f t="shared" si="58"/>
        <v>#NUM!</v>
      </c>
      <c r="K290">
        <f t="shared" si="63"/>
        <v>-1.2217251517752175</v>
      </c>
      <c r="L290">
        <v>1</v>
      </c>
      <c r="M290" t="e">
        <f t="shared" si="59"/>
        <v>#NUM!</v>
      </c>
      <c r="N290">
        <f t="shared" si="64"/>
        <v>0</v>
      </c>
      <c r="O290">
        <f t="shared" si="65"/>
        <v>0</v>
      </c>
      <c r="P290" t="e">
        <f t="shared" si="66"/>
        <v>#NUM!</v>
      </c>
    </row>
    <row r="291" spans="3:16" x14ac:dyDescent="0.3">
      <c r="C291">
        <f t="shared" si="60"/>
        <v>0</v>
      </c>
      <c r="D291">
        <v>1.6E-2</v>
      </c>
      <c r="E291">
        <v>3.8158201924077539E-3</v>
      </c>
      <c r="F291">
        <f t="shared" si="57"/>
        <v>0</v>
      </c>
      <c r="G291">
        <f t="shared" si="61"/>
        <v>0</v>
      </c>
      <c r="H291">
        <f t="shared" si="62"/>
        <v>0</v>
      </c>
      <c r="I291">
        <v>1</v>
      </c>
      <c r="J291" t="e">
        <f t="shared" si="58"/>
        <v>#NUM!</v>
      </c>
      <c r="K291">
        <f t="shared" si="63"/>
        <v>-1.2217251517752175</v>
      </c>
      <c r="L291">
        <v>1</v>
      </c>
      <c r="M291" t="e">
        <f t="shared" si="59"/>
        <v>#NUM!</v>
      </c>
      <c r="N291">
        <f t="shared" si="64"/>
        <v>0</v>
      </c>
      <c r="O291">
        <f t="shared" si="65"/>
        <v>0</v>
      </c>
      <c r="P291" t="e">
        <f t="shared" si="66"/>
        <v>#NUM!</v>
      </c>
    </row>
    <row r="292" spans="3:16" x14ac:dyDescent="0.3">
      <c r="C292">
        <f t="shared" si="60"/>
        <v>0</v>
      </c>
      <c r="D292">
        <v>1.6E-2</v>
      </c>
      <c r="E292">
        <v>3.8158201924077539E-3</v>
      </c>
      <c r="F292">
        <f t="shared" si="57"/>
        <v>0</v>
      </c>
      <c r="G292">
        <f t="shared" si="61"/>
        <v>0</v>
      </c>
      <c r="H292">
        <f t="shared" si="62"/>
        <v>0</v>
      </c>
      <c r="I292">
        <v>1</v>
      </c>
      <c r="J292" t="e">
        <f t="shared" si="58"/>
        <v>#NUM!</v>
      </c>
      <c r="K292">
        <f t="shared" si="63"/>
        <v>-1.2217251517752175</v>
      </c>
      <c r="L292">
        <v>1</v>
      </c>
      <c r="M292" t="e">
        <f t="shared" si="59"/>
        <v>#NUM!</v>
      </c>
      <c r="N292">
        <f t="shared" si="64"/>
        <v>0</v>
      </c>
      <c r="O292">
        <f t="shared" si="65"/>
        <v>0</v>
      </c>
      <c r="P292" t="e">
        <f t="shared" si="66"/>
        <v>#NUM!</v>
      </c>
    </row>
    <row r="293" spans="3:16" x14ac:dyDescent="0.3">
      <c r="C293">
        <f t="shared" si="60"/>
        <v>0</v>
      </c>
      <c r="D293">
        <v>1.6E-2</v>
      </c>
      <c r="E293">
        <v>3.8158201924077539E-3</v>
      </c>
      <c r="F293">
        <f t="shared" si="57"/>
        <v>0</v>
      </c>
      <c r="G293">
        <f t="shared" si="61"/>
        <v>0</v>
      </c>
      <c r="H293">
        <f t="shared" si="62"/>
        <v>0</v>
      </c>
      <c r="I293">
        <v>1</v>
      </c>
      <c r="J293" t="e">
        <f t="shared" si="58"/>
        <v>#NUM!</v>
      </c>
      <c r="K293">
        <f t="shared" si="63"/>
        <v>-1.2217251517752175</v>
      </c>
      <c r="L293">
        <v>1</v>
      </c>
      <c r="M293" t="e">
        <f t="shared" si="59"/>
        <v>#NUM!</v>
      </c>
      <c r="N293">
        <f t="shared" si="64"/>
        <v>0</v>
      </c>
      <c r="O293">
        <f t="shared" si="65"/>
        <v>0</v>
      </c>
      <c r="P293" t="e">
        <f t="shared" si="66"/>
        <v>#NUM!</v>
      </c>
    </row>
    <row r="294" spans="3:16" x14ac:dyDescent="0.3">
      <c r="C294">
        <f t="shared" si="60"/>
        <v>0</v>
      </c>
      <c r="D294">
        <v>1.6E-2</v>
      </c>
      <c r="E294">
        <v>3.8158201924077539E-3</v>
      </c>
      <c r="F294">
        <f t="shared" si="57"/>
        <v>0</v>
      </c>
      <c r="G294">
        <f t="shared" si="61"/>
        <v>0</v>
      </c>
      <c r="H294">
        <f t="shared" si="62"/>
        <v>0</v>
      </c>
      <c r="I294">
        <v>1</v>
      </c>
      <c r="J294" t="e">
        <f t="shared" si="58"/>
        <v>#NUM!</v>
      </c>
      <c r="K294">
        <f t="shared" si="63"/>
        <v>-1.2217251517752175</v>
      </c>
      <c r="L294">
        <v>1</v>
      </c>
      <c r="M294" t="e">
        <f t="shared" si="59"/>
        <v>#NUM!</v>
      </c>
      <c r="N294">
        <f t="shared" si="64"/>
        <v>0</v>
      </c>
      <c r="O294">
        <f t="shared" si="65"/>
        <v>0</v>
      </c>
      <c r="P294" t="e">
        <f t="shared" si="66"/>
        <v>#NUM!</v>
      </c>
    </row>
    <row r="295" spans="3:16" x14ac:dyDescent="0.3">
      <c r="C295">
        <f t="shared" si="60"/>
        <v>0</v>
      </c>
      <c r="D295">
        <v>1.6E-2</v>
      </c>
      <c r="E295">
        <v>3.8158201924077539E-3</v>
      </c>
      <c r="F295">
        <f t="shared" si="57"/>
        <v>0</v>
      </c>
      <c r="G295">
        <f t="shared" si="61"/>
        <v>0</v>
      </c>
      <c r="H295">
        <f t="shared" si="62"/>
        <v>0</v>
      </c>
      <c r="I295">
        <v>1</v>
      </c>
      <c r="J295" t="e">
        <f t="shared" si="58"/>
        <v>#NUM!</v>
      </c>
      <c r="K295">
        <f t="shared" si="63"/>
        <v>-1.2217251517752175</v>
      </c>
      <c r="L295">
        <v>1</v>
      </c>
      <c r="M295" t="e">
        <f t="shared" si="59"/>
        <v>#NUM!</v>
      </c>
      <c r="N295">
        <f t="shared" si="64"/>
        <v>0</v>
      </c>
      <c r="O295">
        <f t="shared" si="65"/>
        <v>0</v>
      </c>
      <c r="P295" t="e">
        <f t="shared" si="66"/>
        <v>#NUM!</v>
      </c>
    </row>
    <row r="296" spans="3:16" x14ac:dyDescent="0.3">
      <c r="C296">
        <f t="shared" si="60"/>
        <v>0</v>
      </c>
      <c r="D296">
        <v>1.6E-2</v>
      </c>
      <c r="E296">
        <v>3.8158201924077539E-3</v>
      </c>
      <c r="F296">
        <f t="shared" si="57"/>
        <v>0</v>
      </c>
      <c r="G296">
        <f t="shared" si="61"/>
        <v>0</v>
      </c>
      <c r="H296">
        <f t="shared" si="62"/>
        <v>0</v>
      </c>
      <c r="I296">
        <v>1</v>
      </c>
      <c r="J296" t="e">
        <f t="shared" si="58"/>
        <v>#NUM!</v>
      </c>
      <c r="K296">
        <f t="shared" si="63"/>
        <v>-1.2217251517752175</v>
      </c>
      <c r="L296">
        <v>1</v>
      </c>
      <c r="M296" t="e">
        <f t="shared" si="59"/>
        <v>#NUM!</v>
      </c>
      <c r="N296">
        <f t="shared" si="64"/>
        <v>0</v>
      </c>
      <c r="O296">
        <f t="shared" si="65"/>
        <v>0</v>
      </c>
      <c r="P296" t="e">
        <f t="shared" si="66"/>
        <v>#NUM!</v>
      </c>
    </row>
    <row r="297" spans="3:16" x14ac:dyDescent="0.3">
      <c r="C297">
        <f t="shared" si="60"/>
        <v>0</v>
      </c>
      <c r="D297">
        <v>1.6E-2</v>
      </c>
      <c r="E297">
        <v>3.8158201924077539E-3</v>
      </c>
      <c r="F297">
        <f t="shared" si="57"/>
        <v>0</v>
      </c>
      <c r="G297">
        <f t="shared" si="61"/>
        <v>0</v>
      </c>
      <c r="H297">
        <f t="shared" si="62"/>
        <v>0</v>
      </c>
      <c r="I297">
        <v>1</v>
      </c>
      <c r="J297" t="e">
        <f t="shared" si="58"/>
        <v>#NUM!</v>
      </c>
      <c r="K297">
        <f t="shared" si="63"/>
        <v>-1.2217251517752175</v>
      </c>
      <c r="L297">
        <v>1</v>
      </c>
      <c r="M297" t="e">
        <f t="shared" si="59"/>
        <v>#NUM!</v>
      </c>
      <c r="N297">
        <f t="shared" si="64"/>
        <v>0</v>
      </c>
      <c r="O297">
        <f t="shared" si="65"/>
        <v>0</v>
      </c>
      <c r="P297" t="e">
        <f t="shared" si="66"/>
        <v>#NUM!</v>
      </c>
    </row>
    <row r="298" spans="3:16" x14ac:dyDescent="0.3">
      <c r="C298">
        <f t="shared" si="60"/>
        <v>0</v>
      </c>
      <c r="D298">
        <v>1.6E-2</v>
      </c>
      <c r="E298">
        <v>3.8158201924077539E-3</v>
      </c>
      <c r="F298">
        <f t="shared" si="57"/>
        <v>0</v>
      </c>
      <c r="G298">
        <f t="shared" si="61"/>
        <v>0</v>
      </c>
      <c r="H298">
        <f t="shared" si="62"/>
        <v>0</v>
      </c>
      <c r="I298">
        <v>1</v>
      </c>
      <c r="J298" t="e">
        <f t="shared" si="58"/>
        <v>#NUM!</v>
      </c>
      <c r="K298">
        <f t="shared" si="63"/>
        <v>-1.2217251517752175</v>
      </c>
      <c r="L298">
        <v>1</v>
      </c>
      <c r="M298" t="e">
        <f t="shared" si="59"/>
        <v>#NUM!</v>
      </c>
      <c r="N298">
        <f t="shared" si="64"/>
        <v>0</v>
      </c>
      <c r="O298">
        <f t="shared" si="65"/>
        <v>0</v>
      </c>
      <c r="P298" t="e">
        <f t="shared" si="66"/>
        <v>#NUM!</v>
      </c>
    </row>
    <row r="299" spans="3:16" x14ac:dyDescent="0.3">
      <c r="C299">
        <f t="shared" si="60"/>
        <v>0</v>
      </c>
      <c r="D299">
        <v>1.6E-2</v>
      </c>
      <c r="E299">
        <v>3.8158201924077539E-3</v>
      </c>
      <c r="F299">
        <f t="shared" si="57"/>
        <v>0</v>
      </c>
      <c r="G299">
        <f t="shared" si="61"/>
        <v>0</v>
      </c>
      <c r="H299">
        <f t="shared" si="62"/>
        <v>0</v>
      </c>
      <c r="I299">
        <v>1</v>
      </c>
      <c r="J299" t="e">
        <f t="shared" si="58"/>
        <v>#NUM!</v>
      </c>
      <c r="K299">
        <f t="shared" si="63"/>
        <v>-1.2217251517752175</v>
      </c>
      <c r="L299">
        <v>1</v>
      </c>
      <c r="M299" t="e">
        <f t="shared" si="59"/>
        <v>#NUM!</v>
      </c>
      <c r="N299">
        <f t="shared" si="64"/>
        <v>0</v>
      </c>
      <c r="O299">
        <f t="shared" si="65"/>
        <v>0</v>
      </c>
      <c r="P299" t="e">
        <f t="shared" si="66"/>
        <v>#NUM!</v>
      </c>
    </row>
    <row r="300" spans="3:16" x14ac:dyDescent="0.3">
      <c r="C300">
        <f t="shared" si="60"/>
        <v>0</v>
      </c>
      <c r="D300">
        <v>1.6E-2</v>
      </c>
      <c r="E300">
        <v>3.8158201924077539E-3</v>
      </c>
      <c r="F300">
        <f t="shared" si="57"/>
        <v>0</v>
      </c>
      <c r="G300">
        <f t="shared" si="61"/>
        <v>0</v>
      </c>
      <c r="H300">
        <f t="shared" si="62"/>
        <v>0</v>
      </c>
      <c r="I300">
        <v>1</v>
      </c>
      <c r="J300" t="e">
        <f t="shared" si="58"/>
        <v>#NUM!</v>
      </c>
      <c r="K300">
        <f t="shared" si="63"/>
        <v>-1.2217251517752175</v>
      </c>
      <c r="L300">
        <v>1</v>
      </c>
      <c r="M300" t="e">
        <f t="shared" si="59"/>
        <v>#NUM!</v>
      </c>
      <c r="N300">
        <f t="shared" si="64"/>
        <v>0</v>
      </c>
      <c r="O300">
        <f t="shared" si="65"/>
        <v>0</v>
      </c>
      <c r="P300" t="e">
        <f t="shared" si="66"/>
        <v>#NUM!</v>
      </c>
    </row>
    <row r="301" spans="3:16" x14ac:dyDescent="0.3">
      <c r="C301">
        <f t="shared" si="60"/>
        <v>0</v>
      </c>
      <c r="D301">
        <v>1.6E-2</v>
      </c>
      <c r="E301">
        <v>3.8158201924077539E-3</v>
      </c>
      <c r="F301">
        <f t="shared" si="57"/>
        <v>0</v>
      </c>
      <c r="G301">
        <f t="shared" si="61"/>
        <v>0</v>
      </c>
      <c r="H301">
        <f t="shared" si="62"/>
        <v>0</v>
      </c>
      <c r="I301">
        <v>1</v>
      </c>
      <c r="J301" t="e">
        <f t="shared" si="58"/>
        <v>#NUM!</v>
      </c>
      <c r="K301">
        <f t="shared" si="63"/>
        <v>-1.2217251517752175</v>
      </c>
      <c r="L301">
        <v>1</v>
      </c>
      <c r="M301" t="e">
        <f t="shared" si="59"/>
        <v>#NUM!</v>
      </c>
      <c r="N301">
        <f t="shared" si="64"/>
        <v>0</v>
      </c>
      <c r="O301">
        <f t="shared" si="65"/>
        <v>0</v>
      </c>
      <c r="P301" t="e">
        <f t="shared" si="66"/>
        <v>#NUM!</v>
      </c>
    </row>
    <row r="302" spans="3:16" x14ac:dyDescent="0.3">
      <c r="C302">
        <f t="shared" si="60"/>
        <v>0</v>
      </c>
      <c r="D302">
        <v>1.6E-2</v>
      </c>
      <c r="E302">
        <v>3.8158201924077539E-3</v>
      </c>
      <c r="F302">
        <f t="shared" si="57"/>
        <v>0</v>
      </c>
      <c r="G302">
        <f t="shared" si="61"/>
        <v>0</v>
      </c>
      <c r="H302">
        <f t="shared" si="62"/>
        <v>0</v>
      </c>
      <c r="I302">
        <v>1</v>
      </c>
      <c r="J302" t="e">
        <f t="shared" si="58"/>
        <v>#NUM!</v>
      </c>
      <c r="K302">
        <f t="shared" si="63"/>
        <v>-1.2217251517752175</v>
      </c>
      <c r="L302">
        <v>1</v>
      </c>
      <c r="M302" t="e">
        <f t="shared" si="59"/>
        <v>#NUM!</v>
      </c>
      <c r="N302">
        <f t="shared" si="64"/>
        <v>0</v>
      </c>
      <c r="O302">
        <f t="shared" si="65"/>
        <v>0</v>
      </c>
      <c r="P302" t="e">
        <f t="shared" si="66"/>
        <v>#NUM!</v>
      </c>
    </row>
    <row r="303" spans="3:16" x14ac:dyDescent="0.3">
      <c r="C303">
        <f t="shared" si="60"/>
        <v>0</v>
      </c>
      <c r="D303">
        <v>1.6E-2</v>
      </c>
      <c r="E303">
        <v>3.8158201924077539E-3</v>
      </c>
      <c r="F303">
        <f t="shared" si="57"/>
        <v>0</v>
      </c>
      <c r="G303">
        <f t="shared" si="61"/>
        <v>0</v>
      </c>
      <c r="H303">
        <f t="shared" si="62"/>
        <v>0</v>
      </c>
      <c r="I303">
        <v>1</v>
      </c>
      <c r="J303" t="e">
        <f t="shared" si="58"/>
        <v>#NUM!</v>
      </c>
      <c r="K303">
        <f t="shared" si="63"/>
        <v>-1.2217251517752175</v>
      </c>
      <c r="L303">
        <v>1</v>
      </c>
      <c r="M303" t="e">
        <f t="shared" si="59"/>
        <v>#NUM!</v>
      </c>
      <c r="N303">
        <f t="shared" si="64"/>
        <v>0</v>
      </c>
      <c r="O303">
        <f t="shared" si="65"/>
        <v>0</v>
      </c>
      <c r="P303" t="e">
        <f t="shared" si="66"/>
        <v>#NUM!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C9CD5-D71B-441A-87FC-97CA83070965}">
  <dimension ref="A1:O232"/>
  <sheetViews>
    <sheetView topLeftCell="I201" workbookViewId="0">
      <selection activeCell="O2" sqref="O2:O232"/>
    </sheetView>
  </sheetViews>
  <sheetFormatPr defaultRowHeight="16.5" x14ac:dyDescent="0.3"/>
  <sheetData>
    <row r="1" spans="1:15" x14ac:dyDescent="0.3">
      <c r="A1" t="s">
        <v>22</v>
      </c>
      <c r="B1" t="s">
        <v>22</v>
      </c>
      <c r="C1" t="s">
        <v>23</v>
      </c>
      <c r="D1" t="s">
        <v>24</v>
      </c>
      <c r="I1" s="2">
        <f>Sheet1!N2</f>
        <v>1.2217251517752175</v>
      </c>
    </row>
    <row r="2" spans="1:15" x14ac:dyDescent="0.3">
      <c r="A2">
        <v>6.6100000000000006E-2</v>
      </c>
      <c r="B2">
        <f>A2*200</f>
        <v>13.22</v>
      </c>
      <c r="C2">
        <v>0.84599999999999997</v>
      </c>
      <c r="D2" s="1">
        <v>2.1884744986891747E-2</v>
      </c>
      <c r="E2">
        <f>B2</f>
        <v>13.22</v>
      </c>
      <c r="F2">
        <f>D2-0.0045</f>
        <v>1.7384744986891746E-2</v>
      </c>
      <c r="I2">
        <f t="shared" ref="I2:I65" si="0">C2+(D2*A2)</f>
        <v>0.84744658164363351</v>
      </c>
      <c r="K2">
        <f>I2+(F2*C2)</f>
        <v>0.86215407590254389</v>
      </c>
      <c r="L2">
        <f>K2-$I$1</f>
        <v>-0.35957107587267356</v>
      </c>
      <c r="N2">
        <v>5.2834000000000003</v>
      </c>
      <c r="O2">
        <f>N2/200</f>
        <v>2.6417000000000003E-2</v>
      </c>
    </row>
    <row r="3" spans="1:15" x14ac:dyDescent="0.3">
      <c r="A3">
        <v>0.11699999999999999</v>
      </c>
      <c r="B3">
        <f t="shared" ref="B3:B66" si="1">A3*200</f>
        <v>23.4</v>
      </c>
      <c r="C3">
        <v>0.83699999999999997</v>
      </c>
      <c r="D3" s="1">
        <v>2.0042061805725098E-2</v>
      </c>
      <c r="E3">
        <f t="shared" ref="E3:E66" si="2">B3</f>
        <v>23.4</v>
      </c>
      <c r="F3">
        <f t="shared" ref="F3:F66" si="3">D3-0.0045</f>
        <v>1.5542061805725097E-2</v>
      </c>
      <c r="I3">
        <f t="shared" si="0"/>
        <v>0.8393449212312698</v>
      </c>
      <c r="K3">
        <f t="shared" ref="K3:K66" si="4">I3+(F3*C3)</f>
        <v>0.8523536269626617</v>
      </c>
      <c r="L3">
        <f t="shared" ref="L3:L66" si="5">K3-$I$1</f>
        <v>-0.36937152481255575</v>
      </c>
      <c r="N3">
        <v>15.97625</v>
      </c>
      <c r="O3">
        <f t="shared" ref="O3:O66" si="6">N3/200</f>
        <v>7.9881250000000001E-2</v>
      </c>
    </row>
    <row r="4" spans="1:15" x14ac:dyDescent="0.3">
      <c r="A4">
        <v>0.16800000000000001</v>
      </c>
      <c r="B4">
        <f t="shared" si="1"/>
        <v>33.6</v>
      </c>
      <c r="C4">
        <v>0.82799999999999996</v>
      </c>
      <c r="D4" s="1">
        <v>2.0243566483259201E-2</v>
      </c>
      <c r="E4">
        <f t="shared" si="2"/>
        <v>33.6</v>
      </c>
      <c r="F4">
        <f t="shared" si="3"/>
        <v>1.5743566483259201E-2</v>
      </c>
      <c r="I4">
        <f t="shared" si="0"/>
        <v>0.83140091916918746</v>
      </c>
      <c r="K4">
        <f t="shared" si="4"/>
        <v>0.84443659221732603</v>
      </c>
      <c r="L4">
        <f t="shared" si="5"/>
        <v>-0.37728855955789142</v>
      </c>
      <c r="N4">
        <v>26.05808</v>
      </c>
      <c r="O4">
        <f t="shared" si="6"/>
        <v>0.1302904</v>
      </c>
    </row>
    <row r="5" spans="1:15" x14ac:dyDescent="0.3">
      <c r="A5">
        <v>0.22</v>
      </c>
      <c r="B5">
        <f t="shared" si="1"/>
        <v>44</v>
      </c>
      <c r="C5">
        <v>0.81799999999999995</v>
      </c>
      <c r="D5" s="1">
        <v>1.8567750230431557E-2</v>
      </c>
      <c r="E5">
        <f t="shared" si="2"/>
        <v>44</v>
      </c>
      <c r="F5">
        <f t="shared" si="3"/>
        <v>1.4067750230431556E-2</v>
      </c>
      <c r="I5">
        <f t="shared" si="0"/>
        <v>0.82208490505069487</v>
      </c>
      <c r="K5">
        <f t="shared" si="4"/>
        <v>0.83359232473918787</v>
      </c>
      <c r="L5">
        <f t="shared" si="5"/>
        <v>-0.38813282703602958</v>
      </c>
      <c r="N5">
        <v>36.547260000000001</v>
      </c>
      <c r="O5">
        <f t="shared" si="6"/>
        <v>0.18273630000000002</v>
      </c>
    </row>
    <row r="6" spans="1:15" x14ac:dyDescent="0.3">
      <c r="A6">
        <v>0.27300000000000002</v>
      </c>
      <c r="B6">
        <f t="shared" si="1"/>
        <v>54.6</v>
      </c>
      <c r="C6">
        <v>0.81100000000000005</v>
      </c>
      <c r="D6" s="1">
        <v>2.2923443466424942E-2</v>
      </c>
      <c r="E6">
        <f t="shared" si="2"/>
        <v>54.6</v>
      </c>
      <c r="F6">
        <f t="shared" si="3"/>
        <v>1.8423443466424941E-2</v>
      </c>
      <c r="I6">
        <f t="shared" si="0"/>
        <v>0.81725810006633404</v>
      </c>
      <c r="K6">
        <f t="shared" si="4"/>
        <v>0.83219951271760462</v>
      </c>
      <c r="L6">
        <f t="shared" si="5"/>
        <v>-0.38952563905761284</v>
      </c>
      <c r="N6">
        <v>47.443779999999997</v>
      </c>
      <c r="O6">
        <f t="shared" si="6"/>
        <v>0.23721889999999998</v>
      </c>
    </row>
    <row r="7" spans="1:15" x14ac:dyDescent="0.3">
      <c r="A7">
        <v>0.32400000000000001</v>
      </c>
      <c r="B7">
        <f t="shared" si="1"/>
        <v>64.8</v>
      </c>
      <c r="C7">
        <v>0.80300000000000005</v>
      </c>
      <c r="D7" s="1">
        <v>2.005913108587265E-2</v>
      </c>
      <c r="E7">
        <f t="shared" si="2"/>
        <v>64.8</v>
      </c>
      <c r="F7">
        <f t="shared" si="3"/>
        <v>1.555913108587265E-2</v>
      </c>
      <c r="I7">
        <f t="shared" si="0"/>
        <v>0.80949915847182274</v>
      </c>
      <c r="K7">
        <f t="shared" si="4"/>
        <v>0.82199314073377849</v>
      </c>
      <c r="L7">
        <f t="shared" si="5"/>
        <v>-0.39973201104143896</v>
      </c>
      <c r="N7">
        <v>57.52561</v>
      </c>
      <c r="O7">
        <f t="shared" si="6"/>
        <v>0.28762805000000002</v>
      </c>
    </row>
    <row r="8" spans="1:15" x14ac:dyDescent="0.3">
      <c r="A8">
        <v>0.375</v>
      </c>
      <c r="B8">
        <f t="shared" si="1"/>
        <v>75</v>
      </c>
      <c r="C8">
        <v>0.79700000000000004</v>
      </c>
      <c r="D8" s="1">
        <v>2.0023822784423828E-2</v>
      </c>
      <c r="E8">
        <f t="shared" si="2"/>
        <v>75</v>
      </c>
      <c r="F8">
        <f t="shared" si="3"/>
        <v>1.5523822784423828E-2</v>
      </c>
      <c r="I8">
        <f t="shared" si="0"/>
        <v>0.80450893354415898</v>
      </c>
      <c r="K8">
        <f t="shared" si="4"/>
        <v>0.81688142030334476</v>
      </c>
      <c r="L8">
        <f t="shared" si="5"/>
        <v>-0.40484373147187269</v>
      </c>
      <c r="N8">
        <v>68.014780000000002</v>
      </c>
      <c r="O8">
        <f t="shared" si="6"/>
        <v>0.34007389999999998</v>
      </c>
    </row>
    <row r="9" spans="1:15" x14ac:dyDescent="0.3">
      <c r="A9">
        <v>0.42599999999999999</v>
      </c>
      <c r="B9">
        <f t="shared" si="1"/>
        <v>85.2</v>
      </c>
      <c r="C9">
        <v>0.79100000000000004</v>
      </c>
      <c r="D9" s="1">
        <v>2.0620984956622124E-2</v>
      </c>
      <c r="E9">
        <f t="shared" si="2"/>
        <v>85.2</v>
      </c>
      <c r="F9">
        <f t="shared" si="3"/>
        <v>1.6120984956622123E-2</v>
      </c>
      <c r="I9">
        <f t="shared" si="0"/>
        <v>0.79978453959152107</v>
      </c>
      <c r="K9">
        <f t="shared" si="4"/>
        <v>0.81253623869220915</v>
      </c>
      <c r="L9">
        <f t="shared" si="5"/>
        <v>-0.40918891308300831</v>
      </c>
      <c r="N9">
        <v>78.198440000000005</v>
      </c>
      <c r="O9">
        <f t="shared" si="6"/>
        <v>0.39099220000000001</v>
      </c>
    </row>
    <row r="10" spans="1:15" x14ac:dyDescent="0.3">
      <c r="A10">
        <v>0.47899999999999998</v>
      </c>
      <c r="B10">
        <f t="shared" si="1"/>
        <v>95.8</v>
      </c>
      <c r="C10">
        <v>0.78500000000000003</v>
      </c>
      <c r="D10" s="1">
        <v>2.1501641720533371E-2</v>
      </c>
      <c r="E10">
        <f t="shared" si="2"/>
        <v>95.8</v>
      </c>
      <c r="F10">
        <f t="shared" si="3"/>
        <v>1.700164172053337E-2</v>
      </c>
      <c r="I10">
        <f t="shared" si="0"/>
        <v>0.7952992863841355</v>
      </c>
      <c r="K10">
        <f t="shared" si="4"/>
        <v>0.80864557513475421</v>
      </c>
      <c r="L10">
        <f t="shared" si="5"/>
        <v>-0.41307957664046324</v>
      </c>
      <c r="N10">
        <v>88.483949999999993</v>
      </c>
      <c r="O10">
        <f t="shared" si="6"/>
        <v>0.44241974999999995</v>
      </c>
    </row>
    <row r="11" spans="1:15" x14ac:dyDescent="0.3">
      <c r="A11">
        <v>0.53299999999999992</v>
      </c>
      <c r="B11">
        <f t="shared" si="1"/>
        <v>106.59999999999998</v>
      </c>
      <c r="C11">
        <v>0.77900000000000003</v>
      </c>
      <c r="D11" s="1">
        <v>2.0745120942592621E-2</v>
      </c>
      <c r="E11">
        <f t="shared" si="2"/>
        <v>106.59999999999998</v>
      </c>
      <c r="F11">
        <f t="shared" si="3"/>
        <v>1.624512094259262E-2</v>
      </c>
      <c r="I11">
        <f t="shared" si="0"/>
        <v>0.79005714946240191</v>
      </c>
      <c r="K11">
        <f t="shared" si="4"/>
        <v>0.80271209867668158</v>
      </c>
      <c r="L11">
        <f t="shared" si="5"/>
        <v>-0.41901305309853587</v>
      </c>
      <c r="N11">
        <v>98.667609999999996</v>
      </c>
      <c r="O11">
        <f t="shared" si="6"/>
        <v>0.49333804999999997</v>
      </c>
    </row>
    <row r="12" spans="1:15" x14ac:dyDescent="0.3">
      <c r="A12">
        <v>0.58799999999999997</v>
      </c>
      <c r="B12">
        <f t="shared" si="1"/>
        <v>117.6</v>
      </c>
      <c r="C12">
        <v>0.77400000000000002</v>
      </c>
      <c r="D12" s="1">
        <v>2.2231558337807655E-2</v>
      </c>
      <c r="E12">
        <f t="shared" si="2"/>
        <v>117.6</v>
      </c>
      <c r="F12">
        <f t="shared" si="3"/>
        <v>1.7731558337807655E-2</v>
      </c>
      <c r="I12">
        <f t="shared" si="0"/>
        <v>0.78707215630263094</v>
      </c>
      <c r="K12">
        <f t="shared" si="4"/>
        <v>0.80079638245609408</v>
      </c>
      <c r="L12">
        <f t="shared" si="5"/>
        <v>-0.42092876931912337</v>
      </c>
      <c r="N12">
        <v>109.05495999999999</v>
      </c>
      <c r="O12">
        <f t="shared" si="6"/>
        <v>0.54527479999999995</v>
      </c>
    </row>
    <row r="13" spans="1:15" x14ac:dyDescent="0.3">
      <c r="A13">
        <v>0.63900000000000001</v>
      </c>
      <c r="B13">
        <f t="shared" si="1"/>
        <v>127.8</v>
      </c>
      <c r="C13">
        <v>0.76800000000000002</v>
      </c>
      <c r="D13" s="1">
        <v>2.0618855953216553E-2</v>
      </c>
      <c r="E13">
        <f t="shared" si="2"/>
        <v>127.8</v>
      </c>
      <c r="F13">
        <f t="shared" si="3"/>
        <v>1.6118855953216552E-2</v>
      </c>
      <c r="I13">
        <f t="shared" si="0"/>
        <v>0.7811754489541054</v>
      </c>
      <c r="K13">
        <f t="shared" si="4"/>
        <v>0.79355473032617574</v>
      </c>
      <c r="L13">
        <f t="shared" si="5"/>
        <v>-0.42817042144904172</v>
      </c>
      <c r="N13">
        <v>119.4423</v>
      </c>
      <c r="O13">
        <f t="shared" si="6"/>
        <v>0.59721150000000001</v>
      </c>
    </row>
    <row r="14" spans="1:15" x14ac:dyDescent="0.3">
      <c r="A14">
        <v>0.68900000000000006</v>
      </c>
      <c r="B14">
        <f t="shared" si="1"/>
        <v>137.80000000000001</v>
      </c>
      <c r="C14">
        <v>0.76400000000000001</v>
      </c>
      <c r="D14" s="1">
        <v>2.1578043699264526E-2</v>
      </c>
      <c r="E14">
        <f t="shared" si="2"/>
        <v>137.80000000000001</v>
      </c>
      <c r="F14">
        <f t="shared" si="3"/>
        <v>1.7078043699264526E-2</v>
      </c>
      <c r="I14">
        <f t="shared" si="0"/>
        <v>0.77886727210879325</v>
      </c>
      <c r="K14">
        <f t="shared" si="4"/>
        <v>0.7919148974950313</v>
      </c>
      <c r="L14">
        <f t="shared" si="5"/>
        <v>-0.42981025428018615</v>
      </c>
      <c r="N14">
        <v>129.52412000000001</v>
      </c>
      <c r="O14">
        <f t="shared" si="6"/>
        <v>0.6476206000000001</v>
      </c>
    </row>
    <row r="15" spans="1:15" x14ac:dyDescent="0.3">
      <c r="A15">
        <v>0.74299999999999999</v>
      </c>
      <c r="B15">
        <f t="shared" si="1"/>
        <v>148.6</v>
      </c>
      <c r="C15">
        <v>0.75900000000000001</v>
      </c>
      <c r="D15" s="1">
        <v>2.0844914019107819E-2</v>
      </c>
      <c r="E15">
        <f t="shared" si="2"/>
        <v>148.6</v>
      </c>
      <c r="F15">
        <f t="shared" si="3"/>
        <v>1.6344914019107818E-2</v>
      </c>
      <c r="I15">
        <f t="shared" si="0"/>
        <v>0.77448777111619715</v>
      </c>
      <c r="K15">
        <f t="shared" si="4"/>
        <v>0.78689356085670004</v>
      </c>
      <c r="L15">
        <f t="shared" si="5"/>
        <v>-0.43483159091851742</v>
      </c>
      <c r="N15">
        <v>139.60594</v>
      </c>
      <c r="O15">
        <f t="shared" si="6"/>
        <v>0.69802969999999998</v>
      </c>
    </row>
    <row r="16" spans="1:15" x14ac:dyDescent="0.3">
      <c r="A16">
        <v>0.79400000000000004</v>
      </c>
      <c r="B16">
        <f t="shared" si="1"/>
        <v>158.80000000000001</v>
      </c>
      <c r="C16">
        <v>0.754</v>
      </c>
      <c r="D16" s="1">
        <v>2.178681455552578E-2</v>
      </c>
      <c r="E16">
        <f t="shared" si="2"/>
        <v>158.80000000000001</v>
      </c>
      <c r="F16">
        <f t="shared" si="3"/>
        <v>1.7286814555525779E-2</v>
      </c>
      <c r="I16">
        <f t="shared" si="0"/>
        <v>0.77129873075708744</v>
      </c>
      <c r="K16">
        <f t="shared" si="4"/>
        <v>0.78433298893195391</v>
      </c>
      <c r="L16">
        <f t="shared" si="5"/>
        <v>-0.43739216284326354</v>
      </c>
      <c r="N16">
        <v>150.29879</v>
      </c>
      <c r="O16">
        <f t="shared" si="6"/>
        <v>0.75149394999999997</v>
      </c>
    </row>
    <row r="17" spans="1:15" x14ac:dyDescent="0.3">
      <c r="A17">
        <v>0.84699999999999998</v>
      </c>
      <c r="B17">
        <f t="shared" si="1"/>
        <v>169.4</v>
      </c>
      <c r="C17">
        <v>0.75</v>
      </c>
      <c r="D17" s="1">
        <v>2.1498043090105057E-2</v>
      </c>
      <c r="E17">
        <f t="shared" si="2"/>
        <v>169.4</v>
      </c>
      <c r="F17">
        <f t="shared" si="3"/>
        <v>1.6998043090105056E-2</v>
      </c>
      <c r="I17">
        <f t="shared" si="0"/>
        <v>0.76820884249731902</v>
      </c>
      <c r="K17">
        <f t="shared" si="4"/>
        <v>0.7809573748148978</v>
      </c>
      <c r="L17">
        <f t="shared" si="5"/>
        <v>-0.44076777696031966</v>
      </c>
      <c r="N17">
        <v>160.38063</v>
      </c>
      <c r="O17">
        <f t="shared" si="6"/>
        <v>0.80190315000000001</v>
      </c>
    </row>
    <row r="18" spans="1:15" x14ac:dyDescent="0.3">
      <c r="A18">
        <v>0.89900000000000002</v>
      </c>
      <c r="B18">
        <f t="shared" si="1"/>
        <v>179.8</v>
      </c>
      <c r="C18">
        <v>0.746</v>
      </c>
      <c r="D18" s="1">
        <v>2.1603118628263474E-2</v>
      </c>
      <c r="E18">
        <f t="shared" si="2"/>
        <v>179.8</v>
      </c>
      <c r="F18">
        <f t="shared" si="3"/>
        <v>1.7103118628263473E-2</v>
      </c>
      <c r="I18">
        <f t="shared" si="0"/>
        <v>0.76542120364680888</v>
      </c>
      <c r="K18">
        <f t="shared" si="4"/>
        <v>0.77818013014349341</v>
      </c>
      <c r="L18">
        <f t="shared" si="5"/>
        <v>-0.44354502163172405</v>
      </c>
      <c r="N18">
        <v>170.76795999999999</v>
      </c>
      <c r="O18">
        <f t="shared" si="6"/>
        <v>0.85383979999999993</v>
      </c>
    </row>
    <row r="19" spans="1:15" x14ac:dyDescent="0.3">
      <c r="A19">
        <v>0.95099999999999996</v>
      </c>
      <c r="B19">
        <f t="shared" si="1"/>
        <v>190.2</v>
      </c>
      <c r="C19">
        <v>0.74199999999999999</v>
      </c>
      <c r="D19" s="1">
        <v>2.212035283446312E-2</v>
      </c>
      <c r="E19">
        <f t="shared" si="2"/>
        <v>190.2</v>
      </c>
      <c r="F19">
        <f t="shared" si="3"/>
        <v>1.7620352834463119E-2</v>
      </c>
      <c r="I19">
        <f t="shared" si="0"/>
        <v>0.76303645554557442</v>
      </c>
      <c r="K19">
        <f t="shared" si="4"/>
        <v>0.77611075734874602</v>
      </c>
      <c r="L19">
        <f t="shared" si="5"/>
        <v>-0.44561439442647144</v>
      </c>
      <c r="N19">
        <v>180.84979000000001</v>
      </c>
      <c r="O19">
        <f t="shared" si="6"/>
        <v>0.90424895000000005</v>
      </c>
    </row>
    <row r="20" spans="1:15" x14ac:dyDescent="0.3">
      <c r="A20">
        <v>1</v>
      </c>
      <c r="B20">
        <f t="shared" si="1"/>
        <v>200</v>
      </c>
      <c r="C20">
        <v>0.73699999999999999</v>
      </c>
      <c r="D20" s="1">
        <v>2.1967070177197456E-2</v>
      </c>
      <c r="E20">
        <f t="shared" si="2"/>
        <v>200</v>
      </c>
      <c r="F20">
        <f t="shared" si="3"/>
        <v>1.7467070177197456E-2</v>
      </c>
      <c r="I20">
        <f t="shared" si="0"/>
        <v>0.75896707017719744</v>
      </c>
      <c r="K20">
        <f t="shared" si="4"/>
        <v>0.77184030089779199</v>
      </c>
      <c r="L20">
        <f t="shared" si="5"/>
        <v>-0.44988485087742547</v>
      </c>
      <c r="N20">
        <v>191.54263</v>
      </c>
      <c r="O20">
        <f t="shared" si="6"/>
        <v>0.95771315000000001</v>
      </c>
    </row>
    <row r="21" spans="1:15" x14ac:dyDescent="0.3">
      <c r="A21">
        <v>1.06</v>
      </c>
      <c r="B21">
        <f t="shared" si="1"/>
        <v>212</v>
      </c>
      <c r="C21">
        <v>0.73299999999999998</v>
      </c>
      <c r="D21" s="1">
        <v>2.2100675851106644E-2</v>
      </c>
      <c r="E21">
        <f t="shared" si="2"/>
        <v>212</v>
      </c>
      <c r="F21">
        <f t="shared" si="3"/>
        <v>1.7600675851106643E-2</v>
      </c>
      <c r="I21">
        <f t="shared" si="0"/>
        <v>0.75642671640217307</v>
      </c>
      <c r="K21">
        <f t="shared" si="4"/>
        <v>0.76932801180103427</v>
      </c>
      <c r="L21">
        <f t="shared" si="5"/>
        <v>-0.45239713997418318</v>
      </c>
      <c r="N21">
        <v>201.92998</v>
      </c>
      <c r="O21">
        <f t="shared" si="6"/>
        <v>1.0096499000000001</v>
      </c>
    </row>
    <row r="22" spans="1:15" x14ac:dyDescent="0.3">
      <c r="A22">
        <v>1.1100000000000001</v>
      </c>
      <c r="B22">
        <f t="shared" si="1"/>
        <v>222.00000000000003</v>
      </c>
      <c r="C22">
        <v>0.72899999999999998</v>
      </c>
      <c r="D22" s="1">
        <v>2.1244699135422707E-2</v>
      </c>
      <c r="E22">
        <f t="shared" si="2"/>
        <v>222.00000000000003</v>
      </c>
      <c r="F22">
        <f t="shared" si="3"/>
        <v>1.6744699135422706E-2</v>
      </c>
      <c r="I22">
        <f t="shared" si="0"/>
        <v>0.75258161604031915</v>
      </c>
      <c r="K22">
        <f t="shared" si="4"/>
        <v>0.76478850171004231</v>
      </c>
      <c r="L22">
        <f t="shared" si="5"/>
        <v>-0.45693665006517514</v>
      </c>
      <c r="N22">
        <v>212.72468000000001</v>
      </c>
      <c r="O22">
        <f t="shared" si="6"/>
        <v>1.0636234</v>
      </c>
    </row>
    <row r="23" spans="1:15" x14ac:dyDescent="0.3">
      <c r="A23">
        <v>1.1599999999999999</v>
      </c>
      <c r="B23">
        <f t="shared" si="1"/>
        <v>231.99999999999997</v>
      </c>
      <c r="C23">
        <v>0.72599999999999998</v>
      </c>
      <c r="D23" s="1">
        <v>2.2234654054045677E-2</v>
      </c>
      <c r="E23">
        <f t="shared" si="2"/>
        <v>231.99999999999997</v>
      </c>
      <c r="F23">
        <f t="shared" si="3"/>
        <v>1.7734654054045677E-2</v>
      </c>
      <c r="I23">
        <f t="shared" si="0"/>
        <v>0.75179219870269298</v>
      </c>
      <c r="K23">
        <f t="shared" si="4"/>
        <v>0.76466755754593019</v>
      </c>
      <c r="L23">
        <f t="shared" si="5"/>
        <v>-0.45705759422928727</v>
      </c>
      <c r="N23">
        <v>223.0102</v>
      </c>
      <c r="O23">
        <f t="shared" si="6"/>
        <v>1.115051</v>
      </c>
    </row>
    <row r="24" spans="1:15" x14ac:dyDescent="0.3">
      <c r="A24">
        <v>1.21</v>
      </c>
      <c r="B24">
        <f t="shared" si="1"/>
        <v>242</v>
      </c>
      <c r="C24">
        <v>0.72199999999999998</v>
      </c>
      <c r="D24" s="1">
        <v>2.1999139338731766E-2</v>
      </c>
      <c r="E24">
        <f t="shared" si="2"/>
        <v>242</v>
      </c>
      <c r="F24">
        <f t="shared" si="3"/>
        <v>1.7499139338731765E-2</v>
      </c>
      <c r="I24">
        <f t="shared" si="0"/>
        <v>0.74861895859986538</v>
      </c>
      <c r="K24">
        <f t="shared" si="4"/>
        <v>0.76125333720242971</v>
      </c>
      <c r="L24">
        <f t="shared" si="5"/>
        <v>-0.46047181457278774</v>
      </c>
      <c r="N24">
        <v>233.39753999999999</v>
      </c>
      <c r="O24">
        <f t="shared" si="6"/>
        <v>1.1669877</v>
      </c>
    </row>
    <row r="25" spans="1:15" x14ac:dyDescent="0.3">
      <c r="A25">
        <v>1.27</v>
      </c>
      <c r="B25">
        <f t="shared" si="1"/>
        <v>254</v>
      </c>
      <c r="C25">
        <v>0.71799999999999997</v>
      </c>
      <c r="D25" s="1">
        <v>2.2602859884500504E-2</v>
      </c>
      <c r="E25">
        <f t="shared" si="2"/>
        <v>254</v>
      </c>
      <c r="F25">
        <f t="shared" si="3"/>
        <v>1.8102859884500503E-2</v>
      </c>
      <c r="I25">
        <f t="shared" si="0"/>
        <v>0.74670563205331564</v>
      </c>
      <c r="K25">
        <f t="shared" si="4"/>
        <v>0.75970348545038702</v>
      </c>
      <c r="L25">
        <f t="shared" si="5"/>
        <v>-0.46202166632483044</v>
      </c>
      <c r="N25">
        <v>243.47934000000001</v>
      </c>
      <c r="O25">
        <f t="shared" si="6"/>
        <v>1.2173967000000001</v>
      </c>
    </row>
    <row r="26" spans="1:15" x14ac:dyDescent="0.3">
      <c r="A26">
        <v>1.32</v>
      </c>
      <c r="B26">
        <f t="shared" si="1"/>
        <v>264</v>
      </c>
      <c r="C26">
        <v>0.71399999999999997</v>
      </c>
      <c r="D26" s="1">
        <v>2.1366743370890617E-2</v>
      </c>
      <c r="E26">
        <f t="shared" si="2"/>
        <v>264</v>
      </c>
      <c r="F26">
        <f t="shared" si="3"/>
        <v>1.6866743370890617E-2</v>
      </c>
      <c r="I26">
        <f t="shared" si="0"/>
        <v>0.74220410124957559</v>
      </c>
      <c r="K26">
        <f t="shared" si="4"/>
        <v>0.75424695601639147</v>
      </c>
      <c r="L26">
        <f t="shared" si="5"/>
        <v>-0.46747819575882599</v>
      </c>
      <c r="N26">
        <v>253.76483999999999</v>
      </c>
      <c r="O26">
        <f t="shared" si="6"/>
        <v>1.2688242000000001</v>
      </c>
    </row>
    <row r="27" spans="1:15" x14ac:dyDescent="0.3">
      <c r="A27">
        <v>1.37</v>
      </c>
      <c r="B27">
        <f t="shared" si="1"/>
        <v>274</v>
      </c>
      <c r="C27">
        <v>0.71099999999999997</v>
      </c>
      <c r="D27" s="1">
        <v>2.2445008158683777E-2</v>
      </c>
      <c r="E27">
        <f t="shared" si="2"/>
        <v>274</v>
      </c>
      <c r="F27">
        <f t="shared" si="3"/>
        <v>1.7945008158683776E-2</v>
      </c>
      <c r="I27">
        <f t="shared" si="0"/>
        <v>0.74174966117739671</v>
      </c>
      <c r="K27">
        <f t="shared" si="4"/>
        <v>0.75450856197822092</v>
      </c>
      <c r="L27">
        <f t="shared" si="5"/>
        <v>-0.46721658979699654</v>
      </c>
      <c r="N27">
        <v>264.66138000000001</v>
      </c>
      <c r="O27">
        <f t="shared" si="6"/>
        <v>1.3233069</v>
      </c>
    </row>
    <row r="28" spans="1:15" x14ac:dyDescent="0.3">
      <c r="A28">
        <v>1.42</v>
      </c>
      <c r="B28">
        <f t="shared" si="1"/>
        <v>284</v>
      </c>
      <c r="C28">
        <v>0.70699999999999996</v>
      </c>
      <c r="D28" s="1">
        <v>2.0689802244305611E-2</v>
      </c>
      <c r="E28">
        <f t="shared" si="2"/>
        <v>284</v>
      </c>
      <c r="F28">
        <f t="shared" si="3"/>
        <v>1.618980224430561E-2</v>
      </c>
      <c r="I28">
        <f t="shared" si="0"/>
        <v>0.73637951918691391</v>
      </c>
      <c r="K28">
        <f t="shared" si="4"/>
        <v>0.74782570937363801</v>
      </c>
      <c r="L28">
        <f t="shared" si="5"/>
        <v>-0.47389944240157944</v>
      </c>
      <c r="N28">
        <v>275.35422</v>
      </c>
      <c r="O28">
        <f t="shared" si="6"/>
        <v>1.3767711</v>
      </c>
    </row>
    <row r="29" spans="1:15" x14ac:dyDescent="0.3">
      <c r="A29">
        <v>1.47</v>
      </c>
      <c r="B29">
        <f t="shared" si="1"/>
        <v>294</v>
      </c>
      <c r="C29">
        <v>0.70399999999999996</v>
      </c>
      <c r="D29" s="1">
        <v>2.18848567456007E-2</v>
      </c>
      <c r="E29">
        <f t="shared" si="2"/>
        <v>294</v>
      </c>
      <c r="F29">
        <f t="shared" si="3"/>
        <v>1.73848567456007E-2</v>
      </c>
      <c r="I29">
        <f t="shared" si="0"/>
        <v>0.73617073941603295</v>
      </c>
      <c r="K29">
        <f t="shared" si="4"/>
        <v>0.74840967856493579</v>
      </c>
      <c r="L29">
        <f t="shared" si="5"/>
        <v>-0.47331547321028167</v>
      </c>
      <c r="N29">
        <v>285.74155999999999</v>
      </c>
      <c r="O29">
        <f t="shared" si="6"/>
        <v>1.4287078</v>
      </c>
    </row>
    <row r="30" spans="1:15" x14ac:dyDescent="0.3">
      <c r="A30">
        <v>1.52</v>
      </c>
      <c r="B30">
        <f t="shared" si="1"/>
        <v>304</v>
      </c>
      <c r="C30">
        <v>0.70099999999999996</v>
      </c>
      <c r="D30" s="1">
        <v>2.1423265337944031E-2</v>
      </c>
      <c r="E30">
        <f t="shared" si="2"/>
        <v>304</v>
      </c>
      <c r="F30">
        <f t="shared" si="3"/>
        <v>1.692326533794403E-2</v>
      </c>
      <c r="I30">
        <f t="shared" si="0"/>
        <v>0.73356336331367489</v>
      </c>
      <c r="K30">
        <f t="shared" si="4"/>
        <v>0.74542657231557363</v>
      </c>
      <c r="L30">
        <f t="shared" si="5"/>
        <v>-0.47629857945964382</v>
      </c>
      <c r="N30">
        <v>295.82337999999999</v>
      </c>
      <c r="O30">
        <f t="shared" si="6"/>
        <v>1.4791169</v>
      </c>
    </row>
    <row r="31" spans="1:15" x14ac:dyDescent="0.3">
      <c r="A31">
        <v>1.57</v>
      </c>
      <c r="B31">
        <f t="shared" si="1"/>
        <v>314</v>
      </c>
      <c r="C31">
        <v>0.69699999999999995</v>
      </c>
      <c r="D31" s="1">
        <v>2.2060304880142212E-2</v>
      </c>
      <c r="E31">
        <f t="shared" si="2"/>
        <v>314</v>
      </c>
      <c r="F31">
        <f t="shared" si="3"/>
        <v>1.7560304880142211E-2</v>
      </c>
      <c r="I31">
        <f t="shared" si="0"/>
        <v>0.73163467866182319</v>
      </c>
      <c r="K31">
        <f t="shared" si="4"/>
        <v>0.74387421116328234</v>
      </c>
      <c r="L31">
        <f t="shared" si="5"/>
        <v>-0.47785094061193512</v>
      </c>
      <c r="N31">
        <v>305.90519999999998</v>
      </c>
      <c r="O31">
        <f t="shared" si="6"/>
        <v>1.5295259999999999</v>
      </c>
    </row>
    <row r="32" spans="1:15" x14ac:dyDescent="0.3">
      <c r="A32">
        <v>1.62</v>
      </c>
      <c r="B32">
        <f t="shared" si="1"/>
        <v>324</v>
      </c>
      <c r="C32">
        <v>0.69399999999999995</v>
      </c>
      <c r="D32" s="1">
        <v>2.0660316571593285E-2</v>
      </c>
      <c r="E32">
        <f t="shared" si="2"/>
        <v>324</v>
      </c>
      <c r="F32">
        <f t="shared" si="3"/>
        <v>1.6160316571593284E-2</v>
      </c>
      <c r="I32">
        <f t="shared" si="0"/>
        <v>0.72746971284598105</v>
      </c>
      <c r="K32">
        <f t="shared" si="4"/>
        <v>0.73868497254666676</v>
      </c>
      <c r="L32">
        <f t="shared" si="5"/>
        <v>-0.48304017922855069</v>
      </c>
      <c r="N32">
        <v>316.29257999999999</v>
      </c>
      <c r="O32">
        <f t="shared" si="6"/>
        <v>1.5814629</v>
      </c>
    </row>
    <row r="33" spans="1:15" x14ac:dyDescent="0.3">
      <c r="A33">
        <v>1.68</v>
      </c>
      <c r="B33">
        <f t="shared" si="1"/>
        <v>336</v>
      </c>
      <c r="C33">
        <v>0.69099999999999995</v>
      </c>
      <c r="D33" s="1">
        <v>2.2026369348168373E-2</v>
      </c>
      <c r="E33">
        <f t="shared" si="2"/>
        <v>336</v>
      </c>
      <c r="F33">
        <f t="shared" si="3"/>
        <v>1.7526369348168373E-2</v>
      </c>
      <c r="I33">
        <f t="shared" si="0"/>
        <v>0.72800430050492282</v>
      </c>
      <c r="K33">
        <f t="shared" si="4"/>
        <v>0.74011502172450716</v>
      </c>
      <c r="L33">
        <f t="shared" si="5"/>
        <v>-0.48161013005071029</v>
      </c>
      <c r="N33">
        <v>326.57805999999999</v>
      </c>
      <c r="O33">
        <f t="shared" si="6"/>
        <v>1.6328902999999999</v>
      </c>
    </row>
    <row r="34" spans="1:15" x14ac:dyDescent="0.3">
      <c r="A34">
        <v>1.73</v>
      </c>
      <c r="B34">
        <f t="shared" si="1"/>
        <v>346</v>
      </c>
      <c r="C34">
        <v>0.68700000000000006</v>
      </c>
      <c r="D34" s="1">
        <v>2.0862473174929619E-2</v>
      </c>
      <c r="E34">
        <f t="shared" si="2"/>
        <v>346</v>
      </c>
      <c r="F34">
        <f t="shared" si="3"/>
        <v>1.6362473174929618E-2</v>
      </c>
      <c r="I34">
        <f t="shared" si="0"/>
        <v>0.72309207859262825</v>
      </c>
      <c r="K34">
        <f t="shared" si="4"/>
        <v>0.73433309766380495</v>
      </c>
      <c r="L34">
        <f t="shared" si="5"/>
        <v>-0.48739205411141251</v>
      </c>
      <c r="N34">
        <v>336.65987999999999</v>
      </c>
      <c r="O34">
        <f t="shared" si="6"/>
        <v>1.6832993999999999</v>
      </c>
    </row>
    <row r="35" spans="1:15" x14ac:dyDescent="0.3">
      <c r="A35">
        <v>1.78</v>
      </c>
      <c r="B35">
        <f t="shared" si="1"/>
        <v>356</v>
      </c>
      <c r="C35">
        <v>0.68400000000000005</v>
      </c>
      <c r="D35" s="1">
        <v>2.1696290001273155E-2</v>
      </c>
      <c r="E35">
        <f t="shared" si="2"/>
        <v>356</v>
      </c>
      <c r="F35">
        <f t="shared" si="3"/>
        <v>1.7196290001273155E-2</v>
      </c>
      <c r="I35">
        <f t="shared" si="0"/>
        <v>0.72261939620226623</v>
      </c>
      <c r="K35">
        <f t="shared" si="4"/>
        <v>0.73438165856313709</v>
      </c>
      <c r="L35">
        <f t="shared" si="5"/>
        <v>-0.48734349321208037</v>
      </c>
      <c r="N35">
        <v>347.14904000000001</v>
      </c>
      <c r="O35">
        <f t="shared" si="6"/>
        <v>1.7357452</v>
      </c>
    </row>
    <row r="36" spans="1:15" x14ac:dyDescent="0.3">
      <c r="A36">
        <v>1.83</v>
      </c>
      <c r="B36">
        <f t="shared" si="1"/>
        <v>366</v>
      </c>
      <c r="C36">
        <v>0.68100000000000005</v>
      </c>
      <c r="D36" s="1">
        <v>2.0726272836327553E-2</v>
      </c>
      <c r="E36">
        <f t="shared" si="2"/>
        <v>366</v>
      </c>
      <c r="F36">
        <f t="shared" si="3"/>
        <v>1.6226272836327552E-2</v>
      </c>
      <c r="I36">
        <f t="shared" si="0"/>
        <v>0.71892907929047944</v>
      </c>
      <c r="K36">
        <f t="shared" si="4"/>
        <v>0.72997917109201849</v>
      </c>
      <c r="L36">
        <f t="shared" si="5"/>
        <v>-0.49174598068319897</v>
      </c>
      <c r="N36">
        <v>357.33271999999999</v>
      </c>
      <c r="O36">
        <f t="shared" si="6"/>
        <v>1.7866636</v>
      </c>
    </row>
    <row r="37" spans="1:15" x14ac:dyDescent="0.3">
      <c r="A37">
        <v>1.88</v>
      </c>
      <c r="B37">
        <f t="shared" si="1"/>
        <v>376</v>
      </c>
      <c r="C37">
        <v>0.67800000000000005</v>
      </c>
      <c r="D37" s="1">
        <v>2.2084586322307587E-2</v>
      </c>
      <c r="E37">
        <f t="shared" si="2"/>
        <v>376</v>
      </c>
      <c r="F37">
        <f t="shared" si="3"/>
        <v>1.7584586322307586E-2</v>
      </c>
      <c r="I37">
        <f t="shared" si="0"/>
        <v>0.71951902228593834</v>
      </c>
      <c r="K37">
        <f t="shared" si="4"/>
        <v>0.73144137181246283</v>
      </c>
      <c r="L37">
        <f t="shared" si="5"/>
        <v>-0.49028377996275463</v>
      </c>
      <c r="N37">
        <v>367.92376000000002</v>
      </c>
      <c r="O37">
        <f t="shared" si="6"/>
        <v>1.8396188</v>
      </c>
    </row>
    <row r="38" spans="1:15" x14ac:dyDescent="0.3">
      <c r="A38">
        <v>1.93</v>
      </c>
      <c r="B38">
        <f t="shared" si="1"/>
        <v>386</v>
      </c>
      <c r="C38">
        <v>0.67500000000000004</v>
      </c>
      <c r="D38" s="1">
        <v>2.0804669708013535E-2</v>
      </c>
      <c r="E38">
        <f t="shared" si="2"/>
        <v>386</v>
      </c>
      <c r="F38">
        <f t="shared" si="3"/>
        <v>1.6304669708013534E-2</v>
      </c>
      <c r="I38">
        <f t="shared" si="0"/>
        <v>0.71515301253646613</v>
      </c>
      <c r="K38">
        <f t="shared" si="4"/>
        <v>0.72615866458937528</v>
      </c>
      <c r="L38">
        <f t="shared" si="5"/>
        <v>-0.49556648718584217</v>
      </c>
      <c r="N38">
        <v>378.51474000000002</v>
      </c>
      <c r="O38">
        <f t="shared" si="6"/>
        <v>1.8925737</v>
      </c>
    </row>
    <row r="39" spans="1:15" x14ac:dyDescent="0.3">
      <c r="A39">
        <v>1.98</v>
      </c>
      <c r="B39">
        <f t="shared" si="1"/>
        <v>396</v>
      </c>
      <c r="C39">
        <v>0.67200000000000004</v>
      </c>
      <c r="D39" s="1">
        <v>2.1982461214065552E-2</v>
      </c>
      <c r="E39">
        <f t="shared" si="2"/>
        <v>396</v>
      </c>
      <c r="F39">
        <f t="shared" si="3"/>
        <v>1.7482461214065551E-2</v>
      </c>
      <c r="I39">
        <f t="shared" si="0"/>
        <v>0.71552527320384984</v>
      </c>
      <c r="K39">
        <f t="shared" si="4"/>
        <v>0.72727348713970186</v>
      </c>
      <c r="L39">
        <f t="shared" si="5"/>
        <v>-0.4944516646355156</v>
      </c>
      <c r="N39">
        <v>388.59658000000002</v>
      </c>
      <c r="O39">
        <f t="shared" si="6"/>
        <v>1.9429829000000001</v>
      </c>
    </row>
    <row r="40" spans="1:15" x14ac:dyDescent="0.3">
      <c r="A40">
        <v>2.04</v>
      </c>
      <c r="B40">
        <f t="shared" si="1"/>
        <v>408</v>
      </c>
      <c r="C40">
        <v>0.66900000000000004</v>
      </c>
      <c r="D40" s="1">
        <v>2.0762134343385696E-2</v>
      </c>
      <c r="E40">
        <f t="shared" si="2"/>
        <v>408</v>
      </c>
      <c r="F40">
        <f t="shared" si="3"/>
        <v>1.6262134343385696E-2</v>
      </c>
      <c r="I40">
        <f t="shared" si="0"/>
        <v>0.71135475406050686</v>
      </c>
      <c r="K40">
        <f t="shared" si="4"/>
        <v>0.72223412193623193</v>
      </c>
      <c r="L40">
        <f t="shared" si="5"/>
        <v>-0.49949102983898552</v>
      </c>
      <c r="N40">
        <v>399.08575999999999</v>
      </c>
      <c r="O40">
        <f t="shared" si="6"/>
        <v>1.9954288</v>
      </c>
    </row>
    <row r="41" spans="1:15" x14ac:dyDescent="0.3">
      <c r="A41">
        <v>2.09</v>
      </c>
      <c r="B41">
        <f t="shared" si="1"/>
        <v>418</v>
      </c>
      <c r="C41">
        <v>0.66600000000000004</v>
      </c>
      <c r="D41" s="1">
        <v>2.174874022603035E-2</v>
      </c>
      <c r="E41">
        <f t="shared" si="2"/>
        <v>418</v>
      </c>
      <c r="F41">
        <f t="shared" si="3"/>
        <v>1.7248740226030349E-2</v>
      </c>
      <c r="I41">
        <f t="shared" si="0"/>
        <v>0.71145486707240346</v>
      </c>
      <c r="K41">
        <f t="shared" si="4"/>
        <v>0.72294252806293968</v>
      </c>
      <c r="L41">
        <f t="shared" si="5"/>
        <v>-0.49878262371227777</v>
      </c>
      <c r="N41">
        <v>409.67680000000001</v>
      </c>
      <c r="O41">
        <f t="shared" si="6"/>
        <v>2.048384</v>
      </c>
    </row>
    <row r="42" spans="1:15" x14ac:dyDescent="0.3">
      <c r="A42">
        <v>2.14</v>
      </c>
      <c r="B42">
        <f t="shared" si="1"/>
        <v>428</v>
      </c>
      <c r="C42">
        <v>0.66300000000000003</v>
      </c>
      <c r="D42" s="1">
        <v>2.0798899233341217E-2</v>
      </c>
      <c r="E42">
        <f t="shared" si="2"/>
        <v>428</v>
      </c>
      <c r="F42">
        <f t="shared" si="3"/>
        <v>1.6298899233341217E-2</v>
      </c>
      <c r="I42">
        <f t="shared" si="0"/>
        <v>0.70750964435935026</v>
      </c>
      <c r="K42">
        <f t="shared" si="4"/>
        <v>0.71831581455105553</v>
      </c>
      <c r="L42">
        <f t="shared" si="5"/>
        <v>-0.50340933722416192</v>
      </c>
      <c r="N42">
        <v>419.7586</v>
      </c>
      <c r="O42">
        <f t="shared" si="6"/>
        <v>2.0987930000000001</v>
      </c>
    </row>
    <row r="43" spans="1:15" x14ac:dyDescent="0.3">
      <c r="A43">
        <v>2.19</v>
      </c>
      <c r="B43">
        <f t="shared" si="1"/>
        <v>438</v>
      </c>
      <c r="C43">
        <v>0.66</v>
      </c>
      <c r="D43" s="1">
        <v>2.1284637972712517E-2</v>
      </c>
      <c r="E43">
        <f t="shared" si="2"/>
        <v>438</v>
      </c>
      <c r="F43">
        <f t="shared" si="3"/>
        <v>1.6784637972712516E-2</v>
      </c>
      <c r="I43">
        <f t="shared" si="0"/>
        <v>0.70661335716024043</v>
      </c>
      <c r="K43">
        <f t="shared" si="4"/>
        <v>0.7176912182222307</v>
      </c>
      <c r="L43">
        <f t="shared" si="5"/>
        <v>-0.50403393355298676</v>
      </c>
      <c r="N43">
        <v>429.94227999999998</v>
      </c>
      <c r="O43">
        <f t="shared" si="6"/>
        <v>2.1497113999999997</v>
      </c>
    </row>
    <row r="44" spans="1:15" x14ac:dyDescent="0.3">
      <c r="A44">
        <v>2.25</v>
      </c>
      <c r="B44">
        <f t="shared" si="1"/>
        <v>450</v>
      </c>
      <c r="C44">
        <v>0.65700000000000003</v>
      </c>
      <c r="D44" s="1">
        <v>2.1058367565274239E-2</v>
      </c>
      <c r="E44">
        <f t="shared" si="2"/>
        <v>450</v>
      </c>
      <c r="F44">
        <f t="shared" si="3"/>
        <v>1.6558367565274238E-2</v>
      </c>
      <c r="I44">
        <f t="shared" si="0"/>
        <v>0.70438132702186707</v>
      </c>
      <c r="K44">
        <f t="shared" si="4"/>
        <v>0.71526017451225221</v>
      </c>
      <c r="L44">
        <f t="shared" si="5"/>
        <v>-0.50646497726296524</v>
      </c>
      <c r="N44">
        <v>440.32963999999998</v>
      </c>
      <c r="O44">
        <f t="shared" si="6"/>
        <v>2.2016481999999997</v>
      </c>
    </row>
    <row r="45" spans="1:15" x14ac:dyDescent="0.3">
      <c r="A45">
        <v>2.2999999999999998</v>
      </c>
      <c r="B45">
        <f t="shared" si="1"/>
        <v>459.99999999999994</v>
      </c>
      <c r="C45">
        <v>0.65400000000000003</v>
      </c>
      <c r="D45" s="1">
        <v>2.1284347400069237E-2</v>
      </c>
      <c r="E45">
        <f t="shared" si="2"/>
        <v>459.99999999999994</v>
      </c>
      <c r="F45">
        <f t="shared" si="3"/>
        <v>1.6784347400069236E-2</v>
      </c>
      <c r="I45">
        <f t="shared" si="0"/>
        <v>0.70295399902015931</v>
      </c>
      <c r="K45">
        <f t="shared" si="4"/>
        <v>0.71393096221980457</v>
      </c>
      <c r="L45">
        <f t="shared" si="5"/>
        <v>-0.50779418955541289</v>
      </c>
      <c r="N45">
        <v>450.71694000000002</v>
      </c>
      <c r="O45">
        <f t="shared" si="6"/>
        <v>2.2535847000000002</v>
      </c>
    </row>
    <row r="46" spans="1:15" x14ac:dyDescent="0.3">
      <c r="A46">
        <v>2.35</v>
      </c>
      <c r="B46">
        <f t="shared" si="1"/>
        <v>470</v>
      </c>
      <c r="C46">
        <v>0.65100000000000002</v>
      </c>
      <c r="D46" s="1">
        <v>2.1715585142374039E-2</v>
      </c>
      <c r="E46">
        <f t="shared" si="2"/>
        <v>470</v>
      </c>
      <c r="F46">
        <f t="shared" si="3"/>
        <v>1.7215585142374038E-2</v>
      </c>
      <c r="I46">
        <f t="shared" si="0"/>
        <v>0.70203162508457906</v>
      </c>
      <c r="K46">
        <f t="shared" si="4"/>
        <v>0.71323897101226452</v>
      </c>
      <c r="L46">
        <f t="shared" si="5"/>
        <v>-0.50848618076295293</v>
      </c>
      <c r="N46">
        <v>461.20616000000001</v>
      </c>
      <c r="O46">
        <f t="shared" si="6"/>
        <v>2.3060308000000003</v>
      </c>
    </row>
    <row r="47" spans="1:15" x14ac:dyDescent="0.3">
      <c r="A47">
        <v>2.4</v>
      </c>
      <c r="B47">
        <f t="shared" si="1"/>
        <v>480</v>
      </c>
      <c r="C47">
        <v>0.64800000000000002</v>
      </c>
      <c r="D47" s="1">
        <v>2.1623250097036362E-2</v>
      </c>
      <c r="E47">
        <f t="shared" si="2"/>
        <v>480</v>
      </c>
      <c r="F47">
        <f t="shared" si="3"/>
        <v>1.7123250097036361E-2</v>
      </c>
      <c r="I47">
        <f t="shared" si="0"/>
        <v>0.69989580023288733</v>
      </c>
      <c r="K47">
        <f t="shared" si="4"/>
        <v>0.71099166629576693</v>
      </c>
      <c r="L47">
        <f t="shared" si="5"/>
        <v>-0.51073348547945052</v>
      </c>
      <c r="N47">
        <v>472.51006000000001</v>
      </c>
      <c r="O47">
        <f t="shared" si="6"/>
        <v>2.3625503000000001</v>
      </c>
    </row>
    <row r="48" spans="1:15" x14ac:dyDescent="0.3">
      <c r="A48">
        <v>2.4500000000000002</v>
      </c>
      <c r="B48">
        <f t="shared" si="1"/>
        <v>490.00000000000006</v>
      </c>
      <c r="C48">
        <v>0.64600000000000002</v>
      </c>
      <c r="D48" s="1">
        <v>2.0900914445519447E-2</v>
      </c>
      <c r="E48">
        <f t="shared" si="2"/>
        <v>490.00000000000006</v>
      </c>
      <c r="F48">
        <f t="shared" si="3"/>
        <v>1.6400914445519447E-2</v>
      </c>
      <c r="I48">
        <f t="shared" si="0"/>
        <v>0.69720724039152271</v>
      </c>
      <c r="K48">
        <f t="shared" si="4"/>
        <v>0.7078022311233283</v>
      </c>
      <c r="L48">
        <f t="shared" si="5"/>
        <v>-0.51392292065188916</v>
      </c>
      <c r="N48">
        <v>483.71206000000001</v>
      </c>
      <c r="O48">
        <f t="shared" si="6"/>
        <v>2.4185603000000002</v>
      </c>
    </row>
    <row r="49" spans="1:15" x14ac:dyDescent="0.3">
      <c r="A49">
        <v>2.5</v>
      </c>
      <c r="B49">
        <f t="shared" si="1"/>
        <v>500</v>
      </c>
      <c r="C49">
        <v>0.64300000000000002</v>
      </c>
      <c r="D49" s="1">
        <v>2.1398965269327164E-2</v>
      </c>
      <c r="E49">
        <f t="shared" si="2"/>
        <v>500</v>
      </c>
      <c r="F49">
        <f t="shared" si="3"/>
        <v>1.6898965269327163E-2</v>
      </c>
      <c r="I49">
        <f t="shared" si="0"/>
        <v>0.69649741317331793</v>
      </c>
      <c r="K49">
        <f t="shared" si="4"/>
        <v>0.7073634478414953</v>
      </c>
      <c r="L49">
        <f t="shared" si="5"/>
        <v>-0.51436170393372216</v>
      </c>
      <c r="N49">
        <v>494.91406000000001</v>
      </c>
      <c r="O49">
        <f t="shared" si="6"/>
        <v>2.4745702999999999</v>
      </c>
    </row>
    <row r="50" spans="1:15" x14ac:dyDescent="0.3">
      <c r="A50">
        <v>2.56</v>
      </c>
      <c r="B50">
        <f t="shared" si="1"/>
        <v>512</v>
      </c>
      <c r="C50">
        <v>0.64</v>
      </c>
      <c r="D50" s="1">
        <v>2.1114261820912361E-2</v>
      </c>
      <c r="E50">
        <f t="shared" si="2"/>
        <v>512</v>
      </c>
      <c r="F50">
        <f t="shared" si="3"/>
        <v>1.6614261820912361E-2</v>
      </c>
      <c r="I50">
        <f t="shared" si="0"/>
        <v>0.69405251026153569</v>
      </c>
      <c r="K50">
        <f t="shared" si="4"/>
        <v>0.70468563782691962</v>
      </c>
      <c r="L50">
        <f t="shared" si="5"/>
        <v>-0.51703951394829784</v>
      </c>
      <c r="N50">
        <v>505.19956000000002</v>
      </c>
      <c r="O50">
        <f t="shared" si="6"/>
        <v>2.5259978000000003</v>
      </c>
    </row>
    <row r="51" spans="1:15" x14ac:dyDescent="0.3">
      <c r="A51">
        <v>2.61</v>
      </c>
      <c r="B51">
        <f t="shared" si="1"/>
        <v>522</v>
      </c>
      <c r="C51">
        <v>0.63700000000000001</v>
      </c>
      <c r="D51" s="1">
        <v>2.0891463384032249E-2</v>
      </c>
      <c r="E51">
        <f t="shared" si="2"/>
        <v>522</v>
      </c>
      <c r="F51">
        <f t="shared" si="3"/>
        <v>1.6391463384032249E-2</v>
      </c>
      <c r="I51">
        <f t="shared" si="0"/>
        <v>0.69152671943232413</v>
      </c>
      <c r="K51">
        <f t="shared" si="4"/>
        <v>0.70196808160795265</v>
      </c>
      <c r="L51">
        <f t="shared" si="5"/>
        <v>-0.5197570701672648</v>
      </c>
      <c r="N51">
        <v>515.79052000000001</v>
      </c>
      <c r="O51">
        <f t="shared" si="6"/>
        <v>2.5789526</v>
      </c>
    </row>
    <row r="52" spans="1:15" x14ac:dyDescent="0.3">
      <c r="A52">
        <v>2.66</v>
      </c>
      <c r="B52">
        <f t="shared" si="1"/>
        <v>532</v>
      </c>
      <c r="C52">
        <v>0.63400000000000001</v>
      </c>
      <c r="D52" s="1">
        <v>2.088642492890358E-2</v>
      </c>
      <c r="E52">
        <f t="shared" si="2"/>
        <v>532</v>
      </c>
      <c r="F52">
        <f t="shared" si="3"/>
        <v>1.6386424928903579E-2</v>
      </c>
      <c r="I52">
        <f t="shared" si="0"/>
        <v>0.68955789031088355</v>
      </c>
      <c r="K52">
        <f t="shared" si="4"/>
        <v>0.69994688371580838</v>
      </c>
      <c r="L52">
        <f t="shared" si="5"/>
        <v>-0.52177826805940908</v>
      </c>
      <c r="N52">
        <v>526.17791999999997</v>
      </c>
      <c r="O52">
        <f t="shared" si="6"/>
        <v>2.6308895999999997</v>
      </c>
    </row>
    <row r="53" spans="1:15" x14ac:dyDescent="0.3">
      <c r="A53">
        <v>2.71</v>
      </c>
      <c r="B53">
        <f t="shared" si="1"/>
        <v>542</v>
      </c>
      <c r="C53">
        <v>0.63100000000000001</v>
      </c>
      <c r="D53" s="1">
        <v>2.1639686077833176E-2</v>
      </c>
      <c r="E53">
        <f t="shared" si="2"/>
        <v>542</v>
      </c>
      <c r="F53">
        <f t="shared" si="3"/>
        <v>1.7139686077833175E-2</v>
      </c>
      <c r="I53">
        <f t="shared" si="0"/>
        <v>0.68964354927092786</v>
      </c>
      <c r="K53">
        <f t="shared" si="4"/>
        <v>0.70045869118604054</v>
      </c>
      <c r="L53">
        <f t="shared" si="5"/>
        <v>-0.52126646058917692</v>
      </c>
      <c r="N53">
        <v>536.25972000000002</v>
      </c>
      <c r="O53">
        <f t="shared" si="6"/>
        <v>2.6812985999999999</v>
      </c>
    </row>
    <row r="54" spans="1:15" x14ac:dyDescent="0.3">
      <c r="A54">
        <v>2.76</v>
      </c>
      <c r="B54">
        <f t="shared" si="1"/>
        <v>552</v>
      </c>
      <c r="C54">
        <v>0.629</v>
      </c>
      <c r="D54" s="1">
        <v>2.0853683352470398E-2</v>
      </c>
      <c r="E54">
        <f t="shared" si="2"/>
        <v>552</v>
      </c>
      <c r="F54">
        <f t="shared" si="3"/>
        <v>1.6353683352470397E-2</v>
      </c>
      <c r="I54">
        <f t="shared" si="0"/>
        <v>0.68655616605281833</v>
      </c>
      <c r="K54">
        <f t="shared" si="4"/>
        <v>0.69684263288152226</v>
      </c>
      <c r="L54">
        <f t="shared" si="5"/>
        <v>-0.52488251889369519</v>
      </c>
      <c r="N54">
        <v>546.74887999999999</v>
      </c>
      <c r="O54">
        <f t="shared" si="6"/>
        <v>2.7337444</v>
      </c>
    </row>
    <row r="55" spans="1:15" x14ac:dyDescent="0.3">
      <c r="A55">
        <v>2.81</v>
      </c>
      <c r="B55">
        <f t="shared" si="1"/>
        <v>562</v>
      </c>
      <c r="C55">
        <v>0.626</v>
      </c>
      <c r="D55" s="1">
        <v>2.0424038171768188E-2</v>
      </c>
      <c r="E55">
        <f t="shared" si="2"/>
        <v>562</v>
      </c>
      <c r="F55">
        <f t="shared" si="3"/>
        <v>1.5924038171768188E-2</v>
      </c>
      <c r="I55">
        <f t="shared" si="0"/>
        <v>0.6833915472626686</v>
      </c>
      <c r="K55">
        <f t="shared" si="4"/>
        <v>0.69335999515819546</v>
      </c>
      <c r="L55">
        <f t="shared" si="5"/>
        <v>-0.52836515661702199</v>
      </c>
      <c r="N55">
        <v>557.33993999999996</v>
      </c>
      <c r="O55">
        <f t="shared" si="6"/>
        <v>2.7866996999999998</v>
      </c>
    </row>
    <row r="56" spans="1:15" x14ac:dyDescent="0.3">
      <c r="A56">
        <v>2.87</v>
      </c>
      <c r="B56">
        <f t="shared" si="1"/>
        <v>574</v>
      </c>
      <c r="C56">
        <v>0.623</v>
      </c>
      <c r="D56" s="1">
        <v>2.127382904291153E-2</v>
      </c>
      <c r="E56">
        <f t="shared" si="2"/>
        <v>574</v>
      </c>
      <c r="F56">
        <f t="shared" si="3"/>
        <v>1.6773829042911529E-2</v>
      </c>
      <c r="I56">
        <f t="shared" si="0"/>
        <v>0.68405588935315609</v>
      </c>
      <c r="K56">
        <f t="shared" si="4"/>
        <v>0.69450598484688997</v>
      </c>
      <c r="L56">
        <f t="shared" si="5"/>
        <v>-0.52721916692832749</v>
      </c>
      <c r="N56">
        <v>567.62544000000003</v>
      </c>
      <c r="O56">
        <f t="shared" si="6"/>
        <v>2.8381272000000002</v>
      </c>
    </row>
    <row r="57" spans="1:15" x14ac:dyDescent="0.3">
      <c r="A57">
        <v>2.92</v>
      </c>
      <c r="B57">
        <f t="shared" si="1"/>
        <v>584</v>
      </c>
      <c r="C57">
        <v>0.621</v>
      </c>
      <c r="D57" s="1">
        <v>2.1569652482867241E-2</v>
      </c>
      <c r="E57">
        <f t="shared" si="2"/>
        <v>584</v>
      </c>
      <c r="F57">
        <f t="shared" si="3"/>
        <v>1.706965248286724E-2</v>
      </c>
      <c r="I57">
        <f t="shared" si="0"/>
        <v>0.68398338524997238</v>
      </c>
      <c r="K57">
        <f t="shared" si="4"/>
        <v>0.69458363944183288</v>
      </c>
      <c r="L57">
        <f t="shared" si="5"/>
        <v>-0.52714151233338458</v>
      </c>
      <c r="N57">
        <v>578.52197999999999</v>
      </c>
      <c r="O57">
        <f t="shared" si="6"/>
        <v>2.8926099000000001</v>
      </c>
    </row>
    <row r="58" spans="1:15" x14ac:dyDescent="0.3">
      <c r="A58">
        <v>2.97</v>
      </c>
      <c r="B58">
        <f t="shared" si="1"/>
        <v>594</v>
      </c>
      <c r="C58">
        <v>0.61799999999999999</v>
      </c>
      <c r="D58" s="1">
        <v>2.0691882818937302E-2</v>
      </c>
      <c r="E58">
        <f t="shared" si="2"/>
        <v>594</v>
      </c>
      <c r="F58">
        <f t="shared" si="3"/>
        <v>1.6191882818937301E-2</v>
      </c>
      <c r="I58">
        <f t="shared" si="0"/>
        <v>0.67945489197224374</v>
      </c>
      <c r="K58">
        <f t="shared" si="4"/>
        <v>0.689461475554347</v>
      </c>
      <c r="L58">
        <f t="shared" si="5"/>
        <v>-0.53226367622087045</v>
      </c>
      <c r="N58">
        <v>589.11293999999998</v>
      </c>
      <c r="O58">
        <f t="shared" si="6"/>
        <v>2.9455646999999998</v>
      </c>
    </row>
    <row r="59" spans="1:15" x14ac:dyDescent="0.3">
      <c r="A59">
        <v>3.02</v>
      </c>
      <c r="B59">
        <f t="shared" si="1"/>
        <v>604</v>
      </c>
      <c r="C59">
        <v>0.61499999999999999</v>
      </c>
      <c r="D59" s="1">
        <v>2.1070763468742371E-2</v>
      </c>
      <c r="E59">
        <f t="shared" si="2"/>
        <v>604</v>
      </c>
      <c r="F59">
        <f t="shared" si="3"/>
        <v>1.657076346874237E-2</v>
      </c>
      <c r="I59">
        <f t="shared" si="0"/>
        <v>0.67863370567560199</v>
      </c>
      <c r="K59">
        <f t="shared" si="4"/>
        <v>0.68882472520887861</v>
      </c>
      <c r="L59">
        <f t="shared" si="5"/>
        <v>-0.53290042656633885</v>
      </c>
      <c r="N59">
        <v>599.29664000000002</v>
      </c>
      <c r="O59">
        <f t="shared" si="6"/>
        <v>2.9964832000000001</v>
      </c>
    </row>
    <row r="60" spans="1:15" x14ac:dyDescent="0.3">
      <c r="A60">
        <v>3.07</v>
      </c>
      <c r="B60">
        <f t="shared" si="1"/>
        <v>614</v>
      </c>
      <c r="C60">
        <v>0.61299999999999999</v>
      </c>
      <c r="D60" s="1">
        <v>2.0879093557596207E-2</v>
      </c>
      <c r="E60">
        <f t="shared" si="2"/>
        <v>614</v>
      </c>
      <c r="F60">
        <f t="shared" si="3"/>
        <v>1.6379093557596206E-2</v>
      </c>
      <c r="I60">
        <f t="shared" si="0"/>
        <v>0.6770988172218203</v>
      </c>
      <c r="K60">
        <f t="shared" si="4"/>
        <v>0.68713920157262676</v>
      </c>
      <c r="L60">
        <f t="shared" si="5"/>
        <v>-0.5345859502025907</v>
      </c>
      <c r="N60">
        <v>609.37846000000002</v>
      </c>
      <c r="O60">
        <f t="shared" si="6"/>
        <v>3.0468923000000001</v>
      </c>
    </row>
    <row r="61" spans="1:15" x14ac:dyDescent="0.3">
      <c r="A61">
        <v>3.13</v>
      </c>
      <c r="B61">
        <f t="shared" si="1"/>
        <v>626</v>
      </c>
      <c r="C61">
        <v>0.61</v>
      </c>
      <c r="D61" s="1">
        <v>2.1399419754743576E-2</v>
      </c>
      <c r="E61">
        <f t="shared" si="2"/>
        <v>626</v>
      </c>
      <c r="F61">
        <f t="shared" si="3"/>
        <v>1.6899419754743576E-2</v>
      </c>
      <c r="I61">
        <f t="shared" si="0"/>
        <v>0.67698018383234737</v>
      </c>
      <c r="K61">
        <f t="shared" si="4"/>
        <v>0.68728882988274098</v>
      </c>
      <c r="L61">
        <f t="shared" si="5"/>
        <v>-0.53443632189247647</v>
      </c>
      <c r="N61">
        <v>619.46029999999996</v>
      </c>
      <c r="O61">
        <f t="shared" si="6"/>
        <v>3.0973014999999999</v>
      </c>
    </row>
    <row r="62" spans="1:15" x14ac:dyDescent="0.3">
      <c r="A62">
        <v>3.18</v>
      </c>
      <c r="B62">
        <f t="shared" si="1"/>
        <v>636</v>
      </c>
      <c r="C62">
        <v>0.60799999999999998</v>
      </c>
      <c r="D62" s="1">
        <v>2.1687056869268417E-2</v>
      </c>
      <c r="E62">
        <f t="shared" si="2"/>
        <v>636</v>
      </c>
      <c r="F62">
        <f t="shared" si="3"/>
        <v>1.7187056869268417E-2</v>
      </c>
      <c r="I62">
        <f t="shared" si="0"/>
        <v>0.67696484084427355</v>
      </c>
      <c r="K62">
        <f t="shared" si="4"/>
        <v>0.68741457142078877</v>
      </c>
      <c r="L62">
        <f t="shared" si="5"/>
        <v>-0.53431058035442869</v>
      </c>
      <c r="N62">
        <v>630.35684000000003</v>
      </c>
      <c r="O62">
        <f t="shared" si="6"/>
        <v>3.1517842000000003</v>
      </c>
    </row>
    <row r="63" spans="1:15" x14ac:dyDescent="0.3">
      <c r="A63">
        <v>3.23</v>
      </c>
      <c r="B63">
        <f t="shared" si="1"/>
        <v>646</v>
      </c>
      <c r="C63">
        <v>0.60499999999999998</v>
      </c>
      <c r="D63" s="1">
        <v>2.0888717845082283E-2</v>
      </c>
      <c r="E63">
        <f t="shared" si="2"/>
        <v>646</v>
      </c>
      <c r="F63">
        <f t="shared" si="3"/>
        <v>1.6388717845082282E-2</v>
      </c>
      <c r="I63">
        <f t="shared" si="0"/>
        <v>0.6724705586396158</v>
      </c>
      <c r="K63">
        <f t="shared" si="4"/>
        <v>0.68238573293589055</v>
      </c>
      <c r="L63">
        <f t="shared" si="5"/>
        <v>-0.5393394188393269</v>
      </c>
      <c r="N63">
        <v>640.43862000000001</v>
      </c>
      <c r="O63">
        <f t="shared" si="6"/>
        <v>3.2021931000000001</v>
      </c>
    </row>
    <row r="64" spans="1:15" x14ac:dyDescent="0.3">
      <c r="A64">
        <v>3.28</v>
      </c>
      <c r="B64">
        <f t="shared" si="1"/>
        <v>656</v>
      </c>
      <c r="C64">
        <v>0.60299999999999998</v>
      </c>
      <c r="D64" s="1">
        <v>2.0381307229399681E-2</v>
      </c>
      <c r="E64">
        <f t="shared" si="2"/>
        <v>656</v>
      </c>
      <c r="F64">
        <f t="shared" si="3"/>
        <v>1.5881307229399681E-2</v>
      </c>
      <c r="I64">
        <f t="shared" si="0"/>
        <v>0.66985068771243095</v>
      </c>
      <c r="K64">
        <f t="shared" si="4"/>
        <v>0.67942711597175898</v>
      </c>
      <c r="L64">
        <f t="shared" si="5"/>
        <v>-0.54229803580345848</v>
      </c>
      <c r="N64">
        <v>651.74252000000001</v>
      </c>
      <c r="O64">
        <f t="shared" si="6"/>
        <v>3.2587126</v>
      </c>
    </row>
    <row r="65" spans="1:15" x14ac:dyDescent="0.3">
      <c r="A65">
        <v>3.33</v>
      </c>
      <c r="B65">
        <f t="shared" si="1"/>
        <v>666</v>
      </c>
      <c r="C65">
        <v>0.6</v>
      </c>
      <c r="D65" s="1">
        <v>2.0901476964354515E-2</v>
      </c>
      <c r="E65">
        <f t="shared" si="2"/>
        <v>666</v>
      </c>
      <c r="F65">
        <f t="shared" si="3"/>
        <v>1.6401476964354515E-2</v>
      </c>
      <c r="I65">
        <f t="shared" si="0"/>
        <v>0.66960191829130056</v>
      </c>
      <c r="K65">
        <f t="shared" si="4"/>
        <v>0.67944280446991323</v>
      </c>
      <c r="L65">
        <f t="shared" si="5"/>
        <v>-0.54228234730530422</v>
      </c>
      <c r="N65">
        <v>662.02797999999996</v>
      </c>
      <c r="O65">
        <f t="shared" si="6"/>
        <v>3.3101398999999998</v>
      </c>
    </row>
    <row r="66" spans="1:15" x14ac:dyDescent="0.3">
      <c r="A66">
        <v>3.38</v>
      </c>
      <c r="B66">
        <f t="shared" si="1"/>
        <v>676</v>
      </c>
      <c r="C66">
        <v>0.59699999999999998</v>
      </c>
      <c r="D66" s="1">
        <v>2.0899359136819839E-2</v>
      </c>
      <c r="E66">
        <f t="shared" si="2"/>
        <v>676</v>
      </c>
      <c r="F66">
        <f t="shared" si="3"/>
        <v>1.6399359136819839E-2</v>
      </c>
      <c r="I66">
        <f t="shared" ref="I66:I129" si="7">C66+(D66*A66)</f>
        <v>0.66763983388245107</v>
      </c>
      <c r="K66">
        <f t="shared" si="4"/>
        <v>0.67743025128713252</v>
      </c>
      <c r="L66">
        <f t="shared" si="5"/>
        <v>-0.54429490048808493</v>
      </c>
      <c r="N66">
        <v>672.72080000000005</v>
      </c>
      <c r="O66">
        <f t="shared" si="6"/>
        <v>3.3636040000000005</v>
      </c>
    </row>
    <row r="67" spans="1:15" x14ac:dyDescent="0.3">
      <c r="A67">
        <v>3.43</v>
      </c>
      <c r="B67">
        <f t="shared" ref="B67:B130" si="8">A67*200</f>
        <v>686</v>
      </c>
      <c r="C67">
        <v>0.59499999999999997</v>
      </c>
      <c r="D67" s="1">
        <v>2.1236933767795563E-2</v>
      </c>
      <c r="E67">
        <f t="shared" ref="E67:E130" si="9">B67</f>
        <v>686</v>
      </c>
      <c r="F67">
        <f t="shared" ref="F67:F130" si="10">D67-0.0045</f>
        <v>1.6736933767795562E-2</v>
      </c>
      <c r="I67">
        <f t="shared" si="7"/>
        <v>0.66784268282353876</v>
      </c>
      <c r="K67">
        <f t="shared" ref="K67:K130" si="11">I67+(F67*C67)</f>
        <v>0.67780115841537714</v>
      </c>
      <c r="L67">
        <f t="shared" ref="L67:L130" si="12">K67-$I$1</f>
        <v>-0.54392399335984032</v>
      </c>
      <c r="N67">
        <v>682.80264</v>
      </c>
      <c r="O67">
        <f t="shared" ref="O67:O130" si="13">N67/200</f>
        <v>3.4140131999999999</v>
      </c>
    </row>
    <row r="68" spans="1:15" x14ac:dyDescent="0.3">
      <c r="A68">
        <v>3.49</v>
      </c>
      <c r="B68">
        <f t="shared" si="8"/>
        <v>698</v>
      </c>
      <c r="C68">
        <v>0.59199999999999997</v>
      </c>
      <c r="D68" s="1">
        <v>2.1216338500380516E-2</v>
      </c>
      <c r="E68">
        <f t="shared" si="9"/>
        <v>698</v>
      </c>
      <c r="F68">
        <f t="shared" si="10"/>
        <v>1.6716338500380516E-2</v>
      </c>
      <c r="I68">
        <f t="shared" si="7"/>
        <v>0.66604502136632804</v>
      </c>
      <c r="K68">
        <f t="shared" si="11"/>
        <v>0.67594109375855327</v>
      </c>
      <c r="L68">
        <f t="shared" si="12"/>
        <v>-0.54578405801666419</v>
      </c>
      <c r="N68">
        <v>692.98631999999998</v>
      </c>
      <c r="O68">
        <f t="shared" si="13"/>
        <v>3.4649315999999999</v>
      </c>
    </row>
    <row r="69" spans="1:15" x14ac:dyDescent="0.3">
      <c r="A69">
        <v>3.54</v>
      </c>
      <c r="B69">
        <f t="shared" si="8"/>
        <v>708</v>
      </c>
      <c r="C69">
        <v>0.59</v>
      </c>
      <c r="D69" s="1">
        <v>2.1920887753367424E-2</v>
      </c>
      <c r="E69">
        <f t="shared" si="9"/>
        <v>708</v>
      </c>
      <c r="F69">
        <f t="shared" si="10"/>
        <v>1.7420887753367423E-2</v>
      </c>
      <c r="I69">
        <f t="shared" si="7"/>
        <v>0.66759994264692069</v>
      </c>
      <c r="K69">
        <f t="shared" si="11"/>
        <v>0.67787826642140747</v>
      </c>
      <c r="L69">
        <f t="shared" si="12"/>
        <v>-0.54384688535380998</v>
      </c>
      <c r="N69">
        <v>703.06822</v>
      </c>
      <c r="O69">
        <f t="shared" si="13"/>
        <v>3.5153411000000001</v>
      </c>
    </row>
    <row r="70" spans="1:15" x14ac:dyDescent="0.3">
      <c r="A70">
        <v>3.59</v>
      </c>
      <c r="B70">
        <f t="shared" si="8"/>
        <v>718</v>
      </c>
      <c r="C70">
        <v>0.58699999999999997</v>
      </c>
      <c r="D70" s="1">
        <v>2.1341806277632713E-2</v>
      </c>
      <c r="E70">
        <f t="shared" si="9"/>
        <v>718</v>
      </c>
      <c r="F70">
        <f t="shared" si="10"/>
        <v>1.6841806277632713E-2</v>
      </c>
      <c r="I70">
        <f t="shared" si="7"/>
        <v>0.66361708453670143</v>
      </c>
      <c r="K70">
        <f t="shared" si="11"/>
        <v>0.6735032248216718</v>
      </c>
      <c r="L70">
        <f t="shared" si="12"/>
        <v>-0.54822192695354566</v>
      </c>
      <c r="N70">
        <v>713.45551999999998</v>
      </c>
      <c r="O70">
        <f t="shared" si="13"/>
        <v>3.5672775999999997</v>
      </c>
    </row>
    <row r="71" spans="1:15" x14ac:dyDescent="0.3">
      <c r="A71">
        <v>3.64</v>
      </c>
      <c r="B71">
        <f t="shared" si="8"/>
        <v>728</v>
      </c>
      <c r="C71">
        <v>0.58499999999999996</v>
      </c>
      <c r="D71" s="1">
        <v>2.1182570606470108E-2</v>
      </c>
      <c r="E71">
        <f t="shared" si="9"/>
        <v>728</v>
      </c>
      <c r="F71">
        <f t="shared" si="10"/>
        <v>1.6682570606470108E-2</v>
      </c>
      <c r="I71">
        <f t="shared" si="7"/>
        <v>0.66210455700755122</v>
      </c>
      <c r="K71">
        <f t="shared" si="11"/>
        <v>0.67186386081233618</v>
      </c>
      <c r="L71">
        <f t="shared" si="12"/>
        <v>-0.54986129096288128</v>
      </c>
      <c r="N71">
        <v>723.53736000000004</v>
      </c>
      <c r="O71">
        <f t="shared" si="13"/>
        <v>3.6176868</v>
      </c>
    </row>
    <row r="72" spans="1:15" x14ac:dyDescent="0.3">
      <c r="A72">
        <v>3.69</v>
      </c>
      <c r="B72">
        <f t="shared" si="8"/>
        <v>738</v>
      </c>
      <c r="C72">
        <v>0.58199999999999996</v>
      </c>
      <c r="D72" s="1">
        <v>2.0709231495857239E-2</v>
      </c>
      <c r="E72">
        <f t="shared" si="9"/>
        <v>738</v>
      </c>
      <c r="F72">
        <f t="shared" si="10"/>
        <v>1.6209231495857238E-2</v>
      </c>
      <c r="I72">
        <f t="shared" si="7"/>
        <v>0.65841706421971313</v>
      </c>
      <c r="K72">
        <f t="shared" si="11"/>
        <v>0.66785083695030201</v>
      </c>
      <c r="L72">
        <f t="shared" si="12"/>
        <v>-0.55387431482491545</v>
      </c>
      <c r="N72">
        <v>733.721</v>
      </c>
      <c r="O72">
        <f t="shared" si="13"/>
        <v>3.6686049999999999</v>
      </c>
    </row>
    <row r="73" spans="1:15" x14ac:dyDescent="0.3">
      <c r="A73">
        <v>3.74</v>
      </c>
      <c r="B73">
        <f t="shared" si="8"/>
        <v>748</v>
      </c>
      <c r="C73">
        <v>0.57999999999999996</v>
      </c>
      <c r="D73" s="1">
        <v>2.084982767701149E-2</v>
      </c>
      <c r="E73">
        <f t="shared" si="9"/>
        <v>748</v>
      </c>
      <c r="F73">
        <f t="shared" si="10"/>
        <v>1.6349827677011489E-2</v>
      </c>
      <c r="I73">
        <f t="shared" si="7"/>
        <v>0.65797835551202288</v>
      </c>
      <c r="K73">
        <f t="shared" si="11"/>
        <v>0.66746125556468949</v>
      </c>
      <c r="L73">
        <f t="shared" si="12"/>
        <v>-0.55426389621052796</v>
      </c>
      <c r="N73">
        <v>744.21015999999997</v>
      </c>
      <c r="O73">
        <f t="shared" si="13"/>
        <v>3.7210508</v>
      </c>
    </row>
    <row r="74" spans="1:15" x14ac:dyDescent="0.3">
      <c r="A74">
        <v>3.8</v>
      </c>
      <c r="B74">
        <f t="shared" si="8"/>
        <v>760</v>
      </c>
      <c r="C74">
        <v>0.57799999999999996</v>
      </c>
      <c r="D74" s="1">
        <v>2.1780027076601982E-2</v>
      </c>
      <c r="E74">
        <f t="shared" si="9"/>
        <v>760</v>
      </c>
      <c r="F74">
        <f t="shared" si="10"/>
        <v>1.7280027076601982E-2</v>
      </c>
      <c r="I74">
        <f t="shared" si="7"/>
        <v>0.66076410289108745</v>
      </c>
      <c r="K74">
        <f t="shared" si="11"/>
        <v>0.67075195854136338</v>
      </c>
      <c r="L74">
        <f t="shared" si="12"/>
        <v>-0.55097319323385407</v>
      </c>
      <c r="N74">
        <v>754.39383999999995</v>
      </c>
      <c r="O74">
        <f t="shared" si="13"/>
        <v>3.7719691999999996</v>
      </c>
    </row>
    <row r="75" spans="1:15" x14ac:dyDescent="0.3">
      <c r="A75">
        <v>3.85</v>
      </c>
      <c r="B75">
        <f t="shared" si="8"/>
        <v>770</v>
      </c>
      <c r="C75">
        <v>0.57499999999999996</v>
      </c>
      <c r="D75" s="1">
        <v>2.1630674600601196E-2</v>
      </c>
      <c r="E75">
        <f t="shared" si="9"/>
        <v>770</v>
      </c>
      <c r="F75">
        <f t="shared" si="10"/>
        <v>1.7130674600601196E-2</v>
      </c>
      <c r="I75">
        <f t="shared" si="7"/>
        <v>0.65827809721231456</v>
      </c>
      <c r="K75">
        <f t="shared" si="11"/>
        <v>0.66812823510766028</v>
      </c>
      <c r="L75">
        <f t="shared" si="12"/>
        <v>-0.55359691666755717</v>
      </c>
      <c r="N75">
        <v>764.57754</v>
      </c>
      <c r="O75">
        <f t="shared" si="13"/>
        <v>3.8228876999999999</v>
      </c>
    </row>
    <row r="76" spans="1:15" x14ac:dyDescent="0.3">
      <c r="A76">
        <v>3.9</v>
      </c>
      <c r="B76">
        <f t="shared" si="8"/>
        <v>780</v>
      </c>
      <c r="C76">
        <v>0.57299999999999995</v>
      </c>
      <c r="D76" s="1">
        <v>2.1522887051105499E-2</v>
      </c>
      <c r="E76">
        <f t="shared" si="9"/>
        <v>780</v>
      </c>
      <c r="F76">
        <f t="shared" si="10"/>
        <v>1.7022887051105499E-2</v>
      </c>
      <c r="I76">
        <f t="shared" si="7"/>
        <v>0.65693925949931142</v>
      </c>
      <c r="K76">
        <f t="shared" si="11"/>
        <v>0.66669337377959492</v>
      </c>
      <c r="L76">
        <f t="shared" si="12"/>
        <v>-0.55503177799562253</v>
      </c>
      <c r="N76">
        <v>774.86303999999996</v>
      </c>
      <c r="O76">
        <f t="shared" si="13"/>
        <v>3.8743151999999998</v>
      </c>
    </row>
    <row r="77" spans="1:15" x14ac:dyDescent="0.3">
      <c r="A77">
        <v>3.95</v>
      </c>
      <c r="B77">
        <f t="shared" si="8"/>
        <v>790</v>
      </c>
      <c r="C77">
        <v>0.56999999999999995</v>
      </c>
      <c r="D77" s="1">
        <v>2.0996369421482086E-2</v>
      </c>
      <c r="E77">
        <f t="shared" si="9"/>
        <v>790</v>
      </c>
      <c r="F77">
        <f t="shared" si="10"/>
        <v>1.6496369421482086E-2</v>
      </c>
      <c r="I77">
        <f t="shared" si="7"/>
        <v>0.65293565921485419</v>
      </c>
      <c r="K77">
        <f t="shared" si="11"/>
        <v>0.66233858978509896</v>
      </c>
      <c r="L77">
        <f t="shared" si="12"/>
        <v>-0.55938656199011849</v>
      </c>
      <c r="N77">
        <v>785.14847999999995</v>
      </c>
      <c r="O77">
        <f t="shared" si="13"/>
        <v>3.9257423999999999</v>
      </c>
    </row>
    <row r="78" spans="1:15" x14ac:dyDescent="0.3">
      <c r="A78">
        <v>4</v>
      </c>
      <c r="B78">
        <f t="shared" si="8"/>
        <v>800</v>
      </c>
      <c r="C78">
        <v>0.56799999999999995</v>
      </c>
      <c r="D78" s="1">
        <v>2.1206527948379517E-2</v>
      </c>
      <c r="E78">
        <f t="shared" si="9"/>
        <v>800</v>
      </c>
      <c r="F78">
        <f t="shared" si="10"/>
        <v>1.6706527948379516E-2</v>
      </c>
      <c r="I78">
        <f t="shared" si="7"/>
        <v>0.65282611179351802</v>
      </c>
      <c r="K78">
        <f t="shared" si="11"/>
        <v>0.66231541966819762</v>
      </c>
      <c r="L78">
        <f t="shared" si="12"/>
        <v>-0.55940973210701983</v>
      </c>
      <c r="N78">
        <v>795.6377</v>
      </c>
      <c r="O78">
        <f t="shared" si="13"/>
        <v>3.9781884999999999</v>
      </c>
    </row>
    <row r="79" spans="1:15" x14ac:dyDescent="0.3">
      <c r="A79">
        <v>4.05</v>
      </c>
      <c r="B79">
        <f t="shared" si="8"/>
        <v>810</v>
      </c>
      <c r="C79">
        <v>0.56499999999999995</v>
      </c>
      <c r="D79" s="1">
        <v>2.1287042647600174E-2</v>
      </c>
      <c r="E79">
        <f t="shared" si="9"/>
        <v>810</v>
      </c>
      <c r="F79">
        <f t="shared" si="10"/>
        <v>1.6787042647600173E-2</v>
      </c>
      <c r="I79">
        <f t="shared" si="7"/>
        <v>0.65121252272278063</v>
      </c>
      <c r="K79">
        <f t="shared" si="11"/>
        <v>0.66069720181867475</v>
      </c>
      <c r="L79">
        <f t="shared" si="12"/>
        <v>-0.5610279499565427</v>
      </c>
      <c r="N79">
        <v>806.12685999999997</v>
      </c>
      <c r="O79">
        <f t="shared" si="13"/>
        <v>4.0306343</v>
      </c>
    </row>
    <row r="80" spans="1:15" x14ac:dyDescent="0.3">
      <c r="A80">
        <v>4.0999999999999996</v>
      </c>
      <c r="B80">
        <f t="shared" si="8"/>
        <v>819.99999999999989</v>
      </c>
      <c r="C80">
        <v>0.56299999999999994</v>
      </c>
      <c r="D80" s="1">
        <v>2.1569870412349701E-2</v>
      </c>
      <c r="E80">
        <f t="shared" si="9"/>
        <v>819.99999999999989</v>
      </c>
      <c r="F80">
        <f t="shared" si="10"/>
        <v>1.70698704123497E-2</v>
      </c>
      <c r="I80">
        <f t="shared" si="7"/>
        <v>0.65143646869063376</v>
      </c>
      <c r="K80">
        <f t="shared" si="11"/>
        <v>0.66104680573278662</v>
      </c>
      <c r="L80">
        <f t="shared" si="12"/>
        <v>-0.56067834604243083</v>
      </c>
      <c r="N80">
        <v>816.20870000000002</v>
      </c>
      <c r="O80">
        <f t="shared" si="13"/>
        <v>4.0810434999999998</v>
      </c>
    </row>
    <row r="81" spans="1:15" x14ac:dyDescent="0.3">
      <c r="A81">
        <v>4.16</v>
      </c>
      <c r="B81">
        <f t="shared" si="8"/>
        <v>832</v>
      </c>
      <c r="C81">
        <v>0.56100000000000005</v>
      </c>
      <c r="D81" s="1">
        <v>2.1351464092731476E-2</v>
      </c>
      <c r="E81">
        <f t="shared" si="9"/>
        <v>832</v>
      </c>
      <c r="F81">
        <f t="shared" si="10"/>
        <v>1.6851464092731475E-2</v>
      </c>
      <c r="I81">
        <f t="shared" si="7"/>
        <v>0.64982209062576302</v>
      </c>
      <c r="K81">
        <f t="shared" si="11"/>
        <v>0.65927576198178539</v>
      </c>
      <c r="L81">
        <f t="shared" si="12"/>
        <v>-0.56244938979343206</v>
      </c>
      <c r="N81">
        <v>826.49423999999999</v>
      </c>
      <c r="O81">
        <f t="shared" si="13"/>
        <v>4.1324712000000003</v>
      </c>
    </row>
    <row r="82" spans="1:15" x14ac:dyDescent="0.3">
      <c r="A82">
        <v>4.21</v>
      </c>
      <c r="B82">
        <f t="shared" si="8"/>
        <v>842</v>
      </c>
      <c r="C82">
        <v>0.55800000000000005</v>
      </c>
      <c r="D82" s="1">
        <v>2.2199295461177826E-2</v>
      </c>
      <c r="E82">
        <f t="shared" si="9"/>
        <v>842</v>
      </c>
      <c r="F82">
        <f t="shared" si="10"/>
        <v>1.7699295461177825E-2</v>
      </c>
      <c r="I82">
        <f t="shared" si="7"/>
        <v>0.65145903389155868</v>
      </c>
      <c r="K82">
        <f t="shared" si="11"/>
        <v>0.66133524075889594</v>
      </c>
      <c r="L82">
        <f t="shared" si="12"/>
        <v>-0.56038991101632152</v>
      </c>
      <c r="N82">
        <v>836.57608000000005</v>
      </c>
      <c r="O82">
        <f t="shared" si="13"/>
        <v>4.1828804000000002</v>
      </c>
    </row>
    <row r="83" spans="1:15" x14ac:dyDescent="0.3">
      <c r="A83">
        <v>4.26</v>
      </c>
      <c r="B83">
        <f t="shared" si="8"/>
        <v>852</v>
      </c>
      <c r="C83">
        <v>0.55600000000000005</v>
      </c>
      <c r="D83" s="1">
        <v>2.1349307149648666E-2</v>
      </c>
      <c r="E83">
        <f t="shared" si="9"/>
        <v>852</v>
      </c>
      <c r="F83">
        <f t="shared" si="10"/>
        <v>1.6849307149648666E-2</v>
      </c>
      <c r="I83">
        <f t="shared" si="7"/>
        <v>0.64694804845750342</v>
      </c>
      <c r="K83">
        <f t="shared" si="11"/>
        <v>0.65631626323270809</v>
      </c>
      <c r="L83">
        <f t="shared" si="12"/>
        <v>-0.56540888854250937</v>
      </c>
      <c r="N83">
        <v>846.65791999999999</v>
      </c>
      <c r="O83">
        <f t="shared" si="13"/>
        <v>4.2332896</v>
      </c>
    </row>
    <row r="84" spans="1:15" x14ac:dyDescent="0.3">
      <c r="A84">
        <v>4.3099999999999996</v>
      </c>
      <c r="B84">
        <f t="shared" si="8"/>
        <v>861.99999999999989</v>
      </c>
      <c r="C84">
        <v>0.55400000000000005</v>
      </c>
      <c r="D84" s="1">
        <v>2.1212978288531303E-2</v>
      </c>
      <c r="E84">
        <f t="shared" si="9"/>
        <v>861.99999999999989</v>
      </c>
      <c r="F84">
        <f t="shared" si="10"/>
        <v>1.6712978288531303E-2</v>
      </c>
      <c r="I84">
        <f t="shared" si="7"/>
        <v>0.64542793642356999</v>
      </c>
      <c r="K84">
        <f t="shared" si="11"/>
        <v>0.65468692639541637</v>
      </c>
      <c r="L84">
        <f t="shared" si="12"/>
        <v>-0.56703822537980109</v>
      </c>
      <c r="N84">
        <v>857.04521999999997</v>
      </c>
      <c r="O84">
        <f t="shared" si="13"/>
        <v>4.2852261</v>
      </c>
    </row>
    <row r="85" spans="1:15" x14ac:dyDescent="0.3">
      <c r="A85">
        <v>4.37</v>
      </c>
      <c r="B85">
        <f t="shared" si="8"/>
        <v>874</v>
      </c>
      <c r="C85">
        <v>0.55100000000000005</v>
      </c>
      <c r="D85" s="1">
        <v>2.2336233407258987E-2</v>
      </c>
      <c r="E85">
        <f t="shared" si="9"/>
        <v>874</v>
      </c>
      <c r="F85">
        <f t="shared" si="10"/>
        <v>1.7836233407258987E-2</v>
      </c>
      <c r="I85">
        <f t="shared" si="7"/>
        <v>0.64860933998972181</v>
      </c>
      <c r="K85">
        <f t="shared" si="11"/>
        <v>0.65843710459712157</v>
      </c>
      <c r="L85">
        <f t="shared" si="12"/>
        <v>-0.56328804717809589</v>
      </c>
      <c r="N85">
        <v>867.73807999999997</v>
      </c>
      <c r="O85">
        <f t="shared" si="13"/>
        <v>4.3386903999999999</v>
      </c>
    </row>
    <row r="86" spans="1:15" x14ac:dyDescent="0.3">
      <c r="A86">
        <v>4.42</v>
      </c>
      <c r="B86">
        <f t="shared" si="8"/>
        <v>884</v>
      </c>
      <c r="C86">
        <v>0.54900000000000004</v>
      </c>
      <c r="D86" s="1">
        <v>2.0953355357050896E-2</v>
      </c>
      <c r="E86">
        <f t="shared" si="9"/>
        <v>884</v>
      </c>
      <c r="F86">
        <f t="shared" si="10"/>
        <v>1.6453355357050895E-2</v>
      </c>
      <c r="I86">
        <f t="shared" si="7"/>
        <v>0.64161383067816502</v>
      </c>
      <c r="K86">
        <f t="shared" si="11"/>
        <v>0.650646722769186</v>
      </c>
      <c r="L86">
        <f t="shared" si="12"/>
        <v>-0.57107842900603145</v>
      </c>
      <c r="N86">
        <v>877.81992000000002</v>
      </c>
      <c r="O86">
        <f t="shared" si="13"/>
        <v>4.3890995999999998</v>
      </c>
    </row>
    <row r="87" spans="1:15" x14ac:dyDescent="0.3">
      <c r="A87">
        <v>4.47</v>
      </c>
      <c r="B87">
        <f t="shared" si="8"/>
        <v>894</v>
      </c>
      <c r="C87">
        <v>0.54600000000000004</v>
      </c>
      <c r="D87" s="1">
        <v>2.2049251943826675E-2</v>
      </c>
      <c r="E87">
        <f t="shared" si="9"/>
        <v>894</v>
      </c>
      <c r="F87">
        <f t="shared" si="10"/>
        <v>1.7549251943826675E-2</v>
      </c>
      <c r="I87">
        <f t="shared" si="7"/>
        <v>0.64456015618890528</v>
      </c>
      <c r="K87">
        <f t="shared" si="11"/>
        <v>0.65414204775023466</v>
      </c>
      <c r="L87">
        <f t="shared" si="12"/>
        <v>-0.5675831040249828</v>
      </c>
      <c r="N87">
        <v>887.90175999999997</v>
      </c>
      <c r="O87">
        <f t="shared" si="13"/>
        <v>4.4395087999999996</v>
      </c>
    </row>
    <row r="88" spans="1:15" x14ac:dyDescent="0.3">
      <c r="A88">
        <v>4.53</v>
      </c>
      <c r="B88">
        <f t="shared" si="8"/>
        <v>906</v>
      </c>
      <c r="C88">
        <v>0.54400000000000004</v>
      </c>
      <c r="D88" s="1">
        <v>2.1715734153985977E-2</v>
      </c>
      <c r="E88">
        <f t="shared" si="9"/>
        <v>906</v>
      </c>
      <c r="F88">
        <f t="shared" si="10"/>
        <v>1.7215734153985977E-2</v>
      </c>
      <c r="I88">
        <f t="shared" si="7"/>
        <v>0.64237227571755651</v>
      </c>
      <c r="K88">
        <f t="shared" si="11"/>
        <v>0.65173763509732485</v>
      </c>
      <c r="L88">
        <f t="shared" si="12"/>
        <v>-0.5699875166778926</v>
      </c>
      <c r="N88">
        <v>898.18730000000005</v>
      </c>
      <c r="O88">
        <f t="shared" si="13"/>
        <v>4.4909365000000001</v>
      </c>
    </row>
    <row r="89" spans="1:15" x14ac:dyDescent="0.3">
      <c r="A89">
        <v>4.58</v>
      </c>
      <c r="B89">
        <f t="shared" si="8"/>
        <v>916</v>
      </c>
      <c r="C89">
        <v>0.54200000000000004</v>
      </c>
      <c r="D89" s="1">
        <v>2.1696174517273903E-2</v>
      </c>
      <c r="E89">
        <f t="shared" si="9"/>
        <v>916</v>
      </c>
      <c r="F89">
        <f t="shared" si="10"/>
        <v>1.7196174517273902E-2</v>
      </c>
      <c r="I89">
        <f t="shared" si="7"/>
        <v>0.64136847928911456</v>
      </c>
      <c r="K89">
        <f t="shared" si="11"/>
        <v>0.65068880587747702</v>
      </c>
      <c r="L89">
        <f t="shared" si="12"/>
        <v>-0.57103634589774044</v>
      </c>
      <c r="N89">
        <v>909.18564000000003</v>
      </c>
      <c r="O89">
        <f t="shared" si="13"/>
        <v>4.5459282000000005</v>
      </c>
    </row>
    <row r="90" spans="1:15" x14ac:dyDescent="0.3">
      <c r="A90">
        <v>4.63</v>
      </c>
      <c r="B90">
        <f t="shared" si="8"/>
        <v>926</v>
      </c>
      <c r="C90">
        <v>0.53900000000000003</v>
      </c>
      <c r="D90" s="1">
        <v>2.1906765177845955E-2</v>
      </c>
      <c r="E90">
        <f t="shared" si="9"/>
        <v>926</v>
      </c>
      <c r="F90">
        <f t="shared" si="10"/>
        <v>1.7406765177845954E-2</v>
      </c>
      <c r="I90">
        <f t="shared" si="7"/>
        <v>0.64042832277342676</v>
      </c>
      <c r="K90">
        <f t="shared" si="11"/>
        <v>0.6498105692042857</v>
      </c>
      <c r="L90">
        <f t="shared" si="12"/>
        <v>-0.57191458257093175</v>
      </c>
      <c r="N90">
        <v>919.87851999999998</v>
      </c>
      <c r="O90">
        <f t="shared" si="13"/>
        <v>4.5993925999999998</v>
      </c>
    </row>
    <row r="91" spans="1:15" x14ac:dyDescent="0.3">
      <c r="A91">
        <v>4.68</v>
      </c>
      <c r="B91">
        <f t="shared" si="8"/>
        <v>936</v>
      </c>
      <c r="C91">
        <v>0.53700000000000003</v>
      </c>
      <c r="D91" s="1">
        <v>2.1756090223789215E-2</v>
      </c>
      <c r="E91">
        <f t="shared" si="9"/>
        <v>936</v>
      </c>
      <c r="F91">
        <f t="shared" si="10"/>
        <v>1.7256090223789215E-2</v>
      </c>
      <c r="I91">
        <f t="shared" si="7"/>
        <v>0.63881850224733361</v>
      </c>
      <c r="K91">
        <f t="shared" si="11"/>
        <v>0.64808502269750845</v>
      </c>
      <c r="L91">
        <f t="shared" si="12"/>
        <v>-0.573640129077709</v>
      </c>
      <c r="N91">
        <v>930.06209999999999</v>
      </c>
      <c r="O91">
        <f t="shared" si="13"/>
        <v>4.6503104999999998</v>
      </c>
    </row>
    <row r="92" spans="1:15" x14ac:dyDescent="0.3">
      <c r="A92">
        <v>4.7300000000000004</v>
      </c>
      <c r="B92">
        <f t="shared" si="8"/>
        <v>946.00000000000011</v>
      </c>
      <c r="C92">
        <v>0.53400000000000003</v>
      </c>
      <c r="D92" s="1">
        <v>2.2429488599300385E-2</v>
      </c>
      <c r="E92">
        <f t="shared" si="9"/>
        <v>946.00000000000011</v>
      </c>
      <c r="F92">
        <f t="shared" si="10"/>
        <v>1.7929488599300384E-2</v>
      </c>
      <c r="I92">
        <f t="shared" si="7"/>
        <v>0.64009148107469083</v>
      </c>
      <c r="K92">
        <f t="shared" si="11"/>
        <v>0.64966582798671724</v>
      </c>
      <c r="L92">
        <f t="shared" si="12"/>
        <v>-0.57205932378850022</v>
      </c>
      <c r="N92">
        <v>940.55125999999996</v>
      </c>
      <c r="O92">
        <f t="shared" si="13"/>
        <v>4.7027562999999999</v>
      </c>
    </row>
    <row r="93" spans="1:15" x14ac:dyDescent="0.3">
      <c r="A93">
        <v>4.79</v>
      </c>
      <c r="B93">
        <f t="shared" si="8"/>
        <v>958</v>
      </c>
      <c r="C93">
        <v>0.53300000000000003</v>
      </c>
      <c r="D93" s="1">
        <v>2.15414147824049E-2</v>
      </c>
      <c r="E93">
        <f t="shared" si="9"/>
        <v>958</v>
      </c>
      <c r="F93">
        <f t="shared" si="10"/>
        <v>1.7041414782404899E-2</v>
      </c>
      <c r="I93">
        <f t="shared" si="7"/>
        <v>0.63618337680771953</v>
      </c>
      <c r="K93">
        <f t="shared" si="11"/>
        <v>0.64526645088674128</v>
      </c>
      <c r="L93">
        <f t="shared" si="12"/>
        <v>-0.57645870088847617</v>
      </c>
      <c r="N93">
        <v>952.16063999999994</v>
      </c>
      <c r="O93">
        <f t="shared" si="13"/>
        <v>4.7608031999999998</v>
      </c>
    </row>
    <row r="94" spans="1:15" x14ac:dyDescent="0.3">
      <c r="A94">
        <v>4.84</v>
      </c>
      <c r="B94">
        <f t="shared" si="8"/>
        <v>968</v>
      </c>
      <c r="C94">
        <v>0.53</v>
      </c>
      <c r="D94" s="1">
        <v>2.2523378953337669E-2</v>
      </c>
      <c r="E94">
        <f t="shared" si="9"/>
        <v>968</v>
      </c>
      <c r="F94">
        <f t="shared" si="10"/>
        <v>1.8023378953337669E-2</v>
      </c>
      <c r="I94">
        <f t="shared" si="7"/>
        <v>0.63901315413415438</v>
      </c>
      <c r="K94">
        <f t="shared" si="11"/>
        <v>0.64856554497942331</v>
      </c>
      <c r="L94">
        <f t="shared" si="12"/>
        <v>-0.57315960679579414</v>
      </c>
      <c r="N94">
        <v>962.75166000000002</v>
      </c>
      <c r="O94">
        <f t="shared" si="13"/>
        <v>4.8137582999999999</v>
      </c>
    </row>
    <row r="95" spans="1:15" x14ac:dyDescent="0.3">
      <c r="A95">
        <v>4.8899999999999997</v>
      </c>
      <c r="B95">
        <f t="shared" si="8"/>
        <v>977.99999999999989</v>
      </c>
      <c r="C95">
        <v>0.52800000000000002</v>
      </c>
      <c r="D95" s="1">
        <v>2.1605027839541435E-2</v>
      </c>
      <c r="E95">
        <f t="shared" si="9"/>
        <v>977.99999999999989</v>
      </c>
      <c r="F95">
        <f t="shared" si="10"/>
        <v>1.7105027839541435E-2</v>
      </c>
      <c r="I95">
        <f t="shared" si="7"/>
        <v>0.63364858613535768</v>
      </c>
      <c r="K95">
        <f t="shared" si="11"/>
        <v>0.64268004083463559</v>
      </c>
      <c r="L95">
        <f t="shared" si="12"/>
        <v>-0.57904511094058186</v>
      </c>
      <c r="N95">
        <v>973.54638</v>
      </c>
      <c r="O95">
        <f t="shared" si="13"/>
        <v>4.8677318999999999</v>
      </c>
    </row>
    <row r="96" spans="1:15" x14ac:dyDescent="0.3">
      <c r="A96">
        <v>4.9400000000000004</v>
      </c>
      <c r="B96">
        <f t="shared" si="8"/>
        <v>988.00000000000011</v>
      </c>
      <c r="C96">
        <v>0.52600000000000002</v>
      </c>
      <c r="D96" s="1">
        <v>2.2359063848853111E-2</v>
      </c>
      <c r="E96">
        <f t="shared" si="9"/>
        <v>988.00000000000011</v>
      </c>
      <c r="F96">
        <f t="shared" si="10"/>
        <v>1.7859063848853111E-2</v>
      </c>
      <c r="I96">
        <f t="shared" si="7"/>
        <v>0.63645377541333437</v>
      </c>
      <c r="K96">
        <f t="shared" si="11"/>
        <v>0.64584764299783115</v>
      </c>
      <c r="L96">
        <f t="shared" si="12"/>
        <v>-0.5758775087773863</v>
      </c>
      <c r="N96">
        <v>984.03563999999994</v>
      </c>
      <c r="O96">
        <f t="shared" si="13"/>
        <v>4.9201781999999996</v>
      </c>
    </row>
    <row r="97" spans="1:15" x14ac:dyDescent="0.3">
      <c r="A97">
        <v>4.99</v>
      </c>
      <c r="B97">
        <f t="shared" si="8"/>
        <v>998</v>
      </c>
      <c r="C97">
        <v>0.52400000000000002</v>
      </c>
      <c r="D97" s="1">
        <v>2.1708402782678604E-2</v>
      </c>
      <c r="E97">
        <f t="shared" si="9"/>
        <v>998</v>
      </c>
      <c r="F97">
        <f t="shared" si="10"/>
        <v>1.7208402782678604E-2</v>
      </c>
      <c r="I97">
        <f t="shared" si="7"/>
        <v>0.63232492988556621</v>
      </c>
      <c r="K97">
        <f t="shared" si="11"/>
        <v>0.6413421329436898</v>
      </c>
      <c r="L97">
        <f t="shared" si="12"/>
        <v>-0.58038301883152765</v>
      </c>
      <c r="N97">
        <v>994.62656000000004</v>
      </c>
      <c r="O97">
        <f t="shared" si="13"/>
        <v>4.9731328000000001</v>
      </c>
    </row>
    <row r="98" spans="1:15" x14ac:dyDescent="0.3">
      <c r="A98">
        <v>5.05</v>
      </c>
      <c r="B98">
        <f t="shared" si="8"/>
        <v>1010</v>
      </c>
      <c r="C98">
        <v>0.52100000000000002</v>
      </c>
      <c r="D98" s="1">
        <v>2.2254021838307381E-2</v>
      </c>
      <c r="E98">
        <f t="shared" si="9"/>
        <v>1010</v>
      </c>
      <c r="F98">
        <f t="shared" si="10"/>
        <v>1.775402183830738E-2</v>
      </c>
      <c r="I98">
        <f t="shared" si="7"/>
        <v>0.63338281028345234</v>
      </c>
      <c r="K98">
        <f t="shared" si="11"/>
        <v>0.64263265566121053</v>
      </c>
      <c r="L98">
        <f t="shared" si="12"/>
        <v>-0.57909249611400693</v>
      </c>
      <c r="N98">
        <v>1005.93038</v>
      </c>
      <c r="O98">
        <f t="shared" si="13"/>
        <v>5.0296519000000002</v>
      </c>
    </row>
    <row r="99" spans="1:15" x14ac:dyDescent="0.3">
      <c r="A99">
        <v>5.0999999999999996</v>
      </c>
      <c r="B99">
        <f t="shared" si="8"/>
        <v>1019.9999999999999</v>
      </c>
      <c r="C99">
        <v>0.51900000000000002</v>
      </c>
      <c r="D99" s="1">
        <v>2.2036757320165634E-2</v>
      </c>
      <c r="E99">
        <f t="shared" si="9"/>
        <v>1019.9999999999999</v>
      </c>
      <c r="F99">
        <f t="shared" si="10"/>
        <v>1.7536757320165634E-2</v>
      </c>
      <c r="I99">
        <f t="shared" si="7"/>
        <v>0.63138746233284471</v>
      </c>
      <c r="K99">
        <f t="shared" si="11"/>
        <v>0.64048903938201063</v>
      </c>
      <c r="L99">
        <f t="shared" si="12"/>
        <v>-0.58123611239320683</v>
      </c>
      <c r="N99">
        <v>1016.52138</v>
      </c>
      <c r="O99">
        <f t="shared" si="13"/>
        <v>5.0826069</v>
      </c>
    </row>
    <row r="100" spans="1:15" x14ac:dyDescent="0.3">
      <c r="A100">
        <v>5.15</v>
      </c>
      <c r="B100">
        <f t="shared" si="8"/>
        <v>1030</v>
      </c>
      <c r="C100">
        <v>0.51700000000000002</v>
      </c>
      <c r="D100" s="1">
        <v>2.2387169301509857E-2</v>
      </c>
      <c r="E100">
        <f t="shared" si="9"/>
        <v>1030</v>
      </c>
      <c r="F100">
        <f t="shared" si="10"/>
        <v>1.7887169301509857E-2</v>
      </c>
      <c r="I100">
        <f t="shared" si="7"/>
        <v>0.63229392190277578</v>
      </c>
      <c r="K100">
        <f t="shared" si="11"/>
        <v>0.64154158843165643</v>
      </c>
      <c r="L100">
        <f t="shared" si="12"/>
        <v>-0.58018356334356103</v>
      </c>
      <c r="N100">
        <v>1027.31612</v>
      </c>
      <c r="O100">
        <f t="shared" si="13"/>
        <v>5.1365805999999994</v>
      </c>
    </row>
    <row r="101" spans="1:15" x14ac:dyDescent="0.3">
      <c r="A101">
        <v>5.21</v>
      </c>
      <c r="B101">
        <f t="shared" si="8"/>
        <v>1042</v>
      </c>
      <c r="C101">
        <v>0.51400000000000001</v>
      </c>
      <c r="D101" s="1">
        <v>2.2003279998898506E-2</v>
      </c>
      <c r="E101">
        <f t="shared" si="9"/>
        <v>1042</v>
      </c>
      <c r="F101">
        <f t="shared" si="10"/>
        <v>1.7503279998898506E-2</v>
      </c>
      <c r="I101">
        <f t="shared" si="7"/>
        <v>0.62863708879426117</v>
      </c>
      <c r="K101">
        <f t="shared" si="11"/>
        <v>0.63763377471369498</v>
      </c>
      <c r="L101">
        <f t="shared" si="12"/>
        <v>-0.58409137706152248</v>
      </c>
      <c r="N101">
        <v>1037.4998000000001</v>
      </c>
      <c r="O101">
        <f t="shared" si="13"/>
        <v>5.1874989999999999</v>
      </c>
    </row>
    <row r="102" spans="1:15" x14ac:dyDescent="0.3">
      <c r="A102">
        <v>5.26</v>
      </c>
      <c r="B102">
        <f t="shared" si="8"/>
        <v>1052</v>
      </c>
      <c r="C102">
        <v>0.51200000000000001</v>
      </c>
      <c r="D102" s="1">
        <v>2.2290784865617752E-2</v>
      </c>
      <c r="E102">
        <f t="shared" si="9"/>
        <v>1052</v>
      </c>
      <c r="F102">
        <f t="shared" si="10"/>
        <v>1.7790784865617752E-2</v>
      </c>
      <c r="I102">
        <f t="shared" si="7"/>
        <v>0.6292495283931494</v>
      </c>
      <c r="K102">
        <f t="shared" si="11"/>
        <v>0.6383584102443457</v>
      </c>
      <c r="L102">
        <f t="shared" si="12"/>
        <v>-0.58336674153087176</v>
      </c>
      <c r="N102">
        <v>1047.6833999999999</v>
      </c>
      <c r="O102">
        <f t="shared" si="13"/>
        <v>5.2384169999999992</v>
      </c>
    </row>
    <row r="103" spans="1:15" x14ac:dyDescent="0.3">
      <c r="A103">
        <v>5.31</v>
      </c>
      <c r="B103">
        <f t="shared" si="8"/>
        <v>1062</v>
      </c>
      <c r="C103">
        <v>0.51</v>
      </c>
      <c r="D103" s="1">
        <v>2.2049127146601677E-2</v>
      </c>
      <c r="E103">
        <f t="shared" si="9"/>
        <v>1062</v>
      </c>
      <c r="F103">
        <f t="shared" si="10"/>
        <v>1.7549127146601676E-2</v>
      </c>
      <c r="I103">
        <f t="shared" si="7"/>
        <v>0.62708086514845496</v>
      </c>
      <c r="K103">
        <f t="shared" si="11"/>
        <v>0.63603091999322181</v>
      </c>
      <c r="L103">
        <f t="shared" si="12"/>
        <v>-0.58569423178199564</v>
      </c>
      <c r="N103">
        <v>1057.7653399999999</v>
      </c>
      <c r="O103">
        <f t="shared" si="13"/>
        <v>5.2888266999999995</v>
      </c>
    </row>
    <row r="104" spans="1:15" x14ac:dyDescent="0.3">
      <c r="A104">
        <v>5.36</v>
      </c>
      <c r="B104">
        <f t="shared" si="8"/>
        <v>1072</v>
      </c>
      <c r="C104">
        <v>0.50800000000000001</v>
      </c>
      <c r="D104" s="1">
        <v>2.2027615457773209E-2</v>
      </c>
      <c r="E104">
        <f t="shared" si="9"/>
        <v>1072</v>
      </c>
      <c r="F104">
        <f t="shared" si="10"/>
        <v>1.7527615457773208E-2</v>
      </c>
      <c r="I104">
        <f t="shared" si="7"/>
        <v>0.62606801885366437</v>
      </c>
      <c r="K104">
        <f t="shared" si="11"/>
        <v>0.63497204750621317</v>
      </c>
      <c r="L104">
        <f t="shared" si="12"/>
        <v>-0.58675310426900429</v>
      </c>
      <c r="N104">
        <v>1069.3746000000001</v>
      </c>
      <c r="O104">
        <f t="shared" si="13"/>
        <v>5.3468730000000004</v>
      </c>
    </row>
    <row r="105" spans="1:15" x14ac:dyDescent="0.3">
      <c r="A105">
        <v>5.41</v>
      </c>
      <c r="B105">
        <f t="shared" si="8"/>
        <v>1082</v>
      </c>
      <c r="C105">
        <v>0.50600000000000001</v>
      </c>
      <c r="D105" s="1">
        <v>2.1767960861325264E-2</v>
      </c>
      <c r="E105">
        <f t="shared" si="9"/>
        <v>1082</v>
      </c>
      <c r="F105">
        <f t="shared" si="10"/>
        <v>1.7267960861325263E-2</v>
      </c>
      <c r="I105">
        <f t="shared" si="7"/>
        <v>0.62376466825976973</v>
      </c>
      <c r="K105">
        <f t="shared" si="11"/>
        <v>0.63250225645560032</v>
      </c>
      <c r="L105">
        <f t="shared" si="12"/>
        <v>-0.58922289531961713</v>
      </c>
      <c r="N105">
        <v>1079.7620199999999</v>
      </c>
      <c r="O105">
        <f t="shared" si="13"/>
        <v>5.3988100999999995</v>
      </c>
    </row>
    <row r="106" spans="1:15" x14ac:dyDescent="0.3">
      <c r="A106">
        <v>5.48</v>
      </c>
      <c r="B106">
        <f t="shared" si="8"/>
        <v>1096</v>
      </c>
      <c r="C106">
        <v>0.503</v>
      </c>
      <c r="D106" s="1">
        <v>2.2186625748872757E-2</v>
      </c>
      <c r="E106">
        <f t="shared" si="9"/>
        <v>1096</v>
      </c>
      <c r="F106">
        <f t="shared" si="10"/>
        <v>1.7686625748872756E-2</v>
      </c>
      <c r="I106">
        <f t="shared" si="7"/>
        <v>0.62458270910382274</v>
      </c>
      <c r="K106">
        <f t="shared" si="11"/>
        <v>0.63347908185550572</v>
      </c>
      <c r="L106">
        <f t="shared" si="12"/>
        <v>-0.58824606991971173</v>
      </c>
      <c r="N106">
        <v>1090.04756</v>
      </c>
      <c r="O106">
        <f t="shared" si="13"/>
        <v>5.4502378</v>
      </c>
    </row>
    <row r="107" spans="1:15" x14ac:dyDescent="0.3">
      <c r="A107">
        <v>5.53</v>
      </c>
      <c r="B107">
        <f t="shared" si="8"/>
        <v>1106</v>
      </c>
      <c r="C107">
        <v>0.501</v>
      </c>
      <c r="D107" s="1">
        <v>2.234361320734024E-2</v>
      </c>
      <c r="E107">
        <f t="shared" si="9"/>
        <v>1106</v>
      </c>
      <c r="F107">
        <f t="shared" si="10"/>
        <v>1.784361320734024E-2</v>
      </c>
      <c r="I107">
        <f t="shared" si="7"/>
        <v>0.6245601810365915</v>
      </c>
      <c r="K107">
        <f t="shared" si="11"/>
        <v>0.63349983125346898</v>
      </c>
      <c r="L107">
        <f t="shared" si="12"/>
        <v>-0.58822532052174847</v>
      </c>
      <c r="N107">
        <v>1100.3330000000001</v>
      </c>
      <c r="O107">
        <f t="shared" si="13"/>
        <v>5.501665</v>
      </c>
    </row>
    <row r="108" spans="1:15" x14ac:dyDescent="0.3">
      <c r="A108">
        <v>5.58</v>
      </c>
      <c r="B108">
        <f t="shared" si="8"/>
        <v>1116</v>
      </c>
      <c r="C108">
        <v>0.499</v>
      </c>
      <c r="D108" s="1">
        <v>2.194085530936718E-2</v>
      </c>
      <c r="E108">
        <f t="shared" si="9"/>
        <v>1116</v>
      </c>
      <c r="F108">
        <f t="shared" si="10"/>
        <v>1.7440855309367179E-2</v>
      </c>
      <c r="I108">
        <f t="shared" si="7"/>
        <v>0.62142997262626887</v>
      </c>
      <c r="K108">
        <f t="shared" si="11"/>
        <v>0.63013295942564307</v>
      </c>
      <c r="L108">
        <f t="shared" si="12"/>
        <v>-0.59159219234957439</v>
      </c>
      <c r="N108">
        <v>1111.53496</v>
      </c>
      <c r="O108">
        <f t="shared" si="13"/>
        <v>5.5576748</v>
      </c>
    </row>
    <row r="109" spans="1:15" x14ac:dyDescent="0.3">
      <c r="A109">
        <v>5.63</v>
      </c>
      <c r="B109">
        <f t="shared" si="8"/>
        <v>1126</v>
      </c>
      <c r="C109">
        <v>0.496</v>
      </c>
      <c r="D109" s="1">
        <v>2.266308106482029E-2</v>
      </c>
      <c r="E109">
        <f t="shared" si="9"/>
        <v>1126</v>
      </c>
      <c r="F109">
        <f t="shared" si="10"/>
        <v>1.8163081064820289E-2</v>
      </c>
      <c r="I109">
        <f t="shared" si="7"/>
        <v>0.62359314639493824</v>
      </c>
      <c r="K109">
        <f t="shared" si="11"/>
        <v>0.63260203460308906</v>
      </c>
      <c r="L109">
        <f t="shared" si="12"/>
        <v>-0.5891231171721284</v>
      </c>
      <c r="N109">
        <v>1122.12608</v>
      </c>
      <c r="O109">
        <f t="shared" si="13"/>
        <v>5.6106303999999998</v>
      </c>
    </row>
    <row r="110" spans="1:15" x14ac:dyDescent="0.3">
      <c r="A110">
        <v>5.69</v>
      </c>
      <c r="B110">
        <f t="shared" si="8"/>
        <v>1138</v>
      </c>
      <c r="C110">
        <v>0.49399999999999999</v>
      </c>
      <c r="D110" s="1">
        <v>2.2642260417342186E-2</v>
      </c>
      <c r="E110">
        <f t="shared" si="9"/>
        <v>1138</v>
      </c>
      <c r="F110">
        <f t="shared" si="10"/>
        <v>1.8142260417342185E-2</v>
      </c>
      <c r="I110">
        <f t="shared" si="7"/>
        <v>0.62283446177467705</v>
      </c>
      <c r="K110">
        <f t="shared" si="11"/>
        <v>0.63179673842084405</v>
      </c>
      <c r="L110">
        <f t="shared" si="12"/>
        <v>-0.5899284133543734</v>
      </c>
      <c r="N110">
        <v>1132.3097600000001</v>
      </c>
      <c r="O110">
        <f t="shared" si="13"/>
        <v>5.6615488000000003</v>
      </c>
    </row>
    <row r="111" spans="1:15" x14ac:dyDescent="0.3">
      <c r="A111">
        <v>5.74</v>
      </c>
      <c r="B111">
        <f t="shared" si="8"/>
        <v>1148</v>
      </c>
      <c r="C111">
        <v>0.49199999999999999</v>
      </c>
      <c r="D111" s="1">
        <v>2.1456046029925346E-2</v>
      </c>
      <c r="E111">
        <f t="shared" si="9"/>
        <v>1148</v>
      </c>
      <c r="F111">
        <f t="shared" si="10"/>
        <v>1.6956046029925346E-2</v>
      </c>
      <c r="I111">
        <f t="shared" si="7"/>
        <v>0.61515770421177152</v>
      </c>
      <c r="K111">
        <f t="shared" si="11"/>
        <v>0.62350007885849479</v>
      </c>
      <c r="L111">
        <f t="shared" si="12"/>
        <v>-0.59822507291672267</v>
      </c>
      <c r="N111">
        <v>1143.00254</v>
      </c>
      <c r="O111">
        <f t="shared" si="13"/>
        <v>5.7150126999999999</v>
      </c>
    </row>
    <row r="112" spans="1:15" x14ac:dyDescent="0.3">
      <c r="A112">
        <v>5.79</v>
      </c>
      <c r="B112">
        <f t="shared" si="8"/>
        <v>1158</v>
      </c>
      <c r="C112">
        <v>0.49</v>
      </c>
      <c r="D112" s="1">
        <v>2.2721694782376289E-2</v>
      </c>
      <c r="E112">
        <f t="shared" si="9"/>
        <v>1158</v>
      </c>
      <c r="F112">
        <f t="shared" si="10"/>
        <v>1.8221694782376289E-2</v>
      </c>
      <c r="I112">
        <f t="shared" si="7"/>
        <v>0.62155861278995872</v>
      </c>
      <c r="K112">
        <f t="shared" si="11"/>
        <v>0.63048724323332306</v>
      </c>
      <c r="L112">
        <f t="shared" si="12"/>
        <v>-0.5912379085418944</v>
      </c>
      <c r="N112">
        <v>1153.08448</v>
      </c>
      <c r="O112">
        <f t="shared" si="13"/>
        <v>5.7654224000000003</v>
      </c>
    </row>
    <row r="113" spans="1:15" x14ac:dyDescent="0.3">
      <c r="A113">
        <v>5.84</v>
      </c>
      <c r="B113">
        <f t="shared" si="8"/>
        <v>1168</v>
      </c>
      <c r="C113">
        <v>0.48799999999999999</v>
      </c>
      <c r="D113" s="1">
        <v>2.2836271673440933E-2</v>
      </c>
      <c r="E113">
        <f t="shared" si="9"/>
        <v>1168</v>
      </c>
      <c r="F113">
        <f t="shared" si="10"/>
        <v>1.8336271673440933E-2</v>
      </c>
      <c r="I113">
        <f t="shared" si="7"/>
        <v>0.62136382657289502</v>
      </c>
      <c r="K113">
        <f t="shared" si="11"/>
        <v>0.63031192714953421</v>
      </c>
      <c r="L113">
        <f t="shared" si="12"/>
        <v>-0.59141322462568324</v>
      </c>
      <c r="N113">
        <v>1164.2864199999999</v>
      </c>
      <c r="O113">
        <f t="shared" si="13"/>
        <v>5.8214320999999991</v>
      </c>
    </row>
    <row r="114" spans="1:15" x14ac:dyDescent="0.3">
      <c r="A114">
        <v>5.9</v>
      </c>
      <c r="B114">
        <f t="shared" si="8"/>
        <v>1180</v>
      </c>
      <c r="C114">
        <v>0.48499999999999999</v>
      </c>
      <c r="D114" s="1">
        <v>2.2560978308320045E-2</v>
      </c>
      <c r="E114">
        <f t="shared" si="9"/>
        <v>1180</v>
      </c>
      <c r="F114">
        <f t="shared" si="10"/>
        <v>1.8060978308320045E-2</v>
      </c>
      <c r="I114">
        <f t="shared" si="7"/>
        <v>0.61810977201908823</v>
      </c>
      <c r="K114">
        <f t="shared" si="11"/>
        <v>0.62686934649862347</v>
      </c>
      <c r="L114">
        <f t="shared" si="12"/>
        <v>-0.59485580527659399</v>
      </c>
      <c r="N114">
        <v>1174.77568</v>
      </c>
      <c r="O114">
        <f t="shared" si="13"/>
        <v>5.8738783999999997</v>
      </c>
    </row>
    <row r="115" spans="1:15" x14ac:dyDescent="0.3">
      <c r="A115">
        <v>5.95</v>
      </c>
      <c r="B115">
        <f t="shared" si="8"/>
        <v>1190</v>
      </c>
      <c r="C115">
        <v>0.48299999999999998</v>
      </c>
      <c r="D115" s="1">
        <v>2.2831900045275688E-2</v>
      </c>
      <c r="E115">
        <f t="shared" si="9"/>
        <v>1190</v>
      </c>
      <c r="F115">
        <f t="shared" si="10"/>
        <v>1.8331900045275688E-2</v>
      </c>
      <c r="I115">
        <f t="shared" si="7"/>
        <v>0.61884980526939037</v>
      </c>
      <c r="K115">
        <f t="shared" si="11"/>
        <v>0.6277041129912585</v>
      </c>
      <c r="L115">
        <f t="shared" si="12"/>
        <v>-0.59402103878395895</v>
      </c>
      <c r="N115">
        <v>1185.57032</v>
      </c>
      <c r="O115">
        <f t="shared" si="13"/>
        <v>5.9278516000000003</v>
      </c>
    </row>
    <row r="116" spans="1:15" x14ac:dyDescent="0.3">
      <c r="A116">
        <v>6</v>
      </c>
      <c r="B116">
        <f t="shared" si="8"/>
        <v>1200</v>
      </c>
      <c r="C116">
        <v>0.48099999999999998</v>
      </c>
      <c r="D116" s="1">
        <v>2.2245129570364952E-2</v>
      </c>
      <c r="E116">
        <f t="shared" si="9"/>
        <v>1200</v>
      </c>
      <c r="F116">
        <f t="shared" si="10"/>
        <v>1.7745129570364952E-2</v>
      </c>
      <c r="I116">
        <f t="shared" si="7"/>
        <v>0.6144707774221897</v>
      </c>
      <c r="K116">
        <f t="shared" si="11"/>
        <v>0.62300618474553526</v>
      </c>
      <c r="L116">
        <f t="shared" si="12"/>
        <v>-0.59871896702968219</v>
      </c>
      <c r="N116">
        <v>1195.6520599999999</v>
      </c>
      <c r="O116">
        <f t="shared" si="13"/>
        <v>5.9782602999999996</v>
      </c>
    </row>
    <row r="117" spans="1:15" x14ac:dyDescent="0.3">
      <c r="A117">
        <v>6.05</v>
      </c>
      <c r="B117">
        <f t="shared" si="8"/>
        <v>1210</v>
      </c>
      <c r="C117">
        <v>0.47899999999999998</v>
      </c>
      <c r="D117" s="1">
        <v>2.2771291434764862E-2</v>
      </c>
      <c r="E117">
        <f t="shared" si="9"/>
        <v>1210</v>
      </c>
      <c r="F117">
        <f t="shared" si="10"/>
        <v>1.8271291434764862E-2</v>
      </c>
      <c r="I117">
        <f t="shared" si="7"/>
        <v>0.61676631318032737</v>
      </c>
      <c r="K117">
        <f t="shared" si="11"/>
        <v>0.62551826177757974</v>
      </c>
      <c r="L117">
        <f t="shared" si="12"/>
        <v>-0.59620688999763771</v>
      </c>
      <c r="N117">
        <v>1206.03946</v>
      </c>
      <c r="O117">
        <f t="shared" si="13"/>
        <v>6.0301973000000002</v>
      </c>
    </row>
    <row r="118" spans="1:15" x14ac:dyDescent="0.3">
      <c r="A118">
        <v>6.11</v>
      </c>
      <c r="B118">
        <f t="shared" si="8"/>
        <v>1222</v>
      </c>
      <c r="C118">
        <v>0.47699999999999998</v>
      </c>
      <c r="D118" s="1">
        <v>2.2821690887212753E-2</v>
      </c>
      <c r="E118">
        <f t="shared" si="9"/>
        <v>1222</v>
      </c>
      <c r="F118">
        <f t="shared" si="10"/>
        <v>1.8321690887212753E-2</v>
      </c>
      <c r="I118">
        <f t="shared" si="7"/>
        <v>0.61644053132086984</v>
      </c>
      <c r="K118">
        <f t="shared" si="11"/>
        <v>0.62517997787407031</v>
      </c>
      <c r="L118">
        <f t="shared" si="12"/>
        <v>-0.59654517390114714</v>
      </c>
      <c r="N118">
        <v>1216.2231400000001</v>
      </c>
      <c r="O118">
        <f t="shared" si="13"/>
        <v>6.0811157000000007</v>
      </c>
    </row>
    <row r="119" spans="1:15" x14ac:dyDescent="0.3">
      <c r="A119">
        <v>6.16</v>
      </c>
      <c r="B119">
        <f t="shared" si="8"/>
        <v>1232</v>
      </c>
      <c r="C119">
        <v>0.47399999999999998</v>
      </c>
      <c r="D119" s="1">
        <v>2.2332519292831421E-2</v>
      </c>
      <c r="E119">
        <f t="shared" si="9"/>
        <v>1232</v>
      </c>
      <c r="F119">
        <f t="shared" si="10"/>
        <v>1.783251929283142E-2</v>
      </c>
      <c r="I119">
        <f t="shared" si="7"/>
        <v>0.61156831884384155</v>
      </c>
      <c r="K119">
        <f t="shared" si="11"/>
        <v>0.62002093298864369</v>
      </c>
      <c r="L119">
        <f t="shared" si="12"/>
        <v>-0.60170421878657376</v>
      </c>
      <c r="N119">
        <v>1226.4067399999999</v>
      </c>
      <c r="O119">
        <f t="shared" si="13"/>
        <v>6.1320336999999991</v>
      </c>
    </row>
    <row r="120" spans="1:15" x14ac:dyDescent="0.3">
      <c r="A120">
        <v>6.21</v>
      </c>
      <c r="B120">
        <f t="shared" si="8"/>
        <v>1242</v>
      </c>
      <c r="C120">
        <v>0.47299999999999998</v>
      </c>
      <c r="D120" s="1">
        <v>2.3083848878741264E-2</v>
      </c>
      <c r="E120">
        <f t="shared" si="9"/>
        <v>1242</v>
      </c>
      <c r="F120">
        <f t="shared" si="10"/>
        <v>1.8583848878741264E-2</v>
      </c>
      <c r="I120">
        <f t="shared" si="7"/>
        <v>0.61635070153698324</v>
      </c>
      <c r="K120">
        <f t="shared" si="11"/>
        <v>0.62514086205662789</v>
      </c>
      <c r="L120">
        <f t="shared" si="12"/>
        <v>-0.59658428971858957</v>
      </c>
      <c r="N120">
        <v>1236.4886799999999</v>
      </c>
      <c r="O120">
        <f t="shared" si="13"/>
        <v>6.1824433999999995</v>
      </c>
    </row>
    <row r="121" spans="1:15" x14ac:dyDescent="0.3">
      <c r="A121">
        <v>6.27</v>
      </c>
      <c r="B121">
        <f t="shared" si="8"/>
        <v>1254</v>
      </c>
      <c r="C121">
        <v>0.47</v>
      </c>
      <c r="D121" s="1">
        <v>2.2485846653580666E-2</v>
      </c>
      <c r="E121">
        <f t="shared" si="9"/>
        <v>1254</v>
      </c>
      <c r="F121">
        <f t="shared" si="10"/>
        <v>1.7985846653580665E-2</v>
      </c>
      <c r="I121">
        <f t="shared" si="7"/>
        <v>0.61098625851795074</v>
      </c>
      <c r="K121">
        <f t="shared" si="11"/>
        <v>0.61943960644513363</v>
      </c>
      <c r="L121">
        <f t="shared" si="12"/>
        <v>-0.60228554533008383</v>
      </c>
      <c r="N121">
        <v>1247.0796800000001</v>
      </c>
      <c r="O121">
        <f t="shared" si="13"/>
        <v>6.2353984000000002</v>
      </c>
    </row>
    <row r="122" spans="1:15" x14ac:dyDescent="0.3">
      <c r="A122">
        <v>6.32</v>
      </c>
      <c r="B122">
        <f t="shared" si="8"/>
        <v>1264</v>
      </c>
      <c r="C122">
        <v>0.46800000000000003</v>
      </c>
      <c r="D122" s="1">
        <v>2.3159187287092209E-2</v>
      </c>
      <c r="E122">
        <f t="shared" si="9"/>
        <v>1264</v>
      </c>
      <c r="F122">
        <f t="shared" si="10"/>
        <v>1.8659187287092208E-2</v>
      </c>
      <c r="I122">
        <f t="shared" si="7"/>
        <v>0.61436606365442281</v>
      </c>
      <c r="K122">
        <f t="shared" si="11"/>
        <v>0.62309856330478197</v>
      </c>
      <c r="L122">
        <f t="shared" si="12"/>
        <v>-0.59862658847043548</v>
      </c>
      <c r="N122">
        <v>1257.3650399999999</v>
      </c>
      <c r="O122">
        <f t="shared" si="13"/>
        <v>6.2868251999999991</v>
      </c>
    </row>
    <row r="123" spans="1:15" x14ac:dyDescent="0.3">
      <c r="A123">
        <v>6.37</v>
      </c>
      <c r="B123">
        <f t="shared" si="8"/>
        <v>1274</v>
      </c>
      <c r="C123">
        <v>0.46600000000000003</v>
      </c>
      <c r="D123" s="1">
        <v>2.3081380873918533E-2</v>
      </c>
      <c r="E123">
        <f t="shared" si="9"/>
        <v>1274</v>
      </c>
      <c r="F123">
        <f t="shared" si="10"/>
        <v>1.8581380873918533E-2</v>
      </c>
      <c r="I123">
        <f t="shared" si="7"/>
        <v>0.61302839616686111</v>
      </c>
      <c r="K123">
        <f t="shared" si="11"/>
        <v>0.62168731965410717</v>
      </c>
      <c r="L123">
        <f t="shared" si="12"/>
        <v>-0.60003783212111028</v>
      </c>
      <c r="N123">
        <v>1267.54874</v>
      </c>
      <c r="O123">
        <f t="shared" si="13"/>
        <v>6.3377436999999999</v>
      </c>
    </row>
    <row r="124" spans="1:15" x14ac:dyDescent="0.3">
      <c r="A124">
        <v>6.42</v>
      </c>
      <c r="B124">
        <f t="shared" si="8"/>
        <v>1284</v>
      </c>
      <c r="C124">
        <v>0.46400000000000002</v>
      </c>
      <c r="D124" s="1">
        <v>2.2287413477897644E-2</v>
      </c>
      <c r="E124">
        <f t="shared" si="9"/>
        <v>1284</v>
      </c>
      <c r="F124">
        <f t="shared" si="10"/>
        <v>1.7787413477897644E-2</v>
      </c>
      <c r="I124">
        <f t="shared" si="7"/>
        <v>0.60708519452810283</v>
      </c>
      <c r="K124">
        <f t="shared" si="11"/>
        <v>0.61533855438184737</v>
      </c>
      <c r="L124">
        <f t="shared" si="12"/>
        <v>-0.60638659739337009</v>
      </c>
      <c r="N124">
        <v>1277.93604</v>
      </c>
      <c r="O124">
        <f t="shared" si="13"/>
        <v>6.3896801999999999</v>
      </c>
    </row>
    <row r="125" spans="1:15" x14ac:dyDescent="0.3">
      <c r="A125">
        <v>6.47</v>
      </c>
      <c r="B125">
        <f t="shared" si="8"/>
        <v>1294</v>
      </c>
      <c r="C125">
        <v>0.46200000000000002</v>
      </c>
      <c r="D125" s="1">
        <v>2.303110808134079E-2</v>
      </c>
      <c r="E125">
        <f t="shared" si="9"/>
        <v>1294</v>
      </c>
      <c r="F125">
        <f t="shared" si="10"/>
        <v>1.8531108081340789E-2</v>
      </c>
      <c r="I125">
        <f t="shared" si="7"/>
        <v>0.61101126928627492</v>
      </c>
      <c r="K125">
        <f t="shared" si="11"/>
        <v>0.61957264121985434</v>
      </c>
      <c r="L125">
        <f t="shared" si="12"/>
        <v>-0.60215251055536312</v>
      </c>
      <c r="N125">
        <v>1288.6289999999999</v>
      </c>
      <c r="O125">
        <f t="shared" si="13"/>
        <v>6.4431449999999995</v>
      </c>
    </row>
    <row r="126" spans="1:15" x14ac:dyDescent="0.3">
      <c r="A126">
        <v>6.53</v>
      </c>
      <c r="B126">
        <f t="shared" si="8"/>
        <v>1306</v>
      </c>
      <c r="C126">
        <v>0.46</v>
      </c>
      <c r="D126" s="1">
        <v>2.348831482231617E-2</v>
      </c>
      <c r="E126">
        <f t="shared" si="9"/>
        <v>1306</v>
      </c>
      <c r="F126">
        <f t="shared" si="10"/>
        <v>1.8988314822316169E-2</v>
      </c>
      <c r="I126">
        <f t="shared" si="7"/>
        <v>0.61337869578972459</v>
      </c>
      <c r="K126">
        <f t="shared" si="11"/>
        <v>0.62211332060799007</v>
      </c>
      <c r="L126">
        <f t="shared" si="12"/>
        <v>-0.59961183116722738</v>
      </c>
      <c r="N126">
        <v>1299.11816</v>
      </c>
      <c r="O126">
        <f t="shared" si="13"/>
        <v>6.4955907999999996</v>
      </c>
    </row>
    <row r="127" spans="1:15" x14ac:dyDescent="0.3">
      <c r="A127">
        <v>6.58</v>
      </c>
      <c r="B127">
        <f t="shared" si="8"/>
        <v>1316</v>
      </c>
      <c r="C127">
        <v>0.45800000000000002</v>
      </c>
      <c r="D127" s="1">
        <v>2.2629233077168465E-2</v>
      </c>
      <c r="E127">
        <f t="shared" si="9"/>
        <v>1316</v>
      </c>
      <c r="F127">
        <f t="shared" si="10"/>
        <v>1.8129233077168464E-2</v>
      </c>
      <c r="I127">
        <f t="shared" si="7"/>
        <v>0.60690035364776851</v>
      </c>
      <c r="K127">
        <f t="shared" si="11"/>
        <v>0.61520354239711161</v>
      </c>
      <c r="L127">
        <f t="shared" si="12"/>
        <v>-0.60652160937810584</v>
      </c>
      <c r="N127">
        <v>1309.40362</v>
      </c>
      <c r="O127">
        <f t="shared" si="13"/>
        <v>6.5470180999999998</v>
      </c>
    </row>
    <row r="128" spans="1:15" x14ac:dyDescent="0.3">
      <c r="A128">
        <v>6.63</v>
      </c>
      <c r="B128">
        <f t="shared" si="8"/>
        <v>1326</v>
      </c>
      <c r="C128">
        <v>0.45500000000000002</v>
      </c>
      <c r="D128" s="1">
        <v>2.3756466805934906E-2</v>
      </c>
      <c r="E128">
        <f t="shared" si="9"/>
        <v>1326</v>
      </c>
      <c r="F128">
        <f t="shared" si="10"/>
        <v>1.9256466805934905E-2</v>
      </c>
      <c r="I128">
        <f t="shared" si="7"/>
        <v>0.61250537492334844</v>
      </c>
      <c r="K128">
        <f t="shared" si="11"/>
        <v>0.62126706732004888</v>
      </c>
      <c r="L128">
        <f t="shared" si="12"/>
        <v>-0.60045808445516857</v>
      </c>
      <c r="N128">
        <v>1320.1983399999999</v>
      </c>
      <c r="O128">
        <f t="shared" si="13"/>
        <v>6.6009916999999998</v>
      </c>
    </row>
    <row r="129" spans="1:15" x14ac:dyDescent="0.3">
      <c r="A129">
        <v>6.68</v>
      </c>
      <c r="B129">
        <f t="shared" si="8"/>
        <v>1336</v>
      </c>
      <c r="C129">
        <v>0.45300000000000001</v>
      </c>
      <c r="D129" s="1">
        <v>2.2980403155088425E-2</v>
      </c>
      <c r="E129">
        <f t="shared" si="9"/>
        <v>1336</v>
      </c>
      <c r="F129">
        <f t="shared" si="10"/>
        <v>1.8480403155088424E-2</v>
      </c>
      <c r="I129">
        <f t="shared" si="7"/>
        <v>0.60650909307599066</v>
      </c>
      <c r="K129">
        <f t="shared" si="11"/>
        <v>0.61488071570524572</v>
      </c>
      <c r="L129">
        <f t="shared" si="12"/>
        <v>-0.60684443606997174</v>
      </c>
      <c r="N129">
        <v>1330.6875</v>
      </c>
      <c r="O129">
        <f t="shared" si="13"/>
        <v>6.6534374999999999</v>
      </c>
    </row>
    <row r="130" spans="1:15" x14ac:dyDescent="0.3">
      <c r="A130">
        <v>6.73</v>
      </c>
      <c r="B130">
        <f t="shared" si="8"/>
        <v>1346</v>
      </c>
      <c r="C130">
        <v>0.45100000000000001</v>
      </c>
      <c r="D130" s="1">
        <v>2.2842656821012497E-2</v>
      </c>
      <c r="E130">
        <f t="shared" si="9"/>
        <v>1346</v>
      </c>
      <c r="F130">
        <f t="shared" si="10"/>
        <v>1.8342656821012496E-2</v>
      </c>
      <c r="I130">
        <f t="shared" ref="I130:I193" si="14">C130+(D130*A130)</f>
        <v>0.60473108040541412</v>
      </c>
      <c r="K130">
        <f t="shared" si="11"/>
        <v>0.61300361863169073</v>
      </c>
      <c r="L130">
        <f t="shared" si="12"/>
        <v>-0.60872153314352673</v>
      </c>
      <c r="N130">
        <v>1341.1766600000001</v>
      </c>
      <c r="O130">
        <f t="shared" si="13"/>
        <v>6.7058833</v>
      </c>
    </row>
    <row r="131" spans="1:15" x14ac:dyDescent="0.3">
      <c r="A131">
        <v>6.78</v>
      </c>
      <c r="B131">
        <f t="shared" ref="B131:B194" si="15">A131*200</f>
        <v>1356</v>
      </c>
      <c r="C131">
        <v>0.44900000000000001</v>
      </c>
      <c r="D131" s="1">
        <v>2.3348214104771614E-2</v>
      </c>
      <c r="E131">
        <f t="shared" ref="E131:E194" si="16">B131</f>
        <v>1356</v>
      </c>
      <c r="F131">
        <f t="shared" ref="F131:F194" si="17">D131-0.0045</f>
        <v>1.8848214104771614E-2</v>
      </c>
      <c r="I131">
        <f t="shared" si="14"/>
        <v>0.6073008916303515</v>
      </c>
      <c r="K131">
        <f t="shared" ref="K131:K194" si="18">I131+(F131*C131)</f>
        <v>0.61576373976339394</v>
      </c>
      <c r="L131">
        <f t="shared" ref="L131:L194" si="19">K131-$I$1</f>
        <v>-0.60596141201182352</v>
      </c>
      <c r="N131">
        <v>1352.48046</v>
      </c>
      <c r="O131">
        <f t="shared" ref="O131:O194" si="20">N131/200</f>
        <v>6.7624022999999998</v>
      </c>
    </row>
    <row r="132" spans="1:15" x14ac:dyDescent="0.3">
      <c r="A132">
        <v>6.83</v>
      </c>
      <c r="B132">
        <f t="shared" si="15"/>
        <v>1366</v>
      </c>
      <c r="C132">
        <v>0.44700000000000001</v>
      </c>
      <c r="D132" s="1">
        <v>2.255835197865963E-2</v>
      </c>
      <c r="E132">
        <f t="shared" si="16"/>
        <v>1366</v>
      </c>
      <c r="F132">
        <f t="shared" si="17"/>
        <v>1.8058351978659629E-2</v>
      </c>
      <c r="I132">
        <f t="shared" si="14"/>
        <v>0.60107354401424529</v>
      </c>
      <c r="K132">
        <f t="shared" si="18"/>
        <v>0.60914562734870614</v>
      </c>
      <c r="L132">
        <f t="shared" si="19"/>
        <v>-0.61257952442651131</v>
      </c>
      <c r="N132">
        <v>1362.5623000000001</v>
      </c>
      <c r="O132">
        <f t="shared" si="20"/>
        <v>6.8128115000000005</v>
      </c>
    </row>
    <row r="133" spans="1:15" x14ac:dyDescent="0.3">
      <c r="A133">
        <v>6.88</v>
      </c>
      <c r="B133">
        <f t="shared" si="15"/>
        <v>1376</v>
      </c>
      <c r="C133">
        <v>0.44500000000000001</v>
      </c>
      <c r="D133" s="1">
        <v>2.3122401908040047E-2</v>
      </c>
      <c r="E133">
        <f t="shared" si="16"/>
        <v>1376</v>
      </c>
      <c r="F133">
        <f t="shared" si="17"/>
        <v>1.8622401908040046E-2</v>
      </c>
      <c r="I133">
        <f t="shared" si="14"/>
        <v>0.60408212512731552</v>
      </c>
      <c r="K133">
        <f t="shared" si="18"/>
        <v>0.61236909397639339</v>
      </c>
      <c r="L133">
        <f t="shared" si="19"/>
        <v>-0.60935605779882407</v>
      </c>
      <c r="N133">
        <v>1372.7460000000001</v>
      </c>
      <c r="O133">
        <f t="shared" si="20"/>
        <v>6.8637300000000003</v>
      </c>
    </row>
    <row r="134" spans="1:15" x14ac:dyDescent="0.3">
      <c r="A134">
        <v>6.94</v>
      </c>
      <c r="B134">
        <f t="shared" si="15"/>
        <v>1388</v>
      </c>
      <c r="C134">
        <v>0.443</v>
      </c>
      <c r="D134" s="1">
        <v>2.2912666201591492E-2</v>
      </c>
      <c r="E134">
        <f t="shared" si="16"/>
        <v>1388</v>
      </c>
      <c r="F134">
        <f t="shared" si="17"/>
        <v>1.8412666201591491E-2</v>
      </c>
      <c r="I134">
        <f t="shared" si="14"/>
        <v>0.60201390343904493</v>
      </c>
      <c r="K134">
        <f t="shared" si="18"/>
        <v>0.61017071456634997</v>
      </c>
      <c r="L134">
        <f t="shared" si="19"/>
        <v>-0.61155443720886749</v>
      </c>
      <c r="N134">
        <v>1382.92958</v>
      </c>
      <c r="O134">
        <f t="shared" si="20"/>
        <v>6.9146479000000003</v>
      </c>
    </row>
    <row r="135" spans="1:15" x14ac:dyDescent="0.3">
      <c r="A135">
        <v>6.99</v>
      </c>
      <c r="B135">
        <f t="shared" si="15"/>
        <v>1398</v>
      </c>
      <c r="C135">
        <v>0.441</v>
      </c>
      <c r="D135" s="1">
        <v>2.3176034912467003E-2</v>
      </c>
      <c r="E135">
        <f t="shared" si="16"/>
        <v>1398</v>
      </c>
      <c r="F135">
        <f t="shared" si="17"/>
        <v>1.8676034912467002E-2</v>
      </c>
      <c r="I135">
        <f t="shared" si="14"/>
        <v>0.60300048403814432</v>
      </c>
      <c r="K135">
        <f t="shared" si="18"/>
        <v>0.61123661543454222</v>
      </c>
      <c r="L135">
        <f t="shared" si="19"/>
        <v>-0.61048853634067524</v>
      </c>
      <c r="N135">
        <v>1393.3169</v>
      </c>
      <c r="O135">
        <f t="shared" si="20"/>
        <v>6.9665844999999997</v>
      </c>
    </row>
    <row r="136" spans="1:15" x14ac:dyDescent="0.3">
      <c r="A136">
        <v>7.04</v>
      </c>
      <c r="B136">
        <f t="shared" si="15"/>
        <v>1408</v>
      </c>
      <c r="C136">
        <v>0.439</v>
      </c>
      <c r="D136" s="1">
        <v>2.2925321012735367E-2</v>
      </c>
      <c r="E136">
        <f t="shared" si="16"/>
        <v>1408</v>
      </c>
      <c r="F136">
        <f t="shared" si="17"/>
        <v>1.8425321012735366E-2</v>
      </c>
      <c r="I136">
        <f t="shared" si="14"/>
        <v>0.600394259929657</v>
      </c>
      <c r="K136">
        <f t="shared" si="18"/>
        <v>0.60848297585424782</v>
      </c>
      <c r="L136">
        <f t="shared" si="19"/>
        <v>-0.61324217592096963</v>
      </c>
      <c r="N136">
        <v>1403.6025400000001</v>
      </c>
      <c r="O136">
        <f t="shared" si="20"/>
        <v>7.0180127000000008</v>
      </c>
    </row>
    <row r="137" spans="1:15" x14ac:dyDescent="0.3">
      <c r="A137">
        <v>7.09</v>
      </c>
      <c r="B137">
        <f t="shared" si="15"/>
        <v>1418</v>
      </c>
      <c r="C137">
        <v>0.437</v>
      </c>
      <c r="D137" s="1">
        <v>2.3279450833797455E-2</v>
      </c>
      <c r="E137">
        <f t="shared" si="16"/>
        <v>1418</v>
      </c>
      <c r="F137">
        <f t="shared" si="17"/>
        <v>1.8779450833797454E-2</v>
      </c>
      <c r="I137">
        <f t="shared" si="14"/>
        <v>0.60205130641162397</v>
      </c>
      <c r="K137">
        <f t="shared" si="18"/>
        <v>0.61025792642599341</v>
      </c>
      <c r="L137">
        <f t="shared" si="19"/>
        <v>-0.61146722534922404</v>
      </c>
      <c r="N137">
        <v>1413.88798</v>
      </c>
      <c r="O137">
        <f t="shared" si="20"/>
        <v>7.0694398999999999</v>
      </c>
    </row>
    <row r="138" spans="1:15" x14ac:dyDescent="0.3">
      <c r="A138">
        <v>7.15</v>
      </c>
      <c r="B138">
        <f t="shared" si="15"/>
        <v>1430</v>
      </c>
      <c r="C138">
        <v>0.434</v>
      </c>
      <c r="D138" s="1">
        <v>2.3136518895626068E-2</v>
      </c>
      <c r="E138">
        <f t="shared" si="16"/>
        <v>1430</v>
      </c>
      <c r="F138">
        <f t="shared" si="17"/>
        <v>1.8636518895626068E-2</v>
      </c>
      <c r="I138">
        <f t="shared" si="14"/>
        <v>0.59942611010372637</v>
      </c>
      <c r="K138">
        <f t="shared" si="18"/>
        <v>0.6075143593044281</v>
      </c>
      <c r="L138">
        <f t="shared" si="19"/>
        <v>-0.61421079247078936</v>
      </c>
      <c r="N138">
        <v>1424.17354</v>
      </c>
      <c r="O138">
        <f t="shared" si="20"/>
        <v>7.1208676999999998</v>
      </c>
    </row>
    <row r="139" spans="1:15" x14ac:dyDescent="0.3">
      <c r="A139">
        <v>7.2</v>
      </c>
      <c r="B139">
        <f t="shared" si="15"/>
        <v>1440</v>
      </c>
      <c r="C139">
        <v>0.432</v>
      </c>
      <c r="D139" s="1">
        <v>2.3596091195940971E-2</v>
      </c>
      <c r="E139">
        <f t="shared" si="16"/>
        <v>1440</v>
      </c>
      <c r="F139">
        <f t="shared" si="17"/>
        <v>1.9096091195940971E-2</v>
      </c>
      <c r="I139">
        <f t="shared" si="14"/>
        <v>0.60189185661077493</v>
      </c>
      <c r="K139">
        <f t="shared" si="18"/>
        <v>0.61014136800742147</v>
      </c>
      <c r="L139">
        <f t="shared" si="19"/>
        <v>-0.61158378376779599</v>
      </c>
      <c r="N139">
        <v>1434.4589800000001</v>
      </c>
      <c r="O139">
        <f t="shared" si="20"/>
        <v>7.1722949000000007</v>
      </c>
    </row>
    <row r="140" spans="1:15" x14ac:dyDescent="0.3">
      <c r="A140">
        <v>7.25</v>
      </c>
      <c r="B140">
        <f t="shared" si="15"/>
        <v>1450</v>
      </c>
      <c r="C140">
        <v>0.43</v>
      </c>
      <c r="D140" s="1">
        <v>2.3165538907051086E-2</v>
      </c>
      <c r="E140">
        <f t="shared" si="16"/>
        <v>1450</v>
      </c>
      <c r="F140">
        <f t="shared" si="17"/>
        <v>1.8665538907051086E-2</v>
      </c>
      <c r="I140">
        <f t="shared" si="14"/>
        <v>0.59795015707612031</v>
      </c>
      <c r="K140">
        <f t="shared" si="18"/>
        <v>0.60597633880615231</v>
      </c>
      <c r="L140">
        <f t="shared" si="19"/>
        <v>-0.61574881296906514</v>
      </c>
      <c r="N140">
        <v>1444.8464799999999</v>
      </c>
      <c r="O140">
        <f t="shared" si="20"/>
        <v>7.2242324</v>
      </c>
    </row>
    <row r="141" spans="1:15" x14ac:dyDescent="0.3">
      <c r="A141">
        <v>7.31</v>
      </c>
      <c r="B141">
        <f t="shared" si="15"/>
        <v>1462</v>
      </c>
      <c r="C141">
        <v>0.42799999999999999</v>
      </c>
      <c r="D141" s="1">
        <v>2.4038000032305717E-2</v>
      </c>
      <c r="E141">
        <f t="shared" si="16"/>
        <v>1462</v>
      </c>
      <c r="F141">
        <f t="shared" si="17"/>
        <v>1.9538000032305717E-2</v>
      </c>
      <c r="I141">
        <f t="shared" si="14"/>
        <v>0.60371778023615474</v>
      </c>
      <c r="K141">
        <f t="shared" si="18"/>
        <v>0.61208004424998164</v>
      </c>
      <c r="L141">
        <f t="shared" si="19"/>
        <v>-0.60964510752523582</v>
      </c>
      <c r="N141">
        <v>1455.53926</v>
      </c>
      <c r="O141">
        <f t="shared" si="20"/>
        <v>7.2776962999999997</v>
      </c>
    </row>
    <row r="142" spans="1:15" x14ac:dyDescent="0.3">
      <c r="A142">
        <v>7.36</v>
      </c>
      <c r="B142">
        <f t="shared" si="15"/>
        <v>1472</v>
      </c>
      <c r="C142">
        <v>0.42599999999999999</v>
      </c>
      <c r="D142" s="1">
        <v>2.2874869406223297E-2</v>
      </c>
      <c r="E142">
        <f t="shared" si="16"/>
        <v>1472</v>
      </c>
      <c r="F142">
        <f t="shared" si="17"/>
        <v>1.8374869406223297E-2</v>
      </c>
      <c r="I142">
        <f t="shared" si="14"/>
        <v>0.59435903882980345</v>
      </c>
      <c r="K142">
        <f t="shared" si="18"/>
        <v>0.60218673319685456</v>
      </c>
      <c r="L142">
        <f t="shared" si="19"/>
        <v>-0.61953841857836289</v>
      </c>
      <c r="N142">
        <v>1465.6210000000001</v>
      </c>
      <c r="O142">
        <f t="shared" si="20"/>
        <v>7.3281050000000008</v>
      </c>
    </row>
    <row r="143" spans="1:15" x14ac:dyDescent="0.3">
      <c r="A143">
        <v>7.41</v>
      </c>
      <c r="B143">
        <f t="shared" si="15"/>
        <v>1482</v>
      </c>
      <c r="C143">
        <v>0.42399999999999999</v>
      </c>
      <c r="D143" s="1">
        <v>2.321753092110157E-2</v>
      </c>
      <c r="E143">
        <f t="shared" si="16"/>
        <v>1482</v>
      </c>
      <c r="F143">
        <f t="shared" si="17"/>
        <v>1.871753092110157E-2</v>
      </c>
      <c r="I143">
        <f t="shared" si="14"/>
        <v>0.59604190412536262</v>
      </c>
      <c r="K143">
        <f t="shared" si="18"/>
        <v>0.60397813723590965</v>
      </c>
      <c r="L143">
        <f t="shared" si="19"/>
        <v>-0.6177470145393078</v>
      </c>
      <c r="N143">
        <v>1475.80458</v>
      </c>
      <c r="O143">
        <f t="shared" si="20"/>
        <v>7.3790228999999998</v>
      </c>
    </row>
    <row r="144" spans="1:15" x14ac:dyDescent="0.3">
      <c r="A144">
        <v>7.46</v>
      </c>
      <c r="B144">
        <f t="shared" si="15"/>
        <v>1492</v>
      </c>
      <c r="C144">
        <v>0.42199999999999999</v>
      </c>
      <c r="D144" s="1">
        <v>2.3349830880761147E-2</v>
      </c>
      <c r="E144">
        <f t="shared" si="16"/>
        <v>1492</v>
      </c>
      <c r="F144">
        <f t="shared" si="17"/>
        <v>1.8849830880761146E-2</v>
      </c>
      <c r="I144">
        <f t="shared" si="14"/>
        <v>0.59618973837047817</v>
      </c>
      <c r="K144">
        <f t="shared" si="18"/>
        <v>0.60414436700215934</v>
      </c>
      <c r="L144">
        <f t="shared" si="19"/>
        <v>-0.61758078477305811</v>
      </c>
      <c r="N144">
        <v>1486.29384</v>
      </c>
      <c r="O144">
        <f t="shared" si="20"/>
        <v>7.4314692000000004</v>
      </c>
    </row>
    <row r="145" spans="1:15" x14ac:dyDescent="0.3">
      <c r="A145">
        <v>7.52</v>
      </c>
      <c r="B145">
        <f t="shared" si="15"/>
        <v>1504</v>
      </c>
      <c r="C145">
        <v>0.42</v>
      </c>
      <c r="D145" s="1">
        <v>2.3089613765478134E-2</v>
      </c>
      <c r="E145">
        <f t="shared" si="16"/>
        <v>1504</v>
      </c>
      <c r="F145">
        <f t="shared" si="17"/>
        <v>1.8589613765478134E-2</v>
      </c>
      <c r="I145">
        <f t="shared" si="14"/>
        <v>0.59363389551639556</v>
      </c>
      <c r="K145">
        <f t="shared" si="18"/>
        <v>0.6014415332978964</v>
      </c>
      <c r="L145">
        <f t="shared" si="19"/>
        <v>-0.62028361847732105</v>
      </c>
      <c r="N145">
        <v>1496.8848599999999</v>
      </c>
      <c r="O145">
        <f t="shared" si="20"/>
        <v>7.4844242999999997</v>
      </c>
    </row>
    <row r="146" spans="1:15" x14ac:dyDescent="0.3">
      <c r="A146">
        <v>7.57</v>
      </c>
      <c r="B146">
        <f t="shared" si="15"/>
        <v>1514</v>
      </c>
      <c r="C146">
        <v>0.41799999999999998</v>
      </c>
      <c r="D146" s="1">
        <v>2.4445373564958572E-2</v>
      </c>
      <c r="E146">
        <f t="shared" si="16"/>
        <v>1514</v>
      </c>
      <c r="F146">
        <f t="shared" si="17"/>
        <v>1.9945373564958572E-2</v>
      </c>
      <c r="I146">
        <f t="shared" si="14"/>
        <v>0.60305147788673641</v>
      </c>
      <c r="K146">
        <f t="shared" si="18"/>
        <v>0.61138864403688908</v>
      </c>
      <c r="L146">
        <f t="shared" si="19"/>
        <v>-0.61033650773832837</v>
      </c>
      <c r="N146">
        <v>1506.9666</v>
      </c>
      <c r="O146">
        <f t="shared" si="20"/>
        <v>7.5348329999999999</v>
      </c>
    </row>
    <row r="147" spans="1:15" x14ac:dyDescent="0.3">
      <c r="A147">
        <v>7.62</v>
      </c>
      <c r="B147">
        <f t="shared" si="15"/>
        <v>1524</v>
      </c>
      <c r="C147">
        <v>0.41599999999999998</v>
      </c>
      <c r="D147" s="1">
        <v>2.3071354255080223E-2</v>
      </c>
      <c r="E147">
        <f t="shared" si="16"/>
        <v>1524</v>
      </c>
      <c r="F147">
        <f t="shared" si="17"/>
        <v>1.8571354255080223E-2</v>
      </c>
      <c r="I147">
        <f t="shared" si="14"/>
        <v>0.59180371942371135</v>
      </c>
      <c r="K147">
        <f t="shared" si="18"/>
        <v>0.59952940279382472</v>
      </c>
      <c r="L147">
        <f t="shared" si="19"/>
        <v>-0.62219574898139274</v>
      </c>
      <c r="N147">
        <v>1517.76142</v>
      </c>
      <c r="O147">
        <f t="shared" si="20"/>
        <v>7.5888071000000004</v>
      </c>
    </row>
    <row r="148" spans="1:15" x14ac:dyDescent="0.3">
      <c r="A148">
        <v>7.67</v>
      </c>
      <c r="B148">
        <f t="shared" si="15"/>
        <v>1534</v>
      </c>
      <c r="C148">
        <v>0.41299999999999998</v>
      </c>
      <c r="D148" s="1">
        <v>2.3792900145053864E-2</v>
      </c>
      <c r="E148">
        <f t="shared" si="16"/>
        <v>1534</v>
      </c>
      <c r="F148">
        <f t="shared" si="17"/>
        <v>1.9292900145053863E-2</v>
      </c>
      <c r="I148">
        <f t="shared" si="14"/>
        <v>0.59549154411256311</v>
      </c>
      <c r="K148">
        <f t="shared" si="18"/>
        <v>0.60345951187247038</v>
      </c>
      <c r="L148">
        <f t="shared" si="19"/>
        <v>-0.61826563990274708</v>
      </c>
      <c r="N148">
        <v>1528.5561600000001</v>
      </c>
      <c r="O148">
        <f t="shared" si="20"/>
        <v>7.6427808000000006</v>
      </c>
    </row>
    <row r="149" spans="1:15" x14ac:dyDescent="0.3">
      <c r="A149">
        <v>7.72</v>
      </c>
      <c r="B149">
        <f t="shared" si="15"/>
        <v>1544</v>
      </c>
      <c r="C149">
        <v>0.41099999999999998</v>
      </c>
      <c r="D149" s="1">
        <v>2.3416850715875626E-2</v>
      </c>
      <c r="E149">
        <f t="shared" si="16"/>
        <v>1544</v>
      </c>
      <c r="F149">
        <f t="shared" si="17"/>
        <v>1.8916850715875625E-2</v>
      </c>
      <c r="I149">
        <f t="shared" si="14"/>
        <v>0.5917780875265598</v>
      </c>
      <c r="K149">
        <f t="shared" si="18"/>
        <v>0.59955291317078474</v>
      </c>
      <c r="L149">
        <f t="shared" si="19"/>
        <v>-0.62217223860443271</v>
      </c>
      <c r="N149">
        <v>1538.8416999999999</v>
      </c>
      <c r="O149">
        <f t="shared" si="20"/>
        <v>7.6942084999999993</v>
      </c>
    </row>
    <row r="150" spans="1:15" x14ac:dyDescent="0.3">
      <c r="A150">
        <v>7.77</v>
      </c>
      <c r="B150">
        <f t="shared" si="15"/>
        <v>1554</v>
      </c>
      <c r="C150">
        <v>0.40899999999999997</v>
      </c>
      <c r="D150" s="1">
        <v>2.3439330980181694E-2</v>
      </c>
      <c r="E150">
        <f t="shared" si="16"/>
        <v>1554</v>
      </c>
      <c r="F150">
        <f t="shared" si="17"/>
        <v>1.8939330980181694E-2</v>
      </c>
      <c r="I150">
        <f t="shared" si="14"/>
        <v>0.59112360171601175</v>
      </c>
      <c r="K150">
        <f t="shared" si="18"/>
        <v>0.59886978808690605</v>
      </c>
      <c r="L150">
        <f t="shared" si="19"/>
        <v>-0.6228553636883114</v>
      </c>
      <c r="N150">
        <v>1548.92344</v>
      </c>
      <c r="O150">
        <f t="shared" si="20"/>
        <v>7.7446172000000004</v>
      </c>
    </row>
    <row r="151" spans="1:15" x14ac:dyDescent="0.3">
      <c r="A151">
        <v>7.82</v>
      </c>
      <c r="B151">
        <f t="shared" si="15"/>
        <v>1564</v>
      </c>
      <c r="C151">
        <v>0.40699999999999997</v>
      </c>
      <c r="D151" s="1">
        <v>2.3617656901478767E-2</v>
      </c>
      <c r="E151">
        <f t="shared" si="16"/>
        <v>1564</v>
      </c>
      <c r="F151">
        <f t="shared" si="17"/>
        <v>1.9117656901478767E-2</v>
      </c>
      <c r="I151">
        <f t="shared" si="14"/>
        <v>0.59169007696956388</v>
      </c>
      <c r="K151">
        <f t="shared" si="18"/>
        <v>0.59947096332846572</v>
      </c>
      <c r="L151">
        <f t="shared" si="19"/>
        <v>-0.62225418844675173</v>
      </c>
      <c r="N151">
        <v>1559.7181599999999</v>
      </c>
      <c r="O151">
        <f t="shared" si="20"/>
        <v>7.7985907999999995</v>
      </c>
    </row>
    <row r="152" spans="1:15" x14ac:dyDescent="0.3">
      <c r="A152">
        <v>7.87</v>
      </c>
      <c r="B152">
        <f t="shared" si="15"/>
        <v>1574</v>
      </c>
      <c r="C152">
        <v>0.40500000000000003</v>
      </c>
      <c r="D152" s="1">
        <v>2.4122841656208038E-2</v>
      </c>
      <c r="E152">
        <f t="shared" si="16"/>
        <v>1574</v>
      </c>
      <c r="F152">
        <f t="shared" si="17"/>
        <v>1.9622841656208038E-2</v>
      </c>
      <c r="I152">
        <f t="shared" si="14"/>
        <v>0.59484676383435731</v>
      </c>
      <c r="K152">
        <f t="shared" si="18"/>
        <v>0.60279401470512162</v>
      </c>
      <c r="L152">
        <f t="shared" si="19"/>
        <v>-0.61893113707009584</v>
      </c>
      <c r="N152">
        <v>1569.7999</v>
      </c>
      <c r="O152">
        <f t="shared" si="20"/>
        <v>7.8489994999999997</v>
      </c>
    </row>
    <row r="153" spans="1:15" x14ac:dyDescent="0.3">
      <c r="A153">
        <v>7.92</v>
      </c>
      <c r="B153">
        <f t="shared" si="15"/>
        <v>1584</v>
      </c>
      <c r="C153">
        <v>0.40300000000000002</v>
      </c>
      <c r="D153" s="1">
        <v>2.3679986596107483E-2</v>
      </c>
      <c r="E153">
        <f t="shared" si="16"/>
        <v>1584</v>
      </c>
      <c r="F153">
        <f t="shared" si="17"/>
        <v>1.9179986596107482E-2</v>
      </c>
      <c r="I153">
        <f t="shared" si="14"/>
        <v>0.59054549384117128</v>
      </c>
      <c r="K153">
        <f t="shared" si="18"/>
        <v>0.59827502843940261</v>
      </c>
      <c r="L153">
        <f t="shared" si="19"/>
        <v>-0.62345012333581484</v>
      </c>
      <c r="N153">
        <v>1580.9001000000001</v>
      </c>
      <c r="O153">
        <f t="shared" si="20"/>
        <v>7.9045005000000002</v>
      </c>
    </row>
    <row r="154" spans="1:15" x14ac:dyDescent="0.3">
      <c r="A154">
        <v>7.98</v>
      </c>
      <c r="B154">
        <f t="shared" si="15"/>
        <v>1596</v>
      </c>
      <c r="C154">
        <v>0.40100000000000002</v>
      </c>
      <c r="D154" s="1">
        <v>2.3782368749380112E-2</v>
      </c>
      <c r="E154">
        <f t="shared" si="16"/>
        <v>1596</v>
      </c>
      <c r="F154">
        <f t="shared" si="17"/>
        <v>1.9282368749380111E-2</v>
      </c>
      <c r="I154">
        <f t="shared" si="14"/>
        <v>0.5907833026200533</v>
      </c>
      <c r="K154">
        <f t="shared" si="18"/>
        <v>0.59851553248855471</v>
      </c>
      <c r="L154">
        <f t="shared" si="19"/>
        <v>-0.62320961928666274</v>
      </c>
      <c r="N154">
        <v>1590.9819399999999</v>
      </c>
      <c r="O154">
        <f t="shared" si="20"/>
        <v>7.9549096999999991</v>
      </c>
    </row>
    <row r="155" spans="1:15" x14ac:dyDescent="0.3">
      <c r="A155">
        <v>8.0299999999999994</v>
      </c>
      <c r="B155">
        <f t="shared" si="15"/>
        <v>1605.9999999999998</v>
      </c>
      <c r="C155">
        <v>0.39900000000000002</v>
      </c>
      <c r="D155" s="1">
        <v>2.3811902850866318E-2</v>
      </c>
      <c r="E155">
        <f t="shared" si="16"/>
        <v>1605.9999999999998</v>
      </c>
      <c r="F155">
        <f t="shared" si="17"/>
        <v>1.9311902850866317E-2</v>
      </c>
      <c r="I155">
        <f t="shared" si="14"/>
        <v>0.59020957989245648</v>
      </c>
      <c r="K155">
        <f t="shared" si="18"/>
        <v>0.59791502912995209</v>
      </c>
      <c r="L155">
        <f t="shared" si="19"/>
        <v>-0.62381012264526536</v>
      </c>
      <c r="N155">
        <v>1601.26748</v>
      </c>
      <c r="O155">
        <f t="shared" si="20"/>
        <v>8.0063373999999996</v>
      </c>
    </row>
    <row r="156" spans="1:15" x14ac:dyDescent="0.3">
      <c r="A156">
        <v>8.08</v>
      </c>
      <c r="B156">
        <f t="shared" si="15"/>
        <v>1616</v>
      </c>
      <c r="C156">
        <v>0.39700000000000002</v>
      </c>
      <c r="D156" s="1">
        <v>2.3356638848781586E-2</v>
      </c>
      <c r="E156">
        <f t="shared" si="16"/>
        <v>1616</v>
      </c>
      <c r="F156">
        <f t="shared" si="17"/>
        <v>1.8856638848781585E-2</v>
      </c>
      <c r="I156">
        <f t="shared" si="14"/>
        <v>0.58572164189815523</v>
      </c>
      <c r="K156">
        <f t="shared" si="18"/>
        <v>0.5932077275211215</v>
      </c>
      <c r="L156">
        <f t="shared" si="19"/>
        <v>-0.62851742425409596</v>
      </c>
      <c r="N156">
        <v>1612.2659200000001</v>
      </c>
      <c r="O156">
        <f t="shared" si="20"/>
        <v>8.0613296000000005</v>
      </c>
    </row>
    <row r="157" spans="1:15" x14ac:dyDescent="0.3">
      <c r="A157">
        <v>8.1300000000000008</v>
      </c>
      <c r="B157">
        <f t="shared" si="15"/>
        <v>1626.0000000000002</v>
      </c>
      <c r="C157">
        <v>0.39500000000000002</v>
      </c>
      <c r="D157" s="1">
        <v>2.3766256868839264E-2</v>
      </c>
      <c r="E157">
        <f t="shared" si="16"/>
        <v>1626.0000000000002</v>
      </c>
      <c r="F157">
        <f t="shared" si="17"/>
        <v>1.9266256868839263E-2</v>
      </c>
      <c r="I157">
        <f t="shared" si="14"/>
        <v>0.58821966834366324</v>
      </c>
      <c r="K157">
        <f t="shared" si="18"/>
        <v>0.59582983980685478</v>
      </c>
      <c r="L157">
        <f t="shared" si="19"/>
        <v>-0.62589531196836268</v>
      </c>
      <c r="N157">
        <v>1622.5513599999999</v>
      </c>
      <c r="O157">
        <f t="shared" si="20"/>
        <v>8.1127567999999997</v>
      </c>
    </row>
    <row r="158" spans="1:15" x14ac:dyDescent="0.3">
      <c r="A158">
        <v>8.18</v>
      </c>
      <c r="B158">
        <f t="shared" si="15"/>
        <v>1636</v>
      </c>
      <c r="C158">
        <v>0.39300000000000002</v>
      </c>
      <c r="D158" s="1">
        <v>2.3481503129005432E-2</v>
      </c>
      <c r="E158">
        <f t="shared" si="16"/>
        <v>1636</v>
      </c>
      <c r="F158">
        <f t="shared" si="17"/>
        <v>1.8981503129005432E-2</v>
      </c>
      <c r="I158">
        <f t="shared" si="14"/>
        <v>0.58507869559526449</v>
      </c>
      <c r="K158">
        <f t="shared" si="18"/>
        <v>0.59253842632496367</v>
      </c>
      <c r="L158">
        <f t="shared" si="19"/>
        <v>-0.62918672545025378</v>
      </c>
      <c r="N158">
        <v>1632.73506</v>
      </c>
      <c r="O158">
        <f t="shared" si="20"/>
        <v>8.1636752999999995</v>
      </c>
    </row>
    <row r="159" spans="1:15" x14ac:dyDescent="0.3">
      <c r="A159">
        <v>8.23</v>
      </c>
      <c r="B159">
        <f t="shared" si="15"/>
        <v>1646</v>
      </c>
      <c r="C159">
        <v>0.39</v>
      </c>
      <c r="D159" s="1">
        <v>2.421257458627224E-2</v>
      </c>
      <c r="E159">
        <f t="shared" si="16"/>
        <v>1646</v>
      </c>
      <c r="F159">
        <f t="shared" si="17"/>
        <v>1.9712574586272239E-2</v>
      </c>
      <c r="I159">
        <f t="shared" si="14"/>
        <v>0.58926948884502051</v>
      </c>
      <c r="K159">
        <f t="shared" si="18"/>
        <v>0.59695739293366668</v>
      </c>
      <c r="L159">
        <f t="shared" si="19"/>
        <v>-0.62476775884155078</v>
      </c>
      <c r="N159">
        <v>1643.4279200000001</v>
      </c>
      <c r="O159">
        <f t="shared" si="20"/>
        <v>8.2171396000000012</v>
      </c>
    </row>
    <row r="160" spans="1:15" x14ac:dyDescent="0.3">
      <c r="A160">
        <v>8.2799999999999994</v>
      </c>
      <c r="B160">
        <f t="shared" si="15"/>
        <v>1655.9999999999998</v>
      </c>
      <c r="C160">
        <v>0.38800000000000001</v>
      </c>
      <c r="D160" s="1">
        <v>2.3381641134619713E-2</v>
      </c>
      <c r="E160">
        <f t="shared" si="16"/>
        <v>1655.9999999999998</v>
      </c>
      <c r="F160">
        <f t="shared" si="17"/>
        <v>1.8881641134619712E-2</v>
      </c>
      <c r="I160">
        <f t="shared" si="14"/>
        <v>0.58159998859465123</v>
      </c>
      <c r="K160">
        <f t="shared" si="18"/>
        <v>0.58892606535488368</v>
      </c>
      <c r="L160">
        <f t="shared" si="19"/>
        <v>-0.63279908642033378</v>
      </c>
      <c r="N160">
        <v>1653.5097599999999</v>
      </c>
      <c r="O160">
        <f t="shared" si="20"/>
        <v>8.2675488000000001</v>
      </c>
    </row>
    <row r="161" spans="1:15" x14ac:dyDescent="0.3">
      <c r="A161">
        <v>8.34</v>
      </c>
      <c r="B161">
        <f t="shared" si="15"/>
        <v>1668</v>
      </c>
      <c r="C161">
        <v>0.38600000000000001</v>
      </c>
      <c r="D161" s="1">
        <v>2.4179680272936821E-2</v>
      </c>
      <c r="E161">
        <f t="shared" si="16"/>
        <v>1668</v>
      </c>
      <c r="F161">
        <f t="shared" si="17"/>
        <v>1.967968027293682E-2</v>
      </c>
      <c r="I161">
        <f t="shared" si="14"/>
        <v>0.58765853347629315</v>
      </c>
      <c r="K161">
        <f t="shared" si="18"/>
        <v>0.59525489006164678</v>
      </c>
      <c r="L161">
        <f t="shared" si="19"/>
        <v>-0.62647026171357068</v>
      </c>
      <c r="N161">
        <v>1663.5916</v>
      </c>
      <c r="O161">
        <f t="shared" si="20"/>
        <v>8.3179579999999991</v>
      </c>
    </row>
    <row r="162" spans="1:15" x14ac:dyDescent="0.3">
      <c r="A162">
        <v>8.39</v>
      </c>
      <c r="B162">
        <f t="shared" si="15"/>
        <v>1678</v>
      </c>
      <c r="C162">
        <v>0.38400000000000001</v>
      </c>
      <c r="D162" s="1">
        <v>2.3598005995154381E-2</v>
      </c>
      <c r="E162">
        <f t="shared" si="16"/>
        <v>1678</v>
      </c>
      <c r="F162">
        <f t="shared" si="17"/>
        <v>1.909800599515438E-2</v>
      </c>
      <c r="I162">
        <f t="shared" si="14"/>
        <v>0.58198727029934527</v>
      </c>
      <c r="K162">
        <f t="shared" si="18"/>
        <v>0.58932090460148456</v>
      </c>
      <c r="L162">
        <f t="shared" si="19"/>
        <v>-0.63240424717373289</v>
      </c>
      <c r="N162">
        <v>1674.08086</v>
      </c>
      <c r="O162">
        <f t="shared" si="20"/>
        <v>8.3704043000000006</v>
      </c>
    </row>
    <row r="163" spans="1:15" x14ac:dyDescent="0.3">
      <c r="A163">
        <v>8.44</v>
      </c>
      <c r="B163">
        <f t="shared" si="15"/>
        <v>1688</v>
      </c>
      <c r="C163">
        <v>0.38200000000000001</v>
      </c>
      <c r="D163" s="1">
        <v>2.405710332095623E-2</v>
      </c>
      <c r="E163">
        <f t="shared" si="16"/>
        <v>1688</v>
      </c>
      <c r="F163">
        <f t="shared" si="17"/>
        <v>1.955710332095623E-2</v>
      </c>
      <c r="I163">
        <f t="shared" si="14"/>
        <v>0.58504195202887055</v>
      </c>
      <c r="K163">
        <f t="shared" si="18"/>
        <v>0.59251276549747578</v>
      </c>
      <c r="L163">
        <f t="shared" si="19"/>
        <v>-0.62921238627774168</v>
      </c>
      <c r="N163">
        <v>1684.2644600000001</v>
      </c>
      <c r="O163">
        <f t="shared" si="20"/>
        <v>8.4213222999999999</v>
      </c>
    </row>
    <row r="164" spans="1:15" x14ac:dyDescent="0.3">
      <c r="A164">
        <v>8.49</v>
      </c>
      <c r="B164">
        <f t="shared" si="15"/>
        <v>1698</v>
      </c>
      <c r="C164">
        <v>0.38</v>
      </c>
      <c r="D164" s="1">
        <v>2.362007275223732E-2</v>
      </c>
      <c r="E164">
        <f t="shared" si="16"/>
        <v>1698</v>
      </c>
      <c r="F164">
        <f t="shared" si="17"/>
        <v>1.9120072752237319E-2</v>
      </c>
      <c r="I164">
        <f t="shared" si="14"/>
        <v>0.58053441766649483</v>
      </c>
      <c r="K164">
        <f t="shared" si="18"/>
        <v>0.58780004531234498</v>
      </c>
      <c r="L164">
        <f t="shared" si="19"/>
        <v>-0.63392510646287248</v>
      </c>
      <c r="N164">
        <v>1694.55</v>
      </c>
      <c r="O164">
        <f t="shared" si="20"/>
        <v>8.4727499999999996</v>
      </c>
    </row>
    <row r="165" spans="1:15" x14ac:dyDescent="0.3">
      <c r="A165">
        <v>8.5500000000000007</v>
      </c>
      <c r="B165">
        <f t="shared" si="15"/>
        <v>1710.0000000000002</v>
      </c>
      <c r="C165">
        <v>0.378</v>
      </c>
      <c r="D165" s="1">
        <v>2.441132627427578E-2</v>
      </c>
      <c r="E165">
        <f t="shared" si="16"/>
        <v>1710.0000000000002</v>
      </c>
      <c r="F165">
        <f t="shared" si="17"/>
        <v>1.9911326274275779E-2</v>
      </c>
      <c r="I165">
        <f t="shared" si="14"/>
        <v>0.58671683964505794</v>
      </c>
      <c r="K165">
        <f t="shared" si="18"/>
        <v>0.59424332097673416</v>
      </c>
      <c r="L165">
        <f t="shared" si="19"/>
        <v>-0.6274818307984833</v>
      </c>
      <c r="N165">
        <v>1704.83554</v>
      </c>
      <c r="O165">
        <f t="shared" si="20"/>
        <v>8.524177700000001</v>
      </c>
    </row>
    <row r="166" spans="1:15" x14ac:dyDescent="0.3">
      <c r="A166">
        <v>8.6</v>
      </c>
      <c r="B166">
        <f t="shared" si="15"/>
        <v>1720</v>
      </c>
      <c r="C166">
        <v>0.375</v>
      </c>
      <c r="D166" s="1">
        <v>2.3775476962327957E-2</v>
      </c>
      <c r="E166">
        <f t="shared" si="16"/>
        <v>1720</v>
      </c>
      <c r="F166">
        <f t="shared" si="17"/>
        <v>1.9275476962327957E-2</v>
      </c>
      <c r="I166">
        <f t="shared" si="14"/>
        <v>0.57946910187602041</v>
      </c>
      <c r="K166">
        <f t="shared" si="18"/>
        <v>0.58669740573689344</v>
      </c>
      <c r="L166">
        <f t="shared" si="19"/>
        <v>-0.63502774603832401</v>
      </c>
      <c r="N166">
        <v>1715.3248000000001</v>
      </c>
      <c r="O166">
        <f t="shared" si="20"/>
        <v>8.5766240000000007</v>
      </c>
    </row>
    <row r="167" spans="1:15" x14ac:dyDescent="0.3">
      <c r="A167">
        <v>8.65</v>
      </c>
      <c r="B167">
        <f t="shared" si="15"/>
        <v>1730</v>
      </c>
      <c r="C167">
        <v>0.373</v>
      </c>
      <c r="D167" s="1">
        <v>2.4246145039796829E-2</v>
      </c>
      <c r="E167">
        <f t="shared" si="16"/>
        <v>1730</v>
      </c>
      <c r="F167">
        <f t="shared" si="17"/>
        <v>1.9746145039796829E-2</v>
      </c>
      <c r="I167">
        <f t="shared" si="14"/>
        <v>0.58272915459424257</v>
      </c>
      <c r="K167">
        <f t="shared" si="18"/>
        <v>0.59009446669408683</v>
      </c>
      <c r="L167">
        <f t="shared" si="19"/>
        <v>-0.63163068508113063</v>
      </c>
      <c r="N167">
        <v>1725.61016</v>
      </c>
      <c r="O167">
        <f t="shared" si="20"/>
        <v>8.6280508000000005</v>
      </c>
    </row>
    <row r="168" spans="1:15" x14ac:dyDescent="0.3">
      <c r="A168">
        <v>8.7100000000000009</v>
      </c>
      <c r="B168">
        <f t="shared" si="15"/>
        <v>1742.0000000000002</v>
      </c>
      <c r="C168">
        <v>0.371</v>
      </c>
      <c r="D168" s="1">
        <v>2.3945005610585213E-2</v>
      </c>
      <c r="E168">
        <f t="shared" si="16"/>
        <v>1742.0000000000002</v>
      </c>
      <c r="F168">
        <f t="shared" si="17"/>
        <v>1.9445005610585212E-2</v>
      </c>
      <c r="I168">
        <f t="shared" si="14"/>
        <v>0.57956099886819723</v>
      </c>
      <c r="K168">
        <f t="shared" si="18"/>
        <v>0.58677509594972432</v>
      </c>
      <c r="L168">
        <f t="shared" si="19"/>
        <v>-0.63495005582549313</v>
      </c>
      <c r="N168">
        <v>1735.79376</v>
      </c>
      <c r="O168">
        <f t="shared" si="20"/>
        <v>8.6789687999999998</v>
      </c>
    </row>
    <row r="169" spans="1:15" x14ac:dyDescent="0.3">
      <c r="A169">
        <v>8.76</v>
      </c>
      <c r="B169">
        <f t="shared" si="15"/>
        <v>1752</v>
      </c>
      <c r="C169">
        <v>0.36899999999999999</v>
      </c>
      <c r="D169" s="1">
        <v>2.4068757891654968E-2</v>
      </c>
      <c r="E169">
        <f t="shared" si="16"/>
        <v>1752</v>
      </c>
      <c r="F169">
        <f t="shared" si="17"/>
        <v>1.9568757891654968E-2</v>
      </c>
      <c r="I169">
        <f t="shared" si="14"/>
        <v>0.57984231913089745</v>
      </c>
      <c r="K169">
        <f t="shared" si="18"/>
        <v>0.58706319079291813</v>
      </c>
      <c r="L169">
        <f t="shared" si="19"/>
        <v>-0.63466196098229932</v>
      </c>
      <c r="N169">
        <v>1746.2829999999999</v>
      </c>
      <c r="O169">
        <f t="shared" si="20"/>
        <v>8.7314150000000001</v>
      </c>
    </row>
    <row r="170" spans="1:15" x14ac:dyDescent="0.3">
      <c r="A170">
        <v>8.81</v>
      </c>
      <c r="B170">
        <f t="shared" si="15"/>
        <v>1762</v>
      </c>
      <c r="C170">
        <v>0.36699999999999999</v>
      </c>
      <c r="D170" s="1">
        <v>2.4400951340794563E-2</v>
      </c>
      <c r="E170">
        <f t="shared" si="16"/>
        <v>1762</v>
      </c>
      <c r="F170">
        <f t="shared" si="17"/>
        <v>1.9900951340794563E-2</v>
      </c>
      <c r="I170">
        <f t="shared" si="14"/>
        <v>0.58197238131240014</v>
      </c>
      <c r="K170">
        <f t="shared" si="18"/>
        <v>0.58927603045447174</v>
      </c>
      <c r="L170">
        <f t="shared" si="19"/>
        <v>-0.63244912132074571</v>
      </c>
      <c r="N170">
        <v>1756.4666</v>
      </c>
      <c r="O170">
        <f t="shared" si="20"/>
        <v>8.7823329999999995</v>
      </c>
    </row>
    <row r="171" spans="1:15" x14ac:dyDescent="0.3">
      <c r="A171">
        <v>8.8699999999999992</v>
      </c>
      <c r="B171">
        <f t="shared" si="15"/>
        <v>1773.9999999999998</v>
      </c>
      <c r="C171">
        <v>0.36499999999999999</v>
      </c>
      <c r="D171" s="1">
        <v>2.4340275675058365E-2</v>
      </c>
      <c r="E171">
        <f t="shared" si="16"/>
        <v>1773.9999999999998</v>
      </c>
      <c r="F171">
        <f t="shared" si="17"/>
        <v>1.9840275675058364E-2</v>
      </c>
      <c r="I171">
        <f t="shared" si="14"/>
        <v>0.58089824523776767</v>
      </c>
      <c r="K171">
        <f t="shared" si="18"/>
        <v>0.58813994585916396</v>
      </c>
      <c r="L171">
        <f t="shared" si="19"/>
        <v>-0.6335852059160535</v>
      </c>
      <c r="N171">
        <v>1766.54844</v>
      </c>
      <c r="O171">
        <f t="shared" si="20"/>
        <v>8.8327422000000002</v>
      </c>
    </row>
    <row r="172" spans="1:15" x14ac:dyDescent="0.3">
      <c r="A172">
        <v>8.92</v>
      </c>
      <c r="B172">
        <f t="shared" si="15"/>
        <v>1784</v>
      </c>
      <c r="C172">
        <v>0.36199999999999999</v>
      </c>
      <c r="D172" s="1">
        <v>2.3765942081809044E-2</v>
      </c>
      <c r="E172">
        <f t="shared" si="16"/>
        <v>1784</v>
      </c>
      <c r="F172">
        <f t="shared" si="17"/>
        <v>1.9265942081809043E-2</v>
      </c>
      <c r="I172">
        <f t="shared" si="14"/>
        <v>0.57399220336973666</v>
      </c>
      <c r="K172">
        <f t="shared" si="18"/>
        <v>0.58096647440335158</v>
      </c>
      <c r="L172">
        <f t="shared" si="19"/>
        <v>-0.64075867737186587</v>
      </c>
      <c r="N172">
        <v>1776.6302800000001</v>
      </c>
      <c r="O172">
        <f t="shared" si="20"/>
        <v>8.8831514000000009</v>
      </c>
    </row>
    <row r="173" spans="1:15" x14ac:dyDescent="0.3">
      <c r="A173">
        <v>8.9700000000000006</v>
      </c>
      <c r="B173">
        <f t="shared" si="15"/>
        <v>1794.0000000000002</v>
      </c>
      <c r="C173">
        <v>0.36099999999999999</v>
      </c>
      <c r="D173" s="1">
        <v>2.4312430992722511E-2</v>
      </c>
      <c r="E173">
        <f t="shared" si="16"/>
        <v>1794.0000000000002</v>
      </c>
      <c r="F173">
        <f t="shared" si="17"/>
        <v>1.9812430992722511E-2</v>
      </c>
      <c r="I173">
        <f t="shared" si="14"/>
        <v>0.57908250600472089</v>
      </c>
      <c r="K173">
        <f t="shared" si="18"/>
        <v>0.58623479359309372</v>
      </c>
      <c r="L173">
        <f t="shared" si="19"/>
        <v>-0.63549035818212374</v>
      </c>
      <c r="N173">
        <v>1786.7121</v>
      </c>
      <c r="O173">
        <f t="shared" si="20"/>
        <v>8.9335605000000005</v>
      </c>
    </row>
    <row r="174" spans="1:15" x14ac:dyDescent="0.3">
      <c r="A174">
        <v>9.02</v>
      </c>
      <c r="B174">
        <f t="shared" si="15"/>
        <v>1804</v>
      </c>
      <c r="C174">
        <v>0.35799999999999998</v>
      </c>
      <c r="D174" s="1">
        <v>2.4244915693998337E-2</v>
      </c>
      <c r="E174">
        <f t="shared" si="16"/>
        <v>1804</v>
      </c>
      <c r="F174">
        <f t="shared" si="17"/>
        <v>1.9744915693998336E-2</v>
      </c>
      <c r="I174">
        <f t="shared" si="14"/>
        <v>0.576689139559865</v>
      </c>
      <c r="K174">
        <f t="shared" si="18"/>
        <v>0.58375781937831639</v>
      </c>
      <c r="L174">
        <f t="shared" si="19"/>
        <v>-0.63796733239690107</v>
      </c>
      <c r="N174">
        <v>1796.79394</v>
      </c>
      <c r="O174">
        <f t="shared" si="20"/>
        <v>8.9839696999999994</v>
      </c>
    </row>
    <row r="175" spans="1:15" x14ac:dyDescent="0.3">
      <c r="A175">
        <v>9.07</v>
      </c>
      <c r="B175">
        <f t="shared" si="15"/>
        <v>1814</v>
      </c>
      <c r="C175">
        <v>0.35599999999999998</v>
      </c>
      <c r="D175" s="1">
        <v>2.4329442530870438E-2</v>
      </c>
      <c r="E175">
        <f t="shared" si="16"/>
        <v>1814</v>
      </c>
      <c r="F175">
        <f t="shared" si="17"/>
        <v>1.9829442530870437E-2</v>
      </c>
      <c r="I175">
        <f t="shared" si="14"/>
        <v>0.57666804375499492</v>
      </c>
      <c r="K175">
        <f t="shared" si="18"/>
        <v>0.58372732529598481</v>
      </c>
      <c r="L175">
        <f t="shared" si="19"/>
        <v>-0.63799782647923264</v>
      </c>
      <c r="N175">
        <v>1807.3849600000001</v>
      </c>
      <c r="O175">
        <f t="shared" si="20"/>
        <v>9.0369248000000013</v>
      </c>
    </row>
    <row r="176" spans="1:15" x14ac:dyDescent="0.3">
      <c r="A176">
        <v>9.1199999999999992</v>
      </c>
      <c r="B176">
        <f t="shared" si="15"/>
        <v>1823.9999999999998</v>
      </c>
      <c r="C176">
        <v>0.35399999999999998</v>
      </c>
      <c r="D176" s="1">
        <v>2.4736572057008743E-2</v>
      </c>
      <c r="E176">
        <f t="shared" si="16"/>
        <v>1823.9999999999998</v>
      </c>
      <c r="F176">
        <f t="shared" si="17"/>
        <v>2.0236572057008743E-2</v>
      </c>
      <c r="I176">
        <f t="shared" si="14"/>
        <v>0.57959753715991968</v>
      </c>
      <c r="K176">
        <f t="shared" si="18"/>
        <v>0.58676128366810076</v>
      </c>
      <c r="L176">
        <f t="shared" si="19"/>
        <v>-0.63496386810711669</v>
      </c>
      <c r="N176">
        <v>1817.4667999999999</v>
      </c>
      <c r="O176">
        <f t="shared" si="20"/>
        <v>9.0873340000000002</v>
      </c>
    </row>
    <row r="177" spans="1:15" x14ac:dyDescent="0.3">
      <c r="A177">
        <v>9.17</v>
      </c>
      <c r="B177">
        <f t="shared" si="15"/>
        <v>1834</v>
      </c>
      <c r="C177">
        <v>0.35199999999999998</v>
      </c>
      <c r="D177" s="1">
        <v>2.427547425031662E-2</v>
      </c>
      <c r="E177">
        <f t="shared" si="16"/>
        <v>1834</v>
      </c>
      <c r="F177">
        <f t="shared" si="17"/>
        <v>1.9775474250316619E-2</v>
      </c>
      <c r="I177">
        <f t="shared" si="14"/>
        <v>0.57460609887540337</v>
      </c>
      <c r="K177">
        <f t="shared" si="18"/>
        <v>0.58156706581151485</v>
      </c>
      <c r="L177">
        <f t="shared" si="19"/>
        <v>-0.64015808596370261</v>
      </c>
      <c r="N177">
        <v>1828.36348</v>
      </c>
      <c r="O177">
        <f t="shared" si="20"/>
        <v>9.1418174000000008</v>
      </c>
    </row>
    <row r="178" spans="1:15" x14ac:dyDescent="0.3">
      <c r="A178">
        <v>9.2200000000000006</v>
      </c>
      <c r="B178">
        <f t="shared" si="15"/>
        <v>1844.0000000000002</v>
      </c>
      <c r="C178">
        <v>0.35</v>
      </c>
      <c r="D178" s="1">
        <v>2.4188827723264694E-2</v>
      </c>
      <c r="E178">
        <f t="shared" si="16"/>
        <v>1844.0000000000002</v>
      </c>
      <c r="F178">
        <f t="shared" si="17"/>
        <v>1.9688827723264694E-2</v>
      </c>
      <c r="I178">
        <f t="shared" si="14"/>
        <v>0.57302099160850051</v>
      </c>
      <c r="K178">
        <f t="shared" si="18"/>
        <v>0.57991208131164318</v>
      </c>
      <c r="L178">
        <f t="shared" si="19"/>
        <v>-0.64181307046357428</v>
      </c>
      <c r="N178">
        <v>1838.5468800000001</v>
      </c>
      <c r="O178">
        <f t="shared" si="20"/>
        <v>9.1927344000000009</v>
      </c>
    </row>
    <row r="179" spans="1:15" x14ac:dyDescent="0.3">
      <c r="A179">
        <v>9.2799999999999994</v>
      </c>
      <c r="B179">
        <f t="shared" si="15"/>
        <v>1855.9999999999998</v>
      </c>
      <c r="C179">
        <v>0.34799999999999998</v>
      </c>
      <c r="D179" s="1">
        <v>2.4591587483882904E-2</v>
      </c>
      <c r="E179">
        <f t="shared" si="16"/>
        <v>1855.9999999999998</v>
      </c>
      <c r="F179">
        <f t="shared" si="17"/>
        <v>2.0091587483882904E-2</v>
      </c>
      <c r="I179">
        <f t="shared" si="14"/>
        <v>0.57620993185043334</v>
      </c>
      <c r="K179">
        <f t="shared" si="18"/>
        <v>0.5832018042948246</v>
      </c>
      <c r="L179">
        <f t="shared" si="19"/>
        <v>-0.63852334748039286</v>
      </c>
      <c r="N179">
        <v>1849.0361399999999</v>
      </c>
      <c r="O179">
        <f t="shared" si="20"/>
        <v>9.2451806999999988</v>
      </c>
    </row>
    <row r="180" spans="1:15" x14ac:dyDescent="0.3">
      <c r="A180">
        <v>9.33</v>
      </c>
      <c r="B180">
        <f t="shared" si="15"/>
        <v>1866</v>
      </c>
      <c r="C180">
        <v>0.34599999999999997</v>
      </c>
      <c r="D180" s="1">
        <v>2.4872282519936562E-2</v>
      </c>
      <c r="E180">
        <f t="shared" si="16"/>
        <v>1866</v>
      </c>
      <c r="F180">
        <f t="shared" si="17"/>
        <v>2.0372282519936561E-2</v>
      </c>
      <c r="I180">
        <f t="shared" si="14"/>
        <v>0.57805839591100816</v>
      </c>
      <c r="K180">
        <f t="shared" si="18"/>
        <v>0.58510720566290619</v>
      </c>
      <c r="L180">
        <f t="shared" si="19"/>
        <v>-0.63661794611231126</v>
      </c>
      <c r="N180">
        <v>1859.11796</v>
      </c>
      <c r="O180">
        <f t="shared" si="20"/>
        <v>9.2955898000000001</v>
      </c>
    </row>
    <row r="181" spans="1:15" x14ac:dyDescent="0.3">
      <c r="A181">
        <v>9.3800000000000008</v>
      </c>
      <c r="B181">
        <f t="shared" si="15"/>
        <v>1876.0000000000002</v>
      </c>
      <c r="C181">
        <v>0.34300000000000003</v>
      </c>
      <c r="D181" s="1">
        <v>2.4994742125272751E-2</v>
      </c>
      <c r="E181">
        <f t="shared" si="16"/>
        <v>1876.0000000000002</v>
      </c>
      <c r="F181">
        <f t="shared" si="17"/>
        <v>2.049474212527275E-2</v>
      </c>
      <c r="I181">
        <f t="shared" si="14"/>
        <v>0.57745068113505849</v>
      </c>
      <c r="K181">
        <f t="shared" si="18"/>
        <v>0.58448037768402705</v>
      </c>
      <c r="L181">
        <f t="shared" si="19"/>
        <v>-0.6372447740911904</v>
      </c>
      <c r="N181">
        <v>1870.1164000000001</v>
      </c>
      <c r="O181">
        <f t="shared" si="20"/>
        <v>9.3505820000000011</v>
      </c>
    </row>
    <row r="182" spans="1:15" x14ac:dyDescent="0.3">
      <c r="A182">
        <v>9.43</v>
      </c>
      <c r="B182">
        <f t="shared" si="15"/>
        <v>1886</v>
      </c>
      <c r="C182">
        <v>0.34100000000000003</v>
      </c>
      <c r="D182" s="1">
        <v>2.505173347890377E-2</v>
      </c>
      <c r="E182">
        <f t="shared" si="16"/>
        <v>1886</v>
      </c>
      <c r="F182">
        <f t="shared" si="17"/>
        <v>2.055173347890377E-2</v>
      </c>
      <c r="I182">
        <f t="shared" si="14"/>
        <v>0.5772378467060626</v>
      </c>
      <c r="K182">
        <f t="shared" si="18"/>
        <v>0.58424598782236881</v>
      </c>
      <c r="L182">
        <f t="shared" si="19"/>
        <v>-0.63747916395284865</v>
      </c>
      <c r="N182">
        <v>1880.60546</v>
      </c>
      <c r="O182">
        <f t="shared" si="20"/>
        <v>9.4030272999999998</v>
      </c>
    </row>
    <row r="183" spans="1:15" x14ac:dyDescent="0.3">
      <c r="A183">
        <v>9.48</v>
      </c>
      <c r="B183">
        <f t="shared" si="15"/>
        <v>1896</v>
      </c>
      <c r="C183">
        <v>0.33900000000000002</v>
      </c>
      <c r="D183" s="1">
        <v>2.4565804749727249E-2</v>
      </c>
      <c r="E183">
        <f t="shared" si="16"/>
        <v>1896</v>
      </c>
      <c r="F183">
        <f t="shared" si="17"/>
        <v>2.0065804749727249E-2</v>
      </c>
      <c r="I183">
        <f t="shared" si="14"/>
        <v>0.57188382902741441</v>
      </c>
      <c r="K183">
        <f t="shared" si="18"/>
        <v>0.57868613683757197</v>
      </c>
      <c r="L183">
        <f t="shared" si="19"/>
        <v>-0.64303901493764548</v>
      </c>
      <c r="N183">
        <v>1890.99296</v>
      </c>
      <c r="O183">
        <f t="shared" si="20"/>
        <v>9.4549648000000008</v>
      </c>
    </row>
    <row r="184" spans="1:15" x14ac:dyDescent="0.3">
      <c r="A184">
        <v>9.5299999999999994</v>
      </c>
      <c r="B184">
        <f t="shared" si="15"/>
        <v>1905.9999999999998</v>
      </c>
      <c r="C184">
        <v>0.33700000000000002</v>
      </c>
      <c r="D184" s="1">
        <v>2.4296250194311142E-2</v>
      </c>
      <c r="E184">
        <f t="shared" si="16"/>
        <v>1905.9999999999998</v>
      </c>
      <c r="F184">
        <f t="shared" si="17"/>
        <v>1.9796250194311141E-2</v>
      </c>
      <c r="I184">
        <f t="shared" si="14"/>
        <v>0.56854326435178515</v>
      </c>
      <c r="K184">
        <f t="shared" si="18"/>
        <v>0.57521460066726804</v>
      </c>
      <c r="L184">
        <f t="shared" si="19"/>
        <v>-0.64651055110794942</v>
      </c>
      <c r="N184">
        <v>1901.0748000000001</v>
      </c>
      <c r="O184">
        <f t="shared" si="20"/>
        <v>9.5053739999999998</v>
      </c>
    </row>
    <row r="185" spans="1:15" x14ac:dyDescent="0.3">
      <c r="A185">
        <v>9.58</v>
      </c>
      <c r="B185">
        <f t="shared" si="15"/>
        <v>1916</v>
      </c>
      <c r="C185">
        <v>0.33500000000000002</v>
      </c>
      <c r="D185" s="1">
        <v>2.4016488343477249E-2</v>
      </c>
      <c r="E185">
        <f t="shared" si="16"/>
        <v>1916</v>
      </c>
      <c r="F185">
        <f t="shared" si="17"/>
        <v>1.9516488343477249E-2</v>
      </c>
      <c r="I185">
        <f t="shared" si="14"/>
        <v>0.56507795833051211</v>
      </c>
      <c r="K185">
        <f t="shared" si="18"/>
        <v>0.57161598192557694</v>
      </c>
      <c r="L185">
        <f t="shared" si="19"/>
        <v>-0.65010916984964051</v>
      </c>
      <c r="N185">
        <v>1911.1566399999999</v>
      </c>
      <c r="O185">
        <f t="shared" si="20"/>
        <v>9.5557832000000005</v>
      </c>
    </row>
    <row r="186" spans="1:15" x14ac:dyDescent="0.3">
      <c r="A186">
        <v>9.6300000000000008</v>
      </c>
      <c r="B186">
        <f t="shared" si="15"/>
        <v>1926.0000000000002</v>
      </c>
      <c r="C186">
        <v>0.33300000000000002</v>
      </c>
      <c r="D186" s="1">
        <v>2.4950046092271805E-2</v>
      </c>
      <c r="E186">
        <f t="shared" si="16"/>
        <v>1926.0000000000002</v>
      </c>
      <c r="F186">
        <f t="shared" si="17"/>
        <v>2.0450046092271804E-2</v>
      </c>
      <c r="I186">
        <f t="shared" si="14"/>
        <v>0.57326894386857752</v>
      </c>
      <c r="K186">
        <f t="shared" si="18"/>
        <v>0.58007880921730404</v>
      </c>
      <c r="L186">
        <f t="shared" si="19"/>
        <v>-0.64164634255791342</v>
      </c>
      <c r="N186">
        <v>1921.74746</v>
      </c>
      <c r="O186">
        <f t="shared" si="20"/>
        <v>9.6087372999999996</v>
      </c>
    </row>
    <row r="187" spans="1:15" x14ac:dyDescent="0.3">
      <c r="A187">
        <v>9.69</v>
      </c>
      <c r="B187">
        <f t="shared" si="15"/>
        <v>1938</v>
      </c>
      <c r="C187">
        <v>0.33</v>
      </c>
      <c r="D187" s="1">
        <v>2.4746935814619064E-2</v>
      </c>
      <c r="E187">
        <f t="shared" si="16"/>
        <v>1938</v>
      </c>
      <c r="F187">
        <f t="shared" si="17"/>
        <v>2.0246935814619064E-2</v>
      </c>
      <c r="I187">
        <f t="shared" si="14"/>
        <v>0.56979780804365876</v>
      </c>
      <c r="K187">
        <f t="shared" si="18"/>
        <v>0.576479296862483</v>
      </c>
      <c r="L187">
        <f t="shared" si="19"/>
        <v>-0.64524585491273445</v>
      </c>
      <c r="N187">
        <v>1931.9312600000001</v>
      </c>
      <c r="O187">
        <f t="shared" si="20"/>
        <v>9.6596563</v>
      </c>
    </row>
    <row r="188" spans="1:15" x14ac:dyDescent="0.3">
      <c r="A188">
        <v>9.74</v>
      </c>
      <c r="B188">
        <f t="shared" si="15"/>
        <v>1948</v>
      </c>
      <c r="C188">
        <v>0.32800000000000001</v>
      </c>
      <c r="D188" s="1">
        <v>2.47977115213871E-2</v>
      </c>
      <c r="E188">
        <f t="shared" si="16"/>
        <v>1948</v>
      </c>
      <c r="F188">
        <f t="shared" si="17"/>
        <v>2.02977115213871E-2</v>
      </c>
      <c r="I188">
        <f t="shared" si="14"/>
        <v>0.56952971021831034</v>
      </c>
      <c r="K188">
        <f t="shared" si="18"/>
        <v>0.57618735959732525</v>
      </c>
      <c r="L188">
        <f t="shared" si="19"/>
        <v>-0.6455377921778922</v>
      </c>
      <c r="N188">
        <v>1942.4203199999999</v>
      </c>
      <c r="O188">
        <f t="shared" si="20"/>
        <v>9.7121016000000004</v>
      </c>
    </row>
    <row r="189" spans="1:15" x14ac:dyDescent="0.3">
      <c r="A189">
        <v>9.7899999999999991</v>
      </c>
      <c r="B189">
        <f t="shared" si="15"/>
        <v>1957.9999999999998</v>
      </c>
      <c r="C189">
        <v>0.32700000000000001</v>
      </c>
      <c r="D189" s="1">
        <v>2.4553913623094559E-2</v>
      </c>
      <c r="E189">
        <f t="shared" si="16"/>
        <v>1957.9999999999998</v>
      </c>
      <c r="F189">
        <f t="shared" si="17"/>
        <v>2.0053913623094558E-2</v>
      </c>
      <c r="I189">
        <f t="shared" si="14"/>
        <v>0.56738281437009574</v>
      </c>
      <c r="K189">
        <f t="shared" si="18"/>
        <v>0.57394044412484768</v>
      </c>
      <c r="L189">
        <f t="shared" si="19"/>
        <v>-0.64778470765036977</v>
      </c>
      <c r="N189">
        <v>1952.70606</v>
      </c>
      <c r="O189">
        <f t="shared" si="20"/>
        <v>9.7635302999999993</v>
      </c>
    </row>
    <row r="190" spans="1:15" x14ac:dyDescent="0.3">
      <c r="A190">
        <v>9.84</v>
      </c>
      <c r="B190">
        <f t="shared" si="15"/>
        <v>1968</v>
      </c>
      <c r="C190">
        <v>0.32400000000000001</v>
      </c>
      <c r="D190" s="1">
        <v>2.4869997054338455E-2</v>
      </c>
      <c r="E190">
        <f t="shared" si="16"/>
        <v>1968</v>
      </c>
      <c r="F190">
        <f t="shared" si="17"/>
        <v>2.0369997054338455E-2</v>
      </c>
      <c r="I190">
        <f t="shared" si="14"/>
        <v>0.56872077101469043</v>
      </c>
      <c r="K190">
        <f t="shared" si="18"/>
        <v>0.57532065006029609</v>
      </c>
      <c r="L190">
        <f t="shared" si="19"/>
        <v>-0.64640450171492136</v>
      </c>
      <c r="N190">
        <v>1962.8894600000001</v>
      </c>
      <c r="O190">
        <f t="shared" si="20"/>
        <v>9.8144473000000012</v>
      </c>
    </row>
    <row r="191" spans="1:15" x14ac:dyDescent="0.3">
      <c r="A191">
        <v>9.9</v>
      </c>
      <c r="B191">
        <f t="shared" si="15"/>
        <v>1980</v>
      </c>
      <c r="C191">
        <v>0.32200000000000001</v>
      </c>
      <c r="D191" s="1">
        <v>2.4348245933651924E-2</v>
      </c>
      <c r="E191">
        <f t="shared" si="16"/>
        <v>1980</v>
      </c>
      <c r="F191">
        <f t="shared" si="17"/>
        <v>1.9848245933651924E-2</v>
      </c>
      <c r="I191">
        <f t="shared" si="14"/>
        <v>0.56304763474315411</v>
      </c>
      <c r="K191">
        <f t="shared" si="18"/>
        <v>0.56943876993379006</v>
      </c>
      <c r="L191">
        <f t="shared" si="19"/>
        <v>-0.6522863818414274</v>
      </c>
      <c r="N191">
        <v>1973.0732399999999</v>
      </c>
      <c r="O191">
        <f t="shared" si="20"/>
        <v>9.8653662000000004</v>
      </c>
    </row>
    <row r="192" spans="1:15" x14ac:dyDescent="0.3">
      <c r="A192">
        <v>9.9499999999999993</v>
      </c>
      <c r="B192">
        <f t="shared" si="15"/>
        <v>1989.9999999999998</v>
      </c>
      <c r="C192">
        <v>0.32</v>
      </c>
      <c r="D192" s="1">
        <v>2.5444960221648216E-2</v>
      </c>
      <c r="E192">
        <f t="shared" si="16"/>
        <v>1989.9999999999998</v>
      </c>
      <c r="F192">
        <f t="shared" si="17"/>
        <v>2.0944960221648216E-2</v>
      </c>
      <c r="I192">
        <f t="shared" si="14"/>
        <v>0.57317735420539973</v>
      </c>
      <c r="K192">
        <f t="shared" si="18"/>
        <v>0.57987974147632715</v>
      </c>
      <c r="L192">
        <f t="shared" si="19"/>
        <v>-0.64184541029889031</v>
      </c>
      <c r="N192">
        <v>1983.25684</v>
      </c>
      <c r="O192">
        <f t="shared" si="20"/>
        <v>9.9162841999999998</v>
      </c>
    </row>
    <row r="193" spans="1:15" x14ac:dyDescent="0.3">
      <c r="A193">
        <v>10</v>
      </c>
      <c r="B193">
        <f t="shared" si="15"/>
        <v>2000</v>
      </c>
      <c r="C193">
        <v>0.317</v>
      </c>
      <c r="D193" s="1">
        <v>2.464304119348526E-2</v>
      </c>
      <c r="E193">
        <f t="shared" si="16"/>
        <v>2000</v>
      </c>
      <c r="F193">
        <f t="shared" si="17"/>
        <v>2.0143041193485259E-2</v>
      </c>
      <c r="I193">
        <f t="shared" si="14"/>
        <v>0.56343041193485255</v>
      </c>
      <c r="K193">
        <f t="shared" si="18"/>
        <v>0.56981575599318735</v>
      </c>
      <c r="L193">
        <f t="shared" si="19"/>
        <v>-0.65190939578203011</v>
      </c>
      <c r="N193">
        <v>1993.6443400000001</v>
      </c>
      <c r="O193">
        <f t="shared" si="20"/>
        <v>9.9682217000000009</v>
      </c>
    </row>
    <row r="194" spans="1:15" x14ac:dyDescent="0.3">
      <c r="A194">
        <v>10</v>
      </c>
      <c r="B194">
        <f t="shared" si="15"/>
        <v>2000</v>
      </c>
      <c r="C194">
        <v>0.315</v>
      </c>
      <c r="D194" s="1">
        <v>2.4760615080595016E-2</v>
      </c>
      <c r="E194">
        <f t="shared" si="16"/>
        <v>2000</v>
      </c>
      <c r="F194">
        <f t="shared" si="17"/>
        <v>2.0260615080595016E-2</v>
      </c>
      <c r="I194">
        <f t="shared" ref="I194:I223" si="21">C194+(D194*A194)</f>
        <v>0.56260615080595011</v>
      </c>
      <c r="K194">
        <f t="shared" si="18"/>
        <v>0.56898824455633756</v>
      </c>
      <c r="L194">
        <f t="shared" si="19"/>
        <v>-0.65273690721887989</v>
      </c>
      <c r="N194">
        <v>2004.2352000000001</v>
      </c>
      <c r="O194">
        <f t="shared" si="20"/>
        <v>10.021176000000001</v>
      </c>
    </row>
    <row r="195" spans="1:15" x14ac:dyDescent="0.3">
      <c r="A195">
        <v>10.1</v>
      </c>
      <c r="B195">
        <f t="shared" ref="B195:B223" si="22">A195*200</f>
        <v>2020</v>
      </c>
      <c r="C195">
        <v>0.313</v>
      </c>
      <c r="D195" s="1">
        <v>2.4760615080595016E-2</v>
      </c>
      <c r="E195">
        <f t="shared" ref="E195:E223" si="23">B195</f>
        <v>2020</v>
      </c>
      <c r="F195">
        <f t="shared" ref="F195" si="24">D195-0.0045</f>
        <v>2.0260615080595016E-2</v>
      </c>
      <c r="I195">
        <f t="shared" si="21"/>
        <v>0.56308221231400968</v>
      </c>
      <c r="K195">
        <f t="shared" ref="K195:K223" si="25">I195+(F195*C195)</f>
        <v>0.56942378483423595</v>
      </c>
      <c r="L195">
        <f t="shared" ref="L195:L223" si="26">K195-$I$1</f>
        <v>-0.65230136694098151</v>
      </c>
      <c r="N195">
        <v>2014.4190000000001</v>
      </c>
      <c r="O195">
        <f t="shared" ref="O195:O232" si="27">N195/200</f>
        <v>10.072095000000001</v>
      </c>
    </row>
    <row r="196" spans="1:15" x14ac:dyDescent="0.3">
      <c r="A196">
        <v>10.199999999999999</v>
      </c>
      <c r="B196">
        <f t="shared" si="22"/>
        <v>2039.9999999999998</v>
      </c>
      <c r="C196">
        <v>0.311</v>
      </c>
      <c r="D196" s="1">
        <v>2.4E-2</v>
      </c>
      <c r="E196">
        <f t="shared" si="23"/>
        <v>2039.9999999999998</v>
      </c>
      <c r="F196">
        <v>2.0369997054338455E-2</v>
      </c>
      <c r="I196">
        <f t="shared" si="21"/>
        <v>0.55579999999999996</v>
      </c>
      <c r="K196">
        <f t="shared" si="25"/>
        <v>0.56213506908389921</v>
      </c>
      <c r="L196">
        <f t="shared" si="26"/>
        <v>-0.65959008269131825</v>
      </c>
      <c r="N196">
        <v>2024.6025999999999</v>
      </c>
      <c r="O196">
        <f t="shared" si="27"/>
        <v>10.123013</v>
      </c>
    </row>
    <row r="197" spans="1:15" x14ac:dyDescent="0.3">
      <c r="A197">
        <v>10.199999999999999</v>
      </c>
      <c r="B197">
        <f t="shared" si="22"/>
        <v>2039.9999999999998</v>
      </c>
      <c r="C197">
        <v>0.309</v>
      </c>
      <c r="D197" s="1">
        <v>2.4E-2</v>
      </c>
      <c r="E197">
        <f t="shared" si="23"/>
        <v>2039.9999999999998</v>
      </c>
      <c r="F197">
        <v>1.9848245933651924E-2</v>
      </c>
      <c r="I197">
        <f t="shared" si="21"/>
        <v>0.55379999999999996</v>
      </c>
      <c r="K197">
        <f t="shared" si="25"/>
        <v>0.55993310799349838</v>
      </c>
      <c r="L197">
        <f t="shared" si="26"/>
        <v>-0.66179204378171907</v>
      </c>
      <c r="N197">
        <v>2035.0917999999999</v>
      </c>
      <c r="O197">
        <f t="shared" si="27"/>
        <v>10.175459</v>
      </c>
    </row>
    <row r="198" spans="1:15" x14ac:dyDescent="0.3">
      <c r="A198">
        <v>10.3</v>
      </c>
      <c r="B198">
        <f t="shared" si="22"/>
        <v>2060</v>
      </c>
      <c r="C198">
        <v>0.30599999999999999</v>
      </c>
      <c r="D198" s="1">
        <v>2.4E-2</v>
      </c>
      <c r="E198">
        <f t="shared" si="23"/>
        <v>2060</v>
      </c>
      <c r="F198">
        <v>2.0944960221648216E-2</v>
      </c>
      <c r="I198">
        <f t="shared" si="21"/>
        <v>0.55320000000000003</v>
      </c>
      <c r="K198">
        <f t="shared" si="25"/>
        <v>0.55960915782782439</v>
      </c>
      <c r="L198">
        <f t="shared" si="26"/>
        <v>-0.66211599394739307</v>
      </c>
      <c r="N198">
        <v>2045.1733999999999</v>
      </c>
      <c r="O198">
        <f t="shared" si="27"/>
        <v>10.225866999999999</v>
      </c>
    </row>
    <row r="199" spans="1:15" x14ac:dyDescent="0.3">
      <c r="A199">
        <v>10.3</v>
      </c>
      <c r="B199">
        <f t="shared" si="22"/>
        <v>2060</v>
      </c>
      <c r="C199">
        <v>0.30399999999999999</v>
      </c>
      <c r="D199" s="1">
        <v>2.4E-2</v>
      </c>
      <c r="E199">
        <f t="shared" si="23"/>
        <v>2060</v>
      </c>
      <c r="F199">
        <v>2.0143041193485259E-2</v>
      </c>
      <c r="I199">
        <f t="shared" si="21"/>
        <v>0.55120000000000002</v>
      </c>
      <c r="K199">
        <f t="shared" si="25"/>
        <v>0.55732348452281955</v>
      </c>
      <c r="L199">
        <f t="shared" si="26"/>
        <v>-0.66440166725239791</v>
      </c>
      <c r="N199">
        <v>2056.0700000000002</v>
      </c>
      <c r="O199">
        <f t="shared" si="27"/>
        <v>10.28035</v>
      </c>
    </row>
    <row r="200" spans="1:15" x14ac:dyDescent="0.3">
      <c r="A200">
        <v>10.4</v>
      </c>
      <c r="B200">
        <f t="shared" si="22"/>
        <v>2080</v>
      </c>
      <c r="C200">
        <v>0.30099999999999999</v>
      </c>
      <c r="D200" s="1">
        <v>2.4E-2</v>
      </c>
      <c r="E200">
        <f t="shared" si="23"/>
        <v>2080</v>
      </c>
      <c r="F200">
        <v>1.9744915693998336E-2</v>
      </c>
      <c r="I200">
        <f t="shared" si="21"/>
        <v>0.55059999999999998</v>
      </c>
      <c r="K200">
        <f t="shared" si="25"/>
        <v>0.55654321962389353</v>
      </c>
      <c r="L200">
        <f t="shared" si="26"/>
        <v>-0.66518193215132393</v>
      </c>
      <c r="N200">
        <v>2066.1518000000001</v>
      </c>
      <c r="O200">
        <f t="shared" si="27"/>
        <v>10.330759</v>
      </c>
    </row>
    <row r="201" spans="1:15" x14ac:dyDescent="0.3">
      <c r="A201">
        <v>10.4</v>
      </c>
      <c r="B201">
        <f t="shared" si="22"/>
        <v>2080</v>
      </c>
      <c r="C201">
        <v>0.29899999999999999</v>
      </c>
      <c r="D201" s="1">
        <v>2.4E-2</v>
      </c>
      <c r="E201">
        <f t="shared" si="23"/>
        <v>2080</v>
      </c>
      <c r="F201">
        <v>1.9829442530870437E-2</v>
      </c>
      <c r="I201">
        <f t="shared" si="21"/>
        <v>0.54859999999999998</v>
      </c>
      <c r="K201">
        <f t="shared" si="25"/>
        <v>0.55452900331673027</v>
      </c>
      <c r="L201">
        <f t="shared" si="26"/>
        <v>-0.66719614845848718</v>
      </c>
      <c r="N201">
        <v>2076.2338</v>
      </c>
      <c r="O201">
        <f t="shared" si="27"/>
        <v>10.381169</v>
      </c>
    </row>
    <row r="202" spans="1:15" x14ac:dyDescent="0.3">
      <c r="A202">
        <v>10.5</v>
      </c>
      <c r="B202">
        <f t="shared" si="22"/>
        <v>2100</v>
      </c>
      <c r="C202">
        <v>0.29699999999999999</v>
      </c>
      <c r="D202" s="1">
        <v>2.4E-2</v>
      </c>
      <c r="E202">
        <f t="shared" si="23"/>
        <v>2100</v>
      </c>
      <c r="F202">
        <v>2.0236572057008743E-2</v>
      </c>
      <c r="I202">
        <f t="shared" si="21"/>
        <v>0.54899999999999993</v>
      </c>
      <c r="K202">
        <f t="shared" si="25"/>
        <v>0.5550102619009315</v>
      </c>
      <c r="L202">
        <f t="shared" si="26"/>
        <v>-0.66671488987428595</v>
      </c>
      <c r="N202">
        <v>2086.5194000000001</v>
      </c>
      <c r="O202">
        <f t="shared" si="27"/>
        <v>10.432597000000001</v>
      </c>
    </row>
    <row r="203" spans="1:15" x14ac:dyDescent="0.3">
      <c r="A203">
        <v>10.5</v>
      </c>
      <c r="B203">
        <f t="shared" si="22"/>
        <v>2100</v>
      </c>
      <c r="C203">
        <v>0.29499999999999998</v>
      </c>
      <c r="D203" s="1">
        <v>2.4E-2</v>
      </c>
      <c r="E203">
        <f t="shared" si="23"/>
        <v>2100</v>
      </c>
      <c r="F203">
        <v>1.9775474250316619E-2</v>
      </c>
      <c r="I203">
        <f t="shared" si="21"/>
        <v>0.54699999999999993</v>
      </c>
      <c r="K203">
        <f t="shared" si="25"/>
        <v>0.55283376490384328</v>
      </c>
      <c r="L203">
        <f t="shared" si="26"/>
        <v>-0.66889138687137417</v>
      </c>
      <c r="N203">
        <v>2097.1102000000001</v>
      </c>
      <c r="O203">
        <f t="shared" si="27"/>
        <v>10.485551000000001</v>
      </c>
    </row>
    <row r="204" spans="1:15" x14ac:dyDescent="0.3">
      <c r="A204">
        <v>10.6</v>
      </c>
      <c r="B204">
        <f t="shared" si="22"/>
        <v>2120</v>
      </c>
      <c r="C204">
        <v>0.29299999999999998</v>
      </c>
      <c r="D204" s="1">
        <v>2.4E-2</v>
      </c>
      <c r="E204">
        <f t="shared" si="23"/>
        <v>2120</v>
      </c>
      <c r="F204">
        <v>1.9688827723264694E-2</v>
      </c>
      <c r="I204">
        <f t="shared" si="21"/>
        <v>0.5474</v>
      </c>
      <c r="K204">
        <f t="shared" si="25"/>
        <v>0.55316882652291655</v>
      </c>
      <c r="L204">
        <f t="shared" si="26"/>
        <v>-0.66855632525230091</v>
      </c>
      <c r="N204">
        <v>2107.2939999999999</v>
      </c>
      <c r="O204">
        <f t="shared" si="27"/>
        <v>10.53647</v>
      </c>
    </row>
    <row r="205" spans="1:15" x14ac:dyDescent="0.3">
      <c r="A205">
        <v>10.6</v>
      </c>
      <c r="B205">
        <f t="shared" si="22"/>
        <v>2120</v>
      </c>
      <c r="C205">
        <v>0.29099999999999998</v>
      </c>
      <c r="D205" s="1">
        <v>2.4E-2</v>
      </c>
      <c r="E205">
        <f t="shared" si="23"/>
        <v>2120</v>
      </c>
      <c r="F205">
        <v>2.0091587483882904E-2</v>
      </c>
      <c r="I205">
        <f t="shared" si="21"/>
        <v>0.5454</v>
      </c>
      <c r="K205">
        <f t="shared" si="25"/>
        <v>0.55124665195780997</v>
      </c>
      <c r="L205">
        <f t="shared" si="26"/>
        <v>-0.67047849981740748</v>
      </c>
      <c r="N205">
        <v>2117.4776000000002</v>
      </c>
      <c r="O205">
        <f t="shared" si="27"/>
        <v>10.587388000000001</v>
      </c>
    </row>
    <row r="206" spans="1:15" x14ac:dyDescent="0.3">
      <c r="A206">
        <v>10.7</v>
      </c>
      <c r="B206">
        <f t="shared" si="22"/>
        <v>2140</v>
      </c>
      <c r="C206">
        <v>0.28799999999999998</v>
      </c>
      <c r="D206" s="1">
        <v>2.4E-2</v>
      </c>
      <c r="E206">
        <f t="shared" si="23"/>
        <v>2140</v>
      </c>
      <c r="F206">
        <v>2.0372282519936561E-2</v>
      </c>
      <c r="I206">
        <f t="shared" si="21"/>
        <v>0.54479999999999995</v>
      </c>
      <c r="K206">
        <f t="shared" si="25"/>
        <v>0.55066721736574165</v>
      </c>
      <c r="L206">
        <f t="shared" si="26"/>
        <v>-0.67105793440947581</v>
      </c>
      <c r="N206">
        <v>2127.6614</v>
      </c>
      <c r="O206">
        <f t="shared" si="27"/>
        <v>10.638306999999999</v>
      </c>
    </row>
    <row r="207" spans="1:15" x14ac:dyDescent="0.3">
      <c r="A207">
        <v>10.7</v>
      </c>
      <c r="B207">
        <f t="shared" si="22"/>
        <v>2140</v>
      </c>
      <c r="C207">
        <v>0.28599999999999998</v>
      </c>
      <c r="D207" s="1">
        <v>2.4E-2</v>
      </c>
      <c r="E207">
        <f t="shared" si="23"/>
        <v>2140</v>
      </c>
      <c r="F207">
        <v>2.0065804749727249E-2</v>
      </c>
      <c r="I207">
        <f t="shared" si="21"/>
        <v>0.54279999999999995</v>
      </c>
      <c r="K207">
        <f t="shared" si="25"/>
        <v>0.54853882015842192</v>
      </c>
      <c r="L207">
        <f t="shared" si="26"/>
        <v>-0.67318633161679553</v>
      </c>
      <c r="N207">
        <v>2138.6596</v>
      </c>
      <c r="O207">
        <f t="shared" si="27"/>
        <v>10.693298</v>
      </c>
    </row>
    <row r="208" spans="1:15" x14ac:dyDescent="0.3">
      <c r="A208">
        <v>10.8</v>
      </c>
      <c r="B208">
        <f t="shared" si="22"/>
        <v>2160</v>
      </c>
      <c r="C208">
        <v>0.28399999999999997</v>
      </c>
      <c r="D208" s="1">
        <v>2.4E-2</v>
      </c>
      <c r="E208">
        <f t="shared" si="23"/>
        <v>2160</v>
      </c>
      <c r="F208">
        <v>1.9796250194311141E-2</v>
      </c>
      <c r="I208">
        <f t="shared" si="21"/>
        <v>0.54320000000000002</v>
      </c>
      <c r="K208">
        <f t="shared" si="25"/>
        <v>0.5488221350551844</v>
      </c>
      <c r="L208">
        <f t="shared" si="26"/>
        <v>-0.67290301672003305</v>
      </c>
      <c r="N208">
        <v>2149.3524000000002</v>
      </c>
      <c r="O208">
        <f t="shared" si="27"/>
        <v>10.746762</v>
      </c>
    </row>
    <row r="209" spans="1:15" x14ac:dyDescent="0.3">
      <c r="A209">
        <v>10.8</v>
      </c>
      <c r="B209">
        <f t="shared" si="22"/>
        <v>2160</v>
      </c>
      <c r="C209">
        <v>0.28199999999999997</v>
      </c>
      <c r="D209" s="1">
        <v>2.4E-2</v>
      </c>
      <c r="E209">
        <f t="shared" si="23"/>
        <v>2160</v>
      </c>
      <c r="F209">
        <v>1.9516488343477249E-2</v>
      </c>
      <c r="I209">
        <f t="shared" si="21"/>
        <v>0.54120000000000001</v>
      </c>
      <c r="K209">
        <f t="shared" si="25"/>
        <v>0.54670364971286056</v>
      </c>
      <c r="L209">
        <f t="shared" si="26"/>
        <v>-0.67502150206235689</v>
      </c>
      <c r="N209">
        <v>2159.4342000000001</v>
      </c>
      <c r="O209">
        <f t="shared" si="27"/>
        <v>10.797171000000001</v>
      </c>
    </row>
    <row r="210" spans="1:15" x14ac:dyDescent="0.3">
      <c r="A210">
        <v>10.9</v>
      </c>
      <c r="B210">
        <f t="shared" si="22"/>
        <v>2180</v>
      </c>
      <c r="C210">
        <v>0.27900000000000003</v>
      </c>
      <c r="D210" s="1">
        <v>2.4E-2</v>
      </c>
      <c r="E210">
        <f t="shared" si="23"/>
        <v>2180</v>
      </c>
      <c r="F210">
        <v>2.0450046092271804E-2</v>
      </c>
      <c r="I210">
        <f t="shared" si="21"/>
        <v>0.54059999999999997</v>
      </c>
      <c r="K210">
        <f t="shared" si="25"/>
        <v>0.54630556285974385</v>
      </c>
      <c r="L210">
        <f t="shared" si="26"/>
        <v>-0.6754195889154736</v>
      </c>
      <c r="N210">
        <v>2170.0252</v>
      </c>
      <c r="O210">
        <f t="shared" si="27"/>
        <v>10.850125999999999</v>
      </c>
    </row>
    <row r="211" spans="1:15" x14ac:dyDescent="0.3">
      <c r="A211">
        <v>10.9</v>
      </c>
      <c r="B211">
        <f t="shared" si="22"/>
        <v>2180</v>
      </c>
      <c r="C211">
        <v>0.27700000000000002</v>
      </c>
      <c r="D211" s="1">
        <v>2.4E-2</v>
      </c>
      <c r="E211">
        <f t="shared" si="23"/>
        <v>2180</v>
      </c>
      <c r="F211">
        <v>2.0246935814619064E-2</v>
      </c>
      <c r="I211">
        <f t="shared" si="21"/>
        <v>0.53859999999999997</v>
      </c>
      <c r="K211">
        <f t="shared" si="25"/>
        <v>0.5442084012206494</v>
      </c>
      <c r="L211">
        <f t="shared" si="26"/>
        <v>-0.67751675055456806</v>
      </c>
      <c r="N211">
        <v>2180.107</v>
      </c>
      <c r="O211">
        <f t="shared" si="27"/>
        <v>10.900535</v>
      </c>
    </row>
    <row r="212" spans="1:15" x14ac:dyDescent="0.3">
      <c r="A212">
        <v>11</v>
      </c>
      <c r="B212">
        <f t="shared" si="22"/>
        <v>2200</v>
      </c>
      <c r="C212">
        <v>0.27500000000000002</v>
      </c>
      <c r="D212" s="1">
        <v>2.4E-2</v>
      </c>
      <c r="E212">
        <f t="shared" si="23"/>
        <v>2200</v>
      </c>
      <c r="F212">
        <v>2.02977115213871E-2</v>
      </c>
      <c r="I212">
        <f t="shared" si="21"/>
        <v>0.53900000000000003</v>
      </c>
      <c r="K212">
        <f t="shared" si="25"/>
        <v>0.54458187066838148</v>
      </c>
      <c r="L212">
        <f t="shared" si="26"/>
        <v>-0.67714328110683597</v>
      </c>
      <c r="N212">
        <v>2190.6981999999998</v>
      </c>
      <c r="O212">
        <f t="shared" si="27"/>
        <v>10.953491</v>
      </c>
    </row>
    <row r="213" spans="1:15" x14ac:dyDescent="0.3">
      <c r="A213">
        <v>11</v>
      </c>
      <c r="B213">
        <f t="shared" si="22"/>
        <v>2200</v>
      </c>
      <c r="C213">
        <v>0.27200000000000002</v>
      </c>
      <c r="D213" s="1">
        <v>2.4E-2</v>
      </c>
      <c r="E213">
        <f t="shared" si="23"/>
        <v>2200</v>
      </c>
      <c r="F213">
        <v>2.0944960221648216E-2</v>
      </c>
      <c r="I213">
        <f t="shared" si="21"/>
        <v>0.53600000000000003</v>
      </c>
      <c r="K213">
        <f t="shared" si="25"/>
        <v>0.54169702918028839</v>
      </c>
      <c r="L213">
        <f t="shared" si="26"/>
        <v>-0.68002812259492906</v>
      </c>
      <c r="N213">
        <v>2200.7800000000002</v>
      </c>
      <c r="O213">
        <f t="shared" si="27"/>
        <v>11.003900000000002</v>
      </c>
    </row>
    <row r="214" spans="1:15" x14ac:dyDescent="0.3">
      <c r="A214">
        <v>11.1</v>
      </c>
      <c r="B214">
        <f t="shared" si="22"/>
        <v>2220</v>
      </c>
      <c r="C214">
        <v>0.27</v>
      </c>
      <c r="D214" s="1">
        <v>2.4E-2</v>
      </c>
      <c r="E214">
        <f t="shared" si="23"/>
        <v>2220</v>
      </c>
      <c r="F214">
        <v>2.0143041193485259E-2</v>
      </c>
      <c r="I214">
        <f t="shared" si="21"/>
        <v>0.53639999999999999</v>
      </c>
      <c r="K214">
        <f t="shared" si="25"/>
        <v>0.54183862112224102</v>
      </c>
      <c r="L214">
        <f t="shared" si="26"/>
        <v>-0.67988653065297644</v>
      </c>
      <c r="N214">
        <v>2211.0654</v>
      </c>
      <c r="O214">
        <f t="shared" si="27"/>
        <v>11.055327</v>
      </c>
    </row>
    <row r="215" spans="1:15" x14ac:dyDescent="0.3">
      <c r="A215">
        <v>11.1</v>
      </c>
      <c r="B215">
        <f t="shared" si="22"/>
        <v>2220</v>
      </c>
      <c r="C215">
        <v>0.26800000000000002</v>
      </c>
      <c r="D215" s="1">
        <v>2.4E-2</v>
      </c>
      <c r="E215">
        <f t="shared" si="23"/>
        <v>2220</v>
      </c>
      <c r="F215">
        <v>1.9744915693998336E-2</v>
      </c>
      <c r="I215">
        <f t="shared" si="21"/>
        <v>0.53439999999999999</v>
      </c>
      <c r="K215">
        <f t="shared" si="25"/>
        <v>0.53969163740599158</v>
      </c>
      <c r="L215">
        <f t="shared" si="26"/>
        <v>-0.68203351436922588</v>
      </c>
      <c r="N215">
        <v>2221.1469999999999</v>
      </c>
      <c r="O215">
        <f t="shared" si="27"/>
        <v>11.105734999999999</v>
      </c>
    </row>
    <row r="216" spans="1:15" x14ac:dyDescent="0.3">
      <c r="A216">
        <v>11.2</v>
      </c>
      <c r="B216">
        <f t="shared" si="22"/>
        <v>2240</v>
      </c>
      <c r="C216">
        <v>0.26500000000000001</v>
      </c>
      <c r="D216" s="1">
        <v>2.4E-2</v>
      </c>
      <c r="E216">
        <f t="shared" si="23"/>
        <v>2240</v>
      </c>
      <c r="F216">
        <v>1.9829442530870437E-2</v>
      </c>
      <c r="I216">
        <f t="shared" si="21"/>
        <v>0.53380000000000005</v>
      </c>
      <c r="K216">
        <f t="shared" si="25"/>
        <v>0.5390548022706807</v>
      </c>
      <c r="L216">
        <f t="shared" si="26"/>
        <v>-0.68267034950453676</v>
      </c>
      <c r="N216">
        <v>2231.6363999999999</v>
      </c>
      <c r="O216">
        <f t="shared" si="27"/>
        <v>11.158182</v>
      </c>
    </row>
    <row r="217" spans="1:15" x14ac:dyDescent="0.3">
      <c r="A217">
        <v>11.2</v>
      </c>
      <c r="B217">
        <f t="shared" si="22"/>
        <v>2240</v>
      </c>
      <c r="C217">
        <v>0.26300000000000001</v>
      </c>
      <c r="D217" s="1">
        <v>2.4E-2</v>
      </c>
      <c r="E217">
        <f t="shared" si="23"/>
        <v>2240</v>
      </c>
      <c r="F217">
        <v>2.0236572057008743E-2</v>
      </c>
      <c r="I217">
        <f t="shared" si="21"/>
        <v>0.53180000000000005</v>
      </c>
      <c r="K217">
        <f t="shared" si="25"/>
        <v>0.53712221845099339</v>
      </c>
      <c r="L217">
        <f t="shared" si="26"/>
        <v>-0.68460293332422406</v>
      </c>
      <c r="N217">
        <v>2241.8200000000002</v>
      </c>
      <c r="O217">
        <f t="shared" si="27"/>
        <v>11.209100000000001</v>
      </c>
    </row>
    <row r="218" spans="1:15" x14ac:dyDescent="0.3">
      <c r="A218">
        <v>11.3</v>
      </c>
      <c r="B218">
        <f t="shared" si="22"/>
        <v>2260</v>
      </c>
      <c r="C218">
        <v>0.26100000000000001</v>
      </c>
      <c r="D218" s="1">
        <v>2.4E-2</v>
      </c>
      <c r="E218">
        <f t="shared" si="23"/>
        <v>2260</v>
      </c>
      <c r="F218">
        <v>1.9775474250316619E-2</v>
      </c>
      <c r="I218">
        <f t="shared" si="21"/>
        <v>0.53220000000000001</v>
      </c>
      <c r="K218">
        <f t="shared" si="25"/>
        <v>0.53736139877933264</v>
      </c>
      <c r="L218">
        <f t="shared" si="26"/>
        <v>-0.68436375299588481</v>
      </c>
      <c r="N218">
        <v>2252.3092000000001</v>
      </c>
      <c r="O218">
        <f t="shared" si="27"/>
        <v>11.261546000000001</v>
      </c>
    </row>
    <row r="219" spans="1:15" x14ac:dyDescent="0.3">
      <c r="A219">
        <v>11.4</v>
      </c>
      <c r="B219">
        <f t="shared" si="22"/>
        <v>2280</v>
      </c>
      <c r="C219">
        <v>0.25900000000000001</v>
      </c>
      <c r="D219" s="1">
        <v>2.4E-2</v>
      </c>
      <c r="E219">
        <f t="shared" si="23"/>
        <v>2280</v>
      </c>
      <c r="F219">
        <v>1.9688827723264694E-2</v>
      </c>
      <c r="I219">
        <f t="shared" si="21"/>
        <v>0.53259999999999996</v>
      </c>
      <c r="K219">
        <f t="shared" si="25"/>
        <v>0.53769940638032554</v>
      </c>
      <c r="L219">
        <f t="shared" si="26"/>
        <v>-0.68402574539489192</v>
      </c>
      <c r="N219">
        <v>2262.4929999999999</v>
      </c>
      <c r="O219">
        <f t="shared" si="27"/>
        <v>11.312465</v>
      </c>
    </row>
    <row r="220" spans="1:15" x14ac:dyDescent="0.3">
      <c r="A220">
        <v>11.4</v>
      </c>
      <c r="B220">
        <f t="shared" si="22"/>
        <v>2280</v>
      </c>
      <c r="C220">
        <v>0.25600000000000001</v>
      </c>
      <c r="D220" s="1">
        <v>2.4E-2</v>
      </c>
      <c r="E220">
        <f t="shared" si="23"/>
        <v>2280</v>
      </c>
      <c r="F220">
        <v>2.0091587483882904E-2</v>
      </c>
      <c r="I220">
        <f t="shared" si="21"/>
        <v>0.52960000000000007</v>
      </c>
      <c r="K220">
        <f t="shared" si="25"/>
        <v>0.53474344639587412</v>
      </c>
      <c r="L220">
        <f t="shared" si="26"/>
        <v>-0.68698170537934333</v>
      </c>
      <c r="N220">
        <v>2272.982</v>
      </c>
      <c r="O220">
        <f t="shared" si="27"/>
        <v>11.36491</v>
      </c>
    </row>
    <row r="221" spans="1:15" x14ac:dyDescent="0.3">
      <c r="A221">
        <v>11.5</v>
      </c>
      <c r="B221">
        <f t="shared" si="22"/>
        <v>2300</v>
      </c>
      <c r="C221">
        <v>0.254</v>
      </c>
      <c r="D221" s="1">
        <v>2.4E-2</v>
      </c>
      <c r="E221">
        <f t="shared" si="23"/>
        <v>2300</v>
      </c>
      <c r="F221">
        <v>2.0944960221648216E-2</v>
      </c>
      <c r="I221">
        <f t="shared" si="21"/>
        <v>0.53</v>
      </c>
      <c r="K221">
        <f t="shared" si="25"/>
        <v>0.53532001989629863</v>
      </c>
      <c r="L221">
        <f t="shared" si="26"/>
        <v>-0.68640513187891883</v>
      </c>
      <c r="N221">
        <v>2283.1658000000002</v>
      </c>
      <c r="O221">
        <f t="shared" si="27"/>
        <v>11.415829</v>
      </c>
    </row>
    <row r="222" spans="1:15" x14ac:dyDescent="0.3">
      <c r="A222">
        <v>11.5</v>
      </c>
      <c r="B222">
        <f t="shared" si="22"/>
        <v>2300</v>
      </c>
      <c r="C222">
        <v>0.252</v>
      </c>
      <c r="D222" s="1">
        <v>2.4E-2</v>
      </c>
      <c r="E222">
        <f t="shared" si="23"/>
        <v>2300</v>
      </c>
      <c r="F222">
        <v>2.0143041193485259E-2</v>
      </c>
      <c r="I222">
        <f t="shared" si="21"/>
        <v>0.52800000000000002</v>
      </c>
      <c r="K222">
        <f t="shared" si="25"/>
        <v>0.53307604638075834</v>
      </c>
      <c r="L222">
        <f t="shared" si="26"/>
        <v>-0.68864910539445912</v>
      </c>
      <c r="N222">
        <v>2293.4512</v>
      </c>
      <c r="O222">
        <f t="shared" si="27"/>
        <v>11.467255999999999</v>
      </c>
    </row>
    <row r="223" spans="1:15" x14ac:dyDescent="0.3">
      <c r="A223">
        <v>11.5</v>
      </c>
      <c r="B223">
        <f t="shared" si="22"/>
        <v>2300</v>
      </c>
      <c r="C223">
        <v>0.252</v>
      </c>
      <c r="D223" s="1">
        <v>2.4E-2</v>
      </c>
      <c r="E223">
        <f t="shared" si="23"/>
        <v>2300</v>
      </c>
      <c r="F223">
        <v>1.9744915693998336E-2</v>
      </c>
      <c r="I223">
        <f t="shared" si="21"/>
        <v>0.52800000000000002</v>
      </c>
      <c r="K223">
        <f t="shared" si="25"/>
        <v>0.53297571875488758</v>
      </c>
      <c r="L223">
        <f t="shared" si="26"/>
        <v>-0.68874943302032987</v>
      </c>
      <c r="N223">
        <v>2303.5331999999999</v>
      </c>
      <c r="O223">
        <f t="shared" si="27"/>
        <v>11.517665999999998</v>
      </c>
    </row>
    <row r="224" spans="1:15" x14ac:dyDescent="0.3">
      <c r="N224">
        <v>2314.1242000000002</v>
      </c>
      <c r="O224">
        <f t="shared" si="27"/>
        <v>11.570621000000001</v>
      </c>
    </row>
    <row r="225" spans="14:15" x14ac:dyDescent="0.3">
      <c r="N225">
        <v>2325.4281999999998</v>
      </c>
      <c r="O225">
        <f t="shared" si="27"/>
        <v>11.627141</v>
      </c>
    </row>
    <row r="226" spans="14:15" x14ac:dyDescent="0.3">
      <c r="N226">
        <v>2335.8152</v>
      </c>
      <c r="O226">
        <f t="shared" si="27"/>
        <v>11.679076</v>
      </c>
    </row>
    <row r="227" spans="14:15" x14ac:dyDescent="0.3">
      <c r="N227">
        <v>2345.9987999999998</v>
      </c>
      <c r="O227">
        <f t="shared" si="27"/>
        <v>11.729994</v>
      </c>
    </row>
    <row r="228" spans="14:15" x14ac:dyDescent="0.3">
      <c r="N228">
        <v>2356.7937999999999</v>
      </c>
      <c r="O228">
        <f t="shared" si="27"/>
        <v>11.783968999999999</v>
      </c>
    </row>
    <row r="229" spans="14:15" x14ac:dyDescent="0.3">
      <c r="N229">
        <v>2366.8755999999998</v>
      </c>
      <c r="O229">
        <f t="shared" si="27"/>
        <v>11.834377999999999</v>
      </c>
    </row>
    <row r="230" spans="14:15" x14ac:dyDescent="0.3">
      <c r="N230">
        <v>2377.0594000000001</v>
      </c>
      <c r="O230">
        <f t="shared" si="27"/>
        <v>11.885297000000001</v>
      </c>
    </row>
    <row r="231" spans="14:15" x14ac:dyDescent="0.3">
      <c r="N231">
        <v>2387.1410000000001</v>
      </c>
      <c r="O231">
        <f t="shared" si="27"/>
        <v>11.935705</v>
      </c>
    </row>
    <row r="232" spans="14:15" x14ac:dyDescent="0.3">
      <c r="N232">
        <v>2394.0659999999998</v>
      </c>
      <c r="O232">
        <f t="shared" si="27"/>
        <v>11.970329999999999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2025-09-17T02:43:03Z</dcterms:created>
  <dcterms:modified xsi:type="dcterms:W3CDTF">2026-04-20T00:38:51Z</dcterms:modified>
</cp:coreProperties>
</file>