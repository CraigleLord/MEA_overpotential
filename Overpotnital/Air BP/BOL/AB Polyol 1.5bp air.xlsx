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Air BP\"/>
    </mc:Choice>
  </mc:AlternateContent>
  <xr:revisionPtr revIDLastSave="0" documentId="13_ncr:1_{BBB5A58B-4802-4740-85E1-1FBDC56F561B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3" sheetId="4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L177" i="3" l="1"/>
  <c r="L192" i="3"/>
  <c r="L188" i="3"/>
  <c r="L157" i="3"/>
  <c r="L195" i="3"/>
  <c r="L187" i="3"/>
  <c r="L179" i="3"/>
  <c r="L175" i="3"/>
  <c r="L171" i="3"/>
  <c r="L163" i="3"/>
  <c r="L159" i="3"/>
  <c r="L155" i="3"/>
  <c r="L151" i="3"/>
  <c r="L147" i="3"/>
  <c r="L143" i="3"/>
  <c r="L139" i="3"/>
  <c r="L135" i="3"/>
  <c r="L131" i="3"/>
  <c r="L127" i="3"/>
  <c r="L123" i="3"/>
  <c r="L119" i="3"/>
  <c r="L185" i="3"/>
  <c r="L189" i="3"/>
  <c r="L169" i="3"/>
  <c r="L161" i="3"/>
  <c r="L153" i="3"/>
  <c r="L145" i="3"/>
  <c r="L137" i="3"/>
  <c r="L125" i="3"/>
  <c r="L121" i="3"/>
  <c r="L193" i="3"/>
  <c r="L129" i="3"/>
  <c r="L173" i="3"/>
  <c r="L141" i="3"/>
  <c r="L191" i="3"/>
  <c r="L183" i="3"/>
  <c r="L167" i="3"/>
  <c r="L194" i="3"/>
  <c r="L190" i="3"/>
  <c r="L186" i="3"/>
  <c r="L182" i="3"/>
  <c r="L178" i="3"/>
  <c r="L174" i="3"/>
  <c r="L170" i="3"/>
  <c r="L166" i="3"/>
  <c r="L162" i="3"/>
  <c r="L158" i="3"/>
  <c r="L154" i="3"/>
  <c r="L150" i="3"/>
  <c r="L146" i="3"/>
  <c r="L142" i="3"/>
  <c r="L138" i="3"/>
  <c r="L134" i="3"/>
  <c r="L130" i="3"/>
  <c r="L126" i="3"/>
  <c r="L122" i="3"/>
  <c r="L118" i="3"/>
  <c r="L114" i="3"/>
  <c r="L110" i="3"/>
  <c r="L106" i="3"/>
  <c r="L102" i="3"/>
  <c r="L98" i="3"/>
  <c r="L94" i="3"/>
  <c r="L90" i="3"/>
  <c r="L86" i="3"/>
  <c r="L82" i="3"/>
  <c r="L78" i="3"/>
  <c r="L74" i="3"/>
  <c r="L70" i="3"/>
  <c r="L66" i="3"/>
  <c r="L62" i="3"/>
  <c r="L58" i="3"/>
  <c r="L54" i="3"/>
  <c r="L50" i="3"/>
  <c r="L46" i="3"/>
  <c r="L42" i="3"/>
  <c r="L38" i="3"/>
  <c r="L34" i="3"/>
  <c r="L30" i="3"/>
  <c r="L26" i="3"/>
  <c r="L22" i="3"/>
  <c r="L18" i="3"/>
  <c r="L14" i="3"/>
  <c r="L10" i="3"/>
  <c r="L6" i="3"/>
  <c r="L181" i="3"/>
  <c r="L165" i="3"/>
  <c r="L149" i="3"/>
  <c r="L133" i="3"/>
  <c r="L117" i="3"/>
  <c r="L113" i="3"/>
  <c r="L109" i="3"/>
  <c r="L105" i="3"/>
  <c r="L101" i="3"/>
  <c r="L97" i="3"/>
  <c r="L93" i="3"/>
  <c r="L89" i="3"/>
  <c r="L85" i="3"/>
  <c r="L81" i="3"/>
  <c r="L77" i="3"/>
  <c r="L73" i="3"/>
  <c r="L69" i="3"/>
  <c r="L65" i="3"/>
  <c r="L61" i="3"/>
  <c r="L57" i="3"/>
  <c r="L53" i="3"/>
  <c r="L49" i="3"/>
  <c r="L45" i="3"/>
  <c r="L41" i="3"/>
  <c r="L37" i="3"/>
  <c r="L33" i="3"/>
  <c r="L29" i="3"/>
  <c r="L25" i="3"/>
  <c r="L21" i="3"/>
  <c r="L17" i="3"/>
  <c r="L13" i="3"/>
  <c r="L9" i="3"/>
  <c r="L5" i="3"/>
  <c r="L184" i="3"/>
  <c r="L176" i="3"/>
  <c r="L172" i="3"/>
  <c r="L168" i="3"/>
  <c r="L160" i="3"/>
  <c r="L156" i="3"/>
  <c r="L152" i="3"/>
  <c r="L115" i="3"/>
  <c r="L111" i="3"/>
  <c r="L107" i="3"/>
  <c r="L103" i="3"/>
  <c r="L99" i="3"/>
  <c r="L95" i="3"/>
  <c r="L91" i="3"/>
  <c r="L87" i="3"/>
  <c r="L83" i="3"/>
  <c r="L79" i="3"/>
  <c r="L75" i="3"/>
  <c r="L71" i="3"/>
  <c r="L67" i="3"/>
  <c r="L63" i="3"/>
  <c r="L59" i="3"/>
  <c r="L55" i="3"/>
  <c r="L51" i="3"/>
  <c r="L47" i="3"/>
  <c r="L43" i="3"/>
  <c r="L39" i="3"/>
  <c r="L35" i="3"/>
  <c r="L31" i="3"/>
  <c r="L27" i="3"/>
  <c r="L23" i="3"/>
  <c r="L19" i="3"/>
  <c r="L15" i="3"/>
  <c r="L11" i="3"/>
  <c r="L7" i="3"/>
  <c r="L3" i="3"/>
  <c r="L2" i="3"/>
  <c r="L180" i="3"/>
  <c r="L164" i="3"/>
  <c r="L148" i="3"/>
  <c r="L144" i="3"/>
  <c r="L140" i="3"/>
  <c r="L136" i="3"/>
  <c r="L132" i="3"/>
  <c r="L128" i="3"/>
  <c r="L124" i="3"/>
  <c r="L120" i="3"/>
  <c r="L116" i="3"/>
  <c r="L112" i="3"/>
  <c r="L108" i="3"/>
  <c r="L104" i="3"/>
  <c r="L100" i="3"/>
  <c r="L96" i="3"/>
  <c r="L92" i="3"/>
  <c r="L88" i="3"/>
  <c r="L84" i="3"/>
  <c r="L80" i="3"/>
  <c r="L76" i="3"/>
  <c r="L72" i="3"/>
  <c r="L68" i="3"/>
  <c r="L64" i="3"/>
  <c r="L60" i="3"/>
  <c r="L56" i="3"/>
  <c r="L52" i="3"/>
  <c r="L48" i="3"/>
  <c r="L44" i="3"/>
  <c r="L40" i="3"/>
  <c r="L36" i="3"/>
  <c r="L32" i="3"/>
  <c r="L28" i="3"/>
  <c r="L24" i="3"/>
  <c r="L20" i="3"/>
  <c r="L16" i="3"/>
  <c r="L12" i="3"/>
  <c r="L8" i="3"/>
  <c r="L4" i="3"/>
  <c r="L218" i="3"/>
  <c r="L222" i="3"/>
  <c r="L198" i="3"/>
  <c r="L221" i="3"/>
  <c r="L217" i="3"/>
  <c r="L213" i="3"/>
  <c r="L209" i="3"/>
  <c r="L201" i="3"/>
  <c r="L197" i="3"/>
  <c r="L220" i="3"/>
  <c r="L216" i="3"/>
  <c r="L212" i="3"/>
  <c r="L223" i="3"/>
  <c r="L219" i="3"/>
  <c r="L215" i="3"/>
  <c r="L211" i="3"/>
  <c r="L207" i="3"/>
  <c r="L203" i="3"/>
  <c r="L214" i="3"/>
  <c r="L210" i="3"/>
  <c r="L206" i="3"/>
  <c r="L205" i="3"/>
  <c r="L208" i="3"/>
  <c r="L204" i="3"/>
  <c r="L202" i="3"/>
  <c r="L200" i="3"/>
  <c r="L196" i="3"/>
  <c r="L199" i="3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K288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K212" i="1" s="1"/>
  <c r="C213" i="1"/>
  <c r="H213" i="1" s="1"/>
  <c r="J213" i="1"/>
  <c r="M213" i="1" s="1"/>
  <c r="G213" i="1"/>
  <c r="K213" i="1" s="1"/>
  <c r="C214" i="1"/>
  <c r="H214" i="1" s="1"/>
  <c r="J214" i="1"/>
  <c r="M214" i="1" s="1"/>
  <c r="G214" i="1"/>
  <c r="K214" i="1" s="1"/>
  <c r="C215" i="1"/>
  <c r="H215" i="1" s="1"/>
  <c r="J215" i="1"/>
  <c r="M215" i="1" s="1"/>
  <c r="G215" i="1"/>
  <c r="K215" i="1" s="1"/>
  <c r="C216" i="1"/>
  <c r="H216" i="1" s="1"/>
  <c r="J216" i="1"/>
  <c r="M216" i="1" s="1"/>
  <c r="G216" i="1"/>
  <c r="K216" i="1" s="1"/>
  <c r="C217" i="1"/>
  <c r="H217" i="1" s="1"/>
  <c r="J217" i="1"/>
  <c r="M217" i="1" s="1"/>
  <c r="G217" i="1"/>
  <c r="K217" i="1" s="1"/>
  <c r="C218" i="1"/>
  <c r="H218" i="1" s="1"/>
  <c r="J218" i="1"/>
  <c r="M218" i="1" s="1"/>
  <c r="G218" i="1"/>
  <c r="K218" i="1" s="1"/>
  <c r="C219" i="1"/>
  <c r="H219" i="1" s="1"/>
  <c r="J219" i="1"/>
  <c r="M219" i="1" s="1"/>
  <c r="G219" i="1"/>
  <c r="K219" i="1" s="1"/>
  <c r="C220" i="1"/>
  <c r="H220" i="1" s="1"/>
  <c r="J220" i="1"/>
  <c r="M220" i="1" s="1"/>
  <c r="G220" i="1"/>
  <c r="K220" i="1" s="1"/>
  <c r="C221" i="1"/>
  <c r="H221" i="1" s="1"/>
  <c r="J221" i="1"/>
  <c r="M221" i="1" s="1"/>
  <c r="G221" i="1"/>
  <c r="K221" i="1" s="1"/>
  <c r="C222" i="1"/>
  <c r="H222" i="1" s="1"/>
  <c r="J222" i="1"/>
  <c r="M222" i="1" s="1"/>
  <c r="G222" i="1"/>
  <c r="K222" i="1" s="1"/>
  <c r="C223" i="1"/>
  <c r="H223" i="1" s="1"/>
  <c r="J223" i="1"/>
  <c r="M223" i="1" s="1"/>
  <c r="G223" i="1"/>
  <c r="K223" i="1" s="1"/>
  <c r="C224" i="1"/>
  <c r="H224" i="1" s="1"/>
  <c r="J224" i="1"/>
  <c r="M224" i="1" s="1"/>
  <c r="G224" i="1"/>
  <c r="K224" i="1" s="1"/>
  <c r="C225" i="1"/>
  <c r="H225" i="1" s="1"/>
  <c r="J225" i="1"/>
  <c r="M225" i="1" s="1"/>
  <c r="G225" i="1"/>
  <c r="K225" i="1" s="1"/>
  <c r="C226" i="1"/>
  <c r="H226" i="1" s="1"/>
  <c r="J226" i="1"/>
  <c r="M226" i="1" s="1"/>
  <c r="G226" i="1"/>
  <c r="K226" i="1" s="1"/>
  <c r="C227" i="1"/>
  <c r="H227" i="1" s="1"/>
  <c r="J227" i="1"/>
  <c r="M227" i="1" s="1"/>
  <c r="G227" i="1"/>
  <c r="K227" i="1" s="1"/>
  <c r="C228" i="1"/>
  <c r="H228" i="1" s="1"/>
  <c r="J228" i="1"/>
  <c r="M228" i="1" s="1"/>
  <c r="G228" i="1"/>
  <c r="K228" i="1" s="1"/>
  <c r="C229" i="1"/>
  <c r="H229" i="1" s="1"/>
  <c r="J229" i="1"/>
  <c r="M229" i="1" s="1"/>
  <c r="G229" i="1"/>
  <c r="K229" i="1" s="1"/>
  <c r="C230" i="1"/>
  <c r="H230" i="1" s="1"/>
  <c r="J230" i="1"/>
  <c r="M230" i="1" s="1"/>
  <c r="G230" i="1"/>
  <c r="K230" i="1" s="1"/>
  <c r="C231" i="1"/>
  <c r="H231" i="1" s="1"/>
  <c r="J231" i="1"/>
  <c r="M231" i="1" s="1"/>
  <c r="G231" i="1"/>
  <c r="K231" i="1" s="1"/>
  <c r="C232" i="1"/>
  <c r="H232" i="1" s="1"/>
  <c r="J232" i="1"/>
  <c r="M232" i="1" s="1"/>
  <c r="G232" i="1"/>
  <c r="K232" i="1" s="1"/>
  <c r="C233" i="1"/>
  <c r="H233" i="1" s="1"/>
  <c r="J233" i="1"/>
  <c r="M233" i="1" s="1"/>
  <c r="G233" i="1"/>
  <c r="K233" i="1" s="1"/>
  <c r="C234" i="1"/>
  <c r="H234" i="1" s="1"/>
  <c r="J234" i="1"/>
  <c r="M234" i="1" s="1"/>
  <c r="G234" i="1"/>
  <c r="K234" i="1" s="1"/>
  <c r="C235" i="1"/>
  <c r="H235" i="1" s="1"/>
  <c r="G235" i="1"/>
  <c r="K235" i="1" s="1"/>
  <c r="C236" i="1"/>
  <c r="H236" i="1" s="1"/>
  <c r="G236" i="1"/>
  <c r="K236" i="1" s="1"/>
  <c r="C237" i="1"/>
  <c r="H237" i="1" s="1"/>
  <c r="G237" i="1"/>
  <c r="K237" i="1" s="1"/>
  <c r="C238" i="1"/>
  <c r="H238" i="1" s="1"/>
  <c r="G238" i="1"/>
  <c r="K238" i="1" s="1"/>
  <c r="C239" i="1"/>
  <c r="H239" i="1" s="1"/>
  <c r="G239" i="1"/>
  <c r="K239" i="1" s="1"/>
  <c r="C240" i="1"/>
  <c r="H240" i="1" s="1"/>
  <c r="G240" i="1"/>
  <c r="K240" i="1" s="1"/>
  <c r="C241" i="1"/>
  <c r="H241" i="1" s="1"/>
  <c r="G241" i="1"/>
  <c r="K241" i="1" s="1"/>
  <c r="C242" i="1"/>
  <c r="H242" i="1" s="1"/>
  <c r="G242" i="1"/>
  <c r="K242" i="1" s="1"/>
  <c r="C243" i="1"/>
  <c r="H243" i="1" s="1"/>
  <c r="G243" i="1"/>
  <c r="K243" i="1" s="1"/>
  <c r="C244" i="1"/>
  <c r="H244" i="1" s="1"/>
  <c r="G244" i="1"/>
  <c r="K244" i="1" s="1"/>
  <c r="C245" i="1"/>
  <c r="H245" i="1" s="1"/>
  <c r="G245" i="1"/>
  <c r="K245" i="1" s="1"/>
  <c r="C246" i="1"/>
  <c r="H246" i="1" s="1"/>
  <c r="G246" i="1"/>
  <c r="K246" i="1" s="1"/>
  <c r="C247" i="1"/>
  <c r="H247" i="1" s="1"/>
  <c r="G247" i="1"/>
  <c r="K247" i="1" s="1"/>
  <c r="C248" i="1"/>
  <c r="H248" i="1" s="1"/>
  <c r="G248" i="1"/>
  <c r="K248" i="1" s="1"/>
  <c r="C249" i="1"/>
  <c r="H249" i="1" s="1"/>
  <c r="G249" i="1"/>
  <c r="K249" i="1" s="1"/>
  <c r="C250" i="1"/>
  <c r="H250" i="1" s="1"/>
  <c r="G250" i="1"/>
  <c r="K250" i="1" s="1"/>
  <c r="C251" i="1"/>
  <c r="H251" i="1" s="1"/>
  <c r="G251" i="1"/>
  <c r="K251" i="1" s="1"/>
  <c r="C252" i="1"/>
  <c r="H252" i="1" s="1"/>
  <c r="G252" i="1"/>
  <c r="K252" i="1" s="1"/>
  <c r="C253" i="1"/>
  <c r="H253" i="1" s="1"/>
  <c r="G253" i="1"/>
  <c r="K253" i="1" s="1"/>
  <c r="C254" i="1"/>
  <c r="H254" i="1" s="1"/>
  <c r="G254" i="1"/>
  <c r="K254" i="1" s="1"/>
  <c r="C255" i="1"/>
  <c r="H255" i="1" s="1"/>
  <c r="G255" i="1"/>
  <c r="K255" i="1" s="1"/>
  <c r="C256" i="1"/>
  <c r="H256" i="1" s="1"/>
  <c r="G256" i="1"/>
  <c r="K256" i="1" s="1"/>
  <c r="C257" i="1"/>
  <c r="H257" i="1" s="1"/>
  <c r="G257" i="1"/>
  <c r="K257" i="1" s="1"/>
  <c r="C258" i="1"/>
  <c r="H258" i="1" s="1"/>
  <c r="G258" i="1"/>
  <c r="K258" i="1" s="1"/>
  <c r="C259" i="1"/>
  <c r="H259" i="1" s="1"/>
  <c r="G259" i="1"/>
  <c r="K259" i="1" s="1"/>
  <c r="C260" i="1"/>
  <c r="H260" i="1" s="1"/>
  <c r="G260" i="1"/>
  <c r="K260" i="1" s="1"/>
  <c r="C261" i="1"/>
  <c r="H261" i="1" s="1"/>
  <c r="G261" i="1"/>
  <c r="K261" i="1" s="1"/>
  <c r="C262" i="1"/>
  <c r="H262" i="1" s="1"/>
  <c r="G262" i="1"/>
  <c r="K262" i="1" s="1"/>
  <c r="C263" i="1"/>
  <c r="H263" i="1" s="1"/>
  <c r="G263" i="1"/>
  <c r="K263" i="1" s="1"/>
  <c r="C264" i="1"/>
  <c r="H264" i="1" s="1"/>
  <c r="G264" i="1"/>
  <c r="K264" i="1" s="1"/>
  <c r="C265" i="1"/>
  <c r="H265" i="1" s="1"/>
  <c r="G265" i="1"/>
  <c r="K265" i="1" s="1"/>
  <c r="C266" i="1"/>
  <c r="H266" i="1" s="1"/>
  <c r="G266" i="1"/>
  <c r="K266" i="1" s="1"/>
  <c r="C267" i="1"/>
  <c r="H267" i="1" s="1"/>
  <c r="G267" i="1"/>
  <c r="K267" i="1" s="1"/>
  <c r="C268" i="1"/>
  <c r="H268" i="1" s="1"/>
  <c r="G268" i="1"/>
  <c r="K268" i="1" s="1"/>
  <c r="C269" i="1"/>
  <c r="H269" i="1" s="1"/>
  <c r="G269" i="1"/>
  <c r="K269" i="1" s="1"/>
  <c r="C270" i="1"/>
  <c r="H270" i="1" s="1"/>
  <c r="G270" i="1"/>
  <c r="K270" i="1" s="1"/>
  <c r="C271" i="1"/>
  <c r="H271" i="1" s="1"/>
  <c r="G271" i="1"/>
  <c r="K271" i="1" s="1"/>
  <c r="C272" i="1"/>
  <c r="H272" i="1" s="1"/>
  <c r="G272" i="1"/>
  <c r="K272" i="1" s="1"/>
  <c r="C273" i="1"/>
  <c r="H273" i="1" s="1"/>
  <c r="G273" i="1"/>
  <c r="K273" i="1" s="1"/>
  <c r="C274" i="1"/>
  <c r="H274" i="1" s="1"/>
  <c r="G274" i="1"/>
  <c r="K274" i="1" s="1"/>
  <c r="C275" i="1"/>
  <c r="H275" i="1" s="1"/>
  <c r="G275" i="1"/>
  <c r="K275" i="1" s="1"/>
  <c r="C276" i="1"/>
  <c r="H276" i="1" s="1"/>
  <c r="G276" i="1"/>
  <c r="K276" i="1" s="1"/>
  <c r="C277" i="1"/>
  <c r="H277" i="1" s="1"/>
  <c r="G277" i="1"/>
  <c r="K277" i="1" s="1"/>
  <c r="C278" i="1"/>
  <c r="H278" i="1" s="1"/>
  <c r="G278" i="1"/>
  <c r="K278" i="1" s="1"/>
  <c r="C279" i="1"/>
  <c r="H279" i="1" s="1"/>
  <c r="G279" i="1"/>
  <c r="K279" i="1" s="1"/>
  <c r="C280" i="1"/>
  <c r="H280" i="1" s="1"/>
  <c r="G280" i="1"/>
  <c r="K280" i="1" s="1"/>
  <c r="C281" i="1"/>
  <c r="H281" i="1" s="1"/>
  <c r="G281" i="1"/>
  <c r="K281" i="1" s="1"/>
  <c r="C282" i="1"/>
  <c r="H282" i="1" s="1"/>
  <c r="G282" i="1"/>
  <c r="K282" i="1" s="1"/>
  <c r="C283" i="1"/>
  <c r="H283" i="1" s="1"/>
  <c r="G283" i="1"/>
  <c r="K283" i="1" s="1"/>
  <c r="C284" i="1"/>
  <c r="H284" i="1" s="1"/>
  <c r="G284" i="1"/>
  <c r="K284" i="1" s="1"/>
  <c r="C285" i="1"/>
  <c r="H285" i="1" s="1"/>
  <c r="G285" i="1"/>
  <c r="K285" i="1" s="1"/>
  <c r="C286" i="1"/>
  <c r="H286" i="1" s="1"/>
  <c r="G286" i="1"/>
  <c r="K286" i="1" s="1"/>
  <c r="C287" i="1"/>
  <c r="H287" i="1" s="1"/>
  <c r="G287" i="1"/>
  <c r="K287" i="1" s="1"/>
  <c r="C288" i="1"/>
  <c r="H288" i="1" s="1"/>
  <c r="G288" i="1"/>
  <c r="C289" i="1"/>
  <c r="H289" i="1" s="1"/>
  <c r="G289" i="1"/>
  <c r="K289" i="1" s="1"/>
  <c r="C290" i="1"/>
  <c r="H290" i="1" s="1"/>
  <c r="G290" i="1"/>
  <c r="K290" i="1" s="1"/>
  <c r="C291" i="1"/>
  <c r="H291" i="1" s="1"/>
  <c r="G291" i="1"/>
  <c r="K291" i="1" s="1"/>
  <c r="C292" i="1"/>
  <c r="H292" i="1" s="1"/>
  <c r="G292" i="1"/>
  <c r="K292" i="1" s="1"/>
  <c r="C293" i="1"/>
  <c r="H293" i="1" s="1"/>
  <c r="G293" i="1"/>
  <c r="K293" i="1" s="1"/>
  <c r="C294" i="1"/>
  <c r="H294" i="1" s="1"/>
  <c r="G294" i="1"/>
  <c r="K294" i="1" s="1"/>
  <c r="C295" i="1"/>
  <c r="H295" i="1" s="1"/>
  <c r="G295" i="1"/>
  <c r="K295" i="1" s="1"/>
  <c r="C296" i="1"/>
  <c r="H296" i="1" s="1"/>
  <c r="G296" i="1"/>
  <c r="K296" i="1" s="1"/>
  <c r="C297" i="1"/>
  <c r="H297" i="1" s="1"/>
  <c r="G297" i="1"/>
  <c r="K297" i="1" s="1"/>
  <c r="C298" i="1"/>
  <c r="H298" i="1" s="1"/>
  <c r="G298" i="1"/>
  <c r="K298" i="1" s="1"/>
  <c r="C299" i="1"/>
  <c r="H299" i="1" s="1"/>
  <c r="G299" i="1"/>
  <c r="K299" i="1" s="1"/>
  <c r="C300" i="1"/>
  <c r="H300" i="1" s="1"/>
  <c r="G300" i="1"/>
  <c r="K300" i="1" s="1"/>
  <c r="C301" i="1"/>
  <c r="H301" i="1" s="1"/>
  <c r="G301" i="1"/>
  <c r="K301" i="1" s="1"/>
  <c r="C302" i="1"/>
  <c r="H302" i="1" s="1"/>
  <c r="G302" i="1"/>
  <c r="K302" i="1" s="1"/>
  <c r="C303" i="1"/>
  <c r="H303" i="1" s="1"/>
  <c r="G303" i="1"/>
  <c r="K303" i="1" s="1"/>
  <c r="P293" i="1" l="1"/>
  <c r="R225" i="1"/>
  <c r="P290" i="1"/>
  <c r="P298" i="1"/>
  <c r="P300" i="1"/>
  <c r="P292" i="1"/>
  <c r="P284" i="1"/>
  <c r="P276" i="1"/>
  <c r="P268" i="1"/>
  <c r="P260" i="1"/>
  <c r="P253" i="1"/>
  <c r="P252" i="1"/>
  <c r="P244" i="1"/>
  <c r="P236" i="1"/>
  <c r="P213" i="1"/>
  <c r="P242" i="1"/>
  <c r="P272" i="1"/>
  <c r="P248" i="1"/>
  <c r="P273" i="1"/>
  <c r="P269" i="1"/>
  <c r="P261" i="1"/>
  <c r="P232" i="1"/>
  <c r="P226" i="1"/>
  <c r="P218" i="1"/>
  <c r="P282" i="1"/>
  <c r="P274" i="1"/>
  <c r="P266" i="1"/>
  <c r="P258" i="1"/>
  <c r="P250" i="1"/>
  <c r="P234" i="1"/>
  <c r="P237" i="1"/>
  <c r="P224" i="1"/>
  <c r="P221" i="1"/>
  <c r="P220" i="1"/>
  <c r="P219" i="1"/>
  <c r="P296" i="1"/>
  <c r="P288" i="1"/>
  <c r="P280" i="1"/>
  <c r="P264" i="1"/>
  <c r="P256" i="1"/>
  <c r="P240" i="1"/>
  <c r="P216" i="1"/>
  <c r="P303" i="1"/>
  <c r="P302" i="1"/>
  <c r="P295" i="1"/>
  <c r="P294" i="1"/>
  <c r="P287" i="1"/>
  <c r="P286" i="1"/>
  <c r="P278" i="1"/>
  <c r="P271" i="1"/>
  <c r="P270" i="1"/>
  <c r="P263" i="1"/>
  <c r="P262" i="1"/>
  <c r="P255" i="1"/>
  <c r="P254" i="1"/>
  <c r="P247" i="1"/>
  <c r="P246" i="1"/>
  <c r="P239" i="1"/>
  <c r="P238" i="1"/>
  <c r="P231" i="1"/>
  <c r="P230" i="1"/>
  <c r="P223" i="1"/>
  <c r="P222" i="1"/>
  <c r="P214" i="1"/>
  <c r="P279" i="1"/>
  <c r="P228" i="1"/>
  <c r="P212" i="1"/>
  <c r="P215" i="1"/>
  <c r="P245" i="1"/>
  <c r="P301" i="1"/>
  <c r="P285" i="1"/>
  <c r="P277" i="1"/>
  <c r="P229" i="1"/>
  <c r="P299" i="1"/>
  <c r="P291" i="1"/>
  <c r="P283" i="1"/>
  <c r="P275" i="1"/>
  <c r="P267" i="1"/>
  <c r="P259" i="1"/>
  <c r="P251" i="1"/>
  <c r="P243" i="1"/>
  <c r="P235" i="1"/>
  <c r="P227" i="1"/>
  <c r="P297" i="1"/>
  <c r="P289" i="1"/>
  <c r="P281" i="1"/>
  <c r="P265" i="1"/>
  <c r="P257" i="1"/>
  <c r="P249" i="1"/>
  <c r="P241" i="1"/>
  <c r="P233" i="1"/>
  <c r="P225" i="1"/>
  <c r="P217" i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K188" i="1" s="1"/>
  <c r="J189" i="1"/>
  <c r="M189" i="1" s="1"/>
  <c r="G189" i="1"/>
  <c r="K189" i="1" s="1"/>
  <c r="J190" i="1"/>
  <c r="M190" i="1" s="1"/>
  <c r="G190" i="1"/>
  <c r="K190" i="1" s="1"/>
  <c r="J191" i="1"/>
  <c r="M191" i="1" s="1"/>
  <c r="G191" i="1"/>
  <c r="K191" i="1" s="1"/>
  <c r="J192" i="1"/>
  <c r="M192" i="1" s="1"/>
  <c r="G192" i="1"/>
  <c r="K192" i="1" s="1"/>
  <c r="J193" i="1"/>
  <c r="M193" i="1" s="1"/>
  <c r="G193" i="1"/>
  <c r="K193" i="1" s="1"/>
  <c r="J194" i="1"/>
  <c r="M194" i="1" s="1"/>
  <c r="G194" i="1"/>
  <c r="K194" i="1" s="1"/>
  <c r="J195" i="1"/>
  <c r="M195" i="1" s="1"/>
  <c r="G195" i="1"/>
  <c r="K195" i="1" s="1"/>
  <c r="J196" i="1"/>
  <c r="M196" i="1" s="1"/>
  <c r="G196" i="1"/>
  <c r="K196" i="1" s="1"/>
  <c r="J197" i="1"/>
  <c r="M197" i="1" s="1"/>
  <c r="G197" i="1"/>
  <c r="K197" i="1" s="1"/>
  <c r="J198" i="1"/>
  <c r="M198" i="1" s="1"/>
  <c r="G198" i="1"/>
  <c r="K198" i="1" s="1"/>
  <c r="J199" i="1"/>
  <c r="M199" i="1" s="1"/>
  <c r="G199" i="1"/>
  <c r="K199" i="1" s="1"/>
  <c r="J200" i="1"/>
  <c r="M200" i="1" s="1"/>
  <c r="G200" i="1"/>
  <c r="K200" i="1" s="1"/>
  <c r="J201" i="1"/>
  <c r="M201" i="1" s="1"/>
  <c r="G201" i="1"/>
  <c r="K201" i="1" s="1"/>
  <c r="J202" i="1"/>
  <c r="M202" i="1" s="1"/>
  <c r="G202" i="1"/>
  <c r="K202" i="1" s="1"/>
  <c r="J203" i="1"/>
  <c r="M203" i="1" s="1"/>
  <c r="G203" i="1"/>
  <c r="K203" i="1" s="1"/>
  <c r="J204" i="1"/>
  <c r="M204" i="1" s="1"/>
  <c r="G204" i="1"/>
  <c r="K204" i="1" s="1"/>
  <c r="J205" i="1"/>
  <c r="M205" i="1" s="1"/>
  <c r="G205" i="1"/>
  <c r="K205" i="1" s="1"/>
  <c r="J206" i="1"/>
  <c r="M206" i="1" s="1"/>
  <c r="G206" i="1"/>
  <c r="K206" i="1" s="1"/>
  <c r="J207" i="1"/>
  <c r="M207" i="1" s="1"/>
  <c r="G207" i="1"/>
  <c r="K207" i="1" s="1"/>
  <c r="J208" i="1"/>
  <c r="M208" i="1" s="1"/>
  <c r="G208" i="1"/>
  <c r="K208" i="1" s="1"/>
  <c r="J209" i="1"/>
  <c r="M209" i="1" s="1"/>
  <c r="G209" i="1"/>
  <c r="K209" i="1" s="1"/>
  <c r="J210" i="1"/>
  <c r="M210" i="1" s="1"/>
  <c r="G210" i="1"/>
  <c r="K210" i="1" s="1"/>
  <c r="J211" i="1"/>
  <c r="M211" i="1" s="1"/>
  <c r="G211" i="1"/>
  <c r="K211" i="1" s="1"/>
  <c r="J5" i="1"/>
  <c r="M5" i="1" s="1"/>
  <c r="G5" i="1"/>
  <c r="K5" i="1" s="1"/>
  <c r="J6" i="1"/>
  <c r="M6" i="1" s="1"/>
  <c r="G6" i="1"/>
  <c r="K6" i="1" s="1"/>
  <c r="J7" i="1"/>
  <c r="M7" i="1" s="1"/>
  <c r="G7" i="1"/>
  <c r="K7" i="1" s="1"/>
  <c r="J8" i="1"/>
  <c r="M8" i="1" s="1"/>
  <c r="G8" i="1"/>
  <c r="K8" i="1" s="1"/>
  <c r="J9" i="1"/>
  <c r="M9" i="1" s="1"/>
  <c r="G9" i="1"/>
  <c r="K9" i="1" s="1"/>
  <c r="J10" i="1"/>
  <c r="M10" i="1" s="1"/>
  <c r="G10" i="1"/>
  <c r="K10" i="1" s="1"/>
  <c r="J11" i="1"/>
  <c r="M11" i="1" s="1"/>
  <c r="G11" i="1"/>
  <c r="K11" i="1" s="1"/>
  <c r="J12" i="1"/>
  <c r="M12" i="1" s="1"/>
  <c r="G12" i="1"/>
  <c r="K12" i="1" s="1"/>
  <c r="J13" i="1"/>
  <c r="M13" i="1" s="1"/>
  <c r="G13" i="1"/>
  <c r="K13" i="1" s="1"/>
  <c r="J14" i="1"/>
  <c r="M14" i="1" s="1"/>
  <c r="G14" i="1"/>
  <c r="K14" i="1" s="1"/>
  <c r="J15" i="1"/>
  <c r="M15" i="1" s="1"/>
  <c r="G15" i="1"/>
  <c r="K15" i="1" s="1"/>
  <c r="J16" i="1"/>
  <c r="M16" i="1" s="1"/>
  <c r="G16" i="1"/>
  <c r="K16" i="1" s="1"/>
  <c r="J17" i="1"/>
  <c r="M17" i="1" s="1"/>
  <c r="G17" i="1"/>
  <c r="K17" i="1" s="1"/>
  <c r="J18" i="1"/>
  <c r="M18" i="1" s="1"/>
  <c r="G18" i="1"/>
  <c r="K18" i="1" s="1"/>
  <c r="J19" i="1"/>
  <c r="M19" i="1" s="1"/>
  <c r="G19" i="1"/>
  <c r="K19" i="1" s="1"/>
  <c r="J20" i="1"/>
  <c r="M20" i="1" s="1"/>
  <c r="G20" i="1"/>
  <c r="K20" i="1" s="1"/>
  <c r="J21" i="1"/>
  <c r="M21" i="1" s="1"/>
  <c r="G21" i="1"/>
  <c r="K21" i="1" s="1"/>
  <c r="J22" i="1"/>
  <c r="M22" i="1" s="1"/>
  <c r="G22" i="1"/>
  <c r="K22" i="1" s="1"/>
  <c r="J23" i="1"/>
  <c r="M23" i="1" s="1"/>
  <c r="G23" i="1"/>
  <c r="K23" i="1" s="1"/>
  <c r="J24" i="1"/>
  <c r="M24" i="1" s="1"/>
  <c r="G24" i="1"/>
  <c r="K24" i="1" s="1"/>
  <c r="J25" i="1"/>
  <c r="M25" i="1" s="1"/>
  <c r="G25" i="1"/>
  <c r="K25" i="1" s="1"/>
  <c r="J26" i="1"/>
  <c r="M26" i="1" s="1"/>
  <c r="G26" i="1"/>
  <c r="K26" i="1" s="1"/>
  <c r="J27" i="1"/>
  <c r="M27" i="1" s="1"/>
  <c r="G27" i="1"/>
  <c r="K27" i="1" s="1"/>
  <c r="J28" i="1"/>
  <c r="M28" i="1" s="1"/>
  <c r="G28" i="1"/>
  <c r="K28" i="1" s="1"/>
  <c r="J29" i="1"/>
  <c r="M29" i="1" s="1"/>
  <c r="G29" i="1"/>
  <c r="K29" i="1" s="1"/>
  <c r="J30" i="1"/>
  <c r="M30" i="1" s="1"/>
  <c r="G30" i="1"/>
  <c r="K30" i="1" s="1"/>
  <c r="J31" i="1"/>
  <c r="M31" i="1" s="1"/>
  <c r="G31" i="1"/>
  <c r="K31" i="1" s="1"/>
  <c r="J32" i="1"/>
  <c r="M32" i="1" s="1"/>
  <c r="G32" i="1"/>
  <c r="K32" i="1" s="1"/>
  <c r="J33" i="1"/>
  <c r="M33" i="1" s="1"/>
  <c r="G33" i="1"/>
  <c r="K33" i="1" s="1"/>
  <c r="J34" i="1"/>
  <c r="M34" i="1" s="1"/>
  <c r="G34" i="1"/>
  <c r="K34" i="1" s="1"/>
  <c r="J35" i="1"/>
  <c r="M35" i="1" s="1"/>
  <c r="G35" i="1"/>
  <c r="K35" i="1" s="1"/>
  <c r="J36" i="1"/>
  <c r="M36" i="1" s="1"/>
  <c r="G36" i="1"/>
  <c r="K36" i="1" s="1"/>
  <c r="J37" i="1"/>
  <c r="M37" i="1" s="1"/>
  <c r="G37" i="1"/>
  <c r="K37" i="1" s="1"/>
  <c r="J38" i="1"/>
  <c r="M38" i="1" s="1"/>
  <c r="G38" i="1"/>
  <c r="K38" i="1" s="1"/>
  <c r="J39" i="1"/>
  <c r="M39" i="1" s="1"/>
  <c r="G39" i="1"/>
  <c r="K39" i="1" s="1"/>
  <c r="J40" i="1"/>
  <c r="M40" i="1" s="1"/>
  <c r="G40" i="1"/>
  <c r="K40" i="1" s="1"/>
  <c r="J41" i="1"/>
  <c r="M41" i="1" s="1"/>
  <c r="G41" i="1"/>
  <c r="K41" i="1" s="1"/>
  <c r="J42" i="1"/>
  <c r="M42" i="1" s="1"/>
  <c r="G42" i="1"/>
  <c r="K42" i="1" s="1"/>
  <c r="J43" i="1"/>
  <c r="M43" i="1" s="1"/>
  <c r="G43" i="1"/>
  <c r="K43" i="1" s="1"/>
  <c r="J44" i="1"/>
  <c r="M44" i="1" s="1"/>
  <c r="G44" i="1"/>
  <c r="K44" i="1" s="1"/>
  <c r="J45" i="1"/>
  <c r="M45" i="1" s="1"/>
  <c r="G45" i="1"/>
  <c r="K45" i="1" s="1"/>
  <c r="J46" i="1"/>
  <c r="M46" i="1" s="1"/>
  <c r="G46" i="1"/>
  <c r="K46" i="1" s="1"/>
  <c r="J47" i="1"/>
  <c r="M47" i="1" s="1"/>
  <c r="G47" i="1"/>
  <c r="K47" i="1" s="1"/>
  <c r="J48" i="1"/>
  <c r="M48" i="1" s="1"/>
  <c r="G48" i="1"/>
  <c r="K48" i="1" s="1"/>
  <c r="J49" i="1"/>
  <c r="M49" i="1" s="1"/>
  <c r="G49" i="1"/>
  <c r="K49" i="1" s="1"/>
  <c r="J50" i="1"/>
  <c r="M50" i="1" s="1"/>
  <c r="G50" i="1"/>
  <c r="K50" i="1" s="1"/>
  <c r="J51" i="1"/>
  <c r="M51" i="1" s="1"/>
  <c r="G51" i="1"/>
  <c r="K51" i="1" s="1"/>
  <c r="J52" i="1"/>
  <c r="M52" i="1" s="1"/>
  <c r="G52" i="1"/>
  <c r="K52" i="1" s="1"/>
  <c r="J53" i="1"/>
  <c r="M53" i="1" s="1"/>
  <c r="G53" i="1"/>
  <c r="K53" i="1" s="1"/>
  <c r="J54" i="1"/>
  <c r="M54" i="1" s="1"/>
  <c r="G54" i="1"/>
  <c r="K54" i="1" s="1"/>
  <c r="J55" i="1"/>
  <c r="M55" i="1" s="1"/>
  <c r="G55" i="1"/>
  <c r="K55" i="1" s="1"/>
  <c r="J56" i="1"/>
  <c r="M56" i="1" s="1"/>
  <c r="G56" i="1"/>
  <c r="K56" i="1" s="1"/>
  <c r="J57" i="1"/>
  <c r="M57" i="1" s="1"/>
  <c r="G57" i="1"/>
  <c r="K57" i="1" s="1"/>
  <c r="J58" i="1"/>
  <c r="M58" i="1" s="1"/>
  <c r="G58" i="1"/>
  <c r="K58" i="1" s="1"/>
  <c r="J59" i="1"/>
  <c r="M59" i="1" s="1"/>
  <c r="G59" i="1"/>
  <c r="K59" i="1" s="1"/>
  <c r="J60" i="1"/>
  <c r="M60" i="1" s="1"/>
  <c r="G60" i="1"/>
  <c r="K60" i="1" s="1"/>
  <c r="J61" i="1"/>
  <c r="M61" i="1" s="1"/>
  <c r="G61" i="1"/>
  <c r="K61" i="1" s="1"/>
  <c r="J62" i="1"/>
  <c r="M62" i="1" s="1"/>
  <c r="G62" i="1"/>
  <c r="K62" i="1" s="1"/>
  <c r="J63" i="1"/>
  <c r="M63" i="1" s="1"/>
  <c r="G63" i="1"/>
  <c r="K63" i="1" s="1"/>
  <c r="J64" i="1"/>
  <c r="M64" i="1" s="1"/>
  <c r="G64" i="1"/>
  <c r="K64" i="1" s="1"/>
  <c r="J65" i="1"/>
  <c r="M65" i="1" s="1"/>
  <c r="G65" i="1"/>
  <c r="K65" i="1" s="1"/>
  <c r="J66" i="1"/>
  <c r="M66" i="1" s="1"/>
  <c r="G66" i="1"/>
  <c r="K66" i="1" s="1"/>
  <c r="J67" i="1"/>
  <c r="M67" i="1" s="1"/>
  <c r="G67" i="1"/>
  <c r="K67" i="1" s="1"/>
  <c r="J68" i="1"/>
  <c r="M68" i="1" s="1"/>
  <c r="G68" i="1"/>
  <c r="K68" i="1" s="1"/>
  <c r="J69" i="1"/>
  <c r="M69" i="1" s="1"/>
  <c r="G69" i="1"/>
  <c r="K69" i="1" s="1"/>
  <c r="J70" i="1"/>
  <c r="M70" i="1" s="1"/>
  <c r="G70" i="1"/>
  <c r="K70" i="1" s="1"/>
  <c r="J71" i="1"/>
  <c r="M71" i="1" s="1"/>
  <c r="G71" i="1"/>
  <c r="K71" i="1" s="1"/>
  <c r="J72" i="1"/>
  <c r="M72" i="1" s="1"/>
  <c r="G72" i="1"/>
  <c r="K72" i="1" s="1"/>
  <c r="J73" i="1"/>
  <c r="M73" i="1" s="1"/>
  <c r="G73" i="1"/>
  <c r="K73" i="1" s="1"/>
  <c r="J74" i="1"/>
  <c r="M74" i="1" s="1"/>
  <c r="G74" i="1"/>
  <c r="K74" i="1" s="1"/>
  <c r="J75" i="1"/>
  <c r="M75" i="1" s="1"/>
  <c r="G75" i="1"/>
  <c r="K75" i="1" s="1"/>
  <c r="J76" i="1"/>
  <c r="M76" i="1" s="1"/>
  <c r="G76" i="1"/>
  <c r="K76" i="1" s="1"/>
  <c r="J77" i="1"/>
  <c r="M77" i="1" s="1"/>
  <c r="G77" i="1"/>
  <c r="K77" i="1" s="1"/>
  <c r="J78" i="1"/>
  <c r="M78" i="1" s="1"/>
  <c r="G78" i="1"/>
  <c r="K78" i="1" s="1"/>
  <c r="J79" i="1"/>
  <c r="M79" i="1" s="1"/>
  <c r="G79" i="1"/>
  <c r="K79" i="1" s="1"/>
  <c r="J80" i="1"/>
  <c r="M80" i="1" s="1"/>
  <c r="G80" i="1"/>
  <c r="K80" i="1" s="1"/>
  <c r="J81" i="1"/>
  <c r="M81" i="1" s="1"/>
  <c r="G81" i="1"/>
  <c r="K81" i="1" s="1"/>
  <c r="J82" i="1"/>
  <c r="M82" i="1" s="1"/>
  <c r="G82" i="1"/>
  <c r="K82" i="1" s="1"/>
  <c r="J83" i="1"/>
  <c r="M83" i="1" s="1"/>
  <c r="G83" i="1"/>
  <c r="K83" i="1" s="1"/>
  <c r="J84" i="1"/>
  <c r="M84" i="1" s="1"/>
  <c r="G84" i="1"/>
  <c r="K84" i="1" s="1"/>
  <c r="J85" i="1"/>
  <c r="M85" i="1" s="1"/>
  <c r="G85" i="1"/>
  <c r="K85" i="1" s="1"/>
  <c r="J86" i="1"/>
  <c r="M86" i="1" s="1"/>
  <c r="G86" i="1"/>
  <c r="K86" i="1" s="1"/>
  <c r="J87" i="1"/>
  <c r="M87" i="1" s="1"/>
  <c r="G87" i="1"/>
  <c r="K87" i="1" s="1"/>
  <c r="J88" i="1"/>
  <c r="M88" i="1" s="1"/>
  <c r="G88" i="1"/>
  <c r="K88" i="1" s="1"/>
  <c r="J89" i="1"/>
  <c r="M89" i="1" s="1"/>
  <c r="G89" i="1"/>
  <c r="K89" i="1" s="1"/>
  <c r="J90" i="1"/>
  <c r="M90" i="1" s="1"/>
  <c r="G90" i="1"/>
  <c r="K90" i="1" s="1"/>
  <c r="J91" i="1"/>
  <c r="M91" i="1" s="1"/>
  <c r="G91" i="1"/>
  <c r="K91" i="1" s="1"/>
  <c r="J92" i="1"/>
  <c r="M92" i="1" s="1"/>
  <c r="G92" i="1"/>
  <c r="K92" i="1" s="1"/>
  <c r="J93" i="1"/>
  <c r="M93" i="1" s="1"/>
  <c r="G93" i="1"/>
  <c r="K93" i="1" s="1"/>
  <c r="J94" i="1"/>
  <c r="M94" i="1" s="1"/>
  <c r="G94" i="1"/>
  <c r="K94" i="1" s="1"/>
  <c r="J95" i="1"/>
  <c r="M95" i="1" s="1"/>
  <c r="G95" i="1"/>
  <c r="K95" i="1" s="1"/>
  <c r="J96" i="1"/>
  <c r="M96" i="1" s="1"/>
  <c r="G96" i="1"/>
  <c r="K96" i="1" s="1"/>
  <c r="J97" i="1"/>
  <c r="M97" i="1" s="1"/>
  <c r="G97" i="1"/>
  <c r="K97" i="1" s="1"/>
  <c r="J98" i="1"/>
  <c r="M98" i="1" s="1"/>
  <c r="G98" i="1"/>
  <c r="K98" i="1" s="1"/>
  <c r="J99" i="1"/>
  <c r="M99" i="1" s="1"/>
  <c r="G99" i="1"/>
  <c r="K99" i="1" s="1"/>
  <c r="J100" i="1"/>
  <c r="M100" i="1" s="1"/>
  <c r="G100" i="1"/>
  <c r="K100" i="1" s="1"/>
  <c r="J101" i="1"/>
  <c r="M101" i="1" s="1"/>
  <c r="G101" i="1"/>
  <c r="K101" i="1" s="1"/>
  <c r="J102" i="1"/>
  <c r="M102" i="1" s="1"/>
  <c r="G102" i="1"/>
  <c r="K102" i="1" s="1"/>
  <c r="J103" i="1"/>
  <c r="M103" i="1" s="1"/>
  <c r="G103" i="1"/>
  <c r="K103" i="1" s="1"/>
  <c r="J104" i="1"/>
  <c r="M104" i="1" s="1"/>
  <c r="G104" i="1"/>
  <c r="K104" i="1" s="1"/>
  <c r="J105" i="1"/>
  <c r="M105" i="1" s="1"/>
  <c r="G105" i="1"/>
  <c r="K105" i="1" s="1"/>
  <c r="J106" i="1"/>
  <c r="M106" i="1" s="1"/>
  <c r="G106" i="1"/>
  <c r="K106" i="1" s="1"/>
  <c r="J107" i="1"/>
  <c r="M107" i="1" s="1"/>
  <c r="G107" i="1"/>
  <c r="K107" i="1" s="1"/>
  <c r="J108" i="1"/>
  <c r="M108" i="1" s="1"/>
  <c r="G108" i="1"/>
  <c r="K108" i="1" s="1"/>
  <c r="J109" i="1"/>
  <c r="M109" i="1" s="1"/>
  <c r="G109" i="1"/>
  <c r="K109" i="1" s="1"/>
  <c r="J110" i="1"/>
  <c r="M110" i="1" s="1"/>
  <c r="G110" i="1"/>
  <c r="K110" i="1" s="1"/>
  <c r="J111" i="1"/>
  <c r="M111" i="1" s="1"/>
  <c r="G111" i="1"/>
  <c r="K111" i="1" s="1"/>
  <c r="J112" i="1"/>
  <c r="M112" i="1" s="1"/>
  <c r="G112" i="1"/>
  <c r="K112" i="1" s="1"/>
  <c r="J113" i="1"/>
  <c r="M113" i="1" s="1"/>
  <c r="G113" i="1"/>
  <c r="K113" i="1" s="1"/>
  <c r="J114" i="1"/>
  <c r="M114" i="1" s="1"/>
  <c r="G114" i="1"/>
  <c r="K114" i="1" s="1"/>
  <c r="J115" i="1"/>
  <c r="M115" i="1" s="1"/>
  <c r="G115" i="1"/>
  <c r="K115" i="1" s="1"/>
  <c r="J116" i="1"/>
  <c r="M116" i="1" s="1"/>
  <c r="G116" i="1"/>
  <c r="K116" i="1" s="1"/>
  <c r="J117" i="1"/>
  <c r="M117" i="1" s="1"/>
  <c r="G117" i="1"/>
  <c r="K117" i="1" s="1"/>
  <c r="J118" i="1"/>
  <c r="M118" i="1" s="1"/>
  <c r="G118" i="1"/>
  <c r="K118" i="1" s="1"/>
  <c r="J119" i="1"/>
  <c r="M119" i="1" s="1"/>
  <c r="G119" i="1"/>
  <c r="K119" i="1" s="1"/>
  <c r="J120" i="1"/>
  <c r="M120" i="1" s="1"/>
  <c r="G120" i="1"/>
  <c r="K120" i="1" s="1"/>
  <c r="J121" i="1"/>
  <c r="M121" i="1" s="1"/>
  <c r="G121" i="1"/>
  <c r="K121" i="1" s="1"/>
  <c r="J122" i="1"/>
  <c r="M122" i="1" s="1"/>
  <c r="G122" i="1"/>
  <c r="K122" i="1" s="1"/>
  <c r="J123" i="1"/>
  <c r="M123" i="1" s="1"/>
  <c r="G123" i="1"/>
  <c r="K123" i="1" s="1"/>
  <c r="J124" i="1"/>
  <c r="M124" i="1" s="1"/>
  <c r="G124" i="1"/>
  <c r="K124" i="1" s="1"/>
  <c r="J125" i="1"/>
  <c r="M125" i="1" s="1"/>
  <c r="G125" i="1"/>
  <c r="K125" i="1" s="1"/>
  <c r="J126" i="1"/>
  <c r="M126" i="1" s="1"/>
  <c r="G126" i="1"/>
  <c r="K126" i="1" s="1"/>
  <c r="J127" i="1"/>
  <c r="M127" i="1" s="1"/>
  <c r="G127" i="1"/>
  <c r="K127" i="1" s="1"/>
  <c r="J128" i="1"/>
  <c r="M128" i="1" s="1"/>
  <c r="G128" i="1"/>
  <c r="K128" i="1" s="1"/>
  <c r="J129" i="1"/>
  <c r="M129" i="1" s="1"/>
  <c r="G129" i="1"/>
  <c r="K129" i="1" s="1"/>
  <c r="J130" i="1"/>
  <c r="M130" i="1" s="1"/>
  <c r="G130" i="1"/>
  <c r="K130" i="1" s="1"/>
  <c r="J131" i="1"/>
  <c r="M131" i="1" s="1"/>
  <c r="G131" i="1"/>
  <c r="K131" i="1" s="1"/>
  <c r="J132" i="1"/>
  <c r="M132" i="1" s="1"/>
  <c r="G132" i="1"/>
  <c r="K132" i="1" s="1"/>
  <c r="J133" i="1"/>
  <c r="M133" i="1" s="1"/>
  <c r="G133" i="1"/>
  <c r="K133" i="1" s="1"/>
  <c r="J134" i="1"/>
  <c r="M134" i="1" s="1"/>
  <c r="G134" i="1"/>
  <c r="K134" i="1" s="1"/>
  <c r="J135" i="1"/>
  <c r="M135" i="1" s="1"/>
  <c r="G135" i="1"/>
  <c r="K135" i="1" s="1"/>
  <c r="J136" i="1"/>
  <c r="M136" i="1" s="1"/>
  <c r="G136" i="1"/>
  <c r="K136" i="1" s="1"/>
  <c r="J137" i="1"/>
  <c r="M137" i="1" s="1"/>
  <c r="G137" i="1"/>
  <c r="K137" i="1" s="1"/>
  <c r="J138" i="1"/>
  <c r="M138" i="1" s="1"/>
  <c r="G138" i="1"/>
  <c r="K138" i="1" s="1"/>
  <c r="J139" i="1"/>
  <c r="M139" i="1" s="1"/>
  <c r="G139" i="1"/>
  <c r="K139" i="1" s="1"/>
  <c r="J140" i="1"/>
  <c r="M140" i="1" s="1"/>
  <c r="G140" i="1"/>
  <c r="K140" i="1" s="1"/>
  <c r="J141" i="1"/>
  <c r="M141" i="1" s="1"/>
  <c r="G141" i="1"/>
  <c r="K141" i="1" s="1"/>
  <c r="J142" i="1"/>
  <c r="M142" i="1" s="1"/>
  <c r="G142" i="1"/>
  <c r="K142" i="1" s="1"/>
  <c r="J143" i="1"/>
  <c r="M143" i="1" s="1"/>
  <c r="G143" i="1"/>
  <c r="K143" i="1" s="1"/>
  <c r="J144" i="1"/>
  <c r="M144" i="1" s="1"/>
  <c r="G144" i="1"/>
  <c r="K14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K145" i="1" s="1"/>
  <c r="J146" i="1"/>
  <c r="M146" i="1" s="1"/>
  <c r="G146" i="1"/>
  <c r="K146" i="1" s="1"/>
  <c r="J147" i="1"/>
  <c r="M147" i="1" s="1"/>
  <c r="G147" i="1"/>
  <c r="K147" i="1" s="1"/>
  <c r="J148" i="1"/>
  <c r="M148" i="1" s="1"/>
  <c r="G148" i="1"/>
  <c r="K148" i="1" s="1"/>
  <c r="J149" i="1"/>
  <c r="M149" i="1" s="1"/>
  <c r="G149" i="1"/>
  <c r="K149" i="1" s="1"/>
  <c r="J150" i="1"/>
  <c r="M150" i="1" s="1"/>
  <c r="G150" i="1"/>
  <c r="K150" i="1" s="1"/>
  <c r="J151" i="1"/>
  <c r="M151" i="1" s="1"/>
  <c r="G151" i="1"/>
  <c r="K151" i="1" s="1"/>
  <c r="J152" i="1"/>
  <c r="M152" i="1" s="1"/>
  <c r="G152" i="1"/>
  <c r="K152" i="1" s="1"/>
  <c r="J153" i="1"/>
  <c r="M153" i="1" s="1"/>
  <c r="G153" i="1"/>
  <c r="K153" i="1" s="1"/>
  <c r="J154" i="1"/>
  <c r="M154" i="1" s="1"/>
  <c r="G154" i="1"/>
  <c r="K154" i="1" s="1"/>
  <c r="J155" i="1"/>
  <c r="M155" i="1" s="1"/>
  <c r="G155" i="1"/>
  <c r="K155" i="1" s="1"/>
  <c r="J156" i="1"/>
  <c r="M156" i="1" s="1"/>
  <c r="G156" i="1"/>
  <c r="K156" i="1" s="1"/>
  <c r="J157" i="1"/>
  <c r="M157" i="1" s="1"/>
  <c r="G157" i="1"/>
  <c r="K157" i="1" s="1"/>
  <c r="J158" i="1"/>
  <c r="M158" i="1" s="1"/>
  <c r="G158" i="1"/>
  <c r="K158" i="1" s="1"/>
  <c r="J159" i="1"/>
  <c r="M159" i="1" s="1"/>
  <c r="G159" i="1"/>
  <c r="K159" i="1" s="1"/>
  <c r="J160" i="1"/>
  <c r="M160" i="1" s="1"/>
  <c r="G160" i="1"/>
  <c r="K160" i="1" s="1"/>
  <c r="J161" i="1"/>
  <c r="M161" i="1" s="1"/>
  <c r="G161" i="1"/>
  <c r="K161" i="1" s="1"/>
  <c r="J162" i="1"/>
  <c r="M162" i="1" s="1"/>
  <c r="G162" i="1"/>
  <c r="K162" i="1" s="1"/>
  <c r="J163" i="1"/>
  <c r="M163" i="1" s="1"/>
  <c r="G163" i="1"/>
  <c r="K163" i="1" s="1"/>
  <c r="J164" i="1"/>
  <c r="M164" i="1" s="1"/>
  <c r="G164" i="1"/>
  <c r="K164" i="1" s="1"/>
  <c r="J165" i="1"/>
  <c r="M165" i="1" s="1"/>
  <c r="G165" i="1"/>
  <c r="K165" i="1" s="1"/>
  <c r="J166" i="1"/>
  <c r="M166" i="1" s="1"/>
  <c r="G166" i="1"/>
  <c r="K166" i="1" s="1"/>
  <c r="J167" i="1"/>
  <c r="M167" i="1" s="1"/>
  <c r="G167" i="1"/>
  <c r="K167" i="1" s="1"/>
  <c r="J168" i="1"/>
  <c r="M168" i="1" s="1"/>
  <c r="G168" i="1"/>
  <c r="K168" i="1" s="1"/>
  <c r="J169" i="1"/>
  <c r="M169" i="1" s="1"/>
  <c r="G169" i="1"/>
  <c r="K169" i="1" s="1"/>
  <c r="J170" i="1"/>
  <c r="M170" i="1" s="1"/>
  <c r="G170" i="1"/>
  <c r="K170" i="1" s="1"/>
  <c r="J171" i="1"/>
  <c r="M171" i="1" s="1"/>
  <c r="G171" i="1"/>
  <c r="K171" i="1" s="1"/>
  <c r="J172" i="1"/>
  <c r="M172" i="1" s="1"/>
  <c r="G172" i="1"/>
  <c r="K172" i="1" s="1"/>
  <c r="J173" i="1"/>
  <c r="M173" i="1" s="1"/>
  <c r="G173" i="1"/>
  <c r="K173" i="1" s="1"/>
  <c r="J174" i="1"/>
  <c r="M174" i="1" s="1"/>
  <c r="G174" i="1"/>
  <c r="K174" i="1" s="1"/>
  <c r="J175" i="1"/>
  <c r="M175" i="1" s="1"/>
  <c r="G175" i="1"/>
  <c r="K175" i="1" s="1"/>
  <c r="J176" i="1"/>
  <c r="M176" i="1" s="1"/>
  <c r="G176" i="1"/>
  <c r="K176" i="1" s="1"/>
  <c r="J177" i="1"/>
  <c r="M177" i="1" s="1"/>
  <c r="G177" i="1"/>
  <c r="K177" i="1" s="1"/>
  <c r="J178" i="1"/>
  <c r="M178" i="1" s="1"/>
  <c r="G178" i="1"/>
  <c r="K178" i="1" s="1"/>
  <c r="J179" i="1"/>
  <c r="M179" i="1" s="1"/>
  <c r="G179" i="1"/>
  <c r="K179" i="1" s="1"/>
  <c r="J180" i="1"/>
  <c r="M180" i="1" s="1"/>
  <c r="G180" i="1"/>
  <c r="K180" i="1" s="1"/>
  <c r="J181" i="1"/>
  <c r="M181" i="1" s="1"/>
  <c r="G181" i="1"/>
  <c r="K181" i="1" s="1"/>
  <c r="J182" i="1"/>
  <c r="M182" i="1" s="1"/>
  <c r="G182" i="1"/>
  <c r="K182" i="1" s="1"/>
  <c r="J183" i="1"/>
  <c r="M183" i="1" s="1"/>
  <c r="G183" i="1"/>
  <c r="K183" i="1" s="1"/>
  <c r="J184" i="1"/>
  <c r="M184" i="1" s="1"/>
  <c r="G184" i="1"/>
  <c r="K184" i="1" s="1"/>
  <c r="J185" i="1"/>
  <c r="M185" i="1" s="1"/>
  <c r="G185" i="1"/>
  <c r="K185" i="1" s="1"/>
  <c r="J186" i="1"/>
  <c r="M186" i="1" s="1"/>
  <c r="G186" i="1"/>
  <c r="K186" i="1" s="1"/>
  <c r="J187" i="1"/>
  <c r="M187" i="1" s="1"/>
  <c r="G187" i="1"/>
  <c r="K187" i="1" s="1"/>
  <c r="P209" i="1" l="1"/>
  <c r="P205" i="1"/>
  <c r="P201" i="1"/>
  <c r="P197" i="1"/>
  <c r="P193" i="1"/>
  <c r="P189" i="1"/>
  <c r="P202" i="1"/>
  <c r="P210" i="1"/>
  <c r="P206" i="1"/>
  <c r="P198" i="1"/>
  <c r="P190" i="1"/>
  <c r="P188" i="1"/>
  <c r="P194" i="1"/>
  <c r="P211" i="1"/>
  <c r="P207" i="1"/>
  <c r="P203" i="1"/>
  <c r="P199" i="1"/>
  <c r="P195" i="1"/>
  <c r="P191" i="1"/>
  <c r="P208" i="1"/>
  <c r="P204" i="1"/>
  <c r="P200" i="1"/>
  <c r="P196" i="1"/>
  <c r="P192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P146" i="1" l="1"/>
  <c r="P148" i="1"/>
  <c r="P150" i="1"/>
  <c r="P152" i="1"/>
  <c r="P154" i="1"/>
  <c r="P156" i="1"/>
  <c r="P158" i="1"/>
  <c r="P160" i="1"/>
  <c r="P162" i="1"/>
  <c r="P164" i="1"/>
  <c r="P166" i="1"/>
  <c r="P168" i="1"/>
  <c r="P170" i="1"/>
  <c r="P172" i="1"/>
  <c r="P174" i="1"/>
  <c r="P176" i="1"/>
  <c r="P178" i="1"/>
  <c r="P180" i="1"/>
  <c r="P182" i="1"/>
  <c r="P184" i="1"/>
  <c r="P186" i="1"/>
  <c r="P149" i="1"/>
  <c r="P157" i="1"/>
  <c r="P165" i="1"/>
  <c r="P173" i="1"/>
  <c r="P181" i="1"/>
  <c r="P151" i="1"/>
  <c r="P159" i="1"/>
  <c r="P167" i="1"/>
  <c r="P175" i="1"/>
  <c r="P183" i="1"/>
  <c r="P145" i="1"/>
  <c r="P153" i="1"/>
  <c r="P161" i="1"/>
  <c r="P169" i="1"/>
  <c r="P177" i="1"/>
  <c r="P185" i="1"/>
  <c r="P147" i="1"/>
  <c r="P155" i="1"/>
  <c r="P163" i="1"/>
  <c r="P171" i="1"/>
  <c r="P179" i="1"/>
  <c r="P187" i="1"/>
  <c r="J4" i="1" l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<sst xmlns="http://schemas.openxmlformats.org/spreadsheetml/2006/main" count="40" uniqueCount="36">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</sst>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A2" zoomScale="40" zoomScaleNormal="40" workbookViewId="0">
      <selection activeCell="M2" sqref="M2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-0.44789000000000001</v>
      </c>
      <c r="AC3" t="s">
        <v>30</v>
      </c>
    </row>
    <row r="4" spans="1:29" x14ac:dyDescent="0.3">
      <c r="A4">
        <v>3.9146600000000004E-2</v>
      </c>
      <c r="B4">
        <v>0.91008</v>
      </c>
      <c r="C4">
        <f>A4*B4</f>
        <v>3.5626537728E-2</v>
      </c>
      <c r="D4">
        <v>1.6299999999999999E-2</v>
      </c>
      <c r="E4">
        <v>2.8849251857154604E-3</v>
      </c>
      <c r="F4">
        <f>A4*200</f>
        <v>7.8293200000000009</v>
      </c>
      <c r="G4">
        <f>-B4</f>
        <v>-0.91008</v>
      </c>
      <c r="H4">
        <f t="shared" ref="H4" si="0">-C4*200</f>
        <v>-7.1253075456000001</v>
      </c>
      <c r="I4">
        <v>1</v>
      </c>
      <c r="J4">
        <f>LN(F4/1000)</f>
        <v>-4.8498796182168666</v>
      </c>
      <c r="K4">
        <f>((-G4)-$N$2)</f>
        <v>-0.31164515177521745</v>
      </c>
      <c r="L4">
        <v>1</v>
      </c>
      <c r="M4">
        <f>-1*($S$4+($S$5*J4))</f>
        <v>0.28802563386745061</v>
      </c>
      <c r="N4">
        <f>D4*A4</f>
        <v>6.3808957999999995E-4</v>
      </c>
      <c r="O4">
        <f>E4*A4</f>
        <v>1.1293501227512885E-4</v>
      </c>
      <c r="P4">
        <f>-K4-M4-N4-O4</f>
        <v>2.2868493315491709E-2</v>
      </c>
      <c r="R4" s="2" t="s">
        <v>16</v>
      </c>
      <c r="S4">
        <v>-0.51500000000000001</v>
      </c>
      <c r="V4">
        <v>-6</v>
      </c>
      <c r="W4">
        <f>V4*$S$5+$S$4</f>
        <v>-0.23420000000000002</v>
      </c>
      <c r="Y4">
        <v>0</v>
      </c>
      <c r="Z4">
        <f>$AB$4*Y4+$AB$3</f>
        <v>-0.44789000000000001</v>
      </c>
      <c r="AB4">
        <v>12.781650000000001</v>
      </c>
      <c r="AC4" t="s">
        <v>31</v>
      </c>
    </row>
    <row r="5" spans="1:29" x14ac:dyDescent="0.3">
      <c r="A5">
        <v>9.0574100000000005E-2</v>
      </c>
      <c r="B5">
        <v>0.88249999999999995</v>
      </c>
      <c r="C5">
        <f t="shared" ref="C5:C68" si="1">A5*B5</f>
        <v>7.9931643250000003E-2</v>
      </c>
      <c r="D5">
        <v>1.6299999999999999E-2</v>
      </c>
      <c r="E5">
        <v>2.8849251857154604E-3</v>
      </c>
      <c r="F5">
        <f t="shared" ref="F5:F68" si="2">A5*200</f>
        <v>18.114820000000002</v>
      </c>
      <c r="G5">
        <f t="shared" ref="G5:G68" si="3">-B5</f>
        <v>-0.88249999999999995</v>
      </c>
      <c r="H5">
        <f t="shared" ref="H5:H68" si="4">-C5*200</f>
        <v>-15.986328650000001</v>
      </c>
      <c r="I5">
        <v>1</v>
      </c>
      <c r="J5">
        <f t="shared" ref="J5:J68" si="5">LN(F5/1000)</f>
        <v>-4.0110248912011626</v>
      </c>
      <c r="K5">
        <f t="shared" ref="K5:K68" si="6">((-G5)-$N$2)</f>
        <v>-0.3392251517752175</v>
      </c>
      <c r="L5">
        <v>1</v>
      </c>
      <c r="M5">
        <f t="shared" ref="M5:M68" si="7">-1*($S$4+($S$5*J5))</f>
        <v>0.32728403509178561</v>
      </c>
      <c r="N5">
        <f t="shared" ref="N5:N6" si="8">D5*A5</f>
        <v>1.4763578299999999E-3</v>
      </c>
      <c r="O5">
        <f>E5*A5</f>
        <v>2.6129950226351067E-4</v>
      </c>
      <c r="P5">
        <f>-K5-M5-N5-O5</f>
        <v>1.0203459351168386E-2</v>
      </c>
      <c r="R5" s="2" t="s">
        <v>17</v>
      </c>
      <c r="S5">
        <v>-4.6800000000000001E-2</v>
      </c>
      <c r="V5">
        <v>-5.9</v>
      </c>
      <c r="W5">
        <f t="shared" ref="W5:W68" si="9">V5*$S$5+$S$4</f>
        <v>-0.23887999999999998</v>
      </c>
      <c r="Y5">
        <v>0.01</v>
      </c>
      <c r="Z5">
        <f t="shared" ref="Z5:Z31" si="10">$AB$4*Y5+$AB$3</f>
        <v>-0.32007350000000001</v>
      </c>
    </row>
    <row r="6" spans="1:29" x14ac:dyDescent="0.3">
      <c r="A6">
        <v>0.14251079999999999</v>
      </c>
      <c r="B6">
        <v>0.84340999999999999</v>
      </c>
      <c r="C6">
        <f t="shared" si="1"/>
        <v>0.12019503382799999</v>
      </c>
      <c r="D6">
        <v>1.6299999999999999E-2</v>
      </c>
      <c r="E6">
        <v>2.8849251857154604E-3</v>
      </c>
      <c r="F6">
        <f t="shared" si="2"/>
        <v>28.50216</v>
      </c>
      <c r="G6">
        <f t="shared" si="3"/>
        <v>-0.84340999999999999</v>
      </c>
      <c r="H6">
        <f t="shared" si="4"/>
        <v>-24.0390067656</v>
      </c>
      <c r="I6">
        <v>1</v>
      </c>
      <c r="J6">
        <f t="shared" si="5"/>
        <v>-3.5577754051057253</v>
      </c>
      <c r="K6">
        <f t="shared" si="6"/>
        <v>-0.37831515177521746</v>
      </c>
      <c r="L6">
        <v>1</v>
      </c>
      <c r="M6">
        <f t="shared" si="7"/>
        <v>0.34849611104105205</v>
      </c>
      <c r="N6">
        <f t="shared" si="8"/>
        <v>2.3229260399999997E-3</v>
      </c>
      <c r="O6">
        <f t="shared" ref="O6:O69" si="11">E6*A6</f>
        <v>4.1113299615645879E-4</v>
      </c>
      <c r="P6">
        <f t="shared" ref="P6:P69" si="12">-K6-M6-N6-O6</f>
        <v>2.7084981698008957E-2</v>
      </c>
      <c r="V6">
        <v>-5.8</v>
      </c>
      <c r="W6">
        <f t="shared" si="9"/>
        <v>-0.24356</v>
      </c>
      <c r="Y6">
        <v>0.02</v>
      </c>
      <c r="Z6">
        <f t="shared" si="10"/>
        <v>-0.19225700000000001</v>
      </c>
      <c r="AB6" t="s">
        <v>32</v>
      </c>
    </row>
    <row r="7" spans="1:29" x14ac:dyDescent="0.3">
      <c r="A7">
        <v>0.19495664999999998</v>
      </c>
      <c r="B7">
        <v>0.82643999999999995</v>
      </c>
      <c r="C7">
        <f t="shared" si="1"/>
        <v>0.16111997382599996</v>
      </c>
      <c r="D7">
        <v>1.6299999999999999E-2</v>
      </c>
      <c r="E7">
        <v>2.8849251857154604E-3</v>
      </c>
      <c r="F7">
        <f t="shared" si="2"/>
        <v>38.991329999999998</v>
      </c>
      <c r="G7">
        <f t="shared" si="3"/>
        <v>-0.82643999999999995</v>
      </c>
      <c r="H7">
        <f t="shared" si="4"/>
        <v>-32.22399476519999</v>
      </c>
      <c r="I7">
        <v>1</v>
      </c>
      <c r="J7">
        <f t="shared" si="5"/>
        <v>-3.244415965258816</v>
      </c>
      <c r="K7">
        <f t="shared" si="6"/>
        <v>-0.3952851517752175</v>
      </c>
      <c r="L7">
        <v>1</v>
      </c>
      <c r="M7">
        <f t="shared" si="7"/>
        <v>0.36316133282588742</v>
      </c>
      <c r="N7">
        <f t="shared" ref="N7:N70" si="13">D7*A7</f>
        <v>3.1777933949999992E-3</v>
      </c>
      <c r="O7">
        <f t="shared" si="11"/>
        <v>5.6243534970771398E-4</v>
      </c>
      <c r="P7">
        <f t="shared" si="12"/>
        <v>2.8383590204622371E-2</v>
      </c>
      <c r="V7">
        <v>-5.7</v>
      </c>
      <c r="W7">
        <f t="shared" si="9"/>
        <v>-0.24824000000000002</v>
      </c>
      <c r="Y7">
        <v>0.03</v>
      </c>
      <c r="Z7">
        <f t="shared" si="10"/>
        <v>-6.4440500000000012E-2</v>
      </c>
      <c r="AB7" t="s">
        <v>33</v>
      </c>
      <c r="AC7">
        <f>-AB3/AB4</f>
        <v>3.5041641728571819E-2</v>
      </c>
    </row>
    <row r="8" spans="1:29" x14ac:dyDescent="0.3">
      <c r="A8">
        <v>0.2484209</v>
      </c>
      <c r="B8">
        <v>0.81418000000000001</v>
      </c>
      <c r="C8">
        <f t="shared" si="1"/>
        <v>0.202259328362</v>
      </c>
      <c r="D8">
        <v>1.6299999999999999E-2</v>
      </c>
      <c r="E8">
        <v>2.8849251857154604E-3</v>
      </c>
      <c r="F8">
        <f t="shared" si="2"/>
        <v>49.684179999999998</v>
      </c>
      <c r="G8">
        <f t="shared" si="3"/>
        <v>-0.81418000000000001</v>
      </c>
      <c r="H8">
        <f t="shared" si="4"/>
        <v>-40.451865672400004</v>
      </c>
      <c r="I8">
        <v>1</v>
      </c>
      <c r="J8">
        <f t="shared" si="5"/>
        <v>-3.0020687064100455</v>
      </c>
      <c r="K8">
        <f t="shared" si="6"/>
        <v>-0.40754515177521744</v>
      </c>
      <c r="L8">
        <v>1</v>
      </c>
      <c r="M8">
        <f t="shared" si="7"/>
        <v>0.37450318454000986</v>
      </c>
      <c r="N8">
        <f t="shared" si="13"/>
        <v>4.0492606699999998E-3</v>
      </c>
      <c r="O8">
        <f t="shared" si="11"/>
        <v>7.1667571106810181E-4</v>
      </c>
      <c r="P8">
        <f t="shared" si="12"/>
        <v>2.8276030854139482E-2</v>
      </c>
      <c r="V8">
        <v>-5.6</v>
      </c>
      <c r="W8">
        <f t="shared" si="9"/>
        <v>-0.25292000000000003</v>
      </c>
      <c r="Y8">
        <v>0.04</v>
      </c>
      <c r="Z8">
        <f t="shared" si="10"/>
        <v>6.3375999999999988E-2</v>
      </c>
    </row>
    <row r="9" spans="1:29" x14ac:dyDescent="0.3">
      <c r="A9">
        <v>0.29933925</v>
      </c>
      <c r="B9">
        <v>0.80456000000000005</v>
      </c>
      <c r="C9">
        <f t="shared" si="1"/>
        <v>0.24083638698000001</v>
      </c>
      <c r="D9">
        <v>1.6299999999999999E-2</v>
      </c>
      <c r="E9">
        <v>2.8849251857154604E-3</v>
      </c>
      <c r="F9">
        <f t="shared" si="2"/>
        <v>59.867849999999997</v>
      </c>
      <c r="G9">
        <f t="shared" si="3"/>
        <v>-0.80456000000000005</v>
      </c>
      <c r="H9">
        <f t="shared" si="4"/>
        <v>-48.167277396000003</v>
      </c>
      <c r="I9">
        <v>1</v>
      </c>
      <c r="J9">
        <f t="shared" si="5"/>
        <v>-2.8156156458305017</v>
      </c>
      <c r="K9">
        <f t="shared" si="6"/>
        <v>-0.4171651517752174</v>
      </c>
      <c r="L9">
        <v>1</v>
      </c>
      <c r="M9">
        <f t="shared" si="7"/>
        <v>0.38322918777513254</v>
      </c>
      <c r="N9">
        <f t="shared" si="13"/>
        <v>4.8792297749999996E-3</v>
      </c>
      <c r="O9">
        <f t="shared" si="11"/>
        <v>8.6357134139817659E-4</v>
      </c>
      <c r="P9">
        <f t="shared" si="12"/>
        <v>2.8193162883686684E-2</v>
      </c>
      <c r="V9">
        <v>-5.5</v>
      </c>
      <c r="W9">
        <f t="shared" si="9"/>
        <v>-0.2576</v>
      </c>
      <c r="Y9">
        <v>0.05</v>
      </c>
      <c r="Z9">
        <f t="shared" si="10"/>
        <v>0.1911925000000001</v>
      </c>
      <c r="AB9" t="s">
        <v>35</v>
      </c>
      <c r="AC9">
        <v>3.4079999999999999E-2</v>
      </c>
    </row>
    <row r="10" spans="1:29" x14ac:dyDescent="0.3">
      <c r="A10">
        <v>0.34974840000000001</v>
      </c>
      <c r="B10">
        <v>0.79691999999999996</v>
      </c>
      <c r="C10">
        <f t="shared" si="1"/>
        <v>0.27872149492800002</v>
      </c>
      <c r="D10">
        <v>1.6299999999999999E-2</v>
      </c>
      <c r="E10">
        <v>2.8849251857154604E-3</v>
      </c>
      <c r="F10">
        <f t="shared" si="2"/>
        <v>69.949680000000001</v>
      </c>
      <c r="G10">
        <f t="shared" si="3"/>
        <v>-0.79691999999999996</v>
      </c>
      <c r="H10">
        <f t="shared" si="4"/>
        <v>-55.744298985600004</v>
      </c>
      <c r="I10">
        <v>1</v>
      </c>
      <c r="J10">
        <f t="shared" si="5"/>
        <v>-2.6599791525773222</v>
      </c>
      <c r="K10">
        <f t="shared" si="6"/>
        <v>-0.42480515177521749</v>
      </c>
      <c r="L10">
        <v>1</v>
      </c>
      <c r="M10">
        <f t="shared" si="7"/>
        <v>0.39051297565938131</v>
      </c>
      <c r="N10">
        <f t="shared" si="13"/>
        <v>5.70089892E-3</v>
      </c>
      <c r="O10">
        <f t="shared" si="11"/>
        <v>1.0089979678236851E-3</v>
      </c>
      <c r="P10">
        <f t="shared" si="12"/>
        <v>2.7582279228012499E-2</v>
      </c>
      <c r="V10">
        <v>-5.4</v>
      </c>
      <c r="W10">
        <f t="shared" si="9"/>
        <v>-0.26228000000000001</v>
      </c>
      <c r="Y10">
        <v>0.06</v>
      </c>
      <c r="Z10">
        <f t="shared" si="10"/>
        <v>0.31900899999999999</v>
      </c>
    </row>
    <row r="11" spans="1:29" x14ac:dyDescent="0.3">
      <c r="A11">
        <v>0.40015754999999997</v>
      </c>
      <c r="B11">
        <v>0.79015999999999997</v>
      </c>
      <c r="C11">
        <f t="shared" si="1"/>
        <v>0.31618848970799995</v>
      </c>
      <c r="D11">
        <v>1.6299999999999999E-2</v>
      </c>
      <c r="E11">
        <v>2.8849251857154604E-3</v>
      </c>
      <c r="F11">
        <f t="shared" si="2"/>
        <v>80.031509999999997</v>
      </c>
      <c r="G11">
        <f t="shared" si="3"/>
        <v>-0.79015999999999997</v>
      </c>
      <c r="H11">
        <f t="shared" si="4"/>
        <v>-63.23769794159999</v>
      </c>
      <c r="I11">
        <v>1</v>
      </c>
      <c r="J11">
        <f t="shared" si="5"/>
        <v>-2.525334846856651</v>
      </c>
      <c r="K11">
        <f t="shared" si="6"/>
        <v>-0.43156515177521748</v>
      </c>
      <c r="L11">
        <v>1</v>
      </c>
      <c r="M11">
        <f t="shared" si="7"/>
        <v>0.39681432916710874</v>
      </c>
      <c r="N11">
        <f t="shared" si="13"/>
        <v>6.5225680649999987E-3</v>
      </c>
      <c r="O11">
        <f t="shared" si="11"/>
        <v>1.1544245942491935E-3</v>
      </c>
      <c r="P11">
        <f t="shared" si="12"/>
        <v>2.7073829948859554E-2</v>
      </c>
      <c r="V11">
        <v>-5.3</v>
      </c>
      <c r="W11">
        <f t="shared" si="9"/>
        <v>-0.26695999999999998</v>
      </c>
      <c r="Y11">
        <v>7.0000000000000007E-2</v>
      </c>
      <c r="Z11">
        <f t="shared" si="10"/>
        <v>0.4468255000000001</v>
      </c>
      <c r="AB11" t="s">
        <v>34</v>
      </c>
      <c r="AC11">
        <f>AC7-AC9</f>
        <v>9.6164172857182012E-4</v>
      </c>
    </row>
    <row r="12" spans="1:29" x14ac:dyDescent="0.3">
      <c r="A12">
        <v>0.45209425000000003</v>
      </c>
      <c r="B12">
        <v>0.78383999999999998</v>
      </c>
      <c r="C12">
        <f t="shared" si="1"/>
        <v>0.35436955692</v>
      </c>
      <c r="D12">
        <v>1.6299999999999999E-2</v>
      </c>
      <c r="E12">
        <v>2.8849251857154604E-3</v>
      </c>
      <c r="F12">
        <f t="shared" si="2"/>
        <v>90.418850000000006</v>
      </c>
      <c r="G12">
        <f t="shared" si="3"/>
        <v>-0.78383999999999998</v>
      </c>
      <c r="H12">
        <f t="shared" si="4"/>
        <v>-70.873911383999996</v>
      </c>
      <c r="I12">
        <v>1</v>
      </c>
      <c r="J12">
        <f t="shared" si="5"/>
        <v>-2.403302515621685</v>
      </c>
      <c r="K12">
        <f t="shared" si="6"/>
        <v>-0.43788515177521747</v>
      </c>
      <c r="L12">
        <v>1</v>
      </c>
      <c r="M12">
        <f t="shared" si="7"/>
        <v>0.40252544226890519</v>
      </c>
      <c r="N12">
        <f t="shared" si="13"/>
        <v>7.3691362749999994E-3</v>
      </c>
      <c r="O12">
        <f t="shared" si="11"/>
        <v>1.3042580881421418E-3</v>
      </c>
      <c r="P12">
        <f t="shared" si="12"/>
        <v>2.6686315143170145E-2</v>
      </c>
      <c r="V12">
        <v>-5.2</v>
      </c>
      <c r="W12">
        <f t="shared" si="9"/>
        <v>-0.27163999999999999</v>
      </c>
      <c r="Y12">
        <v>0.08</v>
      </c>
      <c r="Z12">
        <f t="shared" si="10"/>
        <v>0.57464199999999999</v>
      </c>
      <c r="AC12">
        <f>AC11*3</f>
        <v>2.8849251857154604E-3</v>
      </c>
    </row>
    <row r="13" spans="1:29" x14ac:dyDescent="0.3">
      <c r="A13">
        <v>0.50250340000000004</v>
      </c>
      <c r="B13">
        <v>0.77830999999999995</v>
      </c>
      <c r="C13">
        <f t="shared" si="1"/>
        <v>0.39110342125399999</v>
      </c>
      <c r="D13">
        <v>1.6299999999999999E-2</v>
      </c>
      <c r="E13">
        <v>2.8849251857154604E-3</v>
      </c>
      <c r="F13">
        <f t="shared" si="2"/>
        <v>100.50068</v>
      </c>
      <c r="G13">
        <f t="shared" si="3"/>
        <v>-0.77830999999999995</v>
      </c>
      <c r="H13">
        <f t="shared" si="4"/>
        <v>-78.220684250800005</v>
      </c>
      <c r="I13">
        <v>1</v>
      </c>
      <c r="J13">
        <f t="shared" si="5"/>
        <v>-2.2975907853367428</v>
      </c>
      <c r="K13">
        <f t="shared" si="6"/>
        <v>-0.44341515177521751</v>
      </c>
      <c r="L13">
        <v>1</v>
      </c>
      <c r="M13">
        <f t="shared" si="7"/>
        <v>0.40747275124624044</v>
      </c>
      <c r="N13">
        <f t="shared" si="13"/>
        <v>8.1908054200000007E-3</v>
      </c>
      <c r="O13">
        <f t="shared" si="11"/>
        <v>1.4496847145676504E-3</v>
      </c>
      <c r="P13">
        <f t="shared" si="12"/>
        <v>2.6301910394409416E-2</v>
      </c>
      <c r="V13">
        <v>-5.0999999999999996</v>
      </c>
      <c r="W13">
        <f t="shared" si="9"/>
        <v>-0.27632000000000001</v>
      </c>
      <c r="Y13">
        <v>0.09</v>
      </c>
      <c r="Z13">
        <f t="shared" si="10"/>
        <v>0.70245849999999999</v>
      </c>
    </row>
    <row r="14" spans="1:29" x14ac:dyDescent="0.3">
      <c r="A14">
        <v>0.55545849999999997</v>
      </c>
      <c r="B14">
        <v>0.77276999999999996</v>
      </c>
      <c r="C14">
        <f t="shared" si="1"/>
        <v>0.42924166504499994</v>
      </c>
      <c r="D14">
        <v>1.6299999999999999E-2</v>
      </c>
      <c r="E14">
        <v>2.8849251857154604E-3</v>
      </c>
      <c r="F14">
        <f t="shared" si="2"/>
        <v>111.09169999999999</v>
      </c>
      <c r="G14">
        <f t="shared" si="3"/>
        <v>-0.77276999999999996</v>
      </c>
      <c r="H14">
        <f t="shared" si="4"/>
        <v>-85.848333008999987</v>
      </c>
      <c r="I14">
        <v>1</v>
      </c>
      <c r="J14">
        <f t="shared" si="5"/>
        <v>-2.1973992925980421</v>
      </c>
      <c r="K14">
        <f t="shared" si="6"/>
        <v>-0.4489551517752175</v>
      </c>
      <c r="L14">
        <v>1</v>
      </c>
      <c r="M14">
        <f t="shared" si="7"/>
        <v>0.41216171310641164</v>
      </c>
      <c r="N14">
        <f t="shared" si="13"/>
        <v>9.0539735499999986E-3</v>
      </c>
      <c r="O14">
        <f t="shared" si="11"/>
        <v>1.602456216269731E-3</v>
      </c>
      <c r="P14">
        <f t="shared" si="12"/>
        <v>2.6137008902536129E-2</v>
      </c>
      <c r="V14">
        <v>-5</v>
      </c>
      <c r="W14">
        <f t="shared" si="9"/>
        <v>-0.28100000000000003</v>
      </c>
      <c r="Y14">
        <v>0.1</v>
      </c>
      <c r="Z14">
        <f t="shared" si="10"/>
        <v>0.83027500000000021</v>
      </c>
    </row>
    <row r="15" spans="1:29" x14ac:dyDescent="0.3">
      <c r="A15">
        <v>0.60688600000000004</v>
      </c>
      <c r="B15">
        <v>0.76768999999999998</v>
      </c>
      <c r="C15">
        <f t="shared" si="1"/>
        <v>0.46590031334000004</v>
      </c>
      <c r="D15">
        <v>1.6299999999999999E-2</v>
      </c>
      <c r="E15">
        <v>2.8849251857154604E-3</v>
      </c>
      <c r="F15">
        <f t="shared" si="2"/>
        <v>121.3772</v>
      </c>
      <c r="G15">
        <f t="shared" si="3"/>
        <v>-0.76768999999999998</v>
      </c>
      <c r="H15">
        <f t="shared" si="4"/>
        <v>-93.180062668000005</v>
      </c>
      <c r="I15">
        <v>1</v>
      </c>
      <c r="J15">
        <f t="shared" si="5"/>
        <v>-2.1088522268912491</v>
      </c>
      <c r="K15">
        <f t="shared" si="6"/>
        <v>-0.45403515177521747</v>
      </c>
      <c r="L15">
        <v>1</v>
      </c>
      <c r="M15">
        <f t="shared" si="7"/>
        <v>0.41630571578148956</v>
      </c>
      <c r="N15">
        <f t="shared" si="13"/>
        <v>9.8922417999999998E-3</v>
      </c>
      <c r="O15">
        <f t="shared" si="11"/>
        <v>1.7508207062581129E-3</v>
      </c>
      <c r="P15">
        <f t="shared" si="12"/>
        <v>2.6086373487469797E-2</v>
      </c>
      <c r="V15">
        <v>-4.9000000000000004</v>
      </c>
      <c r="W15">
        <f t="shared" si="9"/>
        <v>-0.28567999999999999</v>
      </c>
      <c r="Y15">
        <v>0.11</v>
      </c>
      <c r="Z15">
        <f t="shared" si="10"/>
        <v>0.95809149999999998</v>
      </c>
    </row>
    <row r="16" spans="1:29" x14ac:dyDescent="0.3">
      <c r="A16">
        <v>0.65729510000000002</v>
      </c>
      <c r="B16">
        <v>0.76310999999999996</v>
      </c>
      <c r="C16">
        <f t="shared" si="1"/>
        <v>0.50158846376099997</v>
      </c>
      <c r="D16">
        <v>1.6299999999999999E-2</v>
      </c>
      <c r="E16">
        <v>2.8849251857154604E-3</v>
      </c>
      <c r="F16">
        <f t="shared" si="2"/>
        <v>131.45902000000001</v>
      </c>
      <c r="G16">
        <f t="shared" si="3"/>
        <v>-0.76310999999999996</v>
      </c>
      <c r="H16">
        <f t="shared" si="4"/>
        <v>-100.31769275219999</v>
      </c>
      <c r="I16">
        <v>1</v>
      </c>
      <c r="J16">
        <f t="shared" si="5"/>
        <v>-2.0290601109135777</v>
      </c>
      <c r="K16">
        <f t="shared" si="6"/>
        <v>-0.4586151517752175</v>
      </c>
      <c r="L16">
        <v>1</v>
      </c>
      <c r="M16">
        <f t="shared" si="7"/>
        <v>0.42003998680924459</v>
      </c>
      <c r="N16">
        <f t="shared" si="13"/>
        <v>1.0713910129999999E-2</v>
      </c>
      <c r="O16">
        <f t="shared" si="11"/>
        <v>1.8962471884373621E-3</v>
      </c>
      <c r="P16">
        <f t="shared" si="12"/>
        <v>2.5965007647535548E-2</v>
      </c>
      <c r="V16">
        <v>-4.8</v>
      </c>
      <c r="W16">
        <f t="shared" si="9"/>
        <v>-0.29036000000000001</v>
      </c>
      <c r="Y16">
        <v>0.12</v>
      </c>
      <c r="Z16">
        <f t="shared" si="10"/>
        <v>1.0859079999999999</v>
      </c>
    </row>
    <row r="17" spans="1:26" x14ac:dyDescent="0.3">
      <c r="A17">
        <v>0.70770420000000001</v>
      </c>
      <c r="B17">
        <v>0.75853999999999999</v>
      </c>
      <c r="C17">
        <f t="shared" si="1"/>
        <v>0.53682194386799997</v>
      </c>
      <c r="D17">
        <v>1.6299999999999999E-2</v>
      </c>
      <c r="E17">
        <v>2.8849251857154604E-3</v>
      </c>
      <c r="F17">
        <f t="shared" si="2"/>
        <v>141.54084</v>
      </c>
      <c r="G17">
        <f t="shared" si="3"/>
        <v>-0.75853999999999999</v>
      </c>
      <c r="H17">
        <f t="shared" si="4"/>
        <v>-107.3643887736</v>
      </c>
      <c r="I17">
        <v>1</v>
      </c>
      <c r="J17">
        <f t="shared" si="5"/>
        <v>-1.9551669816340078</v>
      </c>
      <c r="K17">
        <f t="shared" si="6"/>
        <v>-0.46318515177521746</v>
      </c>
      <c r="L17">
        <v>1</v>
      </c>
      <c r="M17">
        <f t="shared" si="7"/>
        <v>0.42349818525952843</v>
      </c>
      <c r="N17">
        <f t="shared" si="13"/>
        <v>1.1535578459999999E-2</v>
      </c>
      <c r="O17">
        <f t="shared" si="11"/>
        <v>2.0416736706166112E-3</v>
      </c>
      <c r="P17">
        <f t="shared" si="12"/>
        <v>2.6109714385072424E-2</v>
      </c>
      <c r="V17">
        <v>-4.7</v>
      </c>
      <c r="W17">
        <f t="shared" si="9"/>
        <v>-0.29503999999999997</v>
      </c>
      <c r="Y17">
        <v>0.13</v>
      </c>
      <c r="Z17">
        <f t="shared" si="10"/>
        <v>1.2137245000000001</v>
      </c>
    </row>
    <row r="18" spans="1:26" x14ac:dyDescent="0.3">
      <c r="A18">
        <v>0.76015015000000008</v>
      </c>
      <c r="B18">
        <v>0.75390000000000001</v>
      </c>
      <c r="C18">
        <f t="shared" si="1"/>
        <v>0.57307719808500002</v>
      </c>
      <c r="D18">
        <v>1.6299999999999999E-2</v>
      </c>
      <c r="E18">
        <v>2.8849251857154604E-3</v>
      </c>
      <c r="F18">
        <f t="shared" si="2"/>
        <v>152.03003000000001</v>
      </c>
      <c r="G18">
        <f t="shared" si="3"/>
        <v>-0.75390000000000001</v>
      </c>
      <c r="H18">
        <f t="shared" si="4"/>
        <v>-114.61543961700001</v>
      </c>
      <c r="I18">
        <v>1</v>
      </c>
      <c r="J18">
        <f t="shared" si="5"/>
        <v>-1.8836772118599374</v>
      </c>
      <c r="K18">
        <f t="shared" si="6"/>
        <v>-0.46782515177521744</v>
      </c>
      <c r="L18">
        <v>1</v>
      </c>
      <c r="M18">
        <f t="shared" si="7"/>
        <v>0.42684390648495496</v>
      </c>
      <c r="N18">
        <f t="shared" si="13"/>
        <v>1.2390447445000001E-2</v>
      </c>
      <c r="O18">
        <f t="shared" si="11"/>
        <v>2.1929763126603851E-3</v>
      </c>
      <c r="P18">
        <f t="shared" si="12"/>
        <v>2.6397821532602093E-2</v>
      </c>
      <c r="V18">
        <v>-4.5999999999999996</v>
      </c>
      <c r="W18">
        <f t="shared" si="9"/>
        <v>-0.29971999999999999</v>
      </c>
      <c r="Y18">
        <v>0.14000000000000001</v>
      </c>
      <c r="Z18">
        <f t="shared" si="10"/>
        <v>1.3415410000000003</v>
      </c>
    </row>
    <row r="19" spans="1:26" x14ac:dyDescent="0.3">
      <c r="A19">
        <v>0.81106834999999999</v>
      </c>
      <c r="B19">
        <v>0.74948999999999999</v>
      </c>
      <c r="C19">
        <f t="shared" si="1"/>
        <v>0.60788761764150001</v>
      </c>
      <c r="D19">
        <v>1.6299999999999999E-2</v>
      </c>
      <c r="E19">
        <v>2.8849251857154604E-3</v>
      </c>
      <c r="F19">
        <f t="shared" si="2"/>
        <v>162.21367000000001</v>
      </c>
      <c r="G19">
        <f t="shared" si="3"/>
        <v>-0.74948999999999999</v>
      </c>
      <c r="H19">
        <f t="shared" si="4"/>
        <v>-121.57752352830001</v>
      </c>
      <c r="I19">
        <v>1</v>
      </c>
      <c r="J19">
        <f t="shared" si="5"/>
        <v>-1.8188408621837613</v>
      </c>
      <c r="K19">
        <f t="shared" si="6"/>
        <v>-0.47223515177521747</v>
      </c>
      <c r="L19">
        <v>1</v>
      </c>
      <c r="M19">
        <f t="shared" si="7"/>
        <v>0.42987824764979998</v>
      </c>
      <c r="N19">
        <f t="shared" si="13"/>
        <v>1.3220414104999998E-2</v>
      </c>
      <c r="O19">
        <f t="shared" si="11"/>
        <v>2.3398715102516819E-3</v>
      </c>
      <c r="P19">
        <f t="shared" si="12"/>
        <v>2.6796618510165803E-2</v>
      </c>
      <c r="V19">
        <v>-4.5000000000000098</v>
      </c>
      <c r="W19">
        <f t="shared" si="9"/>
        <v>-0.30439999999999956</v>
      </c>
      <c r="Y19">
        <v>0.15</v>
      </c>
      <c r="Z19">
        <f t="shared" si="10"/>
        <v>1.4693575000000001</v>
      </c>
    </row>
    <row r="20" spans="1:26" x14ac:dyDescent="0.3">
      <c r="A20">
        <v>0.86147760000000007</v>
      </c>
      <c r="B20">
        <v>0.74614999999999998</v>
      </c>
      <c r="C20">
        <f t="shared" si="1"/>
        <v>0.64279151124</v>
      </c>
      <c r="D20">
        <v>1.6299999999999999E-2</v>
      </c>
      <c r="E20">
        <v>2.8849251857154604E-3</v>
      </c>
      <c r="F20">
        <f t="shared" si="2"/>
        <v>172.29552000000001</v>
      </c>
      <c r="G20">
        <f t="shared" si="3"/>
        <v>-0.74614999999999998</v>
      </c>
      <c r="H20">
        <f t="shared" si="4"/>
        <v>-128.55830224799999</v>
      </c>
      <c r="I20">
        <v>1</v>
      </c>
      <c r="J20">
        <f t="shared" si="5"/>
        <v>-1.7585441369470551</v>
      </c>
      <c r="K20">
        <f t="shared" si="6"/>
        <v>-0.47557515177521748</v>
      </c>
      <c r="L20">
        <v>1</v>
      </c>
      <c r="M20">
        <f t="shared" si="7"/>
        <v>0.43270013439087784</v>
      </c>
      <c r="N20">
        <f t="shared" si="13"/>
        <v>1.404208488E-2</v>
      </c>
      <c r="O20">
        <f t="shared" si="11"/>
        <v>2.4852984251697093E-3</v>
      </c>
      <c r="P20">
        <f t="shared" si="12"/>
        <v>2.6347634079169922E-2</v>
      </c>
      <c r="V20">
        <v>-4.4000000000000101</v>
      </c>
      <c r="W20">
        <f t="shared" si="9"/>
        <v>-0.30907999999999952</v>
      </c>
      <c r="Y20">
        <v>0.16</v>
      </c>
      <c r="Z20">
        <f t="shared" si="10"/>
        <v>1.5971739999999999</v>
      </c>
    </row>
    <row r="21" spans="1:26" x14ac:dyDescent="0.3">
      <c r="A21">
        <v>0.91188670000000005</v>
      </c>
      <c r="B21">
        <v>0.74187999999999998</v>
      </c>
      <c r="C21">
        <f t="shared" si="1"/>
        <v>0.67651050499600007</v>
      </c>
      <c r="D21">
        <v>1.6299999999999999E-2</v>
      </c>
      <c r="E21">
        <v>2.8849251857154604E-3</v>
      </c>
      <c r="F21">
        <f t="shared" si="2"/>
        <v>182.37734</v>
      </c>
      <c r="G21">
        <f t="shared" si="3"/>
        <v>-0.74187999999999998</v>
      </c>
      <c r="H21">
        <f t="shared" si="4"/>
        <v>-135.30210099920001</v>
      </c>
      <c r="I21">
        <v>1</v>
      </c>
      <c r="J21">
        <f t="shared" si="5"/>
        <v>-1.7016774415155371</v>
      </c>
      <c r="K21">
        <f t="shared" si="6"/>
        <v>-0.47984515177521747</v>
      </c>
      <c r="L21">
        <v>1</v>
      </c>
      <c r="M21">
        <f t="shared" si="7"/>
        <v>0.43536149573707289</v>
      </c>
      <c r="N21">
        <f t="shared" si="13"/>
        <v>1.4863753209999999E-2</v>
      </c>
      <c r="O21">
        <f t="shared" si="11"/>
        <v>2.6307249073489586E-3</v>
      </c>
      <c r="P21">
        <f t="shared" si="12"/>
        <v>2.6989177920795627E-2</v>
      </c>
      <c r="V21">
        <v>-4.3000000000000096</v>
      </c>
      <c r="W21">
        <f t="shared" si="9"/>
        <v>-0.31375999999999959</v>
      </c>
      <c r="Y21">
        <v>0.17</v>
      </c>
      <c r="Z21">
        <f t="shared" si="10"/>
        <v>1.7249905000000001</v>
      </c>
    </row>
    <row r="22" spans="1:26" x14ac:dyDescent="0.3">
      <c r="A22">
        <v>0.96433265000000001</v>
      </c>
      <c r="B22">
        <v>0.73804000000000003</v>
      </c>
      <c r="C22">
        <f t="shared" si="1"/>
        <v>0.71171606900600004</v>
      </c>
      <c r="D22">
        <v>1.6299999999999999E-2</v>
      </c>
      <c r="E22">
        <v>2.8849251857154604E-3</v>
      </c>
      <c r="F22">
        <f t="shared" si="2"/>
        <v>192.86653000000001</v>
      </c>
      <c r="G22">
        <f t="shared" si="3"/>
        <v>-0.73804000000000003</v>
      </c>
      <c r="H22">
        <f t="shared" si="4"/>
        <v>-142.34321380120002</v>
      </c>
      <c r="I22">
        <v>1</v>
      </c>
      <c r="J22">
        <f t="shared" si="5"/>
        <v>-1.6457568837154455</v>
      </c>
      <c r="K22">
        <f t="shared" si="6"/>
        <v>-0.48368515177521743</v>
      </c>
      <c r="L22">
        <v>1</v>
      </c>
      <c r="M22">
        <f t="shared" si="7"/>
        <v>0.43797857784211713</v>
      </c>
      <c r="N22">
        <f t="shared" si="13"/>
        <v>1.5718622195E-2</v>
      </c>
      <c r="O22">
        <f t="shared" si="11"/>
        <v>2.7820275493927321E-3</v>
      </c>
      <c r="P22">
        <f t="shared" si="12"/>
        <v>2.7205924188707559E-2</v>
      </c>
      <c r="V22">
        <v>-4.2000000000000099</v>
      </c>
      <c r="W22">
        <f t="shared" si="9"/>
        <v>-0.3184399999999995</v>
      </c>
      <c r="Y22">
        <v>0.18</v>
      </c>
      <c r="Z22">
        <f t="shared" si="10"/>
        <v>1.8528069999999999</v>
      </c>
    </row>
    <row r="23" spans="1:26" x14ac:dyDescent="0.3">
      <c r="A23">
        <v>1.0152509000000001</v>
      </c>
      <c r="B23">
        <v>0.73416000000000003</v>
      </c>
      <c r="C23">
        <f t="shared" si="1"/>
        <v>0.74535660074400012</v>
      </c>
      <c r="D23">
        <v>1.6299999999999999E-2</v>
      </c>
      <c r="E23">
        <v>2.8849251857154604E-3</v>
      </c>
      <c r="F23">
        <f t="shared" si="2"/>
        <v>203.05018000000001</v>
      </c>
      <c r="G23">
        <f t="shared" si="3"/>
        <v>-0.73416000000000003</v>
      </c>
      <c r="H23">
        <f t="shared" si="4"/>
        <v>-149.07132014880003</v>
      </c>
      <c r="I23">
        <v>1</v>
      </c>
      <c r="J23">
        <f t="shared" si="5"/>
        <v>-1.5943021383690608</v>
      </c>
      <c r="K23">
        <f t="shared" si="6"/>
        <v>-0.48756515177521742</v>
      </c>
      <c r="L23">
        <v>1</v>
      </c>
      <c r="M23">
        <f t="shared" si="7"/>
        <v>0.44038665992432796</v>
      </c>
      <c r="N23">
        <f t="shared" si="13"/>
        <v>1.6548589669999999E-2</v>
      </c>
      <c r="O23">
        <f t="shared" si="11"/>
        <v>2.9289228912302884E-3</v>
      </c>
      <c r="P23">
        <f t="shared" si="12"/>
        <v>2.7700979289659172E-2</v>
      </c>
      <c r="V23">
        <v>-4.1000000000000103</v>
      </c>
      <c r="W23">
        <f t="shared" si="9"/>
        <v>-0.32311999999999952</v>
      </c>
      <c r="Y23">
        <v>0.19</v>
      </c>
      <c r="Z23">
        <f t="shared" si="10"/>
        <v>1.9806235000000001</v>
      </c>
    </row>
    <row r="24" spans="1:26" x14ac:dyDescent="0.3">
      <c r="A24">
        <v>1.0676969000000001</v>
      </c>
      <c r="B24">
        <v>0.73089999999999999</v>
      </c>
      <c r="C24">
        <f t="shared" si="1"/>
        <v>0.78037966421000005</v>
      </c>
      <c r="D24">
        <v>1.6299999999999999E-2</v>
      </c>
      <c r="E24">
        <v>2.8849251857154604E-3</v>
      </c>
      <c r="F24">
        <f t="shared" si="2"/>
        <v>213.53938000000002</v>
      </c>
      <c r="G24">
        <f t="shared" si="3"/>
        <v>-0.73089999999999999</v>
      </c>
      <c r="H24">
        <f t="shared" si="4"/>
        <v>-156.07593284200001</v>
      </c>
      <c r="I24">
        <v>1</v>
      </c>
      <c r="J24">
        <f t="shared" si="5"/>
        <v>-1.5439340136734907</v>
      </c>
      <c r="K24">
        <f t="shared" si="6"/>
        <v>-0.49082515177521746</v>
      </c>
      <c r="L24">
        <v>1</v>
      </c>
      <c r="M24">
        <f t="shared" si="7"/>
        <v>0.44274388816008065</v>
      </c>
      <c r="N24">
        <f t="shared" si="13"/>
        <v>1.740345947E-2</v>
      </c>
      <c r="O24">
        <f t="shared" si="11"/>
        <v>3.0802256775203213E-3</v>
      </c>
      <c r="P24">
        <f t="shared" si="12"/>
        <v>2.7597578467616495E-2</v>
      </c>
      <c r="V24">
        <v>-4.0000000000000098</v>
      </c>
      <c r="W24">
        <f t="shared" si="9"/>
        <v>-0.32779999999999954</v>
      </c>
      <c r="Y24">
        <v>0.2</v>
      </c>
      <c r="Z24">
        <f t="shared" si="10"/>
        <v>2.1084400000000003</v>
      </c>
    </row>
    <row r="25" spans="1:26" x14ac:dyDescent="0.3">
      <c r="A25">
        <v>1.1191244</v>
      </c>
      <c r="B25">
        <v>0.72694999999999999</v>
      </c>
      <c r="C25">
        <f t="shared" si="1"/>
        <v>0.81354748257999998</v>
      </c>
      <c r="D25">
        <v>1.6299999999999999E-2</v>
      </c>
      <c r="E25">
        <v>2.8849251857154604E-3</v>
      </c>
      <c r="F25">
        <f t="shared" si="2"/>
        <v>223.82488000000001</v>
      </c>
      <c r="G25">
        <f t="shared" si="3"/>
        <v>-0.72694999999999999</v>
      </c>
      <c r="H25">
        <f t="shared" si="4"/>
        <v>-162.709496516</v>
      </c>
      <c r="I25">
        <v>1</v>
      </c>
      <c r="J25">
        <f t="shared" si="5"/>
        <v>-1.4968913185952009</v>
      </c>
      <c r="K25">
        <f t="shared" si="6"/>
        <v>-0.49477515177521747</v>
      </c>
      <c r="L25">
        <v>1</v>
      </c>
      <c r="M25">
        <f t="shared" si="7"/>
        <v>0.44494548628974462</v>
      </c>
      <c r="N25">
        <f t="shared" si="13"/>
        <v>1.824172772E-2</v>
      </c>
      <c r="O25">
        <f t="shared" si="11"/>
        <v>3.228590167508703E-3</v>
      </c>
      <c r="P25">
        <f t="shared" si="12"/>
        <v>2.8359347597964144E-2</v>
      </c>
      <c r="V25">
        <v>-3.9000000000000101</v>
      </c>
      <c r="W25">
        <f t="shared" si="9"/>
        <v>-0.33247999999999955</v>
      </c>
      <c r="Y25">
        <v>0.21</v>
      </c>
      <c r="Z25">
        <f t="shared" si="10"/>
        <v>2.2362565000000001</v>
      </c>
    </row>
    <row r="26" spans="1:26" x14ac:dyDescent="0.3">
      <c r="A26">
        <v>1.1695333999999999</v>
      </c>
      <c r="B26">
        <v>0.72338999999999998</v>
      </c>
      <c r="C26">
        <f t="shared" si="1"/>
        <v>0.84602876622599998</v>
      </c>
      <c r="D26">
        <v>1.6299999999999999E-2</v>
      </c>
      <c r="E26">
        <v>2.8849251857154604E-3</v>
      </c>
      <c r="F26">
        <f t="shared" si="2"/>
        <v>233.90667999999999</v>
      </c>
      <c r="G26">
        <f t="shared" si="3"/>
        <v>-0.72338999999999998</v>
      </c>
      <c r="H26">
        <f t="shared" si="4"/>
        <v>-169.20575324519999</v>
      </c>
      <c r="I26">
        <v>1</v>
      </c>
      <c r="J26">
        <f t="shared" si="5"/>
        <v>-1.4528330465864712</v>
      </c>
      <c r="K26">
        <f t="shared" si="6"/>
        <v>-0.49833515177521748</v>
      </c>
      <c r="L26">
        <v>1</v>
      </c>
      <c r="M26">
        <f t="shared" si="7"/>
        <v>0.44700741341975314</v>
      </c>
      <c r="N26">
        <f t="shared" si="13"/>
        <v>1.9063394419999997E-2</v>
      </c>
      <c r="O26">
        <f t="shared" si="11"/>
        <v>3.3740163611954335E-3</v>
      </c>
      <c r="P26">
        <f t="shared" si="12"/>
        <v>2.8890327574268904E-2</v>
      </c>
      <c r="V26">
        <v>-3.80000000000001</v>
      </c>
      <c r="W26">
        <f t="shared" si="9"/>
        <v>-0.33715999999999957</v>
      </c>
      <c r="Y26">
        <v>0.22</v>
      </c>
      <c r="Z26">
        <f t="shared" si="10"/>
        <v>2.3640729999999999</v>
      </c>
    </row>
    <row r="27" spans="1:26" x14ac:dyDescent="0.3">
      <c r="A27">
        <v>1.2204519</v>
      </c>
      <c r="B27">
        <v>0.71982000000000002</v>
      </c>
      <c r="C27">
        <f t="shared" si="1"/>
        <v>0.878505686658</v>
      </c>
      <c r="D27">
        <v>1.6299999999999999E-2</v>
      </c>
      <c r="E27">
        <v>2.8849251857154604E-3</v>
      </c>
      <c r="F27">
        <f t="shared" si="2"/>
        <v>244.09038000000001</v>
      </c>
      <c r="G27">
        <f t="shared" si="3"/>
        <v>-0.71982000000000002</v>
      </c>
      <c r="H27">
        <f t="shared" si="4"/>
        <v>-175.70113733159999</v>
      </c>
      <c r="I27">
        <v>1</v>
      </c>
      <c r="J27">
        <f t="shared" si="5"/>
        <v>-1.410216712437657</v>
      </c>
      <c r="K27">
        <f t="shared" si="6"/>
        <v>-0.50190515177521744</v>
      </c>
      <c r="L27">
        <v>1</v>
      </c>
      <c r="M27">
        <f t="shared" si="7"/>
        <v>0.44900185785791769</v>
      </c>
      <c r="N27">
        <f t="shared" si="13"/>
        <v>1.989336597E-2</v>
      </c>
      <c r="O27">
        <f t="shared" si="11"/>
        <v>3.5209124242642866E-3</v>
      </c>
      <c r="P27">
        <f t="shared" si="12"/>
        <v>2.9489015523035466E-2</v>
      </c>
      <c r="V27">
        <v>-3.7000000000000099</v>
      </c>
      <c r="W27">
        <f t="shared" si="9"/>
        <v>-0.34183999999999953</v>
      </c>
      <c r="Y27">
        <v>0.23</v>
      </c>
      <c r="Z27">
        <f t="shared" si="10"/>
        <v>2.4918895000000001</v>
      </c>
    </row>
    <row r="28" spans="1:26" x14ac:dyDescent="0.3">
      <c r="A28">
        <v>1.2718792999999999</v>
      </c>
      <c r="B28">
        <v>0.71636999999999995</v>
      </c>
      <c r="C28">
        <f t="shared" si="1"/>
        <v>0.9111361741409999</v>
      </c>
      <c r="D28">
        <v>1.6299999999999999E-2</v>
      </c>
      <c r="E28">
        <v>2.8849251857154604E-3</v>
      </c>
      <c r="F28">
        <f t="shared" si="2"/>
        <v>254.37585999999999</v>
      </c>
      <c r="G28">
        <f t="shared" si="3"/>
        <v>-0.71636999999999995</v>
      </c>
      <c r="H28">
        <f t="shared" si="4"/>
        <v>-182.22723482819998</v>
      </c>
      <c r="I28">
        <v>1</v>
      </c>
      <c r="J28">
        <f t="shared" si="5"/>
        <v>-1.3689423419556117</v>
      </c>
      <c r="K28">
        <f t="shared" si="6"/>
        <v>-0.5053551517752175</v>
      </c>
      <c r="L28">
        <v>1</v>
      </c>
      <c r="M28">
        <f t="shared" si="7"/>
        <v>0.45093349839647739</v>
      </c>
      <c r="N28">
        <f t="shared" si="13"/>
        <v>2.0731632589999997E-2</v>
      </c>
      <c r="O28">
        <f t="shared" si="11"/>
        <v>3.6692766257601494E-3</v>
      </c>
      <c r="P28">
        <f t="shared" si="12"/>
        <v>3.0020744162979965E-2</v>
      </c>
      <c r="V28">
        <v>-3.6000000000000099</v>
      </c>
      <c r="W28">
        <f t="shared" si="9"/>
        <v>-0.34651999999999955</v>
      </c>
      <c r="Y28">
        <v>0.24</v>
      </c>
      <c r="Z28">
        <f t="shared" si="10"/>
        <v>2.6197059999999999</v>
      </c>
    </row>
    <row r="29" spans="1:26" x14ac:dyDescent="0.3">
      <c r="A29">
        <v>1.3238158999999998</v>
      </c>
      <c r="B29">
        <v>0.71275999999999995</v>
      </c>
      <c r="C29">
        <f t="shared" si="1"/>
        <v>0.94356302088399979</v>
      </c>
      <c r="D29">
        <v>1.6299999999999999E-2</v>
      </c>
      <c r="E29">
        <v>2.8849251857154604E-3</v>
      </c>
      <c r="F29">
        <f t="shared" si="2"/>
        <v>264.76317999999998</v>
      </c>
      <c r="G29">
        <f t="shared" si="3"/>
        <v>-0.71275999999999995</v>
      </c>
      <c r="H29">
        <f t="shared" si="4"/>
        <v>-188.71260417679997</v>
      </c>
      <c r="I29">
        <v>1</v>
      </c>
      <c r="J29">
        <f t="shared" si="5"/>
        <v>-1.3289195129257689</v>
      </c>
      <c r="K29">
        <f t="shared" si="6"/>
        <v>-0.50896515177521751</v>
      </c>
      <c r="L29">
        <v>1</v>
      </c>
      <c r="M29">
        <f t="shared" si="7"/>
        <v>0.45280656679507403</v>
      </c>
      <c r="N29">
        <f t="shared" si="13"/>
        <v>2.1578199169999996E-2</v>
      </c>
      <c r="O29">
        <f t="shared" si="11"/>
        <v>3.8191098311605789E-3</v>
      </c>
      <c r="P29">
        <f t="shared" si="12"/>
        <v>3.0761275978982906E-2</v>
      </c>
      <c r="V29">
        <v>-3.5000000000000102</v>
      </c>
      <c r="W29">
        <f t="shared" si="9"/>
        <v>-0.35119999999999951</v>
      </c>
      <c r="Y29">
        <v>0.25</v>
      </c>
      <c r="Z29">
        <f t="shared" si="10"/>
        <v>2.7475225000000001</v>
      </c>
    </row>
    <row r="30" spans="1:26" x14ac:dyDescent="0.3">
      <c r="A30">
        <v>1.3793171000000002</v>
      </c>
      <c r="B30">
        <v>0.7097</v>
      </c>
      <c r="C30">
        <f t="shared" si="1"/>
        <v>0.97890134587000011</v>
      </c>
      <c r="D30">
        <v>1.6299999999999999E-2</v>
      </c>
      <c r="E30">
        <v>2.8849251857154604E-3</v>
      </c>
      <c r="F30">
        <f t="shared" si="2"/>
        <v>275.86342000000002</v>
      </c>
      <c r="G30">
        <f t="shared" si="3"/>
        <v>-0.7097</v>
      </c>
      <c r="H30">
        <f t="shared" si="4"/>
        <v>-195.78026917400001</v>
      </c>
      <c r="I30">
        <v>1</v>
      </c>
      <c r="J30">
        <f t="shared" si="5"/>
        <v>-1.2878493908186308</v>
      </c>
      <c r="K30">
        <f t="shared" si="6"/>
        <v>-0.51202515177521746</v>
      </c>
      <c r="L30">
        <v>1</v>
      </c>
      <c r="M30">
        <f t="shared" si="7"/>
        <v>0.45472864850968808</v>
      </c>
      <c r="N30">
        <f t="shared" si="13"/>
        <v>2.2482868730000001E-2</v>
      </c>
      <c r="O30">
        <f t="shared" si="11"/>
        <v>3.979226640878011E-3</v>
      </c>
      <c r="P30">
        <f t="shared" si="12"/>
        <v>3.0834407894651361E-2</v>
      </c>
      <c r="V30">
        <v>-3.4000000000000101</v>
      </c>
      <c r="W30">
        <f t="shared" si="9"/>
        <v>-0.35587999999999953</v>
      </c>
      <c r="Y30">
        <v>0.26</v>
      </c>
      <c r="Z30">
        <f t="shared" si="10"/>
        <v>2.8753390000000003</v>
      </c>
    </row>
    <row r="31" spans="1:26" x14ac:dyDescent="0.3">
      <c r="A31">
        <v>1.4327813</v>
      </c>
      <c r="B31">
        <v>0.70613000000000004</v>
      </c>
      <c r="C31">
        <f t="shared" si="1"/>
        <v>1.0117298593690001</v>
      </c>
      <c r="D31">
        <v>1.6299999999999999E-2</v>
      </c>
      <c r="E31">
        <v>2.8849251857154604E-3</v>
      </c>
      <c r="F31">
        <f t="shared" si="2"/>
        <v>286.55626000000001</v>
      </c>
      <c r="G31">
        <f t="shared" si="3"/>
        <v>-0.70613000000000004</v>
      </c>
      <c r="H31">
        <f t="shared" si="4"/>
        <v>-202.34597187380001</v>
      </c>
      <c r="I31">
        <v>1</v>
      </c>
      <c r="J31">
        <f t="shared" si="5"/>
        <v>-1.2498203921228561</v>
      </c>
      <c r="K31">
        <f t="shared" si="6"/>
        <v>-0.51559515177521742</v>
      </c>
      <c r="L31">
        <v>1</v>
      </c>
      <c r="M31">
        <f t="shared" si="7"/>
        <v>0.45650840564865036</v>
      </c>
      <c r="N31">
        <f t="shared" si="13"/>
        <v>2.3354335189999999E-2</v>
      </c>
      <c r="O31">
        <f t="shared" si="11"/>
        <v>4.1334668579921388E-3</v>
      </c>
      <c r="P31">
        <f t="shared" si="12"/>
        <v>3.1598944078574921E-2</v>
      </c>
      <c r="V31">
        <v>-3.30000000000001</v>
      </c>
      <c r="W31">
        <f t="shared" si="9"/>
        <v>-0.36055999999999955</v>
      </c>
      <c r="Y31">
        <v>0.27</v>
      </c>
      <c r="Z31">
        <f t="shared" si="10"/>
        <v>3.0031555000000005</v>
      </c>
    </row>
    <row r="32" spans="1:26" x14ac:dyDescent="0.3">
      <c r="A32">
        <v>1.4836996</v>
      </c>
      <c r="B32">
        <v>0.70265999999999995</v>
      </c>
      <c r="C32">
        <f t="shared" si="1"/>
        <v>1.0425363609359999</v>
      </c>
      <c r="D32">
        <v>1.6299999999999999E-2</v>
      </c>
      <c r="E32">
        <v>2.8849251857154604E-3</v>
      </c>
      <c r="F32">
        <f t="shared" si="2"/>
        <v>296.73991999999998</v>
      </c>
      <c r="G32">
        <f t="shared" si="3"/>
        <v>-0.70265999999999995</v>
      </c>
      <c r="H32">
        <f t="shared" si="4"/>
        <v>-208.50727218719999</v>
      </c>
      <c r="I32">
        <v>1</v>
      </c>
      <c r="J32">
        <f t="shared" si="5"/>
        <v>-1.2148992140558055</v>
      </c>
      <c r="K32">
        <f t="shared" si="6"/>
        <v>-0.5190651517752175</v>
      </c>
      <c r="L32">
        <v>1</v>
      </c>
      <c r="M32">
        <f t="shared" si="7"/>
        <v>0.45814271678218832</v>
      </c>
      <c r="N32">
        <f t="shared" si="13"/>
        <v>2.4184303479999999E-2</v>
      </c>
      <c r="O32">
        <f t="shared" si="11"/>
        <v>4.2803623440759546E-3</v>
      </c>
      <c r="P32">
        <f t="shared" si="12"/>
        <v>3.2457769168953224E-2</v>
      </c>
      <c r="V32">
        <v>-3.2000000000000099</v>
      </c>
      <c r="W32">
        <f t="shared" si="9"/>
        <v>-0.36523999999999957</v>
      </c>
    </row>
    <row r="33" spans="1:23" x14ac:dyDescent="0.3">
      <c r="A33">
        <v>1.5356361999999999</v>
      </c>
      <c r="B33">
        <v>0.69974000000000003</v>
      </c>
      <c r="C33">
        <f t="shared" si="1"/>
        <v>1.074546074588</v>
      </c>
      <c r="D33">
        <v>1.6299999999999999E-2</v>
      </c>
      <c r="E33">
        <v>2.8849251857154604E-3</v>
      </c>
      <c r="F33">
        <f t="shared" si="2"/>
        <v>307.12723999999997</v>
      </c>
      <c r="G33">
        <f t="shared" si="3"/>
        <v>-0.69974000000000003</v>
      </c>
      <c r="H33">
        <f t="shared" si="4"/>
        <v>-214.9092149176</v>
      </c>
      <c r="I33">
        <v>1</v>
      </c>
      <c r="J33">
        <f t="shared" si="5"/>
        <v>-1.1804931547200976</v>
      </c>
      <c r="K33">
        <f t="shared" si="6"/>
        <v>-0.52198515177521743</v>
      </c>
      <c r="L33">
        <v>1</v>
      </c>
      <c r="M33">
        <f t="shared" si="7"/>
        <v>0.45975292035909943</v>
      </c>
      <c r="N33">
        <f t="shared" si="13"/>
        <v>2.5030870059999995E-2</v>
      </c>
      <c r="O33">
        <f t="shared" si="11"/>
        <v>4.4301955494763833E-3</v>
      </c>
      <c r="P33">
        <f t="shared" si="12"/>
        <v>3.2771165806641619E-2</v>
      </c>
      <c r="V33">
        <v>-3.1000000000000099</v>
      </c>
      <c r="W33">
        <f t="shared" si="9"/>
        <v>-0.36991999999999958</v>
      </c>
    </row>
    <row r="34" spans="1:23" x14ac:dyDescent="0.3">
      <c r="A34">
        <v>1.5860453999999999</v>
      </c>
      <c r="B34">
        <v>0.69645000000000001</v>
      </c>
      <c r="C34">
        <f t="shared" si="1"/>
        <v>1.1046013188299999</v>
      </c>
      <c r="D34">
        <v>1.6299999999999999E-2</v>
      </c>
      <c r="E34">
        <v>2.8849251857154604E-3</v>
      </c>
      <c r="F34">
        <f t="shared" si="2"/>
        <v>317.20907999999997</v>
      </c>
      <c r="G34">
        <f t="shared" si="3"/>
        <v>-0.69645000000000001</v>
      </c>
      <c r="H34">
        <f t="shared" si="4"/>
        <v>-220.92026376599998</v>
      </c>
      <c r="I34">
        <v>1</v>
      </c>
      <c r="J34">
        <f t="shared" si="5"/>
        <v>-1.1481941641582574</v>
      </c>
      <c r="K34">
        <f t="shared" si="6"/>
        <v>-0.52527515177521744</v>
      </c>
      <c r="L34">
        <v>1</v>
      </c>
      <c r="M34">
        <f t="shared" si="7"/>
        <v>0.46126451311739358</v>
      </c>
      <c r="N34">
        <f t="shared" si="13"/>
        <v>2.5852540019999995E-2</v>
      </c>
      <c r="O34">
        <f t="shared" si="11"/>
        <v>4.5756223201481516E-3</v>
      </c>
      <c r="P34">
        <f t="shared" si="12"/>
        <v>3.3582476317675712E-2</v>
      </c>
      <c r="V34">
        <v>-3.0000000000000102</v>
      </c>
      <c r="W34">
        <f t="shared" si="9"/>
        <v>-0.37459999999999954</v>
      </c>
    </row>
    <row r="35" spans="1:23" x14ac:dyDescent="0.3">
      <c r="A35">
        <v>1.6384912</v>
      </c>
      <c r="B35">
        <v>0.69367000000000001</v>
      </c>
      <c r="C35">
        <f t="shared" si="1"/>
        <v>1.1365721907040001</v>
      </c>
      <c r="D35">
        <v>1.6299999999999999E-2</v>
      </c>
      <c r="E35">
        <v>2.8849251857154604E-3</v>
      </c>
      <c r="F35">
        <f t="shared" si="2"/>
        <v>327.69824</v>
      </c>
      <c r="G35">
        <f t="shared" si="3"/>
        <v>-0.69367000000000001</v>
      </c>
      <c r="H35">
        <f t="shared" si="4"/>
        <v>-227.31443814080001</v>
      </c>
      <c r="I35">
        <v>1</v>
      </c>
      <c r="J35">
        <f t="shared" si="5"/>
        <v>-1.1156620940577353</v>
      </c>
      <c r="K35">
        <f t="shared" si="6"/>
        <v>-0.52805515177521745</v>
      </c>
      <c r="L35">
        <v>1</v>
      </c>
      <c r="M35">
        <f t="shared" si="7"/>
        <v>0.46278701399809802</v>
      </c>
      <c r="N35">
        <f t="shared" si="13"/>
        <v>2.6707406559999997E-2</v>
      </c>
      <c r="O35">
        <f t="shared" si="11"/>
        <v>4.7269245294531475E-3</v>
      </c>
      <c r="P35">
        <f t="shared" si="12"/>
        <v>3.3833806687666286E-2</v>
      </c>
      <c r="V35">
        <v>-2.9000000000000101</v>
      </c>
      <c r="W35">
        <f t="shared" si="9"/>
        <v>-0.37927999999999951</v>
      </c>
    </row>
    <row r="36" spans="1:23" x14ac:dyDescent="0.3">
      <c r="A36">
        <v>1.6889004000000001</v>
      </c>
      <c r="B36">
        <v>0.69018999999999997</v>
      </c>
      <c r="C36">
        <f t="shared" si="1"/>
        <v>1.1656621670759999</v>
      </c>
      <c r="D36">
        <v>1.6299999999999999E-2</v>
      </c>
      <c r="E36">
        <v>2.8849251857154604E-3</v>
      </c>
      <c r="F36">
        <f t="shared" si="2"/>
        <v>337.78008</v>
      </c>
      <c r="G36">
        <f t="shared" si="3"/>
        <v>-0.69018999999999997</v>
      </c>
      <c r="H36">
        <f t="shared" si="4"/>
        <v>-233.13243341519998</v>
      </c>
      <c r="I36">
        <v>1</v>
      </c>
      <c r="J36">
        <f t="shared" si="5"/>
        <v>-1.0853602461518428</v>
      </c>
      <c r="K36">
        <f t="shared" si="6"/>
        <v>-0.53153515177521748</v>
      </c>
      <c r="L36">
        <v>1</v>
      </c>
      <c r="M36">
        <f t="shared" si="7"/>
        <v>0.46420514048009376</v>
      </c>
      <c r="N36">
        <f t="shared" si="13"/>
        <v>2.7529076519999997E-2</v>
      </c>
      <c r="O36">
        <f t="shared" si="11"/>
        <v>4.8723513001249158E-3</v>
      </c>
      <c r="P36">
        <f t="shared" si="12"/>
        <v>3.492858347499881E-2</v>
      </c>
      <c r="V36">
        <v>-2.80000000000001</v>
      </c>
      <c r="W36">
        <f t="shared" si="9"/>
        <v>-0.38395999999999952</v>
      </c>
    </row>
    <row r="37" spans="1:23" x14ac:dyDescent="0.3">
      <c r="A37">
        <v>1.7413462999999998</v>
      </c>
      <c r="B37">
        <v>0.68725000000000003</v>
      </c>
      <c r="C37">
        <f t="shared" si="1"/>
        <v>1.196740244675</v>
      </c>
      <c r="D37">
        <v>1.6299999999999999E-2</v>
      </c>
      <c r="E37">
        <v>2.8849251857154604E-3</v>
      </c>
      <c r="F37">
        <f t="shared" si="2"/>
        <v>348.26925999999997</v>
      </c>
      <c r="G37">
        <f t="shared" si="3"/>
        <v>-0.68725000000000003</v>
      </c>
      <c r="H37">
        <f t="shared" si="4"/>
        <v>-239.34804893499998</v>
      </c>
      <c r="I37">
        <v>1</v>
      </c>
      <c r="J37">
        <f t="shared" si="5"/>
        <v>-1.0547793627545794</v>
      </c>
      <c r="K37">
        <f t="shared" si="6"/>
        <v>-0.53447515177521743</v>
      </c>
      <c r="L37">
        <v>1</v>
      </c>
      <c r="M37">
        <f t="shared" si="7"/>
        <v>0.46563632582308567</v>
      </c>
      <c r="N37">
        <f t="shared" si="13"/>
        <v>2.8383944689999992E-2</v>
      </c>
      <c r="O37">
        <f t="shared" si="11"/>
        <v>5.023653797922429E-3</v>
      </c>
      <c r="P37">
        <f t="shared" si="12"/>
        <v>3.5431227464209333E-2</v>
      </c>
      <c r="V37">
        <v>-2.7000000000000099</v>
      </c>
      <c r="W37">
        <f t="shared" si="9"/>
        <v>-0.38863999999999954</v>
      </c>
    </row>
    <row r="38" spans="1:23" x14ac:dyDescent="0.3">
      <c r="A38">
        <v>1.7917554999999998</v>
      </c>
      <c r="B38">
        <v>0.68403999999999998</v>
      </c>
      <c r="C38">
        <f t="shared" si="1"/>
        <v>1.2256324322199998</v>
      </c>
      <c r="D38">
        <v>1.6299999999999999E-2</v>
      </c>
      <c r="E38">
        <v>2.8849251857154604E-3</v>
      </c>
      <c r="F38">
        <f t="shared" si="2"/>
        <v>358.35109999999997</v>
      </c>
      <c r="G38">
        <f t="shared" si="3"/>
        <v>-0.68403999999999998</v>
      </c>
      <c r="H38">
        <f t="shared" si="4"/>
        <v>-245.12648644399997</v>
      </c>
      <c r="I38">
        <v>1</v>
      </c>
      <c r="J38">
        <f t="shared" si="5"/>
        <v>-1.0262420469222515</v>
      </c>
      <c r="K38">
        <f t="shared" si="6"/>
        <v>-0.53768515177521747</v>
      </c>
      <c r="L38">
        <v>1</v>
      </c>
      <c r="M38">
        <f t="shared" si="7"/>
        <v>0.46697187220403863</v>
      </c>
      <c r="N38">
        <f t="shared" si="13"/>
        <v>2.9205614649999996E-2</v>
      </c>
      <c r="O38">
        <f t="shared" si="11"/>
        <v>5.1690805685941973E-3</v>
      </c>
      <c r="P38">
        <f t="shared" si="12"/>
        <v>3.6338584352584649E-2</v>
      </c>
      <c r="V38">
        <v>-2.6000000000000099</v>
      </c>
      <c r="W38">
        <f t="shared" si="9"/>
        <v>-0.39331999999999956</v>
      </c>
    </row>
    <row r="39" spans="1:23" x14ac:dyDescent="0.3">
      <c r="A39">
        <v>1.8421646</v>
      </c>
      <c r="B39">
        <v>0.68125999999999998</v>
      </c>
      <c r="C39">
        <f t="shared" si="1"/>
        <v>1.254993055396</v>
      </c>
      <c r="D39">
        <v>1.6299999999999999E-2</v>
      </c>
      <c r="E39">
        <v>2.8849251857154604E-3</v>
      </c>
      <c r="F39">
        <f t="shared" si="2"/>
        <v>368.43292000000002</v>
      </c>
      <c r="G39">
        <f t="shared" si="3"/>
        <v>-0.68125999999999998</v>
      </c>
      <c r="H39">
        <f t="shared" si="4"/>
        <v>-250.9986110792</v>
      </c>
      <c r="I39">
        <v>1</v>
      </c>
      <c r="J39">
        <f t="shared" si="5"/>
        <v>-0.9984966192013327</v>
      </c>
      <c r="K39">
        <f t="shared" si="6"/>
        <v>-0.54046515177521748</v>
      </c>
      <c r="L39">
        <v>1</v>
      </c>
      <c r="M39">
        <f t="shared" si="7"/>
        <v>0.46827035822137764</v>
      </c>
      <c r="N39">
        <f t="shared" si="13"/>
        <v>3.0027282979999997E-2</v>
      </c>
      <c r="O39">
        <f t="shared" si="11"/>
        <v>5.3145070507734466E-3</v>
      </c>
      <c r="P39">
        <f t="shared" si="12"/>
        <v>3.6853003523066398E-2</v>
      </c>
      <c r="V39">
        <v>-2.5000000000000102</v>
      </c>
      <c r="W39">
        <f t="shared" si="9"/>
        <v>-0.39799999999999952</v>
      </c>
    </row>
    <row r="40" spans="1:23" x14ac:dyDescent="0.3">
      <c r="A40">
        <v>1.8925737</v>
      </c>
      <c r="B40">
        <v>0.67820000000000003</v>
      </c>
      <c r="C40">
        <f t="shared" si="1"/>
        <v>1.2835434833400001</v>
      </c>
      <c r="D40">
        <v>1.6299999999999999E-2</v>
      </c>
      <c r="E40">
        <v>2.8849251857154604E-3</v>
      </c>
      <c r="F40">
        <f t="shared" si="2"/>
        <v>378.51474000000002</v>
      </c>
      <c r="G40">
        <f t="shared" si="3"/>
        <v>-0.67820000000000003</v>
      </c>
      <c r="H40">
        <f t="shared" si="4"/>
        <v>-256.70869666800002</v>
      </c>
      <c r="I40">
        <v>1</v>
      </c>
      <c r="J40">
        <f t="shared" si="5"/>
        <v>-0.97150026366607056</v>
      </c>
      <c r="K40">
        <f t="shared" si="6"/>
        <v>-0.54352515177521743</v>
      </c>
      <c r="L40">
        <v>1</v>
      </c>
      <c r="M40">
        <f t="shared" si="7"/>
        <v>0.46953378766042791</v>
      </c>
      <c r="N40">
        <f t="shared" si="13"/>
        <v>3.0848951309999997E-2</v>
      </c>
      <c r="O40">
        <f t="shared" si="11"/>
        <v>5.459933532952696E-3</v>
      </c>
      <c r="P40">
        <f t="shared" si="12"/>
        <v>3.7682479271836822E-2</v>
      </c>
      <c r="V40">
        <v>-2.4000000000000101</v>
      </c>
      <c r="W40">
        <f t="shared" si="9"/>
        <v>-0.40267999999999954</v>
      </c>
    </row>
    <row r="41" spans="1:23" x14ac:dyDescent="0.3">
      <c r="A41">
        <v>1.9470563000000001</v>
      </c>
      <c r="B41">
        <v>0.67542999999999997</v>
      </c>
      <c r="C41">
        <f t="shared" si="1"/>
        <v>1.3151002367089999</v>
      </c>
      <c r="D41">
        <v>1.6299999999999999E-2</v>
      </c>
      <c r="E41">
        <v>2.8849251857154604E-3</v>
      </c>
      <c r="F41">
        <f t="shared" si="2"/>
        <v>389.41126000000003</v>
      </c>
      <c r="G41">
        <f t="shared" si="3"/>
        <v>-0.67542999999999997</v>
      </c>
      <c r="H41">
        <f t="shared" si="4"/>
        <v>-263.02004734179997</v>
      </c>
      <c r="I41">
        <v>1</v>
      </c>
      <c r="J41">
        <f t="shared" si="5"/>
        <v>-0.94311927018064656</v>
      </c>
      <c r="K41">
        <f t="shared" si="6"/>
        <v>-0.54629515177521748</v>
      </c>
      <c r="L41">
        <v>1</v>
      </c>
      <c r="M41">
        <f t="shared" si="7"/>
        <v>0.47086201815554574</v>
      </c>
      <c r="N41">
        <f t="shared" si="13"/>
        <v>3.1737017690000001E-2</v>
      </c>
      <c r="O41">
        <f t="shared" si="11"/>
        <v>5.6171117578759575E-3</v>
      </c>
      <c r="P41">
        <f t="shared" si="12"/>
        <v>3.8079004171795786E-2</v>
      </c>
      <c r="V41">
        <v>-2.30000000000001</v>
      </c>
      <c r="W41">
        <f t="shared" si="9"/>
        <v>-0.40735999999999956</v>
      </c>
    </row>
    <row r="42" spans="1:23" x14ac:dyDescent="0.3">
      <c r="A42">
        <v>1.9974655000000001</v>
      </c>
      <c r="B42">
        <v>0.67234000000000005</v>
      </c>
      <c r="C42">
        <f t="shared" si="1"/>
        <v>1.3429759542700002</v>
      </c>
      <c r="D42">
        <v>1.6299999999999999E-2</v>
      </c>
      <c r="E42">
        <v>2.8849251857154604E-3</v>
      </c>
      <c r="F42">
        <f t="shared" si="2"/>
        <v>399.49310000000003</v>
      </c>
      <c r="G42">
        <f t="shared" si="3"/>
        <v>-0.67234000000000005</v>
      </c>
      <c r="H42">
        <f t="shared" si="4"/>
        <v>-268.59519085400001</v>
      </c>
      <c r="I42">
        <v>1</v>
      </c>
      <c r="J42">
        <f t="shared" si="5"/>
        <v>-0.91755878551445003</v>
      </c>
      <c r="K42">
        <f t="shared" si="6"/>
        <v>-0.54938515177521741</v>
      </c>
      <c r="L42">
        <v>1</v>
      </c>
      <c r="M42">
        <f t="shared" si="7"/>
        <v>0.47205824883792374</v>
      </c>
      <c r="N42">
        <f t="shared" si="13"/>
        <v>3.2558687650000001E-2</v>
      </c>
      <c r="O42">
        <f t="shared" si="11"/>
        <v>5.7625385285477249E-3</v>
      </c>
      <c r="P42">
        <f t="shared" si="12"/>
        <v>3.9005676758745937E-2</v>
      </c>
      <c r="V42">
        <v>-2.2000000000000099</v>
      </c>
      <c r="W42">
        <f t="shared" si="9"/>
        <v>-0.41203999999999952</v>
      </c>
    </row>
    <row r="43" spans="1:23" x14ac:dyDescent="0.3">
      <c r="A43">
        <v>2.048384</v>
      </c>
      <c r="B43">
        <v>0.66954999999999998</v>
      </c>
      <c r="C43">
        <f t="shared" si="1"/>
        <v>1.3714955071999999</v>
      </c>
      <c r="D43">
        <v>1.6299999999999999E-2</v>
      </c>
      <c r="E43">
        <v>2.8849251857154604E-3</v>
      </c>
      <c r="F43">
        <f t="shared" si="2"/>
        <v>409.67680000000001</v>
      </c>
      <c r="G43">
        <f t="shared" si="3"/>
        <v>-0.66954999999999998</v>
      </c>
      <c r="H43">
        <f t="shared" si="4"/>
        <v>-274.29910143999996</v>
      </c>
      <c r="I43">
        <v>1</v>
      </c>
      <c r="J43">
        <f t="shared" si="5"/>
        <v>-0.8923867228327671</v>
      </c>
      <c r="K43">
        <f t="shared" si="6"/>
        <v>-0.55217515177521748</v>
      </c>
      <c r="L43">
        <v>1</v>
      </c>
      <c r="M43">
        <f t="shared" si="7"/>
        <v>0.47323630137142653</v>
      </c>
      <c r="N43">
        <f t="shared" si="13"/>
        <v>3.3388659199999997E-2</v>
      </c>
      <c r="O43">
        <f t="shared" si="11"/>
        <v>5.9094345916165776E-3</v>
      </c>
      <c r="P43">
        <f t="shared" si="12"/>
        <v>3.9640756612174373E-2</v>
      </c>
      <c r="V43">
        <v>-2.1000000000000099</v>
      </c>
      <c r="W43">
        <f t="shared" si="9"/>
        <v>-0.41671999999999954</v>
      </c>
    </row>
    <row r="44" spans="1:23" x14ac:dyDescent="0.3">
      <c r="A44">
        <v>2.0987930000000001</v>
      </c>
      <c r="B44">
        <v>0.66690000000000005</v>
      </c>
      <c r="C44">
        <f t="shared" si="1"/>
        <v>1.3996850517000001</v>
      </c>
      <c r="D44">
        <v>1.6299999999999999E-2</v>
      </c>
      <c r="E44">
        <v>2.8849251857154604E-3</v>
      </c>
      <c r="F44">
        <f t="shared" si="2"/>
        <v>419.7586</v>
      </c>
      <c r="G44">
        <f t="shared" si="3"/>
        <v>-0.66690000000000005</v>
      </c>
      <c r="H44">
        <f t="shared" si="4"/>
        <v>-279.93701034000003</v>
      </c>
      <c r="I44">
        <v>1</v>
      </c>
      <c r="J44">
        <f t="shared" si="5"/>
        <v>-0.86807549484842694</v>
      </c>
      <c r="K44">
        <f t="shared" si="6"/>
        <v>-0.55482515177521741</v>
      </c>
      <c r="L44">
        <v>1</v>
      </c>
      <c r="M44">
        <f t="shared" si="7"/>
        <v>0.47437406684109362</v>
      </c>
      <c r="N44">
        <f t="shared" si="13"/>
        <v>3.4210325899999998E-2</v>
      </c>
      <c r="O44">
        <f t="shared" si="11"/>
        <v>6.0548607853033089E-3</v>
      </c>
      <c r="P44">
        <f t="shared" si="12"/>
        <v>4.0185898248820476E-2</v>
      </c>
      <c r="V44">
        <v>-2.0000000000000102</v>
      </c>
      <c r="W44">
        <f t="shared" si="9"/>
        <v>-0.42139999999999955</v>
      </c>
    </row>
    <row r="45" spans="1:23" x14ac:dyDescent="0.3">
      <c r="A45">
        <v>2.1502207000000002</v>
      </c>
      <c r="B45">
        <v>0.66376999999999997</v>
      </c>
      <c r="C45">
        <f t="shared" si="1"/>
        <v>1.427251994039</v>
      </c>
      <c r="D45">
        <v>1.6299999999999999E-2</v>
      </c>
      <c r="E45">
        <v>2.8849251857154604E-3</v>
      </c>
      <c r="F45">
        <f t="shared" si="2"/>
        <v>430.04414000000003</v>
      </c>
      <c r="G45">
        <f t="shared" si="3"/>
        <v>-0.66376999999999997</v>
      </c>
      <c r="H45">
        <f t="shared" si="4"/>
        <v>-285.45039880780001</v>
      </c>
      <c r="I45">
        <v>1</v>
      </c>
      <c r="J45">
        <f t="shared" si="5"/>
        <v>-0.84386742440000828</v>
      </c>
      <c r="K45">
        <f t="shared" si="6"/>
        <v>-0.55795515177521748</v>
      </c>
      <c r="L45">
        <v>1</v>
      </c>
      <c r="M45">
        <f t="shared" si="7"/>
        <v>0.47550700453807965</v>
      </c>
      <c r="N45">
        <f t="shared" si="13"/>
        <v>3.504859741E-2</v>
      </c>
      <c r="O45">
        <f t="shared" si="11"/>
        <v>6.2032258522767281E-3</v>
      </c>
      <c r="P45">
        <f t="shared" si="12"/>
        <v>4.1196323974861108E-2</v>
      </c>
      <c r="V45">
        <v>-1.9000000000000099</v>
      </c>
      <c r="W45">
        <f t="shared" si="9"/>
        <v>-0.42607999999999957</v>
      </c>
    </row>
    <row r="46" spans="1:23" x14ac:dyDescent="0.3">
      <c r="A46">
        <v>2.2021575000000002</v>
      </c>
      <c r="B46">
        <v>0.66117000000000004</v>
      </c>
      <c r="C46">
        <f t="shared" si="1"/>
        <v>1.4560004742750001</v>
      </c>
      <c r="D46">
        <v>1.6299999999999999E-2</v>
      </c>
      <c r="E46">
        <v>2.8849251857154604E-3</v>
      </c>
      <c r="F46">
        <f t="shared" si="2"/>
        <v>440.43150000000003</v>
      </c>
      <c r="G46">
        <f t="shared" si="3"/>
        <v>-0.66117000000000004</v>
      </c>
      <c r="H46">
        <f t="shared" si="4"/>
        <v>-291.20009485500003</v>
      </c>
      <c r="I46">
        <v>1</v>
      </c>
      <c r="J46">
        <f t="shared" si="5"/>
        <v>-0.82000035080590772</v>
      </c>
      <c r="K46">
        <f t="shared" si="6"/>
        <v>-0.56055515177521742</v>
      </c>
      <c r="L46">
        <v>1</v>
      </c>
      <c r="M46">
        <f t="shared" si="7"/>
        <v>0.47662398358228353</v>
      </c>
      <c r="N46">
        <f t="shared" si="13"/>
        <v>3.5895167249999999E-2</v>
      </c>
      <c r="O46">
        <f t="shared" si="11"/>
        <v>6.3530596346621946E-3</v>
      </c>
      <c r="P46">
        <f t="shared" si="12"/>
        <v>4.1682941308271701E-2</v>
      </c>
      <c r="V46">
        <v>-1.80000000000001</v>
      </c>
      <c r="W46">
        <f t="shared" si="9"/>
        <v>-0.43075999999999953</v>
      </c>
    </row>
    <row r="47" spans="1:23" x14ac:dyDescent="0.3">
      <c r="A47">
        <v>2.2535847000000002</v>
      </c>
      <c r="B47">
        <v>0.65846000000000005</v>
      </c>
      <c r="C47">
        <f t="shared" si="1"/>
        <v>1.4838953815620002</v>
      </c>
      <c r="D47">
        <v>1.6299999999999999E-2</v>
      </c>
      <c r="E47">
        <v>2.8849251857154604E-3</v>
      </c>
      <c r="F47">
        <f t="shared" si="2"/>
        <v>450.71694000000002</v>
      </c>
      <c r="G47">
        <f t="shared" si="3"/>
        <v>-0.65846000000000005</v>
      </c>
      <c r="H47">
        <f t="shared" si="4"/>
        <v>-296.77907631240004</v>
      </c>
      <c r="I47">
        <v>1</v>
      </c>
      <c r="J47">
        <f t="shared" si="5"/>
        <v>-0.79691576401450104</v>
      </c>
      <c r="K47">
        <f t="shared" si="6"/>
        <v>-0.56326515177521741</v>
      </c>
      <c r="L47">
        <v>1</v>
      </c>
      <c r="M47">
        <f t="shared" si="7"/>
        <v>0.47770434224412139</v>
      </c>
      <c r="N47">
        <f t="shared" si="13"/>
        <v>3.6733430609999999E-2</v>
      </c>
      <c r="O47">
        <f t="shared" si="11"/>
        <v>6.5014232591730208E-3</v>
      </c>
      <c r="P47">
        <f t="shared" si="12"/>
        <v>4.2325955661922994E-2</v>
      </c>
      <c r="V47">
        <v>-1.7000000000000199</v>
      </c>
      <c r="W47">
        <f t="shared" si="9"/>
        <v>-0.43543999999999905</v>
      </c>
    </row>
    <row r="48" spans="1:23" x14ac:dyDescent="0.3">
      <c r="A48">
        <v>2.3039939</v>
      </c>
      <c r="B48">
        <v>0.65566999999999998</v>
      </c>
      <c r="C48">
        <f t="shared" si="1"/>
        <v>1.5106596804129999</v>
      </c>
      <c r="D48">
        <v>1.6299999999999999E-2</v>
      </c>
      <c r="E48">
        <v>2.8849251857154604E-3</v>
      </c>
      <c r="F48">
        <f t="shared" si="2"/>
        <v>460.79878000000002</v>
      </c>
      <c r="G48">
        <f t="shared" si="3"/>
        <v>-0.65566999999999998</v>
      </c>
      <c r="H48">
        <f t="shared" si="4"/>
        <v>-302.13193608259996</v>
      </c>
      <c r="I48">
        <v>1</v>
      </c>
      <c r="J48">
        <f t="shared" si="5"/>
        <v>-0.77479381717340479</v>
      </c>
      <c r="K48">
        <f t="shared" si="6"/>
        <v>-0.56605515177521748</v>
      </c>
      <c r="L48">
        <v>1</v>
      </c>
      <c r="M48">
        <f t="shared" si="7"/>
        <v>0.47873964935628466</v>
      </c>
      <c r="N48">
        <f t="shared" si="13"/>
        <v>3.755510057E-2</v>
      </c>
      <c r="O48">
        <f t="shared" si="11"/>
        <v>6.6468500298447883E-3</v>
      </c>
      <c r="P48">
        <f t="shared" si="12"/>
        <v>4.3113551819088033E-2</v>
      </c>
      <c r="V48">
        <v>-1.6000000000000201</v>
      </c>
      <c r="W48">
        <f t="shared" si="9"/>
        <v>-0.44011999999999907</v>
      </c>
    </row>
    <row r="49" spans="1:23" x14ac:dyDescent="0.3">
      <c r="A49">
        <v>2.3584765999999999</v>
      </c>
      <c r="B49">
        <v>0.65261999999999998</v>
      </c>
      <c r="C49">
        <f t="shared" si="1"/>
        <v>1.539188998692</v>
      </c>
      <c r="D49">
        <v>1.6299999999999999E-2</v>
      </c>
      <c r="E49">
        <v>2.8849251857154604E-3</v>
      </c>
      <c r="F49">
        <f t="shared" si="2"/>
        <v>471.69531999999998</v>
      </c>
      <c r="G49">
        <f t="shared" si="3"/>
        <v>-0.65261999999999998</v>
      </c>
      <c r="H49">
        <f t="shared" si="4"/>
        <v>-307.83779973840001</v>
      </c>
      <c r="I49">
        <v>1</v>
      </c>
      <c r="J49">
        <f t="shared" si="5"/>
        <v>-0.75142201030145384</v>
      </c>
      <c r="K49">
        <f t="shared" si="6"/>
        <v>-0.56910515177521748</v>
      </c>
      <c r="L49">
        <v>1</v>
      </c>
      <c r="M49">
        <f t="shared" si="7"/>
        <v>0.47983344991789195</v>
      </c>
      <c r="N49">
        <f t="shared" si="13"/>
        <v>3.8443168579999992E-2</v>
      </c>
      <c r="O49">
        <f t="shared" si="11"/>
        <v>6.8040285432605669E-3</v>
      </c>
      <c r="P49">
        <f t="shared" si="12"/>
        <v>4.4024504734064968E-2</v>
      </c>
      <c r="V49">
        <v>-1.50000000000002</v>
      </c>
      <c r="W49">
        <f t="shared" si="9"/>
        <v>-0.44479999999999908</v>
      </c>
    </row>
    <row r="50" spans="1:23" x14ac:dyDescent="0.3">
      <c r="A50">
        <v>2.409395</v>
      </c>
      <c r="B50">
        <v>0.65012000000000003</v>
      </c>
      <c r="C50">
        <f t="shared" si="1"/>
        <v>1.5663958774</v>
      </c>
      <c r="D50">
        <v>1.6299999999999999E-2</v>
      </c>
      <c r="E50">
        <v>2.8849251857154604E-3</v>
      </c>
      <c r="F50">
        <f t="shared" si="2"/>
        <v>481.87900000000002</v>
      </c>
      <c r="G50">
        <f t="shared" si="3"/>
        <v>-0.65012000000000003</v>
      </c>
      <c r="H50">
        <f t="shared" si="4"/>
        <v>-313.27917547999999</v>
      </c>
      <c r="I50">
        <v>1</v>
      </c>
      <c r="J50">
        <f t="shared" si="5"/>
        <v>-0.7300622337910837</v>
      </c>
      <c r="K50">
        <f t="shared" si="6"/>
        <v>-0.57160515177521742</v>
      </c>
      <c r="L50">
        <v>1</v>
      </c>
      <c r="M50">
        <f t="shared" si="7"/>
        <v>0.48083308745857728</v>
      </c>
      <c r="N50">
        <f t="shared" si="13"/>
        <v>3.9273138499999999E-2</v>
      </c>
      <c r="O50">
        <f t="shared" si="11"/>
        <v>6.9509243178369016E-3</v>
      </c>
      <c r="P50">
        <f t="shared" si="12"/>
        <v>4.4548001498803246E-2</v>
      </c>
      <c r="V50">
        <v>-1.4000000000000199</v>
      </c>
      <c r="W50">
        <f t="shared" si="9"/>
        <v>-0.4494799999999991</v>
      </c>
    </row>
    <row r="51" spans="1:23" x14ac:dyDescent="0.3">
      <c r="A51">
        <v>2.4598042000000002</v>
      </c>
      <c r="B51">
        <v>0.64748000000000006</v>
      </c>
      <c r="C51">
        <f t="shared" si="1"/>
        <v>1.5926740234160002</v>
      </c>
      <c r="D51">
        <v>1.6299999999999999E-2</v>
      </c>
      <c r="E51">
        <v>2.8849251857154604E-3</v>
      </c>
      <c r="F51">
        <f t="shared" si="2"/>
        <v>491.96084000000002</v>
      </c>
      <c r="G51">
        <f t="shared" si="3"/>
        <v>-0.64748000000000006</v>
      </c>
      <c r="H51">
        <f t="shared" si="4"/>
        <v>-318.53480468320004</v>
      </c>
      <c r="I51">
        <v>1</v>
      </c>
      <c r="J51">
        <f t="shared" si="5"/>
        <v>-0.70935615915349426</v>
      </c>
      <c r="K51">
        <f t="shared" si="6"/>
        <v>-0.5742451517752174</v>
      </c>
      <c r="L51">
        <v>1</v>
      </c>
      <c r="M51">
        <f t="shared" si="7"/>
        <v>0.48180213175161646</v>
      </c>
      <c r="N51">
        <f t="shared" si="13"/>
        <v>4.0094808459999999E-2</v>
      </c>
      <c r="O51">
        <f t="shared" si="11"/>
        <v>7.0963510885086699E-3</v>
      </c>
      <c r="P51">
        <f t="shared" si="12"/>
        <v>4.5251860475092276E-2</v>
      </c>
      <c r="V51">
        <v>-1.30000000000002</v>
      </c>
      <c r="W51">
        <f t="shared" si="9"/>
        <v>-0.45415999999999906</v>
      </c>
    </row>
    <row r="52" spans="1:23" x14ac:dyDescent="0.3">
      <c r="A52">
        <v>2.5107224000000001</v>
      </c>
      <c r="B52">
        <v>0.64487000000000005</v>
      </c>
      <c r="C52">
        <f t="shared" si="1"/>
        <v>1.6190895540880001</v>
      </c>
      <c r="D52">
        <v>1.6299999999999999E-2</v>
      </c>
      <c r="E52">
        <v>2.8849251857154604E-3</v>
      </c>
      <c r="F52">
        <f t="shared" si="2"/>
        <v>502.14448000000004</v>
      </c>
      <c r="G52">
        <f t="shared" si="3"/>
        <v>-0.64487000000000005</v>
      </c>
      <c r="H52">
        <f t="shared" si="4"/>
        <v>-323.81791081760002</v>
      </c>
      <c r="I52">
        <v>1</v>
      </c>
      <c r="J52">
        <f t="shared" si="5"/>
        <v>-0.68886739193446511</v>
      </c>
      <c r="K52">
        <f t="shared" si="6"/>
        <v>-0.5768551517752174</v>
      </c>
      <c r="L52">
        <v>1</v>
      </c>
      <c r="M52">
        <f t="shared" si="7"/>
        <v>0.48276100605746702</v>
      </c>
      <c r="N52">
        <f t="shared" si="13"/>
        <v>4.092477512E-2</v>
      </c>
      <c r="O52">
        <f t="shared" si="11"/>
        <v>7.2432462860999667E-3</v>
      </c>
      <c r="P52">
        <f t="shared" si="12"/>
        <v>4.5926124311650413E-2</v>
      </c>
      <c r="V52">
        <v>-1.2000000000000199</v>
      </c>
      <c r="W52">
        <f t="shared" si="9"/>
        <v>-0.45883999999999908</v>
      </c>
    </row>
    <row r="53" spans="1:23" x14ac:dyDescent="0.3">
      <c r="A53">
        <v>2.5646955999999999</v>
      </c>
      <c r="B53">
        <v>0.64217000000000002</v>
      </c>
      <c r="C53">
        <f t="shared" si="1"/>
        <v>1.6469705734519999</v>
      </c>
      <c r="D53">
        <v>1.6299999999999999E-2</v>
      </c>
      <c r="E53">
        <v>2.8849251857154604E-3</v>
      </c>
      <c r="F53">
        <f t="shared" si="2"/>
        <v>512.93912</v>
      </c>
      <c r="G53">
        <f t="shared" si="3"/>
        <v>-0.64217000000000002</v>
      </c>
      <c r="H53">
        <f t="shared" si="4"/>
        <v>-329.39411469039999</v>
      </c>
      <c r="I53">
        <v>1</v>
      </c>
      <c r="J53">
        <f t="shared" si="5"/>
        <v>-0.66759811531767654</v>
      </c>
      <c r="K53">
        <f t="shared" si="6"/>
        <v>-0.57955515177521744</v>
      </c>
      <c r="L53">
        <v>1</v>
      </c>
      <c r="M53">
        <f t="shared" si="7"/>
        <v>0.48375640820313276</v>
      </c>
      <c r="N53">
        <f t="shared" si="13"/>
        <v>4.1804538279999991E-2</v>
      </c>
      <c r="O53">
        <f t="shared" si="11"/>
        <v>7.3989549301336239E-3</v>
      </c>
      <c r="P53">
        <f t="shared" si="12"/>
        <v>4.6595250361951064E-2</v>
      </c>
      <c r="V53">
        <v>-1.1000000000000201</v>
      </c>
      <c r="W53">
        <f t="shared" si="9"/>
        <v>-0.46351999999999904</v>
      </c>
    </row>
    <row r="54" spans="1:23" x14ac:dyDescent="0.3">
      <c r="A54">
        <v>2.6151046999999998</v>
      </c>
      <c r="B54">
        <v>0.63966999999999996</v>
      </c>
      <c r="C54">
        <f t="shared" si="1"/>
        <v>1.6728040234489998</v>
      </c>
      <c r="D54">
        <v>1.6299999999999999E-2</v>
      </c>
      <c r="E54">
        <v>2.8849251857154604E-3</v>
      </c>
      <c r="F54">
        <f t="shared" si="2"/>
        <v>523.02094</v>
      </c>
      <c r="G54">
        <f t="shared" si="3"/>
        <v>-0.63966999999999996</v>
      </c>
      <c r="H54">
        <f t="shared" si="4"/>
        <v>-334.56080468979997</v>
      </c>
      <c r="I54">
        <v>1</v>
      </c>
      <c r="J54">
        <f t="shared" si="5"/>
        <v>-0.64813377747780532</v>
      </c>
      <c r="K54">
        <f t="shared" si="6"/>
        <v>-0.58205515177521749</v>
      </c>
      <c r="L54">
        <v>1</v>
      </c>
      <c r="M54">
        <f t="shared" si="7"/>
        <v>0.48466733921403871</v>
      </c>
      <c r="N54">
        <f t="shared" si="13"/>
        <v>4.2626206609999995E-2</v>
      </c>
      <c r="O54">
        <f t="shared" si="11"/>
        <v>7.5443814123128724E-3</v>
      </c>
      <c r="P54">
        <f t="shared" si="12"/>
        <v>4.7217224538865919E-2</v>
      </c>
      <c r="V54">
        <v>-1.00000000000002</v>
      </c>
      <c r="W54">
        <f t="shared" si="9"/>
        <v>-0.46819999999999906</v>
      </c>
    </row>
    <row r="55" spans="1:23" x14ac:dyDescent="0.3">
      <c r="A55">
        <v>2.6706060000000003</v>
      </c>
      <c r="B55">
        <v>0.63683000000000001</v>
      </c>
      <c r="C55">
        <f t="shared" si="1"/>
        <v>1.7007220189800001</v>
      </c>
      <c r="D55">
        <v>1.6299999999999999E-2</v>
      </c>
      <c r="E55">
        <v>2.8849251857154604E-3</v>
      </c>
      <c r="F55">
        <f t="shared" si="2"/>
        <v>534.12120000000004</v>
      </c>
      <c r="G55">
        <f t="shared" si="3"/>
        <v>-0.63683000000000001</v>
      </c>
      <c r="H55">
        <f t="shared" si="4"/>
        <v>-340.14440379600001</v>
      </c>
      <c r="I55">
        <v>1</v>
      </c>
      <c r="J55">
        <f t="shared" si="5"/>
        <v>-0.62713249948275951</v>
      </c>
      <c r="K55">
        <f t="shared" si="6"/>
        <v>-0.58489515177521745</v>
      </c>
      <c r="L55">
        <v>1</v>
      </c>
      <c r="M55">
        <f t="shared" si="7"/>
        <v>0.48565019902420686</v>
      </c>
      <c r="N55">
        <f t="shared" si="13"/>
        <v>4.3530877799999999E-2</v>
      </c>
      <c r="O55">
        <f t="shared" si="11"/>
        <v>7.7044985105228234E-3</v>
      </c>
      <c r="P55">
        <f t="shared" si="12"/>
        <v>4.8009576440487763E-2</v>
      </c>
      <c r="V55">
        <v>-0.90000000000002001</v>
      </c>
      <c r="W55">
        <f t="shared" si="9"/>
        <v>-0.47287999999999908</v>
      </c>
    </row>
    <row r="56" spans="1:23" x14ac:dyDescent="0.3">
      <c r="A56">
        <v>2.7210151000000002</v>
      </c>
      <c r="B56">
        <v>0.63424999999999998</v>
      </c>
      <c r="C56">
        <f t="shared" si="1"/>
        <v>1.725803827175</v>
      </c>
      <c r="D56">
        <v>1.6299999999999999E-2</v>
      </c>
      <c r="E56">
        <v>2.8849251857154604E-3</v>
      </c>
      <c r="F56">
        <f t="shared" si="2"/>
        <v>544.20302000000004</v>
      </c>
      <c r="G56">
        <f t="shared" si="3"/>
        <v>-0.63424999999999998</v>
      </c>
      <c r="H56">
        <f t="shared" si="4"/>
        <v>-345.16076543500003</v>
      </c>
      <c r="I56">
        <v>1</v>
      </c>
      <c r="J56">
        <f t="shared" si="5"/>
        <v>-0.60843290321803256</v>
      </c>
      <c r="K56">
        <f t="shared" si="6"/>
        <v>-0.58747515177521747</v>
      </c>
      <c r="L56">
        <v>1</v>
      </c>
      <c r="M56">
        <f t="shared" si="7"/>
        <v>0.48652534012939608</v>
      </c>
      <c r="N56">
        <f t="shared" si="13"/>
        <v>4.4352546129999997E-2</v>
      </c>
      <c r="O56">
        <f t="shared" si="11"/>
        <v>7.8499249927020728E-3</v>
      </c>
      <c r="P56">
        <f t="shared" si="12"/>
        <v>4.8747340523119326E-2</v>
      </c>
      <c r="V56">
        <v>-0.80000000000002003</v>
      </c>
      <c r="W56">
        <f t="shared" si="9"/>
        <v>-0.4775599999999991</v>
      </c>
    </row>
    <row r="57" spans="1:23" x14ac:dyDescent="0.3">
      <c r="A57">
        <v>2.7734608999999999</v>
      </c>
      <c r="B57">
        <v>0.63163000000000002</v>
      </c>
      <c r="C57">
        <f t="shared" si="1"/>
        <v>1.751801108267</v>
      </c>
      <c r="D57">
        <v>1.6299999999999999E-2</v>
      </c>
      <c r="E57">
        <v>2.8849251857154604E-3</v>
      </c>
      <c r="F57">
        <f t="shared" si="2"/>
        <v>554.69218000000001</v>
      </c>
      <c r="G57">
        <f t="shared" si="3"/>
        <v>-0.63163000000000002</v>
      </c>
      <c r="H57">
        <f t="shared" si="4"/>
        <v>-350.3602216534</v>
      </c>
      <c r="I57">
        <v>1</v>
      </c>
      <c r="J57">
        <f t="shared" si="5"/>
        <v>-0.58934194973079601</v>
      </c>
      <c r="K57">
        <f t="shared" si="6"/>
        <v>-0.59009515177521743</v>
      </c>
      <c r="L57">
        <v>1</v>
      </c>
      <c r="M57">
        <f t="shared" si="7"/>
        <v>0.48741879675259875</v>
      </c>
      <c r="N57">
        <f t="shared" si="13"/>
        <v>4.5207412669999995E-2</v>
      </c>
      <c r="O57">
        <f t="shared" si="11"/>
        <v>8.001227202007067E-3</v>
      </c>
      <c r="P57">
        <f t="shared" si="12"/>
        <v>4.9467715150611616E-2</v>
      </c>
      <c r="V57">
        <v>-0.70000000000002005</v>
      </c>
      <c r="W57">
        <f t="shared" si="9"/>
        <v>-0.48223999999999906</v>
      </c>
    </row>
    <row r="58" spans="1:23" x14ac:dyDescent="0.3">
      <c r="A58">
        <v>2.8259067</v>
      </c>
      <c r="B58">
        <v>0.62897999999999998</v>
      </c>
      <c r="C58">
        <f t="shared" si="1"/>
        <v>1.7774387961659999</v>
      </c>
      <c r="D58">
        <v>1.6299999999999999E-2</v>
      </c>
      <c r="E58">
        <v>2.8849251857154604E-3</v>
      </c>
      <c r="F58">
        <f t="shared" si="2"/>
        <v>565.18133999999998</v>
      </c>
      <c r="G58">
        <f t="shared" si="3"/>
        <v>-0.62897999999999998</v>
      </c>
      <c r="H58">
        <f t="shared" si="4"/>
        <v>-355.48775923319999</v>
      </c>
      <c r="I58">
        <v>1</v>
      </c>
      <c r="J58">
        <f t="shared" si="5"/>
        <v>-0.57060864357876306</v>
      </c>
      <c r="K58">
        <f t="shared" si="6"/>
        <v>-0.59274515177521747</v>
      </c>
      <c r="L58">
        <v>1</v>
      </c>
      <c r="M58">
        <f t="shared" si="7"/>
        <v>0.48829551548051392</v>
      </c>
      <c r="N58">
        <f t="shared" si="13"/>
        <v>4.6062279209999994E-2</v>
      </c>
      <c r="O58">
        <f t="shared" si="11"/>
        <v>8.1525294113120629E-3</v>
      </c>
      <c r="P58">
        <f t="shared" si="12"/>
        <v>5.0234827673391491E-2</v>
      </c>
      <c r="V58">
        <v>-0.60000000000001996</v>
      </c>
      <c r="W58">
        <f t="shared" si="9"/>
        <v>-0.48691999999999908</v>
      </c>
    </row>
    <row r="59" spans="1:23" x14ac:dyDescent="0.3">
      <c r="A59">
        <v>2.8768252000000003</v>
      </c>
      <c r="B59">
        <v>0.62631000000000003</v>
      </c>
      <c r="C59">
        <f t="shared" si="1"/>
        <v>1.8017843910120004</v>
      </c>
      <c r="D59">
        <v>1.6299999999999999E-2</v>
      </c>
      <c r="E59">
        <v>2.8849251857154604E-3</v>
      </c>
      <c r="F59">
        <f t="shared" si="2"/>
        <v>575.36504000000002</v>
      </c>
      <c r="G59">
        <f t="shared" si="3"/>
        <v>-0.62631000000000003</v>
      </c>
      <c r="H59">
        <f t="shared" si="4"/>
        <v>-360.35687820240008</v>
      </c>
      <c r="I59">
        <v>1</v>
      </c>
      <c r="J59">
        <f t="shared" si="5"/>
        <v>-0.55275058744426586</v>
      </c>
      <c r="K59">
        <f t="shared" si="6"/>
        <v>-0.59541515177521742</v>
      </c>
      <c r="L59">
        <v>1</v>
      </c>
      <c r="M59">
        <f t="shared" si="7"/>
        <v>0.48913127250760835</v>
      </c>
      <c r="N59">
        <f t="shared" si="13"/>
        <v>4.6892250760000004E-2</v>
      </c>
      <c r="O59">
        <f t="shared" si="11"/>
        <v>8.2994254743809174E-3</v>
      </c>
      <c r="P59">
        <f t="shared" si="12"/>
        <v>5.1092203033228152E-2</v>
      </c>
      <c r="V59">
        <v>-0.50000000000001998</v>
      </c>
      <c r="W59">
        <f t="shared" si="9"/>
        <v>-0.49159999999999909</v>
      </c>
    </row>
    <row r="60" spans="1:23" x14ac:dyDescent="0.3">
      <c r="A60">
        <v>2.9302893000000001</v>
      </c>
      <c r="B60">
        <v>0.62377000000000005</v>
      </c>
      <c r="C60">
        <f t="shared" si="1"/>
        <v>1.8278265566610001</v>
      </c>
      <c r="D60">
        <v>1.6299999999999999E-2</v>
      </c>
      <c r="E60">
        <v>2.8849251857154604E-3</v>
      </c>
      <c r="F60">
        <f t="shared" si="2"/>
        <v>586.05786000000001</v>
      </c>
      <c r="G60">
        <f t="shared" si="3"/>
        <v>-0.62377000000000005</v>
      </c>
      <c r="H60">
        <f t="shared" si="4"/>
        <v>-365.56531133220005</v>
      </c>
      <c r="I60">
        <v>1</v>
      </c>
      <c r="J60">
        <f t="shared" si="5"/>
        <v>-0.5343367570779558</v>
      </c>
      <c r="K60">
        <f t="shared" si="6"/>
        <v>-0.59795515177521741</v>
      </c>
      <c r="L60">
        <v>1</v>
      </c>
      <c r="M60">
        <f t="shared" si="7"/>
        <v>0.48999303976875169</v>
      </c>
      <c r="N60">
        <f t="shared" si="13"/>
        <v>4.7763715589999999E-2</v>
      </c>
      <c r="O60">
        <f t="shared" si="11"/>
        <v>8.4536654030025263E-3</v>
      </c>
      <c r="P60">
        <f t="shared" si="12"/>
        <v>5.1744731013463191E-2</v>
      </c>
      <c r="V60">
        <v>-0.40000000000002001</v>
      </c>
      <c r="W60">
        <f t="shared" si="9"/>
        <v>-0.49627999999999906</v>
      </c>
    </row>
    <row r="61" spans="1:23" x14ac:dyDescent="0.3">
      <c r="A61">
        <v>2.9817167999999996</v>
      </c>
      <c r="B61">
        <v>0.62121000000000004</v>
      </c>
      <c r="C61">
        <f t="shared" si="1"/>
        <v>1.8522722933279998</v>
      </c>
      <c r="D61">
        <v>1.6299999999999999E-2</v>
      </c>
      <c r="E61">
        <v>2.8849251857154604E-3</v>
      </c>
      <c r="F61">
        <f t="shared" si="2"/>
        <v>596.34335999999996</v>
      </c>
      <c r="G61">
        <f t="shared" si="3"/>
        <v>-0.62121000000000004</v>
      </c>
      <c r="H61">
        <f t="shared" si="4"/>
        <v>-370.45445866559999</v>
      </c>
      <c r="I61">
        <v>1</v>
      </c>
      <c r="J61">
        <f t="shared" si="5"/>
        <v>-0.51693867042038599</v>
      </c>
      <c r="K61">
        <f t="shared" si="6"/>
        <v>-0.60051515177521742</v>
      </c>
      <c r="L61">
        <v>1</v>
      </c>
      <c r="M61">
        <f t="shared" si="7"/>
        <v>0.49080727022432596</v>
      </c>
      <c r="N61">
        <f t="shared" si="13"/>
        <v>4.8601983839999988E-2</v>
      </c>
      <c r="O61">
        <f t="shared" si="11"/>
        <v>8.6020298929909075E-3</v>
      </c>
      <c r="P61">
        <f t="shared" si="12"/>
        <v>5.2503867817900556E-2</v>
      </c>
      <c r="V61">
        <v>-0.30000000000001997</v>
      </c>
      <c r="W61">
        <f t="shared" si="9"/>
        <v>-0.50095999999999907</v>
      </c>
    </row>
    <row r="62" spans="1:23" x14ac:dyDescent="0.3">
      <c r="A62">
        <v>3.0336536000000001</v>
      </c>
      <c r="B62">
        <v>0.61875000000000002</v>
      </c>
      <c r="C62">
        <f t="shared" si="1"/>
        <v>1.8770731650000001</v>
      </c>
      <c r="D62">
        <v>1.6299999999999999E-2</v>
      </c>
      <c r="E62">
        <v>2.8849251857154604E-3</v>
      </c>
      <c r="F62">
        <f t="shared" si="2"/>
        <v>606.73072000000002</v>
      </c>
      <c r="G62">
        <f t="shared" si="3"/>
        <v>-0.61875000000000002</v>
      </c>
      <c r="H62">
        <f t="shared" si="4"/>
        <v>-375.41463300000004</v>
      </c>
      <c r="I62">
        <v>1</v>
      </c>
      <c r="J62">
        <f t="shared" si="5"/>
        <v>-0.49967021073525436</v>
      </c>
      <c r="K62">
        <f t="shared" si="6"/>
        <v>-0.60297515177521743</v>
      </c>
      <c r="L62">
        <v>1</v>
      </c>
      <c r="M62">
        <f t="shared" si="7"/>
        <v>0.49161543413759012</v>
      </c>
      <c r="N62">
        <f t="shared" si="13"/>
        <v>4.9448553679999993E-2</v>
      </c>
      <c r="O62">
        <f t="shared" si="11"/>
        <v>8.751863675376375E-3</v>
      </c>
      <c r="P62">
        <f t="shared" si="12"/>
        <v>5.3159300282250938E-2</v>
      </c>
      <c r="V62">
        <v>-0.20000000000002</v>
      </c>
      <c r="W62">
        <f t="shared" si="9"/>
        <v>-0.50563999999999909</v>
      </c>
    </row>
    <row r="63" spans="1:23" x14ac:dyDescent="0.3">
      <c r="A63">
        <v>3.0871176999999999</v>
      </c>
      <c r="B63">
        <v>0.61631999999999998</v>
      </c>
      <c r="C63">
        <f t="shared" si="1"/>
        <v>1.9026523808639999</v>
      </c>
      <c r="D63">
        <v>1.6299999999999999E-2</v>
      </c>
      <c r="E63">
        <v>2.8849251857154604E-3</v>
      </c>
      <c r="F63">
        <f t="shared" si="2"/>
        <v>617.42354</v>
      </c>
      <c r="G63">
        <f t="shared" si="3"/>
        <v>-0.61631999999999998</v>
      </c>
      <c r="H63">
        <f t="shared" si="4"/>
        <v>-380.53047617279998</v>
      </c>
      <c r="I63">
        <v>1</v>
      </c>
      <c r="J63">
        <f t="shared" si="5"/>
        <v>-0.48220004000891264</v>
      </c>
      <c r="K63">
        <f t="shared" si="6"/>
        <v>-0.60540515177521748</v>
      </c>
      <c r="L63">
        <v>1</v>
      </c>
      <c r="M63">
        <f t="shared" si="7"/>
        <v>0.49243303812758288</v>
      </c>
      <c r="N63">
        <f t="shared" si="13"/>
        <v>5.0320018509999995E-2</v>
      </c>
      <c r="O63">
        <f t="shared" si="11"/>
        <v>8.9061036039979839E-3</v>
      </c>
      <c r="P63">
        <f t="shared" si="12"/>
        <v>5.3745991533636621E-2</v>
      </c>
      <c r="V63">
        <v>-0.10000000000002</v>
      </c>
      <c r="W63">
        <f t="shared" si="9"/>
        <v>-0.51031999999999911</v>
      </c>
    </row>
    <row r="64" spans="1:23" x14ac:dyDescent="0.3">
      <c r="A64">
        <v>3.1400728</v>
      </c>
      <c r="B64">
        <v>0.61351</v>
      </c>
      <c r="C64">
        <f t="shared" si="1"/>
        <v>1.926466063528</v>
      </c>
      <c r="D64">
        <v>1.6299999999999999E-2</v>
      </c>
      <c r="E64">
        <v>2.8849251857154604E-3</v>
      </c>
      <c r="F64">
        <f t="shared" si="2"/>
        <v>628.01455999999996</v>
      </c>
      <c r="G64">
        <f t="shared" si="3"/>
        <v>-0.61351</v>
      </c>
      <c r="H64">
        <f t="shared" si="4"/>
        <v>-385.29321270560001</v>
      </c>
      <c r="I64">
        <v>1</v>
      </c>
      <c r="J64">
        <f t="shared" si="5"/>
        <v>-0.46519192806932391</v>
      </c>
      <c r="K64">
        <f t="shared" si="6"/>
        <v>-0.60821515177521746</v>
      </c>
      <c r="L64">
        <v>1</v>
      </c>
      <c r="M64">
        <f t="shared" si="7"/>
        <v>0.49322901776635564</v>
      </c>
      <c r="N64">
        <f t="shared" si="13"/>
        <v>5.1183186639999996E-2</v>
      </c>
      <c r="O64">
        <f t="shared" si="11"/>
        <v>9.058875105700066E-3</v>
      </c>
      <c r="P64">
        <f t="shared" si="12"/>
        <v>5.4744072263161761E-2</v>
      </c>
      <c r="V64">
        <v>-2.0428103653102899E-14</v>
      </c>
      <c r="W64">
        <f t="shared" si="9"/>
        <v>-0.51499999999999901</v>
      </c>
    </row>
    <row r="65" spans="1:23" x14ac:dyDescent="0.3">
      <c r="A65">
        <v>3.1915005000000001</v>
      </c>
      <c r="B65">
        <v>0.61099000000000003</v>
      </c>
      <c r="C65">
        <f t="shared" si="1"/>
        <v>1.9499748904950001</v>
      </c>
      <c r="D65">
        <v>1.6299999999999999E-2</v>
      </c>
      <c r="E65">
        <v>2.8849251857154604E-3</v>
      </c>
      <c r="F65">
        <f t="shared" si="2"/>
        <v>638.30010000000004</v>
      </c>
      <c r="G65">
        <f t="shared" si="3"/>
        <v>-0.61099000000000003</v>
      </c>
      <c r="H65">
        <f t="shared" si="4"/>
        <v>-389.99497809900004</v>
      </c>
      <c r="I65">
        <v>1</v>
      </c>
      <c r="J65">
        <f t="shared" si="5"/>
        <v>-0.44894673005399321</v>
      </c>
      <c r="K65">
        <f t="shared" si="6"/>
        <v>-0.61073515177521742</v>
      </c>
      <c r="L65">
        <v>1</v>
      </c>
      <c r="M65">
        <f t="shared" si="7"/>
        <v>0.49398929303347311</v>
      </c>
      <c r="N65">
        <f t="shared" si="13"/>
        <v>5.2021458149999998E-2</v>
      </c>
      <c r="O65">
        <f t="shared" si="11"/>
        <v>9.2072401726734851E-3</v>
      </c>
      <c r="P65">
        <f t="shared" si="12"/>
        <v>5.5517160419070823E-2</v>
      </c>
      <c r="V65">
        <v>9.9999999999980105E-2</v>
      </c>
      <c r="W65">
        <f t="shared" si="9"/>
        <v>-0.51967999999999903</v>
      </c>
    </row>
    <row r="66" spans="1:23" x14ac:dyDescent="0.3">
      <c r="A66">
        <v>3.2419096999999999</v>
      </c>
      <c r="B66">
        <v>0.60857000000000006</v>
      </c>
      <c r="C66">
        <f t="shared" si="1"/>
        <v>1.972928986129</v>
      </c>
      <c r="D66">
        <v>1.6299999999999999E-2</v>
      </c>
      <c r="E66">
        <v>2.8849251857154604E-3</v>
      </c>
      <c r="F66">
        <f t="shared" si="2"/>
        <v>648.38193999999999</v>
      </c>
      <c r="G66">
        <f t="shared" si="3"/>
        <v>-0.60857000000000006</v>
      </c>
      <c r="H66">
        <f t="shared" si="4"/>
        <v>-394.58579722579998</v>
      </c>
      <c r="I66">
        <v>1</v>
      </c>
      <c r="J66">
        <f t="shared" si="5"/>
        <v>-0.43327534268557427</v>
      </c>
      <c r="K66">
        <f t="shared" si="6"/>
        <v>-0.6131551517752174</v>
      </c>
      <c r="L66">
        <v>1</v>
      </c>
      <c r="M66">
        <f t="shared" si="7"/>
        <v>0.49472271396231515</v>
      </c>
      <c r="N66">
        <f t="shared" si="13"/>
        <v>5.2843128109999991E-2</v>
      </c>
      <c r="O66">
        <f t="shared" si="11"/>
        <v>9.3526669433452517E-3</v>
      </c>
      <c r="P66">
        <f t="shared" si="12"/>
        <v>5.6236642759556997E-2</v>
      </c>
      <c r="V66">
        <v>0.19999999999998</v>
      </c>
      <c r="W66">
        <f t="shared" si="9"/>
        <v>-0.52435999999999905</v>
      </c>
    </row>
    <row r="67" spans="1:23" x14ac:dyDescent="0.3">
      <c r="A67">
        <v>3.2928275999999999</v>
      </c>
      <c r="B67">
        <v>0.60607</v>
      </c>
      <c r="C67">
        <f t="shared" si="1"/>
        <v>1.9956840235319999</v>
      </c>
      <c r="D67">
        <v>1.6299999999999999E-2</v>
      </c>
      <c r="E67">
        <v>2.8849251857154604E-3</v>
      </c>
      <c r="F67">
        <f t="shared" si="2"/>
        <v>658.56551999999999</v>
      </c>
      <c r="G67">
        <f t="shared" si="3"/>
        <v>-0.60607</v>
      </c>
      <c r="H67">
        <f t="shared" si="4"/>
        <v>-399.13680470639997</v>
      </c>
      <c r="I67">
        <v>1</v>
      </c>
      <c r="J67">
        <f t="shared" si="5"/>
        <v>-0.41769126388743683</v>
      </c>
      <c r="K67">
        <f t="shared" si="6"/>
        <v>-0.61565515177521746</v>
      </c>
      <c r="L67">
        <v>1</v>
      </c>
      <c r="M67">
        <f t="shared" si="7"/>
        <v>0.49545204885006799</v>
      </c>
      <c r="N67">
        <f t="shared" si="13"/>
        <v>5.367308987999999E-2</v>
      </c>
      <c r="O67">
        <f t="shared" si="11"/>
        <v>9.4995612754589925E-3</v>
      </c>
      <c r="P67">
        <f t="shared" si="12"/>
        <v>5.7030451769690474E-2</v>
      </c>
      <c r="V67">
        <v>0.29999999999998</v>
      </c>
      <c r="W67">
        <f t="shared" si="9"/>
        <v>-0.52903999999999907</v>
      </c>
    </row>
    <row r="68" spans="1:23" x14ac:dyDescent="0.3">
      <c r="A68">
        <v>3.3432368000000001</v>
      </c>
      <c r="B68">
        <v>0.60389000000000004</v>
      </c>
      <c r="C68">
        <f t="shared" si="1"/>
        <v>2.0189472711520002</v>
      </c>
      <c r="D68">
        <v>1.6299999999999999E-2</v>
      </c>
      <c r="E68">
        <v>2.8849251857154604E-3</v>
      </c>
      <c r="F68">
        <f t="shared" si="2"/>
        <v>668.64736000000005</v>
      </c>
      <c r="G68">
        <f t="shared" si="3"/>
        <v>-0.60389000000000004</v>
      </c>
      <c r="H68">
        <f t="shared" si="4"/>
        <v>-403.78945423040005</v>
      </c>
      <c r="I68">
        <v>1</v>
      </c>
      <c r="J68">
        <f t="shared" si="5"/>
        <v>-0.40249847292507035</v>
      </c>
      <c r="K68">
        <f t="shared" si="6"/>
        <v>-0.61783515177521742</v>
      </c>
      <c r="L68">
        <v>1</v>
      </c>
      <c r="M68">
        <f t="shared" si="7"/>
        <v>0.4961630714671067</v>
      </c>
      <c r="N68">
        <f t="shared" si="13"/>
        <v>5.4494759839999997E-2</v>
      </c>
      <c r="O68">
        <f t="shared" si="11"/>
        <v>9.6449880461307626E-3</v>
      </c>
      <c r="P68">
        <f t="shared" si="12"/>
        <v>5.753233242197997E-2</v>
      </c>
      <c r="V68">
        <v>0.39999999999997998</v>
      </c>
      <c r="W68">
        <f t="shared" si="9"/>
        <v>-0.53371999999999908</v>
      </c>
    </row>
    <row r="69" spans="1:23" x14ac:dyDescent="0.3">
      <c r="A69">
        <v>3.3961920999999999</v>
      </c>
      <c r="B69">
        <v>0.60152000000000005</v>
      </c>
      <c r="C69">
        <f t="shared" ref="C69:C132" si="14">A69*B69</f>
        <v>2.042877471992</v>
      </c>
      <c r="D69">
        <v>1.6299999999999999E-2</v>
      </c>
      <c r="E69">
        <v>2.8849251857154604E-3</v>
      </c>
      <c r="F69">
        <f t="shared" ref="F69:F132" si="15">A69*200</f>
        <v>679.23842000000002</v>
      </c>
      <c r="G69">
        <f t="shared" ref="G69:G132" si="16">-B69</f>
        <v>-0.60152000000000005</v>
      </c>
      <c r="H69">
        <f t="shared" ref="H69:H132" si="17">-C69*200</f>
        <v>-408.5754943984</v>
      </c>
      <c r="I69">
        <v>1</v>
      </c>
      <c r="J69">
        <f t="shared" ref="J69:J132" si="18">LN(F69/1000)</f>
        <v>-0.38678307903594533</v>
      </c>
      <c r="K69">
        <f t="shared" ref="K69:K132" si="19">((-G69)-$N$2)</f>
        <v>-0.6202051517752174</v>
      </c>
      <c r="L69">
        <v>1</v>
      </c>
      <c r="M69">
        <f t="shared" ref="M69:M132" si="20">-1*($S$4+($S$5*J69))</f>
        <v>0.49689855190111776</v>
      </c>
      <c r="N69">
        <f t="shared" si="13"/>
        <v>5.5357931229999997E-2</v>
      </c>
      <c r="O69">
        <f t="shared" si="11"/>
        <v>9.7977601248178791E-3</v>
      </c>
      <c r="P69">
        <f t="shared" si="12"/>
        <v>5.8150908519281772E-2</v>
      </c>
      <c r="V69">
        <v>0.49999999999998002</v>
      </c>
      <c r="W69">
        <f t="shared" ref="W69:W132" si="21">V69*$S$5+$S$4</f>
        <v>-0.5383999999999991</v>
      </c>
    </row>
    <row r="70" spans="1:23" x14ac:dyDescent="0.3">
      <c r="A70">
        <v>3.449147</v>
      </c>
      <c r="B70">
        <v>0.59891000000000005</v>
      </c>
      <c r="C70">
        <f t="shared" si="14"/>
        <v>2.0657286297700002</v>
      </c>
      <c r="D70">
        <v>1.6299999999999999E-2</v>
      </c>
      <c r="E70">
        <v>2.8849251857154604E-3</v>
      </c>
      <c r="F70">
        <f t="shared" si="15"/>
        <v>689.82939999999996</v>
      </c>
      <c r="G70">
        <f t="shared" si="16"/>
        <v>-0.59891000000000005</v>
      </c>
      <c r="H70">
        <f t="shared" si="17"/>
        <v>-413.14572595400006</v>
      </c>
      <c r="I70">
        <v>1</v>
      </c>
      <c r="J70">
        <f t="shared" si="18"/>
        <v>-0.37131095833806815</v>
      </c>
      <c r="K70">
        <f t="shared" si="19"/>
        <v>-0.6228151517752174</v>
      </c>
      <c r="L70">
        <v>1</v>
      </c>
      <c r="M70">
        <f t="shared" si="20"/>
        <v>0.49762264714977844</v>
      </c>
      <c r="N70">
        <f t="shared" si="13"/>
        <v>5.6221096099999993E-2</v>
      </c>
      <c r="O70">
        <f t="shared" ref="O70:O133" si="22">E70*A70</f>
        <v>9.9505310495349233E-3</v>
      </c>
      <c r="P70">
        <f t="shared" ref="P70:P133" si="23">-K70-M70-N70-O70</f>
        <v>5.9020877475904045E-2</v>
      </c>
      <c r="V70">
        <v>0.59999999999997999</v>
      </c>
      <c r="W70">
        <f t="shared" si="21"/>
        <v>-0.54307999999999912</v>
      </c>
    </row>
    <row r="71" spans="1:23" x14ac:dyDescent="0.3">
      <c r="A71">
        <v>3.5000653999999995</v>
      </c>
      <c r="B71">
        <v>0.59663999999999995</v>
      </c>
      <c r="C71">
        <f t="shared" si="14"/>
        <v>2.0882790202559995</v>
      </c>
      <c r="D71">
        <v>1.6299999999999999E-2</v>
      </c>
      <c r="E71">
        <v>2.8849251857154604E-3</v>
      </c>
      <c r="F71">
        <f t="shared" si="15"/>
        <v>700.01307999999995</v>
      </c>
      <c r="G71">
        <f t="shared" si="16"/>
        <v>-0.59663999999999995</v>
      </c>
      <c r="H71">
        <f t="shared" si="17"/>
        <v>-417.65580405119988</v>
      </c>
      <c r="I71">
        <v>1</v>
      </c>
      <c r="J71">
        <f t="shared" si="18"/>
        <v>-0.35665625839902254</v>
      </c>
      <c r="K71">
        <f t="shared" si="19"/>
        <v>-0.62508515177521751</v>
      </c>
      <c r="L71">
        <v>1</v>
      </c>
      <c r="M71">
        <f t="shared" si="20"/>
        <v>0.49830848710692577</v>
      </c>
      <c r="N71">
        <f t="shared" ref="N71:N134" si="24">D71*A71</f>
        <v>5.7051066019999985E-2</v>
      </c>
      <c r="O71">
        <f t="shared" si="22"/>
        <v>1.0097426824111256E-2</v>
      </c>
      <c r="P71">
        <f t="shared" si="23"/>
        <v>5.9628171824180495E-2</v>
      </c>
      <c r="V71">
        <v>0.69999999999997997</v>
      </c>
      <c r="W71">
        <f t="shared" si="21"/>
        <v>-0.54775999999999903</v>
      </c>
    </row>
    <row r="72" spans="1:23" x14ac:dyDescent="0.3">
      <c r="A72">
        <v>3.5525112000000001</v>
      </c>
      <c r="B72">
        <v>0.59397999999999995</v>
      </c>
      <c r="C72">
        <f t="shared" si="14"/>
        <v>2.110120602576</v>
      </c>
      <c r="D72">
        <v>1.6299999999999999E-2</v>
      </c>
      <c r="E72">
        <v>2.8849251857154604E-3</v>
      </c>
      <c r="F72">
        <f t="shared" si="15"/>
        <v>710.50224000000003</v>
      </c>
      <c r="G72">
        <f t="shared" si="16"/>
        <v>-0.59397999999999995</v>
      </c>
      <c r="H72">
        <f t="shared" si="17"/>
        <v>-422.02412051520002</v>
      </c>
      <c r="I72">
        <v>1</v>
      </c>
      <c r="J72">
        <f t="shared" si="18"/>
        <v>-0.34178317874059183</v>
      </c>
      <c r="K72">
        <f t="shared" si="19"/>
        <v>-0.6277451517752175</v>
      </c>
      <c r="L72">
        <v>1</v>
      </c>
      <c r="M72">
        <f t="shared" si="20"/>
        <v>0.49900454723494031</v>
      </c>
      <c r="N72">
        <f t="shared" si="24"/>
        <v>5.7905932559999998E-2</v>
      </c>
      <c r="O72">
        <f t="shared" si="22"/>
        <v>1.0248729033416254E-2</v>
      </c>
      <c r="P72">
        <f t="shared" si="23"/>
        <v>6.0585942946860941E-2</v>
      </c>
      <c r="V72">
        <v>0.79999999999997995</v>
      </c>
      <c r="W72">
        <f t="shared" si="21"/>
        <v>-0.55243999999999904</v>
      </c>
    </row>
    <row r="73" spans="1:23" x14ac:dyDescent="0.3">
      <c r="A73">
        <v>3.6049570000000002</v>
      </c>
      <c r="B73">
        <v>0.59169000000000005</v>
      </c>
      <c r="C73">
        <f t="shared" si="14"/>
        <v>2.1330170073300003</v>
      </c>
      <c r="D73">
        <v>1.6299999999999999E-2</v>
      </c>
      <c r="E73">
        <v>2.8849251857154604E-3</v>
      </c>
      <c r="F73">
        <f t="shared" si="15"/>
        <v>720.9914</v>
      </c>
      <c r="G73">
        <f t="shared" si="16"/>
        <v>-0.59169000000000005</v>
      </c>
      <c r="H73">
        <f t="shared" si="17"/>
        <v>-426.60340146600004</v>
      </c>
      <c r="I73">
        <v>1</v>
      </c>
      <c r="J73">
        <f t="shared" si="18"/>
        <v>-0.32712806964627306</v>
      </c>
      <c r="K73">
        <f t="shared" si="19"/>
        <v>-0.63003515177521741</v>
      </c>
      <c r="L73">
        <v>1</v>
      </c>
      <c r="M73">
        <f t="shared" si="20"/>
        <v>0.49969040634055445</v>
      </c>
      <c r="N73">
        <f t="shared" si="24"/>
        <v>5.8760799099999997E-2</v>
      </c>
      <c r="O73">
        <f t="shared" si="22"/>
        <v>1.040003124272125E-2</v>
      </c>
      <c r="P73">
        <f t="shared" si="23"/>
        <v>6.118391509194171E-2</v>
      </c>
      <c r="V73">
        <v>0.89999999999998004</v>
      </c>
      <c r="W73">
        <f t="shared" si="21"/>
        <v>-0.55711999999999906</v>
      </c>
    </row>
    <row r="74" spans="1:23" x14ac:dyDescent="0.3">
      <c r="A74">
        <v>3.6558755000000001</v>
      </c>
      <c r="B74">
        <v>0.58904000000000001</v>
      </c>
      <c r="C74">
        <f t="shared" si="14"/>
        <v>2.15345690452</v>
      </c>
      <c r="D74">
        <v>1.6299999999999999E-2</v>
      </c>
      <c r="E74">
        <v>2.8849251857154604E-3</v>
      </c>
      <c r="F74">
        <f t="shared" si="15"/>
        <v>731.17510000000004</v>
      </c>
      <c r="G74">
        <f t="shared" si="16"/>
        <v>-0.58904000000000001</v>
      </c>
      <c r="H74">
        <f t="shared" si="17"/>
        <v>-430.69138090400003</v>
      </c>
      <c r="I74">
        <v>1</v>
      </c>
      <c r="J74">
        <f t="shared" si="18"/>
        <v>-0.31310231303253733</v>
      </c>
      <c r="K74">
        <f t="shared" si="19"/>
        <v>-0.63268515177521745</v>
      </c>
      <c r="L74">
        <v>1</v>
      </c>
      <c r="M74">
        <f t="shared" si="20"/>
        <v>0.50034681175007722</v>
      </c>
      <c r="N74">
        <f t="shared" si="24"/>
        <v>5.9590770649999993E-2</v>
      </c>
      <c r="O74">
        <f t="shared" si="22"/>
        <v>1.0546927305790101E-2</v>
      </c>
      <c r="P74">
        <f t="shared" si="23"/>
        <v>6.2200642069350137E-2</v>
      </c>
      <c r="V74">
        <v>0.99999999999998002</v>
      </c>
      <c r="W74">
        <f t="shared" si="21"/>
        <v>-0.56179999999999908</v>
      </c>
    </row>
    <row r="75" spans="1:23" x14ac:dyDescent="0.3">
      <c r="A75">
        <v>3.7062846999999999</v>
      </c>
      <c r="B75">
        <v>0.58697999999999995</v>
      </c>
      <c r="C75">
        <f t="shared" si="14"/>
        <v>2.1755149932059998</v>
      </c>
      <c r="D75">
        <v>1.6299999999999999E-2</v>
      </c>
      <c r="E75">
        <v>2.8849251857154604E-3</v>
      </c>
      <c r="F75">
        <f t="shared" si="15"/>
        <v>741.25693999999999</v>
      </c>
      <c r="G75">
        <f t="shared" si="16"/>
        <v>-0.58697999999999995</v>
      </c>
      <c r="H75">
        <f t="shared" si="17"/>
        <v>-435.10299864119997</v>
      </c>
      <c r="I75">
        <v>1</v>
      </c>
      <c r="J75">
        <f t="shared" si="18"/>
        <v>-0.29940796615079263</v>
      </c>
      <c r="K75">
        <f t="shared" si="19"/>
        <v>-0.63474515177521751</v>
      </c>
      <c r="L75">
        <v>1</v>
      </c>
      <c r="M75">
        <f t="shared" si="20"/>
        <v>0.50098770718414287</v>
      </c>
      <c r="N75">
        <f t="shared" si="24"/>
        <v>6.0412440609999993E-2</v>
      </c>
      <c r="O75">
        <f t="shared" si="22"/>
        <v>1.0692354076461869E-2</v>
      </c>
      <c r="P75">
        <f t="shared" si="23"/>
        <v>6.2652649904612778E-2</v>
      </c>
      <c r="V75">
        <v>1.0999999999999699</v>
      </c>
      <c r="W75">
        <f t="shared" si="21"/>
        <v>-0.56647999999999865</v>
      </c>
    </row>
    <row r="76" spans="1:23" x14ac:dyDescent="0.3">
      <c r="A76">
        <v>3.7566935999999997</v>
      </c>
      <c r="B76">
        <v>0.58465</v>
      </c>
      <c r="C76">
        <f t="shared" si="14"/>
        <v>2.1963509132399999</v>
      </c>
      <c r="D76">
        <v>1.6299999999999999E-2</v>
      </c>
      <c r="E76">
        <v>2.8849251857154604E-3</v>
      </c>
      <c r="F76">
        <f t="shared" si="15"/>
        <v>751.33871999999997</v>
      </c>
      <c r="G76">
        <f t="shared" si="16"/>
        <v>-0.58465</v>
      </c>
      <c r="H76">
        <f t="shared" si="17"/>
        <v>-439.27018264799995</v>
      </c>
      <c r="I76">
        <v>1</v>
      </c>
      <c r="J76">
        <f t="shared" si="18"/>
        <v>-0.28589870359973946</v>
      </c>
      <c r="K76">
        <f t="shared" si="19"/>
        <v>-0.63707515177521745</v>
      </c>
      <c r="L76">
        <v>1</v>
      </c>
      <c r="M76">
        <f t="shared" si="20"/>
        <v>0.50161994067153226</v>
      </c>
      <c r="N76">
        <f t="shared" si="24"/>
        <v>6.1234105679999991E-2</v>
      </c>
      <c r="O76">
        <f t="shared" si="22"/>
        <v>1.083777998165608E-2</v>
      </c>
      <c r="P76">
        <f t="shared" si="23"/>
        <v>6.3383325442029126E-2</v>
      </c>
      <c r="V76">
        <v>1.19999999999997</v>
      </c>
      <c r="W76">
        <f t="shared" si="21"/>
        <v>-0.57115999999999856</v>
      </c>
    </row>
    <row r="77" spans="1:23" x14ac:dyDescent="0.3">
      <c r="A77">
        <v>3.8081211000000001</v>
      </c>
      <c r="B77">
        <v>0.58203000000000005</v>
      </c>
      <c r="C77">
        <f t="shared" si="14"/>
        <v>2.2164407238330002</v>
      </c>
      <c r="D77">
        <v>1.6299999999999999E-2</v>
      </c>
      <c r="E77">
        <v>2.8849251857154604E-3</v>
      </c>
      <c r="F77">
        <f t="shared" si="15"/>
        <v>761.62422000000004</v>
      </c>
      <c r="G77">
        <f t="shared" si="16"/>
        <v>-0.58203000000000005</v>
      </c>
      <c r="H77">
        <f t="shared" si="17"/>
        <v>-443.28814476660006</v>
      </c>
      <c r="I77">
        <v>1</v>
      </c>
      <c r="J77">
        <f t="shared" si="18"/>
        <v>-0.27230199454004922</v>
      </c>
      <c r="K77">
        <f t="shared" si="19"/>
        <v>-0.63969515177521741</v>
      </c>
      <c r="L77">
        <v>1</v>
      </c>
      <c r="M77">
        <f t="shared" si="20"/>
        <v>0.5022562666555257</v>
      </c>
      <c r="N77">
        <f t="shared" si="24"/>
        <v>6.2072373929999994E-2</v>
      </c>
      <c r="O77">
        <f t="shared" si="22"/>
        <v>1.0986144471644463E-2</v>
      </c>
      <c r="P77">
        <f t="shared" si="23"/>
        <v>6.4380366718047255E-2</v>
      </c>
      <c r="V77">
        <v>1.2999999999999701</v>
      </c>
      <c r="W77">
        <f t="shared" si="21"/>
        <v>-0.57583999999999858</v>
      </c>
    </row>
    <row r="78" spans="1:23" x14ac:dyDescent="0.3">
      <c r="A78">
        <v>3.8595486000000001</v>
      </c>
      <c r="B78">
        <v>0.57972000000000001</v>
      </c>
      <c r="C78">
        <f t="shared" si="14"/>
        <v>2.2374575143920001</v>
      </c>
      <c r="D78">
        <v>1.6299999999999999E-2</v>
      </c>
      <c r="E78">
        <v>2.8849251857154604E-3</v>
      </c>
      <c r="F78">
        <f t="shared" si="15"/>
        <v>771.90971999999999</v>
      </c>
      <c r="G78">
        <f t="shared" si="16"/>
        <v>-0.57972000000000001</v>
      </c>
      <c r="H78">
        <f t="shared" si="17"/>
        <v>-447.49150287840001</v>
      </c>
      <c r="I78">
        <v>1</v>
      </c>
      <c r="J78">
        <f t="shared" si="18"/>
        <v>-0.25888767880090857</v>
      </c>
      <c r="K78">
        <f t="shared" si="19"/>
        <v>-0.64200515177521744</v>
      </c>
      <c r="L78">
        <v>1</v>
      </c>
      <c r="M78">
        <f t="shared" si="20"/>
        <v>0.50288405663211744</v>
      </c>
      <c r="N78">
        <f t="shared" si="24"/>
        <v>6.291064217999999E-2</v>
      </c>
      <c r="O78">
        <f t="shared" si="22"/>
        <v>1.1134508961632846E-2</v>
      </c>
      <c r="P78">
        <f t="shared" si="23"/>
        <v>6.507594400146717E-2</v>
      </c>
      <c r="V78">
        <v>1.3999999999999699</v>
      </c>
      <c r="W78">
        <f t="shared" si="21"/>
        <v>-0.58051999999999859</v>
      </c>
    </row>
    <row r="79" spans="1:23" x14ac:dyDescent="0.3">
      <c r="A79">
        <v>3.9109766000000001</v>
      </c>
      <c r="B79">
        <v>0.57748999999999995</v>
      </c>
      <c r="C79">
        <f t="shared" si="14"/>
        <v>2.258549876734</v>
      </c>
      <c r="D79">
        <v>1.6299999999999999E-2</v>
      </c>
      <c r="E79">
        <v>2.8849251857154604E-3</v>
      </c>
      <c r="F79">
        <f t="shared" si="15"/>
        <v>782.19532000000004</v>
      </c>
      <c r="G79">
        <f t="shared" si="16"/>
        <v>-0.57748999999999995</v>
      </c>
      <c r="H79">
        <f t="shared" si="17"/>
        <v>-451.70997534679998</v>
      </c>
      <c r="I79">
        <v>1</v>
      </c>
      <c r="J79">
        <f t="shared" si="18"/>
        <v>-0.24565079980314281</v>
      </c>
      <c r="K79">
        <f t="shared" si="19"/>
        <v>-0.64423515177521751</v>
      </c>
      <c r="L79">
        <v>1</v>
      </c>
      <c r="M79">
        <f t="shared" si="20"/>
        <v>0.50350354256921293</v>
      </c>
      <c r="N79">
        <f t="shared" si="24"/>
        <v>6.3748918579999994E-2</v>
      </c>
      <c r="O79">
        <f t="shared" si="22"/>
        <v>1.1282874894083821E-2</v>
      </c>
      <c r="P79">
        <f t="shared" si="23"/>
        <v>6.5699815731920769E-2</v>
      </c>
      <c r="V79">
        <v>1.49999999999997</v>
      </c>
      <c r="W79">
        <f t="shared" si="21"/>
        <v>-0.58519999999999861</v>
      </c>
    </row>
    <row r="80" spans="1:23" x14ac:dyDescent="0.3">
      <c r="A80">
        <v>3.9639314000000003</v>
      </c>
      <c r="B80">
        <v>0.57513999999999998</v>
      </c>
      <c r="C80">
        <f t="shared" si="14"/>
        <v>2.2798155053960003</v>
      </c>
      <c r="D80">
        <v>1.6299999999999999E-2</v>
      </c>
      <c r="E80">
        <v>2.8849251857154604E-3</v>
      </c>
      <c r="F80">
        <f t="shared" si="15"/>
        <v>792.78628000000003</v>
      </c>
      <c r="G80">
        <f t="shared" si="16"/>
        <v>-0.57513999999999998</v>
      </c>
      <c r="H80">
        <f t="shared" si="17"/>
        <v>-455.96310107920004</v>
      </c>
      <c r="I80">
        <v>1</v>
      </c>
      <c r="J80">
        <f t="shared" si="18"/>
        <v>-0.23220160186787087</v>
      </c>
      <c r="K80">
        <f t="shared" si="19"/>
        <v>-0.64658515177521747</v>
      </c>
      <c r="L80">
        <v>1</v>
      </c>
      <c r="M80">
        <f t="shared" si="20"/>
        <v>0.50413296503258365</v>
      </c>
      <c r="N80">
        <f t="shared" si="24"/>
        <v>6.461208182E-2</v>
      </c>
      <c r="O80">
        <f t="shared" si="22"/>
        <v>1.1435645530308345E-2</v>
      </c>
      <c r="P80">
        <f t="shared" si="23"/>
        <v>6.6404459392325477E-2</v>
      </c>
      <c r="V80">
        <v>1.5999999999999699</v>
      </c>
      <c r="W80">
        <f t="shared" si="21"/>
        <v>-0.58987999999999863</v>
      </c>
    </row>
    <row r="81" spans="1:23" x14ac:dyDescent="0.3">
      <c r="A81">
        <v>4.0143405999999997</v>
      </c>
      <c r="B81">
        <v>0.57291999999999998</v>
      </c>
      <c r="C81">
        <f t="shared" si="14"/>
        <v>2.2998960165519997</v>
      </c>
      <c r="D81">
        <v>1.6299999999999999E-2</v>
      </c>
      <c r="E81">
        <v>2.8849251857154604E-3</v>
      </c>
      <c r="F81">
        <f t="shared" si="15"/>
        <v>802.86811999999998</v>
      </c>
      <c r="G81">
        <f t="shared" si="16"/>
        <v>-0.57291999999999998</v>
      </c>
      <c r="H81">
        <f t="shared" si="17"/>
        <v>-459.97920331039995</v>
      </c>
      <c r="I81">
        <v>1</v>
      </c>
      <c r="J81">
        <f t="shared" si="18"/>
        <v>-0.21956481264531799</v>
      </c>
      <c r="K81">
        <f t="shared" si="19"/>
        <v>-0.64880515177521747</v>
      </c>
      <c r="L81">
        <v>1</v>
      </c>
      <c r="M81">
        <f t="shared" si="20"/>
        <v>0.5047243667681991</v>
      </c>
      <c r="N81">
        <f t="shared" si="24"/>
        <v>6.5433751779999993E-2</v>
      </c>
      <c r="O81">
        <f t="shared" si="22"/>
        <v>1.1581072300980112E-2</v>
      </c>
      <c r="P81">
        <f t="shared" si="23"/>
        <v>6.7065960926038268E-2</v>
      </c>
      <c r="V81">
        <v>1.69999999999997</v>
      </c>
      <c r="W81">
        <f t="shared" si="21"/>
        <v>-0.59455999999999865</v>
      </c>
    </row>
    <row r="82" spans="1:23" x14ac:dyDescent="0.3">
      <c r="A82">
        <v>4.0647494999999996</v>
      </c>
      <c r="B82">
        <v>0.57042000000000004</v>
      </c>
      <c r="C82">
        <f t="shared" si="14"/>
        <v>2.3186144097899999</v>
      </c>
      <c r="D82">
        <v>1.6299999999999999E-2</v>
      </c>
      <c r="E82">
        <v>2.8849251857154604E-3</v>
      </c>
      <c r="F82">
        <f t="shared" si="15"/>
        <v>812.94989999999996</v>
      </c>
      <c r="G82">
        <f t="shared" si="16"/>
        <v>-0.57042000000000004</v>
      </c>
      <c r="H82">
        <f t="shared" si="17"/>
        <v>-463.72288195799996</v>
      </c>
      <c r="I82">
        <v>1</v>
      </c>
      <c r="J82">
        <f t="shared" si="18"/>
        <v>-0.20708579494937568</v>
      </c>
      <c r="K82">
        <f t="shared" si="19"/>
        <v>-0.65130515177521742</v>
      </c>
      <c r="L82">
        <v>1</v>
      </c>
      <c r="M82">
        <f t="shared" si="20"/>
        <v>0.50530838479636919</v>
      </c>
      <c r="N82">
        <f t="shared" si="24"/>
        <v>6.6255416849999985E-2</v>
      </c>
      <c r="O82">
        <f t="shared" si="22"/>
        <v>1.1726498206174324E-2</v>
      </c>
      <c r="P82">
        <f t="shared" si="23"/>
        <v>6.8014851922673911E-2</v>
      </c>
      <c r="V82">
        <v>1.7999999999999701</v>
      </c>
      <c r="W82">
        <f t="shared" si="21"/>
        <v>-0.59923999999999866</v>
      </c>
    </row>
    <row r="83" spans="1:23" x14ac:dyDescent="0.3">
      <c r="A83">
        <v>4.1161772000000001</v>
      </c>
      <c r="B83">
        <v>0.56840000000000002</v>
      </c>
      <c r="C83">
        <f t="shared" si="14"/>
        <v>2.3396351204800001</v>
      </c>
      <c r="D83">
        <v>1.6299999999999999E-2</v>
      </c>
      <c r="E83">
        <v>2.8849251857154604E-3</v>
      </c>
      <c r="F83">
        <f t="shared" si="15"/>
        <v>823.23544000000004</v>
      </c>
      <c r="G83">
        <f t="shared" si="16"/>
        <v>-0.56840000000000002</v>
      </c>
      <c r="H83">
        <f t="shared" si="17"/>
        <v>-467.92702409600003</v>
      </c>
      <c r="I83">
        <v>1</v>
      </c>
      <c r="J83">
        <f t="shared" si="18"/>
        <v>-0.19451304388266985</v>
      </c>
      <c r="K83">
        <f t="shared" si="19"/>
        <v>-0.65332515177521744</v>
      </c>
      <c r="L83">
        <v>1</v>
      </c>
      <c r="M83">
        <f t="shared" si="20"/>
        <v>0.50589678954629103</v>
      </c>
      <c r="N83">
        <f t="shared" si="24"/>
        <v>6.7093688360000001E-2</v>
      </c>
      <c r="O83">
        <f t="shared" si="22"/>
        <v>1.1874863273147743E-2</v>
      </c>
      <c r="P83">
        <f t="shared" si="23"/>
        <v>6.8459810595778672E-2</v>
      </c>
      <c r="V83">
        <v>1.8999999999999699</v>
      </c>
      <c r="W83">
        <f t="shared" si="21"/>
        <v>-0.60391999999999857</v>
      </c>
    </row>
    <row r="84" spans="1:23" x14ac:dyDescent="0.3">
      <c r="A84">
        <v>4.1665863999999999</v>
      </c>
      <c r="B84">
        <v>0.56596999999999997</v>
      </c>
      <c r="C84">
        <f t="shared" si="14"/>
        <v>2.3581629048079997</v>
      </c>
      <c r="D84">
        <v>1.6299999999999999E-2</v>
      </c>
      <c r="E84">
        <v>2.8849251857154604E-3</v>
      </c>
      <c r="F84">
        <f t="shared" si="15"/>
        <v>833.31727999999998</v>
      </c>
      <c r="G84">
        <f t="shared" si="16"/>
        <v>-0.56596999999999997</v>
      </c>
      <c r="H84">
        <f t="shared" si="17"/>
        <v>-471.63258096159996</v>
      </c>
      <c r="I84">
        <v>1</v>
      </c>
      <c r="J84">
        <f t="shared" si="18"/>
        <v>-0.18234082097950793</v>
      </c>
      <c r="K84">
        <f t="shared" si="19"/>
        <v>-0.65575515177521748</v>
      </c>
      <c r="L84">
        <v>1</v>
      </c>
      <c r="M84">
        <f t="shared" si="20"/>
        <v>0.50646644957815901</v>
      </c>
      <c r="N84">
        <f t="shared" si="24"/>
        <v>6.7915358319999994E-2</v>
      </c>
      <c r="O84">
        <f t="shared" si="22"/>
        <v>1.2020290043819512E-2</v>
      </c>
      <c r="P84">
        <f t="shared" si="23"/>
        <v>6.9353053833238976E-2</v>
      </c>
      <c r="V84">
        <v>1.99999999999997</v>
      </c>
      <c r="W84">
        <f t="shared" si="21"/>
        <v>-0.60859999999999859</v>
      </c>
    </row>
    <row r="85" spans="1:23" x14ac:dyDescent="0.3">
      <c r="A85">
        <v>4.2190327000000005</v>
      </c>
      <c r="B85">
        <v>0.56352999999999998</v>
      </c>
      <c r="C85">
        <f t="shared" si="14"/>
        <v>2.3775514974310004</v>
      </c>
      <c r="D85">
        <v>1.6299999999999999E-2</v>
      </c>
      <c r="E85">
        <v>2.8849251857154604E-3</v>
      </c>
      <c r="F85">
        <f t="shared" si="15"/>
        <v>843.80654000000015</v>
      </c>
      <c r="G85">
        <f t="shared" si="16"/>
        <v>-0.56352999999999998</v>
      </c>
      <c r="H85">
        <f t="shared" si="17"/>
        <v>-475.5102994862001</v>
      </c>
      <c r="I85">
        <v>1</v>
      </c>
      <c r="J85">
        <f t="shared" si="18"/>
        <v>-0.16983202867012154</v>
      </c>
      <c r="K85">
        <f t="shared" si="19"/>
        <v>-0.65819515177521748</v>
      </c>
      <c r="L85">
        <v>1</v>
      </c>
      <c r="M85">
        <f t="shared" si="20"/>
        <v>0.5070518610582383</v>
      </c>
      <c r="N85">
        <f t="shared" si="24"/>
        <v>6.8770233010000001E-2</v>
      </c>
      <c r="O85">
        <f t="shared" si="22"/>
        <v>1.2171593695587101E-2</v>
      </c>
      <c r="P85">
        <f t="shared" si="23"/>
        <v>7.0201464011392087E-2</v>
      </c>
      <c r="V85">
        <v>2.0999999999999699</v>
      </c>
      <c r="W85">
        <f t="shared" si="21"/>
        <v>-0.6132799999999986</v>
      </c>
    </row>
    <row r="86" spans="1:23" x14ac:dyDescent="0.3">
      <c r="A86">
        <v>4.2714784999999997</v>
      </c>
      <c r="B86">
        <v>0.56147000000000002</v>
      </c>
      <c r="C86">
        <f t="shared" si="14"/>
        <v>2.3983070333950001</v>
      </c>
      <c r="D86">
        <v>1.6299999999999999E-2</v>
      </c>
      <c r="E86">
        <v>2.8849251857154604E-3</v>
      </c>
      <c r="F86">
        <f t="shared" si="15"/>
        <v>854.2956999999999</v>
      </c>
      <c r="G86">
        <f t="shared" si="16"/>
        <v>-0.56147000000000002</v>
      </c>
      <c r="H86">
        <f t="shared" si="17"/>
        <v>-479.66140667900004</v>
      </c>
      <c r="I86">
        <v>1</v>
      </c>
      <c r="J86">
        <f t="shared" si="18"/>
        <v>-0.15747789219787778</v>
      </c>
      <c r="K86">
        <f t="shared" si="19"/>
        <v>-0.66025515177521743</v>
      </c>
      <c r="L86">
        <v>1</v>
      </c>
      <c r="M86">
        <f t="shared" si="20"/>
        <v>0.50763003464513934</v>
      </c>
      <c r="N86">
        <f t="shared" si="24"/>
        <v>6.9625099549999986E-2</v>
      </c>
      <c r="O86">
        <f t="shared" si="22"/>
        <v>1.2322895904892096E-2</v>
      </c>
      <c r="P86">
        <f t="shared" si="23"/>
        <v>7.0677121675186014E-2</v>
      </c>
      <c r="V86">
        <v>2.19999999999997</v>
      </c>
      <c r="W86">
        <f t="shared" si="21"/>
        <v>-0.61795999999999862</v>
      </c>
    </row>
    <row r="87" spans="1:23" x14ac:dyDescent="0.3">
      <c r="A87">
        <v>4.3234149999999998</v>
      </c>
      <c r="B87">
        <v>0.55900000000000005</v>
      </c>
      <c r="C87">
        <f t="shared" si="14"/>
        <v>2.4167889850000002</v>
      </c>
      <c r="D87">
        <v>1.6299999999999999E-2</v>
      </c>
      <c r="E87">
        <v>2.8849251857154604E-3</v>
      </c>
      <c r="F87">
        <f t="shared" si="15"/>
        <v>864.68299999999999</v>
      </c>
      <c r="G87">
        <f t="shared" si="16"/>
        <v>-0.55900000000000005</v>
      </c>
      <c r="H87">
        <f t="shared" si="17"/>
        <v>-483.35779700000001</v>
      </c>
      <c r="I87">
        <v>1</v>
      </c>
      <c r="J87">
        <f t="shared" si="18"/>
        <v>-0.14539231320669987</v>
      </c>
      <c r="K87">
        <f t="shared" si="19"/>
        <v>-0.6627251517752174</v>
      </c>
      <c r="L87">
        <v>1</v>
      </c>
      <c r="M87">
        <f t="shared" si="20"/>
        <v>0.5081956397419265</v>
      </c>
      <c r="N87">
        <f t="shared" si="24"/>
        <v>7.0471664499999989E-2</v>
      </c>
      <c r="O87">
        <f t="shared" si="22"/>
        <v>1.2472728821800007E-2</v>
      </c>
      <c r="P87">
        <f t="shared" si="23"/>
        <v>7.1585118711490911E-2</v>
      </c>
      <c r="V87">
        <v>2.2999999999999701</v>
      </c>
      <c r="W87">
        <f t="shared" si="21"/>
        <v>-0.62263999999999864</v>
      </c>
    </row>
    <row r="88" spans="1:23" x14ac:dyDescent="0.3">
      <c r="A88">
        <v>4.3763700999999999</v>
      </c>
      <c r="B88">
        <v>0.55652000000000001</v>
      </c>
      <c r="C88">
        <f t="shared" si="14"/>
        <v>2.4355374880520002</v>
      </c>
      <c r="D88">
        <v>1.6299999999999999E-2</v>
      </c>
      <c r="E88">
        <v>2.8849251857154604E-3</v>
      </c>
      <c r="F88">
        <f t="shared" si="15"/>
        <v>875.27401999999995</v>
      </c>
      <c r="G88">
        <f t="shared" si="16"/>
        <v>-0.55652000000000001</v>
      </c>
      <c r="H88">
        <f t="shared" si="17"/>
        <v>-487.10749761040006</v>
      </c>
      <c r="I88">
        <v>1</v>
      </c>
      <c r="J88">
        <f t="shared" si="18"/>
        <v>-0.13321827593638397</v>
      </c>
      <c r="K88">
        <f t="shared" si="19"/>
        <v>-0.66520515177521744</v>
      </c>
      <c r="L88">
        <v>1</v>
      </c>
      <c r="M88">
        <f t="shared" si="20"/>
        <v>0.50876538468617727</v>
      </c>
      <c r="N88">
        <f t="shared" si="24"/>
        <v>7.1334832629999997E-2</v>
      </c>
      <c r="O88">
        <f t="shared" si="22"/>
        <v>1.2625500323502088E-2</v>
      </c>
      <c r="P88">
        <f t="shared" si="23"/>
        <v>7.247943413553809E-2</v>
      </c>
      <c r="V88">
        <v>2.3999999999999702</v>
      </c>
      <c r="W88">
        <f t="shared" si="21"/>
        <v>-0.62731999999999866</v>
      </c>
    </row>
    <row r="89" spans="1:23" x14ac:dyDescent="0.3">
      <c r="A89">
        <v>4.4272885999999998</v>
      </c>
      <c r="B89">
        <v>0.55432999999999999</v>
      </c>
      <c r="C89">
        <f t="shared" si="14"/>
        <v>2.4541788896379999</v>
      </c>
      <c r="D89">
        <v>1.6299999999999999E-2</v>
      </c>
      <c r="E89">
        <v>2.8849251857154604E-3</v>
      </c>
      <c r="F89">
        <f t="shared" si="15"/>
        <v>885.45771999999999</v>
      </c>
      <c r="G89">
        <f t="shared" si="16"/>
        <v>-0.55432999999999999</v>
      </c>
      <c r="H89">
        <f t="shared" si="17"/>
        <v>-490.83577792759996</v>
      </c>
      <c r="I89">
        <v>1</v>
      </c>
      <c r="J89">
        <f t="shared" si="18"/>
        <v>-0.12165056993474793</v>
      </c>
      <c r="K89">
        <f t="shared" si="19"/>
        <v>-0.66739515177521747</v>
      </c>
      <c r="L89">
        <v>1</v>
      </c>
      <c r="M89">
        <f t="shared" si="20"/>
        <v>0.50930675332705377</v>
      </c>
      <c r="N89">
        <f t="shared" si="24"/>
        <v>7.2164804179999986E-2</v>
      </c>
      <c r="O89">
        <f t="shared" si="22"/>
        <v>1.277239638657094E-2</v>
      </c>
      <c r="P89">
        <f t="shared" si="23"/>
        <v>7.3151197881592772E-2</v>
      </c>
      <c r="V89">
        <v>2.4999999999999698</v>
      </c>
      <c r="W89">
        <f t="shared" si="21"/>
        <v>-0.63199999999999856</v>
      </c>
    </row>
    <row r="90" spans="1:23" x14ac:dyDescent="0.3">
      <c r="A90">
        <v>4.4787157999999998</v>
      </c>
      <c r="B90">
        <v>0.55201999999999996</v>
      </c>
      <c r="C90">
        <f t="shared" si="14"/>
        <v>2.4723406959159995</v>
      </c>
      <c r="D90">
        <v>1.6299999999999999E-2</v>
      </c>
      <c r="E90">
        <v>2.8849251857154604E-3</v>
      </c>
      <c r="F90">
        <f t="shared" si="15"/>
        <v>895.74315999999999</v>
      </c>
      <c r="G90">
        <f t="shared" si="16"/>
        <v>-0.55201999999999996</v>
      </c>
      <c r="H90">
        <f t="shared" si="17"/>
        <v>-494.46813918319992</v>
      </c>
      <c r="I90">
        <v>1</v>
      </c>
      <c r="J90">
        <f t="shared" si="18"/>
        <v>-0.11010155888539702</v>
      </c>
      <c r="K90">
        <f t="shared" si="19"/>
        <v>-0.6697051517752175</v>
      </c>
      <c r="L90">
        <v>1</v>
      </c>
      <c r="M90">
        <f t="shared" si="20"/>
        <v>0.5098472470441634</v>
      </c>
      <c r="N90">
        <f t="shared" si="24"/>
        <v>7.3003067539999994E-2</v>
      </c>
      <c r="O90">
        <f t="shared" si="22"/>
        <v>1.2920760011081766E-2</v>
      </c>
      <c r="P90">
        <f t="shared" si="23"/>
        <v>7.3934077179972343E-2</v>
      </c>
      <c r="V90">
        <v>2.5999999999999699</v>
      </c>
      <c r="W90">
        <f t="shared" si="21"/>
        <v>-0.63667999999999858</v>
      </c>
    </row>
    <row r="91" spans="1:23" x14ac:dyDescent="0.3">
      <c r="A91">
        <v>4.5296343000000006</v>
      </c>
      <c r="B91">
        <v>0.54966999999999999</v>
      </c>
      <c r="C91">
        <f t="shared" si="14"/>
        <v>2.4898040856810004</v>
      </c>
      <c r="D91">
        <v>1.6299999999999999E-2</v>
      </c>
      <c r="E91">
        <v>2.8849251857154604E-3</v>
      </c>
      <c r="F91">
        <f t="shared" si="15"/>
        <v>905.92686000000015</v>
      </c>
      <c r="G91">
        <f t="shared" si="16"/>
        <v>-0.54966999999999999</v>
      </c>
      <c r="H91">
        <f t="shared" si="17"/>
        <v>-497.96081713620009</v>
      </c>
      <c r="I91">
        <v>1</v>
      </c>
      <c r="J91">
        <f t="shared" si="18"/>
        <v>-9.8796704674697658E-2</v>
      </c>
      <c r="K91">
        <f t="shared" si="19"/>
        <v>-0.67205515177521746</v>
      </c>
      <c r="L91">
        <v>1</v>
      </c>
      <c r="M91">
        <f t="shared" si="20"/>
        <v>0.5103763142212242</v>
      </c>
      <c r="N91">
        <f t="shared" si="24"/>
        <v>7.3833039089999997E-2</v>
      </c>
      <c r="O91">
        <f t="shared" si="22"/>
        <v>1.306765607415062E-2</v>
      </c>
      <c r="P91">
        <f t="shared" si="23"/>
        <v>7.477814238984265E-2</v>
      </c>
      <c r="V91">
        <v>2.69999999999997</v>
      </c>
      <c r="W91">
        <f t="shared" si="21"/>
        <v>-0.6413599999999986</v>
      </c>
    </row>
    <row r="92" spans="1:23" x14ac:dyDescent="0.3">
      <c r="A92">
        <v>4.5805527000000001</v>
      </c>
      <c r="B92">
        <v>0.54751000000000005</v>
      </c>
      <c r="C92">
        <f t="shared" si="14"/>
        <v>2.5078984087770002</v>
      </c>
      <c r="D92">
        <v>1.6299999999999999E-2</v>
      </c>
      <c r="E92">
        <v>2.8849251857154604E-3</v>
      </c>
      <c r="F92">
        <f t="shared" si="15"/>
        <v>916.11054000000001</v>
      </c>
      <c r="G92">
        <f t="shared" si="16"/>
        <v>-0.54751000000000005</v>
      </c>
      <c r="H92">
        <f t="shared" si="17"/>
        <v>-501.57968175540003</v>
      </c>
      <c r="I92">
        <v>1</v>
      </c>
      <c r="J92">
        <f t="shared" si="18"/>
        <v>-8.7618244732977579E-2</v>
      </c>
      <c r="K92">
        <f t="shared" si="19"/>
        <v>-0.6742151517752174</v>
      </c>
      <c r="L92">
        <v>1</v>
      </c>
      <c r="M92">
        <f t="shared" si="20"/>
        <v>0.51089946614649662</v>
      </c>
      <c r="N92">
        <f t="shared" si="24"/>
        <v>7.4663009009999989E-2</v>
      </c>
      <c r="O92">
        <f t="shared" si="22"/>
        <v>1.3214551848726953E-2</v>
      </c>
      <c r="P92">
        <f t="shared" si="23"/>
        <v>7.5438124769993842E-2</v>
      </c>
      <c r="V92">
        <v>2.7999999999999701</v>
      </c>
      <c r="W92">
        <f t="shared" si="21"/>
        <v>-0.64603999999999862</v>
      </c>
    </row>
    <row r="93" spans="1:23" x14ac:dyDescent="0.3">
      <c r="A93">
        <v>4.6314712</v>
      </c>
      <c r="B93">
        <v>0.54551000000000005</v>
      </c>
      <c r="C93">
        <f t="shared" si="14"/>
        <v>2.5265138543120003</v>
      </c>
      <c r="D93">
        <v>1.6299999999999999E-2</v>
      </c>
      <c r="E93">
        <v>2.8849251857154604E-3</v>
      </c>
      <c r="F93">
        <f t="shared" si="15"/>
        <v>926.29423999999995</v>
      </c>
      <c r="G93">
        <f t="shared" si="16"/>
        <v>-0.54551000000000005</v>
      </c>
      <c r="H93">
        <f t="shared" si="17"/>
        <v>-505.30277086240005</v>
      </c>
      <c r="I93">
        <v>1</v>
      </c>
      <c r="J93">
        <f t="shared" si="18"/>
        <v>-7.6563341029300652E-2</v>
      </c>
      <c r="K93">
        <f t="shared" si="19"/>
        <v>-0.6762151517752174</v>
      </c>
      <c r="L93">
        <v>1</v>
      </c>
      <c r="M93">
        <f t="shared" si="20"/>
        <v>0.51141683563982876</v>
      </c>
      <c r="N93">
        <f t="shared" si="24"/>
        <v>7.5492980559999992E-2</v>
      </c>
      <c r="O93">
        <f t="shared" si="22"/>
        <v>1.3361447911795806E-2</v>
      </c>
      <c r="P93">
        <f t="shared" si="23"/>
        <v>7.5943887663592849E-2</v>
      </c>
      <c r="V93">
        <v>2.8999999999999702</v>
      </c>
      <c r="W93">
        <f t="shared" si="21"/>
        <v>-0.65071999999999863</v>
      </c>
    </row>
    <row r="94" spans="1:23" x14ac:dyDescent="0.3">
      <c r="A94">
        <v>4.6823892000000003</v>
      </c>
      <c r="B94">
        <v>0.54298999999999997</v>
      </c>
      <c r="C94">
        <f t="shared" si="14"/>
        <v>2.5424905117079999</v>
      </c>
      <c r="D94">
        <v>1.6299999999999999E-2</v>
      </c>
      <c r="E94">
        <v>2.8849251857154604E-3</v>
      </c>
      <c r="F94">
        <f t="shared" si="15"/>
        <v>936.47784000000001</v>
      </c>
      <c r="G94">
        <f t="shared" si="16"/>
        <v>-0.54298999999999997</v>
      </c>
      <c r="H94">
        <f t="shared" si="17"/>
        <v>-508.49810234159997</v>
      </c>
      <c r="I94">
        <v>1</v>
      </c>
      <c r="J94">
        <f t="shared" si="18"/>
        <v>-6.5629419951368589E-2</v>
      </c>
      <c r="K94">
        <f t="shared" si="19"/>
        <v>-0.67873515177521748</v>
      </c>
      <c r="L94">
        <v>1</v>
      </c>
      <c r="M94">
        <f t="shared" si="20"/>
        <v>0.511928543146276</v>
      </c>
      <c r="N94">
        <f t="shared" si="24"/>
        <v>7.632294396E-2</v>
      </c>
      <c r="O94">
        <f t="shared" si="22"/>
        <v>1.3508342532402066E-2</v>
      </c>
      <c r="P94">
        <f t="shared" si="23"/>
        <v>7.6975322136539404E-2</v>
      </c>
      <c r="V94">
        <v>2.9999999999999698</v>
      </c>
      <c r="W94">
        <f t="shared" si="21"/>
        <v>-0.65539999999999865</v>
      </c>
    </row>
    <row r="95" spans="1:23" x14ac:dyDescent="0.3">
      <c r="A95">
        <v>4.7343261999999999</v>
      </c>
      <c r="B95">
        <v>0.54090000000000005</v>
      </c>
      <c r="C95">
        <f t="shared" si="14"/>
        <v>2.5607970415800003</v>
      </c>
      <c r="D95">
        <v>1.6299999999999999E-2</v>
      </c>
      <c r="E95">
        <v>2.8849251857154604E-3</v>
      </c>
      <c r="F95">
        <f t="shared" si="15"/>
        <v>946.86523999999997</v>
      </c>
      <c r="G95">
        <f t="shared" si="16"/>
        <v>-0.54090000000000005</v>
      </c>
      <c r="H95">
        <f t="shared" si="17"/>
        <v>-512.15940831600005</v>
      </c>
      <c r="I95">
        <v>1</v>
      </c>
      <c r="J95">
        <f t="shared" si="18"/>
        <v>-5.4598497928285805E-2</v>
      </c>
      <c r="K95">
        <f t="shared" si="19"/>
        <v>-0.68082515177521741</v>
      </c>
      <c r="L95">
        <v>1</v>
      </c>
      <c r="M95">
        <f t="shared" si="20"/>
        <v>0.51244479029695622</v>
      </c>
      <c r="N95">
        <f t="shared" si="24"/>
        <v>7.7169517059999998E-2</v>
      </c>
      <c r="O95">
        <f t="shared" si="22"/>
        <v>1.365817689177257E-2</v>
      </c>
      <c r="P95">
        <f t="shared" si="23"/>
        <v>7.7552667526488622E-2</v>
      </c>
      <c r="V95">
        <v>3.0999999999999699</v>
      </c>
      <c r="W95">
        <f t="shared" si="21"/>
        <v>-0.66007999999999867</v>
      </c>
    </row>
    <row r="96" spans="1:23" x14ac:dyDescent="0.3">
      <c r="A96">
        <v>4.7872813000000001</v>
      </c>
      <c r="B96">
        <v>0.53866999999999998</v>
      </c>
      <c r="C96">
        <f t="shared" si="14"/>
        <v>2.5787648178709999</v>
      </c>
      <c r="D96">
        <v>1.6299999999999999E-2</v>
      </c>
      <c r="E96">
        <v>2.8849251857154604E-3</v>
      </c>
      <c r="F96">
        <f t="shared" si="15"/>
        <v>957.45626000000004</v>
      </c>
      <c r="G96">
        <f t="shared" si="16"/>
        <v>-0.53866999999999998</v>
      </c>
      <c r="H96">
        <f t="shared" si="17"/>
        <v>-515.75296357419995</v>
      </c>
      <c r="I96">
        <v>1</v>
      </c>
      <c r="J96">
        <f t="shared" si="18"/>
        <v>-4.3475240432906695E-2</v>
      </c>
      <c r="K96">
        <f t="shared" si="19"/>
        <v>-0.68305515177521747</v>
      </c>
      <c r="L96">
        <v>1</v>
      </c>
      <c r="M96">
        <f t="shared" si="20"/>
        <v>0.51296535874773996</v>
      </c>
      <c r="N96">
        <f t="shared" si="24"/>
        <v>7.8032685189999992E-2</v>
      </c>
      <c r="O96">
        <f t="shared" si="22"/>
        <v>1.381094839347465E-2</v>
      </c>
      <c r="P96">
        <f t="shared" si="23"/>
        <v>7.8246159444002872E-2</v>
      </c>
      <c r="V96">
        <v>3.19999999999997</v>
      </c>
      <c r="W96">
        <f t="shared" si="21"/>
        <v>-0.66475999999999857</v>
      </c>
    </row>
    <row r="97" spans="1:23" x14ac:dyDescent="0.3">
      <c r="A97">
        <v>4.8417631999999999</v>
      </c>
      <c r="B97">
        <v>0.53607000000000005</v>
      </c>
      <c r="C97">
        <f t="shared" si="14"/>
        <v>2.5955239986240004</v>
      </c>
      <c r="D97">
        <v>1.6299999999999999E-2</v>
      </c>
      <c r="E97">
        <v>2.8849251857154604E-3</v>
      </c>
      <c r="F97">
        <f t="shared" si="15"/>
        <v>968.35263999999995</v>
      </c>
      <c r="G97">
        <f t="shared" si="16"/>
        <v>-0.53607000000000005</v>
      </c>
      <c r="H97">
        <f t="shared" si="17"/>
        <v>-519.10479972480005</v>
      </c>
      <c r="I97">
        <v>1</v>
      </c>
      <c r="J97">
        <f t="shared" si="18"/>
        <v>-3.215896052512944E-2</v>
      </c>
      <c r="K97">
        <f t="shared" si="19"/>
        <v>-0.68565515177521741</v>
      </c>
      <c r="L97">
        <v>1</v>
      </c>
      <c r="M97">
        <f t="shared" si="20"/>
        <v>0.51349496064742395</v>
      </c>
      <c r="N97">
        <f t="shared" si="24"/>
        <v>7.8920740159999989E-2</v>
      </c>
      <c r="O97">
        <f t="shared" si="22"/>
        <v>1.3968124598950282E-2</v>
      </c>
      <c r="P97">
        <f t="shared" si="23"/>
        <v>7.9271326368843195E-2</v>
      </c>
      <c r="V97">
        <v>3.2999999999999701</v>
      </c>
      <c r="W97">
        <f t="shared" si="21"/>
        <v>-0.66943999999999859</v>
      </c>
    </row>
    <row r="98" spans="1:23" x14ac:dyDescent="0.3">
      <c r="A98">
        <v>4.8962460999999999</v>
      </c>
      <c r="B98">
        <v>0.53381999999999996</v>
      </c>
      <c r="C98">
        <f t="shared" si="14"/>
        <v>2.6137140931019998</v>
      </c>
      <c r="D98">
        <v>1.6299999999999999E-2</v>
      </c>
      <c r="E98">
        <v>2.8849251857154604E-3</v>
      </c>
      <c r="F98">
        <f t="shared" si="15"/>
        <v>979.24922000000004</v>
      </c>
      <c r="G98">
        <f t="shared" si="16"/>
        <v>-0.53381999999999996</v>
      </c>
      <c r="H98">
        <f t="shared" si="17"/>
        <v>-522.74281862039993</v>
      </c>
      <c r="I98">
        <v>1</v>
      </c>
      <c r="J98">
        <f t="shared" si="18"/>
        <v>-2.096910296446863E-2</v>
      </c>
      <c r="K98">
        <f t="shared" si="19"/>
        <v>-0.68790515177521749</v>
      </c>
      <c r="L98">
        <v>1</v>
      </c>
      <c r="M98">
        <f t="shared" si="20"/>
        <v>0.5140186459812629</v>
      </c>
      <c r="N98">
        <f t="shared" si="24"/>
        <v>7.9808811429999987E-2</v>
      </c>
      <c r="O98">
        <f t="shared" si="22"/>
        <v>1.4125303689351098E-2</v>
      </c>
      <c r="P98">
        <f t="shared" si="23"/>
        <v>7.995239067460351E-2</v>
      </c>
      <c r="V98">
        <v>3.3999999999999702</v>
      </c>
      <c r="W98">
        <f t="shared" si="21"/>
        <v>-0.67411999999999861</v>
      </c>
    </row>
    <row r="99" spans="1:23" x14ac:dyDescent="0.3">
      <c r="A99">
        <v>4.9532749000000003</v>
      </c>
      <c r="B99">
        <v>0.53137999999999996</v>
      </c>
      <c r="C99">
        <f t="shared" si="14"/>
        <v>2.6320712163620001</v>
      </c>
      <c r="D99">
        <v>1.6299999999999999E-2</v>
      </c>
      <c r="E99">
        <v>2.8849251857154604E-3</v>
      </c>
      <c r="F99">
        <f t="shared" si="15"/>
        <v>990.65498000000002</v>
      </c>
      <c r="G99">
        <f t="shared" si="16"/>
        <v>-0.53137999999999996</v>
      </c>
      <c r="H99">
        <f t="shared" si="17"/>
        <v>-526.41424327239997</v>
      </c>
      <c r="I99">
        <v>1</v>
      </c>
      <c r="J99">
        <f t="shared" si="18"/>
        <v>-9.3889586520312738E-3</v>
      </c>
      <c r="K99">
        <f t="shared" si="19"/>
        <v>-0.69034515177521749</v>
      </c>
      <c r="L99">
        <v>1</v>
      </c>
      <c r="M99">
        <f t="shared" si="20"/>
        <v>0.51456059673508492</v>
      </c>
      <c r="N99">
        <f t="shared" si="24"/>
        <v>8.0738380870000001E-2</v>
      </c>
      <c r="O99">
        <f t="shared" si="22"/>
        <v>1.4289827510782229E-2</v>
      </c>
      <c r="P99">
        <f t="shared" si="23"/>
        <v>8.0756346659350345E-2</v>
      </c>
      <c r="V99">
        <v>3.4999999999999698</v>
      </c>
      <c r="W99">
        <f t="shared" si="21"/>
        <v>-0.67879999999999863</v>
      </c>
    </row>
    <row r="100" spans="1:23" x14ac:dyDescent="0.3">
      <c r="A100">
        <v>5.0087758999999998</v>
      </c>
      <c r="B100">
        <v>0.52886</v>
      </c>
      <c r="C100">
        <f t="shared" si="14"/>
        <v>2.6489412224739999</v>
      </c>
      <c r="D100">
        <v>1.6299999999999999E-2</v>
      </c>
      <c r="E100">
        <v>2.8849251857154604E-3</v>
      </c>
      <c r="F100">
        <f t="shared" si="15"/>
        <v>1001.75518</v>
      </c>
      <c r="G100">
        <f t="shared" si="16"/>
        <v>-0.52886</v>
      </c>
      <c r="H100">
        <f t="shared" si="17"/>
        <v>-529.78824449479998</v>
      </c>
      <c r="I100">
        <v>1</v>
      </c>
      <c r="J100">
        <f t="shared" si="18"/>
        <v>1.7536414715835686E-3</v>
      </c>
      <c r="K100">
        <f t="shared" si="19"/>
        <v>-0.69286515177521746</v>
      </c>
      <c r="L100">
        <v>1</v>
      </c>
      <c r="M100">
        <f t="shared" si="20"/>
        <v>0.51508207042087018</v>
      </c>
      <c r="N100">
        <f t="shared" si="24"/>
        <v>8.1643047169999997E-2</v>
      </c>
      <c r="O100">
        <f t="shared" si="22"/>
        <v>1.4449943743514621E-2</v>
      </c>
      <c r="P100">
        <f t="shared" si="23"/>
        <v>8.1690090440832669E-2</v>
      </c>
      <c r="V100">
        <v>3.5999999999999699</v>
      </c>
      <c r="W100">
        <f t="shared" si="21"/>
        <v>-0.68347999999999864</v>
      </c>
    </row>
    <row r="101" spans="1:23" x14ac:dyDescent="0.3">
      <c r="A101">
        <v>5.0596937999999998</v>
      </c>
      <c r="B101">
        <v>0.52646999999999999</v>
      </c>
      <c r="C101">
        <f t="shared" si="14"/>
        <v>2.6637769948859997</v>
      </c>
      <c r="D101">
        <v>1.6299999999999999E-2</v>
      </c>
      <c r="E101">
        <v>2.8849251857154604E-3</v>
      </c>
      <c r="F101">
        <f t="shared" si="15"/>
        <v>1011.93876</v>
      </c>
      <c r="G101">
        <f t="shared" si="16"/>
        <v>-0.52646999999999999</v>
      </c>
      <c r="H101">
        <f t="shared" si="17"/>
        <v>-532.7553989772</v>
      </c>
      <c r="I101">
        <v>1</v>
      </c>
      <c r="J101">
        <f t="shared" si="18"/>
        <v>1.1868055200245833E-2</v>
      </c>
      <c r="K101">
        <f t="shared" si="19"/>
        <v>-0.69525515177521746</v>
      </c>
      <c r="L101">
        <v>1</v>
      </c>
      <c r="M101">
        <f t="shared" si="20"/>
        <v>0.51555542498337148</v>
      </c>
      <c r="N101">
        <f t="shared" si="24"/>
        <v>8.2473008939999995E-2</v>
      </c>
      <c r="O101">
        <f t="shared" si="22"/>
        <v>1.4596838075628362E-2</v>
      </c>
      <c r="P101">
        <f t="shared" si="23"/>
        <v>8.2629879776217621E-2</v>
      </c>
      <c r="V101">
        <v>3.69999999999997</v>
      </c>
      <c r="W101">
        <f t="shared" si="21"/>
        <v>-0.68815999999999855</v>
      </c>
    </row>
    <row r="102" spans="1:23" x14ac:dyDescent="0.3">
      <c r="A102">
        <v>5.1101029999999996</v>
      </c>
      <c r="B102">
        <v>0.52429000000000003</v>
      </c>
      <c r="C102">
        <f t="shared" si="14"/>
        <v>2.6791759018699999</v>
      </c>
      <c r="D102">
        <v>1.6299999999999999E-2</v>
      </c>
      <c r="E102">
        <v>2.8849251857154604E-3</v>
      </c>
      <c r="F102">
        <f t="shared" si="15"/>
        <v>1022.0205999999999</v>
      </c>
      <c r="G102">
        <f t="shared" si="16"/>
        <v>-0.52429000000000003</v>
      </c>
      <c r="H102">
        <f t="shared" si="17"/>
        <v>-535.83518037399995</v>
      </c>
      <c r="I102">
        <v>1</v>
      </c>
      <c r="J102">
        <f t="shared" si="18"/>
        <v>2.1781648134144883E-2</v>
      </c>
      <c r="K102">
        <f t="shared" si="19"/>
        <v>-0.69743515177521742</v>
      </c>
      <c r="L102">
        <v>1</v>
      </c>
      <c r="M102">
        <f t="shared" si="20"/>
        <v>0.51601938113267798</v>
      </c>
      <c r="N102">
        <f t="shared" si="24"/>
        <v>8.3294678899999988E-2</v>
      </c>
      <c r="O102">
        <f t="shared" si="22"/>
        <v>1.474226484630013E-2</v>
      </c>
      <c r="P102">
        <f t="shared" si="23"/>
        <v>8.3378826896239322E-2</v>
      </c>
      <c r="V102">
        <v>3.7999999999999701</v>
      </c>
      <c r="W102">
        <f t="shared" si="21"/>
        <v>-0.69283999999999857</v>
      </c>
    </row>
    <row r="103" spans="1:23" x14ac:dyDescent="0.3">
      <c r="A103">
        <v>5.1605121999999994</v>
      </c>
      <c r="B103">
        <v>0.52224999999999999</v>
      </c>
      <c r="C103">
        <f t="shared" si="14"/>
        <v>2.6950774964499997</v>
      </c>
      <c r="D103">
        <v>1.6299999999999999E-2</v>
      </c>
      <c r="E103">
        <v>2.8849251857154604E-3</v>
      </c>
      <c r="F103">
        <f t="shared" si="15"/>
        <v>1032.1024399999999</v>
      </c>
      <c r="G103">
        <f t="shared" si="16"/>
        <v>-0.52224999999999999</v>
      </c>
      <c r="H103">
        <f t="shared" si="17"/>
        <v>-539.01549928999998</v>
      </c>
      <c r="I103">
        <v>1</v>
      </c>
      <c r="J103">
        <f t="shared" si="18"/>
        <v>3.1597925698960555E-2</v>
      </c>
      <c r="K103">
        <f t="shared" si="19"/>
        <v>-0.69947515177521746</v>
      </c>
      <c r="L103">
        <v>1</v>
      </c>
      <c r="M103">
        <f t="shared" si="20"/>
        <v>0.51647878292271132</v>
      </c>
      <c r="N103">
        <f t="shared" si="24"/>
        <v>8.4116348859999981E-2</v>
      </c>
      <c r="O103">
        <f t="shared" si="22"/>
        <v>1.4887691616971897E-2</v>
      </c>
      <c r="P103">
        <f t="shared" si="23"/>
        <v>8.3992328375534261E-2</v>
      </c>
      <c r="V103">
        <v>3.8999999999999599</v>
      </c>
      <c r="W103">
        <f t="shared" si="21"/>
        <v>-0.69751999999999814</v>
      </c>
    </row>
    <row r="104" spans="1:23" x14ac:dyDescent="0.3">
      <c r="A104">
        <v>5.2129579999999995</v>
      </c>
      <c r="B104">
        <v>0.52015</v>
      </c>
      <c r="C104">
        <f t="shared" si="14"/>
        <v>2.7115201036999999</v>
      </c>
      <c r="D104">
        <v>1.6299999999999999E-2</v>
      </c>
      <c r="E104">
        <v>2.8849251857154604E-3</v>
      </c>
      <c r="F104">
        <f t="shared" si="15"/>
        <v>1042.5916</v>
      </c>
      <c r="G104">
        <f t="shared" si="16"/>
        <v>-0.52015</v>
      </c>
      <c r="H104">
        <f t="shared" si="17"/>
        <v>-542.30402073999994</v>
      </c>
      <c r="I104">
        <v>1</v>
      </c>
      <c r="J104">
        <f t="shared" si="18"/>
        <v>4.1709536538288301E-2</v>
      </c>
      <c r="K104">
        <f t="shared" si="19"/>
        <v>-0.70157515177521745</v>
      </c>
      <c r="L104">
        <v>1</v>
      </c>
      <c r="M104">
        <f t="shared" si="20"/>
        <v>0.51695200630999194</v>
      </c>
      <c r="N104">
        <f t="shared" si="24"/>
        <v>8.497121539999998E-2</v>
      </c>
      <c r="O104">
        <f t="shared" si="22"/>
        <v>1.5038993826276893E-2</v>
      </c>
      <c r="P104">
        <f t="shared" si="23"/>
        <v>8.4612936238948638E-2</v>
      </c>
      <c r="V104">
        <v>3.99999999999996</v>
      </c>
      <c r="W104">
        <f t="shared" si="21"/>
        <v>-0.70219999999999816</v>
      </c>
    </row>
    <row r="105" spans="1:23" x14ac:dyDescent="0.3">
      <c r="A105">
        <v>5.2674409000000004</v>
      </c>
      <c r="B105">
        <v>0.51763000000000003</v>
      </c>
      <c r="C105">
        <f t="shared" si="14"/>
        <v>2.7265854330670005</v>
      </c>
      <c r="D105">
        <v>1.6299999999999999E-2</v>
      </c>
      <c r="E105">
        <v>2.8849251857154604E-3</v>
      </c>
      <c r="F105">
        <f t="shared" si="15"/>
        <v>1053.4881800000001</v>
      </c>
      <c r="G105">
        <f t="shared" si="16"/>
        <v>-0.51763000000000003</v>
      </c>
      <c r="H105">
        <f t="shared" si="17"/>
        <v>-545.31708661340008</v>
      </c>
      <c r="I105">
        <v>1</v>
      </c>
      <c r="J105">
        <f t="shared" si="18"/>
        <v>5.2106734455453434E-2</v>
      </c>
      <c r="K105">
        <f t="shared" si="19"/>
        <v>-0.70409515177521742</v>
      </c>
      <c r="L105">
        <v>1</v>
      </c>
      <c r="M105">
        <f t="shared" si="20"/>
        <v>0.51743859517251523</v>
      </c>
      <c r="N105">
        <f t="shared" si="24"/>
        <v>8.5859286669999993E-2</v>
      </c>
      <c r="O105">
        <f t="shared" si="22"/>
        <v>1.5196172916677714E-2</v>
      </c>
      <c r="P105">
        <f t="shared" si="23"/>
        <v>8.5601097016024488E-2</v>
      </c>
      <c r="V105">
        <v>4.0999999999999996</v>
      </c>
      <c r="W105">
        <f t="shared" si="21"/>
        <v>-0.70687999999999995</v>
      </c>
    </row>
    <row r="106" spans="1:23" x14ac:dyDescent="0.3">
      <c r="A106">
        <v>5.3178495999999997</v>
      </c>
      <c r="B106">
        <v>0.51534000000000002</v>
      </c>
      <c r="C106">
        <f t="shared" si="14"/>
        <v>2.7405006128639999</v>
      </c>
      <c r="D106">
        <v>1.6299999999999999E-2</v>
      </c>
      <c r="E106">
        <v>2.8849251857154604E-3</v>
      </c>
      <c r="F106">
        <f t="shared" si="15"/>
        <v>1063.5699199999999</v>
      </c>
      <c r="G106">
        <f t="shared" si="16"/>
        <v>-0.51534000000000002</v>
      </c>
      <c r="H106">
        <f t="shared" si="17"/>
        <v>-548.10012257279993</v>
      </c>
      <c r="I106">
        <v>1</v>
      </c>
      <c r="J106">
        <f t="shared" si="18"/>
        <v>6.1631098678041202E-2</v>
      </c>
      <c r="K106">
        <f t="shared" si="19"/>
        <v>-0.70638515177521743</v>
      </c>
      <c r="L106">
        <v>1</v>
      </c>
      <c r="M106">
        <f t="shared" si="20"/>
        <v>0.51788433541813239</v>
      </c>
      <c r="N106">
        <f t="shared" si="24"/>
        <v>8.6680948479999992E-2</v>
      </c>
      <c r="O106">
        <f t="shared" si="22"/>
        <v>1.5341598244886887E-2</v>
      </c>
      <c r="P106">
        <f t="shared" si="23"/>
        <v>8.6478269632198165E-2</v>
      </c>
      <c r="V106">
        <v>4.2</v>
      </c>
      <c r="W106">
        <f t="shared" si="21"/>
        <v>-0.71155999999999997</v>
      </c>
    </row>
    <row r="107" spans="1:23" x14ac:dyDescent="0.3">
      <c r="A107">
        <v>5.3702953999999998</v>
      </c>
      <c r="B107">
        <v>0.51288</v>
      </c>
      <c r="C107">
        <f t="shared" si="14"/>
        <v>2.7543171047519999</v>
      </c>
      <c r="D107">
        <v>1.6299999999999999E-2</v>
      </c>
      <c r="E107">
        <v>2.8849251857154604E-3</v>
      </c>
      <c r="F107">
        <f t="shared" si="15"/>
        <v>1074.05908</v>
      </c>
      <c r="G107">
        <f t="shared" si="16"/>
        <v>-0.51288</v>
      </c>
      <c r="H107">
        <f t="shared" si="17"/>
        <v>-550.86342095039993</v>
      </c>
      <c r="I107">
        <v>1</v>
      </c>
      <c r="J107">
        <f t="shared" si="18"/>
        <v>7.1445003884703304E-2</v>
      </c>
      <c r="K107">
        <f t="shared" si="19"/>
        <v>-0.70884515177521745</v>
      </c>
      <c r="L107">
        <v>1</v>
      </c>
      <c r="M107">
        <f t="shared" si="20"/>
        <v>0.51834362618180407</v>
      </c>
      <c r="N107">
        <f t="shared" si="24"/>
        <v>8.7535815019999991E-2</v>
      </c>
      <c r="O107">
        <f t="shared" si="22"/>
        <v>1.5492900454191882E-2</v>
      </c>
      <c r="P107">
        <f t="shared" si="23"/>
        <v>8.7472810119221506E-2</v>
      </c>
      <c r="V107">
        <v>4.3</v>
      </c>
      <c r="W107">
        <f t="shared" si="21"/>
        <v>-0.71623999999999999</v>
      </c>
    </row>
    <row r="108" spans="1:23" x14ac:dyDescent="0.3">
      <c r="A108">
        <v>5.4222324000000004</v>
      </c>
      <c r="B108">
        <v>0.51085000000000003</v>
      </c>
      <c r="C108">
        <f t="shared" si="14"/>
        <v>2.7699474215400004</v>
      </c>
      <c r="D108">
        <v>1.6299999999999999E-2</v>
      </c>
      <c r="E108">
        <v>2.8849251857154604E-3</v>
      </c>
      <c r="F108">
        <f t="shared" si="15"/>
        <v>1084.4464800000001</v>
      </c>
      <c r="G108">
        <f t="shared" si="16"/>
        <v>-0.51085000000000003</v>
      </c>
      <c r="H108">
        <f t="shared" si="17"/>
        <v>-553.9894843080001</v>
      </c>
      <c r="I108">
        <v>1</v>
      </c>
      <c r="J108">
        <f t="shared" si="18"/>
        <v>8.1069700136200407E-2</v>
      </c>
      <c r="K108">
        <f t="shared" si="19"/>
        <v>-0.71087515177521743</v>
      </c>
      <c r="L108">
        <v>1</v>
      </c>
      <c r="M108">
        <f t="shared" si="20"/>
        <v>0.51879406196637423</v>
      </c>
      <c r="N108">
        <f t="shared" si="24"/>
        <v>8.8382388120000002E-2</v>
      </c>
      <c r="O108">
        <f t="shared" si="22"/>
        <v>1.5642734813562386E-2</v>
      </c>
      <c r="P108">
        <f t="shared" si="23"/>
        <v>8.8055966875280806E-2</v>
      </c>
      <c r="V108">
        <v>4.4000000000000004</v>
      </c>
      <c r="W108">
        <f t="shared" si="21"/>
        <v>-0.72092000000000001</v>
      </c>
    </row>
    <row r="109" spans="1:23" x14ac:dyDescent="0.3">
      <c r="A109">
        <v>5.4736596999999998</v>
      </c>
      <c r="B109">
        <v>0.50866</v>
      </c>
      <c r="C109">
        <f t="shared" si="14"/>
        <v>2.784231743002</v>
      </c>
      <c r="D109">
        <v>1.6299999999999999E-2</v>
      </c>
      <c r="E109">
        <v>2.8849251857154604E-3</v>
      </c>
      <c r="F109">
        <f t="shared" si="15"/>
        <v>1094.7319399999999</v>
      </c>
      <c r="G109">
        <f t="shared" si="16"/>
        <v>-0.50866</v>
      </c>
      <c r="H109">
        <f t="shared" si="17"/>
        <v>-556.84634860040001</v>
      </c>
      <c r="I109">
        <v>1</v>
      </c>
      <c r="J109">
        <f t="shared" si="18"/>
        <v>9.0509529646190648E-2</v>
      </c>
      <c r="K109">
        <f t="shared" si="19"/>
        <v>-0.71306515177521745</v>
      </c>
      <c r="L109">
        <v>1</v>
      </c>
      <c r="M109">
        <f t="shared" si="20"/>
        <v>0.51923584598744177</v>
      </c>
      <c r="N109">
        <f t="shared" si="24"/>
        <v>8.9220653109999992E-2</v>
      </c>
      <c r="O109">
        <f t="shared" si="22"/>
        <v>1.5791098726565731E-2</v>
      </c>
      <c r="P109">
        <f t="shared" si="23"/>
        <v>8.8817553951209965E-2</v>
      </c>
      <c r="V109">
        <v>4.5</v>
      </c>
      <c r="W109">
        <f t="shared" si="21"/>
        <v>-0.72560000000000002</v>
      </c>
    </row>
    <row r="110" spans="1:23" x14ac:dyDescent="0.3">
      <c r="A110">
        <v>5.5240692999999998</v>
      </c>
      <c r="B110">
        <v>0.50639999999999996</v>
      </c>
      <c r="C110">
        <f t="shared" si="14"/>
        <v>2.7973886935199999</v>
      </c>
      <c r="D110">
        <v>1.6299999999999999E-2</v>
      </c>
      <c r="E110">
        <v>2.8849251857154604E-3</v>
      </c>
      <c r="F110">
        <f t="shared" si="15"/>
        <v>1104.81386</v>
      </c>
      <c r="G110">
        <f t="shared" si="16"/>
        <v>-0.50639999999999996</v>
      </c>
      <c r="H110">
        <f t="shared" si="17"/>
        <v>-559.47773870399999</v>
      </c>
      <c r="I110">
        <v>1</v>
      </c>
      <c r="J110">
        <f t="shared" si="18"/>
        <v>9.9676868291314266E-2</v>
      </c>
      <c r="K110">
        <f t="shared" si="19"/>
        <v>-0.71532515177521749</v>
      </c>
      <c r="L110">
        <v>1</v>
      </c>
      <c r="M110">
        <f t="shared" si="20"/>
        <v>0.51966487743603351</v>
      </c>
      <c r="N110">
        <f t="shared" si="24"/>
        <v>9.0042329589999984E-2</v>
      </c>
      <c r="O110">
        <f t="shared" si="22"/>
        <v>1.5936526651207573E-2</v>
      </c>
      <c r="P110">
        <f t="shared" si="23"/>
        <v>8.9681418097976418E-2</v>
      </c>
      <c r="V110">
        <v>4.5999999999999996</v>
      </c>
      <c r="W110">
        <f t="shared" si="21"/>
        <v>-0.73028000000000004</v>
      </c>
    </row>
    <row r="111" spans="1:23" x14ac:dyDescent="0.3">
      <c r="A111">
        <v>5.5749873000000001</v>
      </c>
      <c r="B111">
        <v>0.50424999999999998</v>
      </c>
      <c r="C111">
        <f t="shared" si="14"/>
        <v>2.8111873460250001</v>
      </c>
      <c r="D111">
        <v>1.6299999999999999E-2</v>
      </c>
      <c r="E111">
        <v>2.8849251857154604E-3</v>
      </c>
      <c r="F111">
        <f t="shared" si="15"/>
        <v>1114.99746</v>
      </c>
      <c r="G111">
        <f t="shared" si="16"/>
        <v>-0.50424999999999998</v>
      </c>
      <c r="H111">
        <f t="shared" si="17"/>
        <v>-562.23746920500002</v>
      </c>
      <c r="I111">
        <v>1</v>
      </c>
      <c r="J111">
        <f t="shared" si="18"/>
        <v>0.10885212688258164</v>
      </c>
      <c r="K111">
        <f t="shared" si="19"/>
        <v>-0.71747515177521748</v>
      </c>
      <c r="L111">
        <v>1</v>
      </c>
      <c r="M111">
        <f t="shared" si="20"/>
        <v>0.52009427953810483</v>
      </c>
      <c r="N111">
        <f t="shared" si="24"/>
        <v>9.0872292989999992E-2</v>
      </c>
      <c r="O111">
        <f t="shared" si="22"/>
        <v>1.6083421271813832E-2</v>
      </c>
      <c r="P111">
        <f t="shared" si="23"/>
        <v>9.042515797529882E-2</v>
      </c>
      <c r="V111">
        <v>4.7</v>
      </c>
      <c r="W111">
        <f t="shared" si="21"/>
        <v>-0.73496000000000006</v>
      </c>
    </row>
    <row r="112" spans="1:23" x14ac:dyDescent="0.3">
      <c r="A112">
        <v>5.6289608999999992</v>
      </c>
      <c r="B112">
        <v>0.50185999999999997</v>
      </c>
      <c r="C112">
        <f t="shared" si="14"/>
        <v>2.8249503172739994</v>
      </c>
      <c r="D112">
        <v>1.6299999999999999E-2</v>
      </c>
      <c r="E112">
        <v>2.8849251857154604E-3</v>
      </c>
      <c r="F112">
        <f t="shared" si="15"/>
        <v>1125.7921799999999</v>
      </c>
      <c r="G112">
        <f t="shared" si="16"/>
        <v>-0.50185999999999997</v>
      </c>
      <c r="H112">
        <f t="shared" si="17"/>
        <v>-564.99006345479984</v>
      </c>
      <c r="I112">
        <v>1</v>
      </c>
      <c r="J112">
        <f t="shared" si="18"/>
        <v>0.11848694785205302</v>
      </c>
      <c r="K112">
        <f t="shared" si="19"/>
        <v>-0.71986515177521748</v>
      </c>
      <c r="L112">
        <v>1</v>
      </c>
      <c r="M112">
        <f t="shared" si="20"/>
        <v>0.52054518915947612</v>
      </c>
      <c r="N112">
        <f t="shared" si="24"/>
        <v>9.1752062669999981E-2</v>
      </c>
      <c r="O112">
        <f t="shared" si="22"/>
        <v>1.6239131069817562E-2</v>
      </c>
      <c r="P112">
        <f t="shared" si="23"/>
        <v>9.1328768875923824E-2</v>
      </c>
      <c r="V112">
        <v>4.8</v>
      </c>
      <c r="W112">
        <f t="shared" si="21"/>
        <v>-0.73964000000000008</v>
      </c>
    </row>
    <row r="113" spans="1:23" x14ac:dyDescent="0.3">
      <c r="A113">
        <v>5.6808974999999995</v>
      </c>
      <c r="B113">
        <v>0.49965999999999999</v>
      </c>
      <c r="C113">
        <f t="shared" si="14"/>
        <v>2.8385172448499998</v>
      </c>
      <c r="D113">
        <v>1.6299999999999999E-2</v>
      </c>
      <c r="E113">
        <v>2.8849251857154604E-3</v>
      </c>
      <c r="F113">
        <f t="shared" si="15"/>
        <v>1136.1795</v>
      </c>
      <c r="G113">
        <f t="shared" si="16"/>
        <v>-0.49965999999999999</v>
      </c>
      <c r="H113">
        <f t="shared" si="17"/>
        <v>-567.70344896999995</v>
      </c>
      <c r="I113">
        <v>1</v>
      </c>
      <c r="J113">
        <f t="shared" si="18"/>
        <v>0.1276713183799856</v>
      </c>
      <c r="K113">
        <f t="shared" si="19"/>
        <v>-0.72206515177521746</v>
      </c>
      <c r="L113">
        <v>1</v>
      </c>
      <c r="M113">
        <f t="shared" si="20"/>
        <v>0.52097501770018328</v>
      </c>
      <c r="N113">
        <f t="shared" si="24"/>
        <v>9.2598629249999981E-2</v>
      </c>
      <c r="O113">
        <f t="shared" si="22"/>
        <v>1.6388964275217993E-2</v>
      </c>
      <c r="P113">
        <f t="shared" si="23"/>
        <v>9.2102540549816203E-2</v>
      </c>
      <c r="V113">
        <v>4.9000000000000004</v>
      </c>
      <c r="W113">
        <f t="shared" si="21"/>
        <v>-0.74432000000000009</v>
      </c>
    </row>
    <row r="114" spans="1:23" x14ac:dyDescent="0.3">
      <c r="A114">
        <v>5.7328345000000001</v>
      </c>
      <c r="B114">
        <v>0.49756</v>
      </c>
      <c r="C114">
        <f t="shared" si="14"/>
        <v>2.8524291338199999</v>
      </c>
      <c r="D114">
        <v>1.6299999999999999E-2</v>
      </c>
      <c r="E114">
        <v>2.8849251857154604E-3</v>
      </c>
      <c r="F114">
        <f t="shared" si="15"/>
        <v>1146.5669</v>
      </c>
      <c r="G114">
        <f t="shared" si="16"/>
        <v>-0.49756</v>
      </c>
      <c r="H114">
        <f t="shared" si="17"/>
        <v>-570.48582676399997</v>
      </c>
      <c r="I114">
        <v>1</v>
      </c>
      <c r="J114">
        <f t="shared" si="18"/>
        <v>0.13677217311801845</v>
      </c>
      <c r="K114">
        <f t="shared" si="19"/>
        <v>-0.72416515177521745</v>
      </c>
      <c r="L114">
        <v>1</v>
      </c>
      <c r="M114">
        <f t="shared" si="20"/>
        <v>0.52140093770192331</v>
      </c>
      <c r="N114">
        <f t="shared" si="24"/>
        <v>9.3445202349999992E-2</v>
      </c>
      <c r="O114">
        <f t="shared" si="22"/>
        <v>1.65387986345885E-2</v>
      </c>
      <c r="P114">
        <f t="shared" si="23"/>
        <v>9.2780213088705654E-2</v>
      </c>
      <c r="V114">
        <v>5</v>
      </c>
      <c r="W114">
        <f t="shared" si="21"/>
        <v>-0.749</v>
      </c>
    </row>
    <row r="115" spans="1:23" x14ac:dyDescent="0.3">
      <c r="A115">
        <v>5.7857890999999997</v>
      </c>
      <c r="B115">
        <v>0.49515999999999999</v>
      </c>
      <c r="C115">
        <f t="shared" si="14"/>
        <v>2.864891330756</v>
      </c>
      <c r="D115">
        <v>1.6299999999999999E-2</v>
      </c>
      <c r="E115">
        <v>2.8849251857154604E-3</v>
      </c>
      <c r="F115">
        <f t="shared" si="15"/>
        <v>1157.1578199999999</v>
      </c>
      <c r="G115">
        <f t="shared" si="16"/>
        <v>-0.49515999999999999</v>
      </c>
      <c r="H115">
        <f t="shared" si="17"/>
        <v>-572.97826615120005</v>
      </c>
      <c r="I115">
        <v>1</v>
      </c>
      <c r="J115">
        <f t="shared" si="18"/>
        <v>0.1459668434036743</v>
      </c>
      <c r="K115">
        <f t="shared" si="19"/>
        <v>-0.72656515177521741</v>
      </c>
      <c r="L115">
        <v>1</v>
      </c>
      <c r="M115">
        <f t="shared" si="20"/>
        <v>0.52183124827129201</v>
      </c>
      <c r="N115">
        <f t="shared" si="24"/>
        <v>9.4308362329999992E-2</v>
      </c>
      <c r="O115">
        <f t="shared" si="22"/>
        <v>1.6691568693827985E-2</v>
      </c>
      <c r="P115">
        <f t="shared" si="23"/>
        <v>9.3733972480097419E-2</v>
      </c>
      <c r="V115">
        <v>5.0999999999999996</v>
      </c>
      <c r="W115">
        <f t="shared" si="21"/>
        <v>-0.75368000000000002</v>
      </c>
    </row>
    <row r="116" spans="1:23" x14ac:dyDescent="0.3">
      <c r="A116">
        <v>5.8361986999999997</v>
      </c>
      <c r="B116">
        <v>0.49279000000000001</v>
      </c>
      <c r="C116">
        <f t="shared" si="14"/>
        <v>2.8760203573730001</v>
      </c>
      <c r="D116">
        <v>1.6299999999999999E-2</v>
      </c>
      <c r="E116">
        <v>2.8849251857154604E-3</v>
      </c>
      <c r="F116">
        <f t="shared" si="15"/>
        <v>1167.23974</v>
      </c>
      <c r="G116">
        <f t="shared" si="16"/>
        <v>-0.49279000000000001</v>
      </c>
      <c r="H116">
        <f t="shared" si="17"/>
        <v>-575.20407147460003</v>
      </c>
      <c r="I116">
        <v>1</v>
      </c>
      <c r="J116">
        <f t="shared" si="18"/>
        <v>0.15464176493950921</v>
      </c>
      <c r="K116">
        <f t="shared" si="19"/>
        <v>-0.72893515177521739</v>
      </c>
      <c r="L116">
        <v>1</v>
      </c>
      <c r="M116">
        <f t="shared" si="20"/>
        <v>0.52223723459916904</v>
      </c>
      <c r="N116">
        <f t="shared" si="24"/>
        <v>9.5130038809999984E-2</v>
      </c>
      <c r="O116">
        <f t="shared" si="22"/>
        <v>1.6836996618469827E-2</v>
      </c>
      <c r="P116">
        <f t="shared" si="23"/>
        <v>9.4730881747578544E-2</v>
      </c>
      <c r="V116">
        <v>5.2</v>
      </c>
      <c r="W116">
        <f t="shared" si="21"/>
        <v>-0.75836000000000003</v>
      </c>
    </row>
    <row r="117" spans="1:23" x14ac:dyDescent="0.3">
      <c r="A117">
        <v>5.8866073999999999</v>
      </c>
      <c r="B117">
        <v>0.49080000000000001</v>
      </c>
      <c r="C117">
        <f t="shared" si="14"/>
        <v>2.8891469119200002</v>
      </c>
      <c r="D117">
        <v>1.6299999999999999E-2</v>
      </c>
      <c r="E117">
        <v>2.8849251857154604E-3</v>
      </c>
      <c r="F117">
        <f t="shared" si="15"/>
        <v>1177.3214800000001</v>
      </c>
      <c r="G117">
        <f t="shared" si="16"/>
        <v>-0.49080000000000001</v>
      </c>
      <c r="H117">
        <f t="shared" si="17"/>
        <v>-577.82938238400004</v>
      </c>
      <c r="I117">
        <v>1</v>
      </c>
      <c r="J117">
        <f t="shared" si="18"/>
        <v>0.1632419260727519</v>
      </c>
      <c r="K117">
        <f t="shared" si="19"/>
        <v>-0.73092515177521744</v>
      </c>
      <c r="L117">
        <v>1</v>
      </c>
      <c r="M117">
        <f t="shared" si="20"/>
        <v>0.52263972214020482</v>
      </c>
      <c r="N117">
        <f t="shared" si="24"/>
        <v>9.5951700619999997E-2</v>
      </c>
      <c r="O117">
        <f t="shared" si="22"/>
        <v>1.6982421946679004E-2</v>
      </c>
      <c r="P117">
        <f t="shared" si="23"/>
        <v>9.5351307068333613E-2</v>
      </c>
      <c r="V117">
        <v>5.3</v>
      </c>
      <c r="W117">
        <f t="shared" si="21"/>
        <v>-0.76304000000000005</v>
      </c>
    </row>
    <row r="118" spans="1:23" x14ac:dyDescent="0.3">
      <c r="A118">
        <v>5.9375259000000007</v>
      </c>
      <c r="B118">
        <v>0.48848999999999998</v>
      </c>
      <c r="C118">
        <f t="shared" si="14"/>
        <v>2.9004220268910004</v>
      </c>
      <c r="D118">
        <v>1.6299999999999999E-2</v>
      </c>
      <c r="E118">
        <v>2.8849251857154604E-3</v>
      </c>
      <c r="F118">
        <f t="shared" si="15"/>
        <v>1187.5051800000001</v>
      </c>
      <c r="G118">
        <f t="shared" si="16"/>
        <v>-0.48848999999999998</v>
      </c>
      <c r="H118">
        <f t="shared" si="17"/>
        <v>-580.08440537820002</v>
      </c>
      <c r="I118">
        <v>1</v>
      </c>
      <c r="J118">
        <f t="shared" si="18"/>
        <v>0.17185461902240848</v>
      </c>
      <c r="K118">
        <f t="shared" si="19"/>
        <v>-0.73323515177521748</v>
      </c>
      <c r="L118">
        <v>1</v>
      </c>
      <c r="M118">
        <f t="shared" si="20"/>
        <v>0.52304279617024874</v>
      </c>
      <c r="N118">
        <f t="shared" si="24"/>
        <v>9.6781672169999999E-2</v>
      </c>
      <c r="O118">
        <f t="shared" si="22"/>
        <v>1.7129318009747856E-2</v>
      </c>
      <c r="P118">
        <f t="shared" si="23"/>
        <v>9.628136542522088E-2</v>
      </c>
      <c r="V118">
        <v>5.4</v>
      </c>
      <c r="W118">
        <f t="shared" si="21"/>
        <v>-0.76771999999999996</v>
      </c>
    </row>
    <row r="119" spans="1:23" x14ac:dyDescent="0.3">
      <c r="A119">
        <v>5.9889530999999998</v>
      </c>
      <c r="B119">
        <v>0.48637999999999998</v>
      </c>
      <c r="C119">
        <f t="shared" si="14"/>
        <v>2.9129070087779998</v>
      </c>
      <c r="D119">
        <v>1.6299999999999999E-2</v>
      </c>
      <c r="E119">
        <v>2.8849251857154604E-3</v>
      </c>
      <c r="F119">
        <f t="shared" si="15"/>
        <v>1197.79062</v>
      </c>
      <c r="G119">
        <f t="shared" si="16"/>
        <v>-0.48637999999999998</v>
      </c>
      <c r="H119">
        <f t="shared" si="17"/>
        <v>-582.58140175559993</v>
      </c>
      <c r="I119">
        <v>1</v>
      </c>
      <c r="J119">
        <f t="shared" si="18"/>
        <v>0.18047870979401912</v>
      </c>
      <c r="K119">
        <f t="shared" si="19"/>
        <v>-0.73534515177521742</v>
      </c>
      <c r="L119">
        <v>1</v>
      </c>
      <c r="M119">
        <f t="shared" si="20"/>
        <v>0.52344640361836015</v>
      </c>
      <c r="N119">
        <f t="shared" si="24"/>
        <v>9.7619935529999993E-2</v>
      </c>
      <c r="O119">
        <f t="shared" si="22"/>
        <v>1.727768163425868E-2</v>
      </c>
      <c r="P119">
        <f t="shared" si="23"/>
        <v>9.7001130992598605E-2</v>
      </c>
      <c r="V119">
        <v>5.5</v>
      </c>
      <c r="W119">
        <f t="shared" si="21"/>
        <v>-0.77239999999999998</v>
      </c>
    </row>
    <row r="120" spans="1:23" x14ac:dyDescent="0.3">
      <c r="A120">
        <v>6.0408896000000007</v>
      </c>
      <c r="B120">
        <v>0.48401</v>
      </c>
      <c r="C120">
        <f t="shared" si="14"/>
        <v>2.9238509752960002</v>
      </c>
      <c r="D120">
        <v>1.6299999999999999E-2</v>
      </c>
      <c r="E120">
        <v>2.8849251857154604E-3</v>
      </c>
      <c r="F120">
        <f t="shared" si="15"/>
        <v>1208.1779200000001</v>
      </c>
      <c r="G120">
        <f t="shared" si="16"/>
        <v>-0.48401</v>
      </c>
      <c r="H120">
        <f t="shared" si="17"/>
        <v>-584.77019505920009</v>
      </c>
      <c r="I120">
        <v>1</v>
      </c>
      <c r="J120">
        <f t="shared" si="18"/>
        <v>0.18911337343549856</v>
      </c>
      <c r="K120">
        <f t="shared" si="19"/>
        <v>-0.7377151517752174</v>
      </c>
      <c r="L120">
        <v>1</v>
      </c>
      <c r="M120">
        <f t="shared" si="20"/>
        <v>0.52385050587678139</v>
      </c>
      <c r="N120">
        <f t="shared" si="24"/>
        <v>9.8466500479999997E-2</v>
      </c>
      <c r="O120">
        <f t="shared" si="22"/>
        <v>1.7427514551166597E-2</v>
      </c>
      <c r="P120">
        <f t="shared" si="23"/>
        <v>9.7970630867269426E-2</v>
      </c>
      <c r="V120">
        <v>5.6</v>
      </c>
      <c r="W120">
        <f t="shared" si="21"/>
        <v>-0.77707999999999999</v>
      </c>
    </row>
    <row r="121" spans="1:23" x14ac:dyDescent="0.3">
      <c r="A121">
        <v>6.0928270999999992</v>
      </c>
      <c r="B121">
        <v>0.48176999999999998</v>
      </c>
      <c r="C121">
        <f t="shared" si="14"/>
        <v>2.9353413119669995</v>
      </c>
      <c r="D121">
        <v>1.6299999999999999E-2</v>
      </c>
      <c r="E121">
        <v>2.8849251857154604E-3</v>
      </c>
      <c r="F121">
        <f t="shared" si="15"/>
        <v>1218.5654199999999</v>
      </c>
      <c r="G121">
        <f t="shared" si="16"/>
        <v>-0.48176999999999998</v>
      </c>
      <c r="H121">
        <f t="shared" si="17"/>
        <v>-587.06826239339989</v>
      </c>
      <c r="I121">
        <v>1</v>
      </c>
      <c r="J121">
        <f t="shared" si="18"/>
        <v>0.19767428160376146</v>
      </c>
      <c r="K121">
        <f t="shared" si="19"/>
        <v>-0.73995515177521742</v>
      </c>
      <c r="L121">
        <v>1</v>
      </c>
      <c r="M121">
        <f t="shared" si="20"/>
        <v>0.52425115637905606</v>
      </c>
      <c r="N121">
        <f t="shared" si="24"/>
        <v>9.9313081729999975E-2</v>
      </c>
      <c r="O121">
        <f t="shared" si="22"/>
        <v>1.7577350352999687E-2</v>
      </c>
      <c r="P121">
        <f t="shared" si="23"/>
        <v>9.8813563313161698E-2</v>
      </c>
      <c r="V121">
        <v>5.7</v>
      </c>
      <c r="W121">
        <f t="shared" si="21"/>
        <v>-0.78176000000000001</v>
      </c>
    </row>
    <row r="122" spans="1:23" x14ac:dyDescent="0.3">
      <c r="A122">
        <v>6.1452729000000001</v>
      </c>
      <c r="B122">
        <v>0.47961999999999999</v>
      </c>
      <c r="C122">
        <f t="shared" si="14"/>
        <v>2.947395788298</v>
      </c>
      <c r="D122">
        <v>1.6299999999999999E-2</v>
      </c>
      <c r="E122">
        <v>2.8849251857154604E-3</v>
      </c>
      <c r="F122">
        <f t="shared" si="15"/>
        <v>1229.05458</v>
      </c>
      <c r="G122">
        <f t="shared" si="16"/>
        <v>-0.47961999999999999</v>
      </c>
      <c r="H122">
        <f t="shared" si="17"/>
        <v>-589.47915765959999</v>
      </c>
      <c r="I122">
        <v>1</v>
      </c>
      <c r="J122">
        <f t="shared" si="18"/>
        <v>0.20624523968730252</v>
      </c>
      <c r="K122">
        <f t="shared" si="19"/>
        <v>-0.74210515177521752</v>
      </c>
      <c r="L122">
        <v>1</v>
      </c>
      <c r="M122">
        <f t="shared" si="20"/>
        <v>0.52465227721736574</v>
      </c>
      <c r="N122">
        <f t="shared" si="24"/>
        <v>0.10016794826999999</v>
      </c>
      <c r="O122">
        <f t="shared" si="22"/>
        <v>1.7728652562304686E-2</v>
      </c>
      <c r="P122">
        <f t="shared" si="23"/>
        <v>9.9556273725547109E-2</v>
      </c>
      <c r="V122">
        <v>5.8</v>
      </c>
      <c r="W122">
        <f t="shared" si="21"/>
        <v>-0.78644000000000003</v>
      </c>
    </row>
    <row r="123" spans="1:23" x14ac:dyDescent="0.3">
      <c r="A123">
        <v>6.1977188000000005</v>
      </c>
      <c r="B123">
        <v>0.47727000000000003</v>
      </c>
      <c r="C123">
        <f t="shared" si="14"/>
        <v>2.9579852516760003</v>
      </c>
      <c r="D123">
        <v>1.6299999999999999E-2</v>
      </c>
      <c r="E123">
        <v>2.8849251857154604E-3</v>
      </c>
      <c r="F123">
        <f t="shared" si="15"/>
        <v>1239.54376</v>
      </c>
      <c r="G123">
        <f t="shared" si="16"/>
        <v>-0.47727000000000003</v>
      </c>
      <c r="H123">
        <f t="shared" si="17"/>
        <v>-591.59705033520004</v>
      </c>
      <c r="I123">
        <v>1</v>
      </c>
      <c r="J123">
        <f t="shared" si="18"/>
        <v>0.21474337642820662</v>
      </c>
      <c r="K123">
        <f t="shared" si="19"/>
        <v>-0.74445515177521737</v>
      </c>
      <c r="L123">
        <v>1</v>
      </c>
      <c r="M123">
        <f t="shared" si="20"/>
        <v>0.52504999001684005</v>
      </c>
      <c r="N123">
        <f t="shared" si="24"/>
        <v>0.10102281644</v>
      </c>
      <c r="O123">
        <f t="shared" si="22"/>
        <v>1.78799550601022E-2</v>
      </c>
      <c r="P123">
        <f t="shared" si="23"/>
        <v>0.10050239025827512</v>
      </c>
      <c r="V123">
        <v>5.9</v>
      </c>
      <c r="W123">
        <f t="shared" si="21"/>
        <v>-0.79112000000000005</v>
      </c>
    </row>
    <row r="124" spans="1:23" x14ac:dyDescent="0.3">
      <c r="A124">
        <v>6.2486366999999996</v>
      </c>
      <c r="B124">
        <v>0.47515000000000002</v>
      </c>
      <c r="C124">
        <f t="shared" si="14"/>
        <v>2.9690397280049998</v>
      </c>
      <c r="D124">
        <v>1.6299999999999999E-2</v>
      </c>
      <c r="E124">
        <v>2.8849251857154604E-3</v>
      </c>
      <c r="F124">
        <f t="shared" si="15"/>
        <v>1249.7273399999999</v>
      </c>
      <c r="G124">
        <f t="shared" si="16"/>
        <v>-0.47515000000000002</v>
      </c>
      <c r="H124">
        <f t="shared" si="17"/>
        <v>-593.80794560099991</v>
      </c>
      <c r="I124">
        <v>1</v>
      </c>
      <c r="J124">
        <f t="shared" si="18"/>
        <v>0.22292539952083748</v>
      </c>
      <c r="K124">
        <f t="shared" si="19"/>
        <v>-0.74657515177521749</v>
      </c>
      <c r="L124">
        <v>1</v>
      </c>
      <c r="M124">
        <f t="shared" si="20"/>
        <v>0.5254329086975752</v>
      </c>
      <c r="N124">
        <f t="shared" si="24"/>
        <v>0.10185277820999998</v>
      </c>
      <c r="O124">
        <f t="shared" si="22"/>
        <v>1.8026849392215941E-2</v>
      </c>
      <c r="P124">
        <f t="shared" si="23"/>
        <v>0.10126261547542638</v>
      </c>
      <c r="V124">
        <v>6</v>
      </c>
      <c r="W124">
        <f t="shared" si="21"/>
        <v>-0.79580000000000006</v>
      </c>
    </row>
    <row r="125" spans="1:23" x14ac:dyDescent="0.3">
      <c r="A125">
        <v>6.3010824999999997</v>
      </c>
      <c r="B125">
        <v>0.47248000000000001</v>
      </c>
      <c r="C125">
        <f t="shared" si="14"/>
        <v>2.9771354595999999</v>
      </c>
      <c r="D125">
        <v>1.6299999999999999E-2</v>
      </c>
      <c r="E125">
        <v>2.8849251857154604E-3</v>
      </c>
      <c r="F125">
        <f t="shared" si="15"/>
        <v>1260.2165</v>
      </c>
      <c r="G125">
        <f t="shared" si="16"/>
        <v>-0.47248000000000001</v>
      </c>
      <c r="H125">
        <f t="shared" si="17"/>
        <v>-595.42709191999995</v>
      </c>
      <c r="I125">
        <v>1</v>
      </c>
      <c r="J125">
        <f t="shared" si="18"/>
        <v>0.23128353159991935</v>
      </c>
      <c r="K125">
        <f t="shared" si="19"/>
        <v>-0.74924515177521744</v>
      </c>
      <c r="L125">
        <v>1</v>
      </c>
      <c r="M125">
        <f t="shared" si="20"/>
        <v>0.52582406927887626</v>
      </c>
      <c r="N125">
        <f t="shared" si="24"/>
        <v>0.10270764474999998</v>
      </c>
      <c r="O125">
        <f t="shared" si="22"/>
        <v>1.8178151601520937E-2</v>
      </c>
      <c r="P125">
        <f t="shared" si="23"/>
        <v>0.10253528614482027</v>
      </c>
      <c r="V125">
        <v>6.1</v>
      </c>
      <c r="W125">
        <f t="shared" si="21"/>
        <v>-0.80048000000000008</v>
      </c>
    </row>
    <row r="126" spans="1:23" x14ac:dyDescent="0.3">
      <c r="A126">
        <v>6.3514917000000004</v>
      </c>
      <c r="B126">
        <v>0.47060000000000002</v>
      </c>
      <c r="C126">
        <f t="shared" si="14"/>
        <v>2.9890119940200002</v>
      </c>
      <c r="D126">
        <v>1.6299999999999999E-2</v>
      </c>
      <c r="E126">
        <v>2.8849251857154604E-3</v>
      </c>
      <c r="F126">
        <f t="shared" si="15"/>
        <v>1270.2983400000001</v>
      </c>
      <c r="G126">
        <f t="shared" si="16"/>
        <v>-0.47060000000000002</v>
      </c>
      <c r="H126">
        <f t="shared" si="17"/>
        <v>-597.80239880400006</v>
      </c>
      <c r="I126">
        <v>1</v>
      </c>
      <c r="J126">
        <f t="shared" si="18"/>
        <v>0.23925178626849775</v>
      </c>
      <c r="K126">
        <f t="shared" si="19"/>
        <v>-0.75112515177521744</v>
      </c>
      <c r="L126">
        <v>1</v>
      </c>
      <c r="M126">
        <f t="shared" si="20"/>
        <v>0.52619698359736566</v>
      </c>
      <c r="N126">
        <f t="shared" si="24"/>
        <v>0.10352931471</v>
      </c>
      <c r="O126">
        <f t="shared" si="22"/>
        <v>1.8323578372192707E-2</v>
      </c>
      <c r="P126">
        <f t="shared" si="23"/>
        <v>0.10307527509565906</v>
      </c>
      <c r="V126">
        <v>6.2</v>
      </c>
      <c r="W126">
        <f t="shared" si="21"/>
        <v>-0.8051600000000001</v>
      </c>
    </row>
    <row r="127" spans="1:23" x14ac:dyDescent="0.3">
      <c r="A127">
        <v>6.4049555999999992</v>
      </c>
      <c r="B127">
        <v>0.46834999999999999</v>
      </c>
      <c r="C127">
        <f t="shared" si="14"/>
        <v>2.9997609552599998</v>
      </c>
      <c r="D127">
        <v>1.6299999999999999E-2</v>
      </c>
      <c r="E127">
        <v>2.8849251857154604E-3</v>
      </c>
      <c r="F127">
        <f t="shared" si="15"/>
        <v>1280.9911199999999</v>
      </c>
      <c r="G127">
        <f t="shared" si="16"/>
        <v>-0.46834999999999999</v>
      </c>
      <c r="H127">
        <f t="shared" si="17"/>
        <v>-599.95219105199999</v>
      </c>
      <c r="I127">
        <v>1</v>
      </c>
      <c r="J127">
        <f t="shared" si="18"/>
        <v>0.247634090806261</v>
      </c>
      <c r="K127">
        <f t="shared" si="19"/>
        <v>-0.75337515177521741</v>
      </c>
      <c r="L127">
        <v>1</v>
      </c>
      <c r="M127">
        <f t="shared" si="20"/>
        <v>0.526589275449733</v>
      </c>
      <c r="N127">
        <f t="shared" si="24"/>
        <v>0.10440077627999998</v>
      </c>
      <c r="O127">
        <f t="shared" si="22"/>
        <v>1.8477817723829275E-2</v>
      </c>
      <c r="P127">
        <f t="shared" si="23"/>
        <v>0.10390728232165516</v>
      </c>
      <c r="V127">
        <v>6.3</v>
      </c>
      <c r="W127">
        <f t="shared" si="21"/>
        <v>-0.80984</v>
      </c>
    </row>
    <row r="128" spans="1:23" x14ac:dyDescent="0.3">
      <c r="A128">
        <v>6.4553652000000001</v>
      </c>
      <c r="B128">
        <v>0.46605999999999997</v>
      </c>
      <c r="C128">
        <f t="shared" si="14"/>
        <v>3.0085875051119997</v>
      </c>
      <c r="D128">
        <v>1.6299999999999999E-2</v>
      </c>
      <c r="E128">
        <v>2.8849251857154604E-3</v>
      </c>
      <c r="F128">
        <f t="shared" si="15"/>
        <v>1291.07304</v>
      </c>
      <c r="G128">
        <f t="shared" si="16"/>
        <v>-0.46605999999999997</v>
      </c>
      <c r="H128">
        <f t="shared" si="17"/>
        <v>-601.71750102239992</v>
      </c>
      <c r="I128">
        <v>1</v>
      </c>
      <c r="J128">
        <f t="shared" si="18"/>
        <v>0.25547368656157088</v>
      </c>
      <c r="K128">
        <f t="shared" si="19"/>
        <v>-0.75566515177521754</v>
      </c>
      <c r="L128">
        <v>1</v>
      </c>
      <c r="M128">
        <f t="shared" si="20"/>
        <v>0.52695616853108151</v>
      </c>
      <c r="N128">
        <f t="shared" si="24"/>
        <v>0.10522245275999999</v>
      </c>
      <c r="O128">
        <f t="shared" si="22"/>
        <v>1.8623245648471121E-2</v>
      </c>
      <c r="P128">
        <f t="shared" si="23"/>
        <v>0.10486328483566491</v>
      </c>
      <c r="V128">
        <v>6.4</v>
      </c>
      <c r="W128">
        <f t="shared" si="21"/>
        <v>-0.81452000000000002</v>
      </c>
    </row>
    <row r="129" spans="1:23" x14ac:dyDescent="0.3">
      <c r="A129">
        <v>6.5083198000000007</v>
      </c>
      <c r="B129">
        <v>0.46375</v>
      </c>
      <c r="C129">
        <f t="shared" si="14"/>
        <v>3.0182333072500001</v>
      </c>
      <c r="D129">
        <v>1.6299999999999999E-2</v>
      </c>
      <c r="E129">
        <v>2.8849251857154604E-3</v>
      </c>
      <c r="F129">
        <f t="shared" si="15"/>
        <v>1301.6639600000001</v>
      </c>
      <c r="G129">
        <f t="shared" si="16"/>
        <v>-0.46375</v>
      </c>
      <c r="H129">
        <f t="shared" si="17"/>
        <v>-603.64666145000001</v>
      </c>
      <c r="I129">
        <v>1</v>
      </c>
      <c r="J129">
        <f t="shared" si="18"/>
        <v>0.26364341523597445</v>
      </c>
      <c r="K129">
        <f t="shared" si="19"/>
        <v>-0.75797515177521746</v>
      </c>
      <c r="L129">
        <v>1</v>
      </c>
      <c r="M129">
        <f t="shared" si="20"/>
        <v>0.52733851183304359</v>
      </c>
      <c r="N129">
        <f t="shared" si="24"/>
        <v>0.10608561274</v>
      </c>
      <c r="O129">
        <f t="shared" si="22"/>
        <v>1.8776015707710609E-2</v>
      </c>
      <c r="P129">
        <f t="shared" si="23"/>
        <v>0.10577501149446326</v>
      </c>
      <c r="V129">
        <v>6.5</v>
      </c>
      <c r="W129">
        <f t="shared" si="21"/>
        <v>-0.81920000000000004</v>
      </c>
    </row>
    <row r="130" spans="1:23" x14ac:dyDescent="0.3">
      <c r="A130">
        <v>6.5602567999999994</v>
      </c>
      <c r="B130">
        <v>0.46145999999999998</v>
      </c>
      <c r="C130">
        <f t="shared" si="14"/>
        <v>3.0272961029279997</v>
      </c>
      <c r="D130">
        <v>1.6299999999999999E-2</v>
      </c>
      <c r="E130">
        <v>2.8849251857154604E-3</v>
      </c>
      <c r="F130">
        <f t="shared" si="15"/>
        <v>1312.0513599999999</v>
      </c>
      <c r="G130">
        <f t="shared" si="16"/>
        <v>-0.46145999999999998</v>
      </c>
      <c r="H130">
        <f t="shared" si="17"/>
        <v>-605.45922058559995</v>
      </c>
      <c r="I130">
        <v>1</v>
      </c>
      <c r="J130">
        <f t="shared" si="18"/>
        <v>0.27159183609716259</v>
      </c>
      <c r="K130">
        <f t="shared" si="19"/>
        <v>-0.76026515177521747</v>
      </c>
      <c r="L130">
        <v>1</v>
      </c>
      <c r="M130">
        <f t="shared" si="20"/>
        <v>0.52771049792934721</v>
      </c>
      <c r="N130">
        <f t="shared" si="24"/>
        <v>0.10693218583999999</v>
      </c>
      <c r="O130">
        <f t="shared" si="22"/>
        <v>1.8925850067081109E-2</v>
      </c>
      <c r="P130">
        <f t="shared" si="23"/>
        <v>0.10669661793878918</v>
      </c>
      <c r="V130">
        <v>6.6</v>
      </c>
      <c r="W130">
        <f t="shared" si="21"/>
        <v>-0.82387999999999995</v>
      </c>
    </row>
    <row r="131" spans="1:23" x14ac:dyDescent="0.3">
      <c r="A131">
        <v>6.6121933999999998</v>
      </c>
      <c r="B131">
        <v>0.45911000000000002</v>
      </c>
      <c r="C131">
        <f t="shared" si="14"/>
        <v>3.0357241118739999</v>
      </c>
      <c r="D131">
        <v>1.6299999999999999E-2</v>
      </c>
      <c r="E131">
        <v>2.8849251857154604E-3</v>
      </c>
      <c r="F131">
        <f t="shared" si="15"/>
        <v>1322.43868</v>
      </c>
      <c r="G131">
        <f t="shared" si="16"/>
        <v>-0.45911000000000002</v>
      </c>
      <c r="H131">
        <f t="shared" si="17"/>
        <v>-607.14482237480001</v>
      </c>
      <c r="I131">
        <v>1</v>
      </c>
      <c r="J131">
        <f t="shared" si="18"/>
        <v>0.27947751694566864</v>
      </c>
      <c r="K131">
        <f t="shared" si="19"/>
        <v>-0.76261515177521744</v>
      </c>
      <c r="L131">
        <v>1</v>
      </c>
      <c r="M131">
        <f t="shared" si="20"/>
        <v>0.52807954779305732</v>
      </c>
      <c r="N131">
        <f t="shared" si="24"/>
        <v>0.10777875241999998</v>
      </c>
      <c r="O131">
        <f t="shared" si="22"/>
        <v>1.907568327248154E-2</v>
      </c>
      <c r="P131">
        <f t="shared" si="23"/>
        <v>0.10768116828967858</v>
      </c>
      <c r="V131">
        <v>6.7</v>
      </c>
      <c r="W131">
        <f t="shared" si="21"/>
        <v>-0.82855999999999996</v>
      </c>
    </row>
    <row r="132" spans="1:23" x14ac:dyDescent="0.3">
      <c r="A132">
        <v>6.6651489000000002</v>
      </c>
      <c r="B132">
        <v>0.45671</v>
      </c>
      <c r="C132">
        <f t="shared" si="14"/>
        <v>3.0440401541190001</v>
      </c>
      <c r="D132">
        <v>1.6299999999999999E-2</v>
      </c>
      <c r="E132">
        <v>2.8849251857154604E-3</v>
      </c>
      <c r="F132">
        <f t="shared" si="15"/>
        <v>1333.0297800000001</v>
      </c>
      <c r="G132">
        <f t="shared" si="16"/>
        <v>-0.45671</v>
      </c>
      <c r="H132">
        <f t="shared" si="17"/>
        <v>-608.80803082379998</v>
      </c>
      <c r="I132">
        <v>1</v>
      </c>
      <c r="J132">
        <f t="shared" si="18"/>
        <v>0.28745438153217084</v>
      </c>
      <c r="K132">
        <f t="shared" si="19"/>
        <v>-0.76501515177521751</v>
      </c>
      <c r="L132">
        <v>1</v>
      </c>
      <c r="M132">
        <f t="shared" si="20"/>
        <v>0.52845286505570566</v>
      </c>
      <c r="N132">
        <f t="shared" si="24"/>
        <v>0.10864192706999999</v>
      </c>
      <c r="O132">
        <f t="shared" si="22"/>
        <v>1.9228455928153698E-2</v>
      </c>
      <c r="P132">
        <f t="shared" si="23"/>
        <v>0.10869190372135817</v>
      </c>
      <c r="V132">
        <v>6.8</v>
      </c>
      <c r="W132">
        <f t="shared" si="21"/>
        <v>-0.83323999999999998</v>
      </c>
    </row>
    <row r="133" spans="1:23" x14ac:dyDescent="0.3">
      <c r="A133">
        <v>6.7155575999999995</v>
      </c>
      <c r="B133">
        <v>0.45466000000000001</v>
      </c>
      <c r="C133">
        <f t="shared" ref="C133:C196" si="25">A133*B133</f>
        <v>3.0532954184159999</v>
      </c>
      <c r="D133">
        <v>1.6299999999999999E-2</v>
      </c>
      <c r="E133">
        <v>2.8849251857154604E-3</v>
      </c>
      <c r="F133">
        <f t="shared" ref="F133:F196" si="26">A133*200</f>
        <v>1343.1115199999999</v>
      </c>
      <c r="G133">
        <f t="shared" ref="G133:G144" si="27">-B133</f>
        <v>-0.45466000000000001</v>
      </c>
      <c r="H133">
        <f t="shared" ref="H133:H196" si="28">-C133*200</f>
        <v>-610.65908368320004</v>
      </c>
      <c r="I133">
        <v>1</v>
      </c>
      <c r="J133">
        <f t="shared" ref="J133:J196" si="29">LN(F133/1000)</f>
        <v>0.29498895206832221</v>
      </c>
      <c r="K133">
        <f t="shared" ref="K133:K187" si="30">((-G133)-$N$2)</f>
        <v>-0.76706515177521739</v>
      </c>
      <c r="L133">
        <v>1</v>
      </c>
      <c r="M133">
        <f t="shared" ref="M133:M196" si="31">-1*($S$4+($S$5*J133))</f>
        <v>0.52880548295679752</v>
      </c>
      <c r="N133">
        <f t="shared" si="24"/>
        <v>0.10946358887999998</v>
      </c>
      <c r="O133">
        <f t="shared" si="22"/>
        <v>1.9373881256362871E-2</v>
      </c>
      <c r="P133">
        <f t="shared" si="23"/>
        <v>0.10942219868205703</v>
      </c>
      <c r="V133">
        <v>6.9</v>
      </c>
      <c r="W133">
        <f t="shared" ref="W133:W139" si="32">V133*$S$5+$S$4</f>
        <v>-0.83792</v>
      </c>
    </row>
    <row r="134" spans="1:23" x14ac:dyDescent="0.3">
      <c r="A134">
        <v>6.7710585999999999</v>
      </c>
      <c r="B134">
        <v>0.45233000000000001</v>
      </c>
      <c r="C134">
        <f t="shared" si="25"/>
        <v>3.0627529365380002</v>
      </c>
      <c r="D134">
        <v>1.6299999999999999E-2</v>
      </c>
      <c r="E134">
        <v>2.8849251857154604E-3</v>
      </c>
      <c r="F134">
        <f t="shared" si="26"/>
        <v>1354.21172</v>
      </c>
      <c r="G134">
        <f t="shared" si="27"/>
        <v>-0.45233000000000001</v>
      </c>
      <c r="H134">
        <f t="shared" si="28"/>
        <v>-612.55058730760004</v>
      </c>
      <c r="I134">
        <v>1</v>
      </c>
      <c r="J134">
        <f t="shared" si="29"/>
        <v>0.30321952858815315</v>
      </c>
      <c r="K134">
        <f t="shared" si="30"/>
        <v>-0.76939515177521745</v>
      </c>
      <c r="L134">
        <v>1</v>
      </c>
      <c r="M134">
        <f t="shared" si="31"/>
        <v>0.52919067393792563</v>
      </c>
      <c r="N134">
        <f t="shared" si="24"/>
        <v>0.11036825517999999</v>
      </c>
      <c r="O134">
        <f t="shared" ref="O134:O144" si="33">E134*A134</f>
        <v>1.9533997489095265E-2</v>
      </c>
      <c r="P134">
        <f t="shared" ref="P134:P144" si="34">-K134-M134-N134-O134</f>
        <v>0.11030222516819657</v>
      </c>
      <c r="V134">
        <v>7</v>
      </c>
      <c r="W134">
        <f t="shared" si="32"/>
        <v>-0.84260000000000002</v>
      </c>
    </row>
    <row r="135" spans="1:23" x14ac:dyDescent="0.3">
      <c r="A135">
        <v>6.8245228999999998</v>
      </c>
      <c r="B135">
        <v>0.44990999999999998</v>
      </c>
      <c r="C135">
        <f t="shared" si="25"/>
        <v>3.0704210979389996</v>
      </c>
      <c r="D135">
        <v>1.6299999999999999E-2</v>
      </c>
      <c r="E135">
        <v>2.8849251857154604E-3</v>
      </c>
      <c r="F135">
        <f t="shared" si="26"/>
        <v>1364.9045799999999</v>
      </c>
      <c r="G135">
        <f t="shared" si="27"/>
        <v>-0.44990999999999998</v>
      </c>
      <c r="H135">
        <f t="shared" si="28"/>
        <v>-614.08421958779991</v>
      </c>
      <c r="I135">
        <v>1</v>
      </c>
      <c r="J135">
        <f t="shared" si="29"/>
        <v>0.31108452143156651</v>
      </c>
      <c r="K135">
        <f t="shared" si="30"/>
        <v>-0.77181515177521742</v>
      </c>
      <c r="L135">
        <v>1</v>
      </c>
      <c r="M135">
        <f t="shared" si="31"/>
        <v>0.52955875560299737</v>
      </c>
      <c r="N135">
        <f t="shared" ref="N135:N144" si="35">D135*A135</f>
        <v>0.11123972326999999</v>
      </c>
      <c r="O135">
        <f t="shared" si="33"/>
        <v>1.9688237994701912E-2</v>
      </c>
      <c r="P135">
        <f t="shared" si="34"/>
        <v>0.11132843490751816</v>
      </c>
      <c r="V135">
        <v>7.1</v>
      </c>
      <c r="W135">
        <f t="shared" si="32"/>
        <v>-0.84728000000000003</v>
      </c>
    </row>
    <row r="136" spans="1:23" x14ac:dyDescent="0.3">
      <c r="A136">
        <v>6.8800239000000003</v>
      </c>
      <c r="B136">
        <v>0.44736999999999999</v>
      </c>
      <c r="C136">
        <f t="shared" si="25"/>
        <v>3.0779162921430001</v>
      </c>
      <c r="D136">
        <v>1.6299999999999999E-2</v>
      </c>
      <c r="E136">
        <v>2.8849251857154604E-3</v>
      </c>
      <c r="F136">
        <f t="shared" si="26"/>
        <v>1376.00478</v>
      </c>
      <c r="G136">
        <f t="shared" si="27"/>
        <v>-0.44736999999999999</v>
      </c>
      <c r="H136">
        <f t="shared" si="28"/>
        <v>-615.58325842860006</v>
      </c>
      <c r="I136">
        <v>1</v>
      </c>
      <c r="J136">
        <f t="shared" si="29"/>
        <v>0.31918421334232738</v>
      </c>
      <c r="K136">
        <f t="shared" si="30"/>
        <v>-0.77435515177521741</v>
      </c>
      <c r="L136">
        <v>1</v>
      </c>
      <c r="M136">
        <f t="shared" si="31"/>
        <v>0.5299378211844209</v>
      </c>
      <c r="N136">
        <f t="shared" si="35"/>
        <v>0.11214438956999999</v>
      </c>
      <c r="O136">
        <f t="shared" si="33"/>
        <v>1.9848354227434306E-2</v>
      </c>
      <c r="P136">
        <f t="shared" si="34"/>
        <v>0.1124245867933622</v>
      </c>
      <c r="V136">
        <v>7.2</v>
      </c>
      <c r="W136">
        <f t="shared" si="32"/>
        <v>-0.85196000000000005</v>
      </c>
    </row>
    <row r="137" spans="1:23" x14ac:dyDescent="0.3">
      <c r="A137">
        <v>6.9319609</v>
      </c>
      <c r="B137">
        <v>0.44538</v>
      </c>
      <c r="C137">
        <f t="shared" si="25"/>
        <v>3.0873567456419999</v>
      </c>
      <c r="D137">
        <v>1.6299999999999999E-2</v>
      </c>
      <c r="E137">
        <v>2.8849251857154604E-3</v>
      </c>
      <c r="F137">
        <f t="shared" si="26"/>
        <v>1386.3921800000001</v>
      </c>
      <c r="G137">
        <f t="shared" si="27"/>
        <v>-0.44538</v>
      </c>
      <c r="H137">
        <f t="shared" si="28"/>
        <v>-617.47134912839999</v>
      </c>
      <c r="I137">
        <v>1</v>
      </c>
      <c r="J137">
        <f t="shared" si="29"/>
        <v>0.32670481889556163</v>
      </c>
      <c r="K137">
        <f t="shared" si="30"/>
        <v>-0.77634515177521746</v>
      </c>
      <c r="L137">
        <v>1</v>
      </c>
      <c r="M137">
        <f t="shared" si="31"/>
        <v>0.53028978552431227</v>
      </c>
      <c r="N137">
        <f t="shared" si="35"/>
        <v>0.11299096266999999</v>
      </c>
      <c r="O137">
        <f t="shared" si="33"/>
        <v>1.999818858680481E-2</v>
      </c>
      <c r="P137">
        <f t="shared" si="34"/>
        <v>0.1130662149941004</v>
      </c>
      <c r="V137">
        <v>7.3</v>
      </c>
      <c r="W137">
        <f t="shared" si="32"/>
        <v>-0.85664000000000007</v>
      </c>
    </row>
    <row r="138" spans="1:23" x14ac:dyDescent="0.3">
      <c r="A138">
        <v>6.9823695999999993</v>
      </c>
      <c r="B138">
        <v>0.44270999999999999</v>
      </c>
      <c r="C138">
        <f t="shared" si="25"/>
        <v>3.0911648456159995</v>
      </c>
      <c r="D138">
        <v>1.6299999999999999E-2</v>
      </c>
      <c r="E138">
        <v>2.8849251857154604E-3</v>
      </c>
      <c r="F138">
        <f t="shared" si="26"/>
        <v>1396.4739199999999</v>
      </c>
      <c r="G138">
        <f t="shared" si="27"/>
        <v>-0.44270999999999999</v>
      </c>
      <c r="H138">
        <f t="shared" si="28"/>
        <v>-618.23296912319984</v>
      </c>
      <c r="I138">
        <v>1</v>
      </c>
      <c r="J138">
        <f t="shared" si="29"/>
        <v>0.33395043096913191</v>
      </c>
      <c r="K138">
        <f t="shared" si="30"/>
        <v>-0.77901515177521752</v>
      </c>
      <c r="L138">
        <v>1</v>
      </c>
      <c r="M138">
        <f t="shared" si="31"/>
        <v>0.53062888016935539</v>
      </c>
      <c r="N138">
        <f t="shared" si="35"/>
        <v>0.11381262447999997</v>
      </c>
      <c r="O138">
        <f t="shared" si="33"/>
        <v>2.0143613915013982E-2</v>
      </c>
      <c r="P138">
        <f t="shared" si="34"/>
        <v>0.11443003321084819</v>
      </c>
      <c r="V138">
        <v>7.4</v>
      </c>
      <c r="W138">
        <f t="shared" si="32"/>
        <v>-0.86132000000000009</v>
      </c>
    </row>
    <row r="139" spans="1:23" x14ac:dyDescent="0.3">
      <c r="A139">
        <v>7.0337974000000001</v>
      </c>
      <c r="B139">
        <v>0.44067000000000001</v>
      </c>
      <c r="C139">
        <f t="shared" si="25"/>
        <v>3.0995835002579999</v>
      </c>
      <c r="D139">
        <v>1.6299999999999999E-2</v>
      </c>
      <c r="E139">
        <v>2.8849251857154604E-3</v>
      </c>
      <c r="F139">
        <f t="shared" si="26"/>
        <v>1406.7594799999999</v>
      </c>
      <c r="G139">
        <f t="shared" si="27"/>
        <v>-0.44067000000000001</v>
      </c>
      <c r="H139">
        <f t="shared" si="28"/>
        <v>-619.91670005159995</v>
      </c>
      <c r="I139">
        <v>1</v>
      </c>
      <c r="J139">
        <f t="shared" si="29"/>
        <v>0.34128881824581142</v>
      </c>
      <c r="K139">
        <f t="shared" si="30"/>
        <v>-0.78105515177521745</v>
      </c>
      <c r="L139">
        <v>1</v>
      </c>
      <c r="M139">
        <f t="shared" si="31"/>
        <v>0.53097231669390399</v>
      </c>
      <c r="N139">
        <f t="shared" si="35"/>
        <v>0.11465089762</v>
      </c>
      <c r="O139">
        <f t="shared" si="33"/>
        <v>2.0291979270479921E-2</v>
      </c>
      <c r="P139">
        <f t="shared" si="34"/>
        <v>0.11513995819083354</v>
      </c>
      <c r="V139">
        <v>7.5</v>
      </c>
      <c r="W139">
        <f t="shared" si="32"/>
        <v>-0.8660000000000001</v>
      </c>
    </row>
    <row r="140" spans="1:23" x14ac:dyDescent="0.3">
      <c r="A140">
        <v>7.0857339000000001</v>
      </c>
      <c r="B140">
        <v>0.43817</v>
      </c>
      <c r="C140">
        <f t="shared" si="25"/>
        <v>3.104756022963</v>
      </c>
      <c r="D140">
        <v>1.6299999999999999E-2</v>
      </c>
      <c r="E140">
        <v>2.8849251857154604E-3</v>
      </c>
      <c r="F140">
        <f t="shared" si="26"/>
        <v>1417.14678</v>
      </c>
      <c r="G140">
        <f t="shared" si="27"/>
        <v>-0.43817</v>
      </c>
      <c r="H140">
        <f t="shared" si="28"/>
        <v>-620.95120459259999</v>
      </c>
      <c r="I140">
        <v>1</v>
      </c>
      <c r="J140">
        <f t="shared" si="29"/>
        <v>0.34864554038279805</v>
      </c>
      <c r="K140">
        <f t="shared" si="30"/>
        <v>-0.78355515177521751</v>
      </c>
      <c r="L140">
        <v>1</v>
      </c>
      <c r="M140">
        <f t="shared" si="31"/>
        <v>0.53131661128991492</v>
      </c>
      <c r="N140">
        <f t="shared" si="35"/>
        <v>0.11549746256999999</v>
      </c>
      <c r="O140">
        <f t="shared" si="33"/>
        <v>2.0441812187387835E-2</v>
      </c>
      <c r="P140">
        <f t="shared" si="34"/>
        <v>0.11629926572791477</v>
      </c>
    </row>
    <row r="141" spans="1:23" x14ac:dyDescent="0.3">
      <c r="A141">
        <v>7.1391977999999998</v>
      </c>
      <c r="B141">
        <v>0.43589</v>
      </c>
      <c r="C141">
        <f t="shared" si="25"/>
        <v>3.1119049290419998</v>
      </c>
      <c r="D141">
        <v>1.6299999999999999E-2</v>
      </c>
      <c r="E141">
        <v>2.8849251857154604E-3</v>
      </c>
      <c r="F141">
        <f t="shared" si="26"/>
        <v>1427.8395599999999</v>
      </c>
      <c r="G141">
        <f t="shared" si="27"/>
        <v>-0.43589</v>
      </c>
      <c r="H141">
        <f t="shared" si="28"/>
        <v>-622.38098580839994</v>
      </c>
      <c r="I141">
        <v>1</v>
      </c>
      <c r="J141">
        <f t="shared" si="29"/>
        <v>0.35616250466415156</v>
      </c>
      <c r="K141">
        <f t="shared" si="30"/>
        <v>-0.78583515177521746</v>
      </c>
      <c r="L141">
        <v>1</v>
      </c>
      <c r="M141">
        <f t="shared" si="31"/>
        <v>0.53166840521828229</v>
      </c>
      <c r="N141">
        <f t="shared" si="35"/>
        <v>0.11636892413999998</v>
      </c>
      <c r="O141">
        <f t="shared" si="33"/>
        <v>2.0596051539024406E-2</v>
      </c>
      <c r="P141">
        <f t="shared" si="34"/>
        <v>0.11720177087791075</v>
      </c>
    </row>
    <row r="142" spans="1:23" x14ac:dyDescent="0.3">
      <c r="A142">
        <v>7.1896073999999999</v>
      </c>
      <c r="B142">
        <v>0.43369999999999997</v>
      </c>
      <c r="C142">
        <f t="shared" si="25"/>
        <v>3.1181327293799996</v>
      </c>
      <c r="D142">
        <v>1.6299999999999999E-2</v>
      </c>
      <c r="E142">
        <v>2.8849251857154604E-3</v>
      </c>
      <c r="F142">
        <f t="shared" si="26"/>
        <v>1437.92148</v>
      </c>
      <c r="G142">
        <f t="shared" si="27"/>
        <v>-0.43369999999999997</v>
      </c>
      <c r="H142">
        <f t="shared" si="28"/>
        <v>-623.62654587599991</v>
      </c>
      <c r="I142">
        <v>1</v>
      </c>
      <c r="J142">
        <f t="shared" si="29"/>
        <v>0.36319865419188968</v>
      </c>
      <c r="K142">
        <f t="shared" si="30"/>
        <v>-0.78802515177521748</v>
      </c>
      <c r="L142">
        <v>1</v>
      </c>
      <c r="M142">
        <f t="shared" si="31"/>
        <v>0.53199769701618049</v>
      </c>
      <c r="N142">
        <f t="shared" si="35"/>
        <v>0.11719060061999999</v>
      </c>
      <c r="O142">
        <f t="shared" si="33"/>
        <v>2.0741479463666248E-2</v>
      </c>
      <c r="P142">
        <f t="shared" si="34"/>
        <v>0.11809537467537076</v>
      </c>
    </row>
    <row r="143" spans="1:23" x14ac:dyDescent="0.3">
      <c r="A143">
        <v>7.2410351999999998</v>
      </c>
      <c r="B143">
        <v>0.43146000000000001</v>
      </c>
      <c r="C143">
        <f t="shared" si="25"/>
        <v>3.1242170473919999</v>
      </c>
      <c r="D143">
        <v>1.6299999999999999E-2</v>
      </c>
      <c r="E143">
        <v>2.8849251857154604E-3</v>
      </c>
      <c r="F143">
        <f t="shared" si="26"/>
        <v>1448.20704</v>
      </c>
      <c r="G143">
        <f t="shared" si="27"/>
        <v>-0.43146000000000001</v>
      </c>
      <c r="H143">
        <f t="shared" si="28"/>
        <v>-624.84340947839996</v>
      </c>
      <c r="I143">
        <v>1</v>
      </c>
      <c r="J143">
        <f t="shared" si="29"/>
        <v>0.37032626716778333</v>
      </c>
      <c r="K143">
        <f t="shared" si="30"/>
        <v>-0.7902651517752175</v>
      </c>
      <c r="L143">
        <v>1</v>
      </c>
      <c r="M143">
        <f t="shared" si="31"/>
        <v>0.53233126930345231</v>
      </c>
      <c r="N143">
        <f t="shared" si="35"/>
        <v>0.11802887375999999</v>
      </c>
      <c r="O143">
        <f t="shared" si="33"/>
        <v>2.0889844819132183E-2</v>
      </c>
      <c r="P143">
        <f t="shared" si="34"/>
        <v>0.11901516389263302</v>
      </c>
    </row>
    <row r="144" spans="1:23" x14ac:dyDescent="0.3">
      <c r="A144">
        <v>7.2934804999999994</v>
      </c>
      <c r="B144">
        <v>0.42899999999999999</v>
      </c>
      <c r="C144">
        <f t="shared" si="25"/>
        <v>3.1289031344999998</v>
      </c>
      <c r="D144">
        <v>1.6299999999999999E-2</v>
      </c>
      <c r="E144">
        <v>2.8849251857154604E-3</v>
      </c>
      <c r="F144">
        <f t="shared" si="26"/>
        <v>1458.6960999999999</v>
      </c>
      <c r="G144">
        <f t="shared" si="27"/>
        <v>-0.42899999999999999</v>
      </c>
      <c r="H144">
        <f t="shared" si="28"/>
        <v>-625.78062690000002</v>
      </c>
      <c r="I144">
        <v>1</v>
      </c>
      <c r="J144">
        <f t="shared" si="29"/>
        <v>0.37754295449296482</v>
      </c>
      <c r="K144">
        <f t="shared" si="30"/>
        <v>-0.79272515177521741</v>
      </c>
      <c r="L144">
        <v>1</v>
      </c>
      <c r="M144">
        <f t="shared" si="31"/>
        <v>0.5326690102702708</v>
      </c>
      <c r="N144">
        <f t="shared" si="35"/>
        <v>0.11888373214999998</v>
      </c>
      <c r="O144">
        <f t="shared" si="33"/>
        <v>2.1041145585974586E-2</v>
      </c>
      <c r="P144">
        <f t="shared" si="34"/>
        <v>0.12013126376897204</v>
      </c>
    </row>
    <row r="145" spans="1:16" x14ac:dyDescent="0.3">
      <c r="A145">
        <v>7.3438895999999998</v>
      </c>
      <c r="B145">
        <v>0.42676999999999998</v>
      </c>
      <c r="C145">
        <f t="shared" si="25"/>
        <v>3.1341517645919996</v>
      </c>
      <c r="D145">
        <v>1.6299999999999999E-2</v>
      </c>
      <c r="E145">
        <v>2.8849251857154604E-3</v>
      </c>
      <c r="F145">
        <f t="shared" si="26"/>
        <v>1468.77792</v>
      </c>
      <c r="G145">
        <f t="shared" ref="G145:G187" si="36">-B145</f>
        <v>-0.42676999999999998</v>
      </c>
      <c r="H145">
        <f t="shared" si="28"/>
        <v>-626.83035291839997</v>
      </c>
      <c r="I145">
        <v>1</v>
      </c>
      <c r="J145">
        <f t="shared" si="29"/>
        <v>0.38443070809135849</v>
      </c>
      <c r="K145">
        <f t="shared" si="30"/>
        <v>-0.79495515177521747</v>
      </c>
      <c r="L145">
        <v>1</v>
      </c>
      <c r="M145">
        <f t="shared" si="31"/>
        <v>0.53299135713867563</v>
      </c>
      <c r="N145">
        <f t="shared" ref="N145:N187" si="37">D145*A145</f>
        <v>0.11970540047999999</v>
      </c>
      <c r="O145">
        <f t="shared" ref="O145:O187" si="38">E145*A145</f>
        <v>2.1186572068153837E-2</v>
      </c>
      <c r="P145">
        <f t="shared" ref="P145:P187" si="39">-K145-M145-N145-O145</f>
        <v>0.12107182208838801</v>
      </c>
    </row>
    <row r="146" spans="1:16" x14ac:dyDescent="0.3">
      <c r="A146">
        <v>7.3942983</v>
      </c>
      <c r="B146">
        <v>0.42448000000000002</v>
      </c>
      <c r="C146">
        <f t="shared" si="25"/>
        <v>3.138731742384</v>
      </c>
      <c r="D146">
        <v>1.6299999999999999E-2</v>
      </c>
      <c r="E146">
        <v>2.8849251857154604E-3</v>
      </c>
      <c r="F146">
        <f t="shared" si="26"/>
        <v>1478.8596600000001</v>
      </c>
      <c r="G146">
        <f t="shared" si="36"/>
        <v>-0.42448000000000002</v>
      </c>
      <c r="H146">
        <f t="shared" si="28"/>
        <v>-627.74634847679999</v>
      </c>
      <c r="I146">
        <v>1</v>
      </c>
      <c r="J146">
        <f t="shared" si="29"/>
        <v>0.39127129078833633</v>
      </c>
      <c r="K146">
        <f t="shared" si="30"/>
        <v>-0.79724515177521749</v>
      </c>
      <c r="L146">
        <v>1</v>
      </c>
      <c r="M146">
        <f t="shared" si="31"/>
        <v>0.53331149640889419</v>
      </c>
      <c r="N146">
        <f t="shared" si="37"/>
        <v>0.12052706228999999</v>
      </c>
      <c r="O146">
        <f t="shared" si="38"/>
        <v>2.1331997396363014E-2</v>
      </c>
      <c r="P146">
        <f t="shared" si="39"/>
        <v>0.12207459567996029</v>
      </c>
    </row>
    <row r="147" spans="1:16" x14ac:dyDescent="0.3">
      <c r="A147">
        <v>7.4447080000000003</v>
      </c>
      <c r="B147">
        <v>0.42209000000000002</v>
      </c>
      <c r="C147">
        <f t="shared" si="25"/>
        <v>3.1423367997200002</v>
      </c>
      <c r="D147">
        <v>1.6299999999999999E-2</v>
      </c>
      <c r="E147">
        <v>2.8849251857154604E-3</v>
      </c>
      <c r="F147">
        <f t="shared" si="26"/>
        <v>1488.9416000000001</v>
      </c>
      <c r="G147">
        <f t="shared" si="36"/>
        <v>-0.42209000000000002</v>
      </c>
      <c r="H147">
        <f t="shared" si="28"/>
        <v>-628.46735994400001</v>
      </c>
      <c r="I147">
        <v>1</v>
      </c>
      <c r="J147">
        <f t="shared" si="29"/>
        <v>0.3980655319790502</v>
      </c>
      <c r="K147">
        <f t="shared" si="30"/>
        <v>-0.79963515177521738</v>
      </c>
      <c r="L147">
        <v>1</v>
      </c>
      <c r="M147">
        <f t="shared" si="31"/>
        <v>0.53362946689661961</v>
      </c>
      <c r="N147">
        <f t="shared" si="37"/>
        <v>0.12134874039999999</v>
      </c>
      <c r="O147">
        <f t="shared" si="38"/>
        <v>2.1477425609497374E-2</v>
      </c>
      <c r="P147">
        <f t="shared" si="39"/>
        <v>0.1231795188691004</v>
      </c>
    </row>
    <row r="148" spans="1:16" x14ac:dyDescent="0.3">
      <c r="A148">
        <v>7.4961361999999996</v>
      </c>
      <c r="B148">
        <v>0.41998999999999997</v>
      </c>
      <c r="C148">
        <f t="shared" si="25"/>
        <v>3.1483022426379996</v>
      </c>
      <c r="D148">
        <v>1.6299999999999999E-2</v>
      </c>
      <c r="E148">
        <v>2.8849251857154604E-3</v>
      </c>
      <c r="F148">
        <f t="shared" si="26"/>
        <v>1499.2272399999999</v>
      </c>
      <c r="G148">
        <f t="shared" si="36"/>
        <v>-0.41998999999999997</v>
      </c>
      <c r="H148">
        <f t="shared" si="28"/>
        <v>-629.6604485275999</v>
      </c>
      <c r="I148">
        <v>1</v>
      </c>
      <c r="J148">
        <f t="shared" si="29"/>
        <v>0.40494980202745545</v>
      </c>
      <c r="K148">
        <f t="shared" si="30"/>
        <v>-0.80173515177521748</v>
      </c>
      <c r="L148">
        <v>1</v>
      </c>
      <c r="M148">
        <f t="shared" si="31"/>
        <v>0.53395165073488493</v>
      </c>
      <c r="N148">
        <f t="shared" si="37"/>
        <v>0.12218702005999998</v>
      </c>
      <c r="O148">
        <f t="shared" si="38"/>
        <v>2.1625792118933385E-2</v>
      </c>
      <c r="P148">
        <f t="shared" si="39"/>
        <v>0.12397068886139918</v>
      </c>
    </row>
    <row r="149" spans="1:16" x14ac:dyDescent="0.3">
      <c r="A149">
        <v>7.5475630000000002</v>
      </c>
      <c r="B149">
        <v>0.41743000000000002</v>
      </c>
      <c r="C149">
        <f t="shared" si="25"/>
        <v>3.1505792230900003</v>
      </c>
      <c r="D149">
        <v>1.6299999999999999E-2</v>
      </c>
      <c r="E149">
        <v>2.8849251857154604E-3</v>
      </c>
      <c r="F149">
        <f t="shared" si="26"/>
        <v>1509.5126</v>
      </c>
      <c r="G149">
        <f t="shared" si="36"/>
        <v>-0.41743000000000002</v>
      </c>
      <c r="H149">
        <f t="shared" si="28"/>
        <v>-630.1158446180001</v>
      </c>
      <c r="I149">
        <v>1</v>
      </c>
      <c r="J149">
        <f t="shared" si="29"/>
        <v>0.41178681726473221</v>
      </c>
      <c r="K149">
        <f t="shared" si="30"/>
        <v>-0.80429515177521749</v>
      </c>
      <c r="L149">
        <v>1</v>
      </c>
      <c r="M149">
        <f t="shared" si="31"/>
        <v>0.53427162304798947</v>
      </c>
      <c r="N149">
        <f t="shared" si="37"/>
        <v>0.12302527689999999</v>
      </c>
      <c r="O149">
        <f t="shared" si="38"/>
        <v>2.1774154589474137E-2</v>
      </c>
      <c r="P149">
        <f t="shared" si="39"/>
        <v>0.12522409723775391</v>
      </c>
    </row>
    <row r="150" spans="1:16" x14ac:dyDescent="0.3">
      <c r="A150">
        <v>7.5989901999999994</v>
      </c>
      <c r="B150">
        <v>0.41526999999999997</v>
      </c>
      <c r="C150">
        <f t="shared" si="25"/>
        <v>3.1556326603539997</v>
      </c>
      <c r="D150">
        <v>1.6299999999999999E-2</v>
      </c>
      <c r="E150">
        <v>2.8849251857154604E-3</v>
      </c>
      <c r="F150">
        <f t="shared" si="26"/>
        <v>1519.7980399999999</v>
      </c>
      <c r="G150">
        <f t="shared" si="36"/>
        <v>-0.41526999999999997</v>
      </c>
      <c r="H150">
        <f t="shared" si="28"/>
        <v>-631.12653207079995</v>
      </c>
      <c r="I150">
        <v>1</v>
      </c>
      <c r="J150">
        <f t="shared" si="29"/>
        <v>0.41857745760934173</v>
      </c>
      <c r="K150">
        <f t="shared" si="30"/>
        <v>-0.80645515177521743</v>
      </c>
      <c r="L150">
        <v>1</v>
      </c>
      <c r="M150">
        <f t="shared" si="31"/>
        <v>0.53458942501611717</v>
      </c>
      <c r="N150">
        <f t="shared" si="37"/>
        <v>0.12386354025999997</v>
      </c>
      <c r="O150">
        <f t="shared" si="38"/>
        <v>2.192251821398496E-2</v>
      </c>
      <c r="P150">
        <f t="shared" si="39"/>
        <v>0.12607966828511533</v>
      </c>
    </row>
    <row r="151" spans="1:16" x14ac:dyDescent="0.3">
      <c r="A151">
        <v>7.6514365</v>
      </c>
      <c r="B151">
        <v>0.41272999999999999</v>
      </c>
      <c r="C151">
        <f t="shared" si="25"/>
        <v>3.1579773866449998</v>
      </c>
      <c r="D151">
        <v>1.6299999999999999E-2</v>
      </c>
      <c r="E151">
        <v>2.8849251857154604E-3</v>
      </c>
      <c r="F151">
        <f t="shared" si="26"/>
        <v>1530.2873</v>
      </c>
      <c r="G151">
        <f t="shared" si="36"/>
        <v>-0.41272999999999999</v>
      </c>
      <c r="H151">
        <f t="shared" si="28"/>
        <v>-631.595477329</v>
      </c>
      <c r="I151">
        <v>1</v>
      </c>
      <c r="J151">
        <f t="shared" si="29"/>
        <v>0.42545549555408163</v>
      </c>
      <c r="K151">
        <f t="shared" si="30"/>
        <v>-0.80899515177521741</v>
      </c>
      <c r="L151">
        <v>1</v>
      </c>
      <c r="M151">
        <f t="shared" si="31"/>
        <v>0.53491131719193108</v>
      </c>
      <c r="N151">
        <f t="shared" si="37"/>
        <v>0.12471841495</v>
      </c>
      <c r="O151">
        <f t="shared" si="38"/>
        <v>2.2073821865752553E-2</v>
      </c>
      <c r="P151">
        <f t="shared" si="39"/>
        <v>0.12729159776753379</v>
      </c>
    </row>
    <row r="152" spans="1:16" x14ac:dyDescent="0.3">
      <c r="A152">
        <v>7.7028642999999999</v>
      </c>
      <c r="B152">
        <v>0.41042000000000001</v>
      </c>
      <c r="C152">
        <f t="shared" si="25"/>
        <v>3.1614095660060002</v>
      </c>
      <c r="D152">
        <v>1.6299999999999999E-2</v>
      </c>
      <c r="E152">
        <v>2.8849251857154604E-3</v>
      </c>
      <c r="F152">
        <f t="shared" si="26"/>
        <v>1540.57286</v>
      </c>
      <c r="G152">
        <f t="shared" si="36"/>
        <v>-0.41042000000000001</v>
      </c>
      <c r="H152">
        <f t="shared" si="28"/>
        <v>-632.28191320120004</v>
      </c>
      <c r="I152">
        <v>1</v>
      </c>
      <c r="J152">
        <f t="shared" si="29"/>
        <v>0.43215433426850886</v>
      </c>
      <c r="K152">
        <f t="shared" si="30"/>
        <v>-0.81130515177521745</v>
      </c>
      <c r="L152">
        <v>1</v>
      </c>
      <c r="M152">
        <f t="shared" si="31"/>
        <v>0.53522482284376627</v>
      </c>
      <c r="N152">
        <f t="shared" si="37"/>
        <v>0.12555668808999998</v>
      </c>
      <c r="O152">
        <f t="shared" si="38"/>
        <v>2.2222187221218489E-2</v>
      </c>
      <c r="P152">
        <f t="shared" si="39"/>
        <v>0.12830145362023271</v>
      </c>
    </row>
    <row r="153" spans="1:16" x14ac:dyDescent="0.3">
      <c r="A153">
        <v>7.7593828</v>
      </c>
      <c r="B153">
        <v>0.40805999999999998</v>
      </c>
      <c r="C153">
        <f t="shared" si="25"/>
        <v>3.1662937453679998</v>
      </c>
      <c r="D153">
        <v>1.6299999999999999E-2</v>
      </c>
      <c r="E153">
        <v>2.8849251857154604E-3</v>
      </c>
      <c r="F153">
        <f t="shared" si="26"/>
        <v>1551.8765599999999</v>
      </c>
      <c r="G153">
        <f t="shared" si="36"/>
        <v>-0.40805999999999998</v>
      </c>
      <c r="H153">
        <f t="shared" si="28"/>
        <v>-633.25874907359992</v>
      </c>
      <c r="I153">
        <v>1</v>
      </c>
      <c r="J153">
        <f t="shared" si="29"/>
        <v>0.43946488251539084</v>
      </c>
      <c r="K153">
        <f t="shared" si="30"/>
        <v>-0.81366515177521748</v>
      </c>
      <c r="L153">
        <v>1</v>
      </c>
      <c r="M153">
        <f t="shared" si="31"/>
        <v>0.53556695650172026</v>
      </c>
      <c r="N153">
        <f t="shared" si="37"/>
        <v>0.12647793963999998</v>
      </c>
      <c r="O153">
        <f t="shared" si="38"/>
        <v>2.238523886532735E-2</v>
      </c>
      <c r="P153">
        <f t="shared" si="39"/>
        <v>0.1292350167681699</v>
      </c>
    </row>
    <row r="154" spans="1:16" x14ac:dyDescent="0.3">
      <c r="A154">
        <v>7.8118290999999997</v>
      </c>
      <c r="B154">
        <v>0.40544000000000002</v>
      </c>
      <c r="C154">
        <f t="shared" si="25"/>
        <v>3.1672279903040002</v>
      </c>
      <c r="D154">
        <v>1.6299999999999999E-2</v>
      </c>
      <c r="E154">
        <v>2.8849251857154604E-3</v>
      </c>
      <c r="F154">
        <f t="shared" si="26"/>
        <v>1562.36582</v>
      </c>
      <c r="G154">
        <f t="shared" si="36"/>
        <v>-0.40544000000000002</v>
      </c>
      <c r="H154">
        <f t="shared" si="28"/>
        <v>-633.44559806080008</v>
      </c>
      <c r="I154">
        <v>1</v>
      </c>
      <c r="J154">
        <f t="shared" si="29"/>
        <v>0.44620122374093335</v>
      </c>
      <c r="K154">
        <f t="shared" si="30"/>
        <v>-0.81628515177521743</v>
      </c>
      <c r="L154">
        <v>1</v>
      </c>
      <c r="M154">
        <f t="shared" si="31"/>
        <v>0.53588221727107566</v>
      </c>
      <c r="N154">
        <f t="shared" si="37"/>
        <v>0.12733281432999999</v>
      </c>
      <c r="O154">
        <f t="shared" si="38"/>
        <v>2.2536542517094936E-2</v>
      </c>
      <c r="P154">
        <f t="shared" si="39"/>
        <v>0.13053357765704685</v>
      </c>
    </row>
    <row r="155" spans="1:16" x14ac:dyDescent="0.3">
      <c r="A155">
        <v>7.8632563000000006</v>
      </c>
      <c r="B155">
        <v>0.40316999999999997</v>
      </c>
      <c r="C155">
        <f t="shared" si="25"/>
        <v>3.170229042471</v>
      </c>
      <c r="D155">
        <v>1.6299999999999999E-2</v>
      </c>
      <c r="E155">
        <v>2.8849251857154604E-3</v>
      </c>
      <c r="F155">
        <f t="shared" si="26"/>
        <v>1572.6512600000001</v>
      </c>
      <c r="G155">
        <f t="shared" si="36"/>
        <v>-0.40316999999999997</v>
      </c>
      <c r="H155">
        <f t="shared" si="28"/>
        <v>-634.04580849419995</v>
      </c>
      <c r="I155">
        <v>1</v>
      </c>
      <c r="J155">
        <f t="shared" si="29"/>
        <v>0.45276289574543649</v>
      </c>
      <c r="K155">
        <f t="shared" si="30"/>
        <v>-0.81855515177521743</v>
      </c>
      <c r="L155">
        <v>1</v>
      </c>
      <c r="M155">
        <f t="shared" si="31"/>
        <v>0.53618930352088645</v>
      </c>
      <c r="N155">
        <f t="shared" si="37"/>
        <v>0.12817107769</v>
      </c>
      <c r="O155">
        <f t="shared" si="38"/>
        <v>2.2684906141605767E-2</v>
      </c>
      <c r="P155">
        <f t="shared" si="39"/>
        <v>0.13150986442272522</v>
      </c>
    </row>
    <row r="156" spans="1:16" x14ac:dyDescent="0.3">
      <c r="A156">
        <v>7.9136659999999992</v>
      </c>
      <c r="B156">
        <v>0.40094999999999997</v>
      </c>
      <c r="C156">
        <f t="shared" si="25"/>
        <v>3.1729843826999993</v>
      </c>
      <c r="D156">
        <v>1.6299999999999999E-2</v>
      </c>
      <c r="E156">
        <v>2.8849251857154604E-3</v>
      </c>
      <c r="F156">
        <f t="shared" si="26"/>
        <v>1582.7331999999999</v>
      </c>
      <c r="G156">
        <f t="shared" si="36"/>
        <v>-0.40094999999999997</v>
      </c>
      <c r="H156">
        <f t="shared" si="28"/>
        <v>-634.59687653999981</v>
      </c>
      <c r="I156">
        <v>1</v>
      </c>
      <c r="J156">
        <f t="shared" si="29"/>
        <v>0.45915322594886743</v>
      </c>
      <c r="K156">
        <f t="shared" si="30"/>
        <v>-0.82077515177521754</v>
      </c>
      <c r="L156">
        <v>1</v>
      </c>
      <c r="M156">
        <f t="shared" si="31"/>
        <v>0.53648837097440705</v>
      </c>
      <c r="N156">
        <f t="shared" si="37"/>
        <v>0.12899275579999997</v>
      </c>
      <c r="O156">
        <f t="shared" si="38"/>
        <v>2.2830334354740123E-2</v>
      </c>
      <c r="P156">
        <f t="shared" si="39"/>
        <v>0.13246369064607039</v>
      </c>
    </row>
    <row r="157" spans="1:16" x14ac:dyDescent="0.3">
      <c r="A157">
        <v>7.9661122999999998</v>
      </c>
      <c r="B157">
        <v>0.39859</v>
      </c>
      <c r="C157">
        <f t="shared" si="25"/>
        <v>3.1752127016569998</v>
      </c>
      <c r="D157">
        <v>1.6299999999999999E-2</v>
      </c>
      <c r="E157">
        <v>2.8849251857154604E-3</v>
      </c>
      <c r="F157">
        <f t="shared" si="26"/>
        <v>1593.22246</v>
      </c>
      <c r="G157">
        <f t="shared" si="36"/>
        <v>-0.39859</v>
      </c>
      <c r="H157">
        <f t="shared" si="28"/>
        <v>-635.04254033140001</v>
      </c>
      <c r="I157">
        <v>1</v>
      </c>
      <c r="J157">
        <f t="shared" si="29"/>
        <v>0.46575866963999407</v>
      </c>
      <c r="K157">
        <f t="shared" si="30"/>
        <v>-0.82313515177521746</v>
      </c>
      <c r="L157">
        <v>1</v>
      </c>
      <c r="M157">
        <f t="shared" si="31"/>
        <v>0.53679750573915175</v>
      </c>
      <c r="N157">
        <f t="shared" si="37"/>
        <v>0.12984763048999998</v>
      </c>
      <c r="O157">
        <f t="shared" si="38"/>
        <v>2.2981638006507713E-2</v>
      </c>
      <c r="P157">
        <f t="shared" si="39"/>
        <v>0.13350837753955802</v>
      </c>
    </row>
    <row r="158" spans="1:16" x14ac:dyDescent="0.3">
      <c r="A158">
        <v>8.0165210000000009</v>
      </c>
      <c r="B158">
        <v>0.39610000000000001</v>
      </c>
      <c r="C158">
        <f t="shared" si="25"/>
        <v>3.1753439681000004</v>
      </c>
      <c r="D158">
        <v>1.6299999999999999E-2</v>
      </c>
      <c r="E158">
        <v>2.8849251857154604E-3</v>
      </c>
      <c r="F158">
        <f t="shared" si="26"/>
        <v>1603.3042000000003</v>
      </c>
      <c r="G158">
        <f t="shared" si="36"/>
        <v>-0.39610000000000001</v>
      </c>
      <c r="H158">
        <f t="shared" si="28"/>
        <v>-635.06879362000006</v>
      </c>
      <c r="I158">
        <v>1</v>
      </c>
      <c r="J158">
        <f t="shared" si="29"/>
        <v>0.47206662480630462</v>
      </c>
      <c r="K158">
        <f t="shared" si="30"/>
        <v>-0.82562515177521745</v>
      </c>
      <c r="L158">
        <v>1</v>
      </c>
      <c r="M158">
        <f t="shared" si="31"/>
        <v>0.53709271804093506</v>
      </c>
      <c r="N158">
        <f t="shared" si="37"/>
        <v>0.13066929229999999</v>
      </c>
      <c r="O158">
        <f t="shared" si="38"/>
        <v>2.3127063334716889E-2</v>
      </c>
      <c r="P158">
        <f t="shared" si="39"/>
        <v>0.1347360780995655</v>
      </c>
    </row>
    <row r="159" spans="1:16" x14ac:dyDescent="0.3">
      <c r="A159">
        <v>8.0710034000000004</v>
      </c>
      <c r="B159">
        <v>0.39360000000000001</v>
      </c>
      <c r="C159">
        <f t="shared" si="25"/>
        <v>3.17674693824</v>
      </c>
      <c r="D159">
        <v>1.6299999999999999E-2</v>
      </c>
      <c r="E159">
        <v>2.8849251857154604E-3</v>
      </c>
      <c r="F159">
        <f t="shared" si="26"/>
        <v>1614.2006800000001</v>
      </c>
      <c r="G159">
        <f t="shared" si="36"/>
        <v>-0.39360000000000001</v>
      </c>
      <c r="H159">
        <f t="shared" si="28"/>
        <v>-635.34938764799995</v>
      </c>
      <c r="I159">
        <v>1</v>
      </c>
      <c r="J159">
        <f t="shared" si="29"/>
        <v>0.47883989916935221</v>
      </c>
      <c r="K159">
        <f t="shared" si="30"/>
        <v>-0.82812515177521751</v>
      </c>
      <c r="L159">
        <v>1</v>
      </c>
      <c r="M159">
        <f t="shared" si="31"/>
        <v>0.53740970728112569</v>
      </c>
      <c r="N159">
        <f t="shared" si="37"/>
        <v>0.13155735541999999</v>
      </c>
      <c r="O159">
        <f t="shared" si="38"/>
        <v>2.3284240982655115E-2</v>
      </c>
      <c r="P159">
        <f t="shared" si="39"/>
        <v>0.13587384809143671</v>
      </c>
    </row>
    <row r="160" spans="1:16" x14ac:dyDescent="0.3">
      <c r="A160">
        <v>8.1234491999999996</v>
      </c>
      <c r="B160">
        <v>0.39106000000000002</v>
      </c>
      <c r="C160">
        <f t="shared" si="25"/>
        <v>3.176756044152</v>
      </c>
      <c r="D160">
        <v>1.6299999999999999E-2</v>
      </c>
      <c r="E160">
        <v>2.8849251857154604E-3</v>
      </c>
      <c r="F160">
        <f t="shared" si="26"/>
        <v>1624.68984</v>
      </c>
      <c r="G160">
        <f t="shared" si="36"/>
        <v>-0.39106000000000002</v>
      </c>
      <c r="H160">
        <f t="shared" si="28"/>
        <v>-635.35120883039997</v>
      </c>
      <c r="I160">
        <v>1</v>
      </c>
      <c r="J160">
        <f t="shared" si="29"/>
        <v>0.48531692987183706</v>
      </c>
      <c r="K160">
        <f t="shared" si="30"/>
        <v>-0.83066515177521749</v>
      </c>
      <c r="L160">
        <v>1</v>
      </c>
      <c r="M160">
        <f t="shared" si="31"/>
        <v>0.53771283231800204</v>
      </c>
      <c r="N160">
        <f t="shared" si="37"/>
        <v>0.13241222195999999</v>
      </c>
      <c r="O160">
        <f t="shared" si="38"/>
        <v>2.3435543191960107E-2</v>
      </c>
      <c r="P160">
        <f t="shared" si="39"/>
        <v>0.13710455430525534</v>
      </c>
    </row>
    <row r="161" spans="1:16" x14ac:dyDescent="0.3">
      <c r="A161">
        <v>8.1753862000000002</v>
      </c>
      <c r="B161">
        <v>0.38868000000000003</v>
      </c>
      <c r="C161">
        <f t="shared" si="25"/>
        <v>3.1776091082160001</v>
      </c>
      <c r="D161">
        <v>1.6299999999999999E-2</v>
      </c>
      <c r="E161">
        <v>2.8849251857154604E-3</v>
      </c>
      <c r="F161">
        <f t="shared" si="26"/>
        <v>1635.0772400000001</v>
      </c>
      <c r="G161">
        <f t="shared" si="36"/>
        <v>-0.38868000000000003</v>
      </c>
      <c r="H161">
        <f t="shared" si="28"/>
        <v>-635.52182164320004</v>
      </c>
      <c r="I161">
        <v>1</v>
      </c>
      <c r="J161">
        <f t="shared" si="29"/>
        <v>0.49169004482358197</v>
      </c>
      <c r="K161">
        <f t="shared" si="30"/>
        <v>-0.83304515177521743</v>
      </c>
      <c r="L161">
        <v>1</v>
      </c>
      <c r="M161">
        <f t="shared" si="31"/>
        <v>0.53801109409774361</v>
      </c>
      <c r="N161">
        <f t="shared" si="37"/>
        <v>0.13325879505999999</v>
      </c>
      <c r="O161">
        <f t="shared" si="38"/>
        <v>2.3585377551330611E-2</v>
      </c>
      <c r="P161">
        <f t="shared" si="39"/>
        <v>0.13818988506614321</v>
      </c>
    </row>
    <row r="162" spans="1:16" x14ac:dyDescent="0.3">
      <c r="A162">
        <v>8.2257959000000014</v>
      </c>
      <c r="B162">
        <v>0.38618000000000002</v>
      </c>
      <c r="C162">
        <f t="shared" si="25"/>
        <v>3.1766378606620007</v>
      </c>
      <c r="D162">
        <v>1.6299999999999999E-2</v>
      </c>
      <c r="E162">
        <v>2.8849251857154604E-3</v>
      </c>
      <c r="F162">
        <f t="shared" si="26"/>
        <v>1645.1591800000003</v>
      </c>
      <c r="G162">
        <f t="shared" si="36"/>
        <v>-0.38618000000000002</v>
      </c>
      <c r="H162">
        <f t="shared" si="28"/>
        <v>-635.32757213240018</v>
      </c>
      <c r="I162">
        <v>1</v>
      </c>
      <c r="J162">
        <f t="shared" si="29"/>
        <v>0.49783714549325891</v>
      </c>
      <c r="K162">
        <f t="shared" si="30"/>
        <v>-0.83554515177521749</v>
      </c>
      <c r="L162">
        <v>1</v>
      </c>
      <c r="M162">
        <f t="shared" si="31"/>
        <v>0.53829877840908458</v>
      </c>
      <c r="N162">
        <f t="shared" si="37"/>
        <v>0.13408047317000002</v>
      </c>
      <c r="O162">
        <f t="shared" si="38"/>
        <v>2.3730805764464978E-2</v>
      </c>
      <c r="P162">
        <f t="shared" si="39"/>
        <v>0.13943509443166791</v>
      </c>
    </row>
    <row r="163" spans="1:16" x14ac:dyDescent="0.3">
      <c r="A163">
        <v>8.2782412000000001</v>
      </c>
      <c r="B163">
        <v>0.38368999999999998</v>
      </c>
      <c r="C163">
        <f t="shared" si="25"/>
        <v>3.1762783660279998</v>
      </c>
      <c r="D163">
        <v>1.6299999999999999E-2</v>
      </c>
      <c r="E163">
        <v>2.8849251857154604E-3</v>
      </c>
      <c r="F163">
        <f t="shared" si="26"/>
        <v>1655.64824</v>
      </c>
      <c r="G163">
        <f t="shared" si="36"/>
        <v>-0.38368999999999998</v>
      </c>
      <c r="H163">
        <f t="shared" si="28"/>
        <v>-635.25567320559992</v>
      </c>
      <c r="I163">
        <v>1</v>
      </c>
      <c r="J163">
        <f t="shared" si="29"/>
        <v>0.50419261794077186</v>
      </c>
      <c r="K163">
        <f t="shared" si="30"/>
        <v>-0.83803515177521748</v>
      </c>
      <c r="L163">
        <v>1</v>
      </c>
      <c r="M163">
        <f t="shared" si="31"/>
        <v>0.53859621451962814</v>
      </c>
      <c r="N163">
        <f t="shared" si="37"/>
        <v>0.13493533155999998</v>
      </c>
      <c r="O163">
        <f t="shared" si="38"/>
        <v>2.3882106531307377E-2</v>
      </c>
      <c r="P163">
        <f t="shared" si="39"/>
        <v>0.14062149916428199</v>
      </c>
    </row>
    <row r="164" spans="1:16" x14ac:dyDescent="0.3">
      <c r="A164">
        <v>8.3306874999999998</v>
      </c>
      <c r="B164">
        <v>0.38120999999999999</v>
      </c>
      <c r="C164">
        <f t="shared" si="25"/>
        <v>3.175741381875</v>
      </c>
      <c r="D164">
        <v>1.6299999999999999E-2</v>
      </c>
      <c r="E164">
        <v>2.8849251857154604E-3</v>
      </c>
      <c r="F164">
        <f t="shared" si="26"/>
        <v>1666.1375</v>
      </c>
      <c r="G164">
        <f t="shared" si="36"/>
        <v>-0.38120999999999999</v>
      </c>
      <c r="H164">
        <f t="shared" si="28"/>
        <v>-635.14827637500002</v>
      </c>
      <c r="I164">
        <v>1</v>
      </c>
      <c r="J164">
        <f t="shared" si="29"/>
        <v>0.5105080733521945</v>
      </c>
      <c r="K164">
        <f t="shared" si="30"/>
        <v>-0.84051515177521741</v>
      </c>
      <c r="L164">
        <v>1</v>
      </c>
      <c r="M164">
        <f t="shared" si="31"/>
        <v>0.53889177783288267</v>
      </c>
      <c r="N164">
        <f t="shared" si="37"/>
        <v>0.13579020624999999</v>
      </c>
      <c r="O164">
        <f t="shared" si="38"/>
        <v>2.4033410183074963E-2</v>
      </c>
      <c r="P164">
        <f t="shared" si="39"/>
        <v>0.14179975750925977</v>
      </c>
    </row>
    <row r="165" spans="1:16" x14ac:dyDescent="0.3">
      <c r="A165">
        <v>8.3846610999999989</v>
      </c>
      <c r="B165">
        <v>0.37873000000000001</v>
      </c>
      <c r="C165">
        <f t="shared" si="25"/>
        <v>3.1755226984029998</v>
      </c>
      <c r="D165">
        <v>1.6299999999999999E-2</v>
      </c>
      <c r="E165">
        <v>2.8849251857154604E-3</v>
      </c>
      <c r="F165">
        <f t="shared" si="26"/>
        <v>1676.9322199999997</v>
      </c>
      <c r="G165">
        <f t="shared" si="36"/>
        <v>-0.37873000000000001</v>
      </c>
      <c r="H165">
        <f t="shared" si="28"/>
        <v>-635.10453968059994</v>
      </c>
      <c r="I165">
        <v>1</v>
      </c>
      <c r="J165">
        <f t="shared" si="29"/>
        <v>0.51696606461222061</v>
      </c>
      <c r="K165">
        <f t="shared" si="30"/>
        <v>-0.84299515177521744</v>
      </c>
      <c r="L165">
        <v>1</v>
      </c>
      <c r="M165">
        <f t="shared" si="31"/>
        <v>0.53919401182385196</v>
      </c>
      <c r="N165">
        <f t="shared" si="37"/>
        <v>0.13666997592999997</v>
      </c>
      <c r="O165">
        <f t="shared" si="38"/>
        <v>2.4189119981078692E-2</v>
      </c>
      <c r="P165">
        <f t="shared" si="39"/>
        <v>0.14294204404028682</v>
      </c>
    </row>
    <row r="166" spans="1:16" x14ac:dyDescent="0.3">
      <c r="A166">
        <v>8.4376162000000008</v>
      </c>
      <c r="B166">
        <v>0.37626999999999999</v>
      </c>
      <c r="C166">
        <f t="shared" si="25"/>
        <v>3.1748218475740004</v>
      </c>
      <c r="D166">
        <v>1.6299999999999999E-2</v>
      </c>
      <c r="E166">
        <v>2.8849251857154604E-3</v>
      </c>
      <c r="F166">
        <f t="shared" si="26"/>
        <v>1687.5232400000002</v>
      </c>
      <c r="G166">
        <f t="shared" si="36"/>
        <v>-0.37626999999999999</v>
      </c>
      <c r="H166">
        <f t="shared" si="28"/>
        <v>-634.96436951480007</v>
      </c>
      <c r="I166">
        <v>1</v>
      </c>
      <c r="J166">
        <f t="shared" si="29"/>
        <v>0.52326191552156875</v>
      </c>
      <c r="K166">
        <f t="shared" si="30"/>
        <v>-0.84545515177521746</v>
      </c>
      <c r="L166">
        <v>1</v>
      </c>
      <c r="M166">
        <f t="shared" si="31"/>
        <v>0.53948865764640941</v>
      </c>
      <c r="N166">
        <f t="shared" si="37"/>
        <v>0.13753314406</v>
      </c>
      <c r="O166">
        <f t="shared" si="38"/>
        <v>2.4341891482780778E-2</v>
      </c>
      <c r="P166">
        <f t="shared" si="39"/>
        <v>0.14409145858602729</v>
      </c>
    </row>
    <row r="167" spans="1:16" x14ac:dyDescent="0.3">
      <c r="A167">
        <v>8.4880253999999997</v>
      </c>
      <c r="B167">
        <v>0.37378</v>
      </c>
      <c r="C167">
        <f t="shared" si="25"/>
        <v>3.1726541340119998</v>
      </c>
      <c r="D167">
        <v>1.6299999999999999E-2</v>
      </c>
      <c r="E167">
        <v>2.8849251857154604E-3</v>
      </c>
      <c r="F167">
        <f t="shared" si="26"/>
        <v>1697.60508</v>
      </c>
      <c r="G167">
        <f t="shared" si="36"/>
        <v>-0.37378</v>
      </c>
      <c r="H167">
        <f t="shared" si="28"/>
        <v>-634.53082680239993</v>
      </c>
      <c r="I167">
        <v>1</v>
      </c>
      <c r="J167">
        <f t="shared" si="29"/>
        <v>0.52921848133304772</v>
      </c>
      <c r="K167">
        <f t="shared" si="30"/>
        <v>-0.84794515177521745</v>
      </c>
      <c r="L167">
        <v>1</v>
      </c>
      <c r="M167">
        <f t="shared" si="31"/>
        <v>0.53976742492638663</v>
      </c>
      <c r="N167">
        <f t="shared" si="37"/>
        <v>0.13835481401999999</v>
      </c>
      <c r="O167">
        <f t="shared" si="38"/>
        <v>2.4487318253452545E-2</v>
      </c>
      <c r="P167">
        <f t="shared" si="39"/>
        <v>0.14533559457537829</v>
      </c>
    </row>
    <row r="168" spans="1:16" x14ac:dyDescent="0.3">
      <c r="A168">
        <v>8.5384346000000004</v>
      </c>
      <c r="B168">
        <v>0.37120999999999998</v>
      </c>
      <c r="C168">
        <f t="shared" si="25"/>
        <v>3.1695523078660002</v>
      </c>
      <c r="D168">
        <v>1.6299999999999999E-2</v>
      </c>
      <c r="E168">
        <v>2.8849251857154604E-3</v>
      </c>
      <c r="F168">
        <f t="shared" si="26"/>
        <v>1707.6869200000001</v>
      </c>
      <c r="G168">
        <f t="shared" si="36"/>
        <v>-0.37120999999999998</v>
      </c>
      <c r="H168">
        <f t="shared" si="28"/>
        <v>-633.9104615732</v>
      </c>
      <c r="I168">
        <v>1</v>
      </c>
      <c r="J168">
        <f t="shared" si="29"/>
        <v>0.53513977645676514</v>
      </c>
      <c r="K168">
        <f t="shared" si="30"/>
        <v>-0.85051515177521742</v>
      </c>
      <c r="L168">
        <v>1</v>
      </c>
      <c r="M168">
        <f t="shared" si="31"/>
        <v>0.5400445415381766</v>
      </c>
      <c r="N168">
        <f t="shared" si="37"/>
        <v>0.13917648397999999</v>
      </c>
      <c r="O168">
        <f t="shared" si="38"/>
        <v>2.4632745024124315E-2</v>
      </c>
      <c r="P168">
        <f t="shared" si="39"/>
        <v>0.1466613812329165</v>
      </c>
    </row>
    <row r="169" spans="1:16" x14ac:dyDescent="0.3">
      <c r="A169">
        <v>8.5898623000000001</v>
      </c>
      <c r="B169">
        <v>0.36901</v>
      </c>
      <c r="C169">
        <f t="shared" si="25"/>
        <v>3.1697450873230002</v>
      </c>
      <c r="D169">
        <v>1.6299999999999999E-2</v>
      </c>
      <c r="E169">
        <v>2.8849251857154604E-3</v>
      </c>
      <c r="F169">
        <f t="shared" si="26"/>
        <v>1717.97246</v>
      </c>
      <c r="G169">
        <f t="shared" si="36"/>
        <v>-0.36901</v>
      </c>
      <c r="H169">
        <f t="shared" si="28"/>
        <v>-633.94901746460005</v>
      </c>
      <c r="I169">
        <v>1</v>
      </c>
      <c r="J169">
        <f t="shared" si="29"/>
        <v>0.54114479316582431</v>
      </c>
      <c r="K169">
        <f t="shared" si="30"/>
        <v>-0.85271515177521739</v>
      </c>
      <c r="L169">
        <v>1</v>
      </c>
      <c r="M169">
        <f t="shared" si="31"/>
        <v>0.54032557632016054</v>
      </c>
      <c r="N169">
        <f t="shared" si="37"/>
        <v>0.14001475548999998</v>
      </c>
      <c r="O169">
        <f t="shared" si="38"/>
        <v>2.4781110091097732E-2</v>
      </c>
      <c r="P169">
        <f t="shared" si="39"/>
        <v>0.14759370987395914</v>
      </c>
    </row>
    <row r="170" spans="1:16" x14ac:dyDescent="0.3">
      <c r="A170">
        <v>8.6407802999999994</v>
      </c>
      <c r="B170">
        <v>0.36637999999999998</v>
      </c>
      <c r="C170">
        <f t="shared" si="25"/>
        <v>3.1658090863139998</v>
      </c>
      <c r="D170">
        <v>1.6299999999999999E-2</v>
      </c>
      <c r="E170">
        <v>2.8849251857154604E-3</v>
      </c>
      <c r="F170">
        <f t="shared" si="26"/>
        <v>1728.1560599999998</v>
      </c>
      <c r="G170">
        <f t="shared" si="36"/>
        <v>-0.36637999999999998</v>
      </c>
      <c r="H170">
        <f t="shared" si="28"/>
        <v>-633.16181726280001</v>
      </c>
      <c r="I170">
        <v>1</v>
      </c>
      <c r="J170">
        <f t="shared" si="29"/>
        <v>0.5470549788039355</v>
      </c>
      <c r="K170">
        <f t="shared" si="30"/>
        <v>-0.85534515177521753</v>
      </c>
      <c r="L170">
        <v>1</v>
      </c>
      <c r="M170">
        <f t="shared" si="31"/>
        <v>0.54060217300802416</v>
      </c>
      <c r="N170">
        <f t="shared" si="37"/>
        <v>0.14084471888999997</v>
      </c>
      <c r="O170">
        <f t="shared" si="38"/>
        <v>2.4928004711703991E-2</v>
      </c>
      <c r="P170">
        <f t="shared" si="39"/>
        <v>0.1489702551654894</v>
      </c>
    </row>
    <row r="171" spans="1:16" x14ac:dyDescent="0.3">
      <c r="A171">
        <v>8.6927178000000005</v>
      </c>
      <c r="B171">
        <v>0.36371999999999999</v>
      </c>
      <c r="C171">
        <f t="shared" si="25"/>
        <v>3.1617153182160003</v>
      </c>
      <c r="D171">
        <v>1.6299999999999999E-2</v>
      </c>
      <c r="E171">
        <v>2.8849251857154604E-3</v>
      </c>
      <c r="F171">
        <f t="shared" si="26"/>
        <v>1738.5435600000001</v>
      </c>
      <c r="G171">
        <f t="shared" si="36"/>
        <v>-0.36371999999999999</v>
      </c>
      <c r="H171">
        <f t="shared" si="28"/>
        <v>-632.34306364320003</v>
      </c>
      <c r="I171">
        <v>1</v>
      </c>
      <c r="J171">
        <f t="shared" si="29"/>
        <v>0.55304772823471071</v>
      </c>
      <c r="K171">
        <f t="shared" si="30"/>
        <v>-0.85800515177521741</v>
      </c>
      <c r="L171">
        <v>1</v>
      </c>
      <c r="M171">
        <f t="shared" si="31"/>
        <v>0.54088263368138445</v>
      </c>
      <c r="N171">
        <f t="shared" si="37"/>
        <v>0.14169130014</v>
      </c>
      <c r="O171">
        <f t="shared" si="38"/>
        <v>2.5077840513537088E-2</v>
      </c>
      <c r="P171">
        <f t="shared" si="39"/>
        <v>0.15035337744029587</v>
      </c>
    </row>
    <row r="172" spans="1:16" x14ac:dyDescent="0.3">
      <c r="A172">
        <v>8.7477090000000004</v>
      </c>
      <c r="B172">
        <v>0.36118</v>
      </c>
      <c r="C172">
        <f t="shared" si="25"/>
        <v>3.15949753662</v>
      </c>
      <c r="D172">
        <v>1.6299999999999999E-2</v>
      </c>
      <c r="E172">
        <v>2.8849251857154604E-3</v>
      </c>
      <c r="F172">
        <f t="shared" si="26"/>
        <v>1749.5418</v>
      </c>
      <c r="G172">
        <f t="shared" si="36"/>
        <v>-0.36118</v>
      </c>
      <c r="H172">
        <f t="shared" si="28"/>
        <v>-631.89950732399996</v>
      </c>
      <c r="I172">
        <v>1</v>
      </c>
      <c r="J172">
        <f t="shared" si="29"/>
        <v>0.55935392508090942</v>
      </c>
      <c r="K172">
        <f t="shared" si="30"/>
        <v>-0.8605451517752174</v>
      </c>
      <c r="L172">
        <v>1</v>
      </c>
      <c r="M172">
        <f t="shared" si="31"/>
        <v>0.54117776369378656</v>
      </c>
      <c r="N172">
        <f t="shared" si="37"/>
        <v>0.14258765669999998</v>
      </c>
      <c r="O172">
        <f t="shared" si="38"/>
        <v>2.5236486011409806E-2</v>
      </c>
      <c r="P172">
        <f t="shared" si="39"/>
        <v>0.15154324537002106</v>
      </c>
    </row>
    <row r="173" spans="1:16" x14ac:dyDescent="0.3">
      <c r="A173">
        <v>8.7991357000000008</v>
      </c>
      <c r="B173">
        <v>0.35837999999999998</v>
      </c>
      <c r="C173">
        <f t="shared" si="25"/>
        <v>3.1534342521659999</v>
      </c>
      <c r="D173">
        <v>1.6299999999999999E-2</v>
      </c>
      <c r="E173">
        <v>2.8849251857154604E-3</v>
      </c>
      <c r="F173">
        <f t="shared" si="26"/>
        <v>1759.8271400000001</v>
      </c>
      <c r="G173">
        <f t="shared" si="36"/>
        <v>-0.35837999999999998</v>
      </c>
      <c r="H173">
        <f t="shared" si="28"/>
        <v>-630.68685043319999</v>
      </c>
      <c r="I173">
        <v>1</v>
      </c>
      <c r="J173">
        <f t="shared" si="29"/>
        <v>0.56521558831747132</v>
      </c>
      <c r="K173">
        <f t="shared" si="30"/>
        <v>-0.86334515177521753</v>
      </c>
      <c r="L173">
        <v>1</v>
      </c>
      <c r="M173">
        <f t="shared" si="31"/>
        <v>0.54145208953325763</v>
      </c>
      <c r="N173">
        <f t="shared" si="37"/>
        <v>0.14342591191000001</v>
      </c>
      <c r="O173">
        <f t="shared" si="38"/>
        <v>2.5384848193458039E-2</v>
      </c>
      <c r="P173">
        <f t="shared" si="39"/>
        <v>0.15308230213850185</v>
      </c>
    </row>
    <row r="174" spans="1:16" x14ac:dyDescent="0.3">
      <c r="A174">
        <v>8.8505634999999998</v>
      </c>
      <c r="B174">
        <v>0.35593000000000002</v>
      </c>
      <c r="C174">
        <f t="shared" si="25"/>
        <v>3.1501810665550001</v>
      </c>
      <c r="D174">
        <v>1.6299999999999999E-2</v>
      </c>
      <c r="E174">
        <v>2.8849251857154604E-3</v>
      </c>
      <c r="F174">
        <f t="shared" si="26"/>
        <v>1770.1126999999999</v>
      </c>
      <c r="G174">
        <f t="shared" si="36"/>
        <v>-0.35593000000000002</v>
      </c>
      <c r="H174">
        <f t="shared" si="28"/>
        <v>-630.03621331099998</v>
      </c>
      <c r="I174">
        <v>1</v>
      </c>
      <c r="J174">
        <f t="shared" si="29"/>
        <v>0.57104321687512594</v>
      </c>
      <c r="K174">
        <f t="shared" si="30"/>
        <v>-0.86579515177521738</v>
      </c>
      <c r="L174">
        <v>1</v>
      </c>
      <c r="M174">
        <f t="shared" si="31"/>
        <v>0.54172482254975596</v>
      </c>
      <c r="N174">
        <f t="shared" si="37"/>
        <v>0.14426418504999999</v>
      </c>
      <c r="O174">
        <f t="shared" si="38"/>
        <v>2.5533213548923975E-2</v>
      </c>
      <c r="P174">
        <f t="shared" si="39"/>
        <v>0.15427293062653746</v>
      </c>
    </row>
    <row r="175" spans="1:16" x14ac:dyDescent="0.3">
      <c r="A175">
        <v>8.901482399999999</v>
      </c>
      <c r="B175">
        <v>0.35324</v>
      </c>
      <c r="C175">
        <f t="shared" si="25"/>
        <v>3.1443596429759997</v>
      </c>
      <c r="D175">
        <v>1.6299999999999999E-2</v>
      </c>
      <c r="E175">
        <v>2.8849251857154604E-3</v>
      </c>
      <c r="F175">
        <f t="shared" si="26"/>
        <v>1780.2964799999997</v>
      </c>
      <c r="G175">
        <f t="shared" si="36"/>
        <v>-0.35324</v>
      </c>
      <c r="H175">
        <f t="shared" si="28"/>
        <v>-628.87192859519996</v>
      </c>
      <c r="I175">
        <v>1</v>
      </c>
      <c r="J175">
        <f t="shared" si="29"/>
        <v>0.57677991223187042</v>
      </c>
      <c r="K175">
        <f t="shared" si="30"/>
        <v>-0.86848515177521746</v>
      </c>
      <c r="L175">
        <v>1</v>
      </c>
      <c r="M175">
        <f t="shared" si="31"/>
        <v>0.5419932998924516</v>
      </c>
      <c r="N175">
        <f t="shared" si="37"/>
        <v>0.14509416311999998</v>
      </c>
      <c r="O175">
        <f t="shared" si="38"/>
        <v>2.56801107659629E-2</v>
      </c>
      <c r="P175">
        <f t="shared" si="39"/>
        <v>0.15571757799680297</v>
      </c>
    </row>
    <row r="176" spans="1:16" x14ac:dyDescent="0.3">
      <c r="A176">
        <v>8.9529092000000006</v>
      </c>
      <c r="B176">
        <v>0.35077999999999998</v>
      </c>
      <c r="C176">
        <f t="shared" si="25"/>
        <v>3.1405014891760001</v>
      </c>
      <c r="D176">
        <v>1.6299999999999999E-2</v>
      </c>
      <c r="E176">
        <v>2.8849251857154604E-3</v>
      </c>
      <c r="F176">
        <f t="shared" si="26"/>
        <v>1790.5818400000001</v>
      </c>
      <c r="G176">
        <f t="shared" si="36"/>
        <v>-0.35077999999999998</v>
      </c>
      <c r="H176">
        <f t="shared" si="28"/>
        <v>-628.10029783520008</v>
      </c>
      <c r="I176">
        <v>1</v>
      </c>
      <c r="J176">
        <f t="shared" si="29"/>
        <v>0.58254061731459639</v>
      </c>
      <c r="K176">
        <f t="shared" si="30"/>
        <v>-0.87094515177521747</v>
      </c>
      <c r="L176">
        <v>1</v>
      </c>
      <c r="M176">
        <f t="shared" si="31"/>
        <v>0.54226290089032314</v>
      </c>
      <c r="N176">
        <f t="shared" si="37"/>
        <v>0.14593241996</v>
      </c>
      <c r="O176">
        <f t="shared" si="38"/>
        <v>2.5828473236503655E-2</v>
      </c>
      <c r="P176">
        <f t="shared" si="39"/>
        <v>0.15692135768839066</v>
      </c>
    </row>
    <row r="177" spans="1:16" x14ac:dyDescent="0.3">
      <c r="A177">
        <v>9.0053555000000003</v>
      </c>
      <c r="B177">
        <v>0.34809000000000001</v>
      </c>
      <c r="C177">
        <f t="shared" si="25"/>
        <v>3.1346741959950002</v>
      </c>
      <c r="D177">
        <v>1.6299999999999999E-2</v>
      </c>
      <c r="E177">
        <v>2.8849251857154604E-3</v>
      </c>
      <c r="F177">
        <f t="shared" si="26"/>
        <v>1801.0711000000001</v>
      </c>
      <c r="G177">
        <f t="shared" si="36"/>
        <v>-0.34809000000000001</v>
      </c>
      <c r="H177">
        <f t="shared" si="28"/>
        <v>-626.93483919900007</v>
      </c>
      <c r="I177">
        <v>1</v>
      </c>
      <c r="J177">
        <f t="shared" si="29"/>
        <v>0.58838154348232086</v>
      </c>
      <c r="K177">
        <f t="shared" si="30"/>
        <v>-0.87363515177521744</v>
      </c>
      <c r="L177">
        <v>1</v>
      </c>
      <c r="M177">
        <f t="shared" si="31"/>
        <v>0.54253625623497259</v>
      </c>
      <c r="N177">
        <f t="shared" si="37"/>
        <v>0.14678729464999998</v>
      </c>
      <c r="O177">
        <f t="shared" si="38"/>
        <v>2.5979776888271244E-2</v>
      </c>
      <c r="P177">
        <f t="shared" si="39"/>
        <v>0.15833182400197363</v>
      </c>
    </row>
    <row r="178" spans="1:16" x14ac:dyDescent="0.3">
      <c r="A178">
        <v>9.0572920000000003</v>
      </c>
      <c r="B178">
        <v>0.34553</v>
      </c>
      <c r="C178">
        <f t="shared" si="25"/>
        <v>3.1295661047600003</v>
      </c>
      <c r="D178">
        <v>1.6299999999999999E-2</v>
      </c>
      <c r="E178">
        <v>2.8849251857154604E-3</v>
      </c>
      <c r="F178">
        <f t="shared" si="26"/>
        <v>1811.4584</v>
      </c>
      <c r="G178">
        <f t="shared" si="36"/>
        <v>-0.34553</v>
      </c>
      <c r="H178">
        <f t="shared" si="28"/>
        <v>-625.91322095200007</v>
      </c>
      <c r="I178">
        <v>1</v>
      </c>
      <c r="J178">
        <f t="shared" si="29"/>
        <v>0.59413226669516062</v>
      </c>
      <c r="K178">
        <f t="shared" si="30"/>
        <v>-0.87619515177521745</v>
      </c>
      <c r="L178">
        <v>1</v>
      </c>
      <c r="M178">
        <f t="shared" si="31"/>
        <v>0.54280539008133355</v>
      </c>
      <c r="N178">
        <f t="shared" si="37"/>
        <v>0.1476338596</v>
      </c>
      <c r="O178">
        <f t="shared" si="38"/>
        <v>2.6129609805179154E-2</v>
      </c>
      <c r="P178">
        <f t="shared" si="39"/>
        <v>0.15962629228870476</v>
      </c>
    </row>
    <row r="179" spans="1:16" x14ac:dyDescent="0.3">
      <c r="A179">
        <v>9.1107568000000008</v>
      </c>
      <c r="B179">
        <v>0.34273999999999999</v>
      </c>
      <c r="C179">
        <f t="shared" si="25"/>
        <v>3.1226207856320003</v>
      </c>
      <c r="D179">
        <v>1.6299999999999999E-2</v>
      </c>
      <c r="E179">
        <v>2.8849251857154604E-3</v>
      </c>
      <c r="F179">
        <f t="shared" si="26"/>
        <v>1822.1513600000001</v>
      </c>
      <c r="G179">
        <f t="shared" si="36"/>
        <v>-0.34273999999999999</v>
      </c>
      <c r="H179">
        <f t="shared" si="28"/>
        <v>-624.52415712640004</v>
      </c>
      <c r="I179">
        <v>1</v>
      </c>
      <c r="J179">
        <f t="shared" si="29"/>
        <v>0.6000178689329051</v>
      </c>
      <c r="K179">
        <f t="shared" si="30"/>
        <v>-0.87898515177521741</v>
      </c>
      <c r="L179">
        <v>1</v>
      </c>
      <c r="M179">
        <f t="shared" si="31"/>
        <v>0.54308083626605996</v>
      </c>
      <c r="N179">
        <f t="shared" si="37"/>
        <v>0.14850533584</v>
      </c>
      <c r="O179">
        <f t="shared" si="38"/>
        <v>2.6283851753248395E-2</v>
      </c>
      <c r="P179">
        <f t="shared" si="39"/>
        <v>0.16111512791590904</v>
      </c>
    </row>
    <row r="180" spans="1:16" x14ac:dyDescent="0.3">
      <c r="A180">
        <v>9.1672763999999987</v>
      </c>
      <c r="B180">
        <v>0.34011000000000002</v>
      </c>
      <c r="C180">
        <f t="shared" si="25"/>
        <v>3.1178823764039998</v>
      </c>
      <c r="D180">
        <v>1.6299999999999999E-2</v>
      </c>
      <c r="E180">
        <v>2.8849251857154604E-3</v>
      </c>
      <c r="F180">
        <f t="shared" si="26"/>
        <v>1833.4552799999997</v>
      </c>
      <c r="G180">
        <f t="shared" si="36"/>
        <v>-0.34011000000000002</v>
      </c>
      <c r="H180">
        <f t="shared" si="28"/>
        <v>-623.57647528079997</v>
      </c>
      <c r="I180">
        <v>1</v>
      </c>
      <c r="J180">
        <f t="shared" si="29"/>
        <v>0.60620231772183653</v>
      </c>
      <c r="K180">
        <f t="shared" si="30"/>
        <v>-0.88161515177521743</v>
      </c>
      <c r="L180">
        <v>1</v>
      </c>
      <c r="M180">
        <f t="shared" si="31"/>
        <v>0.54337026846938197</v>
      </c>
      <c r="N180">
        <f t="shared" si="37"/>
        <v>0.14942660531999996</v>
      </c>
      <c r="O180">
        <f t="shared" si="38"/>
        <v>2.6446906570774954E-2</v>
      </c>
      <c r="P180">
        <f t="shared" si="39"/>
        <v>0.16237137141506056</v>
      </c>
    </row>
    <row r="181" spans="1:16" x14ac:dyDescent="0.3">
      <c r="A181">
        <v>9.2187031000000008</v>
      </c>
      <c r="B181">
        <v>0.33700999999999998</v>
      </c>
      <c r="C181">
        <f t="shared" si="25"/>
        <v>3.1067951317309999</v>
      </c>
      <c r="D181">
        <v>1.6299999999999999E-2</v>
      </c>
      <c r="E181">
        <v>2.8849251857154604E-3</v>
      </c>
      <c r="F181">
        <f t="shared" si="26"/>
        <v>1843.7406200000003</v>
      </c>
      <c r="G181">
        <f t="shared" si="36"/>
        <v>-0.33700999999999998</v>
      </c>
      <c r="H181">
        <f t="shared" si="28"/>
        <v>-621.35902634619993</v>
      </c>
      <c r="I181">
        <v>1</v>
      </c>
      <c r="J181">
        <f t="shared" si="29"/>
        <v>0.61179645363542468</v>
      </c>
      <c r="K181">
        <f t="shared" si="30"/>
        <v>-0.88471515177521742</v>
      </c>
      <c r="L181">
        <v>1</v>
      </c>
      <c r="M181">
        <f t="shared" si="31"/>
        <v>0.54363207403013791</v>
      </c>
      <c r="N181">
        <f t="shared" si="37"/>
        <v>0.15026486052999999</v>
      </c>
      <c r="O181">
        <f t="shared" si="38"/>
        <v>2.6595268752823191E-2</v>
      </c>
      <c r="P181">
        <f t="shared" si="39"/>
        <v>0.16422294846225632</v>
      </c>
    </row>
    <row r="182" spans="1:16" x14ac:dyDescent="0.3">
      <c r="A182">
        <v>9.2736942999999989</v>
      </c>
      <c r="B182">
        <v>0.33450999999999997</v>
      </c>
      <c r="C182">
        <f t="shared" si="25"/>
        <v>3.1021434802929995</v>
      </c>
      <c r="D182">
        <v>1.6299999999999999E-2</v>
      </c>
      <c r="E182">
        <v>2.8849251857154604E-3</v>
      </c>
      <c r="F182">
        <f t="shared" si="26"/>
        <v>1854.7388599999997</v>
      </c>
      <c r="G182">
        <f t="shared" si="36"/>
        <v>-0.33450999999999997</v>
      </c>
      <c r="H182">
        <f t="shared" si="28"/>
        <v>-620.42869605859994</v>
      </c>
      <c r="I182">
        <v>1</v>
      </c>
      <c r="J182">
        <f t="shared" si="29"/>
        <v>0.61774390986916417</v>
      </c>
      <c r="K182">
        <f t="shared" si="30"/>
        <v>-0.88721515177521748</v>
      </c>
      <c r="L182">
        <v>1</v>
      </c>
      <c r="M182">
        <f t="shared" si="31"/>
        <v>0.54391041498187687</v>
      </c>
      <c r="N182">
        <f t="shared" si="37"/>
        <v>0.15116121708999997</v>
      </c>
      <c r="O182">
        <f t="shared" si="38"/>
        <v>2.6753914250695902E-2</v>
      </c>
      <c r="P182">
        <f t="shared" si="39"/>
        <v>0.16538960545264475</v>
      </c>
    </row>
    <row r="183" spans="1:16" x14ac:dyDescent="0.3">
      <c r="A183">
        <v>9.3241044999999989</v>
      </c>
      <c r="B183">
        <v>0.33129999999999998</v>
      </c>
      <c r="C183">
        <f t="shared" si="25"/>
        <v>3.0890758208499993</v>
      </c>
      <c r="D183">
        <v>1.6299999999999999E-2</v>
      </c>
      <c r="E183">
        <v>2.8849251857154604E-3</v>
      </c>
      <c r="F183">
        <f t="shared" si="26"/>
        <v>1864.8208999999997</v>
      </c>
      <c r="G183">
        <f t="shared" si="36"/>
        <v>-0.33129999999999998</v>
      </c>
      <c r="H183">
        <f t="shared" si="28"/>
        <v>-617.81516416999989</v>
      </c>
      <c r="I183">
        <v>1</v>
      </c>
      <c r="J183">
        <f t="shared" si="29"/>
        <v>0.62316501631281274</v>
      </c>
      <c r="K183">
        <f t="shared" si="30"/>
        <v>-0.89042515177521753</v>
      </c>
      <c r="L183">
        <v>1</v>
      </c>
      <c r="M183">
        <f t="shared" si="31"/>
        <v>0.54416412276343962</v>
      </c>
      <c r="N183">
        <f t="shared" si="37"/>
        <v>0.15198290334999998</v>
      </c>
      <c r="O183">
        <f t="shared" si="38"/>
        <v>2.6899343906292856E-2</v>
      </c>
      <c r="P183">
        <f t="shared" si="39"/>
        <v>0.16737878175548507</v>
      </c>
    </row>
    <row r="184" spans="1:16" x14ac:dyDescent="0.3">
      <c r="A184">
        <v>9.3750225</v>
      </c>
      <c r="B184">
        <v>0.32899</v>
      </c>
      <c r="C184">
        <f t="shared" si="25"/>
        <v>3.0842886522750002</v>
      </c>
      <c r="D184">
        <v>1.6299999999999999E-2</v>
      </c>
      <c r="E184">
        <v>2.8849251857154604E-3</v>
      </c>
      <c r="F184">
        <f t="shared" si="26"/>
        <v>1875.0045</v>
      </c>
      <c r="G184">
        <f t="shared" si="36"/>
        <v>-0.32899</v>
      </c>
      <c r="H184">
        <f t="shared" si="28"/>
        <v>-616.85773045500002</v>
      </c>
      <c r="I184">
        <v>1</v>
      </c>
      <c r="J184">
        <f t="shared" si="29"/>
        <v>0.62861105941949413</v>
      </c>
      <c r="K184">
        <f t="shared" si="30"/>
        <v>-0.89273515177521745</v>
      </c>
      <c r="L184">
        <v>1</v>
      </c>
      <c r="M184">
        <f t="shared" si="31"/>
        <v>0.54441899758083234</v>
      </c>
      <c r="N184">
        <f t="shared" si="37"/>
        <v>0.15281286675</v>
      </c>
      <c r="O184">
        <f t="shared" si="38"/>
        <v>2.7046238526899118E-2</v>
      </c>
      <c r="P184">
        <f t="shared" si="39"/>
        <v>0.168457048917486</v>
      </c>
    </row>
    <row r="185" spans="1:16" x14ac:dyDescent="0.3">
      <c r="A185">
        <v>9.4264501999999997</v>
      </c>
      <c r="B185">
        <v>0.32634000000000002</v>
      </c>
      <c r="C185">
        <f t="shared" si="25"/>
        <v>3.0762277582680002</v>
      </c>
      <c r="D185">
        <v>1.6299999999999999E-2</v>
      </c>
      <c r="E185">
        <v>2.8849251857154604E-3</v>
      </c>
      <c r="F185">
        <f t="shared" si="26"/>
        <v>1885.2900399999999</v>
      </c>
      <c r="G185">
        <f t="shared" si="36"/>
        <v>-0.32634000000000002</v>
      </c>
      <c r="H185">
        <f t="shared" si="28"/>
        <v>-615.24555165360005</v>
      </c>
      <c r="I185">
        <v>1</v>
      </c>
      <c r="J185">
        <f t="shared" si="29"/>
        <v>0.63408167643760904</v>
      </c>
      <c r="K185">
        <f t="shared" si="30"/>
        <v>-0.89538515177521738</v>
      </c>
      <c r="L185">
        <v>1</v>
      </c>
      <c r="M185">
        <f t="shared" si="31"/>
        <v>0.54467502245728017</v>
      </c>
      <c r="N185">
        <f t="shared" si="37"/>
        <v>0.15365113825999999</v>
      </c>
      <c r="O185">
        <f t="shared" si="38"/>
        <v>2.7194603593872539E-2</v>
      </c>
      <c r="P185">
        <f t="shared" si="39"/>
        <v>0.16986438746406468</v>
      </c>
    </row>
    <row r="186" spans="1:16" x14ac:dyDescent="0.3">
      <c r="A186">
        <v>9.477368199999999</v>
      </c>
      <c r="B186">
        <v>0.32335999999999998</v>
      </c>
      <c r="C186">
        <f t="shared" si="25"/>
        <v>3.0646017811519997</v>
      </c>
      <c r="D186">
        <v>1.6299999999999999E-2</v>
      </c>
      <c r="E186">
        <v>2.8849251857154604E-3</v>
      </c>
      <c r="F186">
        <f t="shared" si="26"/>
        <v>1895.4736399999997</v>
      </c>
      <c r="G186">
        <f t="shared" si="36"/>
        <v>-0.32335999999999998</v>
      </c>
      <c r="H186">
        <f t="shared" si="28"/>
        <v>-612.92035623039988</v>
      </c>
      <c r="I186">
        <v>1</v>
      </c>
      <c r="J186">
        <f t="shared" si="29"/>
        <v>0.63946874925661001</v>
      </c>
      <c r="K186">
        <f t="shared" si="30"/>
        <v>-0.89836515177521747</v>
      </c>
      <c r="L186">
        <v>1</v>
      </c>
      <c r="M186">
        <f t="shared" si="31"/>
        <v>0.54492713746520938</v>
      </c>
      <c r="N186">
        <f t="shared" si="37"/>
        <v>0.15448110165999998</v>
      </c>
      <c r="O186">
        <f t="shared" si="38"/>
        <v>2.7341498214478795E-2</v>
      </c>
      <c r="P186">
        <f t="shared" si="39"/>
        <v>0.17161541443552933</v>
      </c>
    </row>
    <row r="187" spans="1:16" x14ac:dyDescent="0.3">
      <c r="A187">
        <v>9.5298145000000005</v>
      </c>
      <c r="B187">
        <v>0.32044</v>
      </c>
      <c r="C187">
        <f t="shared" si="25"/>
        <v>3.0537337583800004</v>
      </c>
      <c r="D187">
        <v>1.6299999999999999E-2</v>
      </c>
      <c r="E187">
        <v>2.8849251857154604E-3</v>
      </c>
      <c r="F187">
        <f t="shared" si="26"/>
        <v>1905.9629</v>
      </c>
      <c r="G187">
        <f t="shared" si="36"/>
        <v>-0.32044</v>
      </c>
      <c r="H187">
        <f t="shared" si="28"/>
        <v>-610.74675167600003</v>
      </c>
      <c r="I187">
        <v>1</v>
      </c>
      <c r="J187">
        <f t="shared" si="29"/>
        <v>0.64498734019471882</v>
      </c>
      <c r="K187">
        <f t="shared" si="30"/>
        <v>-0.9012851517752174</v>
      </c>
      <c r="L187">
        <v>1</v>
      </c>
      <c r="M187">
        <f t="shared" si="31"/>
        <v>0.54518540752111289</v>
      </c>
      <c r="N187">
        <f t="shared" si="37"/>
        <v>0.15533597634999999</v>
      </c>
      <c r="O187">
        <f t="shared" si="38"/>
        <v>2.7492801866246388E-2</v>
      </c>
      <c r="P187">
        <f t="shared" si="39"/>
        <v>0.17327096603785813</v>
      </c>
    </row>
    <row r="188" spans="1:16" x14ac:dyDescent="0.3">
      <c r="A188">
        <v>9.5807324000000005</v>
      </c>
      <c r="B188">
        <v>0.31794</v>
      </c>
      <c r="C188">
        <f t="shared" si="25"/>
        <v>3.0460980592560003</v>
      </c>
      <c r="D188">
        <v>1.6299999999999999E-2</v>
      </c>
      <c r="E188">
        <v>2.8849251857154604E-3</v>
      </c>
      <c r="F188">
        <f t="shared" si="26"/>
        <v>1916.1464800000001</v>
      </c>
      <c r="G188">
        <f t="shared" ref="G188:G211" si="40">-B188</f>
        <v>-0.31794</v>
      </c>
      <c r="H188">
        <f t="shared" si="28"/>
        <v>-609.21961185120006</v>
      </c>
      <c r="I188">
        <v>1</v>
      </c>
      <c r="J188">
        <f t="shared" si="29"/>
        <v>0.65031612756590196</v>
      </c>
      <c r="K188">
        <f t="shared" ref="K188:K211" si="41">((-G188)-$N$2)</f>
        <v>-0.90378515177521745</v>
      </c>
      <c r="L188">
        <v>1</v>
      </c>
      <c r="M188">
        <f t="shared" si="31"/>
        <v>0.54543479477008427</v>
      </c>
      <c r="N188">
        <f t="shared" ref="N188:N211" si="42">D188*A188</f>
        <v>0.15616593811999999</v>
      </c>
      <c r="O188">
        <f t="shared" ref="O188:O211" si="43">E188*A188</f>
        <v>2.7639696198360129E-2</v>
      </c>
      <c r="P188">
        <f t="shared" ref="P188:P211" si="44">-K188-M188-N188-O188</f>
        <v>0.17454472268677307</v>
      </c>
    </row>
    <row r="189" spans="1:16" x14ac:dyDescent="0.3">
      <c r="A189">
        <v>9.6321601999999995</v>
      </c>
      <c r="B189">
        <v>0.31490000000000001</v>
      </c>
      <c r="C189">
        <f t="shared" si="25"/>
        <v>3.0331672469800002</v>
      </c>
      <c r="D189">
        <v>1.6299999999999999E-2</v>
      </c>
      <c r="E189">
        <v>2.8849251857154604E-3</v>
      </c>
      <c r="F189">
        <f t="shared" si="26"/>
        <v>1926.4320399999999</v>
      </c>
      <c r="G189">
        <f t="shared" si="40"/>
        <v>-0.31490000000000001</v>
      </c>
      <c r="H189">
        <f t="shared" si="28"/>
        <v>-606.63344939600006</v>
      </c>
      <c r="I189">
        <v>1</v>
      </c>
      <c r="J189">
        <f t="shared" si="29"/>
        <v>0.65566960805385432</v>
      </c>
      <c r="K189">
        <f t="shared" si="41"/>
        <v>-0.9068251517752175</v>
      </c>
      <c r="L189">
        <v>1</v>
      </c>
      <c r="M189">
        <f t="shared" si="31"/>
        <v>0.5456853376569204</v>
      </c>
      <c r="N189">
        <f t="shared" si="42"/>
        <v>0.15700421125999997</v>
      </c>
      <c r="O189">
        <f t="shared" si="43"/>
        <v>2.7788061553826064E-2</v>
      </c>
      <c r="P189">
        <f t="shared" si="44"/>
        <v>0.17634754130447106</v>
      </c>
    </row>
    <row r="190" spans="1:16" x14ac:dyDescent="0.3">
      <c r="A190">
        <v>9.6840966999999996</v>
      </c>
      <c r="B190">
        <v>0.31230999999999998</v>
      </c>
      <c r="C190">
        <f t="shared" si="25"/>
        <v>3.0244402403769994</v>
      </c>
      <c r="D190">
        <v>1.6299999999999999E-2</v>
      </c>
      <c r="E190">
        <v>2.8849251857154604E-3</v>
      </c>
      <c r="F190">
        <f t="shared" si="26"/>
        <v>1936.81934</v>
      </c>
      <c r="G190">
        <f t="shared" si="40"/>
        <v>-0.31230999999999998</v>
      </c>
      <c r="H190">
        <f t="shared" si="28"/>
        <v>-604.88804807539987</v>
      </c>
      <c r="I190">
        <v>1</v>
      </c>
      <c r="J190">
        <f t="shared" si="29"/>
        <v>0.66104711213502043</v>
      </c>
      <c r="K190">
        <f t="shared" si="41"/>
        <v>-0.90941515177521748</v>
      </c>
      <c r="L190">
        <v>1</v>
      </c>
      <c r="M190">
        <f t="shared" si="31"/>
        <v>0.54593700484791896</v>
      </c>
      <c r="N190">
        <f t="shared" si="42"/>
        <v>0.15785077620999999</v>
      </c>
      <c r="O190">
        <f t="shared" si="43"/>
        <v>2.7937894470733974E-2</v>
      </c>
      <c r="P190">
        <f t="shared" si="44"/>
        <v>0.17768947624656456</v>
      </c>
    </row>
    <row r="191" spans="1:16" x14ac:dyDescent="0.3">
      <c r="A191">
        <v>9.7350145999999995</v>
      </c>
      <c r="B191">
        <v>0.30930999999999997</v>
      </c>
      <c r="C191">
        <f t="shared" si="25"/>
        <v>3.0111373659259995</v>
      </c>
      <c r="D191">
        <v>1.6299999999999999E-2</v>
      </c>
      <c r="E191">
        <v>2.8849251857154604E-3</v>
      </c>
      <c r="F191">
        <f t="shared" si="26"/>
        <v>1947.0029199999999</v>
      </c>
      <c r="G191">
        <f t="shared" si="40"/>
        <v>-0.30930999999999997</v>
      </c>
      <c r="H191">
        <f t="shared" si="28"/>
        <v>-602.22747318519987</v>
      </c>
      <c r="I191">
        <v>1</v>
      </c>
      <c r="J191">
        <f t="shared" si="29"/>
        <v>0.66629122613213265</v>
      </c>
      <c r="K191">
        <f t="shared" si="41"/>
        <v>-0.91241515177521748</v>
      </c>
      <c r="L191">
        <v>1</v>
      </c>
      <c r="M191">
        <f t="shared" si="31"/>
        <v>0.54618242938298378</v>
      </c>
      <c r="N191">
        <f t="shared" si="42"/>
        <v>0.15868073797999999</v>
      </c>
      <c r="O191">
        <f t="shared" si="43"/>
        <v>2.8084788802847718E-2</v>
      </c>
      <c r="P191">
        <f t="shared" si="44"/>
        <v>0.17946719560938601</v>
      </c>
    </row>
    <row r="192" spans="1:16" x14ac:dyDescent="0.3">
      <c r="A192">
        <v>9.7859335999999999</v>
      </c>
      <c r="B192">
        <v>0.30646000000000001</v>
      </c>
      <c r="C192">
        <f t="shared" si="25"/>
        <v>2.9989972110559999</v>
      </c>
      <c r="D192">
        <v>1.6299999999999999E-2</v>
      </c>
      <c r="E192">
        <v>2.8849251857154604E-3</v>
      </c>
      <c r="F192">
        <f t="shared" si="26"/>
        <v>1957.1867199999999</v>
      </c>
      <c r="G192">
        <f t="shared" si="40"/>
        <v>-0.30646000000000001</v>
      </c>
      <c r="H192">
        <f t="shared" si="28"/>
        <v>-599.79944221120002</v>
      </c>
      <c r="I192">
        <v>1</v>
      </c>
      <c r="J192">
        <f t="shared" si="29"/>
        <v>0.67150809520646004</v>
      </c>
      <c r="K192">
        <f t="shared" si="41"/>
        <v>-0.9152651517752175</v>
      </c>
      <c r="L192">
        <v>1</v>
      </c>
      <c r="M192">
        <f t="shared" si="31"/>
        <v>0.54642657885566237</v>
      </c>
      <c r="N192">
        <f t="shared" si="42"/>
        <v>0.15951071768</v>
      </c>
      <c r="O192">
        <f t="shared" si="43"/>
        <v>2.8231686308379165E-2</v>
      </c>
      <c r="P192">
        <f t="shared" si="44"/>
        <v>0.18109616893117597</v>
      </c>
    </row>
    <row r="193" spans="1:16" x14ac:dyDescent="0.3">
      <c r="A193">
        <v>9.8363428000000006</v>
      </c>
      <c r="B193">
        <v>0.30309999999999998</v>
      </c>
      <c r="C193">
        <f t="shared" si="25"/>
        <v>2.9813955026799999</v>
      </c>
      <c r="D193">
        <v>1.6299999999999999E-2</v>
      </c>
      <c r="E193">
        <v>2.8849251857154604E-3</v>
      </c>
      <c r="F193">
        <f t="shared" si="26"/>
        <v>1967.2685600000002</v>
      </c>
      <c r="G193">
        <f t="shared" si="40"/>
        <v>-0.30309999999999998</v>
      </c>
      <c r="H193">
        <f t="shared" si="28"/>
        <v>-596.27910053599999</v>
      </c>
      <c r="I193">
        <v>1</v>
      </c>
      <c r="J193">
        <f t="shared" si="29"/>
        <v>0.67664606287822127</v>
      </c>
      <c r="K193">
        <f t="shared" si="41"/>
        <v>-0.91862515177521753</v>
      </c>
      <c r="L193">
        <v>1</v>
      </c>
      <c r="M193">
        <f t="shared" si="31"/>
        <v>0.54666703574270081</v>
      </c>
      <c r="N193">
        <f t="shared" si="42"/>
        <v>0.16033238763999999</v>
      </c>
      <c r="O193">
        <f t="shared" si="43"/>
        <v>2.8377113079050931E-2</v>
      </c>
      <c r="P193">
        <f t="shared" si="44"/>
        <v>0.18324861531346578</v>
      </c>
    </row>
    <row r="194" spans="1:16" x14ac:dyDescent="0.3">
      <c r="A194">
        <v>9.8872616999999998</v>
      </c>
      <c r="B194">
        <v>0.30042999999999997</v>
      </c>
      <c r="C194">
        <f t="shared" si="25"/>
        <v>2.9704300325309996</v>
      </c>
      <c r="D194">
        <v>1.6299999999999999E-2</v>
      </c>
      <c r="E194">
        <v>2.8849251857154604E-3</v>
      </c>
      <c r="F194">
        <f t="shared" si="26"/>
        <v>1977.45234</v>
      </c>
      <c r="G194">
        <f t="shared" si="40"/>
        <v>-0.30042999999999997</v>
      </c>
      <c r="H194">
        <f t="shared" si="28"/>
        <v>-594.08600650619996</v>
      </c>
      <c r="I194">
        <v>1</v>
      </c>
      <c r="J194">
        <f t="shared" si="29"/>
        <v>0.68180931923143462</v>
      </c>
      <c r="K194">
        <f t="shared" si="41"/>
        <v>-0.92129515177521748</v>
      </c>
      <c r="L194">
        <v>1</v>
      </c>
      <c r="M194">
        <f t="shared" si="31"/>
        <v>0.54690867614003114</v>
      </c>
      <c r="N194">
        <f t="shared" si="42"/>
        <v>0.16116236570999998</v>
      </c>
      <c r="O194">
        <f t="shared" si="43"/>
        <v>2.8524010296089856E-2</v>
      </c>
      <c r="P194">
        <f t="shared" si="44"/>
        <v>0.1847000996290965</v>
      </c>
    </row>
    <row r="195" spans="1:16" x14ac:dyDescent="0.3">
      <c r="A195">
        <v>9.9381786999999999</v>
      </c>
      <c r="B195">
        <v>0.29770000000000002</v>
      </c>
      <c r="C195">
        <f t="shared" si="25"/>
        <v>2.9585957989900002</v>
      </c>
      <c r="D195">
        <v>1.6299999999999999E-2</v>
      </c>
      <c r="E195">
        <v>2.8849251857154604E-3</v>
      </c>
      <c r="F195">
        <f t="shared" si="26"/>
        <v>1987.6357399999999</v>
      </c>
      <c r="G195">
        <f t="shared" si="40"/>
        <v>-0.29770000000000002</v>
      </c>
      <c r="H195">
        <f t="shared" si="28"/>
        <v>-591.71915979800008</v>
      </c>
      <c r="I195">
        <v>1</v>
      </c>
      <c r="J195">
        <f t="shared" si="29"/>
        <v>0.68694586206957176</v>
      </c>
      <c r="K195">
        <f t="shared" si="41"/>
        <v>-0.92402515177521738</v>
      </c>
      <c r="L195">
        <v>1</v>
      </c>
      <c r="M195">
        <f t="shared" si="31"/>
        <v>0.54714906634485594</v>
      </c>
      <c r="N195">
        <f t="shared" si="42"/>
        <v>0.16199231280999998</v>
      </c>
      <c r="O195">
        <f t="shared" si="43"/>
        <v>2.8670902031770931E-2</v>
      </c>
      <c r="P195">
        <f t="shared" si="44"/>
        <v>0.18621287058859054</v>
      </c>
    </row>
    <row r="196" spans="1:16" x14ac:dyDescent="0.3">
      <c r="A196">
        <v>9.9896074000000006</v>
      </c>
      <c r="B196">
        <v>0.29450999999999999</v>
      </c>
      <c r="C196">
        <f t="shared" si="25"/>
        <v>2.9420392753739999</v>
      </c>
      <c r="D196">
        <v>1.6299999999999999E-2</v>
      </c>
      <c r="E196">
        <v>2.8849251857154604E-3</v>
      </c>
      <c r="F196">
        <f t="shared" si="26"/>
        <v>1997.9214800000002</v>
      </c>
      <c r="G196">
        <f t="shared" si="40"/>
        <v>-0.29450999999999999</v>
      </c>
      <c r="H196">
        <f t="shared" si="28"/>
        <v>-588.40785507479995</v>
      </c>
      <c r="I196">
        <v>1</v>
      </c>
      <c r="J196">
        <f t="shared" si="29"/>
        <v>0.69210738015482487</v>
      </c>
      <c r="K196">
        <f t="shared" si="41"/>
        <v>-0.92721515177521741</v>
      </c>
      <c r="L196">
        <v>1</v>
      </c>
      <c r="M196">
        <f t="shared" si="31"/>
        <v>0.54739062539124583</v>
      </c>
      <c r="N196">
        <f t="shared" si="42"/>
        <v>0.16283060061999999</v>
      </c>
      <c r="O196">
        <f t="shared" si="43"/>
        <v>2.881926998366954E-2</v>
      </c>
      <c r="P196">
        <f t="shared" si="44"/>
        <v>0.18817465578030204</v>
      </c>
    </row>
    <row r="197" spans="1:16" x14ac:dyDescent="0.3">
      <c r="A197">
        <v>10.044599</v>
      </c>
      <c r="B197">
        <v>0.29157</v>
      </c>
      <c r="C197">
        <f t="shared" ref="C197:C211" si="45">A197*B197</f>
        <v>2.9287037304300001</v>
      </c>
      <c r="D197">
        <v>1.6299999999999999E-2</v>
      </c>
      <c r="E197">
        <v>2.8849251857154604E-3</v>
      </c>
      <c r="F197">
        <f t="shared" ref="F197:F260" si="46">A197*200</f>
        <v>2008.9197999999999</v>
      </c>
      <c r="G197">
        <f t="shared" si="40"/>
        <v>-0.29157</v>
      </c>
      <c r="H197">
        <f t="shared" ref="H197:H211" si="47">-C197*200</f>
        <v>-585.74074608600006</v>
      </c>
      <c r="I197">
        <v>1</v>
      </c>
      <c r="J197">
        <f t="shared" ref="J197:J260" si="48">LN(F197/1000)</f>
        <v>0.69759716467757127</v>
      </c>
      <c r="K197">
        <f t="shared" si="41"/>
        <v>-0.93015515177521746</v>
      </c>
      <c r="L197">
        <v>1</v>
      </c>
      <c r="M197">
        <f t="shared" ref="M197:M260" si="49">-1*($S$4+($S$5*J197))</f>
        <v>0.54764754730691034</v>
      </c>
      <c r="N197">
        <f t="shared" si="42"/>
        <v>0.16372696369999998</v>
      </c>
      <c r="O197">
        <f t="shared" si="43"/>
        <v>2.8977916635512326E-2</v>
      </c>
      <c r="P197">
        <f t="shared" si="44"/>
        <v>0.18980272413279481</v>
      </c>
    </row>
    <row r="198" spans="1:16" x14ac:dyDescent="0.3">
      <c r="A198">
        <v>10.097044</v>
      </c>
      <c r="B198">
        <v>0.28842000000000001</v>
      </c>
      <c r="C198">
        <f t="shared" si="45"/>
        <v>2.9121894304800002</v>
      </c>
      <c r="D198">
        <v>1.6299999999999999E-2</v>
      </c>
      <c r="E198">
        <v>2.8849251857154604E-3</v>
      </c>
      <c r="F198">
        <f t="shared" si="46"/>
        <v>2019.4088000000002</v>
      </c>
      <c r="G198">
        <f t="shared" si="40"/>
        <v>-0.28842000000000001</v>
      </c>
      <c r="H198">
        <f t="shared" si="47"/>
        <v>-582.43788609600006</v>
      </c>
      <c r="I198">
        <v>1</v>
      </c>
      <c r="J198">
        <f t="shared" si="48"/>
        <v>0.70280479530860773</v>
      </c>
      <c r="K198">
        <f t="shared" si="41"/>
        <v>-0.93330515177521745</v>
      </c>
      <c r="L198">
        <v>1</v>
      </c>
      <c r="M198">
        <f t="shared" si="49"/>
        <v>0.54789126442044289</v>
      </c>
      <c r="N198">
        <f t="shared" si="42"/>
        <v>0.16458181719999998</v>
      </c>
      <c r="O198">
        <f t="shared" si="43"/>
        <v>2.9129216536877174E-2</v>
      </c>
      <c r="P198">
        <f t="shared" si="44"/>
        <v>0.19170285361789741</v>
      </c>
    </row>
    <row r="199" spans="1:16" x14ac:dyDescent="0.3">
      <c r="A199">
        <v>10.148472</v>
      </c>
      <c r="B199">
        <v>0.28525</v>
      </c>
      <c r="C199">
        <f t="shared" si="45"/>
        <v>2.894851638</v>
      </c>
      <c r="D199">
        <v>1.6299999999999999E-2</v>
      </c>
      <c r="E199">
        <v>2.8849251857154604E-3</v>
      </c>
      <c r="F199">
        <f t="shared" si="46"/>
        <v>2029.6944000000001</v>
      </c>
      <c r="G199">
        <f t="shared" si="40"/>
        <v>-0.28525</v>
      </c>
      <c r="H199">
        <f t="shared" si="47"/>
        <v>-578.97032760000002</v>
      </c>
      <c r="I199">
        <v>1</v>
      </c>
      <c r="J199">
        <f t="shared" si="48"/>
        <v>0.70788523984920981</v>
      </c>
      <c r="K199">
        <f t="shared" si="41"/>
        <v>-0.93647515177521745</v>
      </c>
      <c r="L199">
        <v>1</v>
      </c>
      <c r="M199">
        <f t="shared" si="49"/>
        <v>0.548129029224943</v>
      </c>
      <c r="N199">
        <f t="shared" si="42"/>
        <v>0.16542009359999998</v>
      </c>
      <c r="O199">
        <f t="shared" si="43"/>
        <v>2.9277582469328149E-2</v>
      </c>
      <c r="P199">
        <f t="shared" si="44"/>
        <v>0.19364844648094631</v>
      </c>
    </row>
    <row r="200" spans="1:16" x14ac:dyDescent="0.3">
      <c r="A200">
        <v>10.198881</v>
      </c>
      <c r="B200">
        <v>0.28211999999999998</v>
      </c>
      <c r="C200">
        <f t="shared" si="45"/>
        <v>2.8773083077199999</v>
      </c>
      <c r="D200">
        <v>1.6299999999999999E-2</v>
      </c>
      <c r="E200">
        <v>2.8849251857154604E-3</v>
      </c>
      <c r="F200">
        <f t="shared" si="46"/>
        <v>2039.7762</v>
      </c>
      <c r="G200">
        <f t="shared" si="40"/>
        <v>-0.28211999999999998</v>
      </c>
      <c r="H200">
        <f t="shared" si="47"/>
        <v>-575.46166154399998</v>
      </c>
      <c r="I200">
        <v>1</v>
      </c>
      <c r="J200">
        <f t="shared" si="48"/>
        <v>0.71284009595564157</v>
      </c>
      <c r="K200">
        <f t="shared" si="41"/>
        <v>-0.93960515177521753</v>
      </c>
      <c r="L200">
        <v>1</v>
      </c>
      <c r="M200">
        <f t="shared" si="49"/>
        <v>0.54836091649072405</v>
      </c>
      <c r="N200">
        <f t="shared" si="42"/>
        <v>0.16624176029999999</v>
      </c>
      <c r="O200">
        <f t="shared" si="43"/>
        <v>2.942300866301488E-2</v>
      </c>
      <c r="P200">
        <f t="shared" si="44"/>
        <v>0.1955794663214786</v>
      </c>
    </row>
    <row r="201" spans="1:16" x14ac:dyDescent="0.3">
      <c r="A201">
        <v>10.250817999999999</v>
      </c>
      <c r="B201">
        <v>0.27886</v>
      </c>
      <c r="C201">
        <f t="shared" si="45"/>
        <v>2.8585431074799996</v>
      </c>
      <c r="D201">
        <v>1.6299999999999999E-2</v>
      </c>
      <c r="E201">
        <v>2.8849251857154604E-3</v>
      </c>
      <c r="F201">
        <f t="shared" si="46"/>
        <v>2050.1635999999999</v>
      </c>
      <c r="G201">
        <f t="shared" si="40"/>
        <v>-0.27886</v>
      </c>
      <c r="H201">
        <f t="shared" si="47"/>
        <v>-571.70862149599998</v>
      </c>
      <c r="I201">
        <v>1</v>
      </c>
      <c r="J201">
        <f t="shared" si="48"/>
        <v>0.71791959484412571</v>
      </c>
      <c r="K201">
        <f t="shared" si="41"/>
        <v>-0.94286515177521746</v>
      </c>
      <c r="L201">
        <v>1</v>
      </c>
      <c r="M201">
        <f t="shared" si="49"/>
        <v>0.54859863703870504</v>
      </c>
      <c r="N201">
        <f t="shared" si="42"/>
        <v>0.16708833339999996</v>
      </c>
      <c r="O201">
        <f t="shared" si="43"/>
        <v>2.957284302238538E-2</v>
      </c>
      <c r="P201">
        <f t="shared" si="44"/>
        <v>0.19760533831412708</v>
      </c>
    </row>
    <row r="202" spans="1:16" x14ac:dyDescent="0.3">
      <c r="A202">
        <v>10.302245000000001</v>
      </c>
      <c r="B202">
        <v>0.27550999999999998</v>
      </c>
      <c r="C202">
        <f t="shared" si="45"/>
        <v>2.8383715199499999</v>
      </c>
      <c r="D202">
        <v>1.6299999999999999E-2</v>
      </c>
      <c r="E202">
        <v>2.8849251857154604E-3</v>
      </c>
      <c r="F202">
        <f t="shared" si="46"/>
        <v>2060.4490000000001</v>
      </c>
      <c r="G202">
        <f t="shared" si="40"/>
        <v>-0.27550999999999998</v>
      </c>
      <c r="H202">
        <f t="shared" si="47"/>
        <v>-567.67430399</v>
      </c>
      <c r="I202">
        <v>1</v>
      </c>
      <c r="J202">
        <f t="shared" si="48"/>
        <v>0.72292392021645457</v>
      </c>
      <c r="K202">
        <f t="shared" si="41"/>
        <v>-0.94621515177521753</v>
      </c>
      <c r="L202">
        <v>1</v>
      </c>
      <c r="M202">
        <f t="shared" si="49"/>
        <v>0.54883283946613004</v>
      </c>
      <c r="N202">
        <f t="shared" si="42"/>
        <v>0.1679265935</v>
      </c>
      <c r="O202">
        <f t="shared" si="43"/>
        <v>2.9721206069911174E-2</v>
      </c>
      <c r="P202">
        <f t="shared" si="44"/>
        <v>0.19973451273917631</v>
      </c>
    </row>
    <row r="203" spans="1:16" x14ac:dyDescent="0.3">
      <c r="A203">
        <v>10.354691000000001</v>
      </c>
      <c r="B203">
        <v>0.27244000000000002</v>
      </c>
      <c r="C203">
        <f t="shared" si="45"/>
        <v>2.8210320160400002</v>
      </c>
      <c r="D203">
        <v>1.6299999999999999E-2</v>
      </c>
      <c r="E203">
        <v>2.8849251857154604E-3</v>
      </c>
      <c r="F203">
        <f t="shared" si="46"/>
        <v>2070.9382000000001</v>
      </c>
      <c r="G203">
        <f t="shared" si="40"/>
        <v>-0.27244000000000002</v>
      </c>
      <c r="H203">
        <f t="shared" si="47"/>
        <v>-564.20640320799998</v>
      </c>
      <c r="I203">
        <v>1</v>
      </c>
      <c r="J203">
        <f t="shared" si="48"/>
        <v>0.72800174131151829</v>
      </c>
      <c r="K203">
        <f t="shared" si="41"/>
        <v>-0.94928515177521744</v>
      </c>
      <c r="L203">
        <v>1</v>
      </c>
      <c r="M203">
        <f t="shared" si="49"/>
        <v>0.54907048149337911</v>
      </c>
      <c r="N203">
        <f t="shared" si="42"/>
        <v>0.16878146329999999</v>
      </c>
      <c r="O203">
        <f t="shared" si="43"/>
        <v>2.987250885620121E-2</v>
      </c>
      <c r="P203">
        <f t="shared" si="44"/>
        <v>0.20156069812563712</v>
      </c>
    </row>
    <row r="204" spans="1:16" x14ac:dyDescent="0.3">
      <c r="A204">
        <v>10.406628000000001</v>
      </c>
      <c r="B204">
        <v>0.26893</v>
      </c>
      <c r="C204">
        <f t="shared" si="45"/>
        <v>2.7986544680400005</v>
      </c>
      <c r="D204">
        <v>1.6299999999999999E-2</v>
      </c>
      <c r="E204">
        <v>2.8849251857154604E-3</v>
      </c>
      <c r="F204">
        <f t="shared" si="46"/>
        <v>2081.3256000000001</v>
      </c>
      <c r="G204">
        <f t="shared" si="40"/>
        <v>-0.26893</v>
      </c>
      <c r="H204">
        <f t="shared" si="47"/>
        <v>-559.73089360800009</v>
      </c>
      <c r="I204">
        <v>1</v>
      </c>
      <c r="J204">
        <f t="shared" si="48"/>
        <v>0.7330049984112289</v>
      </c>
      <c r="K204">
        <f t="shared" si="41"/>
        <v>-0.95279515177521745</v>
      </c>
      <c r="L204">
        <v>1</v>
      </c>
      <c r="M204">
        <f t="shared" si="49"/>
        <v>0.54930463392564555</v>
      </c>
      <c r="N204">
        <f t="shared" si="42"/>
        <v>0.16962803640000002</v>
      </c>
      <c r="O204">
        <f t="shared" si="43"/>
        <v>3.0022343215571713E-2</v>
      </c>
      <c r="P204">
        <f t="shared" si="44"/>
        <v>0.20384013823400018</v>
      </c>
    </row>
    <row r="205" spans="1:16" x14ac:dyDescent="0.3">
      <c r="A205">
        <v>10.457037</v>
      </c>
      <c r="B205">
        <v>0.26590999999999998</v>
      </c>
      <c r="C205">
        <f t="shared" si="45"/>
        <v>2.7806307086699995</v>
      </c>
      <c r="D205">
        <v>1.6299999999999999E-2</v>
      </c>
      <c r="E205">
        <v>2.8849251857154604E-3</v>
      </c>
      <c r="F205">
        <f t="shared" si="46"/>
        <v>2091.4074000000001</v>
      </c>
      <c r="G205">
        <f t="shared" si="40"/>
        <v>-0.26590999999999998</v>
      </c>
      <c r="H205">
        <f t="shared" si="47"/>
        <v>-556.12614173399993</v>
      </c>
      <c r="I205">
        <v>1</v>
      </c>
      <c r="J205">
        <f t="shared" si="48"/>
        <v>0.73783723647579513</v>
      </c>
      <c r="K205">
        <f t="shared" si="41"/>
        <v>-0.95581515177521748</v>
      </c>
      <c r="L205">
        <v>1</v>
      </c>
      <c r="M205">
        <f t="shared" si="49"/>
        <v>0.54953078266706723</v>
      </c>
      <c r="N205">
        <f t="shared" si="42"/>
        <v>0.17044970309999999</v>
      </c>
      <c r="O205">
        <f t="shared" si="43"/>
        <v>3.016776940925844E-2</v>
      </c>
      <c r="P205">
        <f t="shared" si="44"/>
        <v>0.20566689659889181</v>
      </c>
    </row>
    <row r="206" spans="1:16" x14ac:dyDescent="0.3">
      <c r="A206">
        <v>10.507446</v>
      </c>
      <c r="B206">
        <v>0.26223000000000002</v>
      </c>
      <c r="C206">
        <f t="shared" si="45"/>
        <v>2.7553675645800002</v>
      </c>
      <c r="D206">
        <v>1.6299999999999999E-2</v>
      </c>
      <c r="E206">
        <v>2.8849251857154604E-3</v>
      </c>
      <c r="F206">
        <f t="shared" si="46"/>
        <v>2101.4892</v>
      </c>
      <c r="G206">
        <f t="shared" si="40"/>
        <v>-0.26223000000000002</v>
      </c>
      <c r="H206">
        <f t="shared" si="47"/>
        <v>-551.07351291600003</v>
      </c>
      <c r="I206">
        <v>1</v>
      </c>
      <c r="J206">
        <f t="shared" si="48"/>
        <v>0.74264623626353321</v>
      </c>
      <c r="K206">
        <f t="shared" si="41"/>
        <v>-0.95949515177521749</v>
      </c>
      <c r="L206">
        <v>1</v>
      </c>
      <c r="M206">
        <f t="shared" si="49"/>
        <v>0.54975584385713339</v>
      </c>
      <c r="N206">
        <f t="shared" si="42"/>
        <v>0.17127136979999999</v>
      </c>
      <c r="O206">
        <f t="shared" si="43"/>
        <v>3.0313195602945171E-2</v>
      </c>
      <c r="P206">
        <f t="shared" si="44"/>
        <v>0.20815474251513894</v>
      </c>
    </row>
    <row r="207" spans="1:16" x14ac:dyDescent="0.3">
      <c r="A207">
        <v>10.558363</v>
      </c>
      <c r="B207">
        <v>0.25913000000000003</v>
      </c>
      <c r="C207">
        <f t="shared" si="45"/>
        <v>2.7359886041900001</v>
      </c>
      <c r="D207">
        <v>1.6299999999999999E-2</v>
      </c>
      <c r="E207">
        <v>2.8849251857154604E-3</v>
      </c>
      <c r="F207">
        <f t="shared" si="46"/>
        <v>2111.6725999999999</v>
      </c>
      <c r="G207">
        <f t="shared" si="40"/>
        <v>-0.25913000000000003</v>
      </c>
      <c r="H207">
        <f t="shared" si="47"/>
        <v>-547.19772083800001</v>
      </c>
      <c r="I207">
        <v>1</v>
      </c>
      <c r="J207">
        <f t="shared" si="48"/>
        <v>0.74748033488794341</v>
      </c>
      <c r="K207">
        <f t="shared" si="41"/>
        <v>-0.96259515177521737</v>
      </c>
      <c r="L207">
        <v>1</v>
      </c>
      <c r="M207">
        <f t="shared" si="49"/>
        <v>0.54998207967275581</v>
      </c>
      <c r="N207">
        <f t="shared" si="42"/>
        <v>0.1721013169</v>
      </c>
      <c r="O207">
        <f t="shared" si="43"/>
        <v>3.0460087338626245E-2</v>
      </c>
      <c r="P207">
        <f t="shared" si="44"/>
        <v>0.21005166786383533</v>
      </c>
    </row>
    <row r="208" spans="1:16" x14ac:dyDescent="0.3">
      <c r="A208">
        <v>10.610809999999999</v>
      </c>
      <c r="B208">
        <v>0.25559999999999999</v>
      </c>
      <c r="C208">
        <f t="shared" si="45"/>
        <v>2.7121230359999995</v>
      </c>
      <c r="D208">
        <v>1.6299999999999999E-2</v>
      </c>
      <c r="E208">
        <v>2.8849251857154604E-3</v>
      </c>
      <c r="F208">
        <f t="shared" si="46"/>
        <v>2122.1619999999998</v>
      </c>
      <c r="G208">
        <f t="shared" si="40"/>
        <v>-0.25559999999999999</v>
      </c>
      <c r="H208">
        <f t="shared" si="47"/>
        <v>-542.42460719999985</v>
      </c>
      <c r="I208">
        <v>1</v>
      </c>
      <c r="J208">
        <f t="shared" si="48"/>
        <v>0.75243538035038038</v>
      </c>
      <c r="K208">
        <f t="shared" si="41"/>
        <v>-0.96612515177521741</v>
      </c>
      <c r="L208">
        <v>1</v>
      </c>
      <c r="M208">
        <f t="shared" si="49"/>
        <v>0.55021397580039777</v>
      </c>
      <c r="N208">
        <f t="shared" si="42"/>
        <v>0.17295620299999998</v>
      </c>
      <c r="O208">
        <f t="shared" si="43"/>
        <v>3.0611393009841462E-2</v>
      </c>
      <c r="P208">
        <f t="shared" si="44"/>
        <v>0.21234357996497821</v>
      </c>
    </row>
    <row r="209" spans="1:16" x14ac:dyDescent="0.3">
      <c r="A209">
        <v>10.662747</v>
      </c>
      <c r="B209">
        <v>0.25241000000000002</v>
      </c>
      <c r="C209">
        <f t="shared" si="45"/>
        <v>2.69138397027</v>
      </c>
      <c r="D209">
        <v>1.6299999999999999E-2</v>
      </c>
      <c r="E209">
        <v>2.8849251857154604E-3</v>
      </c>
      <c r="F209">
        <f t="shared" si="46"/>
        <v>2132.5493999999999</v>
      </c>
      <c r="G209">
        <f t="shared" si="40"/>
        <v>-0.25241000000000002</v>
      </c>
      <c r="H209">
        <f t="shared" si="47"/>
        <v>-538.27679405399999</v>
      </c>
      <c r="I209">
        <v>1</v>
      </c>
      <c r="J209">
        <f t="shared" si="48"/>
        <v>0.7573181654143305</v>
      </c>
      <c r="K209">
        <f t="shared" si="41"/>
        <v>-0.96931515177521743</v>
      </c>
      <c r="L209">
        <v>1</v>
      </c>
      <c r="M209">
        <f t="shared" si="49"/>
        <v>0.55044249014139068</v>
      </c>
      <c r="N209">
        <f t="shared" si="42"/>
        <v>0.17380277609999997</v>
      </c>
      <c r="O209">
        <f t="shared" si="43"/>
        <v>3.0761227369211965E-2</v>
      </c>
      <c r="P209">
        <f t="shared" si="44"/>
        <v>0.21430865816461481</v>
      </c>
    </row>
    <row r="210" spans="1:16" x14ac:dyDescent="0.3">
      <c r="A210">
        <v>10.669875999999999</v>
      </c>
      <c r="B210">
        <v>0.25155</v>
      </c>
      <c r="C210">
        <f t="shared" si="45"/>
        <v>2.6840073077999995</v>
      </c>
      <c r="D210">
        <v>1.6299999999999999E-2</v>
      </c>
      <c r="E210">
        <v>2.8849251857154604E-3</v>
      </c>
      <c r="F210">
        <f t="shared" si="46"/>
        <v>2133.9751999999999</v>
      </c>
      <c r="G210">
        <f t="shared" si="40"/>
        <v>-0.25155</v>
      </c>
      <c r="H210">
        <f t="shared" si="47"/>
        <v>-536.80146155999989</v>
      </c>
      <c r="I210">
        <v>1</v>
      </c>
      <c r="J210">
        <f t="shared" si="48"/>
        <v>0.75798653144371064</v>
      </c>
      <c r="K210">
        <f t="shared" si="41"/>
        <v>-0.97017515177521751</v>
      </c>
      <c r="L210">
        <v>1</v>
      </c>
      <c r="M210">
        <f t="shared" si="49"/>
        <v>0.55047376967156569</v>
      </c>
      <c r="N210">
        <f t="shared" si="42"/>
        <v>0.17391897879999996</v>
      </c>
      <c r="O210">
        <f t="shared" si="43"/>
        <v>3.0781794000860931E-2</v>
      </c>
      <c r="P210">
        <f t="shared" si="44"/>
        <v>0.21500060930279094</v>
      </c>
    </row>
    <row r="211" spans="1:16" x14ac:dyDescent="0.3">
      <c r="C211">
        <f t="shared" si="45"/>
        <v>0</v>
      </c>
      <c r="D211">
        <v>1.6299999999999999E-2</v>
      </c>
      <c r="E211">
        <v>2.8849251857154604E-3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-1.2217251517752175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1:16" x14ac:dyDescent="0.3">
      <c r="C212">
        <f t="shared" ref="C212:C275" si="50">A212*B212</f>
        <v>0</v>
      </c>
      <c r="D212">
        <v>1.6299999999999999E-2</v>
      </c>
      <c r="E212">
        <v>2.8849251857154604E-3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-1.2217251517752175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1:16" x14ac:dyDescent="0.3">
      <c r="C213">
        <f t="shared" si="50"/>
        <v>0</v>
      </c>
      <c r="D213">
        <v>1.6299999999999999E-2</v>
      </c>
      <c r="E213">
        <v>2.8849251857154604E-3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-1.2217251517752175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1:16" x14ac:dyDescent="0.3">
      <c r="C214">
        <f t="shared" si="50"/>
        <v>0</v>
      </c>
      <c r="D214">
        <v>1.6299999999999999E-2</v>
      </c>
      <c r="E214">
        <v>2.8849251857154604E-3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-1.2217251517752175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1:16" x14ac:dyDescent="0.3">
      <c r="C215">
        <f t="shared" si="50"/>
        <v>0</v>
      </c>
      <c r="D215">
        <v>1.6299999999999999E-2</v>
      </c>
      <c r="E215">
        <v>2.8849251857154604E-3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-1.2217251517752175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1:16" x14ac:dyDescent="0.3">
      <c r="C216">
        <f t="shared" si="50"/>
        <v>0</v>
      </c>
      <c r="D216">
        <v>1.6299999999999999E-2</v>
      </c>
      <c r="E216">
        <v>2.8849251857154604E-3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-1.2217251517752175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1:16" x14ac:dyDescent="0.3">
      <c r="C217">
        <f t="shared" si="50"/>
        <v>0</v>
      </c>
      <c r="D217">
        <v>1.6299999999999999E-2</v>
      </c>
      <c r="E217">
        <v>2.8849251857154604E-3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-1.2217251517752175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1:16" x14ac:dyDescent="0.3">
      <c r="C218">
        <f t="shared" si="50"/>
        <v>0</v>
      </c>
      <c r="D218">
        <v>1.6299999999999999E-2</v>
      </c>
      <c r="E218">
        <v>2.8849251857154604E-3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-1.2217251517752175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1:16" x14ac:dyDescent="0.3">
      <c r="C219">
        <f t="shared" si="50"/>
        <v>0</v>
      </c>
      <c r="D219">
        <v>1.6299999999999999E-2</v>
      </c>
      <c r="E219">
        <v>2.8849251857154604E-3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-1.2217251517752175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1:16" x14ac:dyDescent="0.3">
      <c r="C220">
        <f t="shared" si="50"/>
        <v>0</v>
      </c>
      <c r="D220">
        <v>1.6299999999999999E-2</v>
      </c>
      <c r="E220">
        <v>2.8849251857154604E-3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-1.2217251517752175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1:16" x14ac:dyDescent="0.3">
      <c r="C221">
        <f t="shared" si="50"/>
        <v>0</v>
      </c>
      <c r="D221">
        <v>1.6299999999999999E-2</v>
      </c>
      <c r="E221">
        <v>2.8849251857154604E-3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-1.2217251517752175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1:16" x14ac:dyDescent="0.3">
      <c r="C222">
        <f t="shared" si="50"/>
        <v>0</v>
      </c>
      <c r="D222">
        <v>1.6299999999999999E-2</v>
      </c>
      <c r="E222">
        <v>2.8849251857154604E-3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-1.2217251517752175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1:16" x14ac:dyDescent="0.3">
      <c r="C223">
        <f t="shared" si="50"/>
        <v>0</v>
      </c>
      <c r="D223">
        <v>1.6299999999999999E-2</v>
      </c>
      <c r="E223">
        <v>2.8849251857154604E-3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-1.2217251517752175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1:16" x14ac:dyDescent="0.3">
      <c r="C224">
        <f t="shared" si="50"/>
        <v>0</v>
      </c>
      <c r="D224">
        <v>1.6299999999999999E-2</v>
      </c>
      <c r="E224">
        <v>2.8849251857154604E-3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-1.2217251517752175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 x14ac:dyDescent="0.3">
      <c r="C225">
        <f t="shared" si="50"/>
        <v>0</v>
      </c>
      <c r="D225">
        <v>1.6299999999999999E-2</v>
      </c>
      <c r="E225">
        <v>2.8849251857154604E-3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-1.2217251517752175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 x14ac:dyDescent="0.3">
      <c r="C226">
        <f t="shared" si="50"/>
        <v>0</v>
      </c>
      <c r="D226">
        <v>1.6299999999999999E-2</v>
      </c>
      <c r="E226">
        <v>2.8849251857154604E-3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-1.2217251517752175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 x14ac:dyDescent="0.3">
      <c r="C227">
        <f t="shared" si="50"/>
        <v>0</v>
      </c>
      <c r="D227">
        <v>1.6299999999999999E-2</v>
      </c>
      <c r="E227">
        <v>2.8849251857154604E-3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-1.2217251517752175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 x14ac:dyDescent="0.3">
      <c r="C228">
        <f t="shared" si="50"/>
        <v>0</v>
      </c>
      <c r="D228">
        <v>1.6299999999999999E-2</v>
      </c>
      <c r="E228">
        <v>2.8849251857154604E-3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-1.2217251517752175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 x14ac:dyDescent="0.3">
      <c r="C229">
        <f t="shared" si="50"/>
        <v>0</v>
      </c>
      <c r="D229">
        <v>1.6299999999999999E-2</v>
      </c>
      <c r="E229">
        <v>2.8849251857154604E-3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-1.2217251517752175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 x14ac:dyDescent="0.3">
      <c r="C230">
        <f t="shared" si="50"/>
        <v>0</v>
      </c>
      <c r="D230">
        <v>1.6299999999999999E-2</v>
      </c>
      <c r="E230">
        <v>2.8849251857154604E-3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-1.2217251517752175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 x14ac:dyDescent="0.3">
      <c r="C231">
        <f t="shared" si="50"/>
        <v>0</v>
      </c>
      <c r="D231">
        <v>1.6299999999999999E-2</v>
      </c>
      <c r="E231">
        <v>2.8849251857154604E-3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-1.2217251517752175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 x14ac:dyDescent="0.3">
      <c r="C232">
        <f t="shared" si="50"/>
        <v>0</v>
      </c>
      <c r="D232">
        <v>1.6299999999999999E-2</v>
      </c>
      <c r="E232">
        <v>2.8849251857154604E-3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-1.2217251517752175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 x14ac:dyDescent="0.3">
      <c r="C233">
        <f t="shared" si="50"/>
        <v>0</v>
      </c>
      <c r="D233">
        <v>1.6299999999999999E-2</v>
      </c>
      <c r="E233">
        <v>2.8849251857154604E-3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-1.2217251517752175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 x14ac:dyDescent="0.3">
      <c r="C234">
        <f t="shared" si="50"/>
        <v>0</v>
      </c>
      <c r="D234">
        <v>1.6299999999999999E-2</v>
      </c>
      <c r="E234">
        <v>2.8849251857154604E-3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-1.2217251517752175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 x14ac:dyDescent="0.3">
      <c r="C235">
        <f t="shared" si="50"/>
        <v>0</v>
      </c>
      <c r="D235">
        <v>1.6299999999999999E-2</v>
      </c>
      <c r="E235">
        <v>2.8849251857154604E-3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 x14ac:dyDescent="0.3">
      <c r="C236">
        <f t="shared" si="50"/>
        <v>0</v>
      </c>
      <c r="D236">
        <v>1.6299999999999999E-2</v>
      </c>
      <c r="E236">
        <v>2.8849251857154604E-3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 x14ac:dyDescent="0.3">
      <c r="C237">
        <f t="shared" si="50"/>
        <v>0</v>
      </c>
      <c r="D237">
        <v>1.6299999999999999E-2</v>
      </c>
      <c r="E237">
        <v>2.8849251857154604E-3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 x14ac:dyDescent="0.3">
      <c r="C238">
        <f t="shared" si="50"/>
        <v>0</v>
      </c>
      <c r="D238">
        <v>1.6299999999999999E-2</v>
      </c>
      <c r="E238">
        <v>2.8849251857154604E-3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 x14ac:dyDescent="0.3">
      <c r="C239">
        <f t="shared" si="50"/>
        <v>0</v>
      </c>
      <c r="D239">
        <v>1.6299999999999999E-2</v>
      </c>
      <c r="E239">
        <v>2.8849251857154604E-3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 x14ac:dyDescent="0.3">
      <c r="C240">
        <f t="shared" si="50"/>
        <v>0</v>
      </c>
      <c r="D240">
        <v>1.6299999999999999E-2</v>
      </c>
      <c r="E240">
        <v>2.8849251857154604E-3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1.6299999999999999E-2</v>
      </c>
      <c r="E241">
        <v>2.8849251857154604E-3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1.6299999999999999E-2</v>
      </c>
      <c r="E242">
        <v>2.8849251857154604E-3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1.6299999999999999E-2</v>
      </c>
      <c r="E243">
        <v>2.8849251857154604E-3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1.6299999999999999E-2</v>
      </c>
      <c r="E244">
        <v>2.8849251857154604E-3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1.6299999999999999E-2</v>
      </c>
      <c r="E245">
        <v>2.8849251857154604E-3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1.6299999999999999E-2</v>
      </c>
      <c r="E246">
        <v>2.8849251857154604E-3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1.6299999999999999E-2</v>
      </c>
      <c r="E247">
        <v>2.8849251857154604E-3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1.6299999999999999E-2</v>
      </c>
      <c r="E248">
        <v>2.8849251857154604E-3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1.6299999999999999E-2</v>
      </c>
      <c r="E249">
        <v>2.8849251857154604E-3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1.6299999999999999E-2</v>
      </c>
      <c r="E250">
        <v>2.8849251857154604E-3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1.6299999999999999E-2</v>
      </c>
      <c r="E251">
        <v>2.8849251857154604E-3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1.6299999999999999E-2</v>
      </c>
      <c r="E252">
        <v>2.8849251857154604E-3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1.6299999999999999E-2</v>
      </c>
      <c r="E253">
        <v>2.8849251857154604E-3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1.6299999999999999E-2</v>
      </c>
      <c r="E254">
        <v>2.8849251857154604E-3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1.6299999999999999E-2</v>
      </c>
      <c r="E255">
        <v>2.8849251857154604E-3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1.6299999999999999E-2</v>
      </c>
      <c r="E256">
        <v>2.8849251857154604E-3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1.6299999999999999E-2</v>
      </c>
      <c r="E257">
        <v>2.8849251857154604E-3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1.6299999999999999E-2</v>
      </c>
      <c r="E258">
        <v>2.8849251857154604E-3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1.6299999999999999E-2</v>
      </c>
      <c r="E259">
        <v>2.8849251857154604E-3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1.6299999999999999E-2</v>
      </c>
      <c r="E260">
        <v>2.8849251857154604E-3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1.6299999999999999E-2</v>
      </c>
      <c r="E261">
        <v>2.8849251857154604E-3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1.6299999999999999E-2</v>
      </c>
      <c r="E262">
        <v>2.8849251857154604E-3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1.6299999999999999E-2</v>
      </c>
      <c r="E263">
        <v>2.8849251857154604E-3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1.6299999999999999E-2</v>
      </c>
      <c r="E264">
        <v>2.8849251857154604E-3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1.6299999999999999E-2</v>
      </c>
      <c r="E265">
        <v>2.8849251857154604E-3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1.6299999999999999E-2</v>
      </c>
      <c r="E266">
        <v>2.8849251857154604E-3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1.6299999999999999E-2</v>
      </c>
      <c r="E267">
        <v>2.8849251857154604E-3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1.6299999999999999E-2</v>
      </c>
      <c r="E268">
        <v>2.8849251857154604E-3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1.6299999999999999E-2</v>
      </c>
      <c r="E269">
        <v>2.8849251857154604E-3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1.6299999999999999E-2</v>
      </c>
      <c r="E270">
        <v>2.8849251857154604E-3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1.6299999999999999E-2</v>
      </c>
      <c r="E271">
        <v>2.8849251857154604E-3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1.6299999999999999E-2</v>
      </c>
      <c r="E272">
        <v>2.8849251857154604E-3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1.6299999999999999E-2</v>
      </c>
      <c r="E273">
        <v>2.8849251857154604E-3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1.6299999999999999E-2</v>
      </c>
      <c r="E274">
        <v>2.8849251857154604E-3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1.6299999999999999E-2</v>
      </c>
      <c r="E275">
        <v>2.8849251857154604E-3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1.6299999999999999E-2</v>
      </c>
      <c r="E276">
        <v>2.8849251857154604E-3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1.6299999999999999E-2</v>
      </c>
      <c r="E277">
        <v>2.8849251857154604E-3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1.6299999999999999E-2</v>
      </c>
      <c r="E278">
        <v>2.8849251857154604E-3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1.6299999999999999E-2</v>
      </c>
      <c r="E279">
        <v>2.8849251857154604E-3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1.6299999999999999E-2</v>
      </c>
      <c r="E280">
        <v>2.8849251857154604E-3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1.6299999999999999E-2</v>
      </c>
      <c r="E281">
        <v>2.8849251857154604E-3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1.6299999999999999E-2</v>
      </c>
      <c r="E282">
        <v>2.8849251857154604E-3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1.6299999999999999E-2</v>
      </c>
      <c r="E283">
        <v>2.8849251857154604E-3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1.6299999999999999E-2</v>
      </c>
      <c r="E284">
        <v>2.8849251857154604E-3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1.6299999999999999E-2</v>
      </c>
      <c r="E285">
        <v>2.8849251857154604E-3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1.6299999999999999E-2</v>
      </c>
      <c r="E286">
        <v>2.8849251857154604E-3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1.6299999999999999E-2</v>
      </c>
      <c r="E287">
        <v>2.8849251857154604E-3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1.6299999999999999E-2</v>
      </c>
      <c r="E288">
        <v>2.8849251857154604E-3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1.6299999999999999E-2</v>
      </c>
      <c r="E289">
        <v>2.8849251857154604E-3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1.6299999999999999E-2</v>
      </c>
      <c r="E290">
        <v>2.8849251857154604E-3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1.6299999999999999E-2</v>
      </c>
      <c r="E291">
        <v>2.8849251857154604E-3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1.6299999999999999E-2</v>
      </c>
      <c r="E292">
        <v>2.8849251857154604E-3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1.6299999999999999E-2</v>
      </c>
      <c r="E293">
        <v>2.8849251857154604E-3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1.6299999999999999E-2</v>
      </c>
      <c r="E294">
        <v>2.8849251857154604E-3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1.6299999999999999E-2</v>
      </c>
      <c r="E295">
        <v>2.8849251857154604E-3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1.6299999999999999E-2</v>
      </c>
      <c r="E296">
        <v>2.8849251857154604E-3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1.6299999999999999E-2</v>
      </c>
      <c r="E297">
        <v>2.8849251857154604E-3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1.6299999999999999E-2</v>
      </c>
      <c r="E298">
        <v>2.8849251857154604E-3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1.6299999999999999E-2</v>
      </c>
      <c r="E299">
        <v>2.8849251857154604E-3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1.6299999999999999E-2</v>
      </c>
      <c r="E300">
        <v>2.8849251857154604E-3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1.6299999999999999E-2</v>
      </c>
      <c r="E301">
        <v>2.8849251857154604E-3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1.6299999999999999E-2</v>
      </c>
      <c r="E302">
        <v>2.8849251857154604E-3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1.6299999999999999E-2</v>
      </c>
      <c r="E303">
        <v>2.8849251857154604E-3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D7D9-6648-4951-9F68-CF9D4B729191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2026-04-20T00:46:26Z</dcterms:modified>
</cp:coreProperties>
</file>