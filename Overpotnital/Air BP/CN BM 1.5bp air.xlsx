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Air BP\"/>
    </mc:Choice>
  </mc:AlternateContent>
  <xr:revisionPtr revIDLastSave="0" documentId="13_ncr:1_{3827F430-C79F-4FC7-9A86-764A6CAA3D3A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8" i="1" l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5" i="1"/>
  <c r="W6" i="1"/>
  <c r="W7" i="1"/>
  <c r="W4" i="1"/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4" i="1"/>
  <c r="C2" i="3"/>
  <c r="D2" i="3"/>
  <c r="C3" i="3"/>
  <c r="D3" i="3"/>
  <c r="C4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  <c r="C19" i="3"/>
  <c r="D19" i="3"/>
  <c r="C20" i="3"/>
  <c r="D20" i="3"/>
  <c r="C21" i="3"/>
  <c r="D21" i="3"/>
  <c r="C22" i="3"/>
  <c r="D22" i="3"/>
  <c r="C23" i="3"/>
  <c r="D23" i="3"/>
  <c r="C24" i="3"/>
  <c r="D24" i="3"/>
  <c r="C25" i="3"/>
  <c r="D25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C38" i="3"/>
  <c r="D38" i="3"/>
  <c r="C39" i="3"/>
  <c r="D39" i="3"/>
  <c r="C40" i="3"/>
  <c r="D40" i="3"/>
  <c r="C41" i="3"/>
  <c r="D41" i="3"/>
  <c r="C42" i="3"/>
  <c r="D42" i="3"/>
  <c r="C43" i="3"/>
  <c r="D43" i="3"/>
  <c r="C44" i="3"/>
  <c r="D44" i="3"/>
  <c r="C45" i="3"/>
  <c r="D45" i="3"/>
  <c r="C46" i="3"/>
  <c r="D46" i="3"/>
  <c r="C47" i="3"/>
  <c r="D47" i="3"/>
  <c r="C48" i="3"/>
  <c r="D48" i="3"/>
  <c r="C49" i="3"/>
  <c r="D49" i="3"/>
  <c r="C50" i="3"/>
  <c r="D50" i="3"/>
  <c r="C51" i="3"/>
  <c r="D51" i="3"/>
  <c r="C52" i="3"/>
  <c r="D52" i="3"/>
  <c r="C53" i="3"/>
  <c r="D53" i="3"/>
  <c r="C54" i="3"/>
  <c r="D54" i="3"/>
  <c r="C55" i="3"/>
  <c r="D55" i="3"/>
  <c r="C56" i="3"/>
  <c r="D56" i="3"/>
  <c r="C57" i="3"/>
  <c r="D57" i="3"/>
  <c r="C58" i="3"/>
  <c r="D58" i="3"/>
  <c r="C59" i="3"/>
  <c r="D59" i="3"/>
  <c r="C60" i="3"/>
  <c r="D60" i="3"/>
  <c r="C61" i="3"/>
  <c r="D61" i="3"/>
  <c r="C62" i="3"/>
  <c r="D62" i="3"/>
  <c r="C63" i="3"/>
  <c r="D63" i="3"/>
  <c r="C64" i="3"/>
  <c r="D64" i="3"/>
  <c r="C65" i="3"/>
  <c r="D65" i="3"/>
  <c r="C66" i="3"/>
  <c r="D66" i="3"/>
  <c r="C67" i="3"/>
  <c r="D67" i="3"/>
  <c r="C68" i="3"/>
  <c r="D68" i="3"/>
  <c r="C69" i="3"/>
  <c r="D69" i="3"/>
  <c r="C70" i="3"/>
  <c r="D70" i="3"/>
  <c r="C71" i="3"/>
  <c r="D71" i="3"/>
  <c r="C72" i="3"/>
  <c r="D72" i="3"/>
  <c r="C73" i="3"/>
  <c r="D73" i="3"/>
  <c r="C74" i="3"/>
  <c r="D74" i="3"/>
  <c r="C75" i="3"/>
  <c r="D75" i="3"/>
  <c r="C76" i="3"/>
  <c r="D76" i="3"/>
  <c r="C77" i="3"/>
  <c r="D77" i="3"/>
  <c r="C78" i="3"/>
  <c r="D78" i="3"/>
  <c r="C79" i="3"/>
  <c r="D79" i="3"/>
  <c r="C80" i="3"/>
  <c r="D80" i="3"/>
  <c r="C81" i="3"/>
  <c r="D81" i="3"/>
  <c r="C82" i="3"/>
  <c r="D82" i="3"/>
  <c r="C83" i="3"/>
  <c r="D83" i="3"/>
  <c r="C84" i="3"/>
  <c r="D84" i="3"/>
  <c r="C85" i="3"/>
  <c r="D85" i="3"/>
  <c r="C86" i="3"/>
  <c r="D86" i="3"/>
  <c r="C87" i="3"/>
  <c r="D87" i="3"/>
  <c r="C88" i="3"/>
  <c r="D88" i="3"/>
  <c r="C89" i="3"/>
  <c r="D89" i="3"/>
  <c r="C90" i="3"/>
  <c r="D90" i="3"/>
  <c r="C91" i="3"/>
  <c r="D91" i="3"/>
  <c r="C92" i="3"/>
  <c r="D92" i="3"/>
  <c r="C93" i="3"/>
  <c r="D93" i="3"/>
  <c r="C94" i="3"/>
  <c r="D94" i="3"/>
  <c r="C95" i="3"/>
  <c r="D95" i="3"/>
  <c r="C96" i="3"/>
  <c r="D96" i="3"/>
  <c r="C97" i="3"/>
  <c r="D97" i="3"/>
  <c r="C98" i="3"/>
  <c r="D98" i="3"/>
  <c r="C99" i="3"/>
  <c r="D99" i="3"/>
  <c r="C100" i="3"/>
  <c r="D100" i="3"/>
  <c r="C101" i="3"/>
  <c r="D101" i="3"/>
  <c r="C102" i="3"/>
  <c r="D102" i="3"/>
  <c r="C103" i="3"/>
  <c r="D103" i="3"/>
  <c r="C104" i="3"/>
  <c r="D104" i="3"/>
  <c r="C105" i="3"/>
  <c r="D105" i="3"/>
  <c r="C106" i="3"/>
  <c r="D106" i="3"/>
  <c r="C107" i="3"/>
  <c r="D107" i="3"/>
  <c r="C108" i="3"/>
  <c r="D108" i="3"/>
  <c r="C109" i="3"/>
  <c r="D109" i="3"/>
  <c r="C110" i="3"/>
  <c r="D110" i="3"/>
  <c r="C111" i="3"/>
  <c r="D111" i="3"/>
  <c r="C112" i="3"/>
  <c r="D112" i="3"/>
  <c r="C113" i="3"/>
  <c r="D113" i="3"/>
  <c r="C114" i="3"/>
  <c r="D114" i="3"/>
  <c r="C115" i="3"/>
  <c r="D115" i="3"/>
  <c r="C116" i="3"/>
  <c r="D116" i="3"/>
  <c r="C117" i="3"/>
  <c r="D117" i="3"/>
  <c r="C118" i="3"/>
  <c r="D118" i="3"/>
  <c r="C119" i="3"/>
  <c r="D119" i="3"/>
  <c r="C120" i="3"/>
  <c r="D120" i="3"/>
  <c r="C121" i="3"/>
  <c r="D121" i="3"/>
  <c r="C122" i="3"/>
  <c r="D122" i="3"/>
  <c r="C123" i="3"/>
  <c r="D123" i="3"/>
  <c r="C124" i="3"/>
  <c r="D124" i="3"/>
  <c r="C125" i="3"/>
  <c r="D125" i="3"/>
  <c r="C126" i="3"/>
  <c r="D126" i="3"/>
  <c r="C127" i="3"/>
  <c r="D127" i="3"/>
  <c r="C128" i="3"/>
  <c r="D128" i="3"/>
  <c r="C129" i="3"/>
  <c r="D129" i="3"/>
  <c r="C130" i="3"/>
  <c r="D130" i="3"/>
  <c r="C131" i="3"/>
  <c r="D131" i="3"/>
  <c r="C132" i="3"/>
  <c r="D132" i="3"/>
  <c r="C133" i="3"/>
  <c r="D133" i="3"/>
  <c r="C134" i="3"/>
  <c r="D134" i="3"/>
  <c r="C135" i="3"/>
  <c r="D135" i="3"/>
  <c r="C136" i="3"/>
  <c r="D136" i="3"/>
  <c r="C137" i="3"/>
  <c r="D137" i="3"/>
  <c r="C138" i="3"/>
  <c r="D138" i="3"/>
  <c r="C139" i="3"/>
  <c r="D139" i="3"/>
  <c r="C140" i="3"/>
  <c r="D140" i="3"/>
  <c r="C141" i="3"/>
  <c r="D141" i="3"/>
  <c r="D1" i="3"/>
  <c r="C1" i="3"/>
  <c r="O8" i="1" l="1"/>
  <c r="O12" i="1"/>
  <c r="O16" i="1"/>
  <c r="O20" i="1"/>
  <c r="O24" i="1"/>
  <c r="O28" i="1"/>
  <c r="O32" i="1"/>
  <c r="O36" i="1"/>
  <c r="O40" i="1"/>
  <c r="O44" i="1"/>
  <c r="O48" i="1"/>
  <c r="O52" i="1"/>
  <c r="O56" i="1"/>
  <c r="O60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N6" i="1"/>
  <c r="O6" i="1"/>
  <c r="N7" i="1"/>
  <c r="O7" i="1"/>
  <c r="N8" i="1"/>
  <c r="N9" i="1"/>
  <c r="O9" i="1"/>
  <c r="N10" i="1"/>
  <c r="O10" i="1"/>
  <c r="N11" i="1"/>
  <c r="O11" i="1"/>
  <c r="N12" i="1"/>
  <c r="N13" i="1"/>
  <c r="O13" i="1"/>
  <c r="N14" i="1"/>
  <c r="O14" i="1"/>
  <c r="N15" i="1"/>
  <c r="O15" i="1"/>
  <c r="N16" i="1"/>
  <c r="N17" i="1"/>
  <c r="O17" i="1"/>
  <c r="N18" i="1"/>
  <c r="O18" i="1"/>
  <c r="N19" i="1"/>
  <c r="O19" i="1"/>
  <c r="N20" i="1"/>
  <c r="N21" i="1"/>
  <c r="O21" i="1"/>
  <c r="N22" i="1"/>
  <c r="O22" i="1"/>
  <c r="N23" i="1"/>
  <c r="O23" i="1"/>
  <c r="N24" i="1"/>
  <c r="N25" i="1"/>
  <c r="O25" i="1"/>
  <c r="N26" i="1"/>
  <c r="O26" i="1"/>
  <c r="N27" i="1"/>
  <c r="O27" i="1"/>
  <c r="N28" i="1"/>
  <c r="N29" i="1"/>
  <c r="O29" i="1"/>
  <c r="N30" i="1"/>
  <c r="O30" i="1"/>
  <c r="N31" i="1"/>
  <c r="O31" i="1"/>
  <c r="N32" i="1"/>
  <c r="N33" i="1"/>
  <c r="O33" i="1"/>
  <c r="N34" i="1"/>
  <c r="O34" i="1"/>
  <c r="N35" i="1"/>
  <c r="O35" i="1"/>
  <c r="N36" i="1"/>
  <c r="N37" i="1"/>
  <c r="O37" i="1"/>
  <c r="N38" i="1"/>
  <c r="O38" i="1"/>
  <c r="N39" i="1"/>
  <c r="O39" i="1"/>
  <c r="N40" i="1"/>
  <c r="N41" i="1"/>
  <c r="O41" i="1"/>
  <c r="N42" i="1"/>
  <c r="O42" i="1"/>
  <c r="N43" i="1"/>
  <c r="O43" i="1"/>
  <c r="N44" i="1"/>
  <c r="N45" i="1"/>
  <c r="O45" i="1"/>
  <c r="N46" i="1"/>
  <c r="O46" i="1"/>
  <c r="N47" i="1"/>
  <c r="O47" i="1"/>
  <c r="N48" i="1"/>
  <c r="N49" i="1"/>
  <c r="O49" i="1"/>
  <c r="N50" i="1"/>
  <c r="O50" i="1"/>
  <c r="N51" i="1"/>
  <c r="O51" i="1"/>
  <c r="N52" i="1"/>
  <c r="N53" i="1"/>
  <c r="O53" i="1"/>
  <c r="N54" i="1"/>
  <c r="O54" i="1"/>
  <c r="N55" i="1"/>
  <c r="O55" i="1"/>
  <c r="N56" i="1"/>
  <c r="N57" i="1"/>
  <c r="O57" i="1"/>
  <c r="N58" i="1"/>
  <c r="O58" i="1"/>
  <c r="N59" i="1"/>
  <c r="O59" i="1"/>
  <c r="N60" i="1"/>
  <c r="N61" i="1"/>
  <c r="O61" i="1"/>
  <c r="N62" i="1"/>
  <c r="O62" i="1"/>
  <c r="N63" i="1"/>
  <c r="O63" i="1"/>
  <c r="N64" i="1"/>
  <c r="N65" i="1"/>
  <c r="O65" i="1"/>
  <c r="N66" i="1"/>
  <c r="O66" i="1"/>
  <c r="N67" i="1"/>
  <c r="O67" i="1"/>
  <c r="N68" i="1"/>
  <c r="N69" i="1"/>
  <c r="O69" i="1"/>
  <c r="N70" i="1"/>
  <c r="O70" i="1"/>
  <c r="N71" i="1"/>
  <c r="O71" i="1"/>
  <c r="N72" i="1"/>
  <c r="N73" i="1"/>
  <c r="O73" i="1"/>
  <c r="N74" i="1"/>
  <c r="O74" i="1"/>
  <c r="N75" i="1"/>
  <c r="O75" i="1"/>
  <c r="N76" i="1"/>
  <c r="N77" i="1"/>
  <c r="O77" i="1"/>
  <c r="N78" i="1"/>
  <c r="O78" i="1"/>
  <c r="N79" i="1"/>
  <c r="O79" i="1"/>
  <c r="N80" i="1"/>
  <c r="N81" i="1"/>
  <c r="O81" i="1"/>
  <c r="N82" i="1"/>
  <c r="O82" i="1"/>
  <c r="N83" i="1"/>
  <c r="O83" i="1"/>
  <c r="N84" i="1"/>
  <c r="N85" i="1"/>
  <c r="O85" i="1"/>
  <c r="N86" i="1"/>
  <c r="O86" i="1"/>
  <c r="N87" i="1"/>
  <c r="O87" i="1"/>
  <c r="N88" i="1"/>
  <c r="N89" i="1"/>
  <c r="O89" i="1"/>
  <c r="N90" i="1"/>
  <c r="O90" i="1"/>
  <c r="N91" i="1"/>
  <c r="O91" i="1"/>
  <c r="N92" i="1"/>
  <c r="N93" i="1"/>
  <c r="O93" i="1"/>
  <c r="N94" i="1"/>
  <c r="O94" i="1"/>
  <c r="N95" i="1"/>
  <c r="O95" i="1"/>
  <c r="N96" i="1"/>
  <c r="N97" i="1"/>
  <c r="O97" i="1"/>
  <c r="N98" i="1"/>
  <c r="O98" i="1"/>
  <c r="N99" i="1"/>
  <c r="O99" i="1"/>
  <c r="N100" i="1"/>
  <c r="N101" i="1"/>
  <c r="O101" i="1"/>
  <c r="N102" i="1"/>
  <c r="O102" i="1"/>
  <c r="N103" i="1"/>
  <c r="O103" i="1"/>
  <c r="N104" i="1"/>
  <c r="N105" i="1"/>
  <c r="O105" i="1"/>
  <c r="N106" i="1"/>
  <c r="O106" i="1"/>
  <c r="N107" i="1"/>
  <c r="O107" i="1"/>
  <c r="N108" i="1"/>
  <c r="N109" i="1"/>
  <c r="O109" i="1"/>
  <c r="N110" i="1"/>
  <c r="O110" i="1"/>
  <c r="N111" i="1"/>
  <c r="O111" i="1"/>
  <c r="N112" i="1"/>
  <c r="N113" i="1"/>
  <c r="O113" i="1"/>
  <c r="N114" i="1"/>
  <c r="O114" i="1"/>
  <c r="N115" i="1"/>
  <c r="O115" i="1"/>
  <c r="N116" i="1"/>
  <c r="N117" i="1"/>
  <c r="O117" i="1"/>
  <c r="N118" i="1"/>
  <c r="O118" i="1"/>
  <c r="N119" i="1"/>
  <c r="O119" i="1"/>
  <c r="N120" i="1"/>
  <c r="N121" i="1"/>
  <c r="O121" i="1"/>
  <c r="N122" i="1"/>
  <c r="O122" i="1"/>
  <c r="N123" i="1"/>
  <c r="O123" i="1"/>
  <c r="N124" i="1"/>
  <c r="N125" i="1"/>
  <c r="O125" i="1"/>
  <c r="N126" i="1"/>
  <c r="O126" i="1"/>
  <c r="N127" i="1"/>
  <c r="O127" i="1"/>
  <c r="N128" i="1"/>
  <c r="N129" i="1"/>
  <c r="O129" i="1"/>
  <c r="N130" i="1"/>
  <c r="O130" i="1"/>
  <c r="N131" i="1"/>
  <c r="O131" i="1"/>
  <c r="N132" i="1"/>
  <c r="N133" i="1"/>
  <c r="O133" i="1"/>
  <c r="N134" i="1"/>
  <c r="O134" i="1"/>
  <c r="N135" i="1"/>
  <c r="O135" i="1"/>
  <c r="N136" i="1"/>
  <c r="N137" i="1"/>
  <c r="O137" i="1"/>
  <c r="N138" i="1"/>
  <c r="O138" i="1"/>
  <c r="N139" i="1"/>
  <c r="O139" i="1"/>
  <c r="N140" i="1"/>
  <c r="N141" i="1"/>
  <c r="O141" i="1"/>
  <c r="N142" i="1"/>
  <c r="O142" i="1"/>
  <c r="N143" i="1"/>
  <c r="O143" i="1"/>
  <c r="N144" i="1"/>
  <c r="N5" i="1"/>
  <c r="O5" i="1"/>
  <c r="O4" i="1"/>
  <c r="N4" i="1"/>
  <c r="N2" i="1" l="1"/>
  <c r="S2" i="1"/>
  <c r="F4" i="1" l="1"/>
  <c r="J4" i="1" l="1"/>
  <c r="M4" i="1" s="1"/>
  <c r="G4" i="1"/>
  <c r="K4" i="1" s="1"/>
  <c r="P4" i="1" l="1"/>
  <c r="F144" i="1"/>
  <c r="H141" i="1"/>
  <c r="H140" i="1"/>
  <c r="H138" i="1"/>
  <c r="F136" i="1"/>
  <c r="H134" i="1"/>
  <c r="H132" i="1"/>
  <c r="F128" i="1"/>
  <c r="H126" i="1"/>
  <c r="H124" i="1"/>
  <c r="H112" i="1"/>
  <c r="H110" i="1"/>
  <c r="H106" i="1"/>
  <c r="H100" i="1"/>
  <c r="H99" i="1"/>
  <c r="H98" i="1"/>
  <c r="H96" i="1"/>
  <c r="H86" i="1"/>
  <c r="H84" i="1"/>
  <c r="H83" i="1"/>
  <c r="H80" i="1"/>
  <c r="H76" i="1"/>
  <c r="H74" i="1"/>
  <c r="H67" i="1"/>
  <c r="H64" i="1"/>
  <c r="H63" i="1"/>
  <c r="H62" i="1"/>
  <c r="H60" i="1"/>
  <c r="H59" i="1"/>
  <c r="H57" i="1"/>
  <c r="H55" i="1"/>
  <c r="H51" i="1"/>
  <c r="H48" i="1"/>
  <c r="H47" i="1"/>
  <c r="H46" i="1"/>
  <c r="H41" i="1"/>
  <c r="H39" i="1"/>
  <c r="H36" i="1"/>
  <c r="H35" i="1"/>
  <c r="H34" i="1"/>
  <c r="H31" i="1"/>
  <c r="H25" i="1"/>
  <c r="H24" i="1"/>
  <c r="H23" i="1"/>
  <c r="H20" i="1"/>
  <c r="H19" i="1"/>
  <c r="F18" i="1"/>
  <c r="H12" i="1"/>
  <c r="H10" i="1"/>
  <c r="H9" i="1"/>
  <c r="H8" i="1"/>
  <c r="H6" i="1"/>
  <c r="G142" i="1"/>
  <c r="K142" i="1" s="1"/>
  <c r="G138" i="1"/>
  <c r="K138" i="1" s="1"/>
  <c r="G134" i="1"/>
  <c r="K134" i="1" s="1"/>
  <c r="G130" i="1"/>
  <c r="K130" i="1" s="1"/>
  <c r="G126" i="1"/>
  <c r="K126" i="1" s="1"/>
  <c r="G118" i="1"/>
  <c r="K118" i="1" s="1"/>
  <c r="G114" i="1"/>
  <c r="K114" i="1" s="1"/>
  <c r="G110" i="1"/>
  <c r="K110" i="1" s="1"/>
  <c r="G106" i="1"/>
  <c r="K106" i="1" s="1"/>
  <c r="G102" i="1"/>
  <c r="K102" i="1" s="1"/>
  <c r="G98" i="1"/>
  <c r="K98" i="1" s="1"/>
  <c r="G90" i="1"/>
  <c r="K90" i="1" s="1"/>
  <c r="G82" i="1"/>
  <c r="K82" i="1" s="1"/>
  <c r="G78" i="1"/>
  <c r="K78" i="1" s="1"/>
  <c r="G74" i="1"/>
  <c r="K74" i="1" s="1"/>
  <c r="G70" i="1"/>
  <c r="K70" i="1" s="1"/>
  <c r="G62" i="1"/>
  <c r="K62" i="1" s="1"/>
  <c r="G54" i="1"/>
  <c r="K54" i="1" s="1"/>
  <c r="G50" i="1"/>
  <c r="K50" i="1" s="1"/>
  <c r="G46" i="1"/>
  <c r="K46" i="1" s="1"/>
  <c r="G42" i="1"/>
  <c r="K42" i="1" s="1"/>
  <c r="G38" i="1"/>
  <c r="K38" i="1" s="1"/>
  <c r="G34" i="1"/>
  <c r="K34" i="1" s="1"/>
  <c r="G26" i="1"/>
  <c r="K26" i="1" s="1"/>
  <c r="G18" i="1"/>
  <c r="K18" i="1" s="1"/>
  <c r="G14" i="1"/>
  <c r="K14" i="1" s="1"/>
  <c r="G10" i="1"/>
  <c r="K10" i="1" s="1"/>
  <c r="G6" i="1"/>
  <c r="K6" i="1" s="1"/>
  <c r="G139" i="1"/>
  <c r="K139" i="1" s="1"/>
  <c r="G135" i="1"/>
  <c r="K135" i="1" s="1"/>
  <c r="G131" i="1"/>
  <c r="K131" i="1" s="1"/>
  <c r="G127" i="1"/>
  <c r="K127" i="1" s="1"/>
  <c r="G123" i="1"/>
  <c r="K123" i="1" s="1"/>
  <c r="F122" i="1"/>
  <c r="G119" i="1"/>
  <c r="K119" i="1" s="1"/>
  <c r="H116" i="1"/>
  <c r="G111" i="1"/>
  <c r="K111" i="1" s="1"/>
  <c r="H108" i="1"/>
  <c r="G107" i="1"/>
  <c r="K107" i="1" s="1"/>
  <c r="F106" i="1"/>
  <c r="G103" i="1"/>
  <c r="K103" i="1" s="1"/>
  <c r="G95" i="1"/>
  <c r="K95" i="1" s="1"/>
  <c r="H92" i="1"/>
  <c r="G91" i="1"/>
  <c r="K91" i="1" s="1"/>
  <c r="F90" i="1"/>
  <c r="G87" i="1"/>
  <c r="K87" i="1" s="1"/>
  <c r="G79" i="1"/>
  <c r="K79" i="1" s="1"/>
  <c r="G75" i="1"/>
  <c r="K75" i="1" s="1"/>
  <c r="F74" i="1"/>
  <c r="G71" i="1"/>
  <c r="K71" i="1" s="1"/>
  <c r="H68" i="1"/>
  <c r="G63" i="1"/>
  <c r="K63" i="1" s="1"/>
  <c r="F62" i="1"/>
  <c r="G59" i="1"/>
  <c r="K59" i="1" s="1"/>
  <c r="F58" i="1"/>
  <c r="H56" i="1"/>
  <c r="G55" i="1"/>
  <c r="K55" i="1" s="1"/>
  <c r="H52" i="1"/>
  <c r="G47" i="1"/>
  <c r="K47" i="1" s="1"/>
  <c r="F46" i="1"/>
  <c r="H44" i="1"/>
  <c r="G43" i="1"/>
  <c r="K43" i="1" s="1"/>
  <c r="H40" i="1"/>
  <c r="G39" i="1"/>
  <c r="K39" i="1" s="1"/>
  <c r="H32" i="1"/>
  <c r="G31" i="1"/>
  <c r="K31" i="1" s="1"/>
  <c r="H28" i="1"/>
  <c r="G27" i="1"/>
  <c r="K27" i="1" s="1"/>
  <c r="G23" i="1"/>
  <c r="K23" i="1" s="1"/>
  <c r="H16" i="1"/>
  <c r="G15" i="1"/>
  <c r="K15" i="1" s="1"/>
  <c r="G11" i="1"/>
  <c r="K11" i="1" s="1"/>
  <c r="G7" i="1"/>
  <c r="K7" i="1" s="1"/>
  <c r="G141" i="1"/>
  <c r="K141" i="1" s="1"/>
  <c r="F140" i="1"/>
  <c r="G137" i="1"/>
  <c r="K137" i="1" s="1"/>
  <c r="G133" i="1"/>
  <c r="K133" i="1" s="1"/>
  <c r="F132" i="1"/>
  <c r="H130" i="1"/>
  <c r="G129" i="1"/>
  <c r="K129" i="1" s="1"/>
  <c r="G125" i="1"/>
  <c r="K125" i="1" s="1"/>
  <c r="G121" i="1"/>
  <c r="K121" i="1" s="1"/>
  <c r="G117" i="1"/>
  <c r="K117" i="1" s="1"/>
  <c r="G113" i="1"/>
  <c r="K113" i="1" s="1"/>
  <c r="G109" i="1"/>
  <c r="K109" i="1" s="1"/>
  <c r="G105" i="1"/>
  <c r="K105" i="1" s="1"/>
  <c r="G101" i="1"/>
  <c r="K101" i="1" s="1"/>
  <c r="G97" i="1"/>
  <c r="K97" i="1" s="1"/>
  <c r="G93" i="1"/>
  <c r="K93" i="1" s="1"/>
  <c r="G89" i="1"/>
  <c r="K89" i="1" s="1"/>
  <c r="G85" i="1"/>
  <c r="K85" i="1" s="1"/>
  <c r="G81" i="1"/>
  <c r="K81" i="1" s="1"/>
  <c r="G77" i="1"/>
  <c r="K77" i="1" s="1"/>
  <c r="G73" i="1"/>
  <c r="K73" i="1" s="1"/>
  <c r="G69" i="1"/>
  <c r="K69" i="1" s="1"/>
  <c r="G65" i="1"/>
  <c r="K65" i="1" s="1"/>
  <c r="G61" i="1"/>
  <c r="K61" i="1" s="1"/>
  <c r="G57" i="1"/>
  <c r="K57" i="1" s="1"/>
  <c r="G53" i="1"/>
  <c r="K53" i="1" s="1"/>
  <c r="G49" i="1"/>
  <c r="K49" i="1" s="1"/>
  <c r="G45" i="1"/>
  <c r="K45" i="1" s="1"/>
  <c r="G41" i="1"/>
  <c r="K41" i="1" s="1"/>
  <c r="G37" i="1"/>
  <c r="K37" i="1" s="1"/>
  <c r="G33" i="1"/>
  <c r="K33" i="1" s="1"/>
  <c r="G29" i="1"/>
  <c r="K29" i="1" s="1"/>
  <c r="G25" i="1"/>
  <c r="K25" i="1" s="1"/>
  <c r="G21" i="1"/>
  <c r="K21" i="1" s="1"/>
  <c r="G17" i="1"/>
  <c r="K17" i="1" s="1"/>
  <c r="G13" i="1"/>
  <c r="K13" i="1" s="1"/>
  <c r="G9" i="1"/>
  <c r="K9" i="1" s="1"/>
  <c r="G5" i="1"/>
  <c r="K5" i="1" s="1"/>
  <c r="F5" i="1"/>
  <c r="G128" i="1"/>
  <c r="K128" i="1" s="1"/>
  <c r="F129" i="1"/>
  <c r="H129" i="1"/>
  <c r="G132" i="1"/>
  <c r="K132" i="1" s="1"/>
  <c r="F135" i="1"/>
  <c r="H135" i="1"/>
  <c r="G136" i="1"/>
  <c r="K136" i="1" s="1"/>
  <c r="F137" i="1"/>
  <c r="H137" i="1"/>
  <c r="F138" i="1"/>
  <c r="F139" i="1"/>
  <c r="H139" i="1"/>
  <c r="G140" i="1"/>
  <c r="K140" i="1" s="1"/>
  <c r="F141" i="1"/>
  <c r="F143" i="1"/>
  <c r="G143" i="1"/>
  <c r="K143" i="1" s="1"/>
  <c r="H143" i="1"/>
  <c r="G144" i="1"/>
  <c r="K144" i="1" s="1"/>
  <c r="H5" i="1"/>
  <c r="H7" i="1"/>
  <c r="H11" i="1"/>
  <c r="H13" i="1"/>
  <c r="H15" i="1"/>
  <c r="H17" i="1"/>
  <c r="H21" i="1"/>
  <c r="H22" i="1"/>
  <c r="H27" i="1"/>
  <c r="H29" i="1"/>
  <c r="H33" i="1"/>
  <c r="H37" i="1"/>
  <c r="H43" i="1"/>
  <c r="H45" i="1"/>
  <c r="H49" i="1"/>
  <c r="H50" i="1"/>
  <c r="H53" i="1"/>
  <c r="H61" i="1"/>
  <c r="H65" i="1"/>
  <c r="H69" i="1"/>
  <c r="H70" i="1"/>
  <c r="H71" i="1"/>
  <c r="H73" i="1"/>
  <c r="H75" i="1"/>
  <c r="H77" i="1"/>
  <c r="H79" i="1"/>
  <c r="H81" i="1"/>
  <c r="H82" i="1"/>
  <c r="H85" i="1"/>
  <c r="H87" i="1"/>
  <c r="H89" i="1"/>
  <c r="H90" i="1"/>
  <c r="H91" i="1"/>
  <c r="H95" i="1"/>
  <c r="H97" i="1"/>
  <c r="H103" i="1"/>
  <c r="H105" i="1"/>
  <c r="H109" i="1"/>
  <c r="H111" i="1"/>
  <c r="H113" i="1"/>
  <c r="H114" i="1"/>
  <c r="H117" i="1"/>
  <c r="H119" i="1"/>
  <c r="H121" i="1"/>
  <c r="H122" i="1"/>
  <c r="H123" i="1"/>
  <c r="H125" i="1"/>
  <c r="H127" i="1"/>
  <c r="G8" i="1"/>
  <c r="K8" i="1" s="1"/>
  <c r="G12" i="1"/>
  <c r="K12" i="1" s="1"/>
  <c r="G16" i="1"/>
  <c r="K16" i="1" s="1"/>
  <c r="G19" i="1"/>
  <c r="K19" i="1" s="1"/>
  <c r="G20" i="1"/>
  <c r="K20" i="1" s="1"/>
  <c r="G22" i="1"/>
  <c r="K22" i="1" s="1"/>
  <c r="G24" i="1"/>
  <c r="K24" i="1" s="1"/>
  <c r="G28" i="1"/>
  <c r="K28" i="1" s="1"/>
  <c r="G30" i="1"/>
  <c r="K30" i="1" s="1"/>
  <c r="G32" i="1"/>
  <c r="K32" i="1" s="1"/>
  <c r="G35" i="1"/>
  <c r="K35" i="1" s="1"/>
  <c r="G36" i="1"/>
  <c r="K36" i="1" s="1"/>
  <c r="G40" i="1"/>
  <c r="K40" i="1" s="1"/>
  <c r="G44" i="1"/>
  <c r="K44" i="1" s="1"/>
  <c r="G48" i="1"/>
  <c r="K48" i="1" s="1"/>
  <c r="G51" i="1"/>
  <c r="K51" i="1" s="1"/>
  <c r="G52" i="1"/>
  <c r="K52" i="1" s="1"/>
  <c r="G56" i="1"/>
  <c r="K56" i="1" s="1"/>
  <c r="G58" i="1"/>
  <c r="K58" i="1" s="1"/>
  <c r="G60" i="1"/>
  <c r="K60" i="1" s="1"/>
  <c r="G64" i="1"/>
  <c r="K64" i="1" s="1"/>
  <c r="G66" i="1"/>
  <c r="K66" i="1" s="1"/>
  <c r="G67" i="1"/>
  <c r="K67" i="1" s="1"/>
  <c r="G68" i="1"/>
  <c r="K68" i="1" s="1"/>
  <c r="G72" i="1"/>
  <c r="K72" i="1" s="1"/>
  <c r="G76" i="1"/>
  <c r="K76" i="1" s="1"/>
  <c r="G80" i="1"/>
  <c r="K80" i="1" s="1"/>
  <c r="G83" i="1"/>
  <c r="K83" i="1" s="1"/>
  <c r="G84" i="1"/>
  <c r="K84" i="1" s="1"/>
  <c r="G86" i="1"/>
  <c r="K86" i="1" s="1"/>
  <c r="G88" i="1"/>
  <c r="K88" i="1" s="1"/>
  <c r="G92" i="1"/>
  <c r="K92" i="1" s="1"/>
  <c r="G94" i="1"/>
  <c r="K94" i="1" s="1"/>
  <c r="G96" i="1"/>
  <c r="K96" i="1" s="1"/>
  <c r="G99" i="1"/>
  <c r="K99" i="1" s="1"/>
  <c r="G100" i="1"/>
  <c r="K100" i="1" s="1"/>
  <c r="G104" i="1"/>
  <c r="K104" i="1" s="1"/>
  <c r="G108" i="1"/>
  <c r="K108" i="1" s="1"/>
  <c r="G112" i="1"/>
  <c r="K112" i="1" s="1"/>
  <c r="G115" i="1"/>
  <c r="K115" i="1" s="1"/>
  <c r="G116" i="1"/>
  <c r="K116" i="1" s="1"/>
  <c r="G120" i="1"/>
  <c r="K120" i="1" s="1"/>
  <c r="G122" i="1"/>
  <c r="K122" i="1" s="1"/>
  <c r="G124" i="1"/>
  <c r="K124" i="1" s="1"/>
  <c r="F7" i="1"/>
  <c r="F9" i="1"/>
  <c r="F11" i="1"/>
  <c r="F13" i="1"/>
  <c r="F15" i="1"/>
  <c r="F17" i="1"/>
  <c r="F19" i="1"/>
  <c r="F21" i="1"/>
  <c r="F23" i="1"/>
  <c r="F25" i="1"/>
  <c r="F27" i="1"/>
  <c r="F29" i="1"/>
  <c r="F31" i="1"/>
  <c r="F33" i="1"/>
  <c r="F34" i="1"/>
  <c r="F35" i="1"/>
  <c r="F37" i="1"/>
  <c r="F39" i="1"/>
  <c r="F41" i="1"/>
  <c r="F43" i="1"/>
  <c r="F45" i="1"/>
  <c r="F47" i="1"/>
  <c r="F49" i="1"/>
  <c r="F51" i="1"/>
  <c r="F53" i="1"/>
  <c r="F55" i="1"/>
  <c r="F57" i="1"/>
  <c r="F59" i="1"/>
  <c r="F61" i="1"/>
  <c r="F63" i="1"/>
  <c r="F65" i="1"/>
  <c r="F67" i="1"/>
  <c r="F69" i="1"/>
  <c r="F71" i="1"/>
  <c r="F73" i="1"/>
  <c r="F75" i="1"/>
  <c r="F77" i="1"/>
  <c r="F79" i="1"/>
  <c r="F81" i="1"/>
  <c r="F82" i="1"/>
  <c r="F83" i="1"/>
  <c r="F85" i="1"/>
  <c r="F87" i="1"/>
  <c r="F89" i="1"/>
  <c r="F91" i="1"/>
  <c r="F93" i="1"/>
  <c r="F95" i="1"/>
  <c r="F97" i="1"/>
  <c r="F98" i="1"/>
  <c r="F99" i="1"/>
  <c r="F101" i="1"/>
  <c r="F103" i="1"/>
  <c r="F105" i="1"/>
  <c r="F107" i="1"/>
  <c r="F109" i="1"/>
  <c r="F111" i="1"/>
  <c r="F113" i="1"/>
  <c r="F114" i="1"/>
  <c r="F115" i="1"/>
  <c r="F117" i="1"/>
  <c r="F119" i="1"/>
  <c r="F121" i="1"/>
  <c r="F123" i="1"/>
  <c r="F125" i="1"/>
  <c r="F127" i="1"/>
  <c r="J113" i="1" l="1"/>
  <c r="M113" i="1" s="1"/>
  <c r="P113" i="1" s="1"/>
  <c r="J91" i="1"/>
  <c r="M91" i="1" s="1"/>
  <c r="P91" i="1" s="1"/>
  <c r="J69" i="1"/>
  <c r="M69" i="1" s="1"/>
  <c r="P69" i="1" s="1"/>
  <c r="J45" i="1"/>
  <c r="M45" i="1" s="1"/>
  <c r="P45" i="1" s="1"/>
  <c r="J23" i="1"/>
  <c r="M23" i="1" s="1"/>
  <c r="P23" i="1" s="1"/>
  <c r="J139" i="1"/>
  <c r="M139" i="1" s="1"/>
  <c r="P139" i="1" s="1"/>
  <c r="J140" i="1"/>
  <c r="M140" i="1" s="1"/>
  <c r="P140" i="1" s="1"/>
  <c r="J117" i="1"/>
  <c r="M117" i="1" s="1"/>
  <c r="P117" i="1" s="1"/>
  <c r="J103" i="1"/>
  <c r="M103" i="1" s="1"/>
  <c r="P103" i="1" s="1"/>
  <c r="J97" i="1"/>
  <c r="M97" i="1" s="1"/>
  <c r="P97" i="1" s="1"/>
  <c r="J89" i="1"/>
  <c r="M89" i="1" s="1"/>
  <c r="P89" i="1" s="1"/>
  <c r="J82" i="1"/>
  <c r="M82" i="1" s="1"/>
  <c r="P82" i="1" s="1"/>
  <c r="J75" i="1"/>
  <c r="M75" i="1" s="1"/>
  <c r="P75" i="1" s="1"/>
  <c r="J67" i="1"/>
  <c r="M67" i="1" s="1"/>
  <c r="P67" i="1" s="1"/>
  <c r="J59" i="1"/>
  <c r="M59" i="1" s="1"/>
  <c r="P59" i="1" s="1"/>
  <c r="J51" i="1"/>
  <c r="M51" i="1" s="1"/>
  <c r="P51" i="1" s="1"/>
  <c r="J43" i="1"/>
  <c r="M43" i="1" s="1"/>
  <c r="P43" i="1" s="1"/>
  <c r="J35" i="1"/>
  <c r="M35" i="1" s="1"/>
  <c r="P35" i="1" s="1"/>
  <c r="J29" i="1"/>
  <c r="M29" i="1" s="1"/>
  <c r="P29" i="1" s="1"/>
  <c r="J21" i="1"/>
  <c r="M21" i="1" s="1"/>
  <c r="P21" i="1" s="1"/>
  <c r="J13" i="1"/>
  <c r="M13" i="1" s="1"/>
  <c r="P13" i="1" s="1"/>
  <c r="J141" i="1"/>
  <c r="M141" i="1" s="1"/>
  <c r="P141" i="1" s="1"/>
  <c r="M138" i="1"/>
  <c r="P138" i="1" s="1"/>
  <c r="J138" i="1"/>
  <c r="J129" i="1"/>
  <c r="M129" i="1" s="1"/>
  <c r="P129" i="1" s="1"/>
  <c r="J132" i="1"/>
  <c r="M132" i="1" s="1"/>
  <c r="P132" i="1" s="1"/>
  <c r="J122" i="1"/>
  <c r="M122" i="1" s="1"/>
  <c r="P122" i="1" s="1"/>
  <c r="J119" i="1"/>
  <c r="M119" i="1" s="1"/>
  <c r="P119" i="1" s="1"/>
  <c r="J105" i="1"/>
  <c r="M105" i="1" s="1"/>
  <c r="P105" i="1" s="1"/>
  <c r="J83" i="1"/>
  <c r="M83" i="1" s="1"/>
  <c r="P83" i="1" s="1"/>
  <c r="J61" i="1"/>
  <c r="M61" i="1" s="1"/>
  <c r="P61" i="1" s="1"/>
  <c r="M37" i="1"/>
  <c r="P37" i="1" s="1"/>
  <c r="J37" i="1"/>
  <c r="J15" i="1"/>
  <c r="M15" i="1" s="1"/>
  <c r="P15" i="1" s="1"/>
  <c r="J58" i="1"/>
  <c r="M58" i="1" s="1"/>
  <c r="P58" i="1" s="1"/>
  <c r="J18" i="1"/>
  <c r="M18" i="1" s="1"/>
  <c r="P18" i="1" s="1"/>
  <c r="J125" i="1"/>
  <c r="M125" i="1" s="1"/>
  <c r="P125" i="1" s="1"/>
  <c r="J111" i="1"/>
  <c r="M111" i="1" s="1"/>
  <c r="P111" i="1" s="1"/>
  <c r="J123" i="1"/>
  <c r="M123" i="1" s="1"/>
  <c r="P123" i="1" s="1"/>
  <c r="J115" i="1"/>
  <c r="M115" i="1" s="1"/>
  <c r="P115" i="1" s="1"/>
  <c r="J109" i="1"/>
  <c r="M109" i="1" s="1"/>
  <c r="P109" i="1" s="1"/>
  <c r="J101" i="1"/>
  <c r="M101" i="1" s="1"/>
  <c r="P101" i="1" s="1"/>
  <c r="J95" i="1"/>
  <c r="M95" i="1" s="1"/>
  <c r="P95" i="1" s="1"/>
  <c r="J87" i="1"/>
  <c r="M87" i="1" s="1"/>
  <c r="P87" i="1" s="1"/>
  <c r="J81" i="1"/>
  <c r="M81" i="1" s="1"/>
  <c r="P81" i="1" s="1"/>
  <c r="J73" i="1"/>
  <c r="M73" i="1" s="1"/>
  <c r="P73" i="1" s="1"/>
  <c r="J65" i="1"/>
  <c r="M65" i="1" s="1"/>
  <c r="P65" i="1" s="1"/>
  <c r="J57" i="1"/>
  <c r="M57" i="1" s="1"/>
  <c r="P57" i="1" s="1"/>
  <c r="J49" i="1"/>
  <c r="M49" i="1" s="1"/>
  <c r="P49" i="1" s="1"/>
  <c r="J41" i="1"/>
  <c r="M41" i="1" s="1"/>
  <c r="P41" i="1" s="1"/>
  <c r="J34" i="1"/>
  <c r="M34" i="1" s="1"/>
  <c r="P34" i="1" s="1"/>
  <c r="J27" i="1"/>
  <c r="M27" i="1" s="1"/>
  <c r="P27" i="1" s="1"/>
  <c r="J19" i="1"/>
  <c r="M19" i="1" s="1"/>
  <c r="P19" i="1" s="1"/>
  <c r="J11" i="1"/>
  <c r="M11" i="1" s="1"/>
  <c r="P11" i="1" s="1"/>
  <c r="J135" i="1"/>
  <c r="M135" i="1" s="1"/>
  <c r="P135" i="1" s="1"/>
  <c r="J62" i="1"/>
  <c r="M62" i="1" s="1"/>
  <c r="P62" i="1" s="1"/>
  <c r="J74" i="1"/>
  <c r="M74" i="1" s="1"/>
  <c r="P74" i="1" s="1"/>
  <c r="J90" i="1"/>
  <c r="M90" i="1" s="1"/>
  <c r="P90" i="1" s="1"/>
  <c r="J136" i="1"/>
  <c r="M136" i="1" s="1"/>
  <c r="P136" i="1" s="1"/>
  <c r="J144" i="1"/>
  <c r="M144" i="1" s="1"/>
  <c r="P144" i="1" s="1"/>
  <c r="J127" i="1"/>
  <c r="M127" i="1" s="1"/>
  <c r="P127" i="1" s="1"/>
  <c r="J98" i="1"/>
  <c r="M98" i="1" s="1"/>
  <c r="P98" i="1" s="1"/>
  <c r="J77" i="1"/>
  <c r="M77" i="1" s="1"/>
  <c r="P77" i="1" s="1"/>
  <c r="J53" i="1"/>
  <c r="M53" i="1" s="1"/>
  <c r="P53" i="1" s="1"/>
  <c r="J31" i="1"/>
  <c r="M31" i="1" s="1"/>
  <c r="P31" i="1" s="1"/>
  <c r="J7" i="1"/>
  <c r="M7" i="1" s="1"/>
  <c r="P7" i="1" s="1"/>
  <c r="J143" i="1"/>
  <c r="M143" i="1" s="1"/>
  <c r="P143" i="1" s="1"/>
  <c r="J121" i="1"/>
  <c r="M121" i="1" s="1"/>
  <c r="P121" i="1" s="1"/>
  <c r="J114" i="1"/>
  <c r="M114" i="1" s="1"/>
  <c r="P114" i="1" s="1"/>
  <c r="J107" i="1"/>
  <c r="M107" i="1" s="1"/>
  <c r="P107" i="1" s="1"/>
  <c r="J99" i="1"/>
  <c r="M99" i="1" s="1"/>
  <c r="P99" i="1" s="1"/>
  <c r="J93" i="1"/>
  <c r="M93" i="1" s="1"/>
  <c r="P93" i="1" s="1"/>
  <c r="J85" i="1"/>
  <c r="M85" i="1" s="1"/>
  <c r="P85" i="1" s="1"/>
  <c r="J79" i="1"/>
  <c r="M79" i="1" s="1"/>
  <c r="P79" i="1" s="1"/>
  <c r="J71" i="1"/>
  <c r="M71" i="1" s="1"/>
  <c r="P71" i="1" s="1"/>
  <c r="J63" i="1"/>
  <c r="M63" i="1" s="1"/>
  <c r="P63" i="1" s="1"/>
  <c r="J55" i="1"/>
  <c r="M55" i="1" s="1"/>
  <c r="P55" i="1" s="1"/>
  <c r="J47" i="1"/>
  <c r="M47" i="1" s="1"/>
  <c r="P47" i="1" s="1"/>
  <c r="J39" i="1"/>
  <c r="M39" i="1" s="1"/>
  <c r="P39" i="1" s="1"/>
  <c r="J33" i="1"/>
  <c r="M33" i="1" s="1"/>
  <c r="P33" i="1" s="1"/>
  <c r="J25" i="1"/>
  <c r="M25" i="1" s="1"/>
  <c r="P25" i="1" s="1"/>
  <c r="J17" i="1"/>
  <c r="M17" i="1" s="1"/>
  <c r="P17" i="1" s="1"/>
  <c r="J9" i="1"/>
  <c r="M9" i="1" s="1"/>
  <c r="P9" i="1" s="1"/>
  <c r="J137" i="1"/>
  <c r="M137" i="1" s="1"/>
  <c r="P137" i="1" s="1"/>
  <c r="J5" i="1"/>
  <c r="M5" i="1" s="1"/>
  <c r="P5" i="1" s="1"/>
  <c r="J46" i="1"/>
  <c r="M46" i="1" s="1"/>
  <c r="P46" i="1" s="1"/>
  <c r="J106" i="1"/>
  <c r="M106" i="1" s="1"/>
  <c r="P106" i="1" s="1"/>
  <c r="J128" i="1"/>
  <c r="M128" i="1" s="1"/>
  <c r="P128" i="1" s="1"/>
  <c r="F78" i="1"/>
  <c r="H78" i="1"/>
  <c r="H94" i="1"/>
  <c r="F94" i="1"/>
  <c r="F110" i="1"/>
  <c r="F126" i="1"/>
  <c r="F134" i="1"/>
  <c r="H72" i="1"/>
  <c r="H88" i="1"/>
  <c r="H101" i="1"/>
  <c r="H104" i="1"/>
  <c r="H107" i="1"/>
  <c r="H120" i="1"/>
  <c r="H133" i="1"/>
  <c r="F133" i="1"/>
  <c r="H136" i="1"/>
  <c r="H18" i="1"/>
  <c r="F26" i="1"/>
  <c r="H26" i="1"/>
  <c r="H42" i="1"/>
  <c r="F42" i="1"/>
  <c r="F142" i="1"/>
  <c r="H142" i="1"/>
  <c r="H102" i="1"/>
  <c r="H118" i="1"/>
  <c r="H58" i="1"/>
  <c r="H66" i="1"/>
  <c r="F66" i="1"/>
  <c r="F14" i="1"/>
  <c r="H14" i="1"/>
  <c r="H30" i="1"/>
  <c r="F30" i="1"/>
  <c r="H38" i="1"/>
  <c r="H54" i="1"/>
  <c r="F50" i="1"/>
  <c r="F10" i="1"/>
  <c r="H4" i="1"/>
  <c r="H93" i="1"/>
  <c r="H115" i="1"/>
  <c r="H128" i="1"/>
  <c r="H131" i="1"/>
  <c r="F131" i="1"/>
  <c r="H144" i="1"/>
  <c r="F102" i="1"/>
  <c r="F86" i="1"/>
  <c r="F70" i="1"/>
  <c r="F54" i="1"/>
  <c r="F38" i="1"/>
  <c r="F22" i="1"/>
  <c r="F6" i="1"/>
  <c r="F130" i="1"/>
  <c r="F118" i="1"/>
  <c r="F124" i="1"/>
  <c r="F120" i="1"/>
  <c r="F116" i="1"/>
  <c r="F112" i="1"/>
  <c r="F108" i="1"/>
  <c r="F104" i="1"/>
  <c r="F100" i="1"/>
  <c r="F96" i="1"/>
  <c r="F92" i="1"/>
  <c r="F88" i="1"/>
  <c r="F84" i="1"/>
  <c r="F80" i="1"/>
  <c r="F76" i="1"/>
  <c r="F72" i="1"/>
  <c r="F68" i="1"/>
  <c r="F64" i="1"/>
  <c r="F60" i="1"/>
  <c r="F56" i="1"/>
  <c r="F52" i="1"/>
  <c r="F48" i="1"/>
  <c r="F44" i="1"/>
  <c r="F40" i="1"/>
  <c r="F36" i="1"/>
  <c r="F32" i="1"/>
  <c r="F28" i="1"/>
  <c r="F24" i="1"/>
  <c r="F20" i="1"/>
  <c r="F16" i="1"/>
  <c r="F12" i="1"/>
  <c r="F8" i="1"/>
  <c r="J56" i="1" l="1"/>
  <c r="M56" i="1" s="1"/>
  <c r="P56" i="1" s="1"/>
  <c r="J70" i="1"/>
  <c r="M70" i="1" s="1"/>
  <c r="P70" i="1" s="1"/>
  <c r="J12" i="1"/>
  <c r="M12" i="1" s="1"/>
  <c r="P12" i="1" s="1"/>
  <c r="J28" i="1"/>
  <c r="M28" i="1" s="1"/>
  <c r="P28" i="1" s="1"/>
  <c r="J44" i="1"/>
  <c r="M44" i="1" s="1"/>
  <c r="P44" i="1" s="1"/>
  <c r="J60" i="1"/>
  <c r="M60" i="1" s="1"/>
  <c r="P60" i="1" s="1"/>
  <c r="J76" i="1"/>
  <c r="M76" i="1" s="1"/>
  <c r="P76" i="1" s="1"/>
  <c r="J92" i="1"/>
  <c r="M92" i="1" s="1"/>
  <c r="P92" i="1" s="1"/>
  <c r="J108" i="1"/>
  <c r="M108" i="1" s="1"/>
  <c r="P108" i="1" s="1"/>
  <c r="J124" i="1"/>
  <c r="M124" i="1" s="1"/>
  <c r="P124" i="1" s="1"/>
  <c r="J22" i="1"/>
  <c r="M22" i="1" s="1"/>
  <c r="P22" i="1" s="1"/>
  <c r="J86" i="1"/>
  <c r="M86" i="1" s="1"/>
  <c r="P86" i="1" s="1"/>
  <c r="J14" i="1"/>
  <c r="M14" i="1" s="1"/>
  <c r="P14" i="1" s="1"/>
  <c r="J42" i="1"/>
  <c r="M42" i="1" s="1"/>
  <c r="P42" i="1" s="1"/>
  <c r="J110" i="1"/>
  <c r="M110" i="1" s="1"/>
  <c r="P110" i="1" s="1"/>
  <c r="J78" i="1"/>
  <c r="M78" i="1" s="1"/>
  <c r="P78" i="1" s="1"/>
  <c r="J8" i="1"/>
  <c r="M8" i="1" s="1"/>
  <c r="P8" i="1" s="1"/>
  <c r="J40" i="1"/>
  <c r="M40" i="1" s="1"/>
  <c r="P40" i="1" s="1"/>
  <c r="J88" i="1"/>
  <c r="M88" i="1" s="1"/>
  <c r="P88" i="1" s="1"/>
  <c r="J6" i="1"/>
  <c r="M6" i="1" s="1"/>
  <c r="P6" i="1" s="1"/>
  <c r="J26" i="1"/>
  <c r="M26" i="1" s="1"/>
  <c r="P26" i="1" s="1"/>
  <c r="J126" i="1"/>
  <c r="M126" i="1" s="1"/>
  <c r="P126" i="1" s="1"/>
  <c r="J32" i="1"/>
  <c r="M32" i="1" s="1"/>
  <c r="P32" i="1" s="1"/>
  <c r="J64" i="1"/>
  <c r="M64" i="1" s="1"/>
  <c r="P64" i="1" s="1"/>
  <c r="J96" i="1"/>
  <c r="M96" i="1" s="1"/>
  <c r="P96" i="1" s="1"/>
  <c r="J118" i="1"/>
  <c r="M118" i="1" s="1"/>
  <c r="P118" i="1" s="1"/>
  <c r="J102" i="1"/>
  <c r="M102" i="1" s="1"/>
  <c r="P102" i="1" s="1"/>
  <c r="J10" i="1"/>
  <c r="M10" i="1" s="1"/>
  <c r="P10" i="1" s="1"/>
  <c r="J66" i="1"/>
  <c r="M66" i="1" s="1"/>
  <c r="P66" i="1" s="1"/>
  <c r="J24" i="1"/>
  <c r="M24" i="1" s="1"/>
  <c r="P24" i="1" s="1"/>
  <c r="J72" i="1"/>
  <c r="M72" i="1" s="1"/>
  <c r="P72" i="1" s="1"/>
  <c r="J104" i="1"/>
  <c r="M104" i="1" s="1"/>
  <c r="P104" i="1" s="1"/>
  <c r="J120" i="1"/>
  <c r="M120" i="1" s="1"/>
  <c r="P120" i="1" s="1"/>
  <c r="J131" i="1"/>
  <c r="M131" i="1" s="1"/>
  <c r="P131" i="1" s="1"/>
  <c r="J142" i="1"/>
  <c r="M142" i="1" s="1"/>
  <c r="P142" i="1" s="1"/>
  <c r="J16" i="1"/>
  <c r="M16" i="1" s="1"/>
  <c r="P16" i="1" s="1"/>
  <c r="J48" i="1"/>
  <c r="M48" i="1" s="1"/>
  <c r="P48" i="1" s="1"/>
  <c r="J80" i="1"/>
  <c r="M80" i="1" s="1"/>
  <c r="P80" i="1" s="1"/>
  <c r="J112" i="1"/>
  <c r="M112" i="1" s="1"/>
  <c r="P112" i="1" s="1"/>
  <c r="J38" i="1"/>
  <c r="M38" i="1" s="1"/>
  <c r="P38" i="1" s="1"/>
  <c r="J30" i="1"/>
  <c r="M30" i="1" s="1"/>
  <c r="P30" i="1" s="1"/>
  <c r="J94" i="1"/>
  <c r="M94" i="1" s="1"/>
  <c r="P94" i="1" s="1"/>
  <c r="J20" i="1"/>
  <c r="M20" i="1" s="1"/>
  <c r="P20" i="1" s="1"/>
  <c r="J36" i="1"/>
  <c r="M36" i="1" s="1"/>
  <c r="P36" i="1" s="1"/>
  <c r="J52" i="1"/>
  <c r="M52" i="1" s="1"/>
  <c r="P52" i="1" s="1"/>
  <c r="J68" i="1"/>
  <c r="M68" i="1" s="1"/>
  <c r="P68" i="1" s="1"/>
  <c r="J84" i="1"/>
  <c r="M84" i="1" s="1"/>
  <c r="P84" i="1" s="1"/>
  <c r="J100" i="1"/>
  <c r="M100" i="1" s="1"/>
  <c r="P100" i="1" s="1"/>
  <c r="J116" i="1"/>
  <c r="M116" i="1" s="1"/>
  <c r="P116" i="1" s="1"/>
  <c r="J130" i="1"/>
  <c r="M130" i="1" s="1"/>
  <c r="P130" i="1" s="1"/>
  <c r="J54" i="1"/>
  <c r="M54" i="1" s="1"/>
  <c r="P54" i="1" s="1"/>
  <c r="J50" i="1"/>
  <c r="M50" i="1" s="1"/>
  <c r="P50" i="1" s="1"/>
  <c r="J133" i="1"/>
  <c r="M133" i="1" s="1"/>
  <c r="P133" i="1" s="1"/>
  <c r="J134" i="1"/>
  <c r="M134" i="1" s="1"/>
  <c r="P134" i="1" s="1"/>
</calcChain>
</file>

<file path=xl/sharedStrings.xml><?xml version="1.0" encoding="utf-8"?>
<sst xmlns="http://schemas.openxmlformats.org/spreadsheetml/2006/main" count="25" uniqueCount="22">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</sst>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W284"/>
  <sheetViews>
    <sheetView tabSelected="1" topLeftCell="I108" zoomScale="85" zoomScaleNormal="85" workbookViewId="0">
      <selection activeCell="M4" sqref="M4:P144"/>
    </sheetView>
  </sheetViews>
  <sheetFormatPr defaultRowHeight="16.5" x14ac:dyDescent="0.3"/>
  <cols>
    <col min="10" max="10" width="12.25" customWidth="1"/>
    <col min="11" max="11" width="13.625" bestFit="1" customWidth="1"/>
  </cols>
  <sheetData>
    <row r="1" spans="1:23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3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</row>
    <row r="3" spans="1:23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</row>
    <row r="4" spans="1:23" x14ac:dyDescent="0.3">
      <c r="A4">
        <v>6.1550649999999998E-2</v>
      </c>
      <c r="B4">
        <v>0.82828999999999997</v>
      </c>
      <c r="C4">
        <f>A4*B4</f>
        <v>5.0981787888499996E-2</v>
      </c>
      <c r="D4" s="1">
        <v>1.6500000000000001E-2</v>
      </c>
      <c r="E4" s="1">
        <v>1.41E-2</v>
      </c>
      <c r="F4">
        <f>A4*200</f>
        <v>12.310129999999999</v>
      </c>
      <c r="G4">
        <f>-B4</f>
        <v>-0.82828999999999997</v>
      </c>
      <c r="H4">
        <f t="shared" ref="H4:H67" si="0">-C4*200</f>
        <v>-10.196357577699999</v>
      </c>
      <c r="I4">
        <v>1</v>
      </c>
      <c r="J4">
        <f>LN(F4/1000)</f>
        <v>-4.3973327783216343</v>
      </c>
      <c r="K4">
        <f>((-G4)-$N$2)</f>
        <v>-0.39343515177521748</v>
      </c>
      <c r="M4">
        <f>-1*($S$4+($S$5*J4))</f>
        <v>0.35865361948091068</v>
      </c>
      <c r="N4">
        <f t="shared" ref="N4" si="1">D4*A4</f>
        <v>1.015585725E-3</v>
      </c>
      <c r="O4">
        <f>E4*A4</f>
        <v>8.6786416499999997E-4</v>
      </c>
      <c r="P4">
        <f>-K4-M4-N4-O4</f>
        <v>3.2898082404306805E-2</v>
      </c>
      <c r="R4" s="2" t="s">
        <v>16</v>
      </c>
      <c r="S4">
        <v>-0.51300000000000001</v>
      </c>
      <c r="V4">
        <v>-6</v>
      </c>
      <c r="W4">
        <f>V4*$S$5+$S$4</f>
        <v>-0.3024</v>
      </c>
    </row>
    <row r="5" spans="1:23" x14ac:dyDescent="0.3">
      <c r="A5">
        <v>0.1150149</v>
      </c>
      <c r="B5">
        <v>0.81913999999999998</v>
      </c>
      <c r="C5">
        <f t="shared" ref="C5:C68" si="2">A5*B5</f>
        <v>9.4213305186000004E-2</v>
      </c>
      <c r="D5" s="1">
        <v>1.6500000000000001E-2</v>
      </c>
      <c r="E5" s="1">
        <v>1.41E-2</v>
      </c>
      <c r="F5">
        <f t="shared" ref="F5:F67" si="3">A5*200</f>
        <v>23.002980000000001</v>
      </c>
      <c r="G5">
        <f t="shared" ref="G5:G67" si="4">-B5</f>
        <v>-0.81913999999999998</v>
      </c>
      <c r="H5">
        <f t="shared" si="0"/>
        <v>-18.842661037199999</v>
      </c>
      <c r="I5">
        <v>1</v>
      </c>
      <c r="J5">
        <f t="shared" ref="J5:J68" si="5">LN(F5/1000)</f>
        <v>-3.772131506228444</v>
      </c>
      <c r="K5">
        <f t="shared" ref="K5:K68" si="6">((-G5)-$N$2)</f>
        <v>-0.40258515177521748</v>
      </c>
      <c r="M5">
        <f>-1*($S$4+($S$5*J5))</f>
        <v>0.38059818413138163</v>
      </c>
      <c r="N5">
        <f t="shared" ref="N5:N6" si="7">D5*A5</f>
        <v>1.8977458500000002E-3</v>
      </c>
      <c r="O5">
        <f>E5*A5</f>
        <v>1.62171009E-3</v>
      </c>
      <c r="P5">
        <f>-K5-M5-N5-O5</f>
        <v>1.8467511703835843E-2</v>
      </c>
      <c r="R5" s="2" t="s">
        <v>17</v>
      </c>
      <c r="S5">
        <v>-3.5099999999999999E-2</v>
      </c>
      <c r="V5">
        <v>-5.9</v>
      </c>
      <c r="W5">
        <f t="shared" ref="W5:W68" si="8">V5*$S$5+$S$4</f>
        <v>-0.30591000000000002</v>
      </c>
    </row>
    <row r="6" spans="1:23" x14ac:dyDescent="0.3">
      <c r="A6">
        <v>0.16644239999999999</v>
      </c>
      <c r="B6">
        <v>0.80840999999999996</v>
      </c>
      <c r="C6">
        <f t="shared" si="2"/>
        <v>0.13455370058399999</v>
      </c>
      <c r="D6" s="1">
        <v>1.6500000000000001E-2</v>
      </c>
      <c r="E6" s="1">
        <v>1.41E-2</v>
      </c>
      <c r="F6">
        <f t="shared" si="3"/>
        <v>33.28848</v>
      </c>
      <c r="G6">
        <f t="shared" si="4"/>
        <v>-0.80840999999999996</v>
      </c>
      <c r="H6">
        <f t="shared" si="0"/>
        <v>-26.910740116799996</v>
      </c>
      <c r="I6">
        <v>1</v>
      </c>
      <c r="J6">
        <f t="shared" si="5"/>
        <v>-3.402543887794788</v>
      </c>
      <c r="K6">
        <f t="shared" si="6"/>
        <v>-0.41331515177521749</v>
      </c>
      <c r="M6">
        <f t="shared" ref="M6:M69" si="9">-1*($S$4+($S$5*J6))</f>
        <v>0.39357070953840295</v>
      </c>
      <c r="N6">
        <f t="shared" si="7"/>
        <v>2.7462996E-3</v>
      </c>
      <c r="O6">
        <f t="shared" ref="O6:O69" si="10">E6*A6</f>
        <v>2.3468378399999997E-3</v>
      </c>
      <c r="P6">
        <f t="shared" ref="P6:P69" si="11">-K6-M6-N6-O6</f>
        <v>1.465130479681454E-2</v>
      </c>
      <c r="V6">
        <v>-5.8</v>
      </c>
      <c r="W6">
        <f t="shared" si="8"/>
        <v>-0.30942000000000003</v>
      </c>
    </row>
    <row r="7" spans="1:23" x14ac:dyDescent="0.3">
      <c r="A7">
        <v>0.21736074999999999</v>
      </c>
      <c r="B7">
        <v>0.79937999999999998</v>
      </c>
      <c r="C7">
        <f t="shared" si="2"/>
        <v>0.17375383633499999</v>
      </c>
      <c r="D7" s="1">
        <v>1.6500000000000001E-2</v>
      </c>
      <c r="E7" s="1">
        <v>1.41E-2</v>
      </c>
      <c r="F7">
        <f t="shared" si="3"/>
        <v>43.472149999999999</v>
      </c>
      <c r="G7">
        <f t="shared" si="4"/>
        <v>-0.79937999999999998</v>
      </c>
      <c r="H7">
        <f t="shared" si="0"/>
        <v>-34.750767267000001</v>
      </c>
      <c r="I7">
        <v>1</v>
      </c>
      <c r="J7">
        <f t="shared" si="5"/>
        <v>-3.1356347758072265</v>
      </c>
      <c r="K7">
        <f t="shared" si="6"/>
        <v>-0.42234515177521748</v>
      </c>
      <c r="M7">
        <f t="shared" si="9"/>
        <v>0.40293921936916638</v>
      </c>
      <c r="N7">
        <f t="shared" ref="N7:N70" si="12">D7*A7</f>
        <v>3.5864523750000002E-3</v>
      </c>
      <c r="O7">
        <f t="shared" si="10"/>
        <v>3.0647865749999998E-3</v>
      </c>
      <c r="P7">
        <f t="shared" si="11"/>
        <v>1.2754693456051097E-2</v>
      </c>
      <c r="V7">
        <v>-5.7</v>
      </c>
      <c r="W7">
        <f t="shared" si="8"/>
        <v>-0.31293000000000004</v>
      </c>
    </row>
    <row r="8" spans="1:23" x14ac:dyDescent="0.3">
      <c r="A8">
        <v>0.26776990000000001</v>
      </c>
      <c r="B8">
        <v>0.79137999999999997</v>
      </c>
      <c r="C8">
        <f t="shared" si="2"/>
        <v>0.211907743462</v>
      </c>
      <c r="D8" s="1">
        <v>1.6500000000000001E-2</v>
      </c>
      <c r="E8" s="1">
        <v>1.41E-2</v>
      </c>
      <c r="F8">
        <f t="shared" si="3"/>
        <v>53.553980000000003</v>
      </c>
      <c r="G8">
        <f t="shared" si="4"/>
        <v>-0.79137999999999997</v>
      </c>
      <c r="H8">
        <f t="shared" si="0"/>
        <v>-42.381548692400003</v>
      </c>
      <c r="I8">
        <v>1</v>
      </c>
      <c r="J8">
        <f t="shared" si="5"/>
        <v>-2.9270651617876431</v>
      </c>
      <c r="K8">
        <f t="shared" si="6"/>
        <v>-0.43034515177521748</v>
      </c>
      <c r="M8">
        <f t="shared" si="9"/>
        <v>0.41026001282125374</v>
      </c>
      <c r="N8">
        <f t="shared" si="12"/>
        <v>4.4182033500000002E-3</v>
      </c>
      <c r="O8">
        <f t="shared" si="10"/>
        <v>3.7755555900000001E-3</v>
      </c>
      <c r="P8">
        <f t="shared" si="11"/>
        <v>1.1891380013963743E-2</v>
      </c>
      <c r="V8">
        <v>-5.6</v>
      </c>
      <c r="W8">
        <f t="shared" si="8"/>
        <v>-0.31644000000000005</v>
      </c>
    </row>
    <row r="9" spans="1:23" x14ac:dyDescent="0.3">
      <c r="A9">
        <v>0.32174329999999995</v>
      </c>
      <c r="B9">
        <v>0.78381999999999996</v>
      </c>
      <c r="C9">
        <f t="shared" si="2"/>
        <v>0.25218883340599996</v>
      </c>
      <c r="D9" s="1">
        <v>1.6500000000000001E-2</v>
      </c>
      <c r="E9" s="1">
        <v>1.41E-2</v>
      </c>
      <c r="F9">
        <f t="shared" si="3"/>
        <v>64.348659999999995</v>
      </c>
      <c r="G9">
        <f t="shared" si="4"/>
        <v>-0.78381999999999996</v>
      </c>
      <c r="H9">
        <f t="shared" si="0"/>
        <v>-50.437766681199989</v>
      </c>
      <c r="I9">
        <v>1</v>
      </c>
      <c r="J9">
        <f t="shared" si="5"/>
        <v>-2.7434391687776394</v>
      </c>
      <c r="K9">
        <f t="shared" si="6"/>
        <v>-0.43790515177521749</v>
      </c>
      <c r="M9">
        <f t="shared" si="9"/>
        <v>0.41670528517590488</v>
      </c>
      <c r="N9">
        <f t="shared" si="12"/>
        <v>5.3087644499999996E-3</v>
      </c>
      <c r="O9">
        <f t="shared" si="10"/>
        <v>4.5365805299999989E-3</v>
      </c>
      <c r="P9">
        <f t="shared" si="11"/>
        <v>1.1354521619312613E-2</v>
      </c>
      <c r="V9">
        <v>-5.5</v>
      </c>
      <c r="W9">
        <f t="shared" si="8"/>
        <v>-0.31995000000000001</v>
      </c>
    </row>
    <row r="10" spans="1:23" x14ac:dyDescent="0.3">
      <c r="A10">
        <v>0.37266165000000001</v>
      </c>
      <c r="B10">
        <v>0.77583999999999997</v>
      </c>
      <c r="C10">
        <f t="shared" si="2"/>
        <v>0.289125814536</v>
      </c>
      <c r="D10" s="1">
        <v>1.6500000000000001E-2</v>
      </c>
      <c r="E10" s="1">
        <v>1.41E-2</v>
      </c>
      <c r="F10">
        <f t="shared" si="3"/>
        <v>74.532330000000002</v>
      </c>
      <c r="G10">
        <f t="shared" si="4"/>
        <v>-0.77583999999999997</v>
      </c>
      <c r="H10">
        <f t="shared" si="0"/>
        <v>-57.825162907200003</v>
      </c>
      <c r="I10">
        <v>1</v>
      </c>
      <c r="J10">
        <f t="shared" si="5"/>
        <v>-2.5965222879983716</v>
      </c>
      <c r="K10">
        <f t="shared" si="6"/>
        <v>-0.44588515177521748</v>
      </c>
      <c r="M10">
        <f t="shared" si="9"/>
        <v>0.42186206769125717</v>
      </c>
      <c r="N10">
        <f t="shared" si="12"/>
        <v>6.1489172250000007E-3</v>
      </c>
      <c r="O10">
        <f t="shared" si="10"/>
        <v>5.2545292650000002E-3</v>
      </c>
      <c r="P10">
        <f t="shared" si="11"/>
        <v>1.2619637593960309E-2</v>
      </c>
      <c r="V10">
        <v>-5.4</v>
      </c>
      <c r="W10">
        <f t="shared" si="8"/>
        <v>-0.32345999999999997</v>
      </c>
    </row>
    <row r="11" spans="1:23" x14ac:dyDescent="0.3">
      <c r="A11">
        <v>0.42459834999999996</v>
      </c>
      <c r="B11">
        <v>0.76919999999999999</v>
      </c>
      <c r="C11">
        <f t="shared" si="2"/>
        <v>0.32660105081999996</v>
      </c>
      <c r="D11" s="1">
        <v>1.6500000000000001E-2</v>
      </c>
      <c r="E11" s="1">
        <v>1.41E-2</v>
      </c>
      <c r="F11">
        <f t="shared" si="3"/>
        <v>84.919669999999996</v>
      </c>
      <c r="G11">
        <f t="shared" si="4"/>
        <v>-0.76919999999999999</v>
      </c>
      <c r="H11">
        <f t="shared" si="0"/>
        <v>-65.320210163999988</v>
      </c>
      <c r="I11">
        <v>1</v>
      </c>
      <c r="J11">
        <f t="shared" si="5"/>
        <v>-2.4660495281649948</v>
      </c>
      <c r="K11">
        <f t="shared" si="6"/>
        <v>-0.45252515177521746</v>
      </c>
      <c r="M11">
        <f t="shared" si="9"/>
        <v>0.42644166156140872</v>
      </c>
      <c r="N11">
        <f t="shared" si="12"/>
        <v>7.0058727749999997E-3</v>
      </c>
      <c r="O11">
        <f t="shared" si="10"/>
        <v>5.986836734999999E-3</v>
      </c>
      <c r="P11">
        <f t="shared" si="11"/>
        <v>1.3090780703808738E-2</v>
      </c>
      <c r="V11">
        <v>-5.3</v>
      </c>
      <c r="W11">
        <f t="shared" si="8"/>
        <v>-0.32696999999999998</v>
      </c>
    </row>
    <row r="12" spans="1:23" x14ac:dyDescent="0.3">
      <c r="A12">
        <v>0.47551664999999999</v>
      </c>
      <c r="B12">
        <v>0.76319999999999999</v>
      </c>
      <c r="C12">
        <f t="shared" si="2"/>
        <v>0.36291430727999996</v>
      </c>
      <c r="D12" s="1">
        <v>1.6500000000000001E-2</v>
      </c>
      <c r="E12" s="1">
        <v>1.41E-2</v>
      </c>
      <c r="F12">
        <f t="shared" si="3"/>
        <v>95.10333</v>
      </c>
      <c r="G12">
        <f t="shared" si="4"/>
        <v>-0.76319999999999999</v>
      </c>
      <c r="H12">
        <f t="shared" si="0"/>
        <v>-72.582861455999989</v>
      </c>
      <c r="I12">
        <v>1</v>
      </c>
      <c r="J12">
        <f t="shared" si="5"/>
        <v>-2.3527912942709595</v>
      </c>
      <c r="K12">
        <f t="shared" si="6"/>
        <v>-0.45852515177521747</v>
      </c>
      <c r="M12">
        <f t="shared" si="9"/>
        <v>0.43041702557108935</v>
      </c>
      <c r="N12">
        <f t="shared" si="12"/>
        <v>7.8460247249999993E-3</v>
      </c>
      <c r="O12">
        <f t="shared" si="10"/>
        <v>6.7047847650000001E-3</v>
      </c>
      <c r="P12">
        <f t="shared" si="11"/>
        <v>1.3557316714128118E-2</v>
      </c>
      <c r="V12">
        <v>-5.2</v>
      </c>
      <c r="W12">
        <f t="shared" si="8"/>
        <v>-0.33048</v>
      </c>
    </row>
    <row r="13" spans="1:23" x14ac:dyDescent="0.3">
      <c r="A13">
        <v>0.52592585000000003</v>
      </c>
      <c r="B13">
        <v>0.75721000000000005</v>
      </c>
      <c r="C13">
        <f t="shared" si="2"/>
        <v>0.39823631287850003</v>
      </c>
      <c r="D13" s="1">
        <v>1.6500000000000001E-2</v>
      </c>
      <c r="E13" s="1">
        <v>1.41E-2</v>
      </c>
      <c r="F13">
        <f t="shared" si="3"/>
        <v>105.18517</v>
      </c>
      <c r="G13">
        <f t="shared" si="4"/>
        <v>-0.75721000000000005</v>
      </c>
      <c r="H13">
        <f t="shared" si="0"/>
        <v>-79.647262575700012</v>
      </c>
      <c r="I13">
        <v>1</v>
      </c>
      <c r="J13">
        <f t="shared" si="5"/>
        <v>-2.2520329581974221</v>
      </c>
      <c r="K13">
        <f t="shared" si="6"/>
        <v>-0.46451515177521741</v>
      </c>
      <c r="M13">
        <f t="shared" si="9"/>
        <v>0.43395364316727048</v>
      </c>
      <c r="N13">
        <f t="shared" si="12"/>
        <v>8.6777765250000017E-3</v>
      </c>
      <c r="O13">
        <f t="shared" si="10"/>
        <v>7.4155544850000006E-3</v>
      </c>
      <c r="P13">
        <f t="shared" si="11"/>
        <v>1.446817759794693E-2</v>
      </c>
      <c r="V13">
        <v>-5.0999999999999996</v>
      </c>
      <c r="W13">
        <f t="shared" si="8"/>
        <v>-0.33399000000000001</v>
      </c>
    </row>
    <row r="14" spans="1:23" x14ac:dyDescent="0.3">
      <c r="A14">
        <v>0.57633499999999993</v>
      </c>
      <c r="B14">
        <v>0.75134999999999996</v>
      </c>
      <c r="C14">
        <f t="shared" si="2"/>
        <v>0.43302930224999991</v>
      </c>
      <c r="D14" s="1">
        <v>1.6500000000000001E-2</v>
      </c>
      <c r="E14" s="1">
        <v>1.41E-2</v>
      </c>
      <c r="F14">
        <f t="shared" si="3"/>
        <v>115.26699999999998</v>
      </c>
      <c r="G14">
        <f t="shared" si="4"/>
        <v>-0.75134999999999996</v>
      </c>
      <c r="H14">
        <f t="shared" si="0"/>
        <v>-86.60586044999998</v>
      </c>
      <c r="I14">
        <v>1</v>
      </c>
      <c r="J14">
        <f t="shared" si="5"/>
        <v>-2.1605041025602412</v>
      </c>
      <c r="K14">
        <f t="shared" si="6"/>
        <v>-0.47037515177521749</v>
      </c>
      <c r="M14">
        <f t="shared" si="9"/>
        <v>0.43716630600013556</v>
      </c>
      <c r="N14">
        <f t="shared" si="12"/>
        <v>9.5095275E-3</v>
      </c>
      <c r="O14">
        <f t="shared" si="10"/>
        <v>8.1263234999999993E-3</v>
      </c>
      <c r="P14">
        <f t="shared" si="11"/>
        <v>1.5572994775081931E-2</v>
      </c>
      <c r="V14">
        <v>-5</v>
      </c>
      <c r="W14">
        <f t="shared" si="8"/>
        <v>-0.33750000000000002</v>
      </c>
    </row>
    <row r="15" spans="1:23" x14ac:dyDescent="0.3">
      <c r="A15">
        <v>0.62929000000000002</v>
      </c>
      <c r="B15">
        <v>0.74577000000000004</v>
      </c>
      <c r="C15">
        <f t="shared" si="2"/>
        <v>0.46930560330000004</v>
      </c>
      <c r="D15" s="1">
        <v>1.6500000000000001E-2</v>
      </c>
      <c r="E15" s="1">
        <v>1.41E-2</v>
      </c>
      <c r="F15">
        <f t="shared" si="3"/>
        <v>125.858</v>
      </c>
      <c r="G15">
        <f t="shared" si="4"/>
        <v>-0.74577000000000004</v>
      </c>
      <c r="H15">
        <f t="shared" si="0"/>
        <v>-93.861120660000012</v>
      </c>
      <c r="I15">
        <v>1</v>
      </c>
      <c r="J15">
        <f t="shared" si="5"/>
        <v>-2.0726009916817829</v>
      </c>
      <c r="K15">
        <f t="shared" si="6"/>
        <v>-0.47595515177521741</v>
      </c>
      <c r="M15">
        <f t="shared" si="9"/>
        <v>0.44025170519196943</v>
      </c>
      <c r="N15">
        <f t="shared" si="12"/>
        <v>1.0383285000000001E-2</v>
      </c>
      <c r="O15">
        <f t="shared" si="10"/>
        <v>8.8729889999999995E-3</v>
      </c>
      <c r="P15">
        <f t="shared" si="11"/>
        <v>1.6447172583247981E-2</v>
      </c>
      <c r="V15">
        <v>-4.9000000000000004</v>
      </c>
      <c r="W15">
        <f t="shared" si="8"/>
        <v>-0.34101000000000004</v>
      </c>
    </row>
    <row r="16" spans="1:23" x14ac:dyDescent="0.3">
      <c r="A16">
        <v>0.67969915000000003</v>
      </c>
      <c r="B16">
        <v>0.74031000000000002</v>
      </c>
      <c r="C16">
        <f t="shared" si="2"/>
        <v>0.50318807773649998</v>
      </c>
      <c r="D16" s="1">
        <v>1.6500000000000001E-2</v>
      </c>
      <c r="E16" s="1">
        <v>1.41E-2</v>
      </c>
      <c r="F16">
        <f t="shared" si="3"/>
        <v>135.93983</v>
      </c>
      <c r="G16">
        <f t="shared" si="4"/>
        <v>-0.74031000000000002</v>
      </c>
      <c r="H16">
        <f t="shared" si="0"/>
        <v>-100.6376155473</v>
      </c>
      <c r="I16">
        <v>1</v>
      </c>
      <c r="J16">
        <f t="shared" si="5"/>
        <v>-1.9955429176161408</v>
      </c>
      <c r="K16">
        <f t="shared" si="6"/>
        <v>-0.48141515177521743</v>
      </c>
      <c r="M16">
        <f t="shared" si="9"/>
        <v>0.44295644359167347</v>
      </c>
      <c r="N16">
        <f t="shared" si="12"/>
        <v>1.1215035975000001E-2</v>
      </c>
      <c r="O16">
        <f t="shared" si="10"/>
        <v>9.5837580150000008E-3</v>
      </c>
      <c r="P16">
        <f t="shared" si="11"/>
        <v>1.7659914193543964E-2</v>
      </c>
      <c r="V16">
        <v>-4.8</v>
      </c>
      <c r="W16">
        <f t="shared" si="8"/>
        <v>-0.34452000000000005</v>
      </c>
    </row>
    <row r="17" spans="1:23" x14ac:dyDescent="0.3">
      <c r="A17">
        <v>0.73163584999999998</v>
      </c>
      <c r="B17">
        <v>0.73470000000000002</v>
      </c>
      <c r="C17">
        <f t="shared" si="2"/>
        <v>0.53753285899500003</v>
      </c>
      <c r="D17" s="1">
        <v>1.6500000000000001E-2</v>
      </c>
      <c r="E17" s="1">
        <v>1.41E-2</v>
      </c>
      <c r="F17">
        <f t="shared" si="3"/>
        <v>146.32717</v>
      </c>
      <c r="G17">
        <f t="shared" si="4"/>
        <v>-0.73470000000000002</v>
      </c>
      <c r="H17">
        <f t="shared" si="0"/>
        <v>-107.506571799</v>
      </c>
      <c r="I17">
        <v>1</v>
      </c>
      <c r="J17">
        <f t="shared" si="5"/>
        <v>-1.9219102739131073</v>
      </c>
      <c r="K17">
        <f t="shared" si="6"/>
        <v>-0.48702515177521744</v>
      </c>
      <c r="M17">
        <f t="shared" si="9"/>
        <v>0.44554094938564992</v>
      </c>
      <c r="N17">
        <f t="shared" si="12"/>
        <v>1.2071991525000001E-2</v>
      </c>
      <c r="O17">
        <f t="shared" si="10"/>
        <v>1.0316065484999999E-2</v>
      </c>
      <c r="P17">
        <f t="shared" si="11"/>
        <v>1.9096145379567518E-2</v>
      </c>
      <c r="V17">
        <v>-4.7</v>
      </c>
      <c r="W17">
        <f t="shared" si="8"/>
        <v>-0.34803000000000001</v>
      </c>
    </row>
    <row r="18" spans="1:23" x14ac:dyDescent="0.3">
      <c r="A18">
        <v>0.78255419999999998</v>
      </c>
      <c r="B18">
        <v>0.72989999999999999</v>
      </c>
      <c r="C18">
        <f t="shared" si="2"/>
        <v>0.57118631058000002</v>
      </c>
      <c r="D18" s="1">
        <v>1.6500000000000001E-2</v>
      </c>
      <c r="E18" s="1">
        <v>1.41E-2</v>
      </c>
      <c r="F18">
        <f t="shared" si="3"/>
        <v>156.51084</v>
      </c>
      <c r="G18">
        <f t="shared" si="4"/>
        <v>-0.72989999999999999</v>
      </c>
      <c r="H18">
        <f t="shared" si="0"/>
        <v>-114.23726211600001</v>
      </c>
      <c r="I18">
        <v>1</v>
      </c>
      <c r="J18">
        <f t="shared" si="5"/>
        <v>-1.8546300062249317</v>
      </c>
      <c r="K18">
        <f t="shared" si="6"/>
        <v>-0.49182515177521746</v>
      </c>
      <c r="M18">
        <f t="shared" si="9"/>
        <v>0.4479024867815049</v>
      </c>
      <c r="N18">
        <f t="shared" si="12"/>
        <v>1.2912144300000001E-2</v>
      </c>
      <c r="O18">
        <f t="shared" si="10"/>
        <v>1.1034014219999999E-2</v>
      </c>
      <c r="P18">
        <f t="shared" si="11"/>
        <v>1.9976506473712557E-2</v>
      </c>
      <c r="V18">
        <v>-4.5999999999999996</v>
      </c>
      <c r="W18">
        <f t="shared" si="8"/>
        <v>-0.35154000000000002</v>
      </c>
    </row>
    <row r="19" spans="1:23" x14ac:dyDescent="0.3">
      <c r="A19">
        <v>0.83500004999999999</v>
      </c>
      <c r="B19">
        <v>0.72438999999999998</v>
      </c>
      <c r="C19">
        <f t="shared" si="2"/>
        <v>0.60486568621949999</v>
      </c>
      <c r="D19" s="1">
        <v>1.6500000000000001E-2</v>
      </c>
      <c r="E19" s="1">
        <v>1.41E-2</v>
      </c>
      <c r="F19">
        <f t="shared" si="3"/>
        <v>167.00001</v>
      </c>
      <c r="G19">
        <f t="shared" si="4"/>
        <v>-0.72438999999999998</v>
      </c>
      <c r="H19">
        <f t="shared" si="0"/>
        <v>-120.9731372439</v>
      </c>
      <c r="I19">
        <v>1</v>
      </c>
      <c r="J19">
        <f t="shared" si="5"/>
        <v>-1.7897614066851442</v>
      </c>
      <c r="K19">
        <f t="shared" si="6"/>
        <v>-0.49733515177521748</v>
      </c>
      <c r="M19">
        <f t="shared" si="9"/>
        <v>0.45017937462535146</v>
      </c>
      <c r="N19">
        <f t="shared" si="12"/>
        <v>1.3777500825E-2</v>
      </c>
      <c r="O19">
        <f t="shared" si="10"/>
        <v>1.1773500705E-2</v>
      </c>
      <c r="P19">
        <f t="shared" si="11"/>
        <v>2.1604775619866019E-2</v>
      </c>
      <c r="V19">
        <v>-4.5000000000000098</v>
      </c>
      <c r="W19">
        <f t="shared" si="8"/>
        <v>-0.35504999999999964</v>
      </c>
    </row>
    <row r="20" spans="1:23" x14ac:dyDescent="0.3">
      <c r="A20">
        <v>0.88693674999999994</v>
      </c>
      <c r="B20">
        <v>0.71955999999999998</v>
      </c>
      <c r="C20">
        <f t="shared" si="2"/>
        <v>0.63820420782999998</v>
      </c>
      <c r="D20" s="1">
        <v>1.6500000000000001E-2</v>
      </c>
      <c r="E20" s="1">
        <v>1.41E-2</v>
      </c>
      <c r="F20">
        <f t="shared" si="3"/>
        <v>177.38735</v>
      </c>
      <c r="G20">
        <f t="shared" si="4"/>
        <v>-0.71955999999999998</v>
      </c>
      <c r="H20">
        <f t="shared" si="0"/>
        <v>-127.64084156599999</v>
      </c>
      <c r="I20">
        <v>1</v>
      </c>
      <c r="J20">
        <f t="shared" si="5"/>
        <v>-1.7294195194282089</v>
      </c>
      <c r="K20">
        <f t="shared" si="6"/>
        <v>-0.50216515177521748</v>
      </c>
      <c r="M20">
        <f t="shared" si="9"/>
        <v>0.45229737486806987</v>
      </c>
      <c r="N20">
        <f t="shared" si="12"/>
        <v>1.4634456375E-2</v>
      </c>
      <c r="O20">
        <f t="shared" si="10"/>
        <v>1.2505808174999999E-2</v>
      </c>
      <c r="P20">
        <f t="shared" si="11"/>
        <v>2.2727512357147608E-2</v>
      </c>
      <c r="V20">
        <v>-4.4000000000000101</v>
      </c>
      <c r="W20">
        <f t="shared" si="8"/>
        <v>-0.35855999999999966</v>
      </c>
    </row>
    <row r="21" spans="1:23" x14ac:dyDescent="0.3">
      <c r="A21">
        <v>0.94091015</v>
      </c>
      <c r="B21">
        <v>0.71445999999999998</v>
      </c>
      <c r="C21">
        <f t="shared" si="2"/>
        <v>0.67224266576899994</v>
      </c>
      <c r="D21" s="1">
        <v>1.6500000000000001E-2</v>
      </c>
      <c r="E21" s="1">
        <v>1.41E-2</v>
      </c>
      <c r="F21">
        <f t="shared" si="3"/>
        <v>188.18203</v>
      </c>
      <c r="G21">
        <f t="shared" si="4"/>
        <v>-0.71445999999999998</v>
      </c>
      <c r="H21">
        <f t="shared" si="0"/>
        <v>-134.44853315379999</v>
      </c>
      <c r="I21">
        <v>1</v>
      </c>
      <c r="J21">
        <f t="shared" si="5"/>
        <v>-1.6703455399178615</v>
      </c>
      <c r="K21">
        <f t="shared" si="6"/>
        <v>-0.50726515177521747</v>
      </c>
      <c r="M21">
        <f t="shared" si="9"/>
        <v>0.45437087154888306</v>
      </c>
      <c r="N21">
        <f t="shared" si="12"/>
        <v>1.5525017475000001E-2</v>
      </c>
      <c r="O21">
        <f t="shared" si="10"/>
        <v>1.3266833115E-2</v>
      </c>
      <c r="P21">
        <f t="shared" si="11"/>
        <v>2.410242963633441E-2</v>
      </c>
      <c r="V21">
        <v>-4.3000000000000096</v>
      </c>
      <c r="W21">
        <f t="shared" si="8"/>
        <v>-0.36206999999999967</v>
      </c>
    </row>
    <row r="22" spans="1:23" x14ac:dyDescent="0.3">
      <c r="A22">
        <v>0.99182855000000003</v>
      </c>
      <c r="B22">
        <v>0.70957000000000003</v>
      </c>
      <c r="C22">
        <f t="shared" si="2"/>
        <v>0.70377178422350006</v>
      </c>
      <c r="D22" s="1">
        <v>1.6500000000000001E-2</v>
      </c>
      <c r="E22" s="1">
        <v>1.41E-2</v>
      </c>
      <c r="F22">
        <f t="shared" si="3"/>
        <v>198.36571000000001</v>
      </c>
      <c r="G22">
        <f t="shared" si="4"/>
        <v>-0.70957000000000003</v>
      </c>
      <c r="H22">
        <f t="shared" si="0"/>
        <v>-140.7543568447</v>
      </c>
      <c r="I22">
        <v>1</v>
      </c>
      <c r="J22">
        <f t="shared" si="5"/>
        <v>-1.6176429317299406</v>
      </c>
      <c r="K22">
        <f t="shared" si="6"/>
        <v>-0.51215515177521742</v>
      </c>
      <c r="M22">
        <f t="shared" si="9"/>
        <v>0.45622073309627909</v>
      </c>
      <c r="N22">
        <f t="shared" si="12"/>
        <v>1.6365171075000001E-2</v>
      </c>
      <c r="O22">
        <f t="shared" si="10"/>
        <v>1.3984782555E-2</v>
      </c>
      <c r="P22">
        <f t="shared" si="11"/>
        <v>2.5584465048938333E-2</v>
      </c>
      <c r="V22">
        <v>-4.2000000000000099</v>
      </c>
      <c r="W22">
        <f t="shared" si="8"/>
        <v>-0.36557999999999968</v>
      </c>
    </row>
    <row r="23" spans="1:23" x14ac:dyDescent="0.3">
      <c r="A23">
        <v>1.0422377</v>
      </c>
      <c r="B23">
        <v>0.70511999999999997</v>
      </c>
      <c r="C23">
        <f t="shared" si="2"/>
        <v>0.73490264702399999</v>
      </c>
      <c r="D23" s="1">
        <v>1.6500000000000001E-2</v>
      </c>
      <c r="E23" s="1">
        <v>1.41E-2</v>
      </c>
      <c r="F23">
        <f t="shared" si="3"/>
        <v>208.44754</v>
      </c>
      <c r="G23">
        <f t="shared" si="4"/>
        <v>-0.70511999999999997</v>
      </c>
      <c r="H23">
        <f t="shared" si="0"/>
        <v>-146.9805294048</v>
      </c>
      <c r="I23">
        <v>1</v>
      </c>
      <c r="J23">
        <f t="shared" si="5"/>
        <v>-1.568067876116189</v>
      </c>
      <c r="K23">
        <f t="shared" si="6"/>
        <v>-0.51660515177521749</v>
      </c>
      <c r="M23">
        <f t="shared" si="9"/>
        <v>0.4579608175483218</v>
      </c>
      <c r="N23">
        <f t="shared" si="12"/>
        <v>1.7196922050000001E-2</v>
      </c>
      <c r="O23">
        <f t="shared" si="10"/>
        <v>1.469555157E-2</v>
      </c>
      <c r="P23">
        <f t="shared" si="11"/>
        <v>2.6751860606895689E-2</v>
      </c>
      <c r="V23">
        <v>-4.1000000000000103</v>
      </c>
      <c r="W23">
        <f t="shared" si="8"/>
        <v>-0.36908999999999964</v>
      </c>
    </row>
    <row r="24" spans="1:23" x14ac:dyDescent="0.3">
      <c r="A24">
        <v>1.0951927000000001</v>
      </c>
      <c r="B24">
        <v>0.70026999999999995</v>
      </c>
      <c r="C24">
        <f t="shared" si="2"/>
        <v>0.76693059202900005</v>
      </c>
      <c r="D24" s="1">
        <v>1.6500000000000001E-2</v>
      </c>
      <c r="E24" s="1">
        <v>1.41E-2</v>
      </c>
      <c r="F24">
        <f t="shared" si="3"/>
        <v>219.03854000000001</v>
      </c>
      <c r="G24">
        <f t="shared" si="4"/>
        <v>-0.70026999999999995</v>
      </c>
      <c r="H24">
        <f t="shared" si="0"/>
        <v>-153.3861184058</v>
      </c>
      <c r="I24">
        <v>1</v>
      </c>
      <c r="J24">
        <f t="shared" si="5"/>
        <v>-1.5185075829134456</v>
      </c>
      <c r="K24">
        <f t="shared" si="6"/>
        <v>-0.52145515177521751</v>
      </c>
      <c r="M24">
        <f t="shared" si="9"/>
        <v>0.4597003838397381</v>
      </c>
      <c r="N24">
        <f t="shared" si="12"/>
        <v>1.8070679550000003E-2</v>
      </c>
      <c r="O24">
        <f t="shared" si="10"/>
        <v>1.5442217070000002E-2</v>
      </c>
      <c r="P24">
        <f t="shared" si="11"/>
        <v>2.8241871315479401E-2</v>
      </c>
      <c r="V24">
        <v>-4.0000000000000098</v>
      </c>
      <c r="W24">
        <f t="shared" si="8"/>
        <v>-0.37259999999999971</v>
      </c>
    </row>
    <row r="25" spans="1:23" x14ac:dyDescent="0.3">
      <c r="A25">
        <v>1.1471295000000001</v>
      </c>
      <c r="B25">
        <v>0.69594</v>
      </c>
      <c r="C25">
        <f t="shared" si="2"/>
        <v>0.79833330423000015</v>
      </c>
      <c r="D25" s="1">
        <v>1.6500000000000001E-2</v>
      </c>
      <c r="E25" s="1">
        <v>1.41E-2</v>
      </c>
      <c r="F25">
        <f t="shared" si="3"/>
        <v>229.42590000000001</v>
      </c>
      <c r="G25">
        <f t="shared" si="4"/>
        <v>-0.69594</v>
      </c>
      <c r="H25">
        <f t="shared" si="0"/>
        <v>-159.66666084600004</v>
      </c>
      <c r="I25">
        <v>1</v>
      </c>
      <c r="J25">
        <f t="shared" si="5"/>
        <v>-1.4721751774341498</v>
      </c>
      <c r="K25">
        <f t="shared" si="6"/>
        <v>-0.52578515177521745</v>
      </c>
      <c r="M25">
        <f t="shared" si="9"/>
        <v>0.46132665127206135</v>
      </c>
      <c r="N25">
        <f t="shared" si="12"/>
        <v>1.8927636750000004E-2</v>
      </c>
      <c r="O25">
        <f t="shared" si="10"/>
        <v>1.6174525950000001E-2</v>
      </c>
      <c r="P25">
        <f t="shared" si="11"/>
        <v>2.9356337803156097E-2</v>
      </c>
      <c r="V25">
        <v>-3.9000000000000101</v>
      </c>
      <c r="W25">
        <f t="shared" si="8"/>
        <v>-0.37610999999999967</v>
      </c>
    </row>
    <row r="26" spans="1:23" x14ac:dyDescent="0.3">
      <c r="A26">
        <v>1.1995753</v>
      </c>
      <c r="B26">
        <v>0.69120000000000004</v>
      </c>
      <c r="C26">
        <f t="shared" si="2"/>
        <v>0.82914644736000009</v>
      </c>
      <c r="D26" s="1">
        <v>1.6500000000000001E-2</v>
      </c>
      <c r="E26" s="1">
        <v>1.41E-2</v>
      </c>
      <c r="F26">
        <f t="shared" si="3"/>
        <v>239.91506000000001</v>
      </c>
      <c r="G26">
        <f t="shared" si="4"/>
        <v>-0.69120000000000004</v>
      </c>
      <c r="H26">
        <f t="shared" si="0"/>
        <v>-165.82928947200003</v>
      </c>
      <c r="I26">
        <v>1</v>
      </c>
      <c r="J26">
        <f t="shared" si="5"/>
        <v>-1.4274703349500966</v>
      </c>
      <c r="K26">
        <f t="shared" si="6"/>
        <v>-0.53052515177521742</v>
      </c>
      <c r="M26">
        <f t="shared" si="9"/>
        <v>0.46289579124325164</v>
      </c>
      <c r="N26">
        <f t="shared" si="12"/>
        <v>1.9792992450000001E-2</v>
      </c>
      <c r="O26">
        <f t="shared" si="10"/>
        <v>1.6914011730000001E-2</v>
      </c>
      <c r="P26">
        <f t="shared" si="11"/>
        <v>3.0922356351965771E-2</v>
      </c>
      <c r="V26">
        <v>-3.80000000000001</v>
      </c>
      <c r="W26">
        <f t="shared" si="8"/>
        <v>-0.37961999999999962</v>
      </c>
    </row>
    <row r="27" spans="1:23" x14ac:dyDescent="0.3">
      <c r="A27">
        <v>1.2510029</v>
      </c>
      <c r="B27">
        <v>0.68669999999999998</v>
      </c>
      <c r="C27">
        <f t="shared" si="2"/>
        <v>0.85906369142999994</v>
      </c>
      <c r="D27" s="1">
        <v>1.6500000000000001E-2</v>
      </c>
      <c r="E27" s="1">
        <v>1.41E-2</v>
      </c>
      <c r="F27">
        <f t="shared" si="3"/>
        <v>250.20058</v>
      </c>
      <c r="G27">
        <f t="shared" si="4"/>
        <v>-0.68669999999999998</v>
      </c>
      <c r="H27">
        <f t="shared" si="0"/>
        <v>-171.81273828599998</v>
      </c>
      <c r="I27">
        <v>1</v>
      </c>
      <c r="J27">
        <f t="shared" si="5"/>
        <v>-1.3854923628065297</v>
      </c>
      <c r="K27">
        <f t="shared" si="6"/>
        <v>-0.53502515177521748</v>
      </c>
      <c r="M27">
        <f t="shared" si="9"/>
        <v>0.46436921806549081</v>
      </c>
      <c r="N27">
        <f t="shared" si="12"/>
        <v>2.0641547850000001E-2</v>
      </c>
      <c r="O27">
        <f t="shared" si="10"/>
        <v>1.7639140889999998E-2</v>
      </c>
      <c r="P27">
        <f t="shared" si="11"/>
        <v>3.2375244969726671E-2</v>
      </c>
      <c r="V27">
        <v>-3.7000000000000099</v>
      </c>
      <c r="W27">
        <f t="shared" si="8"/>
        <v>-0.38312999999999964</v>
      </c>
    </row>
    <row r="28" spans="1:23" x14ac:dyDescent="0.3">
      <c r="A28">
        <v>1.3024303000000002</v>
      </c>
      <c r="B28">
        <v>0.68233999999999995</v>
      </c>
      <c r="C28">
        <f t="shared" si="2"/>
        <v>0.88870029090199998</v>
      </c>
      <c r="D28" s="1">
        <v>1.6500000000000001E-2</v>
      </c>
      <c r="E28" s="1">
        <v>1.41E-2</v>
      </c>
      <c r="F28">
        <f t="shared" si="3"/>
        <v>260.48606000000001</v>
      </c>
      <c r="G28">
        <f t="shared" si="4"/>
        <v>-0.68233999999999995</v>
      </c>
      <c r="H28">
        <f t="shared" si="0"/>
        <v>-177.74005818039998</v>
      </c>
      <c r="I28">
        <v>1</v>
      </c>
      <c r="J28">
        <f t="shared" si="5"/>
        <v>-1.3452059316965668</v>
      </c>
      <c r="K28">
        <f t="shared" si="6"/>
        <v>-0.53938515177521751</v>
      </c>
      <c r="M28">
        <f t="shared" si="9"/>
        <v>0.46578327179745049</v>
      </c>
      <c r="N28">
        <f t="shared" si="12"/>
        <v>2.1490099950000004E-2</v>
      </c>
      <c r="O28">
        <f t="shared" si="10"/>
        <v>1.8364267230000002E-2</v>
      </c>
      <c r="P28">
        <f t="shared" si="11"/>
        <v>3.3747512797767006E-2</v>
      </c>
      <c r="V28">
        <v>-3.6000000000000099</v>
      </c>
      <c r="W28">
        <f t="shared" si="8"/>
        <v>-0.38663999999999965</v>
      </c>
    </row>
    <row r="29" spans="1:23" x14ac:dyDescent="0.3">
      <c r="A29">
        <v>1.3553854000000001</v>
      </c>
      <c r="B29">
        <v>0.67818000000000001</v>
      </c>
      <c r="C29">
        <f t="shared" si="2"/>
        <v>0.91919527057200001</v>
      </c>
      <c r="D29" s="1">
        <v>1.6500000000000001E-2</v>
      </c>
      <c r="E29" s="1">
        <v>1.41E-2</v>
      </c>
      <c r="F29">
        <f t="shared" si="3"/>
        <v>271.07708000000002</v>
      </c>
      <c r="G29">
        <f t="shared" si="4"/>
        <v>-0.67818000000000001</v>
      </c>
      <c r="H29">
        <f t="shared" si="0"/>
        <v>-183.8390541144</v>
      </c>
      <c r="I29">
        <v>1</v>
      </c>
      <c r="J29">
        <f t="shared" si="5"/>
        <v>-1.3053520705001433</v>
      </c>
      <c r="K29">
        <f t="shared" si="6"/>
        <v>-0.54354515177521745</v>
      </c>
      <c r="M29">
        <f t="shared" si="9"/>
        <v>0.46718214232544497</v>
      </c>
      <c r="N29">
        <f t="shared" si="12"/>
        <v>2.2363859100000001E-2</v>
      </c>
      <c r="O29">
        <f t="shared" si="10"/>
        <v>1.9110934140000001E-2</v>
      </c>
      <c r="P29">
        <f t="shared" si="11"/>
        <v>3.4888216209772477E-2</v>
      </c>
      <c r="V29">
        <v>-3.5000000000000102</v>
      </c>
      <c r="W29">
        <f t="shared" si="8"/>
        <v>-0.39014999999999966</v>
      </c>
    </row>
    <row r="30" spans="1:23" x14ac:dyDescent="0.3">
      <c r="A30">
        <v>1.4093587999999999</v>
      </c>
      <c r="B30">
        <v>0.67349000000000003</v>
      </c>
      <c r="C30">
        <f t="shared" si="2"/>
        <v>0.94918905821199995</v>
      </c>
      <c r="D30" s="1">
        <v>1.6500000000000001E-2</v>
      </c>
      <c r="E30" s="1">
        <v>1.41E-2</v>
      </c>
      <c r="F30">
        <f t="shared" si="3"/>
        <v>281.87175999999999</v>
      </c>
      <c r="G30">
        <f t="shared" si="4"/>
        <v>-0.67349000000000003</v>
      </c>
      <c r="H30">
        <f t="shared" si="0"/>
        <v>-189.8378116424</v>
      </c>
      <c r="I30">
        <v>1</v>
      </c>
      <c r="J30">
        <f t="shared" si="5"/>
        <v>-1.2663030632480188</v>
      </c>
      <c r="K30">
        <f t="shared" si="6"/>
        <v>-0.54823515177521742</v>
      </c>
      <c r="M30">
        <f t="shared" si="9"/>
        <v>0.46855276247999456</v>
      </c>
      <c r="N30">
        <f t="shared" si="12"/>
        <v>2.3254420200000001E-2</v>
      </c>
      <c r="O30">
        <f t="shared" si="10"/>
        <v>1.9871959079999998E-2</v>
      </c>
      <c r="P30">
        <f t="shared" si="11"/>
        <v>3.6556010015222865E-2</v>
      </c>
      <c r="V30">
        <v>-3.4000000000000101</v>
      </c>
      <c r="W30">
        <f t="shared" si="8"/>
        <v>-0.39365999999999968</v>
      </c>
    </row>
    <row r="31" spans="1:23" x14ac:dyDescent="0.3">
      <c r="A31">
        <v>1.4597677999999998</v>
      </c>
      <c r="B31">
        <v>0.66915000000000002</v>
      </c>
      <c r="C31">
        <f t="shared" si="2"/>
        <v>0.97680362336999993</v>
      </c>
      <c r="D31" s="1">
        <v>1.6500000000000001E-2</v>
      </c>
      <c r="E31" s="1">
        <v>1.41E-2</v>
      </c>
      <c r="F31">
        <f t="shared" si="3"/>
        <v>291.95355999999998</v>
      </c>
      <c r="G31">
        <f t="shared" si="4"/>
        <v>-0.66915000000000002</v>
      </c>
      <c r="H31">
        <f t="shared" si="0"/>
        <v>-195.36072467399998</v>
      </c>
      <c r="I31">
        <v>1</v>
      </c>
      <c r="J31">
        <f t="shared" si="5"/>
        <v>-1.2311605304581219</v>
      </c>
      <c r="K31">
        <f t="shared" si="6"/>
        <v>-0.55257515177521743</v>
      </c>
      <c r="M31">
        <f t="shared" si="9"/>
        <v>0.46978626538091994</v>
      </c>
      <c r="N31">
        <f t="shared" si="12"/>
        <v>2.4086168699999997E-2</v>
      </c>
      <c r="O31">
        <f t="shared" si="10"/>
        <v>2.0582725979999997E-2</v>
      </c>
      <c r="P31">
        <f t="shared" si="11"/>
        <v>3.8119991714297502E-2</v>
      </c>
      <c r="V31">
        <v>-3.30000000000001</v>
      </c>
      <c r="W31">
        <f t="shared" si="8"/>
        <v>-0.39716999999999969</v>
      </c>
    </row>
    <row r="32" spans="1:23" x14ac:dyDescent="0.3">
      <c r="A32">
        <v>1.5117046999999999</v>
      </c>
      <c r="B32">
        <v>0.66498999999999997</v>
      </c>
      <c r="C32">
        <f t="shared" si="2"/>
        <v>1.005268508453</v>
      </c>
      <c r="D32" s="1">
        <v>1.6500000000000001E-2</v>
      </c>
      <c r="E32" s="1">
        <v>1.41E-2</v>
      </c>
      <c r="F32">
        <f t="shared" si="3"/>
        <v>302.34093999999999</v>
      </c>
      <c r="G32">
        <f t="shared" si="4"/>
        <v>-0.66498999999999997</v>
      </c>
      <c r="H32">
        <f t="shared" si="0"/>
        <v>-201.05370169060001</v>
      </c>
      <c r="I32">
        <v>1</v>
      </c>
      <c r="J32">
        <f t="shared" si="5"/>
        <v>-1.1961999579839186</v>
      </c>
      <c r="K32">
        <f t="shared" si="6"/>
        <v>-0.55673515177521748</v>
      </c>
      <c r="M32">
        <f t="shared" si="9"/>
        <v>0.47101338147476446</v>
      </c>
      <c r="N32">
        <f t="shared" si="12"/>
        <v>2.4943127549999999E-2</v>
      </c>
      <c r="O32">
        <f t="shared" si="10"/>
        <v>2.1315036269999997E-2</v>
      </c>
      <c r="P32">
        <f t="shared" si="11"/>
        <v>3.946360648045303E-2</v>
      </c>
      <c r="V32">
        <v>-3.2000000000000099</v>
      </c>
      <c r="W32">
        <f t="shared" si="8"/>
        <v>-0.40067999999999965</v>
      </c>
    </row>
    <row r="33" spans="1:23" x14ac:dyDescent="0.3">
      <c r="A33">
        <v>1.5631322000000001</v>
      </c>
      <c r="B33">
        <v>0.66098000000000001</v>
      </c>
      <c r="C33">
        <f t="shared" si="2"/>
        <v>1.0331991215560001</v>
      </c>
      <c r="D33" s="1">
        <v>1.6500000000000001E-2</v>
      </c>
      <c r="E33" s="1">
        <v>1.41E-2</v>
      </c>
      <c r="F33">
        <f t="shared" si="3"/>
        <v>312.62644</v>
      </c>
      <c r="G33">
        <f t="shared" si="4"/>
        <v>-0.66098000000000001</v>
      </c>
      <c r="H33">
        <f t="shared" si="0"/>
        <v>-206.63982431120002</v>
      </c>
      <c r="I33">
        <v>1</v>
      </c>
      <c r="J33">
        <f t="shared" si="5"/>
        <v>-1.1627462836374252</v>
      </c>
      <c r="K33">
        <f t="shared" si="6"/>
        <v>-0.56074515177521744</v>
      </c>
      <c r="M33">
        <f t="shared" si="9"/>
        <v>0.47218760544432636</v>
      </c>
      <c r="N33">
        <f t="shared" si="12"/>
        <v>2.5791681300000001E-2</v>
      </c>
      <c r="O33">
        <f t="shared" si="10"/>
        <v>2.2040164019999999E-2</v>
      </c>
      <c r="P33">
        <f t="shared" si="11"/>
        <v>4.0725701010891069E-2</v>
      </c>
      <c r="V33">
        <v>-3.1000000000000099</v>
      </c>
      <c r="W33">
        <f t="shared" si="8"/>
        <v>-0.40418999999999966</v>
      </c>
    </row>
    <row r="34" spans="1:23" x14ac:dyDescent="0.3">
      <c r="A34">
        <v>1.6135413000000001</v>
      </c>
      <c r="B34">
        <v>0.65668000000000004</v>
      </c>
      <c r="C34">
        <f t="shared" si="2"/>
        <v>1.0595803008840001</v>
      </c>
      <c r="D34" s="1">
        <v>1.6500000000000001E-2</v>
      </c>
      <c r="E34" s="1">
        <v>1.41E-2</v>
      </c>
      <c r="F34">
        <f t="shared" si="3"/>
        <v>322.70826</v>
      </c>
      <c r="G34">
        <f t="shared" si="4"/>
        <v>-0.65668000000000004</v>
      </c>
      <c r="H34">
        <f t="shared" si="0"/>
        <v>-211.91606017680002</v>
      </c>
      <c r="I34">
        <v>1</v>
      </c>
      <c r="J34">
        <f t="shared" si="5"/>
        <v>-1.1310065837225225</v>
      </c>
      <c r="K34">
        <f t="shared" si="6"/>
        <v>-0.56504515177521741</v>
      </c>
      <c r="M34">
        <f t="shared" si="9"/>
        <v>0.47330166891133946</v>
      </c>
      <c r="N34">
        <f t="shared" si="12"/>
        <v>2.6623431450000002E-2</v>
      </c>
      <c r="O34">
        <f t="shared" si="10"/>
        <v>2.2750932330000001E-2</v>
      </c>
      <c r="P34">
        <f t="shared" si="11"/>
        <v>4.2369119083877957E-2</v>
      </c>
      <c r="V34">
        <v>-3.0000000000000102</v>
      </c>
      <c r="W34">
        <f t="shared" si="8"/>
        <v>-0.40769999999999967</v>
      </c>
    </row>
    <row r="35" spans="1:23" x14ac:dyDescent="0.3">
      <c r="A35">
        <v>1.6649688</v>
      </c>
      <c r="B35">
        <v>0.65256000000000003</v>
      </c>
      <c r="C35">
        <f t="shared" si="2"/>
        <v>1.086492040128</v>
      </c>
      <c r="D35" s="1">
        <v>1.6500000000000001E-2</v>
      </c>
      <c r="E35" s="1">
        <v>1.41E-2</v>
      </c>
      <c r="F35">
        <f t="shared" si="3"/>
        <v>332.99376000000001</v>
      </c>
      <c r="G35">
        <f t="shared" si="4"/>
        <v>-0.65256000000000003</v>
      </c>
      <c r="H35">
        <f t="shared" si="0"/>
        <v>-217.2984080256</v>
      </c>
      <c r="I35">
        <v>1</v>
      </c>
      <c r="J35">
        <f t="shared" si="5"/>
        <v>-1.0996315279160043</v>
      </c>
      <c r="K35">
        <f t="shared" si="6"/>
        <v>-0.56916515177521743</v>
      </c>
      <c r="M35">
        <f t="shared" si="9"/>
        <v>0.47440293337014827</v>
      </c>
      <c r="N35">
        <f t="shared" si="12"/>
        <v>2.74719852E-2</v>
      </c>
      <c r="O35">
        <f t="shared" si="10"/>
        <v>2.347606008E-2</v>
      </c>
      <c r="P35">
        <f t="shared" si="11"/>
        <v>4.3814173125069161E-2</v>
      </c>
      <c r="V35">
        <v>-2.9000000000000101</v>
      </c>
      <c r="W35">
        <f t="shared" si="8"/>
        <v>-0.41120999999999963</v>
      </c>
    </row>
    <row r="36" spans="1:23" x14ac:dyDescent="0.3">
      <c r="A36">
        <v>1.7158872000000001</v>
      </c>
      <c r="B36">
        <v>0.64870000000000005</v>
      </c>
      <c r="C36">
        <f t="shared" si="2"/>
        <v>1.1130960266400001</v>
      </c>
      <c r="D36" s="1">
        <v>1.6500000000000001E-2</v>
      </c>
      <c r="E36" s="1">
        <v>1.41E-2</v>
      </c>
      <c r="F36">
        <f t="shared" si="3"/>
        <v>343.17743999999999</v>
      </c>
      <c r="G36">
        <f t="shared" si="4"/>
        <v>-0.64870000000000005</v>
      </c>
      <c r="H36">
        <f t="shared" si="0"/>
        <v>-222.61920532800002</v>
      </c>
      <c r="I36">
        <v>1</v>
      </c>
      <c r="J36">
        <f t="shared" si="5"/>
        <v>-1.0695076477946557</v>
      </c>
      <c r="K36">
        <f t="shared" si="6"/>
        <v>-0.5730251517752174</v>
      </c>
      <c r="M36">
        <f t="shared" si="9"/>
        <v>0.47546028156240761</v>
      </c>
      <c r="N36">
        <f t="shared" si="12"/>
        <v>2.8312138800000001E-2</v>
      </c>
      <c r="O36">
        <f t="shared" si="10"/>
        <v>2.419400952E-2</v>
      </c>
      <c r="P36">
        <f t="shared" si="11"/>
        <v>4.5058721892809794E-2</v>
      </c>
      <c r="V36">
        <v>-2.80000000000001</v>
      </c>
      <c r="W36">
        <f t="shared" si="8"/>
        <v>-0.41471999999999964</v>
      </c>
    </row>
    <row r="37" spans="1:23" x14ac:dyDescent="0.3">
      <c r="A37">
        <v>1.7703698000000001</v>
      </c>
      <c r="B37">
        <v>0.64456000000000002</v>
      </c>
      <c r="C37">
        <f t="shared" si="2"/>
        <v>1.1411095582880002</v>
      </c>
      <c r="D37" s="1">
        <v>1.6500000000000001E-2</v>
      </c>
      <c r="E37" s="1">
        <v>1.41E-2</v>
      </c>
      <c r="F37">
        <f t="shared" si="3"/>
        <v>354.07396</v>
      </c>
      <c r="G37">
        <f t="shared" si="4"/>
        <v>-0.64456000000000002</v>
      </c>
      <c r="H37">
        <f t="shared" si="0"/>
        <v>-228.22191165760003</v>
      </c>
      <c r="I37">
        <v>1</v>
      </c>
      <c r="J37">
        <f t="shared" si="5"/>
        <v>-1.0382494611168032</v>
      </c>
      <c r="K37">
        <f t="shared" si="6"/>
        <v>-0.57716515177521743</v>
      </c>
      <c r="M37">
        <f t="shared" si="9"/>
        <v>0.47655744391480021</v>
      </c>
      <c r="N37">
        <f t="shared" si="12"/>
        <v>2.9211101700000002E-2</v>
      </c>
      <c r="O37">
        <f t="shared" si="10"/>
        <v>2.4962214180000001E-2</v>
      </c>
      <c r="P37">
        <f t="shared" si="11"/>
        <v>4.6434391980417225E-2</v>
      </c>
      <c r="V37">
        <v>-2.7000000000000099</v>
      </c>
      <c r="W37">
        <f t="shared" si="8"/>
        <v>-0.41822999999999966</v>
      </c>
    </row>
    <row r="38" spans="1:23" x14ac:dyDescent="0.3">
      <c r="A38">
        <v>1.8212880999999999</v>
      </c>
      <c r="B38">
        <v>0.64037999999999995</v>
      </c>
      <c r="C38">
        <f t="shared" si="2"/>
        <v>1.1663164734779998</v>
      </c>
      <c r="D38" s="1">
        <v>1.6500000000000001E-2</v>
      </c>
      <c r="E38" s="1">
        <v>1.41E-2</v>
      </c>
      <c r="F38">
        <f t="shared" si="3"/>
        <v>364.25761999999997</v>
      </c>
      <c r="G38">
        <f t="shared" si="4"/>
        <v>-0.64037999999999995</v>
      </c>
      <c r="H38">
        <f t="shared" si="0"/>
        <v>-233.26329469559997</v>
      </c>
      <c r="I38">
        <v>1</v>
      </c>
      <c r="J38">
        <f t="shared" si="5"/>
        <v>-1.0098939144276271</v>
      </c>
      <c r="K38">
        <f t="shared" si="6"/>
        <v>-0.58134515177521751</v>
      </c>
      <c r="M38">
        <f t="shared" si="9"/>
        <v>0.4775527236035903</v>
      </c>
      <c r="N38">
        <f t="shared" si="12"/>
        <v>3.0051253649999998E-2</v>
      </c>
      <c r="O38">
        <f t="shared" si="10"/>
        <v>2.5680162209999996E-2</v>
      </c>
      <c r="P38">
        <f t="shared" si="11"/>
        <v>4.806101231162721E-2</v>
      </c>
      <c r="V38">
        <v>-2.6000000000000099</v>
      </c>
      <c r="W38">
        <f t="shared" si="8"/>
        <v>-0.42173999999999967</v>
      </c>
    </row>
    <row r="39" spans="1:23" x14ac:dyDescent="0.3">
      <c r="A39">
        <v>1.8737339</v>
      </c>
      <c r="B39">
        <v>0.63661999999999996</v>
      </c>
      <c r="C39">
        <f t="shared" si="2"/>
        <v>1.192856475418</v>
      </c>
      <c r="D39" s="1">
        <v>1.6500000000000001E-2</v>
      </c>
      <c r="E39" s="1">
        <v>1.41E-2</v>
      </c>
      <c r="F39">
        <f t="shared" si="3"/>
        <v>374.74678</v>
      </c>
      <c r="G39">
        <f t="shared" si="4"/>
        <v>-0.63661999999999996</v>
      </c>
      <c r="H39">
        <f t="shared" si="0"/>
        <v>-238.57129508360001</v>
      </c>
      <c r="I39">
        <v>1</v>
      </c>
      <c r="J39">
        <f t="shared" si="5"/>
        <v>-0.98150473443127473</v>
      </c>
      <c r="K39">
        <f t="shared" si="6"/>
        <v>-0.58510515177521749</v>
      </c>
      <c r="M39">
        <f t="shared" si="9"/>
        <v>0.47854918382146228</v>
      </c>
      <c r="N39">
        <f t="shared" si="12"/>
        <v>3.0916609350000002E-2</v>
      </c>
      <c r="O39">
        <f t="shared" si="10"/>
        <v>2.641964799E-2</v>
      </c>
      <c r="P39">
        <f t="shared" si="11"/>
        <v>4.9219710613755213E-2</v>
      </c>
      <c r="V39">
        <v>-2.5000000000000102</v>
      </c>
      <c r="W39">
        <f t="shared" si="8"/>
        <v>-0.42524999999999968</v>
      </c>
    </row>
    <row r="40" spans="1:23" x14ac:dyDescent="0.3">
      <c r="A40">
        <v>1.9251615000000002</v>
      </c>
      <c r="B40">
        <v>0.63229999999999997</v>
      </c>
      <c r="C40">
        <f t="shared" si="2"/>
        <v>1.2172796164500002</v>
      </c>
      <c r="D40" s="1">
        <v>1.6500000000000001E-2</v>
      </c>
      <c r="E40" s="1">
        <v>1.41E-2</v>
      </c>
      <c r="F40">
        <f t="shared" si="3"/>
        <v>385.03230000000002</v>
      </c>
      <c r="G40">
        <f t="shared" si="4"/>
        <v>-0.63229999999999997</v>
      </c>
      <c r="H40">
        <f t="shared" si="0"/>
        <v>-243.45592329000004</v>
      </c>
      <c r="I40">
        <v>1</v>
      </c>
      <c r="J40">
        <f t="shared" si="5"/>
        <v>-0.95442805210953807</v>
      </c>
      <c r="K40">
        <f t="shared" si="6"/>
        <v>-0.58942515177521748</v>
      </c>
      <c r="M40">
        <f t="shared" si="9"/>
        <v>0.47949957537095522</v>
      </c>
      <c r="N40">
        <f t="shared" si="12"/>
        <v>3.1765164750000005E-2</v>
      </c>
      <c r="O40">
        <f t="shared" si="10"/>
        <v>2.714477715E-2</v>
      </c>
      <c r="P40">
        <f t="shared" si="11"/>
        <v>5.1015634504262254E-2</v>
      </c>
      <c r="V40">
        <v>-2.4000000000000101</v>
      </c>
      <c r="W40">
        <f t="shared" si="8"/>
        <v>-0.42875999999999964</v>
      </c>
    </row>
    <row r="41" spans="1:23" x14ac:dyDescent="0.3">
      <c r="A41">
        <v>1.9760796999999999</v>
      </c>
      <c r="B41">
        <v>0.62895999999999996</v>
      </c>
      <c r="C41">
        <f t="shared" si="2"/>
        <v>1.2428750881119999</v>
      </c>
      <c r="D41" s="1">
        <v>1.6500000000000001E-2</v>
      </c>
      <c r="E41" s="1">
        <v>1.41E-2</v>
      </c>
      <c r="F41">
        <f t="shared" si="3"/>
        <v>395.21593999999999</v>
      </c>
      <c r="G41">
        <f t="shared" si="4"/>
        <v>-0.62895999999999996</v>
      </c>
      <c r="H41">
        <f t="shared" si="0"/>
        <v>-248.57501762239997</v>
      </c>
      <c r="I41">
        <v>1</v>
      </c>
      <c r="J41">
        <f t="shared" si="5"/>
        <v>-0.92832297991372137</v>
      </c>
      <c r="K41">
        <f t="shared" si="6"/>
        <v>-0.59276515177521749</v>
      </c>
      <c r="M41">
        <f t="shared" si="9"/>
        <v>0.4804158634050284</v>
      </c>
      <c r="N41">
        <f t="shared" si="12"/>
        <v>3.260531505E-2</v>
      </c>
      <c r="O41">
        <f t="shared" si="10"/>
        <v>2.7862723769999997E-2</v>
      </c>
      <c r="P41">
        <f t="shared" si="11"/>
        <v>5.1881249550189093E-2</v>
      </c>
      <c r="V41">
        <v>-2.30000000000001</v>
      </c>
      <c r="W41">
        <f t="shared" si="8"/>
        <v>-0.43226999999999965</v>
      </c>
    </row>
    <row r="42" spans="1:23" x14ac:dyDescent="0.3">
      <c r="A42">
        <v>2.0295440999999999</v>
      </c>
      <c r="B42">
        <v>0.62439999999999996</v>
      </c>
      <c r="C42">
        <f t="shared" si="2"/>
        <v>1.2672473360399998</v>
      </c>
      <c r="D42" s="1">
        <v>1.6500000000000001E-2</v>
      </c>
      <c r="E42" s="1">
        <v>1.41E-2</v>
      </c>
      <c r="F42">
        <f t="shared" si="3"/>
        <v>405.90881999999999</v>
      </c>
      <c r="G42">
        <f t="shared" si="4"/>
        <v>-0.62439999999999996</v>
      </c>
      <c r="H42">
        <f t="shared" si="0"/>
        <v>-253.44946720799996</v>
      </c>
      <c r="I42">
        <v>1</v>
      </c>
      <c r="J42">
        <f t="shared" si="5"/>
        <v>-0.9016267258833448</v>
      </c>
      <c r="K42">
        <f t="shared" si="6"/>
        <v>-0.5973251517752175</v>
      </c>
      <c r="M42">
        <f t="shared" si="9"/>
        <v>0.4813529019214946</v>
      </c>
      <c r="N42">
        <f t="shared" si="12"/>
        <v>3.348747765E-2</v>
      </c>
      <c r="O42">
        <f t="shared" si="10"/>
        <v>2.8616571809999998E-2</v>
      </c>
      <c r="P42">
        <f t="shared" si="11"/>
        <v>5.38682003937229E-2</v>
      </c>
      <c r="V42">
        <v>-2.2000000000000099</v>
      </c>
      <c r="W42">
        <f t="shared" si="8"/>
        <v>-0.43577999999999967</v>
      </c>
    </row>
    <row r="43" spans="1:23" x14ac:dyDescent="0.3">
      <c r="A43">
        <v>2.0830082999999999</v>
      </c>
      <c r="B43">
        <v>0.62085000000000001</v>
      </c>
      <c r="C43">
        <f t="shared" si="2"/>
        <v>1.2932357030549999</v>
      </c>
      <c r="D43" s="1">
        <v>1.6500000000000001E-2</v>
      </c>
      <c r="E43" s="1">
        <v>1.41E-2</v>
      </c>
      <c r="F43">
        <f t="shared" si="3"/>
        <v>416.60165999999998</v>
      </c>
      <c r="G43">
        <f t="shared" si="4"/>
        <v>-0.62085000000000001</v>
      </c>
      <c r="H43">
        <f t="shared" si="0"/>
        <v>-258.647140611</v>
      </c>
      <c r="I43">
        <v>1</v>
      </c>
      <c r="J43">
        <f t="shared" si="5"/>
        <v>-0.87562476552566215</v>
      </c>
      <c r="K43">
        <f t="shared" si="6"/>
        <v>-0.60087515177521744</v>
      </c>
      <c r="M43">
        <f t="shared" si="9"/>
        <v>0.48226557073004928</v>
      </c>
      <c r="N43">
        <f t="shared" si="12"/>
        <v>3.4369636949999997E-2</v>
      </c>
      <c r="O43">
        <f t="shared" si="10"/>
        <v>2.9370417029999998E-2</v>
      </c>
      <c r="P43">
        <f t="shared" si="11"/>
        <v>5.4869527065168164E-2</v>
      </c>
      <c r="V43">
        <v>-2.1000000000000099</v>
      </c>
      <c r="W43">
        <f t="shared" si="8"/>
        <v>-0.43928999999999968</v>
      </c>
    </row>
    <row r="44" spans="1:23" x14ac:dyDescent="0.3">
      <c r="A44">
        <v>2.1364727000000001</v>
      </c>
      <c r="B44">
        <v>0.61648999999999998</v>
      </c>
      <c r="C44">
        <f t="shared" si="2"/>
        <v>1.317114054823</v>
      </c>
      <c r="D44" s="1">
        <v>1.6500000000000001E-2</v>
      </c>
      <c r="E44" s="1">
        <v>1.41E-2</v>
      </c>
      <c r="F44">
        <f t="shared" si="3"/>
        <v>427.29454000000004</v>
      </c>
      <c r="G44">
        <f t="shared" si="4"/>
        <v>-0.61648999999999998</v>
      </c>
      <c r="H44">
        <f t="shared" si="0"/>
        <v>-263.42281096459999</v>
      </c>
      <c r="I44">
        <v>1</v>
      </c>
      <c r="J44">
        <f t="shared" si="5"/>
        <v>-0.85028171432158894</v>
      </c>
      <c r="K44">
        <f t="shared" si="6"/>
        <v>-0.60523515177521747</v>
      </c>
      <c r="M44">
        <f t="shared" si="9"/>
        <v>0.48315511182731224</v>
      </c>
      <c r="N44">
        <f t="shared" si="12"/>
        <v>3.5251799550000004E-2</v>
      </c>
      <c r="O44">
        <f t="shared" si="10"/>
        <v>3.012426507E-2</v>
      </c>
      <c r="P44">
        <f t="shared" si="11"/>
        <v>5.6703975327905221E-2</v>
      </c>
      <c r="V44">
        <v>-2.0000000000000102</v>
      </c>
      <c r="W44">
        <f t="shared" si="8"/>
        <v>-0.44279999999999964</v>
      </c>
    </row>
    <row r="45" spans="1:23" x14ac:dyDescent="0.3">
      <c r="A45">
        <v>2.1894277</v>
      </c>
      <c r="B45">
        <v>0.61262000000000005</v>
      </c>
      <c r="C45">
        <f t="shared" si="2"/>
        <v>1.3412871975740002</v>
      </c>
      <c r="D45" s="1">
        <v>1.6500000000000001E-2</v>
      </c>
      <c r="E45" s="1">
        <v>1.41E-2</v>
      </c>
      <c r="F45">
        <f t="shared" si="3"/>
        <v>437.88553999999999</v>
      </c>
      <c r="G45">
        <f t="shared" si="4"/>
        <v>-0.61262000000000005</v>
      </c>
      <c r="H45">
        <f t="shared" si="0"/>
        <v>-268.25743951480001</v>
      </c>
      <c r="I45">
        <v>1</v>
      </c>
      <c r="J45">
        <f t="shared" si="5"/>
        <v>-0.82579772695772291</v>
      </c>
      <c r="K45">
        <f t="shared" si="6"/>
        <v>-0.6091051517752174</v>
      </c>
      <c r="M45">
        <f t="shared" si="9"/>
        <v>0.48401449978378391</v>
      </c>
      <c r="N45">
        <f t="shared" si="12"/>
        <v>3.612555705E-2</v>
      </c>
      <c r="O45">
        <f t="shared" si="10"/>
        <v>3.087093057E-2</v>
      </c>
      <c r="P45">
        <f t="shared" si="11"/>
        <v>5.8094164371433485E-2</v>
      </c>
      <c r="V45">
        <v>-1.9000000000000099</v>
      </c>
      <c r="W45">
        <f t="shared" si="8"/>
        <v>-0.44630999999999965</v>
      </c>
    </row>
    <row r="46" spans="1:23" x14ac:dyDescent="0.3">
      <c r="A46">
        <v>2.2408551999999999</v>
      </c>
      <c r="B46">
        <v>0.60904999999999998</v>
      </c>
      <c r="C46">
        <f t="shared" si="2"/>
        <v>1.3647928595599998</v>
      </c>
      <c r="D46" s="1">
        <v>1.6500000000000001E-2</v>
      </c>
      <c r="E46" s="1">
        <v>1.41E-2</v>
      </c>
      <c r="F46">
        <f t="shared" si="3"/>
        <v>448.17104</v>
      </c>
      <c r="G46">
        <f t="shared" si="4"/>
        <v>-0.60904999999999998</v>
      </c>
      <c r="H46">
        <f t="shared" si="0"/>
        <v>-272.95857191199997</v>
      </c>
      <c r="I46">
        <v>1</v>
      </c>
      <c r="J46">
        <f t="shared" si="5"/>
        <v>-0.80258033371448756</v>
      </c>
      <c r="K46">
        <f t="shared" si="6"/>
        <v>-0.61267515177521747</v>
      </c>
      <c r="M46">
        <f t="shared" si="9"/>
        <v>0.48482943028662151</v>
      </c>
      <c r="N46">
        <f t="shared" si="12"/>
        <v>3.6974110800000001E-2</v>
      </c>
      <c r="O46">
        <f t="shared" si="10"/>
        <v>3.1596058319999995E-2</v>
      </c>
      <c r="P46">
        <f t="shared" si="11"/>
        <v>5.9275552368595968E-2</v>
      </c>
      <c r="V46">
        <v>-1.80000000000001</v>
      </c>
      <c r="W46">
        <f t="shared" si="8"/>
        <v>-0.44981999999999966</v>
      </c>
    </row>
    <row r="47" spans="1:23" x14ac:dyDescent="0.3">
      <c r="A47">
        <v>2.2917733999999998</v>
      </c>
      <c r="B47">
        <v>0.60524999999999995</v>
      </c>
      <c r="C47">
        <f t="shared" si="2"/>
        <v>1.3870958503499997</v>
      </c>
      <c r="D47" s="1">
        <v>1.6500000000000001E-2</v>
      </c>
      <c r="E47" s="1">
        <v>1.41E-2</v>
      </c>
      <c r="F47">
        <f t="shared" si="3"/>
        <v>458.35467999999997</v>
      </c>
      <c r="G47">
        <f t="shared" si="4"/>
        <v>-0.60524999999999995</v>
      </c>
      <c r="H47">
        <f t="shared" si="0"/>
        <v>-277.41917006999995</v>
      </c>
      <c r="I47">
        <v>1</v>
      </c>
      <c r="J47">
        <f t="shared" si="5"/>
        <v>-0.7801119840886811</v>
      </c>
      <c r="K47">
        <f t="shared" si="6"/>
        <v>-0.6164751517752175</v>
      </c>
      <c r="M47">
        <f t="shared" si="9"/>
        <v>0.48561806935848728</v>
      </c>
      <c r="N47">
        <f t="shared" si="12"/>
        <v>3.7814261099999996E-2</v>
      </c>
      <c r="O47">
        <f t="shared" si="10"/>
        <v>3.2314004939999995E-2</v>
      </c>
      <c r="P47">
        <f t="shared" si="11"/>
        <v>6.0728816376730228E-2</v>
      </c>
      <c r="V47">
        <v>-1.7000000000000199</v>
      </c>
      <c r="W47">
        <f t="shared" si="8"/>
        <v>-0.45332999999999929</v>
      </c>
    </row>
    <row r="48" spans="1:23" x14ac:dyDescent="0.3">
      <c r="A48">
        <v>2.3447285</v>
      </c>
      <c r="B48">
        <v>0.60138999999999998</v>
      </c>
      <c r="C48">
        <f t="shared" si="2"/>
        <v>1.4100962726149999</v>
      </c>
      <c r="D48" s="1">
        <v>1.6500000000000001E-2</v>
      </c>
      <c r="E48" s="1">
        <v>1.41E-2</v>
      </c>
      <c r="F48">
        <f t="shared" si="3"/>
        <v>468.94569999999999</v>
      </c>
      <c r="G48">
        <f t="shared" si="4"/>
        <v>-0.60138999999999998</v>
      </c>
      <c r="H48">
        <f t="shared" si="0"/>
        <v>-282.01925452299997</v>
      </c>
      <c r="I48">
        <v>1</v>
      </c>
      <c r="J48">
        <f t="shared" si="5"/>
        <v>-0.75726829549027608</v>
      </c>
      <c r="K48">
        <f t="shared" si="6"/>
        <v>-0.62033515177521747</v>
      </c>
      <c r="M48">
        <f t="shared" si="9"/>
        <v>0.48641988282829129</v>
      </c>
      <c r="N48">
        <f t="shared" si="12"/>
        <v>3.8688020250000003E-2</v>
      </c>
      <c r="O48">
        <f t="shared" si="10"/>
        <v>3.3060671850000001E-2</v>
      </c>
      <c r="P48">
        <f t="shared" si="11"/>
        <v>6.2166576846926169E-2</v>
      </c>
      <c r="V48">
        <v>-1.6000000000000201</v>
      </c>
      <c r="W48">
        <f t="shared" si="8"/>
        <v>-0.4568399999999993</v>
      </c>
    </row>
    <row r="49" spans="1:23" x14ac:dyDescent="0.3">
      <c r="A49">
        <v>2.3956469999999999</v>
      </c>
      <c r="B49">
        <v>0.59753000000000001</v>
      </c>
      <c r="C49">
        <f t="shared" si="2"/>
        <v>1.43147095191</v>
      </c>
      <c r="D49" s="1">
        <v>1.6500000000000001E-2</v>
      </c>
      <c r="E49" s="1">
        <v>1.41E-2</v>
      </c>
      <c r="F49">
        <f t="shared" si="3"/>
        <v>479.12939999999998</v>
      </c>
      <c r="G49">
        <f t="shared" si="4"/>
        <v>-0.59753000000000001</v>
      </c>
      <c r="H49">
        <f t="shared" si="0"/>
        <v>-286.29419038200001</v>
      </c>
      <c r="I49">
        <v>1</v>
      </c>
      <c r="J49">
        <f t="shared" si="5"/>
        <v>-0.7357845719163324</v>
      </c>
      <c r="K49">
        <f t="shared" si="6"/>
        <v>-0.62419515177521745</v>
      </c>
      <c r="M49">
        <f t="shared" si="9"/>
        <v>0.48717396152573672</v>
      </c>
      <c r="N49">
        <f t="shared" si="12"/>
        <v>3.9528175499999998E-2</v>
      </c>
      <c r="O49">
        <f t="shared" si="10"/>
        <v>3.3778622699999997E-2</v>
      </c>
      <c r="P49">
        <f t="shared" si="11"/>
        <v>6.3714392049480734E-2</v>
      </c>
      <c r="V49">
        <v>-1.50000000000002</v>
      </c>
      <c r="W49">
        <f t="shared" si="8"/>
        <v>-0.46034999999999932</v>
      </c>
    </row>
    <row r="50" spans="1:23" x14ac:dyDescent="0.3">
      <c r="A50">
        <v>2.4470744999999998</v>
      </c>
      <c r="B50">
        <v>0.59414</v>
      </c>
      <c r="C50">
        <f t="shared" si="2"/>
        <v>1.4539048434299999</v>
      </c>
      <c r="D50" s="1">
        <v>1.6500000000000001E-2</v>
      </c>
      <c r="E50" s="1">
        <v>1.41E-2</v>
      </c>
      <c r="F50">
        <f t="shared" si="3"/>
        <v>489.41489999999999</v>
      </c>
      <c r="G50">
        <f t="shared" si="4"/>
        <v>-0.59414</v>
      </c>
      <c r="H50">
        <f t="shared" si="0"/>
        <v>-290.78096868599999</v>
      </c>
      <c r="I50">
        <v>1</v>
      </c>
      <c r="J50">
        <f t="shared" si="5"/>
        <v>-0.71454468299361884</v>
      </c>
      <c r="K50">
        <f t="shared" si="6"/>
        <v>-0.62758515177521745</v>
      </c>
      <c r="M50">
        <f t="shared" si="9"/>
        <v>0.487919481626924</v>
      </c>
      <c r="N50">
        <f t="shared" si="12"/>
        <v>4.037672925E-2</v>
      </c>
      <c r="O50">
        <f t="shared" si="10"/>
        <v>3.4503750449999995E-2</v>
      </c>
      <c r="P50">
        <f t="shared" si="11"/>
        <v>6.4785190448293464E-2</v>
      </c>
      <c r="V50">
        <v>-1.4000000000000199</v>
      </c>
      <c r="W50">
        <f t="shared" si="8"/>
        <v>-0.46385999999999933</v>
      </c>
    </row>
    <row r="51" spans="1:23" x14ac:dyDescent="0.3">
      <c r="A51">
        <v>2.4974835999999998</v>
      </c>
      <c r="B51">
        <v>0.59031999999999996</v>
      </c>
      <c r="C51">
        <f t="shared" si="2"/>
        <v>1.4743145187519997</v>
      </c>
      <c r="D51" s="1">
        <v>1.6500000000000001E-2</v>
      </c>
      <c r="E51" s="1">
        <v>1.41E-2</v>
      </c>
      <c r="F51">
        <f t="shared" si="3"/>
        <v>499.49671999999998</v>
      </c>
      <c r="G51">
        <f t="shared" si="4"/>
        <v>-0.59031999999999996</v>
      </c>
      <c r="H51">
        <f t="shared" si="0"/>
        <v>-294.86290375039994</v>
      </c>
      <c r="I51">
        <v>1</v>
      </c>
      <c r="J51">
        <f t="shared" si="5"/>
        <v>-0.69415424748165544</v>
      </c>
      <c r="K51">
        <f t="shared" si="6"/>
        <v>-0.6314051517752175</v>
      </c>
      <c r="M51">
        <f t="shared" si="9"/>
        <v>0.48863518591339389</v>
      </c>
      <c r="N51">
        <f t="shared" si="12"/>
        <v>4.1208479399999998E-2</v>
      </c>
      <c r="O51">
        <f t="shared" si="10"/>
        <v>3.5214518759999994E-2</v>
      </c>
      <c r="P51">
        <f t="shared" si="11"/>
        <v>6.634696770182362E-2</v>
      </c>
      <c r="V51">
        <v>-1.30000000000002</v>
      </c>
      <c r="W51">
        <f t="shared" si="8"/>
        <v>-0.46736999999999929</v>
      </c>
    </row>
    <row r="52" spans="1:23" x14ac:dyDescent="0.3">
      <c r="A52">
        <v>2.5519661</v>
      </c>
      <c r="B52">
        <v>0.58667000000000002</v>
      </c>
      <c r="C52">
        <f t="shared" si="2"/>
        <v>1.4971619518870001</v>
      </c>
      <c r="D52" s="1">
        <v>1.6500000000000001E-2</v>
      </c>
      <c r="E52" s="1">
        <v>1.41E-2</v>
      </c>
      <c r="F52">
        <f t="shared" si="3"/>
        <v>510.39321999999999</v>
      </c>
      <c r="G52">
        <f t="shared" si="4"/>
        <v>-0.58667000000000002</v>
      </c>
      <c r="H52">
        <f t="shared" si="0"/>
        <v>-299.4323903774</v>
      </c>
      <c r="I52">
        <v>1</v>
      </c>
      <c r="J52">
        <f t="shared" si="5"/>
        <v>-0.67257383073884569</v>
      </c>
      <c r="K52">
        <f t="shared" si="6"/>
        <v>-0.63505515177521743</v>
      </c>
      <c r="M52">
        <f t="shared" si="9"/>
        <v>0.48939265854106651</v>
      </c>
      <c r="N52">
        <f t="shared" si="12"/>
        <v>4.2107440650000001E-2</v>
      </c>
      <c r="O52">
        <f t="shared" si="10"/>
        <v>3.5982722010000003E-2</v>
      </c>
      <c r="P52">
        <f t="shared" si="11"/>
        <v>6.7572330574150935E-2</v>
      </c>
      <c r="V52">
        <v>-1.2000000000000199</v>
      </c>
      <c r="W52">
        <f t="shared" si="8"/>
        <v>-0.4708799999999993</v>
      </c>
    </row>
    <row r="53" spans="1:23" x14ac:dyDescent="0.3">
      <c r="A53">
        <v>2.6023752</v>
      </c>
      <c r="B53">
        <v>0.58287</v>
      </c>
      <c r="C53">
        <f t="shared" si="2"/>
        <v>1.5168464328239999</v>
      </c>
      <c r="D53" s="1">
        <v>1.6500000000000001E-2</v>
      </c>
      <c r="E53" s="1">
        <v>1.41E-2</v>
      </c>
      <c r="F53">
        <f t="shared" si="3"/>
        <v>520.47504000000004</v>
      </c>
      <c r="G53">
        <f t="shared" si="4"/>
        <v>-0.58287</v>
      </c>
      <c r="H53">
        <f t="shared" si="0"/>
        <v>-303.36928656479995</v>
      </c>
      <c r="I53">
        <v>1</v>
      </c>
      <c r="J53">
        <f t="shared" si="5"/>
        <v>-0.65301334596742799</v>
      </c>
      <c r="K53">
        <f t="shared" si="6"/>
        <v>-0.63885515177521746</v>
      </c>
      <c r="M53">
        <f t="shared" si="9"/>
        <v>0.49007923155654332</v>
      </c>
      <c r="N53">
        <f t="shared" si="12"/>
        <v>4.2939190799999999E-2</v>
      </c>
      <c r="O53">
        <f t="shared" si="10"/>
        <v>3.6693490320000001E-2</v>
      </c>
      <c r="P53">
        <f t="shared" si="11"/>
        <v>6.9143239098674147E-2</v>
      </c>
      <c r="V53">
        <v>-1.1000000000000201</v>
      </c>
      <c r="W53">
        <f t="shared" si="8"/>
        <v>-0.47438999999999931</v>
      </c>
    </row>
    <row r="54" spans="1:23" x14ac:dyDescent="0.3">
      <c r="A54">
        <v>2.6532934999999997</v>
      </c>
      <c r="B54">
        <v>0.57933999999999997</v>
      </c>
      <c r="C54">
        <f t="shared" si="2"/>
        <v>1.5371590562899997</v>
      </c>
      <c r="D54" s="1">
        <v>1.6500000000000001E-2</v>
      </c>
      <c r="E54" s="1">
        <v>1.41E-2</v>
      </c>
      <c r="F54">
        <f t="shared" si="3"/>
        <v>530.65869999999995</v>
      </c>
      <c r="G54">
        <f t="shared" si="4"/>
        <v>-0.57933999999999997</v>
      </c>
      <c r="H54">
        <f t="shared" si="0"/>
        <v>-307.43181125799993</v>
      </c>
      <c r="I54">
        <v>1</v>
      </c>
      <c r="J54">
        <f t="shared" si="5"/>
        <v>-0.63363621392142222</v>
      </c>
      <c r="K54">
        <f t="shared" si="6"/>
        <v>-0.64238515177521749</v>
      </c>
      <c r="M54">
        <f t="shared" si="9"/>
        <v>0.49075936889135807</v>
      </c>
      <c r="N54">
        <f t="shared" si="12"/>
        <v>4.3779342749999998E-2</v>
      </c>
      <c r="O54">
        <f t="shared" si="10"/>
        <v>3.7411438349999993E-2</v>
      </c>
      <c r="P54">
        <f t="shared" si="11"/>
        <v>7.0435001783859419E-2</v>
      </c>
      <c r="V54">
        <v>-1.00000000000002</v>
      </c>
      <c r="W54">
        <f t="shared" si="8"/>
        <v>-0.47789999999999933</v>
      </c>
    </row>
    <row r="55" spans="1:23" x14ac:dyDescent="0.3">
      <c r="A55">
        <v>2.7047212000000003</v>
      </c>
      <c r="B55">
        <v>0.57628000000000001</v>
      </c>
      <c r="C55">
        <f t="shared" si="2"/>
        <v>1.5586767331360003</v>
      </c>
      <c r="D55" s="1">
        <v>1.6500000000000001E-2</v>
      </c>
      <c r="E55" s="1">
        <v>1.41E-2</v>
      </c>
      <c r="F55">
        <f t="shared" si="3"/>
        <v>540.94424000000004</v>
      </c>
      <c r="G55">
        <f t="shared" si="4"/>
        <v>-0.57628000000000001</v>
      </c>
      <c r="H55">
        <f t="shared" si="0"/>
        <v>-311.73534662720004</v>
      </c>
      <c r="I55">
        <v>1</v>
      </c>
      <c r="J55">
        <f t="shared" si="5"/>
        <v>-0.61443907383943397</v>
      </c>
      <c r="K55">
        <f t="shared" si="6"/>
        <v>-0.64544515177521744</v>
      </c>
      <c r="M55">
        <f t="shared" si="9"/>
        <v>0.49143318850823586</v>
      </c>
      <c r="N55">
        <f t="shared" si="12"/>
        <v>4.4627899800000009E-2</v>
      </c>
      <c r="O55">
        <f t="shared" si="10"/>
        <v>3.8136568920000002E-2</v>
      </c>
      <c r="P55">
        <f t="shared" si="11"/>
        <v>7.1247494546981566E-2</v>
      </c>
      <c r="V55">
        <v>-0.90000000000002001</v>
      </c>
      <c r="W55">
        <f t="shared" si="8"/>
        <v>-0.48140999999999934</v>
      </c>
    </row>
    <row r="56" spans="1:23" x14ac:dyDescent="0.3">
      <c r="A56">
        <v>2.7592036000000002</v>
      </c>
      <c r="B56">
        <v>0.57237000000000005</v>
      </c>
      <c r="C56">
        <f t="shared" si="2"/>
        <v>1.5792853645320002</v>
      </c>
      <c r="D56" s="1">
        <v>1.6500000000000001E-2</v>
      </c>
      <c r="E56" s="1">
        <v>1.41E-2</v>
      </c>
      <c r="F56">
        <f t="shared" si="3"/>
        <v>551.84072000000003</v>
      </c>
      <c r="G56">
        <f t="shared" si="4"/>
        <v>-0.57237000000000005</v>
      </c>
      <c r="H56">
        <f t="shared" si="0"/>
        <v>-315.85707290640005</v>
      </c>
      <c r="I56">
        <v>1</v>
      </c>
      <c r="J56">
        <f t="shared" si="5"/>
        <v>-0.59449582506844978</v>
      </c>
      <c r="K56">
        <f t="shared" si="6"/>
        <v>-0.64935515177521741</v>
      </c>
      <c r="M56">
        <f t="shared" si="9"/>
        <v>0.49213319654009741</v>
      </c>
      <c r="N56">
        <f t="shared" si="12"/>
        <v>4.5526859400000008E-2</v>
      </c>
      <c r="O56">
        <f t="shared" si="10"/>
        <v>3.8904770759999999E-2</v>
      </c>
      <c r="P56">
        <f t="shared" si="11"/>
        <v>7.2790325075119997E-2</v>
      </c>
      <c r="V56">
        <v>-0.80000000000002003</v>
      </c>
      <c r="W56">
        <f t="shared" si="8"/>
        <v>-0.4849199999999993</v>
      </c>
    </row>
    <row r="57" spans="1:23" x14ac:dyDescent="0.3">
      <c r="A57">
        <v>2.8111405999999999</v>
      </c>
      <c r="B57">
        <v>0.56857000000000002</v>
      </c>
      <c r="C57">
        <f t="shared" si="2"/>
        <v>1.5983302109419999</v>
      </c>
      <c r="D57" s="1">
        <v>1.6500000000000001E-2</v>
      </c>
      <c r="E57" s="1">
        <v>1.41E-2</v>
      </c>
      <c r="F57">
        <f t="shared" si="3"/>
        <v>562.22811999999999</v>
      </c>
      <c r="G57">
        <f t="shared" si="4"/>
        <v>-0.56857000000000002</v>
      </c>
      <c r="H57">
        <f t="shared" si="0"/>
        <v>-319.66604218839996</v>
      </c>
      <c r="I57">
        <v>1</v>
      </c>
      <c r="J57">
        <f t="shared" si="5"/>
        <v>-0.57584760397328905</v>
      </c>
      <c r="K57">
        <f t="shared" si="6"/>
        <v>-0.65315515177521744</v>
      </c>
      <c r="M57">
        <f t="shared" si="9"/>
        <v>0.49278774910053758</v>
      </c>
      <c r="N57">
        <f t="shared" si="12"/>
        <v>4.6383819899999998E-2</v>
      </c>
      <c r="O57">
        <f t="shared" si="10"/>
        <v>3.963708246E-2</v>
      </c>
      <c r="P57">
        <f t="shared" si="11"/>
        <v>7.4346500314679861E-2</v>
      </c>
      <c r="V57">
        <v>-0.70000000000002005</v>
      </c>
      <c r="W57">
        <f t="shared" si="8"/>
        <v>-0.48842999999999931</v>
      </c>
    </row>
    <row r="58" spans="1:23" x14ac:dyDescent="0.3">
      <c r="A58">
        <v>2.8615496</v>
      </c>
      <c r="B58">
        <v>0.56474999999999997</v>
      </c>
      <c r="C58">
        <f t="shared" si="2"/>
        <v>1.6160601366</v>
      </c>
      <c r="D58" s="1">
        <v>1.6500000000000001E-2</v>
      </c>
      <c r="E58" s="1">
        <v>1.41E-2</v>
      </c>
      <c r="F58">
        <f t="shared" si="3"/>
        <v>572.30992000000003</v>
      </c>
      <c r="G58">
        <f t="shared" si="4"/>
        <v>-0.56474999999999997</v>
      </c>
      <c r="H58">
        <f t="shared" si="0"/>
        <v>-323.21202732</v>
      </c>
      <c r="I58">
        <v>1</v>
      </c>
      <c r="J58">
        <f t="shared" si="5"/>
        <v>-0.55807461615099352</v>
      </c>
      <c r="K58">
        <f t="shared" si="6"/>
        <v>-0.65697515177521748</v>
      </c>
      <c r="M58">
        <f t="shared" si="9"/>
        <v>0.49341158097310012</v>
      </c>
      <c r="N58">
        <f t="shared" si="12"/>
        <v>4.7215568400000005E-2</v>
      </c>
      <c r="O58">
        <f t="shared" si="10"/>
        <v>4.034784936E-2</v>
      </c>
      <c r="P58">
        <f t="shared" si="11"/>
        <v>7.6000153042117352E-2</v>
      </c>
      <c r="V58">
        <v>-0.60000000000001996</v>
      </c>
      <c r="W58">
        <f t="shared" si="8"/>
        <v>-0.49193999999999932</v>
      </c>
    </row>
    <row r="59" spans="1:23" x14ac:dyDescent="0.3">
      <c r="A59">
        <v>2.9165415000000001</v>
      </c>
      <c r="B59">
        <v>0.56118000000000001</v>
      </c>
      <c r="C59">
        <f t="shared" si="2"/>
        <v>1.6367047589700001</v>
      </c>
      <c r="D59" s="1">
        <v>1.6500000000000001E-2</v>
      </c>
      <c r="E59" s="1">
        <v>1.41E-2</v>
      </c>
      <c r="F59">
        <f t="shared" si="3"/>
        <v>583.30830000000003</v>
      </c>
      <c r="G59">
        <f t="shared" si="4"/>
        <v>-0.56118000000000001</v>
      </c>
      <c r="H59">
        <f t="shared" si="0"/>
        <v>-327.34095179400003</v>
      </c>
      <c r="I59">
        <v>1</v>
      </c>
      <c r="J59">
        <f t="shared" si="5"/>
        <v>-0.53903941593924554</v>
      </c>
      <c r="K59">
        <f t="shared" si="6"/>
        <v>-0.66054515177521744</v>
      </c>
      <c r="M59">
        <f t="shared" si="9"/>
        <v>0.49407971650053251</v>
      </c>
      <c r="N59">
        <f t="shared" si="12"/>
        <v>4.8122934750000006E-2</v>
      </c>
      <c r="O59">
        <f t="shared" si="10"/>
        <v>4.112323515E-2</v>
      </c>
      <c r="P59">
        <f t="shared" si="11"/>
        <v>7.7219265374684931E-2</v>
      </c>
      <c r="V59">
        <v>-0.50000000000001998</v>
      </c>
      <c r="W59">
        <f t="shared" si="8"/>
        <v>-0.49544999999999934</v>
      </c>
    </row>
    <row r="60" spans="1:23" x14ac:dyDescent="0.3">
      <c r="A60">
        <v>2.9679688</v>
      </c>
      <c r="B60">
        <v>0.55744000000000005</v>
      </c>
      <c r="C60">
        <f t="shared" si="2"/>
        <v>1.654464527872</v>
      </c>
      <c r="D60" s="1">
        <v>1.6500000000000001E-2</v>
      </c>
      <c r="E60" s="1">
        <v>1.41E-2</v>
      </c>
      <c r="F60">
        <f t="shared" si="3"/>
        <v>593.59375999999997</v>
      </c>
      <c r="G60">
        <f t="shared" si="4"/>
        <v>-0.55744000000000005</v>
      </c>
      <c r="H60">
        <f t="shared" si="0"/>
        <v>-330.8929055744</v>
      </c>
      <c r="I60">
        <v>1</v>
      </c>
      <c r="J60">
        <f t="shared" si="5"/>
        <v>-0.52156009931359926</v>
      </c>
      <c r="K60">
        <f t="shared" si="6"/>
        <v>-0.66428515177521741</v>
      </c>
      <c r="M60">
        <f t="shared" si="9"/>
        <v>0.49469324051409269</v>
      </c>
      <c r="N60">
        <f t="shared" si="12"/>
        <v>4.8971485200000005E-2</v>
      </c>
      <c r="O60">
        <f t="shared" si="10"/>
        <v>4.1848360080000001E-2</v>
      </c>
      <c r="P60">
        <f t="shared" si="11"/>
        <v>7.8772065981124711E-2</v>
      </c>
      <c r="V60">
        <v>-0.40000000000002001</v>
      </c>
      <c r="W60">
        <f t="shared" si="8"/>
        <v>-0.49895999999999929</v>
      </c>
    </row>
    <row r="61" spans="1:23" x14ac:dyDescent="0.3">
      <c r="A61">
        <v>3.0188872</v>
      </c>
      <c r="B61">
        <v>0.5544</v>
      </c>
      <c r="C61">
        <f t="shared" si="2"/>
        <v>1.6736710636800001</v>
      </c>
      <c r="D61" s="1">
        <v>1.6500000000000001E-2</v>
      </c>
      <c r="E61" s="1">
        <v>1.41E-2</v>
      </c>
      <c r="F61">
        <f t="shared" si="3"/>
        <v>603.77743999999996</v>
      </c>
      <c r="G61">
        <f t="shared" si="4"/>
        <v>-0.5544</v>
      </c>
      <c r="H61">
        <f t="shared" si="0"/>
        <v>-334.73421273600002</v>
      </c>
      <c r="I61">
        <v>1</v>
      </c>
      <c r="J61">
        <f t="shared" si="5"/>
        <v>-0.50454962577277929</v>
      </c>
      <c r="K61">
        <f t="shared" si="6"/>
        <v>-0.66732515177521745</v>
      </c>
      <c r="M61">
        <f t="shared" si="9"/>
        <v>0.49529030813537545</v>
      </c>
      <c r="N61">
        <f t="shared" si="12"/>
        <v>4.9811638800000002E-2</v>
      </c>
      <c r="O61">
        <f t="shared" si="10"/>
        <v>4.2566309519999998E-2</v>
      </c>
      <c r="P61">
        <f t="shared" si="11"/>
        <v>7.9656895319842005E-2</v>
      </c>
      <c r="V61">
        <v>-0.30000000000001997</v>
      </c>
      <c r="W61">
        <f t="shared" si="8"/>
        <v>-0.50246999999999931</v>
      </c>
    </row>
    <row r="62" spans="1:23" x14ac:dyDescent="0.3">
      <c r="A62">
        <v>3.0698056999999999</v>
      </c>
      <c r="B62">
        <v>0.55091000000000001</v>
      </c>
      <c r="C62">
        <f t="shared" si="2"/>
        <v>1.6911866581869999</v>
      </c>
      <c r="D62" s="1">
        <v>1.6500000000000001E-2</v>
      </c>
      <c r="E62" s="1">
        <v>1.41E-2</v>
      </c>
      <c r="F62">
        <f t="shared" si="3"/>
        <v>613.96114</v>
      </c>
      <c r="G62">
        <f t="shared" si="4"/>
        <v>-0.55091000000000001</v>
      </c>
      <c r="H62">
        <f t="shared" si="0"/>
        <v>-338.23733163739996</v>
      </c>
      <c r="I62">
        <v>1</v>
      </c>
      <c r="J62">
        <f t="shared" si="5"/>
        <v>-0.48782364274016504</v>
      </c>
      <c r="K62">
        <f t="shared" si="6"/>
        <v>-0.67081515177521744</v>
      </c>
      <c r="M62">
        <f t="shared" si="9"/>
        <v>0.49587739013982024</v>
      </c>
      <c r="N62">
        <f t="shared" si="12"/>
        <v>5.0651794049999997E-2</v>
      </c>
      <c r="O62">
        <f t="shared" si="10"/>
        <v>4.3284260369999994E-2</v>
      </c>
      <c r="P62">
        <f t="shared" si="11"/>
        <v>8.1001707215397206E-2</v>
      </c>
      <c r="V62">
        <v>-0.20000000000002</v>
      </c>
      <c r="W62">
        <f t="shared" si="8"/>
        <v>-0.50597999999999932</v>
      </c>
    </row>
    <row r="63" spans="1:23" x14ac:dyDescent="0.3">
      <c r="A63">
        <v>3.1207238999999998</v>
      </c>
      <c r="B63">
        <v>0.54725999999999997</v>
      </c>
      <c r="C63">
        <f t="shared" si="2"/>
        <v>1.7078473615139997</v>
      </c>
      <c r="D63" s="1">
        <v>1.6500000000000001E-2</v>
      </c>
      <c r="E63" s="1">
        <v>1.41E-2</v>
      </c>
      <c r="F63">
        <f t="shared" si="3"/>
        <v>624.14477999999997</v>
      </c>
      <c r="G63">
        <f t="shared" si="4"/>
        <v>-0.54725999999999997</v>
      </c>
      <c r="H63">
        <f t="shared" si="0"/>
        <v>-341.56947230279997</v>
      </c>
      <c r="I63">
        <v>1</v>
      </c>
      <c r="J63">
        <f t="shared" si="5"/>
        <v>-0.47137291829423927</v>
      </c>
      <c r="K63">
        <f t="shared" si="6"/>
        <v>-0.67446515177521749</v>
      </c>
      <c r="M63">
        <f t="shared" si="9"/>
        <v>0.49645481056787222</v>
      </c>
      <c r="N63">
        <f t="shared" si="12"/>
        <v>5.1491944349999999E-2</v>
      </c>
      <c r="O63">
        <f t="shared" si="10"/>
        <v>4.4002206989999994E-2</v>
      </c>
      <c r="P63">
        <f t="shared" si="11"/>
        <v>8.2516189867345296E-2</v>
      </c>
      <c r="V63">
        <v>-0.10000000000002</v>
      </c>
      <c r="W63">
        <f t="shared" si="8"/>
        <v>-0.50948999999999933</v>
      </c>
    </row>
    <row r="64" spans="1:23" x14ac:dyDescent="0.3">
      <c r="A64">
        <v>3.1767338999999999</v>
      </c>
      <c r="B64">
        <v>0.54359999999999997</v>
      </c>
      <c r="C64">
        <f t="shared" si="2"/>
        <v>1.7268725480399998</v>
      </c>
      <c r="D64" s="1">
        <v>1.6500000000000001E-2</v>
      </c>
      <c r="E64" s="1">
        <v>1.41E-2</v>
      </c>
      <c r="F64">
        <f t="shared" si="3"/>
        <v>635.34677999999997</v>
      </c>
      <c r="G64">
        <f t="shared" si="4"/>
        <v>-0.54359999999999997</v>
      </c>
      <c r="H64">
        <f t="shared" si="0"/>
        <v>-345.37450960799998</v>
      </c>
      <c r="I64">
        <v>1</v>
      </c>
      <c r="J64">
        <f t="shared" si="5"/>
        <v>-0.45358431891715223</v>
      </c>
      <c r="K64">
        <f t="shared" si="6"/>
        <v>-0.67812515177521748</v>
      </c>
      <c r="M64">
        <f t="shared" si="9"/>
        <v>0.49707919040600795</v>
      </c>
      <c r="N64">
        <f t="shared" si="12"/>
        <v>5.2416109350000004E-2</v>
      </c>
      <c r="O64">
        <f t="shared" si="10"/>
        <v>4.4791947989999997E-2</v>
      </c>
      <c r="P64">
        <f t="shared" si="11"/>
        <v>8.3837904029209515E-2</v>
      </c>
      <c r="V64">
        <v>-2.0428103653102899E-14</v>
      </c>
      <c r="W64">
        <f t="shared" si="8"/>
        <v>-0.51299999999999935</v>
      </c>
    </row>
    <row r="65" spans="1:23" x14ac:dyDescent="0.3">
      <c r="A65">
        <v>3.2281614000000003</v>
      </c>
      <c r="B65">
        <v>0.54003000000000001</v>
      </c>
      <c r="C65">
        <f t="shared" si="2"/>
        <v>1.7433040008420002</v>
      </c>
      <c r="D65" s="1">
        <v>1.6500000000000001E-2</v>
      </c>
      <c r="E65" s="1">
        <v>1.41E-2</v>
      </c>
      <c r="F65">
        <f t="shared" si="3"/>
        <v>645.63228000000004</v>
      </c>
      <c r="G65">
        <f t="shared" si="4"/>
        <v>-0.54003000000000001</v>
      </c>
      <c r="H65">
        <f t="shared" si="0"/>
        <v>-348.66080016840004</v>
      </c>
      <c r="I65">
        <v>1</v>
      </c>
      <c r="J65">
        <f t="shared" si="5"/>
        <v>-0.43752516327635627</v>
      </c>
      <c r="K65">
        <f t="shared" si="6"/>
        <v>-0.68169515177521744</v>
      </c>
      <c r="M65">
        <f t="shared" si="9"/>
        <v>0.49764286676899988</v>
      </c>
      <c r="N65">
        <f t="shared" si="12"/>
        <v>5.3264663100000005E-2</v>
      </c>
      <c r="O65">
        <f t="shared" si="10"/>
        <v>4.5517075740000003E-2</v>
      </c>
      <c r="P65">
        <f t="shared" si="11"/>
        <v>8.527054616621757E-2</v>
      </c>
      <c r="V65">
        <v>9.9999999999980105E-2</v>
      </c>
      <c r="W65">
        <f t="shared" si="8"/>
        <v>-0.51650999999999936</v>
      </c>
    </row>
    <row r="66" spans="1:23" x14ac:dyDescent="0.3">
      <c r="A66">
        <v>3.2785706000000001</v>
      </c>
      <c r="B66">
        <v>0.53666999999999998</v>
      </c>
      <c r="C66">
        <f t="shared" si="2"/>
        <v>1.7595104839019999</v>
      </c>
      <c r="D66" s="1">
        <v>1.6500000000000001E-2</v>
      </c>
      <c r="E66" s="1">
        <v>1.41E-2</v>
      </c>
      <c r="F66">
        <f t="shared" si="3"/>
        <v>655.71411999999998</v>
      </c>
      <c r="G66">
        <f t="shared" si="4"/>
        <v>-0.53666999999999998</v>
      </c>
      <c r="H66">
        <f t="shared" si="0"/>
        <v>-351.90209678039997</v>
      </c>
      <c r="I66">
        <v>1</v>
      </c>
      <c r="J66">
        <f t="shared" si="5"/>
        <v>-0.42203037770620305</v>
      </c>
      <c r="K66">
        <f t="shared" si="6"/>
        <v>-0.68505515177521747</v>
      </c>
      <c r="M66">
        <f t="shared" si="9"/>
        <v>0.49818673374251227</v>
      </c>
      <c r="N66">
        <f t="shared" si="12"/>
        <v>5.4096414900000007E-2</v>
      </c>
      <c r="O66">
        <f t="shared" si="10"/>
        <v>4.622784546E-2</v>
      </c>
      <c r="P66">
        <f t="shared" si="11"/>
        <v>8.6544157672705208E-2</v>
      </c>
      <c r="V66">
        <v>0.19999999999998</v>
      </c>
      <c r="W66">
        <f t="shared" si="8"/>
        <v>-0.52001999999999926</v>
      </c>
    </row>
    <row r="67" spans="1:23" x14ac:dyDescent="0.3">
      <c r="A67">
        <v>3.3294889999999997</v>
      </c>
      <c r="B67">
        <v>0.53327000000000002</v>
      </c>
      <c r="C67">
        <f t="shared" si="2"/>
        <v>1.7755165990299999</v>
      </c>
      <c r="D67" s="1">
        <v>1.6500000000000001E-2</v>
      </c>
      <c r="E67" s="1">
        <v>1.41E-2</v>
      </c>
      <c r="F67">
        <f t="shared" si="3"/>
        <v>665.89779999999996</v>
      </c>
      <c r="G67">
        <f t="shared" si="4"/>
        <v>-0.53327000000000002</v>
      </c>
      <c r="H67">
        <f t="shared" si="0"/>
        <v>-355.103319806</v>
      </c>
      <c r="I67">
        <v>1</v>
      </c>
      <c r="J67">
        <f t="shared" si="5"/>
        <v>-0.40661907367038724</v>
      </c>
      <c r="K67">
        <f t="shared" si="6"/>
        <v>-0.68845515177521743</v>
      </c>
      <c r="M67">
        <f t="shared" si="9"/>
        <v>0.49872767051416944</v>
      </c>
      <c r="N67">
        <f t="shared" si="12"/>
        <v>5.4936568499999998E-2</v>
      </c>
      <c r="O67">
        <f t="shared" si="10"/>
        <v>4.6945794899999997E-2</v>
      </c>
      <c r="P67">
        <f t="shared" si="11"/>
        <v>8.7845117861047983E-2</v>
      </c>
      <c r="V67">
        <v>0.29999999999998</v>
      </c>
      <c r="W67">
        <f t="shared" si="8"/>
        <v>-0.52352999999999927</v>
      </c>
    </row>
    <row r="68" spans="1:23" x14ac:dyDescent="0.3">
      <c r="A68">
        <v>3.3829530999999999</v>
      </c>
      <c r="B68">
        <v>0.52961999999999998</v>
      </c>
      <c r="C68">
        <f t="shared" si="2"/>
        <v>1.7916796208219998</v>
      </c>
      <c r="D68" s="1">
        <v>1.6500000000000001E-2</v>
      </c>
      <c r="E68" s="1">
        <v>1.41E-2</v>
      </c>
      <c r="F68">
        <f t="shared" ref="F68:F131" si="13">A68*200</f>
        <v>676.59061999999994</v>
      </c>
      <c r="G68">
        <f t="shared" ref="G68:G131" si="14">-B68</f>
        <v>-0.52961999999999998</v>
      </c>
      <c r="H68">
        <f t="shared" ref="H68:H131" si="15">-C68*200</f>
        <v>-358.33592416439996</v>
      </c>
      <c r="I68">
        <v>1</v>
      </c>
      <c r="J68">
        <f t="shared" si="5"/>
        <v>-0.39068888616644853</v>
      </c>
      <c r="K68">
        <f t="shared" si="6"/>
        <v>-0.69210515177521748</v>
      </c>
      <c r="M68">
        <f t="shared" si="9"/>
        <v>0.49928682009555769</v>
      </c>
      <c r="N68">
        <f t="shared" si="12"/>
        <v>5.5818726150000005E-2</v>
      </c>
      <c r="O68">
        <f t="shared" si="10"/>
        <v>4.7699638709999999E-2</v>
      </c>
      <c r="P68">
        <f t="shared" si="11"/>
        <v>8.9299966819659793E-2</v>
      </c>
      <c r="V68">
        <v>0.39999999999997998</v>
      </c>
      <c r="W68">
        <f t="shared" si="8"/>
        <v>-0.52703999999999929</v>
      </c>
    </row>
    <row r="69" spans="1:23" x14ac:dyDescent="0.3">
      <c r="A69">
        <v>3.4399813999999997</v>
      </c>
      <c r="B69">
        <v>0.52583999999999997</v>
      </c>
      <c r="C69">
        <f t="shared" ref="C69:C132" si="16">A69*B69</f>
        <v>1.8088798193759998</v>
      </c>
      <c r="D69" s="1">
        <v>1.6500000000000001E-2</v>
      </c>
      <c r="E69" s="1">
        <v>1.41E-2</v>
      </c>
      <c r="F69">
        <f t="shared" si="13"/>
        <v>687.99627999999996</v>
      </c>
      <c r="G69">
        <f t="shared" si="14"/>
        <v>-0.52583999999999997</v>
      </c>
      <c r="H69">
        <f t="shared" si="15"/>
        <v>-361.77596387519998</v>
      </c>
      <c r="I69">
        <v>1</v>
      </c>
      <c r="J69">
        <f t="shared" ref="J69:J132" si="17">LN(F69/1000)</f>
        <v>-0.37397184804015549</v>
      </c>
      <c r="K69">
        <f t="shared" ref="K69:K132" si="18">((-G69)-$N$2)</f>
        <v>-0.69588515177521748</v>
      </c>
      <c r="M69">
        <f t="shared" si="9"/>
        <v>0.49987358813379057</v>
      </c>
      <c r="N69">
        <f t="shared" si="12"/>
        <v>5.6759693100000001E-2</v>
      </c>
      <c r="O69">
        <f t="shared" si="10"/>
        <v>4.8503737739999997E-2</v>
      </c>
      <c r="P69">
        <f t="shared" si="11"/>
        <v>9.0748132801426906E-2</v>
      </c>
      <c r="V69">
        <v>0.49999999999998002</v>
      </c>
      <c r="W69">
        <f t="shared" ref="W69:W126" si="19">V69*$S$5+$S$4</f>
        <v>-0.5305499999999993</v>
      </c>
    </row>
    <row r="70" spans="1:23" x14ac:dyDescent="0.3">
      <c r="A70">
        <v>3.4919182000000002</v>
      </c>
      <c r="B70">
        <v>0.52248000000000006</v>
      </c>
      <c r="C70">
        <f t="shared" si="16"/>
        <v>1.8244574211360003</v>
      </c>
      <c r="D70" s="1">
        <v>1.6500000000000001E-2</v>
      </c>
      <c r="E70" s="1">
        <v>1.41E-2</v>
      </c>
      <c r="F70">
        <f t="shared" si="13"/>
        <v>698.38364000000001</v>
      </c>
      <c r="G70">
        <f t="shared" si="14"/>
        <v>-0.52248000000000006</v>
      </c>
      <c r="H70">
        <f t="shared" si="15"/>
        <v>-364.89148422720007</v>
      </c>
      <c r="I70">
        <v>1</v>
      </c>
      <c r="J70">
        <f t="shared" si="17"/>
        <v>-0.35898669970247671</v>
      </c>
      <c r="K70">
        <f t="shared" si="18"/>
        <v>-0.6992451517752174</v>
      </c>
      <c r="M70">
        <f t="shared" ref="M70:M133" si="20">-1*($S$4+($S$5*J70))</f>
        <v>0.50039956684044307</v>
      </c>
      <c r="N70">
        <f t="shared" si="12"/>
        <v>5.7616650300000009E-2</v>
      </c>
      <c r="O70">
        <f t="shared" ref="O70:O133" si="21">E70*A70</f>
        <v>4.9236046620000001E-2</v>
      </c>
      <c r="P70">
        <f t="shared" ref="P70:P133" si="22">-K70-M70-N70-O70</f>
        <v>9.1992888014774316E-2</v>
      </c>
      <c r="V70">
        <v>0.59999999999997999</v>
      </c>
      <c r="W70">
        <f t="shared" si="19"/>
        <v>-0.53405999999999931</v>
      </c>
    </row>
    <row r="71" spans="1:23" x14ac:dyDescent="0.3">
      <c r="A71">
        <v>3.5438549999999998</v>
      </c>
      <c r="B71">
        <v>0.51883000000000001</v>
      </c>
      <c r="C71">
        <f t="shared" si="16"/>
        <v>1.8386582896499999</v>
      </c>
      <c r="D71" s="1">
        <v>1.6500000000000001E-2</v>
      </c>
      <c r="E71" s="1">
        <v>1.41E-2</v>
      </c>
      <c r="F71">
        <f t="shared" si="13"/>
        <v>708.77099999999996</v>
      </c>
      <c r="G71">
        <f t="shared" si="14"/>
        <v>-0.51883000000000001</v>
      </c>
      <c r="H71">
        <f t="shared" si="15"/>
        <v>-367.73165792999998</v>
      </c>
      <c r="I71">
        <v>1</v>
      </c>
      <c r="J71">
        <f t="shared" si="17"/>
        <v>-0.34422279474949452</v>
      </c>
      <c r="K71">
        <f t="shared" si="18"/>
        <v>-0.70289515177521744</v>
      </c>
      <c r="M71">
        <f t="shared" si="20"/>
        <v>0.50091777990429276</v>
      </c>
      <c r="N71">
        <f t="shared" ref="N71:N134" si="23">D71*A71</f>
        <v>5.8473607499999997E-2</v>
      </c>
      <c r="O71">
        <f t="shared" si="21"/>
        <v>4.9968355499999999E-2</v>
      </c>
      <c r="P71">
        <f t="shared" si="22"/>
        <v>9.353540887092468E-2</v>
      </c>
      <c r="V71">
        <v>0.69999999999997997</v>
      </c>
      <c r="W71">
        <f t="shared" si="19"/>
        <v>-0.53756999999999933</v>
      </c>
    </row>
    <row r="72" spans="1:23" x14ac:dyDescent="0.3">
      <c r="A72">
        <v>3.5947734000000002</v>
      </c>
      <c r="B72">
        <v>0.51571999999999996</v>
      </c>
      <c r="C72">
        <f t="shared" si="16"/>
        <v>1.8538965378479999</v>
      </c>
      <c r="D72" s="1">
        <v>1.6500000000000001E-2</v>
      </c>
      <c r="E72" s="1">
        <v>1.41E-2</v>
      </c>
      <c r="F72">
        <f t="shared" si="13"/>
        <v>718.95468000000005</v>
      </c>
      <c r="G72">
        <f t="shared" si="14"/>
        <v>-0.51571999999999996</v>
      </c>
      <c r="H72">
        <f t="shared" si="15"/>
        <v>-370.77930756960001</v>
      </c>
      <c r="I72">
        <v>1</v>
      </c>
      <c r="J72">
        <f t="shared" si="17"/>
        <v>-0.32995695523656299</v>
      </c>
      <c r="K72">
        <f t="shared" si="18"/>
        <v>-0.7060051517752175</v>
      </c>
      <c r="M72">
        <f t="shared" si="20"/>
        <v>0.5014185108711966</v>
      </c>
      <c r="N72">
        <f t="shared" si="23"/>
        <v>5.9313761100000008E-2</v>
      </c>
      <c r="O72">
        <f t="shared" si="21"/>
        <v>5.0686304940000003E-2</v>
      </c>
      <c r="P72">
        <f t="shared" si="22"/>
        <v>9.4586574864020889E-2</v>
      </c>
      <c r="V72">
        <v>0.79999999999997995</v>
      </c>
      <c r="W72">
        <f t="shared" si="19"/>
        <v>-0.54107999999999934</v>
      </c>
    </row>
    <row r="73" spans="1:23" x14ac:dyDescent="0.3">
      <c r="A73">
        <v>3.6451826000000001</v>
      </c>
      <c r="B73">
        <v>0.51214999999999999</v>
      </c>
      <c r="C73">
        <f t="shared" si="16"/>
        <v>1.8668802685900001</v>
      </c>
      <c r="D73" s="1">
        <v>1.6500000000000001E-2</v>
      </c>
      <c r="E73" s="1">
        <v>1.41E-2</v>
      </c>
      <c r="F73">
        <f t="shared" si="13"/>
        <v>729.03652</v>
      </c>
      <c r="G73">
        <f t="shared" si="14"/>
        <v>-0.51214999999999999</v>
      </c>
      <c r="H73">
        <f t="shared" si="15"/>
        <v>-373.37605371800004</v>
      </c>
      <c r="I73">
        <v>1</v>
      </c>
      <c r="J73">
        <f t="shared" si="17"/>
        <v>-0.31603145220629486</v>
      </c>
      <c r="K73">
        <f t="shared" si="18"/>
        <v>-0.70957515177521746</v>
      </c>
      <c r="M73">
        <f t="shared" si="20"/>
        <v>0.50190729602755901</v>
      </c>
      <c r="N73">
        <f t="shared" si="23"/>
        <v>6.0145512900000003E-2</v>
      </c>
      <c r="O73">
        <f t="shared" si="21"/>
        <v>5.139707466E-2</v>
      </c>
      <c r="P73">
        <f t="shared" si="22"/>
        <v>9.6125268187658444E-2</v>
      </c>
      <c r="V73">
        <v>0.89999999999998004</v>
      </c>
      <c r="W73">
        <f t="shared" si="19"/>
        <v>-0.54458999999999935</v>
      </c>
    </row>
    <row r="74" spans="1:23" x14ac:dyDescent="0.3">
      <c r="A74">
        <v>3.6966099000000003</v>
      </c>
      <c r="B74">
        <v>0.50876999999999994</v>
      </c>
      <c r="C74">
        <f t="shared" si="16"/>
        <v>1.880724218823</v>
      </c>
      <c r="D74" s="1">
        <v>1.6500000000000001E-2</v>
      </c>
      <c r="E74" s="1">
        <v>1.41E-2</v>
      </c>
      <c r="F74">
        <f t="shared" si="13"/>
        <v>739.32198000000005</v>
      </c>
      <c r="G74">
        <f t="shared" si="14"/>
        <v>-0.50876999999999994</v>
      </c>
      <c r="H74">
        <f t="shared" si="15"/>
        <v>-376.14484376460001</v>
      </c>
      <c r="I74">
        <v>1</v>
      </c>
      <c r="J74">
        <f t="shared" si="17"/>
        <v>-0.30202175603457743</v>
      </c>
      <c r="K74">
        <f t="shared" si="18"/>
        <v>-0.71295515177521751</v>
      </c>
      <c r="M74">
        <f t="shared" si="20"/>
        <v>0.50239903636318639</v>
      </c>
      <c r="N74">
        <f t="shared" si="23"/>
        <v>6.0994063350000009E-2</v>
      </c>
      <c r="O74">
        <f t="shared" si="21"/>
        <v>5.2122199590000001E-2</v>
      </c>
      <c r="P74">
        <f t="shared" si="22"/>
        <v>9.7439852472031102E-2</v>
      </c>
      <c r="V74">
        <v>0.99999999999998002</v>
      </c>
      <c r="W74">
        <f t="shared" si="19"/>
        <v>-0.54809999999999937</v>
      </c>
    </row>
    <row r="75" spans="1:23" x14ac:dyDescent="0.3">
      <c r="A75">
        <v>3.7480376</v>
      </c>
      <c r="B75">
        <v>0.50526000000000004</v>
      </c>
      <c r="C75">
        <f t="shared" si="16"/>
        <v>1.8937334777760002</v>
      </c>
      <c r="D75" s="1">
        <v>1.6500000000000001E-2</v>
      </c>
      <c r="E75" s="1">
        <v>1.41E-2</v>
      </c>
      <c r="F75">
        <f t="shared" si="13"/>
        <v>749.60752000000002</v>
      </c>
      <c r="G75">
        <f t="shared" si="14"/>
        <v>-0.50526000000000004</v>
      </c>
      <c r="H75">
        <f t="shared" si="15"/>
        <v>-378.74669555520006</v>
      </c>
      <c r="I75">
        <v>1</v>
      </c>
      <c r="J75">
        <f t="shared" si="17"/>
        <v>-0.28820551609116923</v>
      </c>
      <c r="K75">
        <f t="shared" si="18"/>
        <v>-0.71646515177521741</v>
      </c>
      <c r="M75">
        <f t="shared" si="20"/>
        <v>0.50288398638519993</v>
      </c>
      <c r="N75">
        <f t="shared" si="23"/>
        <v>6.1842620399999999E-2</v>
      </c>
      <c r="O75">
        <f t="shared" si="21"/>
        <v>5.2847330159999997E-2</v>
      </c>
      <c r="P75">
        <f t="shared" si="22"/>
        <v>9.889121483001749E-2</v>
      </c>
      <c r="V75">
        <v>1.0999999999999699</v>
      </c>
      <c r="W75">
        <f t="shared" si="19"/>
        <v>-0.55160999999999893</v>
      </c>
    </row>
    <row r="76" spans="1:23" x14ac:dyDescent="0.3">
      <c r="A76">
        <v>3.7999744</v>
      </c>
      <c r="B76">
        <v>0.50202999999999998</v>
      </c>
      <c r="C76">
        <f t="shared" si="16"/>
        <v>1.9077011480319999</v>
      </c>
      <c r="D76" s="1">
        <v>1.6500000000000001E-2</v>
      </c>
      <c r="E76" s="1">
        <v>1.41E-2</v>
      </c>
      <c r="F76">
        <f t="shared" si="13"/>
        <v>759.99487999999997</v>
      </c>
      <c r="G76">
        <f t="shared" si="14"/>
        <v>-0.50202999999999998</v>
      </c>
      <c r="H76">
        <f t="shared" si="15"/>
        <v>-381.54022960639998</v>
      </c>
      <c r="I76">
        <v>1</v>
      </c>
      <c r="J76">
        <f t="shared" si="17"/>
        <v>-0.27444358256655826</v>
      </c>
      <c r="K76">
        <f t="shared" si="18"/>
        <v>-0.71969515177521748</v>
      </c>
      <c r="M76">
        <f t="shared" si="20"/>
        <v>0.50336703025191376</v>
      </c>
      <c r="N76">
        <f t="shared" si="23"/>
        <v>6.26995776E-2</v>
      </c>
      <c r="O76">
        <f t="shared" si="21"/>
        <v>5.3579639040000002E-2</v>
      </c>
      <c r="P76">
        <f t="shared" si="22"/>
        <v>0.10004890488330372</v>
      </c>
      <c r="V76">
        <v>1.19999999999997</v>
      </c>
      <c r="W76">
        <f t="shared" si="19"/>
        <v>-0.55511999999999895</v>
      </c>
    </row>
    <row r="77" spans="1:23" x14ac:dyDescent="0.3">
      <c r="A77">
        <v>3.8519108999999996</v>
      </c>
      <c r="B77">
        <v>0.49861</v>
      </c>
      <c r="C77">
        <f t="shared" si="16"/>
        <v>1.9206012938489998</v>
      </c>
      <c r="D77" s="1">
        <v>1.6500000000000001E-2</v>
      </c>
      <c r="E77" s="1">
        <v>1.41E-2</v>
      </c>
      <c r="F77">
        <f t="shared" si="13"/>
        <v>770.38217999999995</v>
      </c>
      <c r="G77">
        <f t="shared" si="14"/>
        <v>-0.49861</v>
      </c>
      <c r="H77">
        <f t="shared" si="15"/>
        <v>-384.12025876979999</v>
      </c>
      <c r="I77">
        <v>1</v>
      </c>
      <c r="J77">
        <f t="shared" si="17"/>
        <v>-0.2608685496068649</v>
      </c>
      <c r="K77">
        <f t="shared" si="18"/>
        <v>-0.72311515177521746</v>
      </c>
      <c r="M77">
        <f t="shared" si="20"/>
        <v>0.503843513908799</v>
      </c>
      <c r="N77">
        <f t="shared" si="23"/>
        <v>6.3556529850000001E-2</v>
      </c>
      <c r="O77">
        <f t="shared" si="21"/>
        <v>5.4311943689999996E-2</v>
      </c>
      <c r="P77">
        <f t="shared" si="22"/>
        <v>0.10140316432641847</v>
      </c>
      <c r="V77">
        <v>1.2999999999999701</v>
      </c>
      <c r="W77">
        <f t="shared" si="19"/>
        <v>-0.55862999999999896</v>
      </c>
    </row>
    <row r="78" spans="1:23" x14ac:dyDescent="0.3">
      <c r="A78">
        <v>3.9043567000000001</v>
      </c>
      <c r="B78">
        <v>0.49508000000000002</v>
      </c>
      <c r="C78">
        <f t="shared" si="16"/>
        <v>1.9329689150360001</v>
      </c>
      <c r="D78" s="1">
        <v>1.6500000000000001E-2</v>
      </c>
      <c r="E78" s="1">
        <v>1.41E-2</v>
      </c>
      <c r="F78">
        <f t="shared" si="13"/>
        <v>780.87134000000003</v>
      </c>
      <c r="G78">
        <f t="shared" si="14"/>
        <v>-0.49508000000000002</v>
      </c>
      <c r="H78">
        <f t="shared" si="15"/>
        <v>-386.59378300720005</v>
      </c>
      <c r="I78">
        <v>1</v>
      </c>
      <c r="J78">
        <f t="shared" si="17"/>
        <v>-0.2473448802291712</v>
      </c>
      <c r="K78">
        <f t="shared" si="18"/>
        <v>-0.72664515177521749</v>
      </c>
      <c r="M78">
        <f t="shared" si="20"/>
        <v>0.50431819470395611</v>
      </c>
      <c r="N78">
        <f t="shared" si="23"/>
        <v>6.4421885550000002E-2</v>
      </c>
      <c r="O78">
        <f t="shared" si="21"/>
        <v>5.5051429470000003E-2</v>
      </c>
      <c r="P78">
        <f t="shared" si="22"/>
        <v>0.10285364205126138</v>
      </c>
      <c r="V78">
        <v>1.3999999999999699</v>
      </c>
      <c r="W78">
        <f t="shared" si="19"/>
        <v>-0.56213999999999897</v>
      </c>
    </row>
    <row r="79" spans="1:23" x14ac:dyDescent="0.3">
      <c r="A79">
        <v>3.9552751000000002</v>
      </c>
      <c r="B79">
        <v>0.49160999999999999</v>
      </c>
      <c r="C79">
        <f t="shared" si="16"/>
        <v>1.944452791911</v>
      </c>
      <c r="D79" s="1">
        <v>1.6500000000000001E-2</v>
      </c>
      <c r="E79" s="1">
        <v>1.41E-2</v>
      </c>
      <c r="F79">
        <f t="shared" si="13"/>
        <v>791.05502000000001</v>
      </c>
      <c r="G79">
        <f t="shared" si="14"/>
        <v>-0.49160999999999999</v>
      </c>
      <c r="H79">
        <f t="shared" si="15"/>
        <v>-388.89055838219997</v>
      </c>
      <c r="I79">
        <v>1</v>
      </c>
      <c r="J79">
        <f t="shared" si="17"/>
        <v>-0.2343877561113715</v>
      </c>
      <c r="K79">
        <f t="shared" si="18"/>
        <v>-0.73011515177521746</v>
      </c>
      <c r="M79">
        <f t="shared" si="20"/>
        <v>0.5047729897604909</v>
      </c>
      <c r="N79">
        <f t="shared" si="23"/>
        <v>6.5262039150000006E-2</v>
      </c>
      <c r="O79">
        <f t="shared" si="21"/>
        <v>5.576937891E-2</v>
      </c>
      <c r="P79">
        <f t="shared" si="22"/>
        <v>0.10431074395472656</v>
      </c>
      <c r="V79">
        <v>1.49999999999997</v>
      </c>
      <c r="W79">
        <f t="shared" si="19"/>
        <v>-0.56564999999999899</v>
      </c>
    </row>
    <row r="80" spans="1:23" x14ac:dyDescent="0.3">
      <c r="A80">
        <v>4.0061933999999999</v>
      </c>
      <c r="B80">
        <v>0.4884</v>
      </c>
      <c r="C80">
        <f t="shared" si="16"/>
        <v>1.95662485656</v>
      </c>
      <c r="D80" s="1">
        <v>1.6500000000000001E-2</v>
      </c>
      <c r="E80" s="1">
        <v>1.41E-2</v>
      </c>
      <c r="F80">
        <f t="shared" si="13"/>
        <v>801.23867999999993</v>
      </c>
      <c r="G80">
        <f t="shared" si="14"/>
        <v>-0.4884</v>
      </c>
      <c r="H80">
        <f t="shared" si="15"/>
        <v>-391.324971312</v>
      </c>
      <c r="I80">
        <v>1</v>
      </c>
      <c r="J80">
        <f t="shared" si="17"/>
        <v>-0.22159639877217435</v>
      </c>
      <c r="K80">
        <f t="shared" si="18"/>
        <v>-0.73332515177521751</v>
      </c>
      <c r="M80">
        <f t="shared" si="20"/>
        <v>0.50522196640309669</v>
      </c>
      <c r="N80">
        <f t="shared" si="23"/>
        <v>6.6102191099999999E-2</v>
      </c>
      <c r="O80">
        <f t="shared" si="21"/>
        <v>5.6487326939999999E-2</v>
      </c>
      <c r="P80">
        <f t="shared" si="22"/>
        <v>0.10551366733212084</v>
      </c>
      <c r="V80">
        <v>1.5999999999999699</v>
      </c>
      <c r="W80">
        <f t="shared" si="19"/>
        <v>-0.569159999999999</v>
      </c>
    </row>
    <row r="81" spans="1:23" x14ac:dyDescent="0.3">
      <c r="A81">
        <v>4.0576211000000004</v>
      </c>
      <c r="B81">
        <v>0.48515000000000003</v>
      </c>
      <c r="C81">
        <f t="shared" si="16"/>
        <v>1.9685548766650003</v>
      </c>
      <c r="D81" s="1">
        <v>1.6500000000000001E-2</v>
      </c>
      <c r="E81" s="1">
        <v>1.41E-2</v>
      </c>
      <c r="F81">
        <f t="shared" si="13"/>
        <v>811.52422000000013</v>
      </c>
      <c r="G81">
        <f t="shared" si="14"/>
        <v>-0.48515000000000003</v>
      </c>
      <c r="H81">
        <f t="shared" si="15"/>
        <v>-393.71097533300008</v>
      </c>
      <c r="I81">
        <v>1</v>
      </c>
      <c r="J81">
        <f t="shared" si="17"/>
        <v>-0.20884104650860921</v>
      </c>
      <c r="K81">
        <f t="shared" si="18"/>
        <v>-0.73657515177521748</v>
      </c>
      <c r="M81">
        <f t="shared" si="20"/>
        <v>0.5056696792675478</v>
      </c>
      <c r="N81">
        <f t="shared" si="23"/>
        <v>6.6950748150000017E-2</v>
      </c>
      <c r="O81">
        <f t="shared" si="21"/>
        <v>5.7212457510000002E-2</v>
      </c>
      <c r="P81">
        <f t="shared" si="22"/>
        <v>0.10674226684766966</v>
      </c>
      <c r="V81">
        <v>1.69999999999997</v>
      </c>
      <c r="W81">
        <f t="shared" si="19"/>
        <v>-0.5726699999999989</v>
      </c>
    </row>
    <row r="82" spans="1:23" x14ac:dyDescent="0.3">
      <c r="A82">
        <v>4.1095581000000001</v>
      </c>
      <c r="B82">
        <v>0.48175000000000001</v>
      </c>
      <c r="C82">
        <f t="shared" si="16"/>
        <v>1.9797796146750002</v>
      </c>
      <c r="D82" s="1">
        <v>1.6500000000000001E-2</v>
      </c>
      <c r="E82" s="1">
        <v>1.41E-2</v>
      </c>
      <c r="F82">
        <f t="shared" si="13"/>
        <v>821.91161999999997</v>
      </c>
      <c r="G82">
        <f t="shared" si="14"/>
        <v>-0.48175000000000001</v>
      </c>
      <c r="H82">
        <f t="shared" si="15"/>
        <v>-395.95592293500005</v>
      </c>
      <c r="I82">
        <v>1</v>
      </c>
      <c r="J82">
        <f t="shared" si="17"/>
        <v>-0.19612240795463357</v>
      </c>
      <c r="K82">
        <f t="shared" si="18"/>
        <v>-0.73997515177521744</v>
      </c>
      <c r="M82">
        <f t="shared" si="20"/>
        <v>0.50611610348079239</v>
      </c>
      <c r="N82">
        <f t="shared" si="23"/>
        <v>6.7807708650000006E-2</v>
      </c>
      <c r="O82">
        <f t="shared" si="21"/>
        <v>5.7944769209999997E-2</v>
      </c>
      <c r="P82">
        <f t="shared" si="22"/>
        <v>0.10810657043442504</v>
      </c>
      <c r="V82">
        <v>1.7999999999999701</v>
      </c>
      <c r="W82">
        <f t="shared" si="19"/>
        <v>-0.57617999999999892</v>
      </c>
    </row>
    <row r="83" spans="1:23" x14ac:dyDescent="0.3">
      <c r="A83">
        <v>4.1609854000000004</v>
      </c>
      <c r="B83">
        <v>0.47838999999999998</v>
      </c>
      <c r="C83">
        <f t="shared" si="16"/>
        <v>1.990573805506</v>
      </c>
      <c r="D83" s="1">
        <v>1.6500000000000001E-2</v>
      </c>
      <c r="E83" s="1">
        <v>1.41E-2</v>
      </c>
      <c r="F83">
        <f t="shared" si="13"/>
        <v>832.19708000000003</v>
      </c>
      <c r="G83">
        <f t="shared" si="14"/>
        <v>-0.47838999999999998</v>
      </c>
      <c r="H83">
        <f t="shared" si="15"/>
        <v>-398.11476110120003</v>
      </c>
      <c r="I83">
        <v>1</v>
      </c>
      <c r="J83">
        <f t="shared" si="17"/>
        <v>-0.18368599121138168</v>
      </c>
      <c r="K83">
        <f t="shared" si="18"/>
        <v>-0.74333515177521747</v>
      </c>
      <c r="M83">
        <f t="shared" si="20"/>
        <v>0.50655262170848048</v>
      </c>
      <c r="N83">
        <f t="shared" si="23"/>
        <v>6.8656259100000006E-2</v>
      </c>
      <c r="O83">
        <f t="shared" si="21"/>
        <v>5.8669894140000005E-2</v>
      </c>
      <c r="P83">
        <f t="shared" si="22"/>
        <v>0.10945637682673698</v>
      </c>
      <c r="V83">
        <v>1.8999999999999699</v>
      </c>
      <c r="W83">
        <f t="shared" si="19"/>
        <v>-0.57968999999999893</v>
      </c>
    </row>
    <row r="84" spans="1:23" x14ac:dyDescent="0.3">
      <c r="A84">
        <v>4.2119038</v>
      </c>
      <c r="B84">
        <v>0.47502</v>
      </c>
      <c r="C84">
        <f t="shared" si="16"/>
        <v>2.0007385430759999</v>
      </c>
      <c r="D84" s="1">
        <v>1.6500000000000001E-2</v>
      </c>
      <c r="E84" s="1">
        <v>1.41E-2</v>
      </c>
      <c r="F84">
        <f t="shared" si="13"/>
        <v>842.38076000000001</v>
      </c>
      <c r="G84">
        <f t="shared" si="14"/>
        <v>-0.47502</v>
      </c>
      <c r="H84">
        <f t="shared" si="15"/>
        <v>-400.14770861519997</v>
      </c>
      <c r="I84">
        <v>1</v>
      </c>
      <c r="J84">
        <f t="shared" si="17"/>
        <v>-0.17152315792936956</v>
      </c>
      <c r="K84">
        <f t="shared" si="18"/>
        <v>-0.74670515177521746</v>
      </c>
      <c r="M84">
        <f t="shared" si="20"/>
        <v>0.50697953715667909</v>
      </c>
      <c r="N84">
        <f t="shared" si="23"/>
        <v>6.949641270000001E-2</v>
      </c>
      <c r="O84">
        <f t="shared" si="21"/>
        <v>5.9387843579999995E-2</v>
      </c>
      <c r="P84">
        <f t="shared" si="22"/>
        <v>0.11084135833853836</v>
      </c>
      <c r="V84">
        <v>1.99999999999997</v>
      </c>
      <c r="W84">
        <f t="shared" si="19"/>
        <v>-0.58319999999999894</v>
      </c>
    </row>
    <row r="85" spans="1:23" x14ac:dyDescent="0.3">
      <c r="A85">
        <v>4.2623129999999998</v>
      </c>
      <c r="B85">
        <v>0.47192000000000001</v>
      </c>
      <c r="C85">
        <f t="shared" si="16"/>
        <v>2.0114707509600001</v>
      </c>
      <c r="D85" s="1">
        <v>1.6500000000000001E-2</v>
      </c>
      <c r="E85" s="1">
        <v>1.41E-2</v>
      </c>
      <c r="F85">
        <f t="shared" si="13"/>
        <v>852.46259999999995</v>
      </c>
      <c r="G85">
        <f t="shared" si="14"/>
        <v>-0.47192000000000001</v>
      </c>
      <c r="H85">
        <f t="shared" si="15"/>
        <v>-402.29415019200002</v>
      </c>
      <c r="I85">
        <v>1</v>
      </c>
      <c r="J85">
        <f t="shared" si="17"/>
        <v>-0.15962594175456624</v>
      </c>
      <c r="K85">
        <f t="shared" si="18"/>
        <v>-0.74980515177521745</v>
      </c>
      <c r="M85">
        <f t="shared" si="20"/>
        <v>0.50739712944441473</v>
      </c>
      <c r="N85">
        <f t="shared" si="23"/>
        <v>7.0328164499999998E-2</v>
      </c>
      <c r="O85">
        <f t="shared" si="21"/>
        <v>6.0098613299999999E-2</v>
      </c>
      <c r="P85">
        <f t="shared" si="22"/>
        <v>0.11198124453080271</v>
      </c>
      <c r="V85">
        <v>2.0999999999999699</v>
      </c>
      <c r="W85">
        <f t="shared" si="19"/>
        <v>-0.58670999999999895</v>
      </c>
    </row>
    <row r="86" spans="1:23" x14ac:dyDescent="0.3">
      <c r="A86">
        <v>4.3127221999999996</v>
      </c>
      <c r="B86">
        <v>0.46855999999999998</v>
      </c>
      <c r="C86">
        <f t="shared" si="16"/>
        <v>2.0207691140319999</v>
      </c>
      <c r="D86" s="1">
        <v>1.6500000000000001E-2</v>
      </c>
      <c r="E86" s="1">
        <v>1.41E-2</v>
      </c>
      <c r="F86">
        <f t="shared" si="13"/>
        <v>862.5444399999999</v>
      </c>
      <c r="G86">
        <f t="shared" si="14"/>
        <v>-0.46855999999999998</v>
      </c>
      <c r="H86">
        <f t="shared" si="15"/>
        <v>-404.1538228064</v>
      </c>
      <c r="I86">
        <v>1</v>
      </c>
      <c r="J86">
        <f t="shared" si="17"/>
        <v>-0.1478686067662898</v>
      </c>
      <c r="K86">
        <f t="shared" si="18"/>
        <v>-0.75316515177521748</v>
      </c>
      <c r="M86">
        <f t="shared" si="20"/>
        <v>0.50780981190250329</v>
      </c>
      <c r="N86">
        <f t="shared" si="23"/>
        <v>7.1159916300000001E-2</v>
      </c>
      <c r="O86">
        <f t="shared" si="21"/>
        <v>6.0809383019999996E-2</v>
      </c>
      <c r="P86">
        <f t="shared" si="22"/>
        <v>0.11338604055271417</v>
      </c>
      <c r="V86">
        <v>2.19999999999997</v>
      </c>
      <c r="W86">
        <f t="shared" si="19"/>
        <v>-0.59021999999999897</v>
      </c>
    </row>
    <row r="87" spans="1:23" x14ac:dyDescent="0.3">
      <c r="A87">
        <v>4.3636401000000005</v>
      </c>
      <c r="B87">
        <v>0.46505000000000002</v>
      </c>
      <c r="C87">
        <f t="shared" si="16"/>
        <v>2.0293108285050003</v>
      </c>
      <c r="D87" s="1">
        <v>1.6500000000000001E-2</v>
      </c>
      <c r="E87" s="1">
        <v>1.41E-2</v>
      </c>
      <c r="F87">
        <f t="shared" si="13"/>
        <v>872.72802000000013</v>
      </c>
      <c r="G87">
        <f t="shared" si="14"/>
        <v>-0.46505000000000002</v>
      </c>
      <c r="H87">
        <f t="shared" si="15"/>
        <v>-405.86216570100009</v>
      </c>
      <c r="I87">
        <v>1</v>
      </c>
      <c r="J87">
        <f t="shared" si="17"/>
        <v>-0.13613131807494638</v>
      </c>
      <c r="K87">
        <f t="shared" si="18"/>
        <v>-0.75667515177521749</v>
      </c>
      <c r="M87">
        <f t="shared" si="20"/>
        <v>0.50822179073556939</v>
      </c>
      <c r="N87">
        <f t="shared" si="23"/>
        <v>7.2000061650000016E-2</v>
      </c>
      <c r="O87">
        <f t="shared" si="21"/>
        <v>6.1527325410000007E-2</v>
      </c>
      <c r="P87">
        <f t="shared" si="22"/>
        <v>0.1149259739796481</v>
      </c>
      <c r="V87">
        <v>2.2999999999999701</v>
      </c>
      <c r="W87">
        <f t="shared" si="19"/>
        <v>-0.59372999999999898</v>
      </c>
    </row>
    <row r="88" spans="1:23" x14ac:dyDescent="0.3">
      <c r="A88">
        <v>4.4145591</v>
      </c>
      <c r="B88">
        <v>0.46212999999999999</v>
      </c>
      <c r="C88">
        <f t="shared" si="16"/>
        <v>2.0401001968829999</v>
      </c>
      <c r="D88" s="1">
        <v>1.6500000000000001E-2</v>
      </c>
      <c r="E88" s="1">
        <v>1.41E-2</v>
      </c>
      <c r="F88">
        <f t="shared" si="13"/>
        <v>882.91182000000003</v>
      </c>
      <c r="G88">
        <f t="shared" si="14"/>
        <v>-0.46212999999999999</v>
      </c>
      <c r="H88">
        <f t="shared" si="15"/>
        <v>-408.02003937659998</v>
      </c>
      <c r="I88">
        <v>1</v>
      </c>
      <c r="J88">
        <f t="shared" si="17"/>
        <v>-0.12452994746458847</v>
      </c>
      <c r="K88">
        <f t="shared" si="18"/>
        <v>-0.75959515177521753</v>
      </c>
      <c r="M88">
        <f t="shared" si="20"/>
        <v>0.50862899884399293</v>
      </c>
      <c r="N88">
        <f t="shared" si="23"/>
        <v>7.2840225150000007E-2</v>
      </c>
      <c r="O88">
        <f t="shared" si="21"/>
        <v>6.2245283309999996E-2</v>
      </c>
      <c r="P88">
        <f t="shared" si="22"/>
        <v>0.11588064447122461</v>
      </c>
      <c r="V88">
        <v>2.3999999999999702</v>
      </c>
      <c r="W88">
        <f t="shared" si="19"/>
        <v>-0.59723999999999899</v>
      </c>
    </row>
    <row r="89" spans="1:23" x14ac:dyDescent="0.3">
      <c r="A89">
        <v>4.4664956</v>
      </c>
      <c r="B89">
        <v>0.45851999999999998</v>
      </c>
      <c r="C89">
        <f t="shared" si="16"/>
        <v>2.047977562512</v>
      </c>
      <c r="D89" s="1">
        <v>1.6500000000000001E-2</v>
      </c>
      <c r="E89" s="1">
        <v>1.41E-2</v>
      </c>
      <c r="F89">
        <f t="shared" si="13"/>
        <v>893.29912000000002</v>
      </c>
      <c r="G89">
        <f t="shared" si="14"/>
        <v>-0.45851999999999998</v>
      </c>
      <c r="H89">
        <f t="shared" si="15"/>
        <v>-409.59551250240003</v>
      </c>
      <c r="I89">
        <v>1</v>
      </c>
      <c r="J89">
        <f t="shared" si="17"/>
        <v>-0.11283379338621363</v>
      </c>
      <c r="K89">
        <f t="shared" si="18"/>
        <v>-0.76320515177521742</v>
      </c>
      <c r="M89">
        <f t="shared" si="20"/>
        <v>0.50903953385214395</v>
      </c>
      <c r="N89">
        <f t="shared" si="23"/>
        <v>7.3697177400000008E-2</v>
      </c>
      <c r="O89">
        <f t="shared" si="21"/>
        <v>6.2977587959999998E-2</v>
      </c>
      <c r="P89">
        <f t="shared" si="22"/>
        <v>0.11749085256307346</v>
      </c>
      <c r="V89">
        <v>2.4999999999999698</v>
      </c>
      <c r="W89">
        <f t="shared" si="19"/>
        <v>-0.60074999999999901</v>
      </c>
    </row>
    <row r="90" spans="1:23" x14ac:dyDescent="0.3">
      <c r="A90">
        <v>4.5174140999999999</v>
      </c>
      <c r="B90">
        <v>0.45524999999999999</v>
      </c>
      <c r="C90">
        <f t="shared" si="16"/>
        <v>2.0565527690250001</v>
      </c>
      <c r="D90" s="1">
        <v>1.6500000000000001E-2</v>
      </c>
      <c r="E90" s="1">
        <v>1.41E-2</v>
      </c>
      <c r="F90">
        <f t="shared" si="13"/>
        <v>903.48281999999995</v>
      </c>
      <c r="G90">
        <f t="shared" si="14"/>
        <v>-0.45524999999999999</v>
      </c>
      <c r="H90">
        <f t="shared" si="15"/>
        <v>-411.31055380500004</v>
      </c>
      <c r="I90">
        <v>1</v>
      </c>
      <c r="J90">
        <f t="shared" si="17"/>
        <v>-0.1014981840725329</v>
      </c>
      <c r="K90">
        <f t="shared" si="18"/>
        <v>-0.76647515177521752</v>
      </c>
      <c r="M90">
        <f t="shared" si="20"/>
        <v>0.50943741373905416</v>
      </c>
      <c r="N90">
        <f t="shared" si="23"/>
        <v>7.4537332649999996E-2</v>
      </c>
      <c r="O90">
        <f t="shared" si="21"/>
        <v>6.3695538809999994E-2</v>
      </c>
      <c r="P90">
        <f t="shared" si="22"/>
        <v>0.11880486657616336</v>
      </c>
      <c r="V90">
        <v>2.5999999999999699</v>
      </c>
      <c r="W90">
        <f t="shared" si="19"/>
        <v>-0.60425999999999891</v>
      </c>
    </row>
    <row r="91" spans="1:23" x14ac:dyDescent="0.3">
      <c r="A91">
        <v>4.5688412999999999</v>
      </c>
      <c r="B91">
        <v>0.45193</v>
      </c>
      <c r="C91">
        <f t="shared" si="16"/>
        <v>2.064796448709</v>
      </c>
      <c r="D91" s="1">
        <v>1.6500000000000001E-2</v>
      </c>
      <c r="E91" s="1">
        <v>1.41E-2</v>
      </c>
      <c r="F91">
        <f t="shared" si="13"/>
        <v>913.76825999999994</v>
      </c>
      <c r="G91">
        <f t="shared" si="14"/>
        <v>-0.45193</v>
      </c>
      <c r="H91">
        <f t="shared" si="15"/>
        <v>-412.95928974180003</v>
      </c>
      <c r="I91">
        <v>1</v>
      </c>
      <c r="J91">
        <f t="shared" si="17"/>
        <v>-9.0178284533686745E-2</v>
      </c>
      <c r="K91">
        <f t="shared" si="18"/>
        <v>-0.76979515177521751</v>
      </c>
      <c r="M91">
        <f t="shared" si="20"/>
        <v>0.50983474221286762</v>
      </c>
      <c r="N91">
        <f t="shared" si="23"/>
        <v>7.5385881449999997E-2</v>
      </c>
      <c r="O91">
        <f t="shared" si="21"/>
        <v>6.4420662330000003E-2</v>
      </c>
      <c r="P91">
        <f t="shared" si="22"/>
        <v>0.12015386578234989</v>
      </c>
      <c r="V91">
        <v>2.69999999999997</v>
      </c>
      <c r="W91">
        <f t="shared" si="19"/>
        <v>-0.60776999999999892</v>
      </c>
    </row>
    <row r="92" spans="1:23" x14ac:dyDescent="0.3">
      <c r="A92">
        <v>4.6212871</v>
      </c>
      <c r="B92">
        <v>0.44827</v>
      </c>
      <c r="C92">
        <f t="shared" si="16"/>
        <v>2.0715843683170001</v>
      </c>
      <c r="D92" s="1">
        <v>1.6500000000000001E-2</v>
      </c>
      <c r="E92" s="1">
        <v>1.41E-2</v>
      </c>
      <c r="F92">
        <f t="shared" si="13"/>
        <v>924.25742000000002</v>
      </c>
      <c r="G92">
        <f t="shared" si="14"/>
        <v>-0.44827</v>
      </c>
      <c r="H92">
        <f t="shared" si="15"/>
        <v>-414.31687366340003</v>
      </c>
      <c r="I92">
        <v>1</v>
      </c>
      <c r="J92">
        <f t="shared" si="17"/>
        <v>-7.8764653066704077E-2</v>
      </c>
      <c r="K92">
        <f t="shared" si="18"/>
        <v>-0.77345515177521751</v>
      </c>
      <c r="M92">
        <f t="shared" si="20"/>
        <v>0.51023536067735875</v>
      </c>
      <c r="N92">
        <f t="shared" si="23"/>
        <v>7.6251237149999998E-2</v>
      </c>
      <c r="O92">
        <f t="shared" si="21"/>
        <v>6.5160148109999996E-2</v>
      </c>
      <c r="P92">
        <f t="shared" si="22"/>
        <v>0.12180840583785878</v>
      </c>
      <c r="V92">
        <v>2.7999999999999701</v>
      </c>
      <c r="W92">
        <f t="shared" si="19"/>
        <v>-0.61127999999999894</v>
      </c>
    </row>
    <row r="93" spans="1:23" x14ac:dyDescent="0.3">
      <c r="A93">
        <v>4.6747515000000002</v>
      </c>
      <c r="B93">
        <v>0.44506000000000001</v>
      </c>
      <c r="C93">
        <f t="shared" si="16"/>
        <v>2.0805449025900002</v>
      </c>
      <c r="D93" s="1">
        <v>1.6500000000000001E-2</v>
      </c>
      <c r="E93" s="1">
        <v>1.41E-2</v>
      </c>
      <c r="F93">
        <f t="shared" si="13"/>
        <v>934.95030000000008</v>
      </c>
      <c r="G93">
        <f t="shared" si="14"/>
        <v>-0.44506000000000001</v>
      </c>
      <c r="H93">
        <f t="shared" si="15"/>
        <v>-416.10898051800007</v>
      </c>
      <c r="I93">
        <v>1</v>
      </c>
      <c r="J93">
        <f t="shared" si="17"/>
        <v>-6.7261906186445161E-2</v>
      </c>
      <c r="K93">
        <f t="shared" si="18"/>
        <v>-0.77666515177521744</v>
      </c>
      <c r="M93">
        <f t="shared" si="20"/>
        <v>0.51063910709285576</v>
      </c>
      <c r="N93">
        <f t="shared" si="23"/>
        <v>7.7133399750000012E-2</v>
      </c>
      <c r="O93">
        <f t="shared" si="21"/>
        <v>6.5913996150000001E-2</v>
      </c>
      <c r="P93">
        <f t="shared" si="22"/>
        <v>0.12297864878236169</v>
      </c>
      <c r="V93">
        <v>2.8999999999999702</v>
      </c>
      <c r="W93">
        <f t="shared" si="19"/>
        <v>-0.61478999999999895</v>
      </c>
    </row>
    <row r="94" spans="1:23" x14ac:dyDescent="0.3">
      <c r="A94">
        <v>4.7266879999999993</v>
      </c>
      <c r="B94">
        <v>0.44145000000000001</v>
      </c>
      <c r="C94">
        <f t="shared" si="16"/>
        <v>2.0865964175999996</v>
      </c>
      <c r="D94" s="1">
        <v>1.6500000000000001E-2</v>
      </c>
      <c r="E94" s="1">
        <v>1.41E-2</v>
      </c>
      <c r="F94">
        <f t="shared" si="13"/>
        <v>945.33759999999984</v>
      </c>
      <c r="G94">
        <f t="shared" si="14"/>
        <v>-0.44145000000000001</v>
      </c>
      <c r="H94">
        <f t="shared" si="15"/>
        <v>-417.31928351999994</v>
      </c>
      <c r="I94">
        <v>1</v>
      </c>
      <c r="J94">
        <f t="shared" si="17"/>
        <v>-5.6213166609260359E-2</v>
      </c>
      <c r="K94">
        <f t="shared" si="18"/>
        <v>-0.78027515177521745</v>
      </c>
      <c r="M94">
        <f t="shared" si="20"/>
        <v>0.51102691785201493</v>
      </c>
      <c r="N94">
        <f t="shared" si="23"/>
        <v>7.7990351999999999E-2</v>
      </c>
      <c r="O94">
        <f t="shared" si="21"/>
        <v>6.6646300799999988E-2</v>
      </c>
      <c r="P94">
        <f t="shared" si="22"/>
        <v>0.12461158112320254</v>
      </c>
      <c r="V94">
        <v>2.9999999999999698</v>
      </c>
      <c r="W94">
        <f t="shared" si="19"/>
        <v>-0.61829999999999896</v>
      </c>
    </row>
    <row r="95" spans="1:23" x14ac:dyDescent="0.3">
      <c r="A95">
        <v>4.7781156999999999</v>
      </c>
      <c r="B95">
        <v>0.43807000000000001</v>
      </c>
      <c r="C95">
        <f t="shared" si="16"/>
        <v>2.0931491446989998</v>
      </c>
      <c r="D95" s="1">
        <v>1.6500000000000001E-2</v>
      </c>
      <c r="E95" s="1">
        <v>1.41E-2</v>
      </c>
      <c r="F95">
        <f t="shared" si="13"/>
        <v>955.62313999999992</v>
      </c>
      <c r="G95">
        <f t="shared" si="14"/>
        <v>-0.43807000000000001</v>
      </c>
      <c r="H95">
        <f t="shared" si="15"/>
        <v>-418.62982893979995</v>
      </c>
      <c r="I95">
        <v>1</v>
      </c>
      <c r="J95">
        <f t="shared" si="17"/>
        <v>-4.5391648670881149E-2</v>
      </c>
      <c r="K95">
        <f t="shared" si="18"/>
        <v>-0.7836551517752175</v>
      </c>
      <c r="M95">
        <f t="shared" si="20"/>
        <v>0.51140675313165207</v>
      </c>
      <c r="N95">
        <f t="shared" si="23"/>
        <v>7.8838909050000003E-2</v>
      </c>
      <c r="O95">
        <f t="shared" si="21"/>
        <v>6.7371431369999998E-2</v>
      </c>
      <c r="P95">
        <f t="shared" si="22"/>
        <v>0.1260380582235654</v>
      </c>
      <c r="V95">
        <v>3.0999999999999699</v>
      </c>
      <c r="W95">
        <f t="shared" si="19"/>
        <v>-0.62180999999999897</v>
      </c>
    </row>
    <row r="96" spans="1:23" x14ac:dyDescent="0.3">
      <c r="A96">
        <v>4.8285248999999997</v>
      </c>
      <c r="B96">
        <v>0.43430999999999997</v>
      </c>
      <c r="C96">
        <f t="shared" si="16"/>
        <v>2.0970766493189998</v>
      </c>
      <c r="D96" s="1">
        <v>1.6500000000000001E-2</v>
      </c>
      <c r="E96" s="1">
        <v>1.41E-2</v>
      </c>
      <c r="F96">
        <f t="shared" si="13"/>
        <v>965.70497999999998</v>
      </c>
      <c r="G96">
        <f t="shared" si="14"/>
        <v>-0.43430999999999997</v>
      </c>
      <c r="H96">
        <f t="shared" si="15"/>
        <v>-419.41532986379997</v>
      </c>
      <c r="I96">
        <v>1</v>
      </c>
      <c r="J96">
        <f t="shared" si="17"/>
        <v>-3.4896895141542664E-2</v>
      </c>
      <c r="K96">
        <f t="shared" si="18"/>
        <v>-0.78741515177521748</v>
      </c>
      <c r="M96">
        <f t="shared" si="20"/>
        <v>0.51177511898053185</v>
      </c>
      <c r="N96">
        <f t="shared" si="23"/>
        <v>7.9670660850000005E-2</v>
      </c>
      <c r="O96">
        <f t="shared" si="21"/>
        <v>6.8082201089999989E-2</v>
      </c>
      <c r="P96">
        <f t="shared" si="22"/>
        <v>0.12788717085468562</v>
      </c>
      <c r="V96">
        <v>3.19999999999997</v>
      </c>
      <c r="W96">
        <f t="shared" si="19"/>
        <v>-0.62531999999999899</v>
      </c>
    </row>
    <row r="97" spans="1:23" x14ac:dyDescent="0.3">
      <c r="A97">
        <v>4.8794428999999999</v>
      </c>
      <c r="B97">
        <v>0.43132999999999999</v>
      </c>
      <c r="C97">
        <f t="shared" si="16"/>
        <v>2.104650106057</v>
      </c>
      <c r="D97" s="1">
        <v>1.6500000000000001E-2</v>
      </c>
      <c r="E97" s="1">
        <v>1.41E-2</v>
      </c>
      <c r="F97">
        <f t="shared" si="13"/>
        <v>975.88857999999993</v>
      </c>
      <c r="G97">
        <f t="shared" si="14"/>
        <v>-0.43132999999999999</v>
      </c>
      <c r="H97">
        <f t="shared" si="15"/>
        <v>-420.9300212114</v>
      </c>
      <c r="I97">
        <v>1</v>
      </c>
      <c r="J97">
        <f t="shared" si="17"/>
        <v>-2.4406858921840302E-2</v>
      </c>
      <c r="K97">
        <f t="shared" si="18"/>
        <v>-0.79039515177521746</v>
      </c>
      <c r="M97">
        <f t="shared" si="20"/>
        <v>0.51214331925184342</v>
      </c>
      <c r="N97">
        <f t="shared" si="23"/>
        <v>8.0510807850000005E-2</v>
      </c>
      <c r="O97">
        <f t="shared" si="21"/>
        <v>6.8800144889999998E-2</v>
      </c>
      <c r="P97">
        <f t="shared" si="22"/>
        <v>0.12894087978337404</v>
      </c>
      <c r="V97">
        <v>3.2999999999999701</v>
      </c>
      <c r="W97">
        <f t="shared" si="19"/>
        <v>-0.628829999999999</v>
      </c>
    </row>
    <row r="98" spans="1:23" x14ac:dyDescent="0.3">
      <c r="A98">
        <v>4.9298525</v>
      </c>
      <c r="B98">
        <v>0.42781999999999998</v>
      </c>
      <c r="C98">
        <f t="shared" si="16"/>
        <v>2.1090894965499998</v>
      </c>
      <c r="D98" s="1">
        <v>1.6500000000000001E-2</v>
      </c>
      <c r="E98" s="1">
        <v>1.41E-2</v>
      </c>
      <c r="F98">
        <f t="shared" si="13"/>
        <v>985.97050000000002</v>
      </c>
      <c r="G98">
        <f t="shared" si="14"/>
        <v>-0.42781999999999998</v>
      </c>
      <c r="H98">
        <f t="shared" si="15"/>
        <v>-421.81789930999997</v>
      </c>
      <c r="I98">
        <v>1</v>
      </c>
      <c r="J98">
        <f t="shared" si="17"/>
        <v>-1.4128843691177168E-2</v>
      </c>
      <c r="K98">
        <f t="shared" si="18"/>
        <v>-0.79390515177521748</v>
      </c>
      <c r="M98">
        <f t="shared" si="20"/>
        <v>0.51250407758643968</v>
      </c>
      <c r="N98">
        <f t="shared" si="23"/>
        <v>8.1342566249999998E-2</v>
      </c>
      <c r="O98">
        <f t="shared" si="21"/>
        <v>6.9510920249999997E-2</v>
      </c>
      <c r="P98">
        <f t="shared" si="22"/>
        <v>0.13054758768877781</v>
      </c>
      <c r="V98">
        <v>3.3999999999999702</v>
      </c>
      <c r="W98">
        <f t="shared" si="19"/>
        <v>-0.63233999999999901</v>
      </c>
    </row>
    <row r="99" spans="1:23" x14ac:dyDescent="0.3">
      <c r="A99">
        <v>4.9807705000000002</v>
      </c>
      <c r="B99">
        <v>0.42474000000000001</v>
      </c>
      <c r="C99">
        <f t="shared" si="16"/>
        <v>2.11553246217</v>
      </c>
      <c r="D99" s="1">
        <v>1.6500000000000001E-2</v>
      </c>
      <c r="E99" s="1">
        <v>1.41E-2</v>
      </c>
      <c r="F99">
        <f t="shared" si="13"/>
        <v>996.15410000000008</v>
      </c>
      <c r="G99">
        <f t="shared" si="14"/>
        <v>-0.42474000000000001</v>
      </c>
      <c r="H99">
        <f t="shared" si="15"/>
        <v>-423.10649243400002</v>
      </c>
      <c r="I99">
        <v>1</v>
      </c>
      <c r="J99">
        <f t="shared" si="17"/>
        <v>-3.8533144897675794E-3</v>
      </c>
      <c r="K99">
        <f t="shared" si="18"/>
        <v>-0.79698515177521745</v>
      </c>
      <c r="M99">
        <f t="shared" si="20"/>
        <v>0.51286474866140919</v>
      </c>
      <c r="N99">
        <f t="shared" si="23"/>
        <v>8.2182713250000011E-2</v>
      </c>
      <c r="O99">
        <f t="shared" si="21"/>
        <v>7.0228864050000006E-2</v>
      </c>
      <c r="P99">
        <f t="shared" si="22"/>
        <v>0.13170882581380824</v>
      </c>
      <c r="V99">
        <v>3.4999999999999698</v>
      </c>
      <c r="W99">
        <f t="shared" si="19"/>
        <v>-0.63584999999999892</v>
      </c>
    </row>
    <row r="100" spans="1:23" x14ac:dyDescent="0.3">
      <c r="A100">
        <v>5.0332167999999999</v>
      </c>
      <c r="B100">
        <v>0.42081000000000002</v>
      </c>
      <c r="C100">
        <f t="shared" si="16"/>
        <v>2.118027961608</v>
      </c>
      <c r="D100" s="1">
        <v>1.6500000000000001E-2</v>
      </c>
      <c r="E100" s="1">
        <v>1.41E-2</v>
      </c>
      <c r="F100">
        <f t="shared" si="13"/>
        <v>1006.64336</v>
      </c>
      <c r="G100">
        <f t="shared" si="14"/>
        <v>-0.42081000000000002</v>
      </c>
      <c r="H100">
        <f t="shared" si="15"/>
        <v>-423.6055923216</v>
      </c>
      <c r="I100">
        <v>1</v>
      </c>
      <c r="J100">
        <f t="shared" si="17"/>
        <v>6.6213901327687227E-3</v>
      </c>
      <c r="K100">
        <f t="shared" si="18"/>
        <v>-0.80091515177521744</v>
      </c>
      <c r="M100">
        <f t="shared" si="20"/>
        <v>0.51323241079366022</v>
      </c>
      <c r="N100">
        <f t="shared" si="23"/>
        <v>8.3048077200000001E-2</v>
      </c>
      <c r="O100">
        <f t="shared" si="21"/>
        <v>7.096835688E-2</v>
      </c>
      <c r="P100">
        <f t="shared" si="22"/>
        <v>0.1336663069015572</v>
      </c>
      <c r="V100">
        <v>3.5999999999999699</v>
      </c>
      <c r="W100">
        <f t="shared" si="19"/>
        <v>-0.63935999999999893</v>
      </c>
    </row>
    <row r="101" spans="1:23" x14ac:dyDescent="0.3">
      <c r="A101">
        <v>5.0851533</v>
      </c>
      <c r="B101">
        <v>0.41733999999999999</v>
      </c>
      <c r="C101">
        <f t="shared" si="16"/>
        <v>2.1222378782219997</v>
      </c>
      <c r="D101" s="1">
        <v>1.6500000000000001E-2</v>
      </c>
      <c r="E101" s="1">
        <v>1.41E-2</v>
      </c>
      <c r="F101">
        <f t="shared" si="13"/>
        <v>1017.03066</v>
      </c>
      <c r="G101">
        <f t="shared" si="14"/>
        <v>-0.41733999999999999</v>
      </c>
      <c r="H101">
        <f t="shared" si="15"/>
        <v>-424.44757564439993</v>
      </c>
      <c r="I101">
        <v>1</v>
      </c>
      <c r="J101">
        <f t="shared" si="17"/>
        <v>1.6887264104621831E-2</v>
      </c>
      <c r="K101">
        <f t="shared" si="18"/>
        <v>-0.80438515177521741</v>
      </c>
      <c r="M101">
        <f t="shared" si="20"/>
        <v>0.51359274297007229</v>
      </c>
      <c r="N101">
        <f t="shared" si="23"/>
        <v>8.3905029450000002E-2</v>
      </c>
      <c r="O101">
        <f t="shared" si="21"/>
        <v>7.1700661530000001E-2</v>
      </c>
      <c r="P101">
        <f t="shared" si="22"/>
        <v>0.13518671782514513</v>
      </c>
      <c r="V101">
        <v>3.69999999999997</v>
      </c>
      <c r="W101">
        <f t="shared" si="19"/>
        <v>-0.64286999999999894</v>
      </c>
    </row>
    <row r="102" spans="1:23" x14ac:dyDescent="0.3">
      <c r="A102">
        <v>5.1355620000000002</v>
      </c>
      <c r="B102">
        <v>0.41409000000000001</v>
      </c>
      <c r="C102">
        <f t="shared" si="16"/>
        <v>2.1265848685800002</v>
      </c>
      <c r="D102" s="1">
        <v>1.6500000000000001E-2</v>
      </c>
      <c r="E102" s="1">
        <v>1.41E-2</v>
      </c>
      <c r="F102">
        <f t="shared" si="13"/>
        <v>1027.1124</v>
      </c>
      <c r="G102">
        <f t="shared" si="14"/>
        <v>-0.41409000000000001</v>
      </c>
      <c r="H102">
        <f t="shared" si="15"/>
        <v>-425.31697371600001</v>
      </c>
      <c r="I102">
        <v>1</v>
      </c>
      <c r="J102">
        <f t="shared" si="17"/>
        <v>2.67513699431501E-2</v>
      </c>
      <c r="K102">
        <f t="shared" si="18"/>
        <v>-0.80763515177521739</v>
      </c>
      <c r="M102">
        <f t="shared" si="20"/>
        <v>0.51393897308500458</v>
      </c>
      <c r="N102">
        <f t="shared" si="23"/>
        <v>8.4736773000000001E-2</v>
      </c>
      <c r="O102">
        <f t="shared" si="21"/>
        <v>7.2411424200000005E-2</v>
      </c>
      <c r="P102">
        <f t="shared" si="22"/>
        <v>0.1365479814902128</v>
      </c>
      <c r="V102">
        <v>3.7999999999999701</v>
      </c>
      <c r="W102">
        <f t="shared" si="19"/>
        <v>-0.64637999999999896</v>
      </c>
    </row>
    <row r="103" spans="1:23" x14ac:dyDescent="0.3">
      <c r="A103">
        <v>5.1890269</v>
      </c>
      <c r="B103">
        <v>0.41077000000000002</v>
      </c>
      <c r="C103">
        <f t="shared" si="16"/>
        <v>2.1314965797130001</v>
      </c>
      <c r="D103" s="1">
        <v>1.6500000000000001E-2</v>
      </c>
      <c r="E103" s="1">
        <v>1.41E-2</v>
      </c>
      <c r="F103">
        <f t="shared" si="13"/>
        <v>1037.80538</v>
      </c>
      <c r="G103">
        <f t="shared" si="14"/>
        <v>-0.41077000000000002</v>
      </c>
      <c r="H103">
        <f t="shared" si="15"/>
        <v>-426.2993159426</v>
      </c>
      <c r="I103">
        <v>1</v>
      </c>
      <c r="J103">
        <f t="shared" si="17"/>
        <v>3.7108271981233343E-2</v>
      </c>
      <c r="K103">
        <f t="shared" si="18"/>
        <v>-0.81095515177521738</v>
      </c>
      <c r="M103">
        <f t="shared" si="20"/>
        <v>0.51430250034654135</v>
      </c>
      <c r="N103">
        <f t="shared" si="23"/>
        <v>8.5618943850000004E-2</v>
      </c>
      <c r="O103">
        <f t="shared" si="21"/>
        <v>7.3165279289999996E-2</v>
      </c>
      <c r="P103">
        <f t="shared" si="22"/>
        <v>0.13786842828867601</v>
      </c>
      <c r="V103">
        <v>3.8999999999999599</v>
      </c>
      <c r="W103">
        <f t="shared" si="19"/>
        <v>-0.64988999999999864</v>
      </c>
    </row>
    <row r="104" spans="1:23" x14ac:dyDescent="0.3">
      <c r="A104">
        <v>5.2394354999999999</v>
      </c>
      <c r="B104">
        <v>0.40722000000000003</v>
      </c>
      <c r="C104">
        <f t="shared" si="16"/>
        <v>2.1336029243100003</v>
      </c>
      <c r="D104" s="1">
        <v>1.6500000000000001E-2</v>
      </c>
      <c r="E104" s="1">
        <v>1.41E-2</v>
      </c>
      <c r="F104">
        <f t="shared" si="13"/>
        <v>1047.8870999999999</v>
      </c>
      <c r="G104">
        <f t="shared" si="14"/>
        <v>-0.40722000000000003</v>
      </c>
      <c r="H104">
        <f t="shared" si="15"/>
        <v>-426.72058486200007</v>
      </c>
      <c r="I104">
        <v>1</v>
      </c>
      <c r="J104">
        <f t="shared" si="17"/>
        <v>4.6775851088030361E-2</v>
      </c>
      <c r="K104">
        <f t="shared" si="18"/>
        <v>-0.81450515177521743</v>
      </c>
      <c r="M104">
        <f t="shared" si="20"/>
        <v>0.51464183237318983</v>
      </c>
      <c r="N104">
        <f t="shared" si="23"/>
        <v>8.6450685750000006E-2</v>
      </c>
      <c r="O104">
        <f t="shared" si="21"/>
        <v>7.3876040549999994E-2</v>
      </c>
      <c r="P104">
        <f t="shared" si="22"/>
        <v>0.1395365931020276</v>
      </c>
      <c r="V104">
        <v>3.99999999999996</v>
      </c>
      <c r="W104">
        <f t="shared" si="19"/>
        <v>-0.65339999999999865</v>
      </c>
    </row>
    <row r="105" spans="1:23" x14ac:dyDescent="0.3">
      <c r="A105">
        <v>5.2934086999999996</v>
      </c>
      <c r="B105">
        <v>0.40338000000000002</v>
      </c>
      <c r="C105">
        <f t="shared" si="16"/>
        <v>2.1352552014059998</v>
      </c>
      <c r="D105" s="1">
        <v>1.6500000000000001E-2</v>
      </c>
      <c r="E105" s="1">
        <v>1.41E-2</v>
      </c>
      <c r="F105">
        <f t="shared" si="13"/>
        <v>1058.68174</v>
      </c>
      <c r="G105">
        <f t="shared" si="14"/>
        <v>-0.40338000000000002</v>
      </c>
      <c r="H105">
        <f t="shared" si="15"/>
        <v>-427.05104028119996</v>
      </c>
      <c r="I105">
        <v>1</v>
      </c>
      <c r="J105">
        <f t="shared" si="17"/>
        <v>5.7024492650684148E-2</v>
      </c>
      <c r="K105">
        <f t="shared" si="18"/>
        <v>-0.81834515177521738</v>
      </c>
      <c r="M105">
        <f t="shared" si="20"/>
        <v>0.51500155969203898</v>
      </c>
      <c r="N105">
        <f t="shared" si="23"/>
        <v>8.7341243550000003E-2</v>
      </c>
      <c r="O105">
        <f t="shared" si="21"/>
        <v>7.463706266999999E-2</v>
      </c>
      <c r="P105">
        <f t="shared" si="22"/>
        <v>0.14136528586317842</v>
      </c>
      <c r="V105">
        <v>4.0999999999999996</v>
      </c>
      <c r="W105">
        <f t="shared" si="19"/>
        <v>-0.65690999999999999</v>
      </c>
    </row>
    <row r="106" spans="1:23" x14ac:dyDescent="0.3">
      <c r="A106">
        <v>5.3438184</v>
      </c>
      <c r="B106">
        <v>0.40028999999999998</v>
      </c>
      <c r="C106">
        <f t="shared" si="16"/>
        <v>2.1390770673359998</v>
      </c>
      <c r="D106" s="1">
        <v>1.6500000000000001E-2</v>
      </c>
      <c r="E106" s="1">
        <v>1.41E-2</v>
      </c>
      <c r="F106">
        <f t="shared" si="13"/>
        <v>1068.76368</v>
      </c>
      <c r="G106">
        <f t="shared" si="14"/>
        <v>-0.40028999999999998</v>
      </c>
      <c r="H106">
        <f t="shared" si="15"/>
        <v>-427.81541346719996</v>
      </c>
      <c r="I106">
        <v>1</v>
      </c>
      <c r="J106">
        <f t="shared" si="17"/>
        <v>6.6502541186913608E-2</v>
      </c>
      <c r="K106">
        <f t="shared" si="18"/>
        <v>-0.82143515177521742</v>
      </c>
      <c r="M106">
        <f t="shared" si="20"/>
        <v>0.51533423919566068</v>
      </c>
      <c r="N106">
        <f t="shared" si="23"/>
        <v>8.8173003600000008E-2</v>
      </c>
      <c r="O106">
        <f t="shared" si="21"/>
        <v>7.5347839439999995E-2</v>
      </c>
      <c r="P106">
        <f t="shared" si="22"/>
        <v>0.14258006953955671</v>
      </c>
      <c r="V106">
        <v>4.2</v>
      </c>
      <c r="W106">
        <f t="shared" si="19"/>
        <v>-0.66042000000000001</v>
      </c>
    </row>
    <row r="107" spans="1:23" x14ac:dyDescent="0.3">
      <c r="A107">
        <v>5.3952455999999991</v>
      </c>
      <c r="B107">
        <v>0.39654</v>
      </c>
      <c r="C107">
        <f t="shared" si="16"/>
        <v>2.1394306902239997</v>
      </c>
      <c r="D107" s="1">
        <v>1.6500000000000001E-2</v>
      </c>
      <c r="E107" s="1">
        <v>1.41E-2</v>
      </c>
      <c r="F107">
        <f t="shared" si="13"/>
        <v>1079.0491199999999</v>
      </c>
      <c r="G107">
        <f t="shared" si="14"/>
        <v>-0.39654</v>
      </c>
      <c r="H107">
        <f t="shared" si="15"/>
        <v>-427.88613804479996</v>
      </c>
      <c r="I107">
        <v>1</v>
      </c>
      <c r="J107">
        <f t="shared" si="17"/>
        <v>7.6080208872821853E-2</v>
      </c>
      <c r="K107">
        <f t="shared" si="18"/>
        <v>-0.82518515177521745</v>
      </c>
      <c r="M107">
        <f t="shared" si="20"/>
        <v>0.51567041533143609</v>
      </c>
      <c r="N107">
        <f t="shared" si="23"/>
        <v>8.9021552399999995E-2</v>
      </c>
      <c r="O107">
        <f t="shared" si="21"/>
        <v>7.607296295999999E-2</v>
      </c>
      <c r="P107">
        <f t="shared" si="22"/>
        <v>0.14442022108378139</v>
      </c>
      <c r="V107">
        <v>4.3</v>
      </c>
      <c r="W107">
        <f t="shared" si="19"/>
        <v>-0.66393000000000002</v>
      </c>
    </row>
    <row r="108" spans="1:23" x14ac:dyDescent="0.3">
      <c r="A108">
        <v>5.4476914000000001</v>
      </c>
      <c r="B108">
        <v>0.39323999999999998</v>
      </c>
      <c r="C108">
        <f t="shared" si="16"/>
        <v>2.1422501661359998</v>
      </c>
      <c r="D108" s="1">
        <v>1.6500000000000001E-2</v>
      </c>
      <c r="E108" s="1">
        <v>1.41E-2</v>
      </c>
      <c r="F108">
        <f t="shared" si="13"/>
        <v>1089.53828</v>
      </c>
      <c r="G108">
        <f t="shared" si="14"/>
        <v>-0.39323999999999998</v>
      </c>
      <c r="H108">
        <f t="shared" si="15"/>
        <v>-428.45003322719998</v>
      </c>
      <c r="I108">
        <v>1</v>
      </c>
      <c r="J108">
        <f t="shared" si="17"/>
        <v>8.5754010168507672E-2</v>
      </c>
      <c r="K108">
        <f t="shared" si="18"/>
        <v>-0.82848515177521742</v>
      </c>
      <c r="M108">
        <f t="shared" si="20"/>
        <v>0.5160099657569146</v>
      </c>
      <c r="N108">
        <f t="shared" si="23"/>
        <v>8.988690810000001E-2</v>
      </c>
      <c r="O108">
        <f t="shared" si="21"/>
        <v>7.6812448739999997E-2</v>
      </c>
      <c r="P108">
        <f t="shared" si="22"/>
        <v>0.14577582917830284</v>
      </c>
      <c r="V108">
        <v>4.4000000000000004</v>
      </c>
      <c r="W108">
        <f t="shared" si="19"/>
        <v>-0.66744000000000003</v>
      </c>
    </row>
    <row r="109" spans="1:23" x14ac:dyDescent="0.3">
      <c r="A109">
        <v>5.4986098999999999</v>
      </c>
      <c r="B109">
        <v>0.38929000000000002</v>
      </c>
      <c r="C109">
        <f t="shared" si="16"/>
        <v>2.1405538479710002</v>
      </c>
      <c r="D109" s="1">
        <v>1.6500000000000001E-2</v>
      </c>
      <c r="E109" s="1">
        <v>1.41E-2</v>
      </c>
      <c r="F109">
        <f t="shared" si="13"/>
        <v>1099.72198</v>
      </c>
      <c r="G109">
        <f t="shared" si="14"/>
        <v>-0.38929000000000002</v>
      </c>
      <c r="H109">
        <f t="shared" si="15"/>
        <v>-428.11076959420006</v>
      </c>
      <c r="I109">
        <v>1</v>
      </c>
      <c r="J109">
        <f t="shared" si="17"/>
        <v>9.5057402404264163E-2</v>
      </c>
      <c r="K109">
        <f t="shared" si="18"/>
        <v>-0.83243515177521743</v>
      </c>
      <c r="M109">
        <f t="shared" si="20"/>
        <v>0.51633651482438969</v>
      </c>
      <c r="N109">
        <f t="shared" si="23"/>
        <v>9.0727063349999998E-2</v>
      </c>
      <c r="O109">
        <f t="shared" si="21"/>
        <v>7.7530399589999993E-2</v>
      </c>
      <c r="P109">
        <f t="shared" si="22"/>
        <v>0.14784117401082775</v>
      </c>
      <c r="V109">
        <v>4.5</v>
      </c>
      <c r="W109">
        <f t="shared" si="19"/>
        <v>-0.67095000000000005</v>
      </c>
    </row>
    <row r="110" spans="1:23" x14ac:dyDescent="0.3">
      <c r="A110">
        <v>5.5490186000000001</v>
      </c>
      <c r="B110">
        <v>0.38590999999999998</v>
      </c>
      <c r="C110">
        <f t="shared" si="16"/>
        <v>2.1414217679259999</v>
      </c>
      <c r="D110" s="1">
        <v>1.6500000000000001E-2</v>
      </c>
      <c r="E110" s="1">
        <v>1.41E-2</v>
      </c>
      <c r="F110">
        <f t="shared" si="13"/>
        <v>1109.8037200000001</v>
      </c>
      <c r="G110">
        <f t="shared" si="14"/>
        <v>-0.38590999999999998</v>
      </c>
      <c r="H110">
        <f t="shared" si="15"/>
        <v>-428.28435358519999</v>
      </c>
      <c r="I110">
        <v>1</v>
      </c>
      <c r="J110">
        <f t="shared" si="17"/>
        <v>0.10418317085935343</v>
      </c>
      <c r="K110">
        <f t="shared" si="18"/>
        <v>-0.83581515177521748</v>
      </c>
      <c r="M110">
        <f t="shared" si="20"/>
        <v>0.51665682929716328</v>
      </c>
      <c r="N110">
        <f t="shared" si="23"/>
        <v>9.1558806900000012E-2</v>
      </c>
      <c r="O110">
        <f t="shared" si="21"/>
        <v>7.8241162259999997E-2</v>
      </c>
      <c r="P110">
        <f t="shared" si="22"/>
        <v>0.14935835331805419</v>
      </c>
      <c r="V110">
        <v>4.5999999999999996</v>
      </c>
      <c r="W110">
        <f t="shared" si="19"/>
        <v>-0.67446000000000006</v>
      </c>
    </row>
    <row r="111" spans="1:23" x14ac:dyDescent="0.3">
      <c r="A111">
        <v>5.6014647999999996</v>
      </c>
      <c r="B111">
        <v>0.38242999999999999</v>
      </c>
      <c r="C111">
        <f t="shared" si="16"/>
        <v>2.1421681834639998</v>
      </c>
      <c r="D111" s="1">
        <v>1.6500000000000001E-2</v>
      </c>
      <c r="E111" s="1">
        <v>1.41E-2</v>
      </c>
      <c r="F111">
        <f t="shared" si="13"/>
        <v>1120.29296</v>
      </c>
      <c r="G111">
        <f t="shared" si="14"/>
        <v>-0.38242999999999999</v>
      </c>
      <c r="H111">
        <f t="shared" si="15"/>
        <v>-428.43363669279995</v>
      </c>
      <c r="I111">
        <v>1</v>
      </c>
      <c r="J111">
        <f t="shared" si="17"/>
        <v>0.11359022253173286</v>
      </c>
      <c r="K111">
        <f t="shared" si="18"/>
        <v>-0.83929515177521741</v>
      </c>
      <c r="M111">
        <f t="shared" si="20"/>
        <v>0.51698701681086379</v>
      </c>
      <c r="N111">
        <f t="shared" si="23"/>
        <v>9.2424169200000003E-2</v>
      </c>
      <c r="O111">
        <f t="shared" si="21"/>
        <v>7.8980653679999999E-2</v>
      </c>
      <c r="P111">
        <f t="shared" si="22"/>
        <v>0.15090331208435359</v>
      </c>
      <c r="V111">
        <v>4.7</v>
      </c>
      <c r="W111">
        <f t="shared" si="19"/>
        <v>-0.67796999999999996</v>
      </c>
    </row>
    <row r="112" spans="1:23" x14ac:dyDescent="0.3">
      <c r="A112">
        <v>5.6528920999999999</v>
      </c>
      <c r="B112">
        <v>0.37884000000000001</v>
      </c>
      <c r="C112">
        <f t="shared" si="16"/>
        <v>2.141541643164</v>
      </c>
      <c r="D112" s="1">
        <v>1.6500000000000001E-2</v>
      </c>
      <c r="E112" s="1">
        <v>1.41E-2</v>
      </c>
      <c r="F112">
        <f t="shared" si="13"/>
        <v>1130.5784200000001</v>
      </c>
      <c r="G112">
        <f t="shared" si="14"/>
        <v>-0.37884000000000001</v>
      </c>
      <c r="H112">
        <f t="shared" si="15"/>
        <v>-428.3083286328</v>
      </c>
      <c r="I112">
        <v>1</v>
      </c>
      <c r="J112">
        <f t="shared" si="17"/>
        <v>0.12272937786655944</v>
      </c>
      <c r="K112">
        <f t="shared" si="18"/>
        <v>-0.84288515177521739</v>
      </c>
      <c r="M112">
        <f t="shared" si="20"/>
        <v>0.51730780116311625</v>
      </c>
      <c r="N112">
        <f t="shared" si="23"/>
        <v>9.3272719650000002E-2</v>
      </c>
      <c r="O112">
        <f t="shared" si="21"/>
        <v>7.970577861E-2</v>
      </c>
      <c r="P112">
        <f t="shared" si="22"/>
        <v>0.15259885235210113</v>
      </c>
      <c r="V112">
        <v>4.8</v>
      </c>
      <c r="W112">
        <f t="shared" si="19"/>
        <v>-0.68147999999999997</v>
      </c>
    </row>
    <row r="113" spans="1:23" x14ac:dyDescent="0.3">
      <c r="A113">
        <v>5.7043197999999995</v>
      </c>
      <c r="B113">
        <v>0.37509999999999999</v>
      </c>
      <c r="C113">
        <f t="shared" si="16"/>
        <v>2.1396903569799997</v>
      </c>
      <c r="D113" s="1">
        <v>1.6500000000000001E-2</v>
      </c>
      <c r="E113" s="1">
        <v>1.41E-2</v>
      </c>
      <c r="F113">
        <f t="shared" si="13"/>
        <v>1140.8639599999999</v>
      </c>
      <c r="G113">
        <f t="shared" si="14"/>
        <v>-0.37509999999999999</v>
      </c>
      <c r="H113">
        <f t="shared" si="15"/>
        <v>-427.93807139599994</v>
      </c>
      <c r="I113">
        <v>1</v>
      </c>
      <c r="J113">
        <f t="shared" si="17"/>
        <v>0.13178583502491306</v>
      </c>
      <c r="K113">
        <f t="shared" si="18"/>
        <v>-0.84662515177521747</v>
      </c>
      <c r="M113">
        <f t="shared" si="20"/>
        <v>0.51762568280937449</v>
      </c>
      <c r="N113">
        <f t="shared" si="23"/>
        <v>9.4121276699999992E-2</v>
      </c>
      <c r="O113">
        <f t="shared" si="21"/>
        <v>8.0430909179999996E-2</v>
      </c>
      <c r="P113">
        <f t="shared" si="22"/>
        <v>0.15444728308584299</v>
      </c>
      <c r="V113">
        <v>4.9000000000000004</v>
      </c>
      <c r="W113">
        <f t="shared" si="19"/>
        <v>-0.68498999999999999</v>
      </c>
    </row>
    <row r="114" spans="1:23" x14ac:dyDescent="0.3">
      <c r="A114">
        <v>5.7567655999999996</v>
      </c>
      <c r="B114">
        <v>0.37175999999999998</v>
      </c>
      <c r="C114">
        <f t="shared" si="16"/>
        <v>2.1401351794559997</v>
      </c>
      <c r="D114" s="1">
        <v>1.6500000000000001E-2</v>
      </c>
      <c r="E114" s="1">
        <v>1.41E-2</v>
      </c>
      <c r="F114">
        <f t="shared" si="13"/>
        <v>1151.35312</v>
      </c>
      <c r="G114">
        <f t="shared" si="14"/>
        <v>-0.37175999999999998</v>
      </c>
      <c r="H114">
        <f t="shared" si="15"/>
        <v>-428.02703589119994</v>
      </c>
      <c r="I114">
        <v>1</v>
      </c>
      <c r="J114">
        <f t="shared" si="17"/>
        <v>0.14093787678015515</v>
      </c>
      <c r="K114">
        <f t="shared" si="18"/>
        <v>-0.84996515177521748</v>
      </c>
      <c r="M114">
        <f t="shared" si="20"/>
        <v>0.5179469194749835</v>
      </c>
      <c r="N114">
        <f t="shared" si="23"/>
        <v>9.4986632399999993E-2</v>
      </c>
      <c r="O114">
        <f t="shared" si="21"/>
        <v>8.1170394959999989E-2</v>
      </c>
      <c r="P114">
        <f t="shared" si="22"/>
        <v>0.15586120494023398</v>
      </c>
      <c r="V114">
        <v>5</v>
      </c>
      <c r="W114">
        <f t="shared" si="19"/>
        <v>-0.6885</v>
      </c>
    </row>
    <row r="115" spans="1:23" x14ac:dyDescent="0.3">
      <c r="A115">
        <v>5.8071748000000003</v>
      </c>
      <c r="B115">
        <v>0.36782999999999999</v>
      </c>
      <c r="C115">
        <f t="shared" si="16"/>
        <v>2.1360531066839998</v>
      </c>
      <c r="D115" s="1">
        <v>1.6500000000000001E-2</v>
      </c>
      <c r="E115" s="1">
        <v>1.41E-2</v>
      </c>
      <c r="F115">
        <f t="shared" si="13"/>
        <v>1161.43496</v>
      </c>
      <c r="G115">
        <f t="shared" si="14"/>
        <v>-0.36782999999999999</v>
      </c>
      <c r="H115">
        <f t="shared" si="15"/>
        <v>-427.21062133679999</v>
      </c>
      <c r="I115">
        <v>1</v>
      </c>
      <c r="J115">
        <f t="shared" si="17"/>
        <v>0.14965627510428375</v>
      </c>
      <c r="K115">
        <f t="shared" si="18"/>
        <v>-0.85389515177521746</v>
      </c>
      <c r="M115">
        <f t="shared" si="20"/>
        <v>0.51825293525616034</v>
      </c>
      <c r="N115">
        <f t="shared" si="23"/>
        <v>9.5818384200000009E-2</v>
      </c>
      <c r="O115">
        <f t="shared" si="21"/>
        <v>8.1881164680000007E-2</v>
      </c>
      <c r="P115">
        <f t="shared" si="22"/>
        <v>0.15794266763905712</v>
      </c>
      <c r="V115">
        <v>5.0999999999999996</v>
      </c>
      <c r="W115">
        <f t="shared" si="19"/>
        <v>-0.69201000000000001</v>
      </c>
    </row>
    <row r="116" spans="1:23" x14ac:dyDescent="0.3">
      <c r="A116">
        <v>5.8580933000000002</v>
      </c>
      <c r="B116">
        <v>0.36404999999999998</v>
      </c>
      <c r="C116">
        <f t="shared" si="16"/>
        <v>2.1326388658650002</v>
      </c>
      <c r="D116" s="1">
        <v>1.6500000000000001E-2</v>
      </c>
      <c r="E116" s="1">
        <v>1.41E-2</v>
      </c>
      <c r="F116">
        <f t="shared" si="13"/>
        <v>1171.6186600000001</v>
      </c>
      <c r="G116">
        <f t="shared" si="14"/>
        <v>-0.36404999999999998</v>
      </c>
      <c r="H116">
        <f t="shared" si="15"/>
        <v>-426.52777317300001</v>
      </c>
      <c r="I116">
        <v>1</v>
      </c>
      <c r="J116">
        <f t="shared" si="17"/>
        <v>0.15838626278213042</v>
      </c>
      <c r="K116">
        <f t="shared" si="18"/>
        <v>-0.85767515177521747</v>
      </c>
      <c r="M116">
        <f t="shared" si="20"/>
        <v>0.51855935782365281</v>
      </c>
      <c r="N116">
        <f t="shared" si="23"/>
        <v>9.6658539450000011E-2</v>
      </c>
      <c r="O116">
        <f t="shared" si="21"/>
        <v>8.2599115530000003E-2</v>
      </c>
      <c r="P116">
        <f t="shared" si="22"/>
        <v>0.15985813897156465</v>
      </c>
      <c r="V116">
        <v>5.2</v>
      </c>
      <c r="W116">
        <f t="shared" si="19"/>
        <v>-0.69552000000000003</v>
      </c>
    </row>
    <row r="117" spans="1:23" x14ac:dyDescent="0.3">
      <c r="A117">
        <v>5.9085023999999997</v>
      </c>
      <c r="B117">
        <v>0.36076000000000003</v>
      </c>
      <c r="C117">
        <f t="shared" si="16"/>
        <v>2.1315513258240002</v>
      </c>
      <c r="D117" s="1">
        <v>1.6500000000000001E-2</v>
      </c>
      <c r="E117" s="1">
        <v>1.41E-2</v>
      </c>
      <c r="F117">
        <f t="shared" si="13"/>
        <v>1181.70048</v>
      </c>
      <c r="G117">
        <f t="shared" si="14"/>
        <v>-0.36076000000000003</v>
      </c>
      <c r="H117">
        <f t="shared" si="15"/>
        <v>-426.31026516480006</v>
      </c>
      <c r="I117">
        <v>1</v>
      </c>
      <c r="J117">
        <f t="shared" si="17"/>
        <v>0.1669544858572159</v>
      </c>
      <c r="K117">
        <f t="shared" si="18"/>
        <v>-0.86096515177521749</v>
      </c>
      <c r="M117">
        <f t="shared" si="20"/>
        <v>0.51886010245358827</v>
      </c>
      <c r="N117">
        <f t="shared" si="23"/>
        <v>9.7490289600000002E-2</v>
      </c>
      <c r="O117">
        <f t="shared" si="21"/>
        <v>8.3309883839999987E-2</v>
      </c>
      <c r="P117">
        <f t="shared" si="22"/>
        <v>0.16130487588162923</v>
      </c>
      <c r="V117">
        <v>5.3</v>
      </c>
      <c r="W117">
        <f t="shared" si="19"/>
        <v>-0.69903000000000004</v>
      </c>
    </row>
    <row r="118" spans="1:23" x14ac:dyDescent="0.3">
      <c r="A118">
        <v>5.9599301999999996</v>
      </c>
      <c r="B118">
        <v>0.35664000000000001</v>
      </c>
      <c r="C118">
        <f t="shared" si="16"/>
        <v>2.1255495065279999</v>
      </c>
      <c r="D118" s="1">
        <v>1.6500000000000001E-2</v>
      </c>
      <c r="E118" s="1">
        <v>1.41E-2</v>
      </c>
      <c r="F118">
        <f t="shared" si="13"/>
        <v>1191.98604</v>
      </c>
      <c r="G118">
        <f t="shared" si="14"/>
        <v>-0.35664000000000001</v>
      </c>
      <c r="H118">
        <f t="shared" si="15"/>
        <v>-425.10990130559998</v>
      </c>
      <c r="I118">
        <v>1</v>
      </c>
      <c r="J118">
        <f t="shared" si="17"/>
        <v>0.17562085716518291</v>
      </c>
      <c r="K118">
        <f t="shared" si="18"/>
        <v>-0.86508515177521739</v>
      </c>
      <c r="M118">
        <f t="shared" si="20"/>
        <v>0.51916429208649795</v>
      </c>
      <c r="N118">
        <f t="shared" si="23"/>
        <v>9.8338848300000004E-2</v>
      </c>
      <c r="O118">
        <f t="shared" si="21"/>
        <v>8.4035015819999989E-2</v>
      </c>
      <c r="P118">
        <f t="shared" si="22"/>
        <v>0.16354699556871943</v>
      </c>
      <c r="V118">
        <v>5.4</v>
      </c>
      <c r="W118">
        <f t="shared" si="19"/>
        <v>-0.70254000000000005</v>
      </c>
    </row>
    <row r="119" spans="1:23" x14ac:dyDescent="0.3">
      <c r="A119">
        <v>6.0108486000000001</v>
      </c>
      <c r="B119">
        <v>0.35306999999999999</v>
      </c>
      <c r="C119">
        <f t="shared" si="16"/>
        <v>2.1222503152019998</v>
      </c>
      <c r="D119" s="1">
        <v>1.6500000000000001E-2</v>
      </c>
      <c r="E119" s="1">
        <v>1.41E-2</v>
      </c>
      <c r="F119">
        <f t="shared" si="13"/>
        <v>1202.1697200000001</v>
      </c>
      <c r="G119">
        <f t="shared" si="14"/>
        <v>-0.35306999999999999</v>
      </c>
      <c r="H119">
        <f t="shared" si="15"/>
        <v>-424.45006304039998</v>
      </c>
      <c r="I119">
        <v>1</v>
      </c>
      <c r="J119">
        <f t="shared" si="17"/>
        <v>0.18412802414884388</v>
      </c>
      <c r="K119">
        <f t="shared" si="18"/>
        <v>-0.86865515177521746</v>
      </c>
      <c r="M119">
        <f t="shared" si="20"/>
        <v>0.51946289364762444</v>
      </c>
      <c r="N119">
        <f t="shared" si="23"/>
        <v>9.9179001900000008E-2</v>
      </c>
      <c r="O119">
        <f t="shared" si="21"/>
        <v>8.4752965259999993E-2</v>
      </c>
      <c r="P119">
        <f t="shared" si="22"/>
        <v>0.16526029096759304</v>
      </c>
      <c r="V119">
        <v>5.5</v>
      </c>
      <c r="W119">
        <f t="shared" si="19"/>
        <v>-0.70605000000000007</v>
      </c>
    </row>
    <row r="120" spans="1:23" x14ac:dyDescent="0.3">
      <c r="A120">
        <v>6.0638031999999997</v>
      </c>
      <c r="B120">
        <v>0.34925</v>
      </c>
      <c r="C120">
        <f t="shared" si="16"/>
        <v>2.1177832676000001</v>
      </c>
      <c r="D120" s="1">
        <v>1.6500000000000001E-2</v>
      </c>
      <c r="E120" s="1">
        <v>1.41E-2</v>
      </c>
      <c r="F120">
        <f t="shared" si="13"/>
        <v>1212.76064</v>
      </c>
      <c r="G120">
        <f t="shared" si="14"/>
        <v>-0.34925</v>
      </c>
      <c r="H120">
        <f t="shared" si="15"/>
        <v>-423.55665352000005</v>
      </c>
      <c r="I120">
        <v>1</v>
      </c>
      <c r="J120">
        <f t="shared" si="17"/>
        <v>0.1928992815534758</v>
      </c>
      <c r="K120">
        <f t="shared" si="18"/>
        <v>-0.87247515177521739</v>
      </c>
      <c r="M120">
        <f t="shared" si="20"/>
        <v>0.51977076478252704</v>
      </c>
      <c r="N120">
        <f t="shared" si="23"/>
        <v>0.10005275280000001</v>
      </c>
      <c r="O120">
        <f t="shared" si="21"/>
        <v>8.5499625119999992E-2</v>
      </c>
      <c r="P120">
        <f t="shared" si="22"/>
        <v>0.16715200907269034</v>
      </c>
      <c r="V120">
        <v>5.6</v>
      </c>
      <c r="W120">
        <f t="shared" si="19"/>
        <v>-0.70955999999999997</v>
      </c>
    </row>
    <row r="121" spans="1:23" x14ac:dyDescent="0.3">
      <c r="A121">
        <v>6.1172671000000003</v>
      </c>
      <c r="B121">
        <v>0.34517999999999999</v>
      </c>
      <c r="C121">
        <f t="shared" si="16"/>
        <v>2.1115582575779999</v>
      </c>
      <c r="D121" s="1">
        <v>1.6500000000000001E-2</v>
      </c>
      <c r="E121" s="1">
        <v>1.41E-2</v>
      </c>
      <c r="F121">
        <f t="shared" si="13"/>
        <v>1223.4534200000001</v>
      </c>
      <c r="G121">
        <f t="shared" si="14"/>
        <v>-0.34517999999999999</v>
      </c>
      <c r="H121">
        <f t="shared" si="15"/>
        <v>-422.31165151559998</v>
      </c>
      <c r="I121">
        <v>1</v>
      </c>
      <c r="J121">
        <f t="shared" si="17"/>
        <v>0.20167753206838776</v>
      </c>
      <c r="K121">
        <f t="shared" si="18"/>
        <v>-0.87654515177521741</v>
      </c>
      <c r="M121">
        <f t="shared" si="20"/>
        <v>0.52007888137560043</v>
      </c>
      <c r="N121">
        <f t="shared" si="23"/>
        <v>0.10093490715</v>
      </c>
      <c r="O121">
        <f t="shared" si="21"/>
        <v>8.6253466109999996E-2</v>
      </c>
      <c r="P121">
        <f t="shared" si="22"/>
        <v>0.169277897139617</v>
      </c>
      <c r="V121">
        <v>5.7</v>
      </c>
      <c r="W121">
        <f t="shared" si="19"/>
        <v>-0.71306999999999998</v>
      </c>
    </row>
    <row r="122" spans="1:23" x14ac:dyDescent="0.3">
      <c r="A122">
        <v>6.1686953000000004</v>
      </c>
      <c r="B122">
        <v>0.34145999999999999</v>
      </c>
      <c r="C122">
        <f t="shared" si="16"/>
        <v>2.1063626971380001</v>
      </c>
      <c r="D122" s="1">
        <v>1.6500000000000001E-2</v>
      </c>
      <c r="E122" s="1">
        <v>1.41E-2</v>
      </c>
      <c r="F122">
        <f t="shared" si="13"/>
        <v>1233.7390600000001</v>
      </c>
      <c r="G122">
        <f t="shared" si="14"/>
        <v>-0.34145999999999999</v>
      </c>
      <c r="H122">
        <f t="shared" si="15"/>
        <v>-421.27253942760001</v>
      </c>
      <c r="I122">
        <v>1</v>
      </c>
      <c r="J122">
        <f t="shared" si="17"/>
        <v>0.21004944445167037</v>
      </c>
      <c r="K122">
        <f t="shared" si="18"/>
        <v>-0.88026515177521747</v>
      </c>
      <c r="M122">
        <f t="shared" si="20"/>
        <v>0.52037273550025365</v>
      </c>
      <c r="N122">
        <f t="shared" si="23"/>
        <v>0.10178347245000001</v>
      </c>
      <c r="O122">
        <f t="shared" si="21"/>
        <v>8.6978603730000006E-2</v>
      </c>
      <c r="P122">
        <f t="shared" si="22"/>
        <v>0.17113034009496381</v>
      </c>
      <c r="V122">
        <v>5.8</v>
      </c>
      <c r="W122">
        <f t="shared" si="19"/>
        <v>-0.71657999999999999</v>
      </c>
    </row>
    <row r="123" spans="1:23" x14ac:dyDescent="0.3">
      <c r="A123">
        <v>6.2191039999999997</v>
      </c>
      <c r="B123">
        <v>0.33778000000000002</v>
      </c>
      <c r="C123">
        <f t="shared" si="16"/>
        <v>2.1006889491200003</v>
      </c>
      <c r="D123" s="1">
        <v>1.6500000000000001E-2</v>
      </c>
      <c r="E123" s="1">
        <v>1.41E-2</v>
      </c>
      <c r="F123">
        <f t="shared" si="13"/>
        <v>1243.8208</v>
      </c>
      <c r="G123">
        <f t="shared" si="14"/>
        <v>-0.33778000000000002</v>
      </c>
      <c r="H123">
        <f t="shared" si="15"/>
        <v>-420.13778982400004</v>
      </c>
      <c r="I123">
        <v>1</v>
      </c>
      <c r="J123">
        <f t="shared" si="17"/>
        <v>0.21818793249363613</v>
      </c>
      <c r="K123">
        <f t="shared" si="18"/>
        <v>-0.88394515177521749</v>
      </c>
      <c r="M123">
        <f t="shared" si="20"/>
        <v>0.52065839643052669</v>
      </c>
      <c r="N123">
        <f t="shared" si="23"/>
        <v>0.102615216</v>
      </c>
      <c r="O123">
        <f t="shared" si="21"/>
        <v>8.7689366399999996E-2</v>
      </c>
      <c r="P123">
        <f t="shared" si="22"/>
        <v>0.17298217294469079</v>
      </c>
      <c r="V123">
        <v>5.9</v>
      </c>
      <c r="W123">
        <f t="shared" si="19"/>
        <v>-0.72009000000000001</v>
      </c>
    </row>
    <row r="124" spans="1:23" x14ac:dyDescent="0.3">
      <c r="A124">
        <v>6.2725683999999999</v>
      </c>
      <c r="B124">
        <v>0.33367000000000002</v>
      </c>
      <c r="C124">
        <f t="shared" si="16"/>
        <v>2.0929678980280002</v>
      </c>
      <c r="D124" s="1">
        <v>1.6500000000000001E-2</v>
      </c>
      <c r="E124" s="1">
        <v>1.41E-2</v>
      </c>
      <c r="F124">
        <f t="shared" si="13"/>
        <v>1254.51368</v>
      </c>
      <c r="G124">
        <f t="shared" si="14"/>
        <v>-0.33367000000000002</v>
      </c>
      <c r="H124">
        <f t="shared" si="15"/>
        <v>-418.59357960560004</v>
      </c>
      <c r="I124">
        <v>1</v>
      </c>
      <c r="J124">
        <f t="shared" si="17"/>
        <v>0.22674799150780917</v>
      </c>
      <c r="K124">
        <f t="shared" si="18"/>
        <v>-0.88805515177521743</v>
      </c>
      <c r="M124">
        <f t="shared" si="20"/>
        <v>0.52095885450192414</v>
      </c>
      <c r="N124">
        <f t="shared" si="23"/>
        <v>0.10349737860000001</v>
      </c>
      <c r="O124">
        <f t="shared" si="21"/>
        <v>8.8443214440000001E-2</v>
      </c>
      <c r="P124">
        <f t="shared" si="22"/>
        <v>0.17515570423329327</v>
      </c>
      <c r="V124">
        <v>6</v>
      </c>
      <c r="W124">
        <f t="shared" si="19"/>
        <v>-0.72360000000000002</v>
      </c>
    </row>
    <row r="125" spans="1:23" x14ac:dyDescent="0.3">
      <c r="A125">
        <v>6.3229780000000009</v>
      </c>
      <c r="B125">
        <v>0.32951000000000003</v>
      </c>
      <c r="C125">
        <f t="shared" si="16"/>
        <v>2.0834844807800006</v>
      </c>
      <c r="D125" s="1">
        <v>1.6500000000000001E-2</v>
      </c>
      <c r="E125" s="1">
        <v>1.41E-2</v>
      </c>
      <c r="F125">
        <f t="shared" si="13"/>
        <v>1264.5956000000001</v>
      </c>
      <c r="G125">
        <f t="shared" si="14"/>
        <v>-0.32951000000000003</v>
      </c>
      <c r="H125">
        <f t="shared" si="15"/>
        <v>-416.69689615600009</v>
      </c>
      <c r="I125">
        <v>1</v>
      </c>
      <c r="J125">
        <f t="shared" si="17"/>
        <v>0.23475238727526004</v>
      </c>
      <c r="K125">
        <f t="shared" si="18"/>
        <v>-0.89221515177521749</v>
      </c>
      <c r="M125">
        <f t="shared" si="20"/>
        <v>0.52123980879336163</v>
      </c>
      <c r="N125">
        <f t="shared" si="23"/>
        <v>0.10432913700000002</v>
      </c>
      <c r="O125">
        <f t="shared" si="21"/>
        <v>8.9153989800000014E-2</v>
      </c>
      <c r="P125">
        <f t="shared" si="22"/>
        <v>0.17749221618185584</v>
      </c>
      <c r="V125">
        <v>6.1</v>
      </c>
      <c r="W125">
        <f t="shared" si="19"/>
        <v>-0.72711000000000003</v>
      </c>
    </row>
    <row r="126" spans="1:23" x14ac:dyDescent="0.3">
      <c r="A126">
        <v>6.3769501999999996</v>
      </c>
      <c r="B126">
        <v>0.32582</v>
      </c>
      <c r="C126">
        <f t="shared" si="16"/>
        <v>2.077737914164</v>
      </c>
      <c r="D126" s="1">
        <v>1.6500000000000001E-2</v>
      </c>
      <c r="E126" s="1">
        <v>1.41E-2</v>
      </c>
      <c r="F126">
        <f t="shared" si="13"/>
        <v>1275.39004</v>
      </c>
      <c r="G126">
        <f t="shared" si="14"/>
        <v>-0.32582</v>
      </c>
      <c r="H126">
        <f t="shared" si="15"/>
        <v>-415.5475828328</v>
      </c>
      <c r="I126">
        <v>1</v>
      </c>
      <c r="J126">
        <f t="shared" si="17"/>
        <v>0.24325204555381655</v>
      </c>
      <c r="K126">
        <f t="shared" si="18"/>
        <v>-0.89590515177521746</v>
      </c>
      <c r="M126">
        <f t="shared" si="20"/>
        <v>0.52153814679893895</v>
      </c>
      <c r="N126">
        <f t="shared" si="23"/>
        <v>0.10521967829999999</v>
      </c>
      <c r="O126">
        <f t="shared" si="21"/>
        <v>8.9914997819999995E-2</v>
      </c>
      <c r="P126">
        <f t="shared" si="22"/>
        <v>0.17923232885627849</v>
      </c>
      <c r="V126">
        <v>6.2</v>
      </c>
      <c r="W126">
        <f t="shared" si="19"/>
        <v>-0.73062000000000005</v>
      </c>
    </row>
    <row r="127" spans="1:23" x14ac:dyDescent="0.3">
      <c r="A127">
        <v>6.4273598999999999</v>
      </c>
      <c r="B127">
        <v>0.32157000000000002</v>
      </c>
      <c r="C127">
        <f t="shared" si="16"/>
        <v>2.0668461230430002</v>
      </c>
      <c r="D127" s="1">
        <v>1.6500000000000001E-2</v>
      </c>
      <c r="E127" s="1">
        <v>1.41E-2</v>
      </c>
      <c r="F127">
        <f t="shared" si="13"/>
        <v>1285.47198</v>
      </c>
      <c r="G127">
        <f t="shared" si="14"/>
        <v>-0.32157000000000002</v>
      </c>
      <c r="H127">
        <f t="shared" si="15"/>
        <v>-413.36922460860006</v>
      </c>
      <c r="I127">
        <v>1</v>
      </c>
      <c r="J127">
        <f t="shared" si="17"/>
        <v>0.25112595052008885</v>
      </c>
      <c r="K127">
        <f t="shared" si="18"/>
        <v>-0.90015515177521743</v>
      </c>
      <c r="M127">
        <f t="shared" si="20"/>
        <v>0.52181452086325508</v>
      </c>
      <c r="N127">
        <f t="shared" si="23"/>
        <v>0.10605143835</v>
      </c>
      <c r="O127">
        <f t="shared" si="21"/>
        <v>9.0625774589999999E-2</v>
      </c>
      <c r="P127">
        <f t="shared" si="22"/>
        <v>0.18166341797196239</v>
      </c>
    </row>
    <row r="128" spans="1:23" x14ac:dyDescent="0.3">
      <c r="A128">
        <v>6.477768600000001</v>
      </c>
      <c r="B128">
        <v>0.31741999999999998</v>
      </c>
      <c r="C128">
        <f t="shared" si="16"/>
        <v>2.0561733090120002</v>
      </c>
      <c r="D128" s="1">
        <v>1.6500000000000001E-2</v>
      </c>
      <c r="E128" s="1">
        <v>1.41E-2</v>
      </c>
      <c r="F128">
        <f t="shared" si="13"/>
        <v>1295.5537200000001</v>
      </c>
      <c r="G128">
        <f t="shared" si="14"/>
        <v>-0.31741999999999998</v>
      </c>
      <c r="H128">
        <f t="shared" si="15"/>
        <v>-411.23466180240007</v>
      </c>
      <c r="I128">
        <v>1</v>
      </c>
      <c r="J128">
        <f t="shared" si="17"/>
        <v>0.25893818677551778</v>
      </c>
      <c r="K128">
        <f t="shared" si="18"/>
        <v>-0.90430515177521742</v>
      </c>
      <c r="M128">
        <f t="shared" si="20"/>
        <v>0.52208873035582071</v>
      </c>
      <c r="N128">
        <f t="shared" si="23"/>
        <v>0.10688318190000003</v>
      </c>
      <c r="O128">
        <f t="shared" si="21"/>
        <v>9.1336537260000017E-2</v>
      </c>
      <c r="P128">
        <f t="shared" si="22"/>
        <v>0.18399670225939668</v>
      </c>
    </row>
    <row r="129" spans="1:16" x14ac:dyDescent="0.3">
      <c r="A129">
        <v>6.5332699999999999</v>
      </c>
      <c r="B129">
        <v>0.31372</v>
      </c>
      <c r="C129">
        <f t="shared" si="16"/>
        <v>2.0496174643999998</v>
      </c>
      <c r="D129" s="1">
        <v>1.6500000000000001E-2</v>
      </c>
      <c r="E129" s="1">
        <v>1.41E-2</v>
      </c>
      <c r="F129">
        <f t="shared" si="13"/>
        <v>1306.654</v>
      </c>
      <c r="G129">
        <f t="shared" si="14"/>
        <v>-0.31372</v>
      </c>
      <c r="H129">
        <f t="shared" si="15"/>
        <v>-409.92349287999997</v>
      </c>
      <c r="I129">
        <v>1</v>
      </c>
      <c r="J129">
        <f t="shared" si="17"/>
        <v>0.26746967120972454</v>
      </c>
      <c r="K129">
        <f t="shared" si="18"/>
        <v>-0.90800515177521746</v>
      </c>
      <c r="M129">
        <f t="shared" si="20"/>
        <v>0.52238818545946131</v>
      </c>
      <c r="N129">
        <f t="shared" si="23"/>
        <v>0.107798955</v>
      </c>
      <c r="O129">
        <f t="shared" si="21"/>
        <v>9.2119106999999992E-2</v>
      </c>
      <c r="P129">
        <f t="shared" si="22"/>
        <v>0.18569890431575614</v>
      </c>
    </row>
    <row r="130" spans="1:16" x14ac:dyDescent="0.3">
      <c r="A130">
        <v>6.5841884999999998</v>
      </c>
      <c r="B130">
        <v>0.30930999999999997</v>
      </c>
      <c r="C130">
        <f t="shared" si="16"/>
        <v>2.0365553449349996</v>
      </c>
      <c r="D130" s="1">
        <v>1.6500000000000001E-2</v>
      </c>
      <c r="E130" s="1">
        <v>1.41E-2</v>
      </c>
      <c r="F130">
        <f t="shared" si="13"/>
        <v>1316.8377</v>
      </c>
      <c r="G130">
        <f t="shared" si="14"/>
        <v>-0.30930999999999997</v>
      </c>
      <c r="H130">
        <f t="shared" si="15"/>
        <v>-407.31106898699989</v>
      </c>
      <c r="I130">
        <v>1</v>
      </c>
      <c r="J130">
        <f t="shared" si="17"/>
        <v>0.27523318054298801</v>
      </c>
      <c r="K130">
        <f t="shared" si="18"/>
        <v>-0.91241515177521748</v>
      </c>
      <c r="M130">
        <f t="shared" si="20"/>
        <v>0.52266068463705884</v>
      </c>
      <c r="N130">
        <f t="shared" si="23"/>
        <v>0.10863911025</v>
      </c>
      <c r="O130">
        <f t="shared" si="21"/>
        <v>9.2837057850000002E-2</v>
      </c>
      <c r="P130">
        <f t="shared" si="22"/>
        <v>0.18827829903815863</v>
      </c>
    </row>
    <row r="131" spans="1:16" x14ac:dyDescent="0.3">
      <c r="A131">
        <v>6.6366342999999999</v>
      </c>
      <c r="B131">
        <v>0.30518000000000001</v>
      </c>
      <c r="C131">
        <f t="shared" si="16"/>
        <v>2.0253680556739999</v>
      </c>
      <c r="D131" s="1">
        <v>1.6500000000000001E-2</v>
      </c>
      <c r="E131" s="1">
        <v>1.41E-2</v>
      </c>
      <c r="F131">
        <f t="shared" si="13"/>
        <v>1327.3268599999999</v>
      </c>
      <c r="G131">
        <f t="shared" si="14"/>
        <v>-0.30518000000000001</v>
      </c>
      <c r="H131">
        <f t="shared" si="15"/>
        <v>-405.07361113479999</v>
      </c>
      <c r="I131">
        <v>1</v>
      </c>
      <c r="J131">
        <f t="shared" si="17"/>
        <v>0.28316704001574428</v>
      </c>
      <c r="K131">
        <f t="shared" si="18"/>
        <v>-0.91654515177521745</v>
      </c>
      <c r="M131">
        <f t="shared" si="20"/>
        <v>0.52293916310455268</v>
      </c>
      <c r="N131">
        <f t="shared" si="23"/>
        <v>0.10950446595</v>
      </c>
      <c r="O131">
        <f t="shared" si="21"/>
        <v>9.3576543629999995E-2</v>
      </c>
      <c r="P131">
        <f t="shared" si="22"/>
        <v>0.19052497909066474</v>
      </c>
    </row>
    <row r="132" spans="1:16" x14ac:dyDescent="0.3">
      <c r="A132">
        <v>6.6880619999999995</v>
      </c>
      <c r="B132">
        <v>0.30116999999999999</v>
      </c>
      <c r="C132">
        <f t="shared" si="16"/>
        <v>2.0142436325399999</v>
      </c>
      <c r="D132" s="1">
        <v>1.6500000000000001E-2</v>
      </c>
      <c r="E132" s="1">
        <v>1.41E-2</v>
      </c>
      <c r="F132">
        <f t="shared" ref="F132:F144" si="24">A132*200</f>
        <v>1337.6124</v>
      </c>
      <c r="G132">
        <f t="shared" ref="G132:G144" si="25">-B132</f>
        <v>-0.30116999999999999</v>
      </c>
      <c r="H132">
        <f t="shared" ref="H132:H144" si="26">-C132*200</f>
        <v>-402.84872650799997</v>
      </c>
      <c r="I132">
        <v>1</v>
      </c>
      <c r="J132">
        <f t="shared" si="17"/>
        <v>0.29088623364025912</v>
      </c>
      <c r="K132">
        <f t="shared" si="18"/>
        <v>-0.92055515177521752</v>
      </c>
      <c r="M132">
        <f t="shared" si="20"/>
        <v>0.52321010680077307</v>
      </c>
      <c r="N132">
        <f t="shared" si="23"/>
        <v>0.11035302299999999</v>
      </c>
      <c r="O132">
        <f t="shared" si="21"/>
        <v>9.4301674199999991E-2</v>
      </c>
      <c r="P132">
        <f t="shared" si="22"/>
        <v>0.19269034777444446</v>
      </c>
    </row>
    <row r="133" spans="1:16" x14ac:dyDescent="0.3">
      <c r="A133">
        <v>6.7389800000000006</v>
      </c>
      <c r="B133">
        <v>0.29697000000000001</v>
      </c>
      <c r="C133">
        <f t="shared" ref="C133:C144" si="27">A133*B133</f>
        <v>2.0012748906000004</v>
      </c>
      <c r="D133" s="1">
        <v>1.6500000000000001E-2</v>
      </c>
      <c r="E133" s="1">
        <v>1.41E-2</v>
      </c>
      <c r="F133">
        <f t="shared" si="24"/>
        <v>1347.796</v>
      </c>
      <c r="G133">
        <f t="shared" si="25"/>
        <v>-0.29697000000000001</v>
      </c>
      <c r="H133">
        <f t="shared" si="26"/>
        <v>-400.25497812000009</v>
      </c>
      <c r="I133">
        <v>1</v>
      </c>
      <c r="J133">
        <f t="shared" ref="J133:J144" si="28">LN(F133/1000)</f>
        <v>0.2984706657261989</v>
      </c>
      <c r="K133">
        <f t="shared" ref="K133:K144" si="29">((-G133)-$N$2)</f>
        <v>-0.9247551517752175</v>
      </c>
      <c r="M133">
        <f t="shared" si="20"/>
        <v>0.52347632036698954</v>
      </c>
      <c r="N133">
        <f t="shared" si="23"/>
        <v>0.11119317000000002</v>
      </c>
      <c r="O133">
        <f t="shared" si="21"/>
        <v>9.5019618E-2</v>
      </c>
      <c r="P133">
        <f t="shared" si="22"/>
        <v>0.19506604340822795</v>
      </c>
    </row>
    <row r="134" spans="1:16" x14ac:dyDescent="0.3">
      <c r="A134">
        <v>6.7904082000000008</v>
      </c>
      <c r="B134">
        <v>0.29241</v>
      </c>
      <c r="C134">
        <f t="shared" si="27"/>
        <v>1.9855832617620002</v>
      </c>
      <c r="D134" s="1">
        <v>1.6500000000000001E-2</v>
      </c>
      <c r="E134" s="1">
        <v>1.41E-2</v>
      </c>
      <c r="F134">
        <f t="shared" si="24"/>
        <v>1358.0816400000001</v>
      </c>
      <c r="G134">
        <f t="shared" si="25"/>
        <v>-0.29241</v>
      </c>
      <c r="H134">
        <f t="shared" si="26"/>
        <v>-397.11665235240002</v>
      </c>
      <c r="I134">
        <v>1</v>
      </c>
      <c r="J134">
        <f t="shared" si="28"/>
        <v>0.30607314514982481</v>
      </c>
      <c r="K134">
        <f t="shared" si="29"/>
        <v>-0.9293151517752174</v>
      </c>
      <c r="M134">
        <f t="shared" ref="M134:M144" si="30">-1*($S$4+($S$5*J134))</f>
        <v>0.5237431673947589</v>
      </c>
      <c r="N134">
        <f t="shared" si="23"/>
        <v>0.11204173530000001</v>
      </c>
      <c r="O134">
        <f t="shared" ref="O134:O144" si="31">E134*A134</f>
        <v>9.574475562000001E-2</v>
      </c>
      <c r="P134">
        <f t="shared" ref="P134:P144" si="32">-K134-M134-N134-O134</f>
        <v>0.19778549346045848</v>
      </c>
    </row>
    <row r="135" spans="1:16" x14ac:dyDescent="0.3">
      <c r="A135">
        <v>6.8413262000000001</v>
      </c>
      <c r="B135">
        <v>0.28828999999999999</v>
      </c>
      <c r="C135">
        <f t="shared" si="27"/>
        <v>1.972285930198</v>
      </c>
      <c r="D135" s="1">
        <v>1.6500000000000001E-2</v>
      </c>
      <c r="E135" s="1">
        <v>1.41E-2</v>
      </c>
      <c r="F135">
        <f t="shared" si="24"/>
        <v>1368.2652399999999</v>
      </c>
      <c r="G135">
        <f t="shared" si="25"/>
        <v>-0.28828999999999999</v>
      </c>
      <c r="H135">
        <f t="shared" si="26"/>
        <v>-394.4571860396</v>
      </c>
      <c r="I135">
        <v>1</v>
      </c>
      <c r="J135">
        <f t="shared" si="28"/>
        <v>0.31354368929522619</v>
      </c>
      <c r="K135">
        <f t="shared" si="29"/>
        <v>-0.93343515177521752</v>
      </c>
      <c r="M135">
        <f t="shared" si="30"/>
        <v>0.5240053834942624</v>
      </c>
      <c r="N135">
        <f t="shared" ref="N135:N144" si="33">D135*A135</f>
        <v>0.11288188230000001</v>
      </c>
      <c r="O135">
        <f t="shared" si="31"/>
        <v>9.6462699420000006E-2</v>
      </c>
      <c r="P135">
        <f t="shared" si="32"/>
        <v>0.20008518656095509</v>
      </c>
    </row>
    <row r="136" spans="1:16" x14ac:dyDescent="0.3">
      <c r="A136">
        <v>6.8922446000000006</v>
      </c>
      <c r="B136">
        <v>0.28394999999999998</v>
      </c>
      <c r="C136">
        <f t="shared" si="27"/>
        <v>1.9570528541700001</v>
      </c>
      <c r="D136" s="1">
        <v>1.6500000000000001E-2</v>
      </c>
      <c r="E136" s="1">
        <v>1.41E-2</v>
      </c>
      <c r="F136">
        <f t="shared" si="24"/>
        <v>1378.44892</v>
      </c>
      <c r="G136">
        <f t="shared" si="25"/>
        <v>-0.28394999999999998</v>
      </c>
      <c r="H136">
        <f t="shared" si="26"/>
        <v>-391.410570834</v>
      </c>
      <c r="I136">
        <v>1</v>
      </c>
      <c r="J136">
        <f t="shared" si="28"/>
        <v>0.32095889602549232</v>
      </c>
      <c r="K136">
        <f t="shared" si="29"/>
        <v>-0.93777515177521753</v>
      </c>
      <c r="M136">
        <f t="shared" si="30"/>
        <v>0.52426565725049479</v>
      </c>
      <c r="N136">
        <f t="shared" si="33"/>
        <v>0.11372203590000002</v>
      </c>
      <c r="O136">
        <f t="shared" si="31"/>
        <v>9.718064886000001E-2</v>
      </c>
      <c r="P136">
        <f t="shared" si="32"/>
        <v>0.20260680976472273</v>
      </c>
    </row>
    <row r="137" spans="1:16" x14ac:dyDescent="0.3">
      <c r="A137">
        <v>6.9426532999999999</v>
      </c>
      <c r="B137" s="1">
        <v>0.27972999999999998</v>
      </c>
      <c r="C137">
        <f t="shared" si="27"/>
        <v>1.9420684076089998</v>
      </c>
      <c r="D137" s="1">
        <v>1.6500000000000001E-2</v>
      </c>
      <c r="E137" s="1">
        <v>1.41E-2</v>
      </c>
      <c r="F137">
        <f t="shared" si="24"/>
        <v>1388.5306599999999</v>
      </c>
      <c r="G137">
        <f t="shared" si="25"/>
        <v>-0.27972999999999998</v>
      </c>
      <c r="H137">
        <f t="shared" si="26"/>
        <v>-388.41368152179996</v>
      </c>
      <c r="I137">
        <v>1</v>
      </c>
      <c r="J137">
        <f t="shared" si="28"/>
        <v>0.32824610890371408</v>
      </c>
      <c r="K137">
        <f t="shared" si="29"/>
        <v>-0.94199515177521742</v>
      </c>
      <c r="M137">
        <f t="shared" si="30"/>
        <v>0.52452143842252041</v>
      </c>
      <c r="N137">
        <f t="shared" si="33"/>
        <v>0.11455377945</v>
      </c>
      <c r="O137">
        <f t="shared" si="31"/>
        <v>9.789141153E-2</v>
      </c>
      <c r="P137">
        <f t="shared" si="32"/>
        <v>0.205028522372697</v>
      </c>
    </row>
    <row r="138" spans="1:16" x14ac:dyDescent="0.3">
      <c r="A138">
        <v>6.9940806000000002</v>
      </c>
      <c r="B138" s="1">
        <v>0.27550999999999998</v>
      </c>
      <c r="C138">
        <f t="shared" si="27"/>
        <v>1.9269391461059999</v>
      </c>
      <c r="D138" s="1">
        <v>1.6500000000000001E-2</v>
      </c>
      <c r="E138" s="1">
        <v>1.41E-2</v>
      </c>
      <c r="F138">
        <f t="shared" si="24"/>
        <v>1398.81612</v>
      </c>
      <c r="G138">
        <f t="shared" si="25"/>
        <v>-0.27550999999999998</v>
      </c>
      <c r="H138">
        <f t="shared" si="26"/>
        <v>-385.38782922119998</v>
      </c>
      <c r="I138">
        <v>1</v>
      </c>
      <c r="J138">
        <f t="shared" si="28"/>
        <v>0.33562625030424981</v>
      </c>
      <c r="K138">
        <f t="shared" si="29"/>
        <v>-0.94621515177521753</v>
      </c>
      <c r="M138">
        <f t="shared" si="30"/>
        <v>0.52478048138567923</v>
      </c>
      <c r="N138">
        <f t="shared" si="33"/>
        <v>0.1154023299</v>
      </c>
      <c r="O138">
        <f t="shared" si="31"/>
        <v>9.8616536460000001E-2</v>
      </c>
      <c r="P138">
        <f t="shared" si="32"/>
        <v>0.2074158040295383</v>
      </c>
    </row>
    <row r="139" spans="1:16" x14ac:dyDescent="0.3">
      <c r="A139">
        <v>7.0444897000000006</v>
      </c>
      <c r="B139" s="1">
        <v>0.27089000000000002</v>
      </c>
      <c r="C139">
        <f t="shared" si="27"/>
        <v>1.9082818148330003</v>
      </c>
      <c r="D139" s="1">
        <v>1.6500000000000001E-2</v>
      </c>
      <c r="E139" s="1">
        <v>1.41E-2</v>
      </c>
      <c r="F139">
        <f t="shared" si="24"/>
        <v>1408.8979400000001</v>
      </c>
      <c r="G139">
        <f t="shared" si="25"/>
        <v>-0.27089000000000002</v>
      </c>
      <c r="H139">
        <f t="shared" si="26"/>
        <v>-381.65636296660006</v>
      </c>
      <c r="I139">
        <v>1</v>
      </c>
      <c r="J139">
        <f t="shared" si="28"/>
        <v>0.3428077959424457</v>
      </c>
      <c r="K139">
        <f t="shared" si="29"/>
        <v>-0.95083515177521738</v>
      </c>
      <c r="M139">
        <f t="shared" si="30"/>
        <v>0.52503255363757984</v>
      </c>
      <c r="N139">
        <f t="shared" si="33"/>
        <v>0.11623408005000002</v>
      </c>
      <c r="O139">
        <f t="shared" si="31"/>
        <v>9.9327304770000013E-2</v>
      </c>
      <c r="P139">
        <f t="shared" si="32"/>
        <v>0.21024121331763751</v>
      </c>
    </row>
    <row r="140" spans="1:16" x14ac:dyDescent="0.3">
      <c r="A140">
        <v>7.0954087000000001</v>
      </c>
      <c r="B140" s="1">
        <v>0.26651999999999998</v>
      </c>
      <c r="C140">
        <f t="shared" si="27"/>
        <v>1.8910683267239998</v>
      </c>
      <c r="D140" s="1">
        <v>1.6500000000000001E-2</v>
      </c>
      <c r="E140" s="1">
        <v>1.41E-2</v>
      </c>
      <c r="F140">
        <f t="shared" si="24"/>
        <v>1419.0817400000001</v>
      </c>
      <c r="G140">
        <f t="shared" si="25"/>
        <v>-0.26651999999999998</v>
      </c>
      <c r="H140">
        <f t="shared" si="26"/>
        <v>-378.21366534479995</v>
      </c>
      <c r="I140">
        <v>1</v>
      </c>
      <c r="J140">
        <f t="shared" si="28"/>
        <v>0.35001000046530312</v>
      </c>
      <c r="K140">
        <f t="shared" si="29"/>
        <v>-0.95520515177521748</v>
      </c>
      <c r="M140">
        <f t="shared" si="30"/>
        <v>0.52528535101633211</v>
      </c>
      <c r="N140">
        <f t="shared" si="33"/>
        <v>0.11707424355000001</v>
      </c>
      <c r="O140">
        <f t="shared" si="31"/>
        <v>0.10004526267</v>
      </c>
      <c r="P140">
        <f t="shared" si="32"/>
        <v>0.21280029453888535</v>
      </c>
    </row>
    <row r="141" spans="1:16" x14ac:dyDescent="0.3">
      <c r="A141">
        <v>7.1468353999999996</v>
      </c>
      <c r="B141" s="1">
        <v>0.26218999999999998</v>
      </c>
      <c r="C141">
        <f t="shared" si="27"/>
        <v>1.8738287735259997</v>
      </c>
      <c r="D141" s="1">
        <v>1.6500000000000001E-2</v>
      </c>
      <c r="E141" s="1">
        <v>1.41E-2</v>
      </c>
      <c r="F141">
        <f t="shared" si="24"/>
        <v>1429.36708</v>
      </c>
      <c r="G141">
        <f t="shared" si="25"/>
        <v>-0.26218999999999998</v>
      </c>
      <c r="H141">
        <f t="shared" si="26"/>
        <v>-374.76575470519992</v>
      </c>
      <c r="I141">
        <v>1</v>
      </c>
      <c r="J141">
        <f t="shared" si="28"/>
        <v>0.3572317448963046</v>
      </c>
      <c r="K141">
        <f t="shared" si="29"/>
        <v>-0.95953515177521753</v>
      </c>
      <c r="M141">
        <f t="shared" si="30"/>
        <v>0.52553883424586034</v>
      </c>
      <c r="N141">
        <f t="shared" si="33"/>
        <v>0.1179227841</v>
      </c>
      <c r="O141">
        <f t="shared" si="31"/>
        <v>0.10077037913999999</v>
      </c>
      <c r="P141">
        <f t="shared" si="32"/>
        <v>0.2153031542893572</v>
      </c>
    </row>
    <row r="142" spans="1:16" x14ac:dyDescent="0.3">
      <c r="A142">
        <v>7.2002997999999998</v>
      </c>
      <c r="B142" s="1">
        <v>0.25738</v>
      </c>
      <c r="C142">
        <f t="shared" si="27"/>
        <v>1.853213162524</v>
      </c>
      <c r="D142" s="1">
        <v>1.6500000000000001E-2</v>
      </c>
      <c r="E142" s="1">
        <v>1.41E-2</v>
      </c>
      <c r="F142">
        <f t="shared" si="24"/>
        <v>1440.05996</v>
      </c>
      <c r="G142">
        <f t="shared" si="25"/>
        <v>-0.25738</v>
      </c>
      <c r="H142">
        <f t="shared" si="26"/>
        <v>-370.64263250480002</v>
      </c>
      <c r="I142">
        <v>1</v>
      </c>
      <c r="J142">
        <f t="shared" si="28"/>
        <v>0.36468475160992375</v>
      </c>
      <c r="K142">
        <f t="shared" si="29"/>
        <v>-0.96434515177521751</v>
      </c>
      <c r="M142">
        <f t="shared" si="30"/>
        <v>0.52580043478150829</v>
      </c>
      <c r="N142">
        <f t="shared" si="33"/>
        <v>0.1188049467</v>
      </c>
      <c r="O142">
        <f t="shared" si="31"/>
        <v>0.10152422718</v>
      </c>
      <c r="P142">
        <f t="shared" si="32"/>
        <v>0.21821554311370928</v>
      </c>
    </row>
    <row r="143" spans="1:16" x14ac:dyDescent="0.3">
      <c r="A143">
        <v>7.2507090000000005</v>
      </c>
      <c r="B143" s="1">
        <v>0.25292999999999999</v>
      </c>
      <c r="C143">
        <f t="shared" si="27"/>
        <v>1.83392182737</v>
      </c>
      <c r="D143" s="1">
        <v>1.6500000000000001E-2</v>
      </c>
      <c r="E143" s="1">
        <v>1.41E-2</v>
      </c>
      <c r="F143">
        <f t="shared" si="24"/>
        <v>1450.1418000000001</v>
      </c>
      <c r="G143">
        <f t="shared" si="25"/>
        <v>-0.25292999999999999</v>
      </c>
      <c r="H143">
        <f t="shared" si="26"/>
        <v>-366.78436547399997</v>
      </c>
      <c r="I143">
        <v>1</v>
      </c>
      <c r="J143">
        <f t="shared" si="28"/>
        <v>0.37166134475449758</v>
      </c>
      <c r="K143">
        <f t="shared" si="29"/>
        <v>-0.96879515177521747</v>
      </c>
      <c r="M143">
        <f t="shared" si="30"/>
        <v>0.52604531320088288</v>
      </c>
      <c r="N143">
        <f t="shared" si="33"/>
        <v>0.11963669850000001</v>
      </c>
      <c r="O143">
        <f t="shared" si="31"/>
        <v>0.1022349969</v>
      </c>
      <c r="P143">
        <f t="shared" si="32"/>
        <v>0.22087814317433457</v>
      </c>
    </row>
    <row r="144" spans="1:16" x14ac:dyDescent="0.3">
      <c r="A144">
        <v>7.2649667999999998</v>
      </c>
      <c r="B144" s="1">
        <v>0.25130000000000002</v>
      </c>
      <c r="C144">
        <f t="shared" si="27"/>
        <v>1.82568615684</v>
      </c>
      <c r="D144" s="1">
        <v>1.6500000000000001E-2</v>
      </c>
      <c r="E144" s="1">
        <v>1.41E-2</v>
      </c>
      <c r="F144">
        <f t="shared" si="24"/>
        <v>1452.9933599999999</v>
      </c>
      <c r="G144">
        <f t="shared" si="25"/>
        <v>-0.25130000000000002</v>
      </c>
      <c r="H144">
        <f t="shared" si="26"/>
        <v>-365.13723136800002</v>
      </c>
      <c r="I144">
        <v>1</v>
      </c>
      <c r="J144">
        <f t="shared" si="28"/>
        <v>0.37362581472223261</v>
      </c>
      <c r="K144">
        <f t="shared" si="29"/>
        <v>-0.97042515177521738</v>
      </c>
      <c r="M144">
        <f t="shared" si="30"/>
        <v>0.52611426609675038</v>
      </c>
      <c r="N144">
        <f t="shared" si="33"/>
        <v>0.11987195220000001</v>
      </c>
      <c r="O144">
        <f t="shared" si="31"/>
        <v>0.10243603188</v>
      </c>
      <c r="P144">
        <f t="shared" si="32"/>
        <v>0.22200290159846697</v>
      </c>
    </row>
    <row r="145" spans="1:4" x14ac:dyDescent="0.3">
      <c r="A145" s="1"/>
      <c r="B145" s="1"/>
      <c r="D145" s="1"/>
    </row>
    <row r="146" spans="1:4" x14ac:dyDescent="0.3">
      <c r="A146" s="1"/>
      <c r="B146" s="1"/>
      <c r="D146" s="1"/>
    </row>
    <row r="147" spans="1:4" x14ac:dyDescent="0.3">
      <c r="A147" s="1"/>
      <c r="B147" s="1"/>
      <c r="D147" s="1"/>
    </row>
    <row r="148" spans="1:4" x14ac:dyDescent="0.3">
      <c r="A148" s="1"/>
      <c r="B148" s="1"/>
      <c r="D148" s="1"/>
    </row>
    <row r="149" spans="1:4" x14ac:dyDescent="0.3">
      <c r="A149" s="1"/>
      <c r="B149" s="1"/>
      <c r="D149" s="1"/>
    </row>
    <row r="150" spans="1:4" x14ac:dyDescent="0.3">
      <c r="A150" s="1"/>
      <c r="B150" s="1"/>
      <c r="D150" s="1"/>
    </row>
    <row r="151" spans="1:4" x14ac:dyDescent="0.3">
      <c r="A151" s="1"/>
      <c r="B151" s="1"/>
      <c r="D151" s="1"/>
    </row>
    <row r="152" spans="1:4" x14ac:dyDescent="0.3">
      <c r="A152" s="1"/>
      <c r="B152" s="1"/>
      <c r="D152" s="1"/>
    </row>
    <row r="153" spans="1:4" x14ac:dyDescent="0.3">
      <c r="A153" s="1"/>
      <c r="B153" s="1"/>
      <c r="D153" s="1"/>
    </row>
    <row r="154" spans="1:4" x14ac:dyDescent="0.3">
      <c r="A154" s="1"/>
      <c r="B154" s="1"/>
      <c r="D154" s="1"/>
    </row>
    <row r="155" spans="1:4" x14ac:dyDescent="0.3">
      <c r="A155" s="1"/>
      <c r="B155" s="1"/>
      <c r="D155" s="1"/>
    </row>
    <row r="156" spans="1:4" x14ac:dyDescent="0.3">
      <c r="A156" s="1"/>
      <c r="B156" s="1"/>
      <c r="D156" s="1"/>
    </row>
    <row r="157" spans="1:4" x14ac:dyDescent="0.3">
      <c r="A157" s="1"/>
      <c r="B157" s="1"/>
      <c r="D157" s="1"/>
    </row>
    <row r="158" spans="1:4" x14ac:dyDescent="0.3">
      <c r="A158" s="1"/>
      <c r="B158" s="1"/>
      <c r="D158" s="1"/>
    </row>
    <row r="159" spans="1:4" x14ac:dyDescent="0.3">
      <c r="A159" s="1"/>
      <c r="B159" s="1"/>
      <c r="D159" s="1"/>
    </row>
    <row r="160" spans="1:4" x14ac:dyDescent="0.3">
      <c r="A160" s="1"/>
      <c r="B160" s="1"/>
      <c r="D160" s="1"/>
    </row>
    <row r="161" spans="1:4" x14ac:dyDescent="0.3">
      <c r="A161" s="1"/>
      <c r="B161" s="1"/>
      <c r="D161" s="1"/>
    </row>
    <row r="162" spans="1:4" x14ac:dyDescent="0.3">
      <c r="A162" s="1"/>
      <c r="B162" s="1"/>
      <c r="D162" s="1"/>
    </row>
    <row r="163" spans="1:4" x14ac:dyDescent="0.3">
      <c r="A163" s="1"/>
      <c r="B163" s="1"/>
      <c r="D163" s="1"/>
    </row>
    <row r="164" spans="1:4" x14ac:dyDescent="0.3">
      <c r="A164" s="1"/>
      <c r="B164" s="1"/>
      <c r="D164" s="1"/>
    </row>
    <row r="165" spans="1:4" x14ac:dyDescent="0.3">
      <c r="A165" s="1"/>
      <c r="B165" s="1"/>
      <c r="D165" s="1"/>
    </row>
    <row r="166" spans="1:4" x14ac:dyDescent="0.3">
      <c r="A166" s="1"/>
      <c r="B166" s="1"/>
      <c r="D166" s="1"/>
    </row>
    <row r="167" spans="1:4" x14ac:dyDescent="0.3">
      <c r="A167" s="1"/>
      <c r="B167" s="1"/>
      <c r="D167" s="1"/>
    </row>
    <row r="168" spans="1:4" x14ac:dyDescent="0.3">
      <c r="A168" s="1"/>
      <c r="B168" s="1"/>
      <c r="D168" s="1"/>
    </row>
    <row r="169" spans="1:4" x14ac:dyDescent="0.3">
      <c r="A169" s="1"/>
      <c r="B169" s="1"/>
      <c r="D169" s="1"/>
    </row>
    <row r="170" spans="1:4" x14ac:dyDescent="0.3">
      <c r="A170" s="1"/>
      <c r="B170" s="1"/>
      <c r="D170" s="1"/>
    </row>
    <row r="171" spans="1:4" x14ac:dyDescent="0.3">
      <c r="A171" s="1"/>
      <c r="B171" s="1"/>
      <c r="D171" s="1"/>
    </row>
    <row r="172" spans="1:4" x14ac:dyDescent="0.3">
      <c r="A172" s="1"/>
      <c r="B172" s="1"/>
      <c r="D172" s="1"/>
    </row>
    <row r="173" spans="1:4" x14ac:dyDescent="0.3">
      <c r="A173" s="1"/>
      <c r="B173" s="1"/>
      <c r="D173" s="1"/>
    </row>
    <row r="174" spans="1:4" x14ac:dyDescent="0.3">
      <c r="A174" s="1"/>
      <c r="B174" s="1"/>
      <c r="D174" s="1"/>
    </row>
    <row r="175" spans="1:4" x14ac:dyDescent="0.3">
      <c r="A175" s="1"/>
      <c r="B175" s="1"/>
      <c r="D175" s="1"/>
    </row>
    <row r="176" spans="1:4" x14ac:dyDescent="0.3">
      <c r="A176" s="1"/>
      <c r="B176" s="1"/>
      <c r="D176" s="1"/>
    </row>
    <row r="177" spans="1:4" x14ac:dyDescent="0.3">
      <c r="A177" s="1"/>
      <c r="B177" s="1"/>
      <c r="D177" s="1"/>
    </row>
    <row r="178" spans="1:4" x14ac:dyDescent="0.3">
      <c r="A178" s="1"/>
      <c r="B178" s="1"/>
      <c r="D178" s="1"/>
    </row>
    <row r="179" spans="1:4" x14ac:dyDescent="0.3">
      <c r="A179" s="1"/>
      <c r="B179" s="1"/>
      <c r="D179" s="1"/>
    </row>
    <row r="180" spans="1:4" x14ac:dyDescent="0.3">
      <c r="A180" s="1"/>
      <c r="B180" s="1"/>
      <c r="D180" s="1"/>
    </row>
    <row r="181" spans="1:4" x14ac:dyDescent="0.3">
      <c r="A181" s="1"/>
      <c r="B181" s="1"/>
      <c r="D181" s="1"/>
    </row>
    <row r="182" spans="1:4" x14ac:dyDescent="0.3">
      <c r="A182" s="1"/>
      <c r="B182" s="1"/>
      <c r="D182" s="1"/>
    </row>
    <row r="183" spans="1:4" x14ac:dyDescent="0.3">
      <c r="A183" s="1"/>
      <c r="B183" s="1"/>
      <c r="D183" s="1"/>
    </row>
    <row r="184" spans="1:4" x14ac:dyDescent="0.3">
      <c r="A184" s="1"/>
      <c r="B184" s="1"/>
      <c r="D184" s="1"/>
    </row>
    <row r="185" spans="1:4" x14ac:dyDescent="0.3">
      <c r="A185" s="1"/>
      <c r="B185" s="1"/>
      <c r="D185" s="1"/>
    </row>
    <row r="186" spans="1:4" x14ac:dyDescent="0.3">
      <c r="A186" s="1"/>
      <c r="B186" s="1"/>
      <c r="D186" s="1"/>
    </row>
    <row r="187" spans="1:4" x14ac:dyDescent="0.3">
      <c r="A187" s="1"/>
      <c r="B187" s="1"/>
      <c r="D187" s="1"/>
    </row>
    <row r="188" spans="1:4" x14ac:dyDescent="0.3">
      <c r="A188" s="1"/>
      <c r="B188" s="1"/>
      <c r="D188" s="1"/>
    </row>
    <row r="189" spans="1:4" x14ac:dyDescent="0.3">
      <c r="A189" s="1"/>
      <c r="B189" s="1"/>
      <c r="D189" s="1"/>
    </row>
    <row r="190" spans="1:4" x14ac:dyDescent="0.3">
      <c r="A190" s="1"/>
      <c r="B190" s="1"/>
      <c r="D190" s="1"/>
    </row>
    <row r="191" spans="1:4" x14ac:dyDescent="0.3">
      <c r="A191" s="1"/>
      <c r="B191" s="1"/>
      <c r="D191" s="1"/>
    </row>
    <row r="192" spans="1:4" x14ac:dyDescent="0.3">
      <c r="A192" s="1"/>
      <c r="B192" s="1"/>
      <c r="D192" s="1"/>
    </row>
    <row r="193" spans="1:4" x14ac:dyDescent="0.3">
      <c r="A193" s="1"/>
      <c r="B193" s="1"/>
      <c r="D193" s="1"/>
    </row>
    <row r="194" spans="1:4" x14ac:dyDescent="0.3">
      <c r="A194" s="1"/>
      <c r="B194" s="1"/>
      <c r="D194" s="1"/>
    </row>
    <row r="195" spans="1:4" x14ac:dyDescent="0.3">
      <c r="A195" s="1"/>
      <c r="B195" s="1"/>
      <c r="D195" s="1"/>
    </row>
    <row r="196" spans="1:4" x14ac:dyDescent="0.3">
      <c r="A196" s="1"/>
      <c r="B196" s="1"/>
      <c r="D196" s="1"/>
    </row>
    <row r="197" spans="1:4" x14ac:dyDescent="0.3">
      <c r="A197" s="1"/>
      <c r="B197" s="1"/>
      <c r="D197" s="1"/>
    </row>
    <row r="198" spans="1:4" x14ac:dyDescent="0.3">
      <c r="A198" s="1"/>
      <c r="B198" s="1"/>
      <c r="D198" s="1"/>
    </row>
    <row r="199" spans="1:4" x14ac:dyDescent="0.3">
      <c r="A199" s="1"/>
      <c r="B199" s="1"/>
      <c r="D199" s="1"/>
    </row>
    <row r="200" spans="1:4" x14ac:dyDescent="0.3">
      <c r="A200" s="1"/>
      <c r="B200" s="1"/>
      <c r="D200" s="1"/>
    </row>
    <row r="201" spans="1:4" x14ac:dyDescent="0.3">
      <c r="A201" s="1"/>
      <c r="B201" s="1"/>
      <c r="D201" s="1"/>
    </row>
    <row r="202" spans="1:4" x14ac:dyDescent="0.3">
      <c r="A202" s="1"/>
      <c r="B202" s="1"/>
      <c r="D202" s="1"/>
    </row>
    <row r="203" spans="1:4" x14ac:dyDescent="0.3">
      <c r="A203" s="1"/>
      <c r="B203" s="1"/>
      <c r="D203" s="1"/>
    </row>
    <row r="204" spans="1:4" x14ac:dyDescent="0.3">
      <c r="A204" s="1"/>
      <c r="B204" s="1"/>
      <c r="D204" s="1"/>
    </row>
    <row r="205" spans="1:4" x14ac:dyDescent="0.3">
      <c r="A205" s="1"/>
      <c r="B205" s="1"/>
      <c r="D205" s="1"/>
    </row>
    <row r="206" spans="1:4" x14ac:dyDescent="0.3">
      <c r="A206" s="1"/>
      <c r="B206" s="1"/>
      <c r="D206" s="1"/>
    </row>
    <row r="207" spans="1:4" x14ac:dyDescent="0.3">
      <c r="A207" s="1"/>
      <c r="B207" s="1"/>
      <c r="D207" s="1"/>
    </row>
    <row r="208" spans="1:4" x14ac:dyDescent="0.3">
      <c r="A208" s="1"/>
      <c r="B208" s="1"/>
      <c r="D208" s="1"/>
    </row>
    <row r="209" spans="1:4" x14ac:dyDescent="0.3">
      <c r="A209" s="1"/>
      <c r="B209" s="1"/>
      <c r="D209" s="1"/>
    </row>
    <row r="210" spans="1:4" x14ac:dyDescent="0.3">
      <c r="A210" s="1"/>
      <c r="B210" s="1"/>
      <c r="D210" s="1"/>
    </row>
    <row r="211" spans="1:4" x14ac:dyDescent="0.3">
      <c r="A211" s="1"/>
      <c r="B211" s="1"/>
      <c r="D211" s="1"/>
    </row>
    <row r="212" spans="1:4" x14ac:dyDescent="0.3">
      <c r="A212" s="1"/>
      <c r="B212" s="1"/>
      <c r="D212" s="1"/>
    </row>
    <row r="213" spans="1:4" x14ac:dyDescent="0.3">
      <c r="A213" s="1"/>
      <c r="B213" s="1"/>
      <c r="D213" s="1"/>
    </row>
    <row r="214" spans="1:4" x14ac:dyDescent="0.3">
      <c r="A214" s="1"/>
      <c r="B214" s="1"/>
      <c r="D214" s="1"/>
    </row>
    <row r="215" spans="1:4" x14ac:dyDescent="0.3">
      <c r="A215" s="1"/>
      <c r="B215" s="1"/>
      <c r="D215" s="1"/>
    </row>
    <row r="216" spans="1:4" x14ac:dyDescent="0.3">
      <c r="A216" s="1"/>
      <c r="B216" s="1"/>
      <c r="D216" s="1"/>
    </row>
    <row r="217" spans="1:4" x14ac:dyDescent="0.3">
      <c r="A217" s="1"/>
      <c r="B217" s="1"/>
      <c r="D217" s="1"/>
    </row>
    <row r="218" spans="1:4" x14ac:dyDescent="0.3">
      <c r="A218" s="1"/>
      <c r="B218" s="1"/>
      <c r="D218" s="1"/>
    </row>
    <row r="219" spans="1:4" x14ac:dyDescent="0.3">
      <c r="A219" s="1"/>
      <c r="B219" s="1"/>
      <c r="D219" s="1"/>
    </row>
    <row r="220" spans="1:4" x14ac:dyDescent="0.3">
      <c r="A220" s="1"/>
      <c r="B220" s="1"/>
      <c r="D220" s="1"/>
    </row>
    <row r="221" spans="1:4" x14ac:dyDescent="0.3">
      <c r="A221" s="1"/>
      <c r="B221" s="1"/>
      <c r="D221" s="1"/>
    </row>
    <row r="222" spans="1:4" x14ac:dyDescent="0.3">
      <c r="A222" s="1"/>
      <c r="B222" s="1"/>
      <c r="D222" s="1"/>
    </row>
    <row r="223" spans="1:4" x14ac:dyDescent="0.3">
      <c r="A223" s="1"/>
      <c r="B223" s="1"/>
      <c r="D223" s="1"/>
    </row>
    <row r="224" spans="1:4" x14ac:dyDescent="0.3">
      <c r="A224" s="1"/>
      <c r="B224" s="1"/>
      <c r="D224" s="1"/>
    </row>
    <row r="225" spans="1:4" x14ac:dyDescent="0.3">
      <c r="A225" s="1"/>
      <c r="B225" s="1"/>
      <c r="D225" s="1"/>
    </row>
    <row r="226" spans="1:4" x14ac:dyDescent="0.3">
      <c r="A226" s="1"/>
      <c r="B226" s="1"/>
      <c r="D226" s="1"/>
    </row>
    <row r="227" spans="1:4" x14ac:dyDescent="0.3">
      <c r="A227" s="1"/>
      <c r="B227" s="1"/>
      <c r="D227" s="1"/>
    </row>
    <row r="228" spans="1:4" x14ac:dyDescent="0.3">
      <c r="A228" s="1"/>
      <c r="B228" s="1"/>
      <c r="D228" s="1"/>
    </row>
    <row r="229" spans="1:4" x14ac:dyDescent="0.3">
      <c r="A229" s="1"/>
      <c r="B229" s="1"/>
      <c r="D229" s="1"/>
    </row>
    <row r="230" spans="1:4" x14ac:dyDescent="0.3">
      <c r="A230" s="1"/>
      <c r="B230" s="1"/>
      <c r="D230" s="1"/>
    </row>
    <row r="231" spans="1:4" x14ac:dyDescent="0.3">
      <c r="A231" s="1"/>
      <c r="B231" s="1"/>
      <c r="D231" s="1"/>
    </row>
    <row r="232" spans="1:4" x14ac:dyDescent="0.3">
      <c r="A232" s="1"/>
      <c r="B232" s="1"/>
      <c r="D232" s="1"/>
    </row>
    <row r="233" spans="1:4" x14ac:dyDescent="0.3">
      <c r="A233" s="1"/>
      <c r="B233" s="1"/>
      <c r="D233" s="1"/>
    </row>
    <row r="234" spans="1:4" x14ac:dyDescent="0.3">
      <c r="A234" s="1"/>
      <c r="B234" s="1"/>
      <c r="D234" s="1"/>
    </row>
    <row r="235" spans="1:4" x14ac:dyDescent="0.3">
      <c r="A235" s="1"/>
      <c r="B235" s="1"/>
      <c r="D235" s="1"/>
    </row>
    <row r="236" spans="1:4" x14ac:dyDescent="0.3">
      <c r="A236" s="1"/>
      <c r="B236" s="1"/>
      <c r="D236" s="1"/>
    </row>
    <row r="237" spans="1:4" x14ac:dyDescent="0.3">
      <c r="A237" s="1"/>
      <c r="B237" s="1"/>
      <c r="D237" s="1"/>
    </row>
    <row r="238" spans="1:4" x14ac:dyDescent="0.3">
      <c r="A238" s="1"/>
      <c r="B238" s="1"/>
      <c r="D238" s="1"/>
    </row>
    <row r="239" spans="1:4" x14ac:dyDescent="0.3">
      <c r="A239" s="1"/>
      <c r="B239" s="1"/>
      <c r="D239" s="1"/>
    </row>
    <row r="240" spans="1:4" x14ac:dyDescent="0.3">
      <c r="A240" s="1"/>
      <c r="B240" s="1"/>
      <c r="C240" s="1"/>
      <c r="D240" s="1"/>
    </row>
    <row r="241" spans="1:4" x14ac:dyDescent="0.3">
      <c r="A241" s="1"/>
      <c r="B241" s="1"/>
      <c r="C241" s="1"/>
      <c r="D241" s="1"/>
    </row>
    <row r="242" spans="1:4" x14ac:dyDescent="0.3">
      <c r="A242" s="1"/>
      <c r="B242" s="1"/>
      <c r="C242" s="1"/>
      <c r="D242" s="1"/>
    </row>
    <row r="243" spans="1:4" x14ac:dyDescent="0.3">
      <c r="A243" s="1"/>
      <c r="B243" s="1"/>
      <c r="C243" s="1"/>
      <c r="D243" s="1"/>
    </row>
    <row r="244" spans="1:4" x14ac:dyDescent="0.3">
      <c r="A244" s="1"/>
      <c r="B244" s="1"/>
      <c r="C244" s="1"/>
      <c r="D244" s="1"/>
    </row>
    <row r="245" spans="1:4" x14ac:dyDescent="0.3">
      <c r="A245" s="1"/>
      <c r="B245" s="1"/>
      <c r="C245" s="1"/>
      <c r="D245" s="1"/>
    </row>
    <row r="246" spans="1:4" x14ac:dyDescent="0.3">
      <c r="A246" s="1"/>
      <c r="B246" s="1"/>
      <c r="C246" s="1"/>
      <c r="D246" s="1"/>
    </row>
    <row r="247" spans="1:4" x14ac:dyDescent="0.3">
      <c r="A247" s="1"/>
      <c r="B247" s="1"/>
      <c r="C247" s="1"/>
      <c r="D247" s="1"/>
    </row>
    <row r="248" spans="1:4" x14ac:dyDescent="0.3">
      <c r="A248" s="1"/>
      <c r="B248" s="1"/>
      <c r="C248" s="1"/>
      <c r="D248" s="1"/>
    </row>
    <row r="249" spans="1:4" x14ac:dyDescent="0.3">
      <c r="A249" s="1"/>
      <c r="B249" s="1"/>
      <c r="C249" s="1"/>
      <c r="D249" s="1"/>
    </row>
    <row r="250" spans="1:4" x14ac:dyDescent="0.3">
      <c r="A250" s="1"/>
      <c r="B250" s="1"/>
      <c r="C250" s="1"/>
      <c r="D250" s="1"/>
    </row>
    <row r="251" spans="1:4" x14ac:dyDescent="0.3">
      <c r="A251" s="1"/>
      <c r="B251" s="1"/>
      <c r="C251" s="1"/>
      <c r="D251" s="1"/>
    </row>
    <row r="252" spans="1:4" x14ac:dyDescent="0.3">
      <c r="A252" s="1"/>
      <c r="B252" s="1"/>
      <c r="C252" s="1"/>
      <c r="D252" s="1"/>
    </row>
    <row r="253" spans="1:4" x14ac:dyDescent="0.3">
      <c r="A253" s="1"/>
      <c r="B253" s="1"/>
      <c r="C253" s="1"/>
      <c r="D253" s="1"/>
    </row>
    <row r="254" spans="1:4" x14ac:dyDescent="0.3">
      <c r="A254" s="1"/>
      <c r="B254" s="1"/>
      <c r="C254" s="1"/>
      <c r="D254" s="1"/>
    </row>
    <row r="255" spans="1:4" x14ac:dyDescent="0.3">
      <c r="A255" s="1"/>
      <c r="B255" s="1"/>
      <c r="C255" s="1"/>
      <c r="D255" s="1"/>
    </row>
    <row r="256" spans="1:4" x14ac:dyDescent="0.3">
      <c r="A256" s="1"/>
      <c r="B256" s="1"/>
      <c r="C256" s="1"/>
      <c r="D256" s="1"/>
    </row>
    <row r="257" spans="1:4" x14ac:dyDescent="0.3">
      <c r="A257" s="1"/>
      <c r="B257" s="1"/>
      <c r="C257" s="1"/>
      <c r="D257" s="1"/>
    </row>
    <row r="258" spans="1:4" x14ac:dyDescent="0.3">
      <c r="A258" s="1"/>
      <c r="B258" s="1"/>
      <c r="C258" s="1"/>
      <c r="D258" s="1"/>
    </row>
    <row r="259" spans="1:4" x14ac:dyDescent="0.3">
      <c r="A259" s="1"/>
      <c r="B259" s="1"/>
      <c r="C259" s="1"/>
      <c r="D259" s="1"/>
    </row>
    <row r="260" spans="1:4" x14ac:dyDescent="0.3">
      <c r="A260" s="1"/>
      <c r="B260" s="1"/>
      <c r="C260" s="1"/>
      <c r="D260" s="1"/>
    </row>
    <row r="261" spans="1:4" x14ac:dyDescent="0.3">
      <c r="A261" s="1"/>
      <c r="B261" s="1"/>
      <c r="C261" s="1"/>
      <c r="D261" s="1"/>
    </row>
    <row r="262" spans="1:4" x14ac:dyDescent="0.3">
      <c r="A262" s="1"/>
      <c r="B262" s="1"/>
      <c r="C262" s="1"/>
      <c r="D262" s="1"/>
    </row>
    <row r="263" spans="1:4" x14ac:dyDescent="0.3">
      <c r="A263" s="1"/>
      <c r="B263" s="1"/>
      <c r="C263" s="1"/>
      <c r="D263" s="1"/>
    </row>
    <row r="264" spans="1:4" x14ac:dyDescent="0.3">
      <c r="A264" s="1"/>
      <c r="B264" s="1"/>
      <c r="C264" s="1"/>
      <c r="D264" s="1"/>
    </row>
    <row r="265" spans="1:4" x14ac:dyDescent="0.3">
      <c r="A265" s="1"/>
      <c r="B265" s="1"/>
      <c r="C265" s="1"/>
      <c r="D265" s="1"/>
    </row>
    <row r="266" spans="1:4" x14ac:dyDescent="0.3">
      <c r="A266" s="1"/>
      <c r="B266" s="1"/>
      <c r="C266" s="1"/>
      <c r="D266" s="1"/>
    </row>
    <row r="267" spans="1:4" x14ac:dyDescent="0.3">
      <c r="A267" s="1"/>
      <c r="B267" s="1"/>
      <c r="C267" s="1"/>
      <c r="D267" s="1"/>
    </row>
    <row r="268" spans="1:4" x14ac:dyDescent="0.3">
      <c r="A268" s="1"/>
      <c r="B268" s="1"/>
      <c r="C268" s="1"/>
      <c r="D268" s="1"/>
    </row>
    <row r="269" spans="1:4" x14ac:dyDescent="0.3">
      <c r="A269" s="1"/>
      <c r="B269" s="1"/>
      <c r="C269" s="1"/>
      <c r="D269" s="1"/>
    </row>
    <row r="270" spans="1:4" x14ac:dyDescent="0.3">
      <c r="A270" s="1"/>
      <c r="B270" s="1"/>
      <c r="C270" s="1"/>
      <c r="D270" s="1"/>
    </row>
    <row r="271" spans="1:4" x14ac:dyDescent="0.3">
      <c r="A271" s="1"/>
      <c r="B271" s="1"/>
      <c r="C271" s="1"/>
      <c r="D271" s="1"/>
    </row>
    <row r="272" spans="1:4" x14ac:dyDescent="0.3">
      <c r="A272" s="1"/>
      <c r="B272" s="1"/>
      <c r="C272" s="1"/>
      <c r="D272" s="1"/>
    </row>
    <row r="273" spans="1:4" x14ac:dyDescent="0.3">
      <c r="A273" s="1"/>
      <c r="B273" s="1"/>
      <c r="C273" s="1"/>
      <c r="D273" s="1"/>
    </row>
    <row r="274" spans="1:4" x14ac:dyDescent="0.3">
      <c r="A274" s="1"/>
      <c r="B274" s="1"/>
      <c r="C274" s="1"/>
      <c r="D274" s="1"/>
    </row>
    <row r="275" spans="1:4" x14ac:dyDescent="0.3">
      <c r="A275" s="1"/>
      <c r="B275" s="1"/>
      <c r="C275" s="1"/>
      <c r="D275" s="1"/>
    </row>
    <row r="276" spans="1:4" x14ac:dyDescent="0.3">
      <c r="A276" s="1"/>
      <c r="B276" s="1"/>
      <c r="C276" s="1"/>
      <c r="D276" s="1"/>
    </row>
    <row r="277" spans="1:4" x14ac:dyDescent="0.3">
      <c r="A277" s="1"/>
      <c r="B277" s="1"/>
      <c r="C277" s="1"/>
      <c r="D277" s="1"/>
    </row>
    <row r="278" spans="1:4" x14ac:dyDescent="0.3">
      <c r="A278" s="1"/>
      <c r="B278" s="1"/>
      <c r="C278" s="1"/>
      <c r="D278" s="1"/>
    </row>
    <row r="279" spans="1:4" x14ac:dyDescent="0.3">
      <c r="A279" s="1"/>
      <c r="B279" s="1"/>
      <c r="C279" s="1"/>
      <c r="D279" s="1"/>
    </row>
    <row r="280" spans="1:4" x14ac:dyDescent="0.3">
      <c r="A280" s="1"/>
      <c r="B280" s="1"/>
      <c r="C280" s="1"/>
      <c r="D280" s="1"/>
    </row>
    <row r="281" spans="1:4" x14ac:dyDescent="0.3">
      <c r="A281" s="1"/>
      <c r="B281" s="1"/>
      <c r="C281" s="1"/>
      <c r="D281" s="1"/>
    </row>
    <row r="282" spans="1:4" x14ac:dyDescent="0.3">
      <c r="A282" s="1"/>
      <c r="B282" s="1"/>
      <c r="C282" s="1"/>
      <c r="D282" s="1"/>
    </row>
    <row r="283" spans="1:4" x14ac:dyDescent="0.3">
      <c r="A283" s="1"/>
      <c r="B283" s="1"/>
      <c r="C283" s="1"/>
      <c r="D283" s="1"/>
    </row>
    <row r="284" spans="1:4" x14ac:dyDescent="0.3">
      <c r="A284" s="1"/>
      <c r="B284" s="1"/>
      <c r="C284" s="1"/>
      <c r="D284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D141"/>
  <sheetViews>
    <sheetView workbookViewId="0">
      <selection activeCell="C1" sqref="C1:D141"/>
    </sheetView>
  </sheetViews>
  <sheetFormatPr defaultRowHeight="16.5" x14ac:dyDescent="0.3"/>
  <sheetData>
    <row r="1" spans="1:4" x14ac:dyDescent="0.3">
      <c r="A1">
        <v>12.310129999999999</v>
      </c>
      <c r="B1">
        <v>0.82828999999999997</v>
      </c>
      <c r="C1">
        <f>A1/200</f>
        <v>6.1550649999999998E-2</v>
      </c>
      <c r="D1">
        <f>B1</f>
        <v>0.82828999999999997</v>
      </c>
    </row>
    <row r="2" spans="1:4" x14ac:dyDescent="0.3">
      <c r="A2">
        <v>23.002980000000001</v>
      </c>
      <c r="B2">
        <v>0.81913999999999998</v>
      </c>
      <c r="C2">
        <f t="shared" ref="C2:C65" si="0">A2/200</f>
        <v>0.1150149</v>
      </c>
      <c r="D2">
        <f t="shared" ref="D2:D65" si="1">B2</f>
        <v>0.81913999999999998</v>
      </c>
    </row>
    <row r="3" spans="1:4" x14ac:dyDescent="0.3">
      <c r="A3">
        <v>33.28848</v>
      </c>
      <c r="B3">
        <v>0.80840999999999996</v>
      </c>
      <c r="C3">
        <f t="shared" si="0"/>
        <v>0.16644239999999999</v>
      </c>
      <c r="D3">
        <f t="shared" si="1"/>
        <v>0.80840999999999996</v>
      </c>
    </row>
    <row r="4" spans="1:4" x14ac:dyDescent="0.3">
      <c r="A4">
        <v>43.472149999999999</v>
      </c>
      <c r="B4">
        <v>0.79937999999999998</v>
      </c>
      <c r="C4">
        <f t="shared" si="0"/>
        <v>0.21736074999999999</v>
      </c>
      <c r="D4">
        <f t="shared" si="1"/>
        <v>0.79937999999999998</v>
      </c>
    </row>
    <row r="5" spans="1:4" x14ac:dyDescent="0.3">
      <c r="A5">
        <v>53.553980000000003</v>
      </c>
      <c r="B5">
        <v>0.79137999999999997</v>
      </c>
      <c r="C5">
        <f t="shared" si="0"/>
        <v>0.26776990000000001</v>
      </c>
      <c r="D5">
        <f t="shared" si="1"/>
        <v>0.79137999999999997</v>
      </c>
    </row>
    <row r="6" spans="1:4" x14ac:dyDescent="0.3">
      <c r="A6">
        <v>64.348659999999995</v>
      </c>
      <c r="B6">
        <v>0.78381999999999996</v>
      </c>
      <c r="C6">
        <f t="shared" si="0"/>
        <v>0.32174329999999995</v>
      </c>
      <c r="D6">
        <f t="shared" si="1"/>
        <v>0.78381999999999996</v>
      </c>
    </row>
    <row r="7" spans="1:4" x14ac:dyDescent="0.3">
      <c r="A7">
        <v>74.532330000000002</v>
      </c>
      <c r="B7">
        <v>0.77583999999999997</v>
      </c>
      <c r="C7">
        <f t="shared" si="0"/>
        <v>0.37266165000000001</v>
      </c>
      <c r="D7">
        <f t="shared" si="1"/>
        <v>0.77583999999999997</v>
      </c>
    </row>
    <row r="8" spans="1:4" x14ac:dyDescent="0.3">
      <c r="A8">
        <v>84.919669999999996</v>
      </c>
      <c r="B8">
        <v>0.76919999999999999</v>
      </c>
      <c r="C8">
        <f t="shared" si="0"/>
        <v>0.42459834999999996</v>
      </c>
      <c r="D8">
        <f t="shared" si="1"/>
        <v>0.76919999999999999</v>
      </c>
    </row>
    <row r="9" spans="1:4" x14ac:dyDescent="0.3">
      <c r="A9">
        <v>95.10333</v>
      </c>
      <c r="B9">
        <v>0.76319999999999999</v>
      </c>
      <c r="C9">
        <f t="shared" si="0"/>
        <v>0.47551664999999999</v>
      </c>
      <c r="D9">
        <f t="shared" si="1"/>
        <v>0.76319999999999999</v>
      </c>
    </row>
    <row r="10" spans="1:4" x14ac:dyDescent="0.3">
      <c r="A10">
        <v>105.18517</v>
      </c>
      <c r="B10">
        <v>0.75721000000000005</v>
      </c>
      <c r="C10">
        <f t="shared" si="0"/>
        <v>0.52592585000000003</v>
      </c>
      <c r="D10">
        <f t="shared" si="1"/>
        <v>0.75721000000000005</v>
      </c>
    </row>
    <row r="11" spans="1:4" x14ac:dyDescent="0.3">
      <c r="A11">
        <v>115.267</v>
      </c>
      <c r="B11">
        <v>0.75134999999999996</v>
      </c>
      <c r="C11">
        <f t="shared" si="0"/>
        <v>0.57633499999999993</v>
      </c>
      <c r="D11">
        <f t="shared" si="1"/>
        <v>0.75134999999999996</v>
      </c>
    </row>
    <row r="12" spans="1:4" x14ac:dyDescent="0.3">
      <c r="A12">
        <v>125.858</v>
      </c>
      <c r="B12">
        <v>0.74577000000000004</v>
      </c>
      <c r="C12">
        <f t="shared" si="0"/>
        <v>0.62929000000000002</v>
      </c>
      <c r="D12">
        <f t="shared" si="1"/>
        <v>0.74577000000000004</v>
      </c>
    </row>
    <row r="13" spans="1:4" x14ac:dyDescent="0.3">
      <c r="A13">
        <v>135.93983</v>
      </c>
      <c r="B13">
        <v>0.74031000000000002</v>
      </c>
      <c r="C13">
        <f t="shared" si="0"/>
        <v>0.67969915000000003</v>
      </c>
      <c r="D13">
        <f t="shared" si="1"/>
        <v>0.74031000000000002</v>
      </c>
    </row>
    <row r="14" spans="1:4" x14ac:dyDescent="0.3">
      <c r="A14">
        <v>146.32717</v>
      </c>
      <c r="B14">
        <v>0.73470000000000002</v>
      </c>
      <c r="C14">
        <f t="shared" si="0"/>
        <v>0.73163584999999998</v>
      </c>
      <c r="D14">
        <f t="shared" si="1"/>
        <v>0.73470000000000002</v>
      </c>
    </row>
    <row r="15" spans="1:4" x14ac:dyDescent="0.3">
      <c r="A15">
        <v>156.51084</v>
      </c>
      <c r="B15">
        <v>0.72989999999999999</v>
      </c>
      <c r="C15">
        <f t="shared" si="0"/>
        <v>0.78255419999999998</v>
      </c>
      <c r="D15">
        <f t="shared" si="1"/>
        <v>0.72989999999999999</v>
      </c>
    </row>
    <row r="16" spans="1:4" x14ac:dyDescent="0.3">
      <c r="A16">
        <v>167.00001</v>
      </c>
      <c r="B16">
        <v>0.72438999999999998</v>
      </c>
      <c r="C16">
        <f t="shared" si="0"/>
        <v>0.83500004999999999</v>
      </c>
      <c r="D16">
        <f t="shared" si="1"/>
        <v>0.72438999999999998</v>
      </c>
    </row>
    <row r="17" spans="1:4" x14ac:dyDescent="0.3">
      <c r="A17">
        <v>177.38735</v>
      </c>
      <c r="B17">
        <v>0.71955999999999998</v>
      </c>
      <c r="C17">
        <f t="shared" si="0"/>
        <v>0.88693674999999994</v>
      </c>
      <c r="D17">
        <f t="shared" si="1"/>
        <v>0.71955999999999998</v>
      </c>
    </row>
    <row r="18" spans="1:4" x14ac:dyDescent="0.3">
      <c r="A18">
        <v>188.18203</v>
      </c>
      <c r="B18">
        <v>0.71445999999999998</v>
      </c>
      <c r="C18">
        <f t="shared" si="0"/>
        <v>0.94091015</v>
      </c>
      <c r="D18">
        <f t="shared" si="1"/>
        <v>0.71445999999999998</v>
      </c>
    </row>
    <row r="19" spans="1:4" x14ac:dyDescent="0.3">
      <c r="A19">
        <v>198.36571000000001</v>
      </c>
      <c r="B19">
        <v>0.70957000000000003</v>
      </c>
      <c r="C19">
        <f t="shared" si="0"/>
        <v>0.99182855000000003</v>
      </c>
      <c r="D19">
        <f t="shared" si="1"/>
        <v>0.70957000000000003</v>
      </c>
    </row>
    <row r="20" spans="1:4" x14ac:dyDescent="0.3">
      <c r="A20">
        <v>208.44754</v>
      </c>
      <c r="B20">
        <v>0.70511999999999997</v>
      </c>
      <c r="C20">
        <f t="shared" si="0"/>
        <v>1.0422377</v>
      </c>
      <c r="D20">
        <f t="shared" si="1"/>
        <v>0.70511999999999997</v>
      </c>
    </row>
    <row r="21" spans="1:4" x14ac:dyDescent="0.3">
      <c r="A21">
        <v>219.03854000000001</v>
      </c>
      <c r="B21">
        <v>0.70026999999999995</v>
      </c>
      <c r="C21">
        <f t="shared" si="0"/>
        <v>1.0951927000000001</v>
      </c>
      <c r="D21">
        <f t="shared" si="1"/>
        <v>0.70026999999999995</v>
      </c>
    </row>
    <row r="22" spans="1:4" x14ac:dyDescent="0.3">
      <c r="A22">
        <v>229.42590000000001</v>
      </c>
      <c r="B22">
        <v>0.69594</v>
      </c>
      <c r="C22">
        <f t="shared" si="0"/>
        <v>1.1471295000000001</v>
      </c>
      <c r="D22">
        <f t="shared" si="1"/>
        <v>0.69594</v>
      </c>
    </row>
    <row r="23" spans="1:4" x14ac:dyDescent="0.3">
      <c r="A23">
        <v>239.91506000000001</v>
      </c>
      <c r="B23">
        <v>0.69120000000000004</v>
      </c>
      <c r="C23">
        <f t="shared" si="0"/>
        <v>1.1995753</v>
      </c>
      <c r="D23">
        <f t="shared" si="1"/>
        <v>0.69120000000000004</v>
      </c>
    </row>
    <row r="24" spans="1:4" x14ac:dyDescent="0.3">
      <c r="A24">
        <v>250.20058</v>
      </c>
      <c r="B24">
        <v>0.68669999999999998</v>
      </c>
      <c r="C24">
        <f t="shared" si="0"/>
        <v>1.2510029</v>
      </c>
      <c r="D24">
        <f t="shared" si="1"/>
        <v>0.68669999999999998</v>
      </c>
    </row>
    <row r="25" spans="1:4" x14ac:dyDescent="0.3">
      <c r="A25">
        <v>260.48606000000001</v>
      </c>
      <c r="B25">
        <v>0.68233999999999995</v>
      </c>
      <c r="C25">
        <f t="shared" si="0"/>
        <v>1.3024303000000002</v>
      </c>
      <c r="D25">
        <f t="shared" si="1"/>
        <v>0.68233999999999995</v>
      </c>
    </row>
    <row r="26" spans="1:4" x14ac:dyDescent="0.3">
      <c r="A26">
        <v>271.07708000000002</v>
      </c>
      <c r="B26">
        <v>0.67818000000000001</v>
      </c>
      <c r="C26">
        <f t="shared" si="0"/>
        <v>1.3553854000000001</v>
      </c>
      <c r="D26">
        <f t="shared" si="1"/>
        <v>0.67818000000000001</v>
      </c>
    </row>
    <row r="27" spans="1:4" x14ac:dyDescent="0.3">
      <c r="A27">
        <v>281.87175999999999</v>
      </c>
      <c r="B27">
        <v>0.67349000000000003</v>
      </c>
      <c r="C27">
        <f t="shared" si="0"/>
        <v>1.4093587999999999</v>
      </c>
      <c r="D27">
        <f t="shared" si="1"/>
        <v>0.67349000000000003</v>
      </c>
    </row>
    <row r="28" spans="1:4" x14ac:dyDescent="0.3">
      <c r="A28">
        <v>291.95355999999998</v>
      </c>
      <c r="B28">
        <v>0.66915000000000002</v>
      </c>
      <c r="C28">
        <f t="shared" si="0"/>
        <v>1.4597677999999998</v>
      </c>
      <c r="D28">
        <f t="shared" si="1"/>
        <v>0.66915000000000002</v>
      </c>
    </row>
    <row r="29" spans="1:4" x14ac:dyDescent="0.3">
      <c r="A29">
        <v>302.34093999999999</v>
      </c>
      <c r="B29">
        <v>0.66498999999999997</v>
      </c>
      <c r="C29">
        <f t="shared" si="0"/>
        <v>1.5117046999999999</v>
      </c>
      <c r="D29">
        <f t="shared" si="1"/>
        <v>0.66498999999999997</v>
      </c>
    </row>
    <row r="30" spans="1:4" x14ac:dyDescent="0.3">
      <c r="A30">
        <v>312.62644</v>
      </c>
      <c r="B30">
        <v>0.66098000000000001</v>
      </c>
      <c r="C30">
        <f t="shared" si="0"/>
        <v>1.5631322000000001</v>
      </c>
      <c r="D30">
        <f t="shared" si="1"/>
        <v>0.66098000000000001</v>
      </c>
    </row>
    <row r="31" spans="1:4" x14ac:dyDescent="0.3">
      <c r="A31">
        <v>322.70826</v>
      </c>
      <c r="B31">
        <v>0.65668000000000004</v>
      </c>
      <c r="C31">
        <f t="shared" si="0"/>
        <v>1.6135413000000001</v>
      </c>
      <c r="D31">
        <f t="shared" si="1"/>
        <v>0.65668000000000004</v>
      </c>
    </row>
    <row r="32" spans="1:4" x14ac:dyDescent="0.3">
      <c r="A32">
        <v>332.99376000000001</v>
      </c>
      <c r="B32">
        <v>0.65256000000000003</v>
      </c>
      <c r="C32">
        <f t="shared" si="0"/>
        <v>1.6649688</v>
      </c>
      <c r="D32">
        <f t="shared" si="1"/>
        <v>0.65256000000000003</v>
      </c>
    </row>
    <row r="33" spans="1:4" x14ac:dyDescent="0.3">
      <c r="A33">
        <v>343.17743999999999</v>
      </c>
      <c r="B33">
        <v>0.64870000000000005</v>
      </c>
      <c r="C33">
        <f t="shared" si="0"/>
        <v>1.7158872000000001</v>
      </c>
      <c r="D33">
        <f t="shared" si="1"/>
        <v>0.64870000000000005</v>
      </c>
    </row>
    <row r="34" spans="1:4" x14ac:dyDescent="0.3">
      <c r="A34">
        <v>354.07396</v>
      </c>
      <c r="B34">
        <v>0.64456000000000002</v>
      </c>
      <c r="C34">
        <f t="shared" si="0"/>
        <v>1.7703698000000001</v>
      </c>
      <c r="D34">
        <f t="shared" si="1"/>
        <v>0.64456000000000002</v>
      </c>
    </row>
    <row r="35" spans="1:4" x14ac:dyDescent="0.3">
      <c r="A35">
        <v>364.25761999999997</v>
      </c>
      <c r="B35">
        <v>0.64037999999999995</v>
      </c>
      <c r="C35">
        <f t="shared" si="0"/>
        <v>1.8212880999999999</v>
      </c>
      <c r="D35">
        <f t="shared" si="1"/>
        <v>0.64037999999999995</v>
      </c>
    </row>
    <row r="36" spans="1:4" x14ac:dyDescent="0.3">
      <c r="A36">
        <v>374.74678</v>
      </c>
      <c r="B36">
        <v>0.63661999999999996</v>
      </c>
      <c r="C36">
        <f t="shared" si="0"/>
        <v>1.8737339</v>
      </c>
      <c r="D36">
        <f t="shared" si="1"/>
        <v>0.63661999999999996</v>
      </c>
    </row>
    <row r="37" spans="1:4" x14ac:dyDescent="0.3">
      <c r="A37">
        <v>385.03230000000002</v>
      </c>
      <c r="B37">
        <v>0.63229999999999997</v>
      </c>
      <c r="C37">
        <f t="shared" si="0"/>
        <v>1.9251615000000002</v>
      </c>
      <c r="D37">
        <f t="shared" si="1"/>
        <v>0.63229999999999997</v>
      </c>
    </row>
    <row r="38" spans="1:4" x14ac:dyDescent="0.3">
      <c r="A38">
        <v>395.21593999999999</v>
      </c>
      <c r="B38">
        <v>0.62895999999999996</v>
      </c>
      <c r="C38">
        <f t="shared" si="0"/>
        <v>1.9760796999999999</v>
      </c>
      <c r="D38">
        <f t="shared" si="1"/>
        <v>0.62895999999999996</v>
      </c>
    </row>
    <row r="39" spans="1:4" x14ac:dyDescent="0.3">
      <c r="A39">
        <v>405.90881999999999</v>
      </c>
      <c r="B39">
        <v>0.62439999999999996</v>
      </c>
      <c r="C39">
        <f t="shared" si="0"/>
        <v>2.0295440999999999</v>
      </c>
      <c r="D39">
        <f t="shared" si="1"/>
        <v>0.62439999999999996</v>
      </c>
    </row>
    <row r="40" spans="1:4" x14ac:dyDescent="0.3">
      <c r="A40">
        <v>416.60165999999998</v>
      </c>
      <c r="B40">
        <v>0.62085000000000001</v>
      </c>
      <c r="C40">
        <f t="shared" si="0"/>
        <v>2.0830082999999999</v>
      </c>
      <c r="D40">
        <f t="shared" si="1"/>
        <v>0.62085000000000001</v>
      </c>
    </row>
    <row r="41" spans="1:4" x14ac:dyDescent="0.3">
      <c r="A41">
        <v>427.29453999999998</v>
      </c>
      <c r="B41">
        <v>0.61648999999999998</v>
      </c>
      <c r="C41">
        <f t="shared" si="0"/>
        <v>2.1364727000000001</v>
      </c>
      <c r="D41">
        <f t="shared" si="1"/>
        <v>0.61648999999999998</v>
      </c>
    </row>
    <row r="42" spans="1:4" x14ac:dyDescent="0.3">
      <c r="A42">
        <v>437.88553999999999</v>
      </c>
      <c r="B42">
        <v>0.61262000000000005</v>
      </c>
      <c r="C42">
        <f t="shared" si="0"/>
        <v>2.1894277</v>
      </c>
      <c r="D42">
        <f t="shared" si="1"/>
        <v>0.61262000000000005</v>
      </c>
    </row>
    <row r="43" spans="1:4" x14ac:dyDescent="0.3">
      <c r="A43">
        <v>448.17104</v>
      </c>
      <c r="B43">
        <v>0.60904999999999998</v>
      </c>
      <c r="C43">
        <f t="shared" si="0"/>
        <v>2.2408551999999999</v>
      </c>
      <c r="D43">
        <f t="shared" si="1"/>
        <v>0.60904999999999998</v>
      </c>
    </row>
    <row r="44" spans="1:4" x14ac:dyDescent="0.3">
      <c r="A44">
        <v>458.35467999999997</v>
      </c>
      <c r="B44">
        <v>0.60524999999999995</v>
      </c>
      <c r="C44">
        <f t="shared" si="0"/>
        <v>2.2917733999999998</v>
      </c>
      <c r="D44">
        <f t="shared" si="1"/>
        <v>0.60524999999999995</v>
      </c>
    </row>
    <row r="45" spans="1:4" x14ac:dyDescent="0.3">
      <c r="A45">
        <v>468.94569999999999</v>
      </c>
      <c r="B45">
        <v>0.60138999999999998</v>
      </c>
      <c r="C45">
        <f t="shared" si="0"/>
        <v>2.3447285</v>
      </c>
      <c r="D45">
        <f t="shared" si="1"/>
        <v>0.60138999999999998</v>
      </c>
    </row>
    <row r="46" spans="1:4" x14ac:dyDescent="0.3">
      <c r="A46">
        <v>479.12939999999998</v>
      </c>
      <c r="B46">
        <v>0.59753000000000001</v>
      </c>
      <c r="C46">
        <f t="shared" si="0"/>
        <v>2.3956469999999999</v>
      </c>
      <c r="D46">
        <f t="shared" si="1"/>
        <v>0.59753000000000001</v>
      </c>
    </row>
    <row r="47" spans="1:4" x14ac:dyDescent="0.3">
      <c r="A47">
        <v>489.41489999999999</v>
      </c>
      <c r="B47">
        <v>0.59414</v>
      </c>
      <c r="C47">
        <f t="shared" si="0"/>
        <v>2.4470744999999998</v>
      </c>
      <c r="D47">
        <f t="shared" si="1"/>
        <v>0.59414</v>
      </c>
    </row>
    <row r="48" spans="1:4" x14ac:dyDescent="0.3">
      <c r="A48">
        <v>499.49671999999998</v>
      </c>
      <c r="B48">
        <v>0.59031999999999996</v>
      </c>
      <c r="C48">
        <f t="shared" si="0"/>
        <v>2.4974835999999998</v>
      </c>
      <c r="D48">
        <f t="shared" si="1"/>
        <v>0.59031999999999996</v>
      </c>
    </row>
    <row r="49" spans="1:4" x14ac:dyDescent="0.3">
      <c r="A49">
        <v>510.39321999999999</v>
      </c>
      <c r="B49">
        <v>0.58667000000000002</v>
      </c>
      <c r="C49">
        <f t="shared" si="0"/>
        <v>2.5519661</v>
      </c>
      <c r="D49">
        <f t="shared" si="1"/>
        <v>0.58667000000000002</v>
      </c>
    </row>
    <row r="50" spans="1:4" x14ac:dyDescent="0.3">
      <c r="A50">
        <v>520.47504000000004</v>
      </c>
      <c r="B50">
        <v>0.58287</v>
      </c>
      <c r="C50">
        <f t="shared" si="0"/>
        <v>2.6023752</v>
      </c>
      <c r="D50">
        <f t="shared" si="1"/>
        <v>0.58287</v>
      </c>
    </row>
    <row r="51" spans="1:4" x14ac:dyDescent="0.3">
      <c r="A51">
        <v>530.65869999999995</v>
      </c>
      <c r="B51">
        <v>0.57933999999999997</v>
      </c>
      <c r="C51">
        <f t="shared" si="0"/>
        <v>2.6532934999999997</v>
      </c>
      <c r="D51">
        <f t="shared" si="1"/>
        <v>0.57933999999999997</v>
      </c>
    </row>
    <row r="52" spans="1:4" x14ac:dyDescent="0.3">
      <c r="A52">
        <v>540.94424000000004</v>
      </c>
      <c r="B52">
        <v>0.57628000000000001</v>
      </c>
      <c r="C52">
        <f t="shared" si="0"/>
        <v>2.7047212000000003</v>
      </c>
      <c r="D52">
        <f t="shared" si="1"/>
        <v>0.57628000000000001</v>
      </c>
    </row>
    <row r="53" spans="1:4" x14ac:dyDescent="0.3">
      <c r="A53">
        <v>551.84072000000003</v>
      </c>
      <c r="B53">
        <v>0.57237000000000005</v>
      </c>
      <c r="C53">
        <f t="shared" si="0"/>
        <v>2.7592036000000002</v>
      </c>
      <c r="D53">
        <f t="shared" si="1"/>
        <v>0.57237000000000005</v>
      </c>
    </row>
    <row r="54" spans="1:4" x14ac:dyDescent="0.3">
      <c r="A54">
        <v>562.22811999999999</v>
      </c>
      <c r="B54">
        <v>0.56857000000000002</v>
      </c>
      <c r="C54">
        <f t="shared" si="0"/>
        <v>2.8111405999999999</v>
      </c>
      <c r="D54">
        <f t="shared" si="1"/>
        <v>0.56857000000000002</v>
      </c>
    </row>
    <row r="55" spans="1:4" x14ac:dyDescent="0.3">
      <c r="A55">
        <v>572.30992000000003</v>
      </c>
      <c r="B55">
        <v>0.56474999999999997</v>
      </c>
      <c r="C55">
        <f t="shared" si="0"/>
        <v>2.8615496</v>
      </c>
      <c r="D55">
        <f t="shared" si="1"/>
        <v>0.56474999999999997</v>
      </c>
    </row>
    <row r="56" spans="1:4" x14ac:dyDescent="0.3">
      <c r="A56">
        <v>583.30830000000003</v>
      </c>
      <c r="B56">
        <v>0.56118000000000001</v>
      </c>
      <c r="C56">
        <f t="shared" si="0"/>
        <v>2.9165415000000001</v>
      </c>
      <c r="D56">
        <f t="shared" si="1"/>
        <v>0.56118000000000001</v>
      </c>
    </row>
    <row r="57" spans="1:4" x14ac:dyDescent="0.3">
      <c r="A57">
        <v>593.59375999999997</v>
      </c>
      <c r="B57">
        <v>0.55744000000000005</v>
      </c>
      <c r="C57">
        <f t="shared" si="0"/>
        <v>2.9679688</v>
      </c>
      <c r="D57">
        <f t="shared" si="1"/>
        <v>0.55744000000000005</v>
      </c>
    </row>
    <row r="58" spans="1:4" x14ac:dyDescent="0.3">
      <c r="A58">
        <v>603.77743999999996</v>
      </c>
      <c r="B58">
        <v>0.5544</v>
      </c>
      <c r="C58">
        <f t="shared" si="0"/>
        <v>3.0188872</v>
      </c>
      <c r="D58">
        <f t="shared" si="1"/>
        <v>0.5544</v>
      </c>
    </row>
    <row r="59" spans="1:4" x14ac:dyDescent="0.3">
      <c r="A59">
        <v>613.96114</v>
      </c>
      <c r="B59">
        <v>0.55091000000000001</v>
      </c>
      <c r="C59">
        <f t="shared" si="0"/>
        <v>3.0698056999999999</v>
      </c>
      <c r="D59">
        <f t="shared" si="1"/>
        <v>0.55091000000000001</v>
      </c>
    </row>
    <row r="60" spans="1:4" x14ac:dyDescent="0.3">
      <c r="A60">
        <v>624.14477999999997</v>
      </c>
      <c r="B60">
        <v>0.54725999999999997</v>
      </c>
      <c r="C60">
        <f t="shared" si="0"/>
        <v>3.1207238999999998</v>
      </c>
      <c r="D60">
        <f t="shared" si="1"/>
        <v>0.54725999999999997</v>
      </c>
    </row>
    <row r="61" spans="1:4" x14ac:dyDescent="0.3">
      <c r="A61">
        <v>635.34677999999997</v>
      </c>
      <c r="B61">
        <v>0.54359999999999997</v>
      </c>
      <c r="C61">
        <f t="shared" si="0"/>
        <v>3.1767338999999999</v>
      </c>
      <c r="D61">
        <f t="shared" si="1"/>
        <v>0.54359999999999997</v>
      </c>
    </row>
    <row r="62" spans="1:4" x14ac:dyDescent="0.3">
      <c r="A62">
        <v>645.63228000000004</v>
      </c>
      <c r="B62">
        <v>0.54003000000000001</v>
      </c>
      <c r="C62">
        <f t="shared" si="0"/>
        <v>3.2281614000000003</v>
      </c>
      <c r="D62">
        <f t="shared" si="1"/>
        <v>0.54003000000000001</v>
      </c>
    </row>
    <row r="63" spans="1:4" x14ac:dyDescent="0.3">
      <c r="A63">
        <v>655.71411999999998</v>
      </c>
      <c r="B63">
        <v>0.53666999999999998</v>
      </c>
      <c r="C63">
        <f t="shared" si="0"/>
        <v>3.2785706000000001</v>
      </c>
      <c r="D63">
        <f t="shared" si="1"/>
        <v>0.53666999999999998</v>
      </c>
    </row>
    <row r="64" spans="1:4" x14ac:dyDescent="0.3">
      <c r="A64">
        <v>665.89779999999996</v>
      </c>
      <c r="B64">
        <v>0.53327000000000002</v>
      </c>
      <c r="C64">
        <f t="shared" si="0"/>
        <v>3.3294889999999997</v>
      </c>
      <c r="D64">
        <f t="shared" si="1"/>
        <v>0.53327000000000002</v>
      </c>
    </row>
    <row r="65" spans="1:4" x14ac:dyDescent="0.3">
      <c r="A65">
        <v>676.59061999999994</v>
      </c>
      <c r="B65">
        <v>0.52961999999999998</v>
      </c>
      <c r="C65">
        <f t="shared" si="0"/>
        <v>3.3829530999999999</v>
      </c>
      <c r="D65">
        <f t="shared" si="1"/>
        <v>0.52961999999999998</v>
      </c>
    </row>
    <row r="66" spans="1:4" x14ac:dyDescent="0.3">
      <c r="A66">
        <v>687.99627999999996</v>
      </c>
      <c r="B66">
        <v>0.52583999999999997</v>
      </c>
      <c r="C66">
        <f t="shared" ref="C66:C129" si="2">A66/200</f>
        <v>3.4399813999999997</v>
      </c>
      <c r="D66">
        <f t="shared" ref="D66:D129" si="3">B66</f>
        <v>0.52583999999999997</v>
      </c>
    </row>
    <row r="67" spans="1:4" x14ac:dyDescent="0.3">
      <c r="A67">
        <v>698.38364000000001</v>
      </c>
      <c r="B67">
        <v>0.52248000000000006</v>
      </c>
      <c r="C67">
        <f t="shared" si="2"/>
        <v>3.4919182000000002</v>
      </c>
      <c r="D67">
        <f t="shared" si="3"/>
        <v>0.52248000000000006</v>
      </c>
    </row>
    <row r="68" spans="1:4" x14ac:dyDescent="0.3">
      <c r="A68">
        <v>708.77099999999996</v>
      </c>
      <c r="B68">
        <v>0.51883000000000001</v>
      </c>
      <c r="C68">
        <f t="shared" si="2"/>
        <v>3.5438549999999998</v>
      </c>
      <c r="D68">
        <f t="shared" si="3"/>
        <v>0.51883000000000001</v>
      </c>
    </row>
    <row r="69" spans="1:4" x14ac:dyDescent="0.3">
      <c r="A69">
        <v>718.95468000000005</v>
      </c>
      <c r="B69">
        <v>0.51571999999999996</v>
      </c>
      <c r="C69">
        <f t="shared" si="2"/>
        <v>3.5947734000000002</v>
      </c>
      <c r="D69">
        <f t="shared" si="3"/>
        <v>0.51571999999999996</v>
      </c>
    </row>
    <row r="70" spans="1:4" x14ac:dyDescent="0.3">
      <c r="A70">
        <v>729.03652</v>
      </c>
      <c r="B70">
        <v>0.51214999999999999</v>
      </c>
      <c r="C70">
        <f t="shared" si="2"/>
        <v>3.6451826000000001</v>
      </c>
      <c r="D70">
        <f t="shared" si="3"/>
        <v>0.51214999999999999</v>
      </c>
    </row>
    <row r="71" spans="1:4" x14ac:dyDescent="0.3">
      <c r="A71">
        <v>739.32198000000005</v>
      </c>
      <c r="B71">
        <v>0.50876999999999994</v>
      </c>
      <c r="C71">
        <f t="shared" si="2"/>
        <v>3.6966099000000003</v>
      </c>
      <c r="D71">
        <f t="shared" si="3"/>
        <v>0.50876999999999994</v>
      </c>
    </row>
    <row r="72" spans="1:4" x14ac:dyDescent="0.3">
      <c r="A72">
        <v>749.60752000000002</v>
      </c>
      <c r="B72">
        <v>0.50526000000000004</v>
      </c>
      <c r="C72">
        <f t="shared" si="2"/>
        <v>3.7480376</v>
      </c>
      <c r="D72">
        <f t="shared" si="3"/>
        <v>0.50526000000000004</v>
      </c>
    </row>
    <row r="73" spans="1:4" x14ac:dyDescent="0.3">
      <c r="A73">
        <v>759.99487999999997</v>
      </c>
      <c r="B73">
        <v>0.50202999999999998</v>
      </c>
      <c r="C73">
        <f t="shared" si="2"/>
        <v>3.7999744</v>
      </c>
      <c r="D73">
        <f t="shared" si="3"/>
        <v>0.50202999999999998</v>
      </c>
    </row>
    <row r="74" spans="1:4" x14ac:dyDescent="0.3">
      <c r="A74">
        <v>770.38217999999995</v>
      </c>
      <c r="B74">
        <v>0.49861</v>
      </c>
      <c r="C74">
        <f t="shared" si="2"/>
        <v>3.8519108999999996</v>
      </c>
      <c r="D74">
        <f t="shared" si="3"/>
        <v>0.49861</v>
      </c>
    </row>
    <row r="75" spans="1:4" x14ac:dyDescent="0.3">
      <c r="A75">
        <v>780.87134000000003</v>
      </c>
      <c r="B75">
        <v>0.49508000000000002</v>
      </c>
      <c r="C75">
        <f t="shared" si="2"/>
        <v>3.9043567000000001</v>
      </c>
      <c r="D75">
        <f t="shared" si="3"/>
        <v>0.49508000000000002</v>
      </c>
    </row>
    <row r="76" spans="1:4" x14ac:dyDescent="0.3">
      <c r="A76">
        <v>791.05502000000001</v>
      </c>
      <c r="B76">
        <v>0.49160999999999999</v>
      </c>
      <c r="C76">
        <f t="shared" si="2"/>
        <v>3.9552751000000002</v>
      </c>
      <c r="D76">
        <f t="shared" si="3"/>
        <v>0.49160999999999999</v>
      </c>
    </row>
    <row r="77" spans="1:4" x14ac:dyDescent="0.3">
      <c r="A77">
        <v>801.23868000000004</v>
      </c>
      <c r="B77">
        <v>0.4884</v>
      </c>
      <c r="C77">
        <f t="shared" si="2"/>
        <v>4.0061933999999999</v>
      </c>
      <c r="D77">
        <f t="shared" si="3"/>
        <v>0.4884</v>
      </c>
    </row>
    <row r="78" spans="1:4" x14ac:dyDescent="0.3">
      <c r="A78">
        <v>811.52422000000001</v>
      </c>
      <c r="B78">
        <v>0.48515000000000003</v>
      </c>
      <c r="C78">
        <f t="shared" si="2"/>
        <v>4.0576211000000004</v>
      </c>
      <c r="D78">
        <f t="shared" si="3"/>
        <v>0.48515000000000003</v>
      </c>
    </row>
    <row r="79" spans="1:4" x14ac:dyDescent="0.3">
      <c r="A79">
        <v>821.91161999999997</v>
      </c>
      <c r="B79">
        <v>0.48175000000000001</v>
      </c>
      <c r="C79">
        <f t="shared" si="2"/>
        <v>4.1095581000000001</v>
      </c>
      <c r="D79">
        <f t="shared" si="3"/>
        <v>0.48175000000000001</v>
      </c>
    </row>
    <row r="80" spans="1:4" x14ac:dyDescent="0.3">
      <c r="A80">
        <v>832.19708000000003</v>
      </c>
      <c r="B80">
        <v>0.47838999999999998</v>
      </c>
      <c r="C80">
        <f t="shared" si="2"/>
        <v>4.1609854000000004</v>
      </c>
      <c r="D80">
        <f t="shared" si="3"/>
        <v>0.47838999999999998</v>
      </c>
    </row>
    <row r="81" spans="1:4" x14ac:dyDescent="0.3">
      <c r="A81">
        <v>842.38076000000001</v>
      </c>
      <c r="B81">
        <v>0.47502</v>
      </c>
      <c r="C81">
        <f t="shared" si="2"/>
        <v>4.2119038</v>
      </c>
      <c r="D81">
        <f t="shared" si="3"/>
        <v>0.47502</v>
      </c>
    </row>
    <row r="82" spans="1:4" x14ac:dyDescent="0.3">
      <c r="A82">
        <v>852.46259999999995</v>
      </c>
      <c r="B82">
        <v>0.47192000000000001</v>
      </c>
      <c r="C82">
        <f t="shared" si="2"/>
        <v>4.2623129999999998</v>
      </c>
      <c r="D82">
        <f t="shared" si="3"/>
        <v>0.47192000000000001</v>
      </c>
    </row>
    <row r="83" spans="1:4" x14ac:dyDescent="0.3">
      <c r="A83">
        <v>862.54444000000001</v>
      </c>
      <c r="B83">
        <v>0.46855999999999998</v>
      </c>
      <c r="C83">
        <f t="shared" si="2"/>
        <v>4.3127221999999996</v>
      </c>
      <c r="D83">
        <f t="shared" si="3"/>
        <v>0.46855999999999998</v>
      </c>
    </row>
    <row r="84" spans="1:4" x14ac:dyDescent="0.3">
      <c r="A84">
        <v>872.72802000000001</v>
      </c>
      <c r="B84">
        <v>0.46505000000000002</v>
      </c>
      <c r="C84">
        <f t="shared" si="2"/>
        <v>4.3636401000000005</v>
      </c>
      <c r="D84">
        <f t="shared" si="3"/>
        <v>0.46505000000000002</v>
      </c>
    </row>
    <row r="85" spans="1:4" x14ac:dyDescent="0.3">
      <c r="A85">
        <v>882.91182000000003</v>
      </c>
      <c r="B85">
        <v>0.46212999999999999</v>
      </c>
      <c r="C85">
        <f t="shared" si="2"/>
        <v>4.4145591</v>
      </c>
      <c r="D85">
        <f t="shared" si="3"/>
        <v>0.46212999999999999</v>
      </c>
    </row>
    <row r="86" spans="1:4" x14ac:dyDescent="0.3">
      <c r="A86">
        <v>893.29912000000002</v>
      </c>
      <c r="B86">
        <v>0.45851999999999998</v>
      </c>
      <c r="C86">
        <f t="shared" si="2"/>
        <v>4.4664956</v>
      </c>
      <c r="D86">
        <f t="shared" si="3"/>
        <v>0.45851999999999998</v>
      </c>
    </row>
    <row r="87" spans="1:4" x14ac:dyDescent="0.3">
      <c r="A87">
        <v>903.48281999999995</v>
      </c>
      <c r="B87">
        <v>0.45524999999999999</v>
      </c>
      <c r="C87">
        <f t="shared" si="2"/>
        <v>4.5174140999999999</v>
      </c>
      <c r="D87">
        <f t="shared" si="3"/>
        <v>0.45524999999999999</v>
      </c>
    </row>
    <row r="88" spans="1:4" x14ac:dyDescent="0.3">
      <c r="A88">
        <v>913.76826000000005</v>
      </c>
      <c r="B88">
        <v>0.45193</v>
      </c>
      <c r="C88">
        <f t="shared" si="2"/>
        <v>4.5688412999999999</v>
      </c>
      <c r="D88">
        <f t="shared" si="3"/>
        <v>0.45193</v>
      </c>
    </row>
    <row r="89" spans="1:4" x14ac:dyDescent="0.3">
      <c r="A89">
        <v>924.25742000000002</v>
      </c>
      <c r="B89">
        <v>0.44827</v>
      </c>
      <c r="C89">
        <f t="shared" si="2"/>
        <v>4.6212871</v>
      </c>
      <c r="D89">
        <f t="shared" si="3"/>
        <v>0.44827</v>
      </c>
    </row>
    <row r="90" spans="1:4" x14ac:dyDescent="0.3">
      <c r="A90">
        <v>934.95029999999997</v>
      </c>
      <c r="B90">
        <v>0.44506000000000001</v>
      </c>
      <c r="C90">
        <f t="shared" si="2"/>
        <v>4.6747515000000002</v>
      </c>
      <c r="D90">
        <f t="shared" si="3"/>
        <v>0.44506000000000001</v>
      </c>
    </row>
    <row r="91" spans="1:4" x14ac:dyDescent="0.3">
      <c r="A91">
        <v>945.33759999999995</v>
      </c>
      <c r="B91">
        <v>0.44145000000000001</v>
      </c>
      <c r="C91">
        <f t="shared" si="2"/>
        <v>4.7266879999999993</v>
      </c>
      <c r="D91">
        <f t="shared" si="3"/>
        <v>0.44145000000000001</v>
      </c>
    </row>
    <row r="92" spans="1:4" x14ac:dyDescent="0.3">
      <c r="A92">
        <v>955.62314000000003</v>
      </c>
      <c r="B92">
        <v>0.43807000000000001</v>
      </c>
      <c r="C92">
        <f t="shared" si="2"/>
        <v>4.7781156999999999</v>
      </c>
      <c r="D92">
        <f t="shared" si="3"/>
        <v>0.43807000000000001</v>
      </c>
    </row>
    <row r="93" spans="1:4" x14ac:dyDescent="0.3">
      <c r="A93">
        <v>965.70497999999998</v>
      </c>
      <c r="B93">
        <v>0.43430999999999997</v>
      </c>
      <c r="C93">
        <f t="shared" si="2"/>
        <v>4.8285248999999997</v>
      </c>
      <c r="D93">
        <f t="shared" si="3"/>
        <v>0.43430999999999997</v>
      </c>
    </row>
    <row r="94" spans="1:4" x14ac:dyDescent="0.3">
      <c r="A94">
        <v>975.88858000000005</v>
      </c>
      <c r="B94">
        <v>0.43132999999999999</v>
      </c>
      <c r="C94">
        <f t="shared" si="2"/>
        <v>4.8794428999999999</v>
      </c>
      <c r="D94">
        <f t="shared" si="3"/>
        <v>0.43132999999999999</v>
      </c>
    </row>
    <row r="95" spans="1:4" x14ac:dyDescent="0.3">
      <c r="A95">
        <v>985.97050000000002</v>
      </c>
      <c r="B95">
        <v>0.42781999999999998</v>
      </c>
      <c r="C95">
        <f t="shared" si="2"/>
        <v>4.9298525</v>
      </c>
      <c r="D95">
        <f t="shared" si="3"/>
        <v>0.42781999999999998</v>
      </c>
    </row>
    <row r="96" spans="1:4" x14ac:dyDescent="0.3">
      <c r="A96">
        <v>996.15409999999997</v>
      </c>
      <c r="B96">
        <v>0.42474000000000001</v>
      </c>
      <c r="C96">
        <f t="shared" si="2"/>
        <v>4.9807705000000002</v>
      </c>
      <c r="D96">
        <f t="shared" si="3"/>
        <v>0.42474000000000001</v>
      </c>
    </row>
    <row r="97" spans="1:4" x14ac:dyDescent="0.3">
      <c r="A97">
        <v>1006.64336</v>
      </c>
      <c r="B97">
        <v>0.42081000000000002</v>
      </c>
      <c r="C97">
        <f t="shared" si="2"/>
        <v>5.0332167999999999</v>
      </c>
      <c r="D97">
        <f t="shared" si="3"/>
        <v>0.42081000000000002</v>
      </c>
    </row>
    <row r="98" spans="1:4" x14ac:dyDescent="0.3">
      <c r="A98">
        <v>1017.03066</v>
      </c>
      <c r="B98">
        <v>0.41733999999999999</v>
      </c>
      <c r="C98">
        <f t="shared" si="2"/>
        <v>5.0851533</v>
      </c>
      <c r="D98">
        <f t="shared" si="3"/>
        <v>0.41733999999999999</v>
      </c>
    </row>
    <row r="99" spans="1:4" x14ac:dyDescent="0.3">
      <c r="A99">
        <v>1027.1124</v>
      </c>
      <c r="B99">
        <v>0.41409000000000001</v>
      </c>
      <c r="C99">
        <f t="shared" si="2"/>
        <v>5.1355620000000002</v>
      </c>
      <c r="D99">
        <f t="shared" si="3"/>
        <v>0.41409000000000001</v>
      </c>
    </row>
    <row r="100" spans="1:4" x14ac:dyDescent="0.3">
      <c r="A100">
        <v>1037.80538</v>
      </c>
      <c r="B100">
        <v>0.41077000000000002</v>
      </c>
      <c r="C100">
        <f t="shared" si="2"/>
        <v>5.1890269</v>
      </c>
      <c r="D100">
        <f t="shared" si="3"/>
        <v>0.41077000000000002</v>
      </c>
    </row>
    <row r="101" spans="1:4" x14ac:dyDescent="0.3">
      <c r="A101">
        <v>1047.8870999999999</v>
      </c>
      <c r="B101">
        <v>0.40722000000000003</v>
      </c>
      <c r="C101">
        <f t="shared" si="2"/>
        <v>5.2394354999999999</v>
      </c>
      <c r="D101">
        <f t="shared" si="3"/>
        <v>0.40722000000000003</v>
      </c>
    </row>
    <row r="102" spans="1:4" x14ac:dyDescent="0.3">
      <c r="A102">
        <v>1058.68174</v>
      </c>
      <c r="B102">
        <v>0.40338000000000002</v>
      </c>
      <c r="C102">
        <f t="shared" si="2"/>
        <v>5.2934086999999996</v>
      </c>
      <c r="D102">
        <f t="shared" si="3"/>
        <v>0.40338000000000002</v>
      </c>
    </row>
    <row r="103" spans="1:4" x14ac:dyDescent="0.3">
      <c r="A103">
        <v>1068.76368</v>
      </c>
      <c r="B103">
        <v>0.40028999999999998</v>
      </c>
      <c r="C103">
        <f t="shared" si="2"/>
        <v>5.3438184</v>
      </c>
      <c r="D103">
        <f t="shared" si="3"/>
        <v>0.40028999999999998</v>
      </c>
    </row>
    <row r="104" spans="1:4" x14ac:dyDescent="0.3">
      <c r="A104">
        <v>1079.0491199999999</v>
      </c>
      <c r="B104">
        <v>0.39654</v>
      </c>
      <c r="C104">
        <f t="shared" si="2"/>
        <v>5.3952455999999991</v>
      </c>
      <c r="D104">
        <f t="shared" si="3"/>
        <v>0.39654</v>
      </c>
    </row>
    <row r="105" spans="1:4" x14ac:dyDescent="0.3">
      <c r="A105">
        <v>1089.53828</v>
      </c>
      <c r="B105">
        <v>0.39323999999999998</v>
      </c>
      <c r="C105">
        <f t="shared" si="2"/>
        <v>5.4476914000000001</v>
      </c>
      <c r="D105">
        <f t="shared" si="3"/>
        <v>0.39323999999999998</v>
      </c>
    </row>
    <row r="106" spans="1:4" x14ac:dyDescent="0.3">
      <c r="A106">
        <v>1099.72198</v>
      </c>
      <c r="B106">
        <v>0.38929000000000002</v>
      </c>
      <c r="C106">
        <f t="shared" si="2"/>
        <v>5.4986098999999999</v>
      </c>
      <c r="D106">
        <f t="shared" si="3"/>
        <v>0.38929000000000002</v>
      </c>
    </row>
    <row r="107" spans="1:4" x14ac:dyDescent="0.3">
      <c r="A107">
        <v>1109.8037200000001</v>
      </c>
      <c r="B107">
        <v>0.38590999999999998</v>
      </c>
      <c r="C107">
        <f t="shared" si="2"/>
        <v>5.5490186000000001</v>
      </c>
      <c r="D107">
        <f t="shared" si="3"/>
        <v>0.38590999999999998</v>
      </c>
    </row>
    <row r="108" spans="1:4" x14ac:dyDescent="0.3">
      <c r="A108">
        <v>1120.29296</v>
      </c>
      <c r="B108">
        <v>0.38242999999999999</v>
      </c>
      <c r="C108">
        <f t="shared" si="2"/>
        <v>5.6014647999999996</v>
      </c>
      <c r="D108">
        <f t="shared" si="3"/>
        <v>0.38242999999999999</v>
      </c>
    </row>
    <row r="109" spans="1:4" x14ac:dyDescent="0.3">
      <c r="A109">
        <v>1130.5784200000001</v>
      </c>
      <c r="B109">
        <v>0.37884000000000001</v>
      </c>
      <c r="C109">
        <f t="shared" si="2"/>
        <v>5.6528920999999999</v>
      </c>
      <c r="D109">
        <f t="shared" si="3"/>
        <v>0.37884000000000001</v>
      </c>
    </row>
    <row r="110" spans="1:4" x14ac:dyDescent="0.3">
      <c r="A110">
        <v>1140.8639599999999</v>
      </c>
      <c r="B110">
        <v>0.37509999999999999</v>
      </c>
      <c r="C110">
        <f t="shared" si="2"/>
        <v>5.7043197999999995</v>
      </c>
      <c r="D110">
        <f t="shared" si="3"/>
        <v>0.37509999999999999</v>
      </c>
    </row>
    <row r="111" spans="1:4" x14ac:dyDescent="0.3">
      <c r="A111">
        <v>1151.35312</v>
      </c>
      <c r="B111">
        <v>0.37175999999999998</v>
      </c>
      <c r="C111">
        <f t="shared" si="2"/>
        <v>5.7567655999999996</v>
      </c>
      <c r="D111">
        <f t="shared" si="3"/>
        <v>0.37175999999999998</v>
      </c>
    </row>
    <row r="112" spans="1:4" x14ac:dyDescent="0.3">
      <c r="A112">
        <v>1161.43496</v>
      </c>
      <c r="B112">
        <v>0.36782999999999999</v>
      </c>
      <c r="C112">
        <f t="shared" si="2"/>
        <v>5.8071748000000003</v>
      </c>
      <c r="D112">
        <f t="shared" si="3"/>
        <v>0.36782999999999999</v>
      </c>
    </row>
    <row r="113" spans="1:4" x14ac:dyDescent="0.3">
      <c r="A113">
        <v>1171.6186600000001</v>
      </c>
      <c r="B113">
        <v>0.36404999999999998</v>
      </c>
      <c r="C113">
        <f t="shared" si="2"/>
        <v>5.8580933000000002</v>
      </c>
      <c r="D113">
        <f t="shared" si="3"/>
        <v>0.36404999999999998</v>
      </c>
    </row>
    <row r="114" spans="1:4" x14ac:dyDescent="0.3">
      <c r="A114">
        <v>1181.70048</v>
      </c>
      <c r="B114">
        <v>0.36076000000000003</v>
      </c>
      <c r="C114">
        <f t="shared" si="2"/>
        <v>5.9085023999999997</v>
      </c>
      <c r="D114">
        <f t="shared" si="3"/>
        <v>0.36076000000000003</v>
      </c>
    </row>
    <row r="115" spans="1:4" x14ac:dyDescent="0.3">
      <c r="A115">
        <v>1191.98604</v>
      </c>
      <c r="B115">
        <v>0.35664000000000001</v>
      </c>
      <c r="C115">
        <f t="shared" si="2"/>
        <v>5.9599301999999996</v>
      </c>
      <c r="D115">
        <f t="shared" si="3"/>
        <v>0.35664000000000001</v>
      </c>
    </row>
    <row r="116" spans="1:4" x14ac:dyDescent="0.3">
      <c r="A116">
        <v>1202.1697200000001</v>
      </c>
      <c r="B116">
        <v>0.35306999999999999</v>
      </c>
      <c r="C116">
        <f t="shared" si="2"/>
        <v>6.0108486000000001</v>
      </c>
      <c r="D116">
        <f t="shared" si="3"/>
        <v>0.35306999999999999</v>
      </c>
    </row>
    <row r="117" spans="1:4" x14ac:dyDescent="0.3">
      <c r="A117">
        <v>1212.76064</v>
      </c>
      <c r="B117">
        <v>0.34925</v>
      </c>
      <c r="C117">
        <f t="shared" si="2"/>
        <v>6.0638031999999997</v>
      </c>
      <c r="D117">
        <f t="shared" si="3"/>
        <v>0.34925</v>
      </c>
    </row>
    <row r="118" spans="1:4" x14ac:dyDescent="0.3">
      <c r="A118">
        <v>1223.4534200000001</v>
      </c>
      <c r="B118">
        <v>0.34517999999999999</v>
      </c>
      <c r="C118">
        <f t="shared" si="2"/>
        <v>6.1172671000000003</v>
      </c>
      <c r="D118">
        <f t="shared" si="3"/>
        <v>0.34517999999999999</v>
      </c>
    </row>
    <row r="119" spans="1:4" x14ac:dyDescent="0.3">
      <c r="A119">
        <v>1233.7390600000001</v>
      </c>
      <c r="B119">
        <v>0.34145999999999999</v>
      </c>
      <c r="C119">
        <f t="shared" si="2"/>
        <v>6.1686953000000004</v>
      </c>
      <c r="D119">
        <f t="shared" si="3"/>
        <v>0.34145999999999999</v>
      </c>
    </row>
    <row r="120" spans="1:4" x14ac:dyDescent="0.3">
      <c r="A120">
        <v>1243.8208</v>
      </c>
      <c r="B120">
        <v>0.33778000000000002</v>
      </c>
      <c r="C120">
        <f t="shared" si="2"/>
        <v>6.2191039999999997</v>
      </c>
      <c r="D120">
        <f t="shared" si="3"/>
        <v>0.33778000000000002</v>
      </c>
    </row>
    <row r="121" spans="1:4" x14ac:dyDescent="0.3">
      <c r="A121">
        <v>1254.51368</v>
      </c>
      <c r="B121">
        <v>0.33367000000000002</v>
      </c>
      <c r="C121">
        <f t="shared" si="2"/>
        <v>6.2725683999999999</v>
      </c>
      <c r="D121">
        <f t="shared" si="3"/>
        <v>0.33367000000000002</v>
      </c>
    </row>
    <row r="122" spans="1:4" x14ac:dyDescent="0.3">
      <c r="A122">
        <v>1264.5956000000001</v>
      </c>
      <c r="B122">
        <v>0.32951000000000003</v>
      </c>
      <c r="C122">
        <f t="shared" si="2"/>
        <v>6.3229780000000009</v>
      </c>
      <c r="D122">
        <f t="shared" si="3"/>
        <v>0.32951000000000003</v>
      </c>
    </row>
    <row r="123" spans="1:4" x14ac:dyDescent="0.3">
      <c r="A123">
        <v>1275.39004</v>
      </c>
      <c r="B123">
        <v>0.32582</v>
      </c>
      <c r="C123">
        <f t="shared" si="2"/>
        <v>6.3769501999999996</v>
      </c>
      <c r="D123">
        <f t="shared" si="3"/>
        <v>0.32582</v>
      </c>
    </row>
    <row r="124" spans="1:4" x14ac:dyDescent="0.3">
      <c r="A124">
        <v>1285.47198</v>
      </c>
      <c r="B124">
        <v>0.32157000000000002</v>
      </c>
      <c r="C124">
        <f t="shared" si="2"/>
        <v>6.4273598999999999</v>
      </c>
      <c r="D124">
        <f t="shared" si="3"/>
        <v>0.32157000000000002</v>
      </c>
    </row>
    <row r="125" spans="1:4" x14ac:dyDescent="0.3">
      <c r="A125">
        <v>1295.5537200000001</v>
      </c>
      <c r="B125">
        <v>0.31741999999999998</v>
      </c>
      <c r="C125">
        <f t="shared" si="2"/>
        <v>6.477768600000001</v>
      </c>
      <c r="D125">
        <f t="shared" si="3"/>
        <v>0.31741999999999998</v>
      </c>
    </row>
    <row r="126" spans="1:4" x14ac:dyDescent="0.3">
      <c r="A126">
        <v>1306.654</v>
      </c>
      <c r="B126">
        <v>0.31372</v>
      </c>
      <c r="C126">
        <f t="shared" si="2"/>
        <v>6.5332699999999999</v>
      </c>
      <c r="D126">
        <f t="shared" si="3"/>
        <v>0.31372</v>
      </c>
    </row>
    <row r="127" spans="1:4" x14ac:dyDescent="0.3">
      <c r="A127">
        <v>1316.8377</v>
      </c>
      <c r="B127">
        <v>0.30930999999999997</v>
      </c>
      <c r="C127">
        <f t="shared" si="2"/>
        <v>6.5841884999999998</v>
      </c>
      <c r="D127">
        <f t="shared" si="3"/>
        <v>0.30930999999999997</v>
      </c>
    </row>
    <row r="128" spans="1:4" x14ac:dyDescent="0.3">
      <c r="A128">
        <v>1327.3268599999999</v>
      </c>
      <c r="B128">
        <v>0.30518000000000001</v>
      </c>
      <c r="C128">
        <f t="shared" si="2"/>
        <v>6.6366342999999999</v>
      </c>
      <c r="D128">
        <f t="shared" si="3"/>
        <v>0.30518000000000001</v>
      </c>
    </row>
    <row r="129" spans="1:4" x14ac:dyDescent="0.3">
      <c r="A129">
        <v>1337.6124</v>
      </c>
      <c r="B129">
        <v>0.30116999999999999</v>
      </c>
      <c r="C129">
        <f t="shared" si="2"/>
        <v>6.6880619999999995</v>
      </c>
      <c r="D129">
        <f t="shared" si="3"/>
        <v>0.30116999999999999</v>
      </c>
    </row>
    <row r="130" spans="1:4" x14ac:dyDescent="0.3">
      <c r="A130">
        <v>1347.796</v>
      </c>
      <c r="B130">
        <v>0.29697000000000001</v>
      </c>
      <c r="C130">
        <f t="shared" ref="C130:C141" si="4">A130/200</f>
        <v>6.7389800000000006</v>
      </c>
      <c r="D130">
        <f t="shared" ref="D130:D141" si="5">B130</f>
        <v>0.29697000000000001</v>
      </c>
    </row>
    <row r="131" spans="1:4" x14ac:dyDescent="0.3">
      <c r="A131">
        <v>1358.0816400000001</v>
      </c>
      <c r="B131">
        <v>0.29241</v>
      </c>
      <c r="C131">
        <f t="shared" si="4"/>
        <v>6.7904082000000008</v>
      </c>
      <c r="D131">
        <f t="shared" si="5"/>
        <v>0.29241</v>
      </c>
    </row>
    <row r="132" spans="1:4" x14ac:dyDescent="0.3">
      <c r="A132">
        <v>1368.2652399999999</v>
      </c>
      <c r="B132">
        <v>0.28828999999999999</v>
      </c>
      <c r="C132">
        <f t="shared" si="4"/>
        <v>6.8413262000000001</v>
      </c>
      <c r="D132">
        <f t="shared" si="5"/>
        <v>0.28828999999999999</v>
      </c>
    </row>
    <row r="133" spans="1:4" x14ac:dyDescent="0.3">
      <c r="A133">
        <v>1378.44892</v>
      </c>
      <c r="B133">
        <v>0.28394999999999998</v>
      </c>
      <c r="C133">
        <f t="shared" si="4"/>
        <v>6.8922446000000006</v>
      </c>
      <c r="D133">
        <f t="shared" si="5"/>
        <v>0.28394999999999998</v>
      </c>
    </row>
    <row r="134" spans="1:4" x14ac:dyDescent="0.3">
      <c r="A134" s="1">
        <v>1388.5306599999999</v>
      </c>
      <c r="B134">
        <v>0.27972999999999998</v>
      </c>
      <c r="C134">
        <f t="shared" si="4"/>
        <v>6.9426532999999999</v>
      </c>
      <c r="D134">
        <f t="shared" si="5"/>
        <v>0.27972999999999998</v>
      </c>
    </row>
    <row r="135" spans="1:4" x14ac:dyDescent="0.3">
      <c r="A135" s="1">
        <v>1398.81612</v>
      </c>
      <c r="B135">
        <v>0.27550999999999998</v>
      </c>
      <c r="C135">
        <f t="shared" si="4"/>
        <v>6.9940806000000002</v>
      </c>
      <c r="D135">
        <f t="shared" si="5"/>
        <v>0.27550999999999998</v>
      </c>
    </row>
    <row r="136" spans="1:4" x14ac:dyDescent="0.3">
      <c r="A136" s="1">
        <v>1408.8979400000001</v>
      </c>
      <c r="B136">
        <v>0.27089000000000002</v>
      </c>
      <c r="C136">
        <f t="shared" si="4"/>
        <v>7.0444897000000006</v>
      </c>
      <c r="D136">
        <f t="shared" si="5"/>
        <v>0.27089000000000002</v>
      </c>
    </row>
    <row r="137" spans="1:4" x14ac:dyDescent="0.3">
      <c r="A137" s="1">
        <v>1419.0817400000001</v>
      </c>
      <c r="B137">
        <v>0.26651999999999998</v>
      </c>
      <c r="C137">
        <f t="shared" si="4"/>
        <v>7.0954087000000001</v>
      </c>
      <c r="D137">
        <f t="shared" si="5"/>
        <v>0.26651999999999998</v>
      </c>
    </row>
    <row r="138" spans="1:4" x14ac:dyDescent="0.3">
      <c r="A138" s="1">
        <v>1429.36708</v>
      </c>
      <c r="B138">
        <v>0.26218999999999998</v>
      </c>
      <c r="C138">
        <f t="shared" si="4"/>
        <v>7.1468353999999996</v>
      </c>
      <c r="D138">
        <f t="shared" si="5"/>
        <v>0.26218999999999998</v>
      </c>
    </row>
    <row r="139" spans="1:4" x14ac:dyDescent="0.3">
      <c r="A139" s="1">
        <v>1440.05996</v>
      </c>
      <c r="B139">
        <v>0.25738</v>
      </c>
      <c r="C139">
        <f t="shared" si="4"/>
        <v>7.2002997999999998</v>
      </c>
      <c r="D139">
        <f t="shared" si="5"/>
        <v>0.25738</v>
      </c>
    </row>
    <row r="140" spans="1:4" x14ac:dyDescent="0.3">
      <c r="A140" s="1">
        <v>1450.1418000000001</v>
      </c>
      <c r="B140">
        <v>0.25292999999999999</v>
      </c>
      <c r="C140">
        <f t="shared" si="4"/>
        <v>7.2507090000000005</v>
      </c>
      <c r="D140">
        <f t="shared" si="5"/>
        <v>0.25292999999999999</v>
      </c>
    </row>
    <row r="141" spans="1:4" x14ac:dyDescent="0.3">
      <c r="A141" s="1">
        <v>1452.9933599999999</v>
      </c>
      <c r="B141">
        <v>0.25130000000000002</v>
      </c>
      <c r="C141">
        <f t="shared" si="4"/>
        <v>7.2649667999999998</v>
      </c>
      <c r="D141">
        <f t="shared" si="5"/>
        <v>0.25130000000000002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2026-04-17T06:34:22Z</dcterms:modified>
</cp:coreProperties>
</file>