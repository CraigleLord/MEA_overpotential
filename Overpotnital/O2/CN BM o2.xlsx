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395D805F-D42B-404F-9E3C-4B97E3E72D3B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4" i="1"/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6" i="1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" i="3"/>
  <c r="C2" i="3"/>
  <c r="I3" i="3" s="1"/>
  <c r="C3" i="3"/>
  <c r="I4" i="3" s="1"/>
  <c r="C4" i="3"/>
  <c r="I5" i="3" s="1"/>
  <c r="C5" i="3"/>
  <c r="I6" i="3" s="1"/>
  <c r="C6" i="3"/>
  <c r="I7" i="3" s="1"/>
  <c r="C7" i="3"/>
  <c r="I8" i="3" s="1"/>
  <c r="C8" i="3"/>
  <c r="I9" i="3" s="1"/>
  <c r="C9" i="3"/>
  <c r="I10" i="3" s="1"/>
  <c r="C10" i="3"/>
  <c r="I11" i="3" s="1"/>
  <c r="C11" i="3"/>
  <c r="I12" i="3" s="1"/>
  <c r="C12" i="3"/>
  <c r="I13" i="3" s="1"/>
  <c r="C13" i="3"/>
  <c r="I14" i="3" s="1"/>
  <c r="C14" i="3"/>
  <c r="I15" i="3" s="1"/>
  <c r="C15" i="3"/>
  <c r="I16" i="3" s="1"/>
  <c r="C16" i="3"/>
  <c r="I17" i="3" s="1"/>
  <c r="C17" i="3"/>
  <c r="I18" i="3" s="1"/>
  <c r="C18" i="3"/>
  <c r="I19" i="3" s="1"/>
  <c r="C19" i="3"/>
  <c r="I20" i="3" s="1"/>
  <c r="C20" i="3"/>
  <c r="I21" i="3" s="1"/>
  <c r="C21" i="3"/>
  <c r="I22" i="3" s="1"/>
  <c r="C22" i="3"/>
  <c r="I23" i="3" s="1"/>
  <c r="C23" i="3"/>
  <c r="I24" i="3" s="1"/>
  <c r="C24" i="3"/>
  <c r="I25" i="3" s="1"/>
  <c r="C25" i="3"/>
  <c r="I26" i="3" s="1"/>
  <c r="C26" i="3"/>
  <c r="I27" i="3" s="1"/>
  <c r="C27" i="3"/>
  <c r="I28" i="3" s="1"/>
  <c r="C28" i="3"/>
  <c r="I29" i="3" s="1"/>
  <c r="C29" i="3"/>
  <c r="I30" i="3" s="1"/>
  <c r="C30" i="3"/>
  <c r="I31" i="3" s="1"/>
  <c r="C31" i="3"/>
  <c r="I32" i="3" s="1"/>
  <c r="C32" i="3"/>
  <c r="I33" i="3" s="1"/>
  <c r="C33" i="3"/>
  <c r="I34" i="3" s="1"/>
  <c r="C34" i="3"/>
  <c r="I35" i="3" s="1"/>
  <c r="C35" i="3"/>
  <c r="I36" i="3" s="1"/>
  <c r="C36" i="3"/>
  <c r="I37" i="3" s="1"/>
  <c r="C37" i="3"/>
  <c r="I38" i="3" s="1"/>
  <c r="C38" i="3"/>
  <c r="I39" i="3" s="1"/>
  <c r="C39" i="3"/>
  <c r="I40" i="3" s="1"/>
  <c r="C40" i="3"/>
  <c r="I41" i="3" s="1"/>
  <c r="C41" i="3"/>
  <c r="I42" i="3" s="1"/>
  <c r="C42" i="3"/>
  <c r="I43" i="3" s="1"/>
  <c r="C43" i="3"/>
  <c r="I44" i="3" s="1"/>
  <c r="C44" i="3"/>
  <c r="I45" i="3" s="1"/>
  <c r="C45" i="3"/>
  <c r="I46" i="3" s="1"/>
  <c r="C46" i="3"/>
  <c r="I47" i="3" s="1"/>
  <c r="C47" i="3"/>
  <c r="I48" i="3" s="1"/>
  <c r="C48" i="3"/>
  <c r="I49" i="3" s="1"/>
  <c r="C49" i="3"/>
  <c r="I50" i="3" s="1"/>
  <c r="C50" i="3"/>
  <c r="I51" i="3" s="1"/>
  <c r="C51" i="3"/>
  <c r="I52" i="3" s="1"/>
  <c r="C52" i="3"/>
  <c r="I53" i="3" s="1"/>
  <c r="C53" i="3"/>
  <c r="I54" i="3" s="1"/>
  <c r="C54" i="3"/>
  <c r="I55" i="3" s="1"/>
  <c r="C55" i="3"/>
  <c r="I56" i="3" s="1"/>
  <c r="C56" i="3"/>
  <c r="I57" i="3" s="1"/>
  <c r="C57" i="3"/>
  <c r="I58" i="3" s="1"/>
  <c r="C58" i="3"/>
  <c r="I59" i="3" s="1"/>
  <c r="C59" i="3"/>
  <c r="I60" i="3" s="1"/>
  <c r="C60" i="3"/>
  <c r="I61" i="3" s="1"/>
  <c r="C61" i="3"/>
  <c r="I62" i="3" s="1"/>
  <c r="C62" i="3"/>
  <c r="I63" i="3" s="1"/>
  <c r="C63" i="3"/>
  <c r="I64" i="3" s="1"/>
  <c r="C64" i="3"/>
  <c r="I65" i="3" s="1"/>
  <c r="C65" i="3"/>
  <c r="I66" i="3" s="1"/>
  <c r="C66" i="3"/>
  <c r="I67" i="3" s="1"/>
  <c r="C67" i="3"/>
  <c r="I68" i="3" s="1"/>
  <c r="C68" i="3"/>
  <c r="I69" i="3" s="1"/>
  <c r="C69" i="3"/>
  <c r="I70" i="3" s="1"/>
  <c r="C70" i="3"/>
  <c r="I71" i="3" s="1"/>
  <c r="C71" i="3"/>
  <c r="I72" i="3" s="1"/>
  <c r="C72" i="3"/>
  <c r="I73" i="3" s="1"/>
  <c r="C73" i="3"/>
  <c r="I74" i="3" s="1"/>
  <c r="C74" i="3"/>
  <c r="I75" i="3" s="1"/>
  <c r="C75" i="3"/>
  <c r="I76" i="3" s="1"/>
  <c r="C76" i="3"/>
  <c r="I77" i="3" s="1"/>
  <c r="C77" i="3"/>
  <c r="I78" i="3" s="1"/>
  <c r="C78" i="3"/>
  <c r="I79" i="3" s="1"/>
  <c r="C79" i="3"/>
  <c r="I80" i="3" s="1"/>
  <c r="C80" i="3"/>
  <c r="I81" i="3" s="1"/>
  <c r="C81" i="3"/>
  <c r="I82" i="3" s="1"/>
  <c r="C82" i="3"/>
  <c r="I83" i="3" s="1"/>
  <c r="C83" i="3"/>
  <c r="I84" i="3" s="1"/>
  <c r="C84" i="3"/>
  <c r="I85" i="3" s="1"/>
  <c r="C85" i="3"/>
  <c r="I86" i="3" s="1"/>
  <c r="C86" i="3"/>
  <c r="I87" i="3" s="1"/>
  <c r="C87" i="3"/>
  <c r="I88" i="3" s="1"/>
  <c r="C88" i="3"/>
  <c r="I89" i="3" s="1"/>
  <c r="C89" i="3"/>
  <c r="I90" i="3" s="1"/>
  <c r="C90" i="3"/>
  <c r="I91" i="3" s="1"/>
  <c r="C91" i="3"/>
  <c r="I92" i="3" s="1"/>
  <c r="C92" i="3"/>
  <c r="I93" i="3" s="1"/>
  <c r="C93" i="3"/>
  <c r="I94" i="3" s="1"/>
  <c r="C94" i="3"/>
  <c r="I95" i="3" s="1"/>
  <c r="C95" i="3"/>
  <c r="I96" i="3" s="1"/>
  <c r="C96" i="3"/>
  <c r="I97" i="3" s="1"/>
  <c r="C97" i="3"/>
  <c r="I98" i="3" s="1"/>
  <c r="C98" i="3"/>
  <c r="I99" i="3" s="1"/>
  <c r="C99" i="3"/>
  <c r="I100" i="3" s="1"/>
  <c r="C100" i="3"/>
  <c r="I101" i="3" s="1"/>
  <c r="C101" i="3"/>
  <c r="I102" i="3" s="1"/>
  <c r="C102" i="3"/>
  <c r="I103" i="3" s="1"/>
  <c r="C103" i="3"/>
  <c r="I104" i="3" s="1"/>
  <c r="C104" i="3"/>
  <c r="I105" i="3" s="1"/>
  <c r="C105" i="3"/>
  <c r="I106" i="3" s="1"/>
  <c r="C106" i="3"/>
  <c r="I107" i="3" s="1"/>
  <c r="C107" i="3"/>
  <c r="I108" i="3" s="1"/>
  <c r="C108" i="3"/>
  <c r="I109" i="3" s="1"/>
  <c r="C109" i="3"/>
  <c r="I110" i="3" s="1"/>
  <c r="C110" i="3"/>
  <c r="I111" i="3" s="1"/>
  <c r="C111" i="3"/>
  <c r="I112" i="3" s="1"/>
  <c r="C112" i="3"/>
  <c r="I113" i="3" s="1"/>
  <c r="C113" i="3"/>
  <c r="I114" i="3" s="1"/>
  <c r="C114" i="3"/>
  <c r="I115" i="3" s="1"/>
  <c r="C115" i="3"/>
  <c r="I116" i="3" s="1"/>
  <c r="C116" i="3"/>
  <c r="I117" i="3" s="1"/>
  <c r="C117" i="3"/>
  <c r="I118" i="3" s="1"/>
  <c r="C118" i="3"/>
  <c r="I119" i="3" s="1"/>
  <c r="C119" i="3"/>
  <c r="I120" i="3" s="1"/>
  <c r="C120" i="3"/>
  <c r="I121" i="3" s="1"/>
  <c r="C121" i="3"/>
  <c r="I122" i="3" s="1"/>
  <c r="C122" i="3"/>
  <c r="I123" i="3" s="1"/>
  <c r="C123" i="3"/>
  <c r="I124" i="3" s="1"/>
  <c r="C124" i="3"/>
  <c r="I125" i="3" s="1"/>
  <c r="C125" i="3"/>
  <c r="I126" i="3" s="1"/>
  <c r="C126" i="3"/>
  <c r="I127" i="3" s="1"/>
  <c r="C127" i="3"/>
  <c r="I128" i="3" s="1"/>
  <c r="C128" i="3"/>
  <c r="I129" i="3" s="1"/>
  <c r="C129" i="3"/>
  <c r="I130" i="3" s="1"/>
  <c r="C130" i="3"/>
  <c r="I131" i="3" s="1"/>
  <c r="C131" i="3"/>
  <c r="I132" i="3" s="1"/>
  <c r="C132" i="3"/>
  <c r="I133" i="3" s="1"/>
  <c r="C133" i="3"/>
  <c r="I134" i="3" s="1"/>
  <c r="C134" i="3"/>
  <c r="I135" i="3" s="1"/>
  <c r="C135" i="3"/>
  <c r="I136" i="3" s="1"/>
  <c r="C136" i="3"/>
  <c r="I137" i="3" s="1"/>
  <c r="C137" i="3"/>
  <c r="I138" i="3" s="1"/>
  <c r="C138" i="3"/>
  <c r="I139" i="3" s="1"/>
  <c r="C139" i="3"/>
  <c r="I140" i="3" s="1"/>
  <c r="C140" i="3"/>
  <c r="I141" i="3" s="1"/>
  <c r="C141" i="3"/>
  <c r="I142" i="3" s="1"/>
  <c r="C142" i="3"/>
  <c r="I143" i="3" s="1"/>
  <c r="C143" i="3"/>
  <c r="I144" i="3" s="1"/>
  <c r="C144" i="3"/>
  <c r="I145" i="3" s="1"/>
  <c r="C145" i="3"/>
  <c r="I146" i="3" s="1"/>
  <c r="C146" i="3"/>
  <c r="I147" i="3" s="1"/>
  <c r="C147" i="3"/>
  <c r="I148" i="3" s="1"/>
  <c r="C148" i="3"/>
  <c r="I149" i="3" s="1"/>
  <c r="C149" i="3"/>
  <c r="I150" i="3" s="1"/>
  <c r="C150" i="3"/>
  <c r="I151" i="3" s="1"/>
  <c r="C151" i="3"/>
  <c r="I152" i="3" s="1"/>
  <c r="C152" i="3"/>
  <c r="I153" i="3" s="1"/>
  <c r="C153" i="3"/>
  <c r="I154" i="3" s="1"/>
  <c r="C154" i="3"/>
  <c r="I155" i="3" s="1"/>
  <c r="C155" i="3"/>
  <c r="I156" i="3" s="1"/>
  <c r="C156" i="3"/>
  <c r="I157" i="3" s="1"/>
  <c r="C157" i="3"/>
  <c r="I158" i="3" s="1"/>
  <c r="C158" i="3"/>
  <c r="I159" i="3" s="1"/>
  <c r="C159" i="3"/>
  <c r="I160" i="3" s="1"/>
  <c r="C160" i="3"/>
  <c r="I161" i="3" s="1"/>
  <c r="C1" i="3"/>
  <c r="I2" i="3" s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M212" i="1" s="1"/>
  <c r="G212" i="1"/>
  <c r="C213" i="1"/>
  <c r="H213" i="1" s="1"/>
  <c r="F213" i="1"/>
  <c r="M213" i="1" s="1"/>
  <c r="G213" i="1"/>
  <c r="C214" i="1"/>
  <c r="H214" i="1" s="1"/>
  <c r="F214" i="1"/>
  <c r="M214" i="1" s="1"/>
  <c r="G214" i="1"/>
  <c r="C215" i="1"/>
  <c r="H215" i="1" s="1"/>
  <c r="F215" i="1"/>
  <c r="M215" i="1" s="1"/>
  <c r="G215" i="1"/>
  <c r="C216" i="1"/>
  <c r="H216" i="1" s="1"/>
  <c r="F216" i="1"/>
  <c r="M216" i="1" s="1"/>
  <c r="G216" i="1"/>
  <c r="C217" i="1"/>
  <c r="H217" i="1" s="1"/>
  <c r="F217" i="1"/>
  <c r="M217" i="1" s="1"/>
  <c r="G217" i="1"/>
  <c r="C218" i="1"/>
  <c r="H218" i="1" s="1"/>
  <c r="F218" i="1"/>
  <c r="M218" i="1" s="1"/>
  <c r="G218" i="1"/>
  <c r="C219" i="1"/>
  <c r="H219" i="1" s="1"/>
  <c r="F219" i="1"/>
  <c r="M219" i="1" s="1"/>
  <c r="G219" i="1"/>
  <c r="C220" i="1"/>
  <c r="H220" i="1" s="1"/>
  <c r="F220" i="1"/>
  <c r="M220" i="1" s="1"/>
  <c r="G220" i="1"/>
  <c r="C221" i="1"/>
  <c r="H221" i="1" s="1"/>
  <c r="F221" i="1"/>
  <c r="M221" i="1" s="1"/>
  <c r="G221" i="1"/>
  <c r="C222" i="1"/>
  <c r="H222" i="1" s="1"/>
  <c r="F222" i="1"/>
  <c r="M222" i="1" s="1"/>
  <c r="G222" i="1"/>
  <c r="C223" i="1"/>
  <c r="H223" i="1" s="1"/>
  <c r="F223" i="1"/>
  <c r="M223" i="1" s="1"/>
  <c r="G223" i="1"/>
  <c r="C224" i="1"/>
  <c r="H224" i="1" s="1"/>
  <c r="F224" i="1"/>
  <c r="M224" i="1" s="1"/>
  <c r="G224" i="1"/>
  <c r="C225" i="1"/>
  <c r="H225" i="1" s="1"/>
  <c r="F225" i="1"/>
  <c r="M225" i="1" s="1"/>
  <c r="G225" i="1"/>
  <c r="C226" i="1"/>
  <c r="H226" i="1" s="1"/>
  <c r="F226" i="1"/>
  <c r="M226" i="1" s="1"/>
  <c r="G226" i="1"/>
  <c r="C227" i="1"/>
  <c r="H227" i="1" s="1"/>
  <c r="F227" i="1"/>
  <c r="M227" i="1" s="1"/>
  <c r="G227" i="1"/>
  <c r="C228" i="1"/>
  <c r="H228" i="1" s="1"/>
  <c r="F228" i="1"/>
  <c r="M228" i="1" s="1"/>
  <c r="G228" i="1"/>
  <c r="C229" i="1"/>
  <c r="H229" i="1" s="1"/>
  <c r="F229" i="1"/>
  <c r="M229" i="1" s="1"/>
  <c r="G229" i="1"/>
  <c r="C230" i="1"/>
  <c r="H230" i="1" s="1"/>
  <c r="F230" i="1"/>
  <c r="M230" i="1" s="1"/>
  <c r="G230" i="1"/>
  <c r="C231" i="1"/>
  <c r="H231" i="1" s="1"/>
  <c r="F231" i="1"/>
  <c r="M231" i="1" s="1"/>
  <c r="G231" i="1"/>
  <c r="C232" i="1"/>
  <c r="H232" i="1" s="1"/>
  <c r="F232" i="1"/>
  <c r="M232" i="1" s="1"/>
  <c r="G232" i="1"/>
  <c r="C233" i="1"/>
  <c r="H233" i="1" s="1"/>
  <c r="F233" i="1"/>
  <c r="M233" i="1" s="1"/>
  <c r="G233" i="1"/>
  <c r="C234" i="1"/>
  <c r="H234" i="1" s="1"/>
  <c r="F234" i="1"/>
  <c r="M234" i="1" s="1"/>
  <c r="G234" i="1"/>
  <c r="C235" i="1"/>
  <c r="H235" i="1" s="1"/>
  <c r="F235" i="1"/>
  <c r="M235" i="1" s="1"/>
  <c r="G235" i="1"/>
  <c r="C236" i="1"/>
  <c r="H236" i="1" s="1"/>
  <c r="F236" i="1"/>
  <c r="M236" i="1" s="1"/>
  <c r="G236" i="1"/>
  <c r="C237" i="1"/>
  <c r="H237" i="1" s="1"/>
  <c r="F237" i="1"/>
  <c r="M237" i="1" s="1"/>
  <c r="G237" i="1"/>
  <c r="C238" i="1"/>
  <c r="H238" i="1" s="1"/>
  <c r="F238" i="1"/>
  <c r="M238" i="1" s="1"/>
  <c r="G238" i="1"/>
  <c r="C239" i="1"/>
  <c r="H239" i="1" s="1"/>
  <c r="F239" i="1"/>
  <c r="M239" i="1" s="1"/>
  <c r="G239" i="1"/>
  <c r="C240" i="1"/>
  <c r="H240" i="1" s="1"/>
  <c r="F240" i="1"/>
  <c r="M240" i="1" s="1"/>
  <c r="G240" i="1"/>
  <c r="C241" i="1"/>
  <c r="H241" i="1" s="1"/>
  <c r="F241" i="1"/>
  <c r="M241" i="1" s="1"/>
  <c r="G241" i="1"/>
  <c r="C242" i="1"/>
  <c r="H242" i="1" s="1"/>
  <c r="F242" i="1"/>
  <c r="M242" i="1" s="1"/>
  <c r="G242" i="1"/>
  <c r="C243" i="1"/>
  <c r="H243" i="1" s="1"/>
  <c r="F243" i="1"/>
  <c r="M243" i="1" s="1"/>
  <c r="G243" i="1"/>
  <c r="C244" i="1"/>
  <c r="H244" i="1" s="1"/>
  <c r="F244" i="1"/>
  <c r="M244" i="1" s="1"/>
  <c r="G244" i="1"/>
  <c r="C245" i="1"/>
  <c r="H245" i="1" s="1"/>
  <c r="F245" i="1"/>
  <c r="M245" i="1" s="1"/>
  <c r="G245" i="1"/>
  <c r="C246" i="1"/>
  <c r="H246" i="1" s="1"/>
  <c r="F246" i="1"/>
  <c r="M246" i="1" s="1"/>
  <c r="G246" i="1"/>
  <c r="C247" i="1"/>
  <c r="H247" i="1" s="1"/>
  <c r="F247" i="1"/>
  <c r="M247" i="1" s="1"/>
  <c r="G247" i="1"/>
  <c r="C248" i="1"/>
  <c r="H248" i="1" s="1"/>
  <c r="F248" i="1"/>
  <c r="M248" i="1" s="1"/>
  <c r="G248" i="1"/>
  <c r="C249" i="1"/>
  <c r="H249" i="1" s="1"/>
  <c r="F249" i="1"/>
  <c r="M249" i="1" s="1"/>
  <c r="G249" i="1"/>
  <c r="C250" i="1"/>
  <c r="H250" i="1" s="1"/>
  <c r="F250" i="1"/>
  <c r="M250" i="1" s="1"/>
  <c r="G250" i="1"/>
  <c r="C251" i="1"/>
  <c r="H251" i="1" s="1"/>
  <c r="F251" i="1"/>
  <c r="M251" i="1" s="1"/>
  <c r="G251" i="1"/>
  <c r="C252" i="1"/>
  <c r="H252" i="1" s="1"/>
  <c r="F252" i="1"/>
  <c r="M252" i="1" s="1"/>
  <c r="G252" i="1"/>
  <c r="C253" i="1"/>
  <c r="H253" i="1" s="1"/>
  <c r="F253" i="1"/>
  <c r="M253" i="1" s="1"/>
  <c r="G253" i="1"/>
  <c r="C254" i="1"/>
  <c r="H254" i="1" s="1"/>
  <c r="F254" i="1"/>
  <c r="M254" i="1" s="1"/>
  <c r="G254" i="1"/>
  <c r="C255" i="1"/>
  <c r="H255" i="1" s="1"/>
  <c r="F255" i="1"/>
  <c r="M255" i="1" s="1"/>
  <c r="G255" i="1"/>
  <c r="C256" i="1"/>
  <c r="H256" i="1" s="1"/>
  <c r="F256" i="1"/>
  <c r="M256" i="1" s="1"/>
  <c r="G256" i="1"/>
  <c r="C257" i="1"/>
  <c r="H257" i="1" s="1"/>
  <c r="F257" i="1"/>
  <c r="M257" i="1" s="1"/>
  <c r="G257" i="1"/>
  <c r="C258" i="1"/>
  <c r="H258" i="1" s="1"/>
  <c r="F258" i="1"/>
  <c r="M258" i="1" s="1"/>
  <c r="G258" i="1"/>
  <c r="C259" i="1"/>
  <c r="H259" i="1" s="1"/>
  <c r="F259" i="1"/>
  <c r="M259" i="1" s="1"/>
  <c r="G259" i="1"/>
  <c r="C260" i="1"/>
  <c r="H260" i="1" s="1"/>
  <c r="F260" i="1"/>
  <c r="M260" i="1" s="1"/>
  <c r="G260" i="1"/>
  <c r="C261" i="1"/>
  <c r="H261" i="1" s="1"/>
  <c r="F261" i="1"/>
  <c r="M261" i="1" s="1"/>
  <c r="G261" i="1"/>
  <c r="C262" i="1"/>
  <c r="H262" i="1" s="1"/>
  <c r="F262" i="1"/>
  <c r="M262" i="1" s="1"/>
  <c r="G262" i="1"/>
  <c r="C263" i="1"/>
  <c r="H263" i="1" s="1"/>
  <c r="F263" i="1"/>
  <c r="M263" i="1" s="1"/>
  <c r="G263" i="1"/>
  <c r="C264" i="1"/>
  <c r="H264" i="1" s="1"/>
  <c r="F264" i="1"/>
  <c r="M264" i="1" s="1"/>
  <c r="G264" i="1"/>
  <c r="C265" i="1"/>
  <c r="H265" i="1" s="1"/>
  <c r="F265" i="1"/>
  <c r="M265" i="1" s="1"/>
  <c r="G265" i="1"/>
  <c r="C266" i="1"/>
  <c r="H266" i="1" s="1"/>
  <c r="F266" i="1"/>
  <c r="M266" i="1" s="1"/>
  <c r="G266" i="1"/>
  <c r="C267" i="1"/>
  <c r="H267" i="1" s="1"/>
  <c r="F267" i="1"/>
  <c r="M267" i="1" s="1"/>
  <c r="G267" i="1"/>
  <c r="C268" i="1"/>
  <c r="H268" i="1" s="1"/>
  <c r="F268" i="1"/>
  <c r="M268" i="1" s="1"/>
  <c r="G268" i="1"/>
  <c r="C269" i="1"/>
  <c r="H269" i="1" s="1"/>
  <c r="F269" i="1"/>
  <c r="M269" i="1" s="1"/>
  <c r="G269" i="1"/>
  <c r="C270" i="1"/>
  <c r="H270" i="1" s="1"/>
  <c r="F270" i="1"/>
  <c r="M270" i="1" s="1"/>
  <c r="G270" i="1"/>
  <c r="C271" i="1"/>
  <c r="H271" i="1" s="1"/>
  <c r="F271" i="1"/>
  <c r="M271" i="1" s="1"/>
  <c r="G271" i="1"/>
  <c r="C272" i="1"/>
  <c r="H272" i="1" s="1"/>
  <c r="F272" i="1"/>
  <c r="M272" i="1" s="1"/>
  <c r="G272" i="1"/>
  <c r="C273" i="1"/>
  <c r="H273" i="1" s="1"/>
  <c r="F273" i="1"/>
  <c r="M273" i="1" s="1"/>
  <c r="G273" i="1"/>
  <c r="C274" i="1"/>
  <c r="H274" i="1" s="1"/>
  <c r="F274" i="1"/>
  <c r="M274" i="1" s="1"/>
  <c r="G274" i="1"/>
  <c r="C275" i="1"/>
  <c r="H275" i="1" s="1"/>
  <c r="F275" i="1"/>
  <c r="M275" i="1" s="1"/>
  <c r="G275" i="1"/>
  <c r="C276" i="1"/>
  <c r="H276" i="1" s="1"/>
  <c r="F276" i="1"/>
  <c r="M276" i="1" s="1"/>
  <c r="G276" i="1"/>
  <c r="C277" i="1"/>
  <c r="H277" i="1" s="1"/>
  <c r="F277" i="1"/>
  <c r="M277" i="1" s="1"/>
  <c r="G277" i="1"/>
  <c r="C278" i="1"/>
  <c r="H278" i="1" s="1"/>
  <c r="F278" i="1"/>
  <c r="M278" i="1" s="1"/>
  <c r="G278" i="1"/>
  <c r="C279" i="1"/>
  <c r="H279" i="1" s="1"/>
  <c r="F279" i="1"/>
  <c r="M279" i="1" s="1"/>
  <c r="G279" i="1"/>
  <c r="C280" i="1"/>
  <c r="H280" i="1" s="1"/>
  <c r="F280" i="1"/>
  <c r="M280" i="1" s="1"/>
  <c r="G280" i="1"/>
  <c r="C281" i="1"/>
  <c r="H281" i="1" s="1"/>
  <c r="F281" i="1"/>
  <c r="M281" i="1" s="1"/>
  <c r="G281" i="1"/>
  <c r="C282" i="1"/>
  <c r="H282" i="1" s="1"/>
  <c r="F282" i="1"/>
  <c r="M282" i="1" s="1"/>
  <c r="G282" i="1"/>
  <c r="C283" i="1"/>
  <c r="H283" i="1" s="1"/>
  <c r="F283" i="1"/>
  <c r="M283" i="1" s="1"/>
  <c r="G283" i="1"/>
  <c r="C284" i="1"/>
  <c r="H284" i="1" s="1"/>
  <c r="F284" i="1"/>
  <c r="M284" i="1" s="1"/>
  <c r="G284" i="1"/>
  <c r="C285" i="1"/>
  <c r="H285" i="1" s="1"/>
  <c r="F285" i="1"/>
  <c r="M285" i="1" s="1"/>
  <c r="G285" i="1"/>
  <c r="C286" i="1"/>
  <c r="H286" i="1" s="1"/>
  <c r="F286" i="1"/>
  <c r="M286" i="1" s="1"/>
  <c r="G286" i="1"/>
  <c r="C287" i="1"/>
  <c r="H287" i="1" s="1"/>
  <c r="F287" i="1"/>
  <c r="M287" i="1" s="1"/>
  <c r="G287" i="1"/>
  <c r="C288" i="1"/>
  <c r="H288" i="1" s="1"/>
  <c r="F288" i="1"/>
  <c r="M288" i="1" s="1"/>
  <c r="G288" i="1"/>
  <c r="C289" i="1"/>
  <c r="H289" i="1" s="1"/>
  <c r="F289" i="1"/>
  <c r="M289" i="1" s="1"/>
  <c r="G289" i="1"/>
  <c r="C290" i="1"/>
  <c r="H290" i="1" s="1"/>
  <c r="F290" i="1"/>
  <c r="M290" i="1" s="1"/>
  <c r="G290" i="1"/>
  <c r="C291" i="1"/>
  <c r="H291" i="1" s="1"/>
  <c r="F291" i="1"/>
  <c r="M291" i="1" s="1"/>
  <c r="G291" i="1"/>
  <c r="C292" i="1"/>
  <c r="H292" i="1" s="1"/>
  <c r="F292" i="1"/>
  <c r="M292" i="1" s="1"/>
  <c r="G292" i="1"/>
  <c r="C293" i="1"/>
  <c r="H293" i="1" s="1"/>
  <c r="F293" i="1"/>
  <c r="M293" i="1" s="1"/>
  <c r="G293" i="1"/>
  <c r="C294" i="1"/>
  <c r="H294" i="1" s="1"/>
  <c r="F294" i="1"/>
  <c r="M294" i="1" s="1"/>
  <c r="G294" i="1"/>
  <c r="C295" i="1"/>
  <c r="H295" i="1" s="1"/>
  <c r="F295" i="1"/>
  <c r="M295" i="1" s="1"/>
  <c r="G295" i="1"/>
  <c r="C296" i="1"/>
  <c r="H296" i="1" s="1"/>
  <c r="F296" i="1"/>
  <c r="M296" i="1" s="1"/>
  <c r="G296" i="1"/>
  <c r="C297" i="1"/>
  <c r="H297" i="1" s="1"/>
  <c r="F297" i="1"/>
  <c r="M297" i="1" s="1"/>
  <c r="G297" i="1"/>
  <c r="C298" i="1"/>
  <c r="H298" i="1" s="1"/>
  <c r="F298" i="1"/>
  <c r="M298" i="1" s="1"/>
  <c r="G298" i="1"/>
  <c r="C299" i="1"/>
  <c r="H299" i="1" s="1"/>
  <c r="F299" i="1"/>
  <c r="M299" i="1" s="1"/>
  <c r="G299" i="1"/>
  <c r="C300" i="1"/>
  <c r="H300" i="1" s="1"/>
  <c r="F300" i="1"/>
  <c r="M300" i="1" s="1"/>
  <c r="G300" i="1"/>
  <c r="C301" i="1"/>
  <c r="H301" i="1" s="1"/>
  <c r="F301" i="1"/>
  <c r="M301" i="1" s="1"/>
  <c r="G301" i="1"/>
  <c r="C302" i="1"/>
  <c r="H302" i="1" s="1"/>
  <c r="F302" i="1"/>
  <c r="M302" i="1" s="1"/>
  <c r="G302" i="1"/>
  <c r="C303" i="1"/>
  <c r="H303" i="1" s="1"/>
  <c r="F303" i="1"/>
  <c r="M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M188" i="1" s="1"/>
  <c r="G188" i="1"/>
  <c r="F189" i="1"/>
  <c r="M189" i="1" s="1"/>
  <c r="G189" i="1"/>
  <c r="F190" i="1"/>
  <c r="M190" i="1" s="1"/>
  <c r="G190" i="1"/>
  <c r="F191" i="1"/>
  <c r="M191" i="1" s="1"/>
  <c r="G191" i="1"/>
  <c r="F192" i="1"/>
  <c r="M192" i="1" s="1"/>
  <c r="G192" i="1"/>
  <c r="F193" i="1"/>
  <c r="M193" i="1" s="1"/>
  <c r="G193" i="1"/>
  <c r="F194" i="1"/>
  <c r="M194" i="1" s="1"/>
  <c r="G194" i="1"/>
  <c r="F195" i="1"/>
  <c r="M195" i="1" s="1"/>
  <c r="G195" i="1"/>
  <c r="F196" i="1"/>
  <c r="M196" i="1" s="1"/>
  <c r="G196" i="1"/>
  <c r="F197" i="1"/>
  <c r="M197" i="1" s="1"/>
  <c r="G197" i="1"/>
  <c r="F198" i="1"/>
  <c r="M198" i="1" s="1"/>
  <c r="G198" i="1"/>
  <c r="F199" i="1"/>
  <c r="M199" i="1" s="1"/>
  <c r="G199" i="1"/>
  <c r="F200" i="1"/>
  <c r="M200" i="1" s="1"/>
  <c r="G200" i="1"/>
  <c r="F201" i="1"/>
  <c r="M201" i="1" s="1"/>
  <c r="G201" i="1"/>
  <c r="F202" i="1"/>
  <c r="M202" i="1" s="1"/>
  <c r="G202" i="1"/>
  <c r="F203" i="1"/>
  <c r="M203" i="1" s="1"/>
  <c r="G203" i="1"/>
  <c r="F204" i="1"/>
  <c r="M204" i="1" s="1"/>
  <c r="G204" i="1"/>
  <c r="F205" i="1"/>
  <c r="M205" i="1" s="1"/>
  <c r="G205" i="1"/>
  <c r="F206" i="1"/>
  <c r="M206" i="1" s="1"/>
  <c r="G206" i="1"/>
  <c r="F207" i="1"/>
  <c r="M207" i="1" s="1"/>
  <c r="G207" i="1"/>
  <c r="F208" i="1"/>
  <c r="M208" i="1" s="1"/>
  <c r="G208" i="1"/>
  <c r="F209" i="1"/>
  <c r="M209" i="1" s="1"/>
  <c r="G209" i="1"/>
  <c r="F210" i="1"/>
  <c r="M210" i="1" s="1"/>
  <c r="G210" i="1"/>
  <c r="F211" i="1"/>
  <c r="M211" i="1" s="1"/>
  <c r="G211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N4" i="1" l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K4" i="1" l="1"/>
  <c r="K1" i="3"/>
  <c r="K288" i="1"/>
  <c r="P288" i="1" s="1"/>
  <c r="K292" i="1"/>
  <c r="P292" i="1" s="1"/>
  <c r="K228" i="1"/>
  <c r="P228" i="1" s="1"/>
  <c r="K293" i="1"/>
  <c r="P293" i="1" s="1"/>
  <c r="K277" i="1"/>
  <c r="P277" i="1" s="1"/>
  <c r="K261" i="1"/>
  <c r="P261" i="1" s="1"/>
  <c r="K245" i="1"/>
  <c r="P245" i="1" s="1"/>
  <c r="K229" i="1"/>
  <c r="P229" i="1" s="1"/>
  <c r="K213" i="1"/>
  <c r="P213" i="1" s="1"/>
  <c r="K260" i="1"/>
  <c r="P260" i="1" s="1"/>
  <c r="K216" i="1"/>
  <c r="P216" i="1" s="1"/>
  <c r="K290" i="1"/>
  <c r="P290" i="1" s="1"/>
  <c r="K274" i="1"/>
  <c r="P274" i="1" s="1"/>
  <c r="K258" i="1"/>
  <c r="P258" i="1" s="1"/>
  <c r="K242" i="1"/>
  <c r="P242" i="1" s="1"/>
  <c r="K226" i="1"/>
  <c r="P226" i="1" s="1"/>
  <c r="K296" i="1"/>
  <c r="P296" i="1" s="1"/>
  <c r="K244" i="1"/>
  <c r="P244" i="1" s="1"/>
  <c r="K303" i="1"/>
  <c r="P303" i="1" s="1"/>
  <c r="K287" i="1"/>
  <c r="P287" i="1" s="1"/>
  <c r="K271" i="1"/>
  <c r="P271" i="1" s="1"/>
  <c r="K255" i="1"/>
  <c r="P255" i="1" s="1"/>
  <c r="K239" i="1"/>
  <c r="P239" i="1" s="1"/>
  <c r="K223" i="1"/>
  <c r="P223" i="1" s="1"/>
  <c r="K272" i="1"/>
  <c r="P272" i="1" s="1"/>
  <c r="K220" i="1"/>
  <c r="P220" i="1" s="1"/>
  <c r="K289" i="1"/>
  <c r="P289" i="1" s="1"/>
  <c r="K273" i="1"/>
  <c r="P273" i="1" s="1"/>
  <c r="K257" i="1"/>
  <c r="P257" i="1" s="1"/>
  <c r="K241" i="1"/>
  <c r="P241" i="1" s="1"/>
  <c r="K225" i="1"/>
  <c r="P225" i="1" s="1"/>
  <c r="K300" i="1"/>
  <c r="P300" i="1" s="1"/>
  <c r="K252" i="1"/>
  <c r="P252" i="1" s="1"/>
  <c r="K302" i="1"/>
  <c r="P302" i="1" s="1"/>
  <c r="K286" i="1"/>
  <c r="P286" i="1" s="1"/>
  <c r="K270" i="1"/>
  <c r="P270" i="1" s="1"/>
  <c r="K254" i="1"/>
  <c r="P254" i="1" s="1"/>
  <c r="K238" i="1"/>
  <c r="P238" i="1" s="1"/>
  <c r="K222" i="1"/>
  <c r="P222" i="1" s="1"/>
  <c r="K280" i="1"/>
  <c r="P280" i="1" s="1"/>
  <c r="K236" i="1"/>
  <c r="P236" i="1" s="1"/>
  <c r="K299" i="1"/>
  <c r="P299" i="1" s="1"/>
  <c r="K283" i="1"/>
  <c r="P283" i="1" s="1"/>
  <c r="K267" i="1"/>
  <c r="P267" i="1" s="1"/>
  <c r="K251" i="1"/>
  <c r="P251" i="1" s="1"/>
  <c r="K235" i="1"/>
  <c r="P235" i="1" s="1"/>
  <c r="K219" i="1"/>
  <c r="P219" i="1" s="1"/>
  <c r="K256" i="1"/>
  <c r="P256" i="1" s="1"/>
  <c r="K301" i="1"/>
  <c r="P301" i="1" s="1"/>
  <c r="K285" i="1"/>
  <c r="P285" i="1" s="1"/>
  <c r="K269" i="1"/>
  <c r="P269" i="1" s="1"/>
  <c r="K253" i="1"/>
  <c r="P253" i="1" s="1"/>
  <c r="K237" i="1"/>
  <c r="P237" i="1" s="1"/>
  <c r="K221" i="1"/>
  <c r="P221" i="1" s="1"/>
  <c r="K284" i="1"/>
  <c r="P284" i="1" s="1"/>
  <c r="K240" i="1"/>
  <c r="P240" i="1" s="1"/>
  <c r="K298" i="1"/>
  <c r="P298" i="1" s="1"/>
  <c r="K282" i="1"/>
  <c r="P282" i="1" s="1"/>
  <c r="K266" i="1"/>
  <c r="P266" i="1" s="1"/>
  <c r="K250" i="1"/>
  <c r="P250" i="1" s="1"/>
  <c r="K234" i="1"/>
  <c r="P234" i="1" s="1"/>
  <c r="K218" i="1"/>
  <c r="P218" i="1" s="1"/>
  <c r="K276" i="1"/>
  <c r="P276" i="1" s="1"/>
  <c r="K224" i="1"/>
  <c r="P224" i="1" s="1"/>
  <c r="K295" i="1"/>
  <c r="P295" i="1" s="1"/>
  <c r="K279" i="1"/>
  <c r="P279" i="1" s="1"/>
  <c r="K263" i="1"/>
  <c r="P263" i="1" s="1"/>
  <c r="K247" i="1"/>
  <c r="P247" i="1" s="1"/>
  <c r="K231" i="1"/>
  <c r="P231" i="1" s="1"/>
  <c r="K215" i="1"/>
  <c r="P215" i="1" s="1"/>
  <c r="K248" i="1"/>
  <c r="P248" i="1" s="1"/>
  <c r="K249" i="1"/>
  <c r="P249" i="1" s="1"/>
  <c r="K232" i="1"/>
  <c r="P232" i="1" s="1"/>
  <c r="K246" i="1"/>
  <c r="P246" i="1" s="1"/>
  <c r="K212" i="1"/>
  <c r="P212" i="1" s="1"/>
  <c r="K243" i="1"/>
  <c r="P243" i="1" s="1"/>
  <c r="K297" i="1"/>
  <c r="P297" i="1" s="1"/>
  <c r="K233" i="1"/>
  <c r="P233" i="1" s="1"/>
  <c r="K281" i="1"/>
  <c r="P281" i="1" s="1"/>
  <c r="K217" i="1"/>
  <c r="P217" i="1" s="1"/>
  <c r="K278" i="1"/>
  <c r="P278" i="1" s="1"/>
  <c r="K214" i="1"/>
  <c r="P214" i="1" s="1"/>
  <c r="K275" i="1"/>
  <c r="P275" i="1" s="1"/>
  <c r="K265" i="1"/>
  <c r="P265" i="1" s="1"/>
  <c r="K230" i="1"/>
  <c r="P230" i="1" s="1"/>
  <c r="K227" i="1"/>
  <c r="P227" i="1" s="1"/>
  <c r="K259" i="1"/>
  <c r="P259" i="1" s="1"/>
  <c r="K268" i="1"/>
  <c r="P268" i="1" s="1"/>
  <c r="K264" i="1"/>
  <c r="P264" i="1" s="1"/>
  <c r="K294" i="1"/>
  <c r="P294" i="1" s="1"/>
  <c r="K291" i="1"/>
  <c r="P291" i="1" s="1"/>
  <c r="K262" i="1"/>
  <c r="P262" i="1" s="1"/>
  <c r="K184" i="1"/>
  <c r="K160" i="1"/>
  <c r="P160" i="1" s="1"/>
  <c r="K180" i="1"/>
  <c r="K156" i="1"/>
  <c r="K179" i="1"/>
  <c r="K171" i="1"/>
  <c r="P171" i="1" s="1"/>
  <c r="K163" i="1"/>
  <c r="P163" i="1" s="1"/>
  <c r="K155" i="1"/>
  <c r="K147" i="1"/>
  <c r="K170" i="1"/>
  <c r="P170" i="1" s="1"/>
  <c r="K146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86" i="1"/>
  <c r="K56" i="1"/>
  <c r="K199" i="1"/>
  <c r="P199" i="1" s="1"/>
  <c r="K107" i="1"/>
  <c r="K75" i="1"/>
  <c r="K43" i="1"/>
  <c r="K19" i="1"/>
  <c r="K194" i="1"/>
  <c r="P194" i="1" s="1"/>
  <c r="K178" i="1"/>
  <c r="K154" i="1"/>
  <c r="P154" i="1" s="1"/>
  <c r="K174" i="1"/>
  <c r="K150" i="1"/>
  <c r="K177" i="1"/>
  <c r="K169" i="1"/>
  <c r="P169" i="1" s="1"/>
  <c r="K161" i="1"/>
  <c r="K153" i="1"/>
  <c r="K145" i="1"/>
  <c r="K164" i="1"/>
  <c r="P164" i="1" s="1"/>
  <c r="K185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62" i="1"/>
  <c r="K183" i="1"/>
  <c r="P183" i="1" s="1"/>
  <c r="K173" i="1"/>
  <c r="K157" i="1"/>
  <c r="K176" i="1"/>
  <c r="K144" i="1"/>
  <c r="K128" i="1"/>
  <c r="K112" i="1"/>
  <c r="K96" i="1"/>
  <c r="K80" i="1"/>
  <c r="K64" i="1"/>
  <c r="K40" i="1"/>
  <c r="K24" i="1"/>
  <c r="K8" i="1"/>
  <c r="K191" i="1"/>
  <c r="P191" i="1" s="1"/>
  <c r="K131" i="1"/>
  <c r="K115" i="1"/>
  <c r="K91" i="1"/>
  <c r="K67" i="1"/>
  <c r="K51" i="1"/>
  <c r="K27" i="1"/>
  <c r="K210" i="1"/>
  <c r="P210" i="1" s="1"/>
  <c r="K172" i="1"/>
  <c r="K148" i="1"/>
  <c r="K168" i="1"/>
  <c r="P168" i="1" s="1"/>
  <c r="K187" i="1"/>
  <c r="P187" i="1" s="1"/>
  <c r="K175" i="1"/>
  <c r="K167" i="1"/>
  <c r="K159" i="1"/>
  <c r="K151" i="1"/>
  <c r="P151" i="1" s="1"/>
  <c r="K182" i="1"/>
  <c r="K158" i="1"/>
  <c r="K181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66" i="1"/>
  <c r="K165" i="1"/>
  <c r="P165" i="1" s="1"/>
  <c r="K149" i="1"/>
  <c r="K152" i="1"/>
  <c r="P152" i="1" s="1"/>
  <c r="K136" i="1"/>
  <c r="K120" i="1"/>
  <c r="K104" i="1"/>
  <c r="K88" i="1"/>
  <c r="K72" i="1"/>
  <c r="K48" i="1"/>
  <c r="K32" i="1"/>
  <c r="K16" i="1"/>
  <c r="K207" i="1"/>
  <c r="P207" i="1" s="1"/>
  <c r="K139" i="1"/>
  <c r="K123" i="1"/>
  <c r="K99" i="1"/>
  <c r="K83" i="1"/>
  <c r="K59" i="1"/>
  <c r="K35" i="1"/>
  <c r="K11" i="1"/>
  <c r="K202" i="1"/>
  <c r="P202" i="1" s="1"/>
  <c r="P146" i="1"/>
  <c r="P148" i="1"/>
  <c r="P150" i="1"/>
  <c r="P156" i="1"/>
  <c r="P158" i="1"/>
  <c r="P162" i="1"/>
  <c r="P166" i="1"/>
  <c r="P172" i="1"/>
  <c r="P174" i="1"/>
  <c r="P176" i="1"/>
  <c r="P178" i="1"/>
  <c r="P180" i="1"/>
  <c r="P182" i="1"/>
  <c r="P184" i="1"/>
  <c r="P186" i="1"/>
  <c r="P149" i="1"/>
  <c r="P157" i="1"/>
  <c r="P173" i="1"/>
  <c r="P181" i="1"/>
  <c r="P159" i="1"/>
  <c r="P167" i="1"/>
  <c r="P175" i="1"/>
  <c r="P145" i="1"/>
  <c r="P153" i="1"/>
  <c r="P161" i="1"/>
  <c r="P177" i="1"/>
  <c r="P185" i="1"/>
  <c r="P147" i="1"/>
  <c r="P155" i="1"/>
  <c r="P179" i="1"/>
  <c r="M4" i="1"/>
  <c r="K6" i="3" l="1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2" i="3"/>
  <c r="K236" i="3"/>
  <c r="K244" i="3"/>
  <c r="K252" i="3"/>
  <c r="K260" i="3"/>
  <c r="K268" i="3"/>
  <c r="K276" i="3"/>
  <c r="K284" i="3"/>
  <c r="K292" i="3"/>
  <c r="K300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K119" i="3"/>
  <c r="K123" i="3"/>
  <c r="K127" i="3"/>
  <c r="K131" i="3"/>
  <c r="K135" i="3"/>
  <c r="K139" i="3"/>
  <c r="K143" i="3"/>
  <c r="K147" i="3"/>
  <c r="K151" i="3"/>
  <c r="K155" i="3"/>
  <c r="K159" i="3"/>
  <c r="K163" i="3"/>
  <c r="K167" i="3"/>
  <c r="K171" i="3"/>
  <c r="K175" i="3"/>
  <c r="K179" i="3"/>
  <c r="K183" i="3"/>
  <c r="K187" i="3"/>
  <c r="K191" i="3"/>
  <c r="K195" i="3"/>
  <c r="K199" i="3"/>
  <c r="K203" i="3"/>
  <c r="K207" i="3"/>
  <c r="K211" i="3"/>
  <c r="K215" i="3"/>
  <c r="K219" i="3"/>
  <c r="K223" i="3"/>
  <c r="K227" i="3"/>
  <c r="K231" i="3"/>
  <c r="K235" i="3"/>
  <c r="K239" i="3"/>
  <c r="K243" i="3"/>
  <c r="K247" i="3"/>
  <c r="K251" i="3"/>
  <c r="K255" i="3"/>
  <c r="K259" i="3"/>
  <c r="K263" i="3"/>
  <c r="K267" i="3"/>
  <c r="K271" i="3"/>
  <c r="K275" i="3"/>
  <c r="K279" i="3"/>
  <c r="K283" i="3"/>
  <c r="K287" i="3"/>
  <c r="K291" i="3"/>
  <c r="K295" i="3"/>
  <c r="K299" i="3"/>
  <c r="K240" i="3"/>
  <c r="K248" i="3"/>
  <c r="K256" i="3"/>
  <c r="K264" i="3"/>
  <c r="K272" i="3"/>
  <c r="K280" i="3"/>
  <c r="K288" i="3"/>
  <c r="K296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5" i="3"/>
  <c r="K21" i="3"/>
  <c r="K37" i="3"/>
  <c r="K53" i="3"/>
  <c r="K69" i="3"/>
  <c r="K85" i="3"/>
  <c r="K101" i="3"/>
  <c r="K117" i="3"/>
  <c r="K133" i="3"/>
  <c r="K149" i="3"/>
  <c r="K165" i="3"/>
  <c r="K181" i="3"/>
  <c r="K197" i="3"/>
  <c r="K213" i="3"/>
  <c r="K229" i="3"/>
  <c r="K245" i="3"/>
  <c r="K261" i="3"/>
  <c r="K277" i="3"/>
  <c r="K293" i="3"/>
  <c r="K49" i="3"/>
  <c r="K81" i="3"/>
  <c r="K129" i="3"/>
  <c r="K177" i="3"/>
  <c r="K209" i="3"/>
  <c r="K257" i="3"/>
  <c r="K9" i="3"/>
  <c r="K25" i="3"/>
  <c r="K41" i="3"/>
  <c r="K57" i="3"/>
  <c r="K73" i="3"/>
  <c r="K89" i="3"/>
  <c r="K105" i="3"/>
  <c r="K121" i="3"/>
  <c r="K137" i="3"/>
  <c r="K153" i="3"/>
  <c r="K169" i="3"/>
  <c r="K185" i="3"/>
  <c r="K201" i="3"/>
  <c r="K217" i="3"/>
  <c r="K233" i="3"/>
  <c r="K249" i="3"/>
  <c r="K265" i="3"/>
  <c r="K281" i="3"/>
  <c r="K297" i="3"/>
  <c r="K173" i="3"/>
  <c r="K221" i="3"/>
  <c r="K253" i="3"/>
  <c r="K285" i="3"/>
  <c r="K33" i="3"/>
  <c r="K65" i="3"/>
  <c r="K113" i="3"/>
  <c r="K161" i="3"/>
  <c r="K225" i="3"/>
  <c r="K273" i="3"/>
  <c r="K13" i="3"/>
  <c r="K29" i="3"/>
  <c r="K45" i="3"/>
  <c r="K61" i="3"/>
  <c r="K77" i="3"/>
  <c r="K93" i="3"/>
  <c r="K109" i="3"/>
  <c r="K125" i="3"/>
  <c r="K141" i="3"/>
  <c r="K157" i="3"/>
  <c r="K189" i="3"/>
  <c r="K205" i="3"/>
  <c r="K237" i="3"/>
  <c r="K269" i="3"/>
  <c r="K301" i="3"/>
  <c r="K17" i="3"/>
  <c r="K97" i="3"/>
  <c r="K145" i="3"/>
  <c r="K193" i="3"/>
  <c r="K241" i="3"/>
  <c r="K289" i="3"/>
  <c r="G4" i="1"/>
  <c r="P4" i="1" s="1"/>
  <c r="M144" i="1" l="1"/>
  <c r="P144" i="1" s="1"/>
  <c r="M136" i="1"/>
  <c r="P136" i="1" s="1"/>
  <c r="M128" i="1"/>
  <c r="M18" i="1"/>
  <c r="M122" i="1"/>
  <c r="M106" i="1"/>
  <c r="M90" i="1"/>
  <c r="M74" i="1"/>
  <c r="M62" i="1"/>
  <c r="M58" i="1"/>
  <c r="M46" i="1"/>
  <c r="M140" i="1"/>
  <c r="M132" i="1"/>
  <c r="P132" i="1" s="1"/>
  <c r="M5" i="1"/>
  <c r="M129" i="1"/>
  <c r="P129" i="1" s="1"/>
  <c r="M135" i="1"/>
  <c r="M137" i="1"/>
  <c r="M138" i="1"/>
  <c r="M139" i="1"/>
  <c r="M141" i="1"/>
  <c r="M143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4" i="1"/>
  <c r="M35" i="1"/>
  <c r="M37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3" i="1"/>
  <c r="M75" i="1"/>
  <c r="M77" i="1"/>
  <c r="M79" i="1"/>
  <c r="M81" i="1"/>
  <c r="M82" i="1"/>
  <c r="M83" i="1"/>
  <c r="M85" i="1"/>
  <c r="M87" i="1"/>
  <c r="M89" i="1"/>
  <c r="M91" i="1"/>
  <c r="M93" i="1"/>
  <c r="M95" i="1"/>
  <c r="M97" i="1"/>
  <c r="M98" i="1"/>
  <c r="M99" i="1"/>
  <c r="M101" i="1"/>
  <c r="M103" i="1"/>
  <c r="M105" i="1"/>
  <c r="M107" i="1"/>
  <c r="M109" i="1"/>
  <c r="M111" i="1"/>
  <c r="M113" i="1"/>
  <c r="M114" i="1"/>
  <c r="M115" i="1"/>
  <c r="M117" i="1"/>
  <c r="M119" i="1"/>
  <c r="M121" i="1"/>
  <c r="M123" i="1"/>
  <c r="M125" i="1"/>
  <c r="M127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M78" i="1"/>
  <c r="P78" i="1" s="1"/>
  <c r="M94" i="1"/>
  <c r="P94" i="1" s="1"/>
  <c r="M110" i="1"/>
  <c r="P110" i="1" s="1"/>
  <c r="M126" i="1"/>
  <c r="P126" i="1" s="1"/>
  <c r="M134" i="1"/>
  <c r="P134" i="1" s="1"/>
  <c r="M133" i="1"/>
  <c r="P133" i="1" s="1"/>
  <c r="M26" i="1"/>
  <c r="P26" i="1" s="1"/>
  <c r="M42" i="1"/>
  <c r="P42" i="1" s="1"/>
  <c r="M142" i="1"/>
  <c r="P142" i="1" s="1"/>
  <c r="M66" i="1"/>
  <c r="P66" i="1" s="1"/>
  <c r="M14" i="1"/>
  <c r="P14" i="1" s="1"/>
  <c r="M30" i="1"/>
  <c r="P30" i="1" s="1"/>
  <c r="M50" i="1"/>
  <c r="P50" i="1" s="1"/>
  <c r="M10" i="1"/>
  <c r="P10" i="1" s="1"/>
  <c r="H4" i="1"/>
  <c r="M131" i="1"/>
  <c r="P131" i="1" s="1"/>
  <c r="M102" i="1"/>
  <c r="P102" i="1" s="1"/>
  <c r="M86" i="1"/>
  <c r="P86" i="1" s="1"/>
  <c r="M70" i="1"/>
  <c r="P70" i="1" s="1"/>
  <c r="M54" i="1"/>
  <c r="P54" i="1" s="1"/>
  <c r="M38" i="1"/>
  <c r="P38" i="1" s="1"/>
  <c r="M22" i="1"/>
  <c r="P22" i="1" s="1"/>
  <c r="M6" i="1"/>
  <c r="P6" i="1" s="1"/>
  <c r="M130" i="1"/>
  <c r="P130" i="1" s="1"/>
  <c r="M118" i="1"/>
  <c r="P118" i="1" s="1"/>
  <c r="M124" i="1"/>
  <c r="P124" i="1" s="1"/>
  <c r="M120" i="1"/>
  <c r="P120" i="1" s="1"/>
  <c r="M116" i="1"/>
  <c r="P116" i="1" s="1"/>
  <c r="M112" i="1"/>
  <c r="P112" i="1" s="1"/>
  <c r="M108" i="1"/>
  <c r="P108" i="1" s="1"/>
  <c r="M104" i="1"/>
  <c r="P104" i="1" s="1"/>
  <c r="M100" i="1"/>
  <c r="P100" i="1" s="1"/>
  <c r="M96" i="1"/>
  <c r="P96" i="1" s="1"/>
  <c r="M92" i="1"/>
  <c r="P92" i="1" s="1"/>
  <c r="M88" i="1"/>
  <c r="P88" i="1" s="1"/>
  <c r="M84" i="1"/>
  <c r="P84" i="1" s="1"/>
  <c r="M80" i="1"/>
  <c r="P80" i="1" s="1"/>
  <c r="M76" i="1"/>
  <c r="P76" i="1" s="1"/>
  <c r="M72" i="1"/>
  <c r="P72" i="1" s="1"/>
  <c r="M68" i="1"/>
  <c r="P68" i="1" s="1"/>
  <c r="M64" i="1"/>
  <c r="P64" i="1" s="1"/>
  <c r="M60" i="1"/>
  <c r="P60" i="1" s="1"/>
  <c r="M56" i="1"/>
  <c r="P56" i="1" s="1"/>
  <c r="M52" i="1"/>
  <c r="P52" i="1" s="1"/>
  <c r="M48" i="1"/>
  <c r="P48" i="1" s="1"/>
  <c r="M44" i="1"/>
  <c r="P44" i="1" s="1"/>
  <c r="M40" i="1"/>
  <c r="P40" i="1" s="1"/>
  <c r="M36" i="1"/>
  <c r="P36" i="1" s="1"/>
  <c r="M32" i="1"/>
  <c r="P32" i="1" s="1"/>
  <c r="M28" i="1"/>
  <c r="P28" i="1" s="1"/>
  <c r="M24" i="1"/>
  <c r="P24" i="1" s="1"/>
  <c r="M20" i="1"/>
  <c r="P20" i="1" s="1"/>
  <c r="M16" i="1"/>
  <c r="P16" i="1" s="1"/>
  <c r="M12" i="1"/>
  <c r="P12" i="1" s="1"/>
  <c r="M8" i="1"/>
  <c r="P8" i="1" s="1"/>
</calcChain>
</file>

<file path=xl/sharedStrings.xml><?xml version="1.0" encoding="utf-8"?>
<sst xmlns="http://schemas.openxmlformats.org/spreadsheetml/2006/main" count="27" uniqueCount="24">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</sst>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W305"/>
  <sheetViews>
    <sheetView tabSelected="1" topLeftCell="C1" zoomScale="70" zoomScaleNormal="70" workbookViewId="0">
      <selection activeCell="T10" sqref="T10"/>
    </sheetView>
  </sheetViews>
  <sheetFormatPr defaultRowHeight="16.5" x14ac:dyDescent="0.3"/>
  <cols>
    <col min="10" max="10" width="12.25" customWidth="1"/>
    <col min="11" max="11" width="13.625" bestFit="1" customWidth="1"/>
  </cols>
  <sheetData>
    <row r="1" spans="1:23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3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</row>
    <row r="4" spans="1:23" x14ac:dyDescent="0.3">
      <c r="A4">
        <v>5.6967999999999998E-2</v>
      </c>
      <c r="B4">
        <v>0.80364000000000002</v>
      </c>
      <c r="C4">
        <f>A4*B4</f>
        <v>4.5781763519999998E-2</v>
      </c>
      <c r="D4" s="1">
        <v>2.1000000000000001E-2</v>
      </c>
      <c r="E4" s="1">
        <v>1.41E-2</v>
      </c>
      <c r="F4">
        <f>A4*200</f>
        <v>11.393599999999999</v>
      </c>
      <c r="G4">
        <f>-B4</f>
        <v>-0.80364000000000002</v>
      </c>
      <c r="H4">
        <f t="shared" ref="H4" si="0">-C4*200</f>
        <v>-9.1563527039999997</v>
      </c>
      <c r="I4">
        <v>1</v>
      </c>
      <c r="J4">
        <f>LN(F4/1000)</f>
        <v>-4.4747034847364136</v>
      </c>
      <c r="K4">
        <f>((-G4)-$N$2)</f>
        <v>-0.37627057297601196</v>
      </c>
      <c r="L4">
        <v>1</v>
      </c>
      <c r="M4">
        <f>-1*($S$4+($S$5*J4))</f>
        <v>0.3559379076857519</v>
      </c>
      <c r="N4">
        <f>D4*A4</f>
        <v>1.196328E-3</v>
      </c>
      <c r="O4">
        <f>E4*A4</f>
        <v>8.0324879999999995E-4</v>
      </c>
      <c r="P4">
        <f>-K4-M4-N4-O4</f>
        <v>1.8333088490260066E-2</v>
      </c>
      <c r="R4" s="2" t="s">
        <v>16</v>
      </c>
      <c r="S4">
        <v>-0.51300000000000001</v>
      </c>
    </row>
    <row r="5" spans="1:23" x14ac:dyDescent="0.3">
      <c r="A5">
        <v>0.10737714999999999</v>
      </c>
      <c r="B5">
        <v>0.79361999999999999</v>
      </c>
      <c r="C5">
        <f t="shared" ref="C5:C68" si="1">A5*B5</f>
        <v>8.5216653782999988E-2</v>
      </c>
      <c r="D5" s="1">
        <v>2.1000000000000001E-2</v>
      </c>
      <c r="E5" s="1">
        <v>1.41E-2</v>
      </c>
      <c r="F5">
        <f t="shared" ref="F5:F68" si="2">A5*200</f>
        <v>21.475429999999999</v>
      </c>
      <c r="G5">
        <f t="shared" ref="G5:G68" si="3">-B5</f>
        <v>-0.79361999999999999</v>
      </c>
      <c r="H5">
        <f t="shared" ref="H5:H68" si="4">-C5*200</f>
        <v>-17.043330756599996</v>
      </c>
      <c r="I5">
        <v>1</v>
      </c>
      <c r="J5">
        <f t="shared" ref="J5:J68" si="5">LN(F5/1000)</f>
        <v>-3.840845788029394</v>
      </c>
      <c r="K5">
        <f t="shared" ref="K5:K68" si="6">((-G5)-$N$2)</f>
        <v>-0.38629057297601199</v>
      </c>
      <c r="L5">
        <v>1</v>
      </c>
      <c r="M5">
        <f>-1*($S$4+($S$5*J5))</f>
        <v>0.37818631284016829</v>
      </c>
      <c r="N5">
        <f t="shared" ref="N5:N6" si="7">D5*A5</f>
        <v>2.2549201499999999E-3</v>
      </c>
      <c r="O5">
        <f>E5*A5</f>
        <v>1.5140178149999999E-3</v>
      </c>
      <c r="P5">
        <f>-K5-M5-N5-O5</f>
        <v>4.3353221708436994E-3</v>
      </c>
      <c r="R5" s="2" t="s">
        <v>17</v>
      </c>
      <c r="S5">
        <v>-3.5099999999999999E-2</v>
      </c>
      <c r="V5" t="s">
        <v>22</v>
      </c>
      <c r="W5" t="s">
        <v>23</v>
      </c>
    </row>
    <row r="6" spans="1:23" x14ac:dyDescent="0.3">
      <c r="A6">
        <v>0.15778629999999999</v>
      </c>
      <c r="B6">
        <v>0.78086</v>
      </c>
      <c r="C6">
        <f t="shared" si="1"/>
        <v>0.12320901021799999</v>
      </c>
      <c r="D6" s="1">
        <v>2.1000000000000001E-2</v>
      </c>
      <c r="E6" s="1">
        <v>1.41E-2</v>
      </c>
      <c r="F6">
        <f t="shared" si="2"/>
        <v>31.557259999999999</v>
      </c>
      <c r="G6">
        <f t="shared" si="3"/>
        <v>-0.78086</v>
      </c>
      <c r="H6">
        <f t="shared" si="4"/>
        <v>-24.641802043599998</v>
      </c>
      <c r="I6">
        <v>1</v>
      </c>
      <c r="J6">
        <f t="shared" si="5"/>
        <v>-3.4559516055313515</v>
      </c>
      <c r="K6">
        <f t="shared" si="6"/>
        <v>-0.39905057297601199</v>
      </c>
      <c r="L6">
        <v>1</v>
      </c>
      <c r="M6">
        <f t="shared" ref="M6:M69" si="8">-1*($S$4+($S$5*J6))</f>
        <v>0.39169609864584959</v>
      </c>
      <c r="N6">
        <f t="shared" si="7"/>
        <v>3.3135122999999999E-3</v>
      </c>
      <c r="O6">
        <f t="shared" ref="O6:O69" si="9">E6*A6</f>
        <v>2.22478683E-3</v>
      </c>
      <c r="P6">
        <f t="shared" ref="P6:P69" si="10">-K6-M6-N6-O6</f>
        <v>1.8161752001623972E-3</v>
      </c>
      <c r="V6">
        <v>-6</v>
      </c>
      <c r="W6">
        <f>V6*$S$5+$S$4</f>
        <v>-0.3024</v>
      </c>
    </row>
    <row r="7" spans="1:23" x14ac:dyDescent="0.3">
      <c r="A7">
        <v>0.20972299999999999</v>
      </c>
      <c r="B7">
        <v>0.77007999999999999</v>
      </c>
      <c r="C7">
        <f t="shared" si="1"/>
        <v>0.16150348783999999</v>
      </c>
      <c r="D7" s="1">
        <v>2.1000000000000001E-2</v>
      </c>
      <c r="E7" s="1">
        <v>1.41E-2</v>
      </c>
      <c r="F7">
        <f t="shared" si="2"/>
        <v>41.944600000000001</v>
      </c>
      <c r="G7">
        <f t="shared" si="3"/>
        <v>-0.77007999999999999</v>
      </c>
      <c r="H7">
        <f t="shared" si="4"/>
        <v>-32.300697567999997</v>
      </c>
      <c r="I7">
        <v>1</v>
      </c>
      <c r="J7">
        <f t="shared" si="5"/>
        <v>-3.1714055790268825</v>
      </c>
      <c r="K7">
        <f t="shared" si="6"/>
        <v>-0.409830572976012</v>
      </c>
      <c r="L7">
        <v>1</v>
      </c>
      <c r="M7">
        <f t="shared" si="8"/>
        <v>0.40168366417615642</v>
      </c>
      <c r="N7">
        <f t="shared" ref="N7:N70" si="11">D7*A7</f>
        <v>4.4041829999999999E-3</v>
      </c>
      <c r="O7">
        <f t="shared" si="9"/>
        <v>2.9570942999999996E-3</v>
      </c>
      <c r="P7">
        <f t="shared" si="10"/>
        <v>7.8563149985557941E-4</v>
      </c>
      <c r="V7">
        <v>-5.9</v>
      </c>
      <c r="W7">
        <f t="shared" ref="W7:W70" si="12">V7*$S$5+$S$4</f>
        <v>-0.30591000000000002</v>
      </c>
    </row>
    <row r="8" spans="1:23" x14ac:dyDescent="0.3">
      <c r="A8">
        <v>0.26267805</v>
      </c>
      <c r="B8">
        <v>0.76061000000000001</v>
      </c>
      <c r="C8">
        <f t="shared" si="1"/>
        <v>0.1997955516105</v>
      </c>
      <c r="D8" s="1">
        <v>2.1000000000000001E-2</v>
      </c>
      <c r="E8" s="1">
        <v>1.41E-2</v>
      </c>
      <c r="F8">
        <f t="shared" si="2"/>
        <v>52.535609999999998</v>
      </c>
      <c r="G8">
        <f t="shared" si="3"/>
        <v>-0.76061000000000001</v>
      </c>
      <c r="H8">
        <f t="shared" si="4"/>
        <v>-39.959110322100003</v>
      </c>
      <c r="I8">
        <v>1</v>
      </c>
      <c r="J8">
        <f t="shared" si="5"/>
        <v>-2.9462640536020612</v>
      </c>
      <c r="K8">
        <f t="shared" si="6"/>
        <v>-0.41930057297601198</v>
      </c>
      <c r="L8">
        <v>1</v>
      </c>
      <c r="M8">
        <f t="shared" si="8"/>
        <v>0.40958613171856767</v>
      </c>
      <c r="N8">
        <f t="shared" si="11"/>
        <v>5.5162390499999998E-3</v>
      </c>
      <c r="O8">
        <f t="shared" si="9"/>
        <v>3.7037605049999997E-3</v>
      </c>
      <c r="P8">
        <f t="shared" si="10"/>
        <v>4.9444170244430669E-4</v>
      </c>
      <c r="V8">
        <v>-5.8</v>
      </c>
      <c r="W8">
        <f t="shared" si="12"/>
        <v>-0.30942000000000003</v>
      </c>
    </row>
    <row r="9" spans="1:23" x14ac:dyDescent="0.3">
      <c r="A9">
        <v>0.31512395000000004</v>
      </c>
      <c r="B9">
        <v>0.75124999999999997</v>
      </c>
      <c r="C9">
        <f t="shared" si="1"/>
        <v>0.23673686743750003</v>
      </c>
      <c r="D9" s="1">
        <v>2.1000000000000001E-2</v>
      </c>
      <c r="E9" s="1">
        <v>1.41E-2</v>
      </c>
      <c r="F9">
        <f t="shared" si="2"/>
        <v>63.02479000000001</v>
      </c>
      <c r="G9">
        <f t="shared" si="3"/>
        <v>-0.75124999999999997</v>
      </c>
      <c r="H9">
        <f t="shared" si="4"/>
        <v>-47.347373487500008</v>
      </c>
      <c r="I9">
        <v>1</v>
      </c>
      <c r="J9">
        <f t="shared" si="5"/>
        <v>-2.7642271379248111</v>
      </c>
      <c r="K9">
        <f t="shared" si="6"/>
        <v>-0.42866057297601201</v>
      </c>
      <c r="L9">
        <v>1</v>
      </c>
      <c r="M9">
        <f t="shared" si="8"/>
        <v>0.41597562745883915</v>
      </c>
      <c r="N9">
        <f t="shared" si="11"/>
        <v>6.6176029500000016E-3</v>
      </c>
      <c r="O9">
        <f t="shared" si="9"/>
        <v>4.4432476950000003E-3</v>
      </c>
      <c r="P9">
        <f t="shared" si="10"/>
        <v>1.6240948721728612E-3</v>
      </c>
      <c r="V9">
        <v>-5.7</v>
      </c>
      <c r="W9">
        <f t="shared" si="12"/>
        <v>-0.31293000000000004</v>
      </c>
    </row>
    <row r="10" spans="1:23" x14ac:dyDescent="0.3">
      <c r="A10">
        <v>0.36706060000000001</v>
      </c>
      <c r="B10">
        <v>0.74243000000000003</v>
      </c>
      <c r="C10">
        <f t="shared" si="1"/>
        <v>0.27251680125800004</v>
      </c>
      <c r="D10" s="1">
        <v>2.1000000000000001E-2</v>
      </c>
      <c r="E10" s="1">
        <v>1.41E-2</v>
      </c>
      <c r="F10">
        <f t="shared" si="2"/>
        <v>73.412120000000002</v>
      </c>
      <c r="G10">
        <f t="shared" si="3"/>
        <v>-0.74243000000000003</v>
      </c>
      <c r="H10">
        <f t="shared" si="4"/>
        <v>-54.503360251600007</v>
      </c>
      <c r="I10">
        <v>1</v>
      </c>
      <c r="J10">
        <f t="shared" si="5"/>
        <v>-2.6116662343771018</v>
      </c>
      <c r="K10">
        <f t="shared" si="6"/>
        <v>-0.43748057297601195</v>
      </c>
      <c r="L10">
        <v>1</v>
      </c>
      <c r="M10">
        <f t="shared" si="8"/>
        <v>0.42133051517336373</v>
      </c>
      <c r="N10">
        <f t="shared" si="11"/>
        <v>7.7082726000000006E-3</v>
      </c>
      <c r="O10">
        <f t="shared" si="9"/>
        <v>5.1755544600000005E-3</v>
      </c>
      <c r="P10">
        <f t="shared" si="10"/>
        <v>3.2662307426482209E-3</v>
      </c>
      <c r="V10">
        <v>-5.6</v>
      </c>
      <c r="W10">
        <f t="shared" si="12"/>
        <v>-0.31644000000000005</v>
      </c>
    </row>
    <row r="11" spans="1:23" x14ac:dyDescent="0.3">
      <c r="A11">
        <v>0.4174698</v>
      </c>
      <c r="B11">
        <v>0.73490999999999995</v>
      </c>
      <c r="C11">
        <f t="shared" si="1"/>
        <v>0.30680273071799996</v>
      </c>
      <c r="D11" s="1">
        <v>2.1000000000000001E-2</v>
      </c>
      <c r="E11" s="1">
        <v>1.41E-2</v>
      </c>
      <c r="F11">
        <f t="shared" si="2"/>
        <v>83.493960000000001</v>
      </c>
      <c r="G11">
        <f t="shared" si="3"/>
        <v>-0.73490999999999995</v>
      </c>
      <c r="H11">
        <f t="shared" si="4"/>
        <v>-61.36054614359999</v>
      </c>
      <c r="I11">
        <v>1</v>
      </c>
      <c r="J11">
        <f t="shared" si="5"/>
        <v>-2.4829809850709945</v>
      </c>
      <c r="K11">
        <f t="shared" si="6"/>
        <v>-0.44500057297601203</v>
      </c>
      <c r="L11">
        <v>1</v>
      </c>
      <c r="M11">
        <f t="shared" si="8"/>
        <v>0.42584736742400808</v>
      </c>
      <c r="N11">
        <f t="shared" si="11"/>
        <v>8.7668658000000007E-3</v>
      </c>
      <c r="O11">
        <f t="shared" si="9"/>
        <v>5.8863241800000002E-3</v>
      </c>
      <c r="P11">
        <f t="shared" si="10"/>
        <v>4.5000155720039481E-3</v>
      </c>
      <c r="V11">
        <v>-5.5</v>
      </c>
      <c r="W11">
        <f t="shared" si="12"/>
        <v>-0.31995000000000001</v>
      </c>
    </row>
    <row r="12" spans="1:23" x14ac:dyDescent="0.3">
      <c r="A12">
        <v>0.46838805</v>
      </c>
      <c r="B12">
        <v>0.72662000000000004</v>
      </c>
      <c r="C12">
        <f t="shared" si="1"/>
        <v>0.34034012489100002</v>
      </c>
      <c r="D12" s="1">
        <v>2.1000000000000001E-2</v>
      </c>
      <c r="E12" s="1">
        <v>1.41E-2</v>
      </c>
      <c r="F12">
        <f t="shared" si="2"/>
        <v>93.677610000000001</v>
      </c>
      <c r="G12">
        <f t="shared" si="3"/>
        <v>-0.72662000000000004</v>
      </c>
      <c r="H12">
        <f t="shared" si="4"/>
        <v>-68.0680249782</v>
      </c>
      <c r="I12">
        <v>1</v>
      </c>
      <c r="J12">
        <f t="shared" si="5"/>
        <v>-2.3678960724007005</v>
      </c>
      <c r="K12">
        <f t="shared" si="6"/>
        <v>-0.45329057297601194</v>
      </c>
      <c r="L12">
        <v>1</v>
      </c>
      <c r="M12">
        <f t="shared" si="8"/>
        <v>0.42988684785873543</v>
      </c>
      <c r="N12">
        <f t="shared" si="11"/>
        <v>9.8361490500000013E-3</v>
      </c>
      <c r="O12">
        <f t="shared" si="9"/>
        <v>6.6042715050000003E-3</v>
      </c>
      <c r="P12">
        <f t="shared" si="10"/>
        <v>6.9633045622765066E-3</v>
      </c>
      <c r="V12">
        <v>-5.4</v>
      </c>
      <c r="W12">
        <f t="shared" si="12"/>
        <v>-0.32345999999999997</v>
      </c>
    </row>
    <row r="13" spans="1:23" x14ac:dyDescent="0.3">
      <c r="A13">
        <v>0.51879730000000002</v>
      </c>
      <c r="B13">
        <v>0.72006999999999999</v>
      </c>
      <c r="C13">
        <f t="shared" si="1"/>
        <v>0.373570371811</v>
      </c>
      <c r="D13" s="1">
        <v>2.1000000000000001E-2</v>
      </c>
      <c r="E13" s="1">
        <v>1.41E-2</v>
      </c>
      <c r="F13">
        <f t="shared" si="2"/>
        <v>103.75946</v>
      </c>
      <c r="G13">
        <f t="shared" si="3"/>
        <v>-0.72006999999999999</v>
      </c>
      <c r="H13">
        <f t="shared" si="4"/>
        <v>-74.714074362199995</v>
      </c>
      <c r="I13">
        <v>1</v>
      </c>
      <c r="J13">
        <f t="shared" si="5"/>
        <v>-2.2656799433051473</v>
      </c>
      <c r="K13">
        <f t="shared" si="6"/>
        <v>-0.459840572976012</v>
      </c>
      <c r="L13">
        <v>1</v>
      </c>
      <c r="M13">
        <f t="shared" si="8"/>
        <v>0.43347463398998931</v>
      </c>
      <c r="N13">
        <f t="shared" si="11"/>
        <v>1.0894743300000001E-2</v>
      </c>
      <c r="O13">
        <f t="shared" si="9"/>
        <v>7.3150419300000002E-3</v>
      </c>
      <c r="P13">
        <f t="shared" si="10"/>
        <v>8.1561537560226847E-3</v>
      </c>
      <c r="V13">
        <v>-5.3</v>
      </c>
      <c r="W13">
        <f t="shared" si="12"/>
        <v>-0.32696999999999998</v>
      </c>
    </row>
    <row r="14" spans="1:23" x14ac:dyDescent="0.3">
      <c r="A14">
        <v>0.57022479999999998</v>
      </c>
      <c r="B14">
        <v>0.71340999999999999</v>
      </c>
      <c r="C14">
        <f t="shared" si="1"/>
        <v>0.406804074568</v>
      </c>
      <c r="D14" s="1">
        <v>2.1000000000000001E-2</v>
      </c>
      <c r="E14" s="1">
        <v>1.41E-2</v>
      </c>
      <c r="F14">
        <f t="shared" si="2"/>
        <v>114.04495999999999</v>
      </c>
      <c r="G14">
        <f t="shared" si="3"/>
        <v>-0.71340999999999999</v>
      </c>
      <c r="H14">
        <f t="shared" si="4"/>
        <v>-81.360814913599995</v>
      </c>
      <c r="I14">
        <v>1</v>
      </c>
      <c r="J14">
        <f t="shared" si="5"/>
        <v>-2.1711625223724327</v>
      </c>
      <c r="K14">
        <f t="shared" si="6"/>
        <v>-0.466500572976012</v>
      </c>
      <c r="L14">
        <v>1</v>
      </c>
      <c r="M14">
        <f t="shared" si="8"/>
        <v>0.43679219546472764</v>
      </c>
      <c r="N14">
        <f t="shared" si="11"/>
        <v>1.19747208E-2</v>
      </c>
      <c r="O14">
        <f t="shared" si="9"/>
        <v>8.0401696799999988E-3</v>
      </c>
      <c r="P14">
        <f t="shared" si="10"/>
        <v>9.6934870312843594E-3</v>
      </c>
      <c r="V14">
        <v>-5.2</v>
      </c>
      <c r="W14">
        <f t="shared" si="12"/>
        <v>-0.33048</v>
      </c>
    </row>
    <row r="15" spans="1:23" x14ac:dyDescent="0.3">
      <c r="A15">
        <v>0.62419825000000007</v>
      </c>
      <c r="B15">
        <v>0.70653999999999995</v>
      </c>
      <c r="C15">
        <f t="shared" si="1"/>
        <v>0.441021031555</v>
      </c>
      <c r="D15" s="1">
        <v>2.1000000000000001E-2</v>
      </c>
      <c r="E15" s="1">
        <v>1.41E-2</v>
      </c>
      <c r="F15">
        <f t="shared" si="2"/>
        <v>124.83965000000001</v>
      </c>
      <c r="G15">
        <f t="shared" si="3"/>
        <v>-0.70653999999999995</v>
      </c>
      <c r="H15">
        <f t="shared" si="4"/>
        <v>-88.204206310999993</v>
      </c>
      <c r="I15">
        <v>1</v>
      </c>
      <c r="J15">
        <f t="shared" si="5"/>
        <v>-2.0807251651720819</v>
      </c>
      <c r="K15">
        <f t="shared" si="6"/>
        <v>-0.47337057297601204</v>
      </c>
      <c r="L15">
        <v>1</v>
      </c>
      <c r="M15">
        <f t="shared" si="8"/>
        <v>0.43996654670245994</v>
      </c>
      <c r="N15">
        <f t="shared" si="11"/>
        <v>1.3108163250000002E-2</v>
      </c>
      <c r="O15">
        <f t="shared" si="9"/>
        <v>8.8011953250000004E-3</v>
      </c>
      <c r="P15">
        <f t="shared" si="10"/>
        <v>1.1494667698552098E-2</v>
      </c>
      <c r="V15">
        <v>-5.0999999999999996</v>
      </c>
      <c r="W15">
        <f t="shared" si="12"/>
        <v>-0.33399000000000001</v>
      </c>
    </row>
    <row r="16" spans="1:23" x14ac:dyDescent="0.3">
      <c r="A16">
        <v>0.67715325000000004</v>
      </c>
      <c r="B16">
        <v>0.70009999999999994</v>
      </c>
      <c r="C16">
        <f t="shared" si="1"/>
        <v>0.474074990325</v>
      </c>
      <c r="D16" s="1">
        <v>2.1000000000000001E-2</v>
      </c>
      <c r="E16" s="1">
        <v>1.41E-2</v>
      </c>
      <c r="F16">
        <f t="shared" si="2"/>
        <v>135.43065000000001</v>
      </c>
      <c r="G16">
        <f t="shared" si="3"/>
        <v>-0.70009999999999994</v>
      </c>
      <c r="H16">
        <f t="shared" si="4"/>
        <v>-94.814998064999997</v>
      </c>
      <c r="I16">
        <v>1</v>
      </c>
      <c r="J16">
        <f t="shared" si="5"/>
        <v>-1.9992955777989436</v>
      </c>
      <c r="K16">
        <f t="shared" si="6"/>
        <v>-0.47981057297601204</v>
      </c>
      <c r="L16">
        <v>1</v>
      </c>
      <c r="M16">
        <f t="shared" si="8"/>
        <v>0.44282472521925709</v>
      </c>
      <c r="N16">
        <f t="shared" si="11"/>
        <v>1.4220218250000001E-2</v>
      </c>
      <c r="O16">
        <f t="shared" si="9"/>
        <v>9.5478608250000006E-3</v>
      </c>
      <c r="P16">
        <f t="shared" si="10"/>
        <v>1.3217768681754952E-2</v>
      </c>
      <c r="V16">
        <v>-5</v>
      </c>
      <c r="W16">
        <f t="shared" si="12"/>
        <v>-0.33750000000000002</v>
      </c>
    </row>
    <row r="17" spans="1:23" x14ac:dyDescent="0.3">
      <c r="A17">
        <v>0.72858075</v>
      </c>
      <c r="B17">
        <v>0.69367000000000001</v>
      </c>
      <c r="C17">
        <f t="shared" si="1"/>
        <v>0.50539460885249998</v>
      </c>
      <c r="D17" s="1">
        <v>2.1000000000000001E-2</v>
      </c>
      <c r="E17" s="1">
        <v>1.41E-2</v>
      </c>
      <c r="F17">
        <f t="shared" si="2"/>
        <v>145.71615</v>
      </c>
      <c r="G17">
        <f t="shared" si="3"/>
        <v>-0.69367000000000001</v>
      </c>
      <c r="H17">
        <f t="shared" si="4"/>
        <v>-101.0789217705</v>
      </c>
      <c r="I17">
        <v>1</v>
      </c>
      <c r="J17">
        <f t="shared" si="5"/>
        <v>-1.9260947277233307</v>
      </c>
      <c r="K17">
        <f t="shared" si="6"/>
        <v>-0.48624057297601198</v>
      </c>
      <c r="L17">
        <v>1</v>
      </c>
      <c r="M17">
        <f t="shared" si="8"/>
        <v>0.44539407505691109</v>
      </c>
      <c r="N17">
        <f t="shared" si="11"/>
        <v>1.530019575E-2</v>
      </c>
      <c r="O17">
        <f t="shared" si="9"/>
        <v>1.0272988574999999E-2</v>
      </c>
      <c r="P17">
        <f t="shared" si="10"/>
        <v>1.5273313594100887E-2</v>
      </c>
      <c r="V17">
        <v>-4.9000000000000004</v>
      </c>
      <c r="W17">
        <f t="shared" si="12"/>
        <v>-0.34101000000000004</v>
      </c>
    </row>
    <row r="18" spans="1:23" x14ac:dyDescent="0.3">
      <c r="A18">
        <v>0.7794991</v>
      </c>
      <c r="B18">
        <v>0.68759999999999999</v>
      </c>
      <c r="C18">
        <f t="shared" si="1"/>
        <v>0.53598358116</v>
      </c>
      <c r="D18" s="1">
        <v>2.1000000000000001E-2</v>
      </c>
      <c r="E18" s="1">
        <v>1.41E-2</v>
      </c>
      <c r="F18">
        <f t="shared" si="2"/>
        <v>155.89982000000001</v>
      </c>
      <c r="G18">
        <f t="shared" si="3"/>
        <v>-0.68759999999999999</v>
      </c>
      <c r="H18">
        <f t="shared" si="4"/>
        <v>-107.196716232</v>
      </c>
      <c r="I18">
        <v>1</v>
      </c>
      <c r="J18">
        <f t="shared" si="5"/>
        <v>-1.8585416575053459</v>
      </c>
      <c r="K18">
        <f t="shared" si="6"/>
        <v>-0.492310572976012</v>
      </c>
      <c r="L18">
        <v>1</v>
      </c>
      <c r="M18">
        <f t="shared" si="8"/>
        <v>0.44776518782156238</v>
      </c>
      <c r="N18">
        <f t="shared" si="11"/>
        <v>1.63694811E-2</v>
      </c>
      <c r="O18">
        <f t="shared" si="9"/>
        <v>1.0990937310000001E-2</v>
      </c>
      <c r="P18">
        <f t="shared" si="10"/>
        <v>1.7184966744449613E-2</v>
      </c>
      <c r="V18">
        <v>-4.8</v>
      </c>
      <c r="W18">
        <f t="shared" si="12"/>
        <v>-0.34452000000000005</v>
      </c>
    </row>
    <row r="19" spans="1:23" x14ac:dyDescent="0.3">
      <c r="A19">
        <v>0.83500004999999999</v>
      </c>
      <c r="B19">
        <v>0.68272999999999995</v>
      </c>
      <c r="C19">
        <f t="shared" si="1"/>
        <v>0.57007958413649995</v>
      </c>
      <c r="D19" s="1">
        <v>2.1000000000000001E-2</v>
      </c>
      <c r="E19" s="1">
        <v>1.41E-2</v>
      </c>
      <c r="F19">
        <f t="shared" si="2"/>
        <v>167.00001</v>
      </c>
      <c r="G19">
        <f t="shared" si="3"/>
        <v>-0.68272999999999995</v>
      </c>
      <c r="H19">
        <f t="shared" si="4"/>
        <v>-114.01591682729999</v>
      </c>
      <c r="I19">
        <v>1</v>
      </c>
      <c r="J19">
        <f t="shared" si="5"/>
        <v>-1.7897614066851442</v>
      </c>
      <c r="K19">
        <f t="shared" si="6"/>
        <v>-0.49718057297601204</v>
      </c>
      <c r="L19">
        <v>1</v>
      </c>
      <c r="M19">
        <f t="shared" si="8"/>
        <v>0.45017937462535146</v>
      </c>
      <c r="N19">
        <f t="shared" si="11"/>
        <v>1.7535001050000002E-2</v>
      </c>
      <c r="O19">
        <f t="shared" si="9"/>
        <v>1.1773500705E-2</v>
      </c>
      <c r="P19">
        <f t="shared" si="10"/>
        <v>1.7692696595660577E-2</v>
      </c>
      <c r="V19">
        <v>-4.7</v>
      </c>
      <c r="W19">
        <f t="shared" si="12"/>
        <v>-0.34803000000000001</v>
      </c>
    </row>
    <row r="20" spans="1:23" x14ac:dyDescent="0.3">
      <c r="A20">
        <v>0.88795514999999992</v>
      </c>
      <c r="B20">
        <v>0.67635000000000001</v>
      </c>
      <c r="C20">
        <f t="shared" si="1"/>
        <v>0.6005684657025</v>
      </c>
      <c r="D20" s="1">
        <v>2.1000000000000001E-2</v>
      </c>
      <c r="E20" s="1">
        <v>1.41E-2</v>
      </c>
      <c r="F20">
        <f t="shared" si="2"/>
        <v>177.59102999999999</v>
      </c>
      <c r="G20">
        <f t="shared" si="3"/>
        <v>-0.67635000000000001</v>
      </c>
      <c r="H20">
        <f t="shared" si="4"/>
        <v>-120.1136931405</v>
      </c>
      <c r="I20">
        <v>1</v>
      </c>
      <c r="J20">
        <f t="shared" si="5"/>
        <v>-1.7282719564563334</v>
      </c>
      <c r="K20">
        <f t="shared" si="6"/>
        <v>-0.50356057297601198</v>
      </c>
      <c r="L20">
        <v>1</v>
      </c>
      <c r="M20">
        <f t="shared" si="8"/>
        <v>0.45233765432838269</v>
      </c>
      <c r="N20">
        <f t="shared" si="11"/>
        <v>1.864705815E-2</v>
      </c>
      <c r="O20">
        <f t="shared" si="9"/>
        <v>1.2520167614999999E-2</v>
      </c>
      <c r="P20">
        <f t="shared" si="10"/>
        <v>2.0055692882629289E-2</v>
      </c>
      <c r="V20">
        <v>-4.5999999999999996</v>
      </c>
      <c r="W20">
        <f t="shared" si="12"/>
        <v>-0.35154000000000002</v>
      </c>
    </row>
    <row r="21" spans="1:23" x14ac:dyDescent="0.3">
      <c r="A21">
        <v>0.94294690000000003</v>
      </c>
      <c r="B21">
        <v>0.67042999999999997</v>
      </c>
      <c r="C21">
        <f t="shared" si="1"/>
        <v>0.63217989016700005</v>
      </c>
      <c r="D21" s="1">
        <v>2.1000000000000001E-2</v>
      </c>
      <c r="E21" s="1">
        <v>1.41E-2</v>
      </c>
      <c r="F21">
        <f t="shared" si="2"/>
        <v>188.58938000000001</v>
      </c>
      <c r="G21">
        <f t="shared" si="3"/>
        <v>-0.67042999999999997</v>
      </c>
      <c r="H21">
        <f t="shared" si="4"/>
        <v>-126.4359780334</v>
      </c>
      <c r="I21">
        <v>1</v>
      </c>
      <c r="J21">
        <f t="shared" si="5"/>
        <v>-1.6681832200182809</v>
      </c>
      <c r="K21">
        <f t="shared" si="6"/>
        <v>-0.50948057297601201</v>
      </c>
      <c r="L21">
        <v>1</v>
      </c>
      <c r="M21">
        <f t="shared" si="8"/>
        <v>0.45444676897735836</v>
      </c>
      <c r="N21">
        <f t="shared" si="11"/>
        <v>1.98018849E-2</v>
      </c>
      <c r="O21">
        <f t="shared" si="9"/>
        <v>1.3295551290000001E-2</v>
      </c>
      <c r="P21">
        <f t="shared" si="10"/>
        <v>2.1936367808653656E-2</v>
      </c>
      <c r="V21">
        <v>-4.5000000000000098</v>
      </c>
      <c r="W21">
        <f t="shared" si="12"/>
        <v>-0.35504999999999964</v>
      </c>
    </row>
    <row r="22" spans="1:23" x14ac:dyDescent="0.3">
      <c r="A22">
        <v>0.99386525000000003</v>
      </c>
      <c r="B22">
        <v>0.66512000000000004</v>
      </c>
      <c r="C22">
        <f t="shared" si="1"/>
        <v>0.66103965508000007</v>
      </c>
      <c r="D22" s="1">
        <v>2.1000000000000001E-2</v>
      </c>
      <c r="E22" s="1">
        <v>1.41E-2</v>
      </c>
      <c r="F22">
        <f t="shared" si="2"/>
        <v>198.77305000000001</v>
      </c>
      <c r="G22">
        <f t="shared" si="3"/>
        <v>-0.66512000000000004</v>
      </c>
      <c r="H22">
        <f t="shared" si="4"/>
        <v>-132.207931016</v>
      </c>
      <c r="I22">
        <v>1</v>
      </c>
      <c r="J22">
        <f t="shared" si="5"/>
        <v>-1.6155915573294906</v>
      </c>
      <c r="K22">
        <f t="shared" si="6"/>
        <v>-0.51479057297601194</v>
      </c>
      <c r="L22">
        <v>1</v>
      </c>
      <c r="M22">
        <f t="shared" si="8"/>
        <v>0.45629273633773487</v>
      </c>
      <c r="N22">
        <f t="shared" si="11"/>
        <v>2.0871170250000001E-2</v>
      </c>
      <c r="O22">
        <f t="shared" si="9"/>
        <v>1.4013500025E-2</v>
      </c>
      <c r="P22">
        <f t="shared" si="10"/>
        <v>2.3613166363277066E-2</v>
      </c>
      <c r="V22">
        <v>-4.4000000000000101</v>
      </c>
      <c r="W22">
        <f t="shared" si="12"/>
        <v>-0.35855999999999966</v>
      </c>
    </row>
    <row r="23" spans="1:23" x14ac:dyDescent="0.3">
      <c r="A23">
        <v>1.0483479</v>
      </c>
      <c r="B23">
        <v>0.65993000000000002</v>
      </c>
      <c r="C23">
        <f t="shared" si="1"/>
        <v>0.69183622964699998</v>
      </c>
      <c r="D23" s="1">
        <v>2.1000000000000001E-2</v>
      </c>
      <c r="E23" s="1">
        <v>1.41E-2</v>
      </c>
      <c r="F23">
        <f t="shared" si="2"/>
        <v>209.66958</v>
      </c>
      <c r="G23">
        <f t="shared" si="3"/>
        <v>-0.65993000000000002</v>
      </c>
      <c r="H23">
        <f t="shared" si="4"/>
        <v>-138.36724592939999</v>
      </c>
      <c r="I23">
        <v>1</v>
      </c>
      <c r="J23">
        <f t="shared" si="5"/>
        <v>-1.5622224159747997</v>
      </c>
      <c r="K23">
        <f t="shared" si="6"/>
        <v>-0.51998057297601197</v>
      </c>
      <c r="L23">
        <v>1</v>
      </c>
      <c r="M23">
        <f t="shared" si="8"/>
        <v>0.45816599319928453</v>
      </c>
      <c r="N23">
        <f t="shared" si="11"/>
        <v>2.2015305900000001E-2</v>
      </c>
      <c r="O23">
        <f t="shared" si="9"/>
        <v>1.478170539E-2</v>
      </c>
      <c r="P23">
        <f t="shared" si="10"/>
        <v>2.5017568486727437E-2</v>
      </c>
      <c r="V23">
        <v>-4.3000000000000096</v>
      </c>
      <c r="W23">
        <f t="shared" si="12"/>
        <v>-0.36206999999999967</v>
      </c>
    </row>
    <row r="24" spans="1:23" x14ac:dyDescent="0.3">
      <c r="A24">
        <v>1.0987571</v>
      </c>
      <c r="B24">
        <v>0.65434999999999999</v>
      </c>
      <c r="C24">
        <f t="shared" si="1"/>
        <v>0.71897170838500002</v>
      </c>
      <c r="D24" s="1">
        <v>2.1000000000000001E-2</v>
      </c>
      <c r="E24" s="1">
        <v>1.41E-2</v>
      </c>
      <c r="F24">
        <f t="shared" si="2"/>
        <v>219.75142</v>
      </c>
      <c r="G24">
        <f t="shared" si="3"/>
        <v>-0.65434999999999999</v>
      </c>
      <c r="H24">
        <f t="shared" si="4"/>
        <v>-143.79434167700001</v>
      </c>
      <c r="I24">
        <v>1</v>
      </c>
      <c r="J24">
        <f t="shared" si="5"/>
        <v>-1.515258280549219</v>
      </c>
      <c r="K24">
        <f t="shared" si="6"/>
        <v>-0.525560572976012</v>
      </c>
      <c r="L24">
        <v>1</v>
      </c>
      <c r="M24">
        <f t="shared" si="8"/>
        <v>0.4598144343527224</v>
      </c>
      <c r="N24">
        <f t="shared" si="11"/>
        <v>2.3073899100000003E-2</v>
      </c>
      <c r="O24">
        <f t="shared" si="9"/>
        <v>1.5492475110000001E-2</v>
      </c>
      <c r="P24">
        <f t="shared" si="10"/>
        <v>2.7179764413289592E-2</v>
      </c>
      <c r="V24">
        <v>-4.2000000000000099</v>
      </c>
      <c r="W24">
        <f t="shared" si="12"/>
        <v>-0.36557999999999968</v>
      </c>
    </row>
    <row r="25" spans="1:23" x14ac:dyDescent="0.3">
      <c r="A25">
        <v>1.1506937000000002</v>
      </c>
      <c r="B25">
        <v>0.64981</v>
      </c>
      <c r="C25">
        <f t="shared" si="1"/>
        <v>0.74773227319700009</v>
      </c>
      <c r="D25" s="1">
        <v>2.1000000000000001E-2</v>
      </c>
      <c r="E25" s="1">
        <v>1.41E-2</v>
      </c>
      <c r="F25">
        <f t="shared" si="2"/>
        <v>230.13874000000004</v>
      </c>
      <c r="G25">
        <f t="shared" si="3"/>
        <v>-0.64981</v>
      </c>
      <c r="H25">
        <f t="shared" si="4"/>
        <v>-149.54645463940003</v>
      </c>
      <c r="I25">
        <v>1</v>
      </c>
      <c r="J25">
        <f t="shared" si="5"/>
        <v>-1.4690729345301163</v>
      </c>
      <c r="K25">
        <f t="shared" si="6"/>
        <v>-0.53010057297601199</v>
      </c>
      <c r="L25">
        <v>1</v>
      </c>
      <c r="M25">
        <f t="shared" si="8"/>
        <v>0.46143553999799292</v>
      </c>
      <c r="N25">
        <f t="shared" si="11"/>
        <v>2.4164567700000004E-2</v>
      </c>
      <c r="O25">
        <f t="shared" si="9"/>
        <v>1.6224781170000001E-2</v>
      </c>
      <c r="P25">
        <f t="shared" si="10"/>
        <v>2.8275684108019068E-2</v>
      </c>
      <c r="V25">
        <v>-4.1000000000000103</v>
      </c>
      <c r="W25">
        <f t="shared" si="12"/>
        <v>-0.36908999999999964</v>
      </c>
    </row>
    <row r="26" spans="1:23" x14ac:dyDescent="0.3">
      <c r="A26">
        <v>1.2021212999999999</v>
      </c>
      <c r="B26">
        <v>0.64459999999999995</v>
      </c>
      <c r="C26">
        <f t="shared" si="1"/>
        <v>0.77488738997999995</v>
      </c>
      <c r="D26" s="1">
        <v>2.1000000000000001E-2</v>
      </c>
      <c r="E26" s="1">
        <v>1.41E-2</v>
      </c>
      <c r="F26">
        <f t="shared" si="2"/>
        <v>240.42426</v>
      </c>
      <c r="G26">
        <f t="shared" si="3"/>
        <v>-0.64459999999999995</v>
      </c>
      <c r="H26">
        <f t="shared" si="4"/>
        <v>-154.977477996</v>
      </c>
      <c r="I26">
        <v>1</v>
      </c>
      <c r="J26">
        <f t="shared" si="5"/>
        <v>-1.425350166271244</v>
      </c>
      <c r="K26">
        <f t="shared" si="6"/>
        <v>-0.53531057297601203</v>
      </c>
      <c r="L26">
        <v>1</v>
      </c>
      <c r="M26">
        <f t="shared" si="8"/>
        <v>0.46297020916387932</v>
      </c>
      <c r="N26">
        <f t="shared" si="11"/>
        <v>2.52445473E-2</v>
      </c>
      <c r="O26">
        <f t="shared" si="9"/>
        <v>1.6949910329999998E-2</v>
      </c>
      <c r="P26">
        <f t="shared" si="10"/>
        <v>3.0145906182132712E-2</v>
      </c>
      <c r="V26">
        <v>-4.0000000000000098</v>
      </c>
      <c r="W26">
        <f t="shared" si="12"/>
        <v>-0.37259999999999971</v>
      </c>
    </row>
    <row r="27" spans="1:23" x14ac:dyDescent="0.3">
      <c r="A27">
        <v>1.2530396000000001</v>
      </c>
      <c r="B27">
        <v>0.64015</v>
      </c>
      <c r="C27">
        <f t="shared" si="1"/>
        <v>0.80213329994000004</v>
      </c>
      <c r="D27" s="1">
        <v>2.1000000000000001E-2</v>
      </c>
      <c r="E27" s="1">
        <v>1.41E-2</v>
      </c>
      <c r="F27">
        <f t="shared" si="2"/>
        <v>250.60792000000004</v>
      </c>
      <c r="G27">
        <f t="shared" si="3"/>
        <v>-0.64015</v>
      </c>
      <c r="H27">
        <f t="shared" si="4"/>
        <v>-160.42665998800001</v>
      </c>
      <c r="I27">
        <v>1</v>
      </c>
      <c r="J27">
        <f t="shared" si="5"/>
        <v>-1.3838656328695298</v>
      </c>
      <c r="K27">
        <f t="shared" si="6"/>
        <v>-0.53976057297601199</v>
      </c>
      <c r="L27">
        <v>1</v>
      </c>
      <c r="M27">
        <f t="shared" si="8"/>
        <v>0.46442631628627951</v>
      </c>
      <c r="N27">
        <f t="shared" si="11"/>
        <v>2.6313831600000004E-2</v>
      </c>
      <c r="O27">
        <f t="shared" si="9"/>
        <v>1.766785836E-2</v>
      </c>
      <c r="P27">
        <f t="shared" si="10"/>
        <v>3.1352566729732481E-2</v>
      </c>
      <c r="V27">
        <v>-3.9000000000000101</v>
      </c>
      <c r="W27">
        <f t="shared" si="12"/>
        <v>-0.37610999999999967</v>
      </c>
    </row>
    <row r="28" spans="1:23" x14ac:dyDescent="0.3">
      <c r="A28">
        <v>1.3039579000000001</v>
      </c>
      <c r="B28">
        <v>0.63534000000000002</v>
      </c>
      <c r="C28">
        <f t="shared" si="1"/>
        <v>0.82845661218600009</v>
      </c>
      <c r="D28" s="1">
        <v>2.1000000000000001E-2</v>
      </c>
      <c r="E28" s="1">
        <v>1.41E-2</v>
      </c>
      <c r="F28">
        <f t="shared" si="2"/>
        <v>260.79158000000001</v>
      </c>
      <c r="G28">
        <f t="shared" si="3"/>
        <v>-0.63534000000000002</v>
      </c>
      <c r="H28">
        <f t="shared" si="4"/>
        <v>-165.69132243720003</v>
      </c>
      <c r="I28">
        <v>1</v>
      </c>
      <c r="J28">
        <f t="shared" si="5"/>
        <v>-1.3440337347268934</v>
      </c>
      <c r="K28">
        <f t="shared" si="6"/>
        <v>-0.54457057297601197</v>
      </c>
      <c r="L28">
        <v>1</v>
      </c>
      <c r="M28">
        <f t="shared" si="8"/>
        <v>0.46582441591108603</v>
      </c>
      <c r="N28">
        <f t="shared" si="11"/>
        <v>2.7383115900000005E-2</v>
      </c>
      <c r="O28">
        <f t="shared" si="9"/>
        <v>1.8385806390000002E-2</v>
      </c>
      <c r="P28">
        <f t="shared" si="10"/>
        <v>3.297723477492593E-2</v>
      </c>
      <c r="V28">
        <v>-3.80000000000001</v>
      </c>
      <c r="W28">
        <f t="shared" si="12"/>
        <v>-0.37961999999999962</v>
      </c>
    </row>
    <row r="29" spans="1:23" x14ac:dyDescent="0.3">
      <c r="A29">
        <v>1.3553854000000001</v>
      </c>
      <c r="B29">
        <v>0.63053000000000003</v>
      </c>
      <c r="C29">
        <f t="shared" si="1"/>
        <v>0.85461115626200013</v>
      </c>
      <c r="D29" s="1">
        <v>2.1000000000000001E-2</v>
      </c>
      <c r="E29" s="1">
        <v>1.41E-2</v>
      </c>
      <c r="F29">
        <f t="shared" si="2"/>
        <v>271.07708000000002</v>
      </c>
      <c r="G29">
        <f t="shared" si="3"/>
        <v>-0.63053000000000003</v>
      </c>
      <c r="H29">
        <f t="shared" si="4"/>
        <v>-170.92223125240002</v>
      </c>
      <c r="I29">
        <v>1</v>
      </c>
      <c r="J29">
        <f t="shared" si="5"/>
        <v>-1.3053520705001433</v>
      </c>
      <c r="K29">
        <f t="shared" si="6"/>
        <v>-0.54938057297601195</v>
      </c>
      <c r="L29">
        <v>1</v>
      </c>
      <c r="M29">
        <f t="shared" si="8"/>
        <v>0.46718214232544497</v>
      </c>
      <c r="N29">
        <f t="shared" si="11"/>
        <v>2.8463093400000004E-2</v>
      </c>
      <c r="O29">
        <f t="shared" si="9"/>
        <v>1.9110934140000001E-2</v>
      </c>
      <c r="P29">
        <f t="shared" si="10"/>
        <v>3.4624403110566977E-2</v>
      </c>
      <c r="V29">
        <v>-3.7000000000000099</v>
      </c>
      <c r="W29">
        <f t="shared" si="12"/>
        <v>-0.38312999999999964</v>
      </c>
    </row>
    <row r="30" spans="1:23" x14ac:dyDescent="0.3">
      <c r="A30">
        <v>1.4057946000000001</v>
      </c>
      <c r="B30">
        <v>0.62624999999999997</v>
      </c>
      <c r="C30">
        <f t="shared" si="1"/>
        <v>0.88037886825</v>
      </c>
      <c r="D30" s="1">
        <v>2.1000000000000001E-2</v>
      </c>
      <c r="E30" s="1">
        <v>1.41E-2</v>
      </c>
      <c r="F30">
        <f t="shared" si="2"/>
        <v>281.15892000000002</v>
      </c>
      <c r="G30">
        <f t="shared" si="3"/>
        <v>-0.62624999999999997</v>
      </c>
      <c r="H30">
        <f t="shared" si="4"/>
        <v>-176.07577365</v>
      </c>
      <c r="I30">
        <v>1</v>
      </c>
      <c r="J30">
        <f t="shared" si="5"/>
        <v>-1.2688352179110032</v>
      </c>
      <c r="K30">
        <f t="shared" si="6"/>
        <v>-0.55366057297601201</v>
      </c>
      <c r="L30">
        <v>1</v>
      </c>
      <c r="M30">
        <f t="shared" si="8"/>
        <v>0.46846388385132381</v>
      </c>
      <c r="N30">
        <f t="shared" si="11"/>
        <v>2.9521686600000003E-2</v>
      </c>
      <c r="O30">
        <f t="shared" si="9"/>
        <v>1.9821703860000001E-2</v>
      </c>
      <c r="P30">
        <f t="shared" si="10"/>
        <v>3.5853298664688199E-2</v>
      </c>
      <c r="V30">
        <v>-3.6000000000000099</v>
      </c>
      <c r="W30">
        <f t="shared" si="12"/>
        <v>-0.38663999999999965</v>
      </c>
    </row>
    <row r="31" spans="1:23" x14ac:dyDescent="0.3">
      <c r="A31">
        <v>1.4562036</v>
      </c>
      <c r="B31">
        <v>0.62163000000000002</v>
      </c>
      <c r="C31">
        <f t="shared" si="1"/>
        <v>0.90521984386800003</v>
      </c>
      <c r="D31" s="1">
        <v>2.1000000000000001E-2</v>
      </c>
      <c r="E31" s="1">
        <v>1.41E-2</v>
      </c>
      <c r="F31">
        <f t="shared" si="2"/>
        <v>291.24072000000001</v>
      </c>
      <c r="G31">
        <f t="shared" si="3"/>
        <v>-0.62163000000000002</v>
      </c>
      <c r="H31">
        <f t="shared" si="4"/>
        <v>-181.0439687736</v>
      </c>
      <c r="I31">
        <v>1</v>
      </c>
      <c r="J31">
        <f t="shared" si="5"/>
        <v>-1.2336051372707963</v>
      </c>
      <c r="K31">
        <f t="shared" si="6"/>
        <v>-0.55828057297601197</v>
      </c>
      <c r="L31">
        <v>1</v>
      </c>
      <c r="M31">
        <f t="shared" si="8"/>
        <v>0.46970045968179508</v>
      </c>
      <c r="N31">
        <f t="shared" si="11"/>
        <v>3.0580275600000002E-2</v>
      </c>
      <c r="O31">
        <f t="shared" si="9"/>
        <v>2.0532470760000001E-2</v>
      </c>
      <c r="P31">
        <f t="shared" si="10"/>
        <v>3.7467366934216886E-2</v>
      </c>
      <c r="V31">
        <v>-3.5000000000000102</v>
      </c>
      <c r="W31">
        <f t="shared" si="12"/>
        <v>-0.39014999999999966</v>
      </c>
    </row>
    <row r="32" spans="1:23" x14ac:dyDescent="0.3">
      <c r="A32">
        <v>1.5081404</v>
      </c>
      <c r="B32">
        <v>0.61765999999999999</v>
      </c>
      <c r="C32">
        <f t="shared" si="1"/>
        <v>0.93151799946400005</v>
      </c>
      <c r="D32" s="1">
        <v>2.1000000000000001E-2</v>
      </c>
      <c r="E32" s="1">
        <v>1.41E-2</v>
      </c>
      <c r="F32">
        <f t="shared" si="2"/>
        <v>301.62808000000001</v>
      </c>
      <c r="G32">
        <f t="shared" si="3"/>
        <v>-0.61765999999999999</v>
      </c>
      <c r="H32">
        <f t="shared" si="4"/>
        <v>-186.30359989280001</v>
      </c>
      <c r="I32">
        <v>1</v>
      </c>
      <c r="J32">
        <f t="shared" si="5"/>
        <v>-1.1985605437339171</v>
      </c>
      <c r="K32">
        <f t="shared" si="6"/>
        <v>-0.562250572976012</v>
      </c>
      <c r="L32">
        <v>1</v>
      </c>
      <c r="M32">
        <f t="shared" si="8"/>
        <v>0.47093052491493953</v>
      </c>
      <c r="N32">
        <f t="shared" si="11"/>
        <v>3.1670948400000003E-2</v>
      </c>
      <c r="O32">
        <f t="shared" si="9"/>
        <v>2.1264779640000002E-2</v>
      </c>
      <c r="P32">
        <f t="shared" si="10"/>
        <v>3.8384320021072463E-2</v>
      </c>
      <c r="V32">
        <v>-3.4000000000000101</v>
      </c>
      <c r="W32">
        <f t="shared" si="12"/>
        <v>-0.39365999999999968</v>
      </c>
    </row>
    <row r="33" spans="1:23" x14ac:dyDescent="0.3">
      <c r="A33">
        <v>1.5585496000000001</v>
      </c>
      <c r="B33">
        <v>0.61321000000000003</v>
      </c>
      <c r="C33">
        <f t="shared" si="1"/>
        <v>0.95571820021600007</v>
      </c>
      <c r="D33" s="1">
        <v>2.1000000000000001E-2</v>
      </c>
      <c r="E33" s="1">
        <v>1.41E-2</v>
      </c>
      <c r="F33">
        <f t="shared" si="2"/>
        <v>311.70992000000001</v>
      </c>
      <c r="G33">
        <f t="shared" si="3"/>
        <v>-0.61321000000000003</v>
      </c>
      <c r="H33">
        <f t="shared" si="4"/>
        <v>-191.14364004320001</v>
      </c>
      <c r="I33">
        <v>1</v>
      </c>
      <c r="J33">
        <f t="shared" si="5"/>
        <v>-1.1656822672420537</v>
      </c>
      <c r="K33">
        <f t="shared" si="6"/>
        <v>-0.56670057297601195</v>
      </c>
      <c r="L33">
        <v>1</v>
      </c>
      <c r="M33">
        <f t="shared" si="8"/>
        <v>0.4720845524198039</v>
      </c>
      <c r="N33">
        <f t="shared" si="11"/>
        <v>3.2729541600000002E-2</v>
      </c>
      <c r="O33">
        <f t="shared" si="9"/>
        <v>2.1975549360000003E-2</v>
      </c>
      <c r="P33">
        <f t="shared" si="10"/>
        <v>3.9910929596208039E-2</v>
      </c>
      <c r="V33">
        <v>-3.30000000000001</v>
      </c>
      <c r="W33">
        <f t="shared" si="12"/>
        <v>-0.39716999999999969</v>
      </c>
    </row>
    <row r="34" spans="1:23" x14ac:dyDescent="0.3">
      <c r="A34">
        <v>1.6120137999999999</v>
      </c>
      <c r="B34">
        <v>0.60843999999999998</v>
      </c>
      <c r="C34">
        <f t="shared" si="1"/>
        <v>0.98081367647199991</v>
      </c>
      <c r="D34" s="1">
        <v>2.1000000000000001E-2</v>
      </c>
      <c r="E34" s="1">
        <v>1.41E-2</v>
      </c>
      <c r="F34">
        <f t="shared" si="2"/>
        <v>322.40276</v>
      </c>
      <c r="G34">
        <f t="shared" si="3"/>
        <v>-0.60843999999999998</v>
      </c>
      <c r="H34">
        <f t="shared" si="4"/>
        <v>-196.16273529439999</v>
      </c>
      <c r="I34">
        <v>1</v>
      </c>
      <c r="J34">
        <f t="shared" si="5"/>
        <v>-1.1319537075922625</v>
      </c>
      <c r="K34">
        <f t="shared" si="6"/>
        <v>-0.571470572976012</v>
      </c>
      <c r="L34">
        <v>1</v>
      </c>
      <c r="M34">
        <f t="shared" si="8"/>
        <v>0.47326842486351162</v>
      </c>
      <c r="N34">
        <f t="shared" si="11"/>
        <v>3.3852289799999997E-2</v>
      </c>
      <c r="O34">
        <f t="shared" si="9"/>
        <v>2.2729394579999999E-2</v>
      </c>
      <c r="P34">
        <f t="shared" si="10"/>
        <v>4.1620463732500397E-2</v>
      </c>
      <c r="V34">
        <v>-3.2000000000000099</v>
      </c>
      <c r="W34">
        <f t="shared" si="12"/>
        <v>-0.40067999999999965</v>
      </c>
    </row>
    <row r="35" spans="1:23" x14ac:dyDescent="0.3">
      <c r="A35">
        <v>1.662423</v>
      </c>
      <c r="B35">
        <v>0.60441</v>
      </c>
      <c r="C35">
        <f t="shared" si="1"/>
        <v>1.00478508543</v>
      </c>
      <c r="D35" s="1">
        <v>2.1000000000000001E-2</v>
      </c>
      <c r="E35" s="1">
        <v>1.41E-2</v>
      </c>
      <c r="F35">
        <f t="shared" si="2"/>
        <v>332.4846</v>
      </c>
      <c r="G35">
        <f t="shared" si="3"/>
        <v>-0.60441</v>
      </c>
      <c r="H35">
        <f t="shared" si="4"/>
        <v>-200.95701708600001</v>
      </c>
      <c r="I35">
        <v>1</v>
      </c>
      <c r="J35">
        <f t="shared" si="5"/>
        <v>-1.1011617357483112</v>
      </c>
      <c r="K35">
        <f t="shared" si="6"/>
        <v>-0.57550057297601198</v>
      </c>
      <c r="L35">
        <v>1</v>
      </c>
      <c r="M35">
        <f t="shared" si="8"/>
        <v>0.47434922307523431</v>
      </c>
      <c r="N35">
        <f t="shared" si="11"/>
        <v>3.4910883000000004E-2</v>
      </c>
      <c r="O35">
        <f t="shared" si="9"/>
        <v>2.34401643E-2</v>
      </c>
      <c r="P35">
        <f t="shared" si="10"/>
        <v>4.2800302600777676E-2</v>
      </c>
      <c r="V35">
        <v>-3.1000000000000099</v>
      </c>
      <c r="W35">
        <f t="shared" si="12"/>
        <v>-0.40418999999999966</v>
      </c>
    </row>
    <row r="36" spans="1:23" x14ac:dyDescent="0.3">
      <c r="A36">
        <v>1.7128319999999999</v>
      </c>
      <c r="B36">
        <v>0.60013000000000005</v>
      </c>
      <c r="C36">
        <f t="shared" si="1"/>
        <v>1.02792186816</v>
      </c>
      <c r="D36" s="1">
        <v>2.1000000000000001E-2</v>
      </c>
      <c r="E36" s="1">
        <v>1.41E-2</v>
      </c>
      <c r="F36">
        <f t="shared" si="2"/>
        <v>342.56639999999999</v>
      </c>
      <c r="G36">
        <f t="shared" si="3"/>
        <v>-0.60013000000000005</v>
      </c>
      <c r="H36">
        <f t="shared" si="4"/>
        <v>-205.58437363199999</v>
      </c>
      <c r="I36">
        <v>1</v>
      </c>
      <c r="J36">
        <f t="shared" si="5"/>
        <v>-1.0712897714568095</v>
      </c>
      <c r="K36">
        <f t="shared" si="6"/>
        <v>-0.57978057297601193</v>
      </c>
      <c r="L36">
        <v>1</v>
      </c>
      <c r="M36">
        <f t="shared" si="8"/>
        <v>0.475397729021866</v>
      </c>
      <c r="N36">
        <f t="shared" si="11"/>
        <v>3.5969472000000002E-2</v>
      </c>
      <c r="O36">
        <f t="shared" si="9"/>
        <v>2.41509312E-2</v>
      </c>
      <c r="P36">
        <f t="shared" si="10"/>
        <v>4.4262440754145926E-2</v>
      </c>
      <c r="V36">
        <v>-3.0000000000000102</v>
      </c>
      <c r="W36">
        <f t="shared" si="12"/>
        <v>-0.40769999999999967</v>
      </c>
    </row>
    <row r="37" spans="1:23" x14ac:dyDescent="0.3">
      <c r="A37">
        <v>1.7673146</v>
      </c>
      <c r="B37">
        <v>0.59604000000000001</v>
      </c>
      <c r="C37">
        <f t="shared" si="1"/>
        <v>1.053390194184</v>
      </c>
      <c r="D37" s="1">
        <v>2.1000000000000001E-2</v>
      </c>
      <c r="E37" s="1">
        <v>1.41E-2</v>
      </c>
      <c r="F37">
        <f t="shared" si="2"/>
        <v>353.46292</v>
      </c>
      <c r="G37">
        <f t="shared" si="3"/>
        <v>-0.59604000000000001</v>
      </c>
      <c r="H37">
        <f t="shared" si="4"/>
        <v>-210.6780388368</v>
      </c>
      <c r="I37">
        <v>1</v>
      </c>
      <c r="J37">
        <f t="shared" si="5"/>
        <v>-1.0399766930652246</v>
      </c>
      <c r="K37">
        <f t="shared" si="6"/>
        <v>-0.58387057297601197</v>
      </c>
      <c r="L37">
        <v>1</v>
      </c>
      <c r="M37">
        <f t="shared" si="8"/>
        <v>0.4764968180734106</v>
      </c>
      <c r="N37">
        <f t="shared" si="11"/>
        <v>3.7113606600000001E-2</v>
      </c>
      <c r="O37">
        <f t="shared" si="9"/>
        <v>2.491913586E-2</v>
      </c>
      <c r="P37">
        <f t="shared" si="10"/>
        <v>4.5341012442601372E-2</v>
      </c>
      <c r="V37">
        <v>-2.9000000000000101</v>
      </c>
      <c r="W37">
        <f t="shared" si="12"/>
        <v>-0.41120999999999963</v>
      </c>
    </row>
    <row r="38" spans="1:23" x14ac:dyDescent="0.3">
      <c r="A38">
        <v>1.8177238</v>
      </c>
      <c r="B38">
        <v>0.59184000000000003</v>
      </c>
      <c r="C38">
        <f t="shared" si="1"/>
        <v>1.0758016537920001</v>
      </c>
      <c r="D38" s="1">
        <v>2.1000000000000001E-2</v>
      </c>
      <c r="E38" s="1">
        <v>1.41E-2</v>
      </c>
      <c r="F38">
        <f t="shared" si="2"/>
        <v>363.54476</v>
      </c>
      <c r="G38">
        <f t="shared" si="3"/>
        <v>-0.59184000000000003</v>
      </c>
      <c r="H38">
        <f t="shared" si="4"/>
        <v>-215.16033075840002</v>
      </c>
      <c r="I38">
        <v>1</v>
      </c>
      <c r="J38">
        <f t="shared" si="5"/>
        <v>-1.0118528534131335</v>
      </c>
      <c r="K38">
        <f t="shared" si="6"/>
        <v>-0.58807057297601195</v>
      </c>
      <c r="L38">
        <v>1</v>
      </c>
      <c r="M38">
        <f t="shared" si="8"/>
        <v>0.477483964845199</v>
      </c>
      <c r="N38">
        <f t="shared" si="11"/>
        <v>3.8172199800000001E-2</v>
      </c>
      <c r="O38">
        <f t="shared" si="9"/>
        <v>2.5629905580000001E-2</v>
      </c>
      <c r="P38">
        <f t="shared" si="10"/>
        <v>4.6784502750812945E-2</v>
      </c>
      <c r="V38">
        <v>-2.80000000000001</v>
      </c>
      <c r="W38">
        <f t="shared" si="12"/>
        <v>-0.41471999999999964</v>
      </c>
    </row>
    <row r="39" spans="1:23" x14ac:dyDescent="0.3">
      <c r="A39">
        <v>1.8681327999999999</v>
      </c>
      <c r="B39">
        <v>0.58857999999999999</v>
      </c>
      <c r="C39">
        <f t="shared" si="1"/>
        <v>1.0995456034239999</v>
      </c>
      <c r="D39" s="1">
        <v>2.1000000000000001E-2</v>
      </c>
      <c r="E39" s="1">
        <v>1.41E-2</v>
      </c>
      <c r="F39">
        <f t="shared" si="2"/>
        <v>373.62655999999998</v>
      </c>
      <c r="G39">
        <f t="shared" si="3"/>
        <v>-0.58857999999999999</v>
      </c>
      <c r="H39">
        <f t="shared" si="4"/>
        <v>-219.90912068479997</v>
      </c>
      <c r="I39">
        <v>1</v>
      </c>
      <c r="J39">
        <f t="shared" si="5"/>
        <v>-0.98449848307728371</v>
      </c>
      <c r="K39">
        <f t="shared" si="6"/>
        <v>-0.59133057297601199</v>
      </c>
      <c r="L39">
        <v>1</v>
      </c>
      <c r="M39">
        <f t="shared" si="8"/>
        <v>0.47844410324398734</v>
      </c>
      <c r="N39">
        <f t="shared" si="11"/>
        <v>3.9230788799999999E-2</v>
      </c>
      <c r="O39">
        <f t="shared" si="9"/>
        <v>2.6340672479999997E-2</v>
      </c>
      <c r="P39">
        <f t="shared" si="10"/>
        <v>4.7315008452024659E-2</v>
      </c>
      <c r="V39">
        <v>-2.7000000000000099</v>
      </c>
      <c r="W39">
        <f t="shared" si="12"/>
        <v>-0.41822999999999966</v>
      </c>
    </row>
    <row r="40" spans="1:23" x14ac:dyDescent="0.3">
      <c r="A40">
        <v>1.9185421</v>
      </c>
      <c r="B40">
        <v>0.58425000000000005</v>
      </c>
      <c r="C40">
        <f t="shared" si="1"/>
        <v>1.1209082219250002</v>
      </c>
      <c r="D40" s="1">
        <v>2.1000000000000001E-2</v>
      </c>
      <c r="E40" s="1">
        <v>1.41E-2</v>
      </c>
      <c r="F40">
        <f t="shared" si="2"/>
        <v>383.70841999999999</v>
      </c>
      <c r="G40">
        <f t="shared" si="3"/>
        <v>-0.58425000000000005</v>
      </c>
      <c r="H40">
        <f t="shared" si="4"/>
        <v>-224.18164438500003</v>
      </c>
      <c r="I40">
        <v>1</v>
      </c>
      <c r="J40">
        <f t="shared" si="5"/>
        <v>-0.9578723377427405</v>
      </c>
      <c r="K40">
        <f t="shared" si="6"/>
        <v>-0.59566057297601194</v>
      </c>
      <c r="L40">
        <v>1</v>
      </c>
      <c r="M40">
        <f t="shared" si="8"/>
        <v>0.47937868094522984</v>
      </c>
      <c r="N40">
        <f t="shared" si="11"/>
        <v>4.0289384100000006E-2</v>
      </c>
      <c r="O40">
        <f t="shared" si="9"/>
        <v>2.705144361E-2</v>
      </c>
      <c r="P40">
        <f t="shared" si="10"/>
        <v>4.8941064320782088E-2</v>
      </c>
      <c r="V40">
        <v>-2.6000000000000099</v>
      </c>
      <c r="W40">
        <f t="shared" si="12"/>
        <v>-0.42173999999999967</v>
      </c>
    </row>
    <row r="41" spans="1:23" x14ac:dyDescent="0.3">
      <c r="A41">
        <v>1.9709880000000002</v>
      </c>
      <c r="B41">
        <v>0.58013999999999999</v>
      </c>
      <c r="C41">
        <f t="shared" si="1"/>
        <v>1.1434489783200001</v>
      </c>
      <c r="D41" s="1">
        <v>2.1000000000000001E-2</v>
      </c>
      <c r="E41" s="1">
        <v>1.41E-2</v>
      </c>
      <c r="F41">
        <f t="shared" si="2"/>
        <v>394.19760000000002</v>
      </c>
      <c r="G41">
        <f t="shared" si="3"/>
        <v>-0.58013999999999999</v>
      </c>
      <c r="H41">
        <f t="shared" si="4"/>
        <v>-228.68979566400003</v>
      </c>
      <c r="I41">
        <v>1</v>
      </c>
      <c r="J41">
        <f t="shared" si="5"/>
        <v>-0.93090297256211163</v>
      </c>
      <c r="K41">
        <f t="shared" si="6"/>
        <v>-0.599770572976012</v>
      </c>
      <c r="L41">
        <v>1</v>
      </c>
      <c r="M41">
        <f t="shared" si="8"/>
        <v>0.48032530566306991</v>
      </c>
      <c r="N41">
        <f t="shared" si="11"/>
        <v>4.1390748000000005E-2</v>
      </c>
      <c r="O41">
        <f t="shared" si="9"/>
        <v>2.7790930800000002E-2</v>
      </c>
      <c r="P41">
        <f t="shared" si="10"/>
        <v>5.0263588512942076E-2</v>
      </c>
      <c r="V41">
        <v>-2.5000000000000102</v>
      </c>
      <c r="W41">
        <f t="shared" si="12"/>
        <v>-0.42524999999999968</v>
      </c>
    </row>
    <row r="42" spans="1:23" x14ac:dyDescent="0.3">
      <c r="A42">
        <v>2.0219062999999999</v>
      </c>
      <c r="B42">
        <v>0.57604999999999995</v>
      </c>
      <c r="C42">
        <f t="shared" si="1"/>
        <v>1.1647191241149999</v>
      </c>
      <c r="D42" s="1">
        <v>2.1000000000000001E-2</v>
      </c>
      <c r="E42" s="1">
        <v>1.41E-2</v>
      </c>
      <c r="F42">
        <f t="shared" si="2"/>
        <v>404.38126</v>
      </c>
      <c r="G42">
        <f t="shared" si="3"/>
        <v>-0.57604999999999995</v>
      </c>
      <c r="H42">
        <f t="shared" si="4"/>
        <v>-232.94382482299997</v>
      </c>
      <c r="I42">
        <v>1</v>
      </c>
      <c r="J42">
        <f t="shared" si="5"/>
        <v>-0.90539713316673465</v>
      </c>
      <c r="K42">
        <f t="shared" si="6"/>
        <v>-0.60386057297601203</v>
      </c>
      <c r="L42">
        <v>1</v>
      </c>
      <c r="M42">
        <f t="shared" si="8"/>
        <v>0.48122056062584762</v>
      </c>
      <c r="N42">
        <f t="shared" si="11"/>
        <v>4.2460032299999999E-2</v>
      </c>
      <c r="O42">
        <f t="shared" si="9"/>
        <v>2.8508878829999997E-2</v>
      </c>
      <c r="P42">
        <f t="shared" si="10"/>
        <v>5.1671101220164412E-2</v>
      </c>
      <c r="V42">
        <v>-2.4000000000000101</v>
      </c>
      <c r="W42">
        <f t="shared" si="12"/>
        <v>-0.42875999999999964</v>
      </c>
    </row>
    <row r="43" spans="1:23" x14ac:dyDescent="0.3">
      <c r="A43">
        <v>2.0728247</v>
      </c>
      <c r="B43">
        <v>0.57238999999999995</v>
      </c>
      <c r="C43">
        <f t="shared" si="1"/>
        <v>1.1864641300329999</v>
      </c>
      <c r="D43" s="1">
        <v>2.1000000000000001E-2</v>
      </c>
      <c r="E43" s="1">
        <v>1.41E-2</v>
      </c>
      <c r="F43">
        <f t="shared" si="2"/>
        <v>414.56493999999998</v>
      </c>
      <c r="G43">
        <f t="shared" si="3"/>
        <v>-0.57238999999999995</v>
      </c>
      <c r="H43">
        <f t="shared" si="4"/>
        <v>-237.29282600659997</v>
      </c>
      <c r="I43">
        <v>1</v>
      </c>
      <c r="J43">
        <f t="shared" si="5"/>
        <v>-0.88052564599078242</v>
      </c>
      <c r="K43">
        <f t="shared" si="6"/>
        <v>-0.60752057297601203</v>
      </c>
      <c r="L43">
        <v>1</v>
      </c>
      <c r="M43">
        <f t="shared" si="8"/>
        <v>0.48209354982572356</v>
      </c>
      <c r="N43">
        <f t="shared" si="11"/>
        <v>4.35293187E-2</v>
      </c>
      <c r="O43">
        <f t="shared" si="9"/>
        <v>2.9226828269999998E-2</v>
      </c>
      <c r="P43">
        <f t="shared" si="10"/>
        <v>5.2670876180288477E-2</v>
      </c>
      <c r="V43">
        <v>-2.30000000000001</v>
      </c>
      <c r="W43">
        <f t="shared" si="12"/>
        <v>-0.43226999999999965</v>
      </c>
    </row>
    <row r="44" spans="1:23" x14ac:dyDescent="0.3">
      <c r="A44">
        <v>2.1252708</v>
      </c>
      <c r="B44">
        <v>0.56855</v>
      </c>
      <c r="C44">
        <f t="shared" si="1"/>
        <v>1.2083227133400001</v>
      </c>
      <c r="D44" s="1">
        <v>2.1000000000000001E-2</v>
      </c>
      <c r="E44" s="1">
        <v>1.41E-2</v>
      </c>
      <c r="F44">
        <f t="shared" si="2"/>
        <v>425.05416000000002</v>
      </c>
      <c r="G44">
        <f t="shared" si="3"/>
        <v>-0.56855</v>
      </c>
      <c r="H44">
        <f t="shared" si="4"/>
        <v>-241.66454266800002</v>
      </c>
      <c r="I44">
        <v>1</v>
      </c>
      <c r="J44">
        <f t="shared" si="5"/>
        <v>-0.85553868288278989</v>
      </c>
      <c r="K44">
        <f t="shared" si="6"/>
        <v>-0.61136057297601198</v>
      </c>
      <c r="L44">
        <v>1</v>
      </c>
      <c r="M44">
        <f t="shared" si="8"/>
        <v>0.48297059223081407</v>
      </c>
      <c r="N44">
        <f t="shared" si="11"/>
        <v>4.4630686800000006E-2</v>
      </c>
      <c r="O44">
        <f t="shared" si="9"/>
        <v>2.9966318280000001E-2</v>
      </c>
      <c r="P44">
        <f t="shared" si="10"/>
        <v>5.3792975665197904E-2</v>
      </c>
      <c r="V44">
        <v>-2.2000000000000099</v>
      </c>
      <c r="W44">
        <f t="shared" si="12"/>
        <v>-0.43577999999999967</v>
      </c>
    </row>
    <row r="45" spans="1:23" x14ac:dyDescent="0.3">
      <c r="A45">
        <v>2.1772073000000001</v>
      </c>
      <c r="B45">
        <v>0.56459999999999999</v>
      </c>
      <c r="C45">
        <f t="shared" si="1"/>
        <v>1.2292512415800001</v>
      </c>
      <c r="D45" s="1">
        <v>2.1000000000000001E-2</v>
      </c>
      <c r="E45" s="1">
        <v>1.41E-2</v>
      </c>
      <c r="F45">
        <f t="shared" si="2"/>
        <v>435.44146000000001</v>
      </c>
      <c r="G45">
        <f t="shared" si="3"/>
        <v>-0.56459999999999999</v>
      </c>
      <c r="H45">
        <f t="shared" si="4"/>
        <v>-245.85024831600003</v>
      </c>
      <c r="I45">
        <v>1</v>
      </c>
      <c r="J45">
        <f t="shared" si="5"/>
        <v>-0.83139491193144421</v>
      </c>
      <c r="K45">
        <f t="shared" si="6"/>
        <v>-0.61531057297601199</v>
      </c>
      <c r="L45">
        <v>1</v>
      </c>
      <c r="M45">
        <f t="shared" si="8"/>
        <v>0.48381803859120631</v>
      </c>
      <c r="N45">
        <f t="shared" si="11"/>
        <v>4.5721353300000003E-2</v>
      </c>
      <c r="O45">
        <f t="shared" si="9"/>
        <v>3.0698622929999999E-2</v>
      </c>
      <c r="P45">
        <f t="shared" si="10"/>
        <v>5.5072558154805676E-2</v>
      </c>
      <c r="V45">
        <v>-2.1000000000000099</v>
      </c>
      <c r="W45">
        <f t="shared" si="12"/>
        <v>-0.43928999999999968</v>
      </c>
    </row>
    <row r="46" spans="1:23" x14ac:dyDescent="0.3">
      <c r="A46">
        <v>2.2301624000000002</v>
      </c>
      <c r="B46">
        <v>0.56120000000000003</v>
      </c>
      <c r="C46">
        <f t="shared" si="1"/>
        <v>1.2515671388800003</v>
      </c>
      <c r="D46" s="1">
        <v>2.1000000000000001E-2</v>
      </c>
      <c r="E46" s="1">
        <v>1.41E-2</v>
      </c>
      <c r="F46">
        <f t="shared" si="2"/>
        <v>446.03248000000002</v>
      </c>
      <c r="G46">
        <f t="shared" si="3"/>
        <v>-0.56120000000000003</v>
      </c>
      <c r="H46">
        <f t="shared" si="4"/>
        <v>-250.31342777600005</v>
      </c>
      <c r="I46">
        <v>1</v>
      </c>
      <c r="J46">
        <f t="shared" si="5"/>
        <v>-0.80736350450158512</v>
      </c>
      <c r="K46">
        <f t="shared" si="6"/>
        <v>-0.61871057297601195</v>
      </c>
      <c r="L46">
        <v>1</v>
      </c>
      <c r="M46">
        <f t="shared" si="8"/>
        <v>0.48466154099199438</v>
      </c>
      <c r="N46">
        <f t="shared" si="11"/>
        <v>4.6833410400000004E-2</v>
      </c>
      <c r="O46">
        <f t="shared" si="9"/>
        <v>3.1445289840000001E-2</v>
      </c>
      <c r="P46">
        <f t="shared" si="10"/>
        <v>5.5770331744017576E-2</v>
      </c>
      <c r="V46">
        <v>-2.0000000000000102</v>
      </c>
      <c r="W46">
        <f t="shared" si="12"/>
        <v>-0.44279999999999964</v>
      </c>
    </row>
    <row r="47" spans="1:23" x14ac:dyDescent="0.3">
      <c r="A47">
        <v>2.2805715000000002</v>
      </c>
      <c r="B47">
        <v>0.55744000000000005</v>
      </c>
      <c r="C47">
        <f t="shared" si="1"/>
        <v>1.2712817769600002</v>
      </c>
      <c r="D47" s="1">
        <v>2.1000000000000001E-2</v>
      </c>
      <c r="E47" s="1">
        <v>1.41E-2</v>
      </c>
      <c r="F47">
        <f t="shared" si="2"/>
        <v>456.11430000000001</v>
      </c>
      <c r="G47">
        <f t="shared" si="3"/>
        <v>-0.55744000000000005</v>
      </c>
      <c r="H47">
        <f t="shared" si="4"/>
        <v>-254.25635539200005</v>
      </c>
      <c r="I47">
        <v>1</v>
      </c>
      <c r="J47">
        <f t="shared" si="5"/>
        <v>-0.78501184298245563</v>
      </c>
      <c r="K47">
        <f t="shared" si="6"/>
        <v>-0.62247057297601194</v>
      </c>
      <c r="L47">
        <v>1</v>
      </c>
      <c r="M47">
        <f t="shared" si="8"/>
        <v>0.48544608431131581</v>
      </c>
      <c r="N47">
        <f t="shared" si="11"/>
        <v>4.789200150000001E-2</v>
      </c>
      <c r="O47">
        <f t="shared" si="9"/>
        <v>3.215605815E-2</v>
      </c>
      <c r="P47">
        <f t="shared" si="10"/>
        <v>5.6976429014696128E-2</v>
      </c>
      <c r="V47">
        <v>-1.9000000000000099</v>
      </c>
      <c r="W47">
        <f t="shared" si="12"/>
        <v>-0.44630999999999965</v>
      </c>
    </row>
    <row r="48" spans="1:23" x14ac:dyDescent="0.3">
      <c r="A48">
        <v>2.3345449</v>
      </c>
      <c r="B48">
        <v>0.55381000000000002</v>
      </c>
      <c r="C48">
        <f t="shared" si="1"/>
        <v>1.2928943110690001</v>
      </c>
      <c r="D48" s="1">
        <v>2.1000000000000001E-2</v>
      </c>
      <c r="E48" s="1">
        <v>1.41E-2</v>
      </c>
      <c r="F48">
        <f t="shared" si="2"/>
        <v>466.90897999999999</v>
      </c>
      <c r="G48">
        <f t="shared" si="3"/>
        <v>-0.55381000000000002</v>
      </c>
      <c r="H48">
        <f t="shared" si="4"/>
        <v>-258.57886221379999</v>
      </c>
      <c r="I48">
        <v>1</v>
      </c>
      <c r="J48">
        <f t="shared" si="5"/>
        <v>-0.76162094394967961</v>
      </c>
      <c r="K48">
        <f t="shared" si="6"/>
        <v>-0.62610057297601196</v>
      </c>
      <c r="L48">
        <v>1</v>
      </c>
      <c r="M48">
        <f t="shared" si="8"/>
        <v>0.48626710486736624</v>
      </c>
      <c r="N48">
        <f t="shared" si="11"/>
        <v>4.9025442900000001E-2</v>
      </c>
      <c r="O48">
        <f t="shared" si="9"/>
        <v>3.291708309E-2</v>
      </c>
      <c r="P48">
        <f t="shared" si="10"/>
        <v>5.7890942118645726E-2</v>
      </c>
      <c r="V48">
        <v>-1.80000000000001</v>
      </c>
      <c r="W48">
        <f t="shared" si="12"/>
        <v>-0.44981999999999966</v>
      </c>
    </row>
    <row r="49" spans="1:23" x14ac:dyDescent="0.3">
      <c r="A49">
        <v>2.3849540999999999</v>
      </c>
      <c r="B49">
        <v>0.54981999999999998</v>
      </c>
      <c r="C49">
        <f t="shared" si="1"/>
        <v>1.311295463262</v>
      </c>
      <c r="D49" s="1">
        <v>2.1000000000000001E-2</v>
      </c>
      <c r="E49" s="1">
        <v>1.41E-2</v>
      </c>
      <c r="F49">
        <f t="shared" si="2"/>
        <v>476.99081999999999</v>
      </c>
      <c r="G49">
        <f t="shared" si="3"/>
        <v>-0.54981999999999998</v>
      </c>
      <c r="H49">
        <f t="shared" si="4"/>
        <v>-262.2590926524</v>
      </c>
      <c r="I49">
        <v>1</v>
      </c>
      <c r="J49">
        <f t="shared" si="5"/>
        <v>-0.74025803356200759</v>
      </c>
      <c r="K49">
        <f t="shared" si="6"/>
        <v>-0.63009057297601201</v>
      </c>
      <c r="L49">
        <v>1</v>
      </c>
      <c r="M49">
        <f t="shared" si="8"/>
        <v>0.48701694302197357</v>
      </c>
      <c r="N49">
        <f t="shared" si="11"/>
        <v>5.00840361E-2</v>
      </c>
      <c r="O49">
        <f t="shared" si="9"/>
        <v>3.3627852809999997E-2</v>
      </c>
      <c r="P49">
        <f t="shared" si="10"/>
        <v>5.9361741044038435E-2</v>
      </c>
      <c r="V49">
        <v>-1.7000000000000199</v>
      </c>
      <c r="W49">
        <f t="shared" si="12"/>
        <v>-0.45332999999999929</v>
      </c>
    </row>
    <row r="50" spans="1:23" x14ac:dyDescent="0.3">
      <c r="A50">
        <v>2.4358725999999997</v>
      </c>
      <c r="B50">
        <v>0.5464</v>
      </c>
      <c r="C50">
        <f t="shared" si="1"/>
        <v>1.3309607886399999</v>
      </c>
      <c r="D50" s="1">
        <v>2.1000000000000001E-2</v>
      </c>
      <c r="E50" s="1">
        <v>1.41E-2</v>
      </c>
      <c r="F50">
        <f t="shared" si="2"/>
        <v>487.17451999999992</v>
      </c>
      <c r="G50">
        <f t="shared" si="3"/>
        <v>-0.5464</v>
      </c>
      <c r="H50">
        <f t="shared" si="4"/>
        <v>-266.19215772799998</v>
      </c>
      <c r="I50">
        <v>1</v>
      </c>
      <c r="J50">
        <f t="shared" si="5"/>
        <v>-0.71913286280465727</v>
      </c>
      <c r="K50">
        <f t="shared" si="6"/>
        <v>-0.63351057297601199</v>
      </c>
      <c r="L50">
        <v>1</v>
      </c>
      <c r="M50">
        <f t="shared" si="8"/>
        <v>0.48775843651555656</v>
      </c>
      <c r="N50">
        <f t="shared" si="11"/>
        <v>5.1153324599999994E-2</v>
      </c>
      <c r="O50">
        <f t="shared" si="9"/>
        <v>3.4345803659999993E-2</v>
      </c>
      <c r="P50">
        <f t="shared" si="10"/>
        <v>6.0253008200455441E-2</v>
      </c>
      <c r="V50">
        <v>-1.6000000000000201</v>
      </c>
      <c r="W50">
        <f t="shared" si="12"/>
        <v>-0.4568399999999993</v>
      </c>
    </row>
    <row r="51" spans="1:23" x14ac:dyDescent="0.3">
      <c r="A51">
        <v>2.4923918</v>
      </c>
      <c r="B51">
        <v>0.54274</v>
      </c>
      <c r="C51">
        <f t="shared" si="1"/>
        <v>1.352720725532</v>
      </c>
      <c r="D51" s="1">
        <v>2.1000000000000001E-2</v>
      </c>
      <c r="E51" s="1">
        <v>1.41E-2</v>
      </c>
      <c r="F51">
        <f t="shared" si="2"/>
        <v>498.47836000000001</v>
      </c>
      <c r="G51">
        <f t="shared" si="3"/>
        <v>-0.54274</v>
      </c>
      <c r="H51">
        <f t="shared" si="4"/>
        <v>-270.54414510639998</v>
      </c>
      <c r="I51">
        <v>1</v>
      </c>
      <c r="J51">
        <f t="shared" si="5"/>
        <v>-0.69619510075318747</v>
      </c>
      <c r="K51">
        <f t="shared" si="6"/>
        <v>-0.63717057297601198</v>
      </c>
      <c r="L51">
        <v>1</v>
      </c>
      <c r="M51">
        <f t="shared" si="8"/>
        <v>0.48856355196356316</v>
      </c>
      <c r="N51">
        <f t="shared" si="11"/>
        <v>5.2340227800000007E-2</v>
      </c>
      <c r="O51">
        <f t="shared" si="9"/>
        <v>3.5142724379999997E-2</v>
      </c>
      <c r="P51">
        <f t="shared" si="10"/>
        <v>6.1124068832448829E-2</v>
      </c>
      <c r="V51">
        <v>-1.50000000000002</v>
      </c>
      <c r="W51">
        <f t="shared" si="12"/>
        <v>-0.46034999999999932</v>
      </c>
    </row>
    <row r="52" spans="1:23" x14ac:dyDescent="0.3">
      <c r="A52">
        <v>2.5438190999999999</v>
      </c>
      <c r="B52">
        <v>0.53903000000000001</v>
      </c>
      <c r="C52">
        <f t="shared" si="1"/>
        <v>1.371194809473</v>
      </c>
      <c r="D52" s="1">
        <v>2.1000000000000001E-2</v>
      </c>
      <c r="E52" s="1">
        <v>1.41E-2</v>
      </c>
      <c r="F52">
        <f t="shared" si="2"/>
        <v>508.76381999999995</v>
      </c>
      <c r="G52">
        <f t="shared" si="3"/>
        <v>-0.53903000000000001</v>
      </c>
      <c r="H52">
        <f t="shared" si="4"/>
        <v>-274.23896189459998</v>
      </c>
      <c r="I52">
        <v>1</v>
      </c>
      <c r="J52">
        <f t="shared" si="5"/>
        <v>-0.67577137797511933</v>
      </c>
      <c r="K52">
        <f t="shared" si="6"/>
        <v>-0.64088057297601198</v>
      </c>
      <c r="L52">
        <v>1</v>
      </c>
      <c r="M52">
        <f t="shared" si="8"/>
        <v>0.48928042463307331</v>
      </c>
      <c r="N52">
        <f t="shared" si="11"/>
        <v>5.3420201100000002E-2</v>
      </c>
      <c r="O52">
        <f t="shared" si="9"/>
        <v>3.5867849309999998E-2</v>
      </c>
      <c r="P52">
        <f t="shared" si="10"/>
        <v>6.2312097932938661E-2</v>
      </c>
      <c r="V52">
        <v>-1.4000000000000199</v>
      </c>
      <c r="W52">
        <f t="shared" si="12"/>
        <v>-0.46385999999999933</v>
      </c>
    </row>
    <row r="53" spans="1:23" x14ac:dyDescent="0.3">
      <c r="A53">
        <v>2.5967742</v>
      </c>
      <c r="B53">
        <v>0.53583000000000003</v>
      </c>
      <c r="C53">
        <f t="shared" si="1"/>
        <v>1.391429519586</v>
      </c>
      <c r="D53" s="1">
        <v>2.1000000000000001E-2</v>
      </c>
      <c r="E53" s="1">
        <v>1.41E-2</v>
      </c>
      <c r="F53">
        <f t="shared" si="2"/>
        <v>519.35483999999997</v>
      </c>
      <c r="G53">
        <f t="shared" si="3"/>
        <v>-0.53583000000000003</v>
      </c>
      <c r="H53">
        <f t="shared" si="4"/>
        <v>-278.28590391720002</v>
      </c>
      <c r="I53">
        <v>1</v>
      </c>
      <c r="J53">
        <f t="shared" si="5"/>
        <v>-0.65516793001025697</v>
      </c>
      <c r="K53">
        <f t="shared" si="6"/>
        <v>-0.64408057297601196</v>
      </c>
      <c r="L53">
        <v>1</v>
      </c>
      <c r="M53">
        <f t="shared" si="8"/>
        <v>0.49000360565663997</v>
      </c>
      <c r="N53">
        <f t="shared" si="11"/>
        <v>5.4532258200000003E-2</v>
      </c>
      <c r="O53">
        <f t="shared" si="9"/>
        <v>3.6614516219999997E-2</v>
      </c>
      <c r="P53">
        <f t="shared" si="10"/>
        <v>6.2930192899371989E-2</v>
      </c>
      <c r="V53">
        <v>-1.30000000000002</v>
      </c>
      <c r="W53">
        <f t="shared" si="12"/>
        <v>-0.46736999999999929</v>
      </c>
    </row>
    <row r="54" spans="1:23" x14ac:dyDescent="0.3">
      <c r="A54">
        <v>2.6471833</v>
      </c>
      <c r="B54">
        <v>0.53210000000000002</v>
      </c>
      <c r="C54">
        <f t="shared" si="1"/>
        <v>1.40856623393</v>
      </c>
      <c r="D54" s="1">
        <v>2.1000000000000001E-2</v>
      </c>
      <c r="E54" s="1">
        <v>1.41E-2</v>
      </c>
      <c r="F54">
        <f t="shared" si="2"/>
        <v>529.43665999999996</v>
      </c>
      <c r="G54">
        <f t="shared" si="3"/>
        <v>-0.53210000000000002</v>
      </c>
      <c r="H54">
        <f t="shared" si="4"/>
        <v>-281.71324678600001</v>
      </c>
      <c r="I54">
        <v>1</v>
      </c>
      <c r="J54">
        <f t="shared" si="5"/>
        <v>-0.63594174338116682</v>
      </c>
      <c r="K54">
        <f t="shared" si="6"/>
        <v>-0.64781057297601197</v>
      </c>
      <c r="L54">
        <v>1</v>
      </c>
      <c r="M54">
        <f t="shared" si="8"/>
        <v>0.49067844480732103</v>
      </c>
      <c r="N54">
        <f t="shared" si="11"/>
        <v>5.5590849300000002E-2</v>
      </c>
      <c r="O54">
        <f t="shared" si="9"/>
        <v>3.7325284530000002E-2</v>
      </c>
      <c r="P54">
        <f t="shared" si="10"/>
        <v>6.4215994338690935E-2</v>
      </c>
      <c r="V54">
        <v>-1.2000000000000199</v>
      </c>
      <c r="W54">
        <f t="shared" si="12"/>
        <v>-0.4708799999999993</v>
      </c>
    </row>
    <row r="55" spans="1:23" x14ac:dyDescent="0.3">
      <c r="A55">
        <v>2.6975925000000003</v>
      </c>
      <c r="B55">
        <v>0.52866999999999997</v>
      </c>
      <c r="C55">
        <f t="shared" si="1"/>
        <v>1.426136226975</v>
      </c>
      <c r="D55" s="1">
        <v>2.1000000000000001E-2</v>
      </c>
      <c r="E55" s="1">
        <v>1.41E-2</v>
      </c>
      <c r="F55">
        <f t="shared" si="2"/>
        <v>539.51850000000002</v>
      </c>
      <c r="G55">
        <f t="shared" si="3"/>
        <v>-0.52866999999999997</v>
      </c>
      <c r="H55">
        <f t="shared" si="4"/>
        <v>-285.22724539500001</v>
      </c>
      <c r="I55">
        <v>1</v>
      </c>
      <c r="J55">
        <f t="shared" si="5"/>
        <v>-0.61707820386167633</v>
      </c>
      <c r="K55">
        <f t="shared" si="6"/>
        <v>-0.65124057297601201</v>
      </c>
      <c r="L55">
        <v>1</v>
      </c>
      <c r="M55">
        <f t="shared" si="8"/>
        <v>0.49134055504445517</v>
      </c>
      <c r="N55">
        <f t="shared" si="11"/>
        <v>5.6649442500000008E-2</v>
      </c>
      <c r="O55">
        <f t="shared" si="9"/>
        <v>3.8036054250000007E-2</v>
      </c>
      <c r="P55">
        <f t="shared" si="10"/>
        <v>6.5214521181556823E-2</v>
      </c>
      <c r="V55">
        <v>-1.1000000000000201</v>
      </c>
      <c r="W55">
        <f t="shared" si="12"/>
        <v>-0.47438999999999931</v>
      </c>
    </row>
    <row r="56" spans="1:23" x14ac:dyDescent="0.3">
      <c r="A56">
        <v>2.7485109999999997</v>
      </c>
      <c r="B56">
        <v>0.52544000000000002</v>
      </c>
      <c r="C56">
        <f t="shared" si="1"/>
        <v>1.4441776198399998</v>
      </c>
      <c r="D56" s="1">
        <v>2.1000000000000001E-2</v>
      </c>
      <c r="E56" s="1">
        <v>1.41E-2</v>
      </c>
      <c r="F56">
        <f t="shared" si="2"/>
        <v>549.70219999999995</v>
      </c>
      <c r="G56">
        <f t="shared" si="3"/>
        <v>-0.52544000000000002</v>
      </c>
      <c r="H56">
        <f t="shared" si="4"/>
        <v>-288.83552396799996</v>
      </c>
      <c r="I56">
        <v>1</v>
      </c>
      <c r="J56">
        <f t="shared" si="5"/>
        <v>-0.59837860194052228</v>
      </c>
      <c r="K56">
        <f t="shared" si="6"/>
        <v>-0.65447057297601197</v>
      </c>
      <c r="L56">
        <v>1</v>
      </c>
      <c r="M56">
        <f t="shared" si="8"/>
        <v>0.4919969110718877</v>
      </c>
      <c r="N56">
        <f t="shared" si="11"/>
        <v>5.7718730999999995E-2</v>
      </c>
      <c r="O56">
        <f t="shared" si="9"/>
        <v>3.8754005099999995E-2</v>
      </c>
      <c r="P56">
        <f t="shared" si="10"/>
        <v>6.6000925804124283E-2</v>
      </c>
      <c r="V56">
        <v>-1.00000000000002</v>
      </c>
      <c r="W56">
        <f t="shared" si="12"/>
        <v>-0.47789999999999933</v>
      </c>
    </row>
    <row r="57" spans="1:23" x14ac:dyDescent="0.3">
      <c r="A57">
        <v>2.8055396000000004</v>
      </c>
      <c r="B57">
        <v>0.52212000000000003</v>
      </c>
      <c r="C57">
        <f t="shared" si="1"/>
        <v>1.4648283359520002</v>
      </c>
      <c r="D57" s="1">
        <v>2.1000000000000001E-2</v>
      </c>
      <c r="E57" s="1">
        <v>1.41E-2</v>
      </c>
      <c r="F57">
        <f t="shared" si="2"/>
        <v>561.10792000000004</v>
      </c>
      <c r="G57">
        <f t="shared" si="3"/>
        <v>-0.52212000000000003</v>
      </c>
      <c r="H57">
        <f t="shared" si="4"/>
        <v>-292.96566719040004</v>
      </c>
      <c r="I57">
        <v>1</v>
      </c>
      <c r="J57">
        <f t="shared" si="5"/>
        <v>-0.57784202119383565</v>
      </c>
      <c r="K57">
        <f t="shared" si="6"/>
        <v>-0.65779057297601196</v>
      </c>
      <c r="L57">
        <v>1</v>
      </c>
      <c r="M57">
        <f t="shared" si="8"/>
        <v>0.49271774505609639</v>
      </c>
      <c r="N57">
        <f t="shared" si="11"/>
        <v>5.891633160000001E-2</v>
      </c>
      <c r="O57">
        <f t="shared" si="9"/>
        <v>3.9558108360000004E-2</v>
      </c>
      <c r="P57">
        <f t="shared" si="10"/>
        <v>6.6598387959915545E-2</v>
      </c>
      <c r="V57">
        <v>-0.90000000000002001</v>
      </c>
      <c r="W57">
        <f t="shared" si="12"/>
        <v>-0.48140999999999934</v>
      </c>
    </row>
    <row r="58" spans="1:23" x14ac:dyDescent="0.3">
      <c r="A58">
        <v>2.8615496</v>
      </c>
      <c r="B58">
        <v>0.51849000000000001</v>
      </c>
      <c r="C58">
        <f t="shared" si="1"/>
        <v>1.483684852104</v>
      </c>
      <c r="D58" s="1">
        <v>2.1000000000000001E-2</v>
      </c>
      <c r="E58" s="1">
        <v>1.41E-2</v>
      </c>
      <c r="F58">
        <f t="shared" si="2"/>
        <v>572.30992000000003</v>
      </c>
      <c r="G58">
        <f t="shared" si="3"/>
        <v>-0.51849000000000001</v>
      </c>
      <c r="H58">
        <f t="shared" si="4"/>
        <v>-296.73697042079999</v>
      </c>
      <c r="I58">
        <v>1</v>
      </c>
      <c r="J58">
        <f t="shared" si="5"/>
        <v>-0.55807461615099352</v>
      </c>
      <c r="K58">
        <f t="shared" si="6"/>
        <v>-0.66142057297601198</v>
      </c>
      <c r="L58">
        <v>1</v>
      </c>
      <c r="M58">
        <f t="shared" si="8"/>
        <v>0.49341158097310012</v>
      </c>
      <c r="N58">
        <f t="shared" si="11"/>
        <v>6.0092541600000007E-2</v>
      </c>
      <c r="O58">
        <f t="shared" si="9"/>
        <v>4.034784936E-2</v>
      </c>
      <c r="P58">
        <f t="shared" si="10"/>
        <v>6.7568601042911847E-2</v>
      </c>
      <c r="V58">
        <v>-0.80000000000002003</v>
      </c>
      <c r="W58">
        <f t="shared" si="12"/>
        <v>-0.4849199999999993</v>
      </c>
    </row>
    <row r="59" spans="1:23" x14ac:dyDescent="0.3">
      <c r="A59">
        <v>2.9124680000000001</v>
      </c>
      <c r="B59">
        <v>0.51534000000000002</v>
      </c>
      <c r="C59">
        <f t="shared" si="1"/>
        <v>1.50091125912</v>
      </c>
      <c r="D59" s="1">
        <v>2.1000000000000001E-2</v>
      </c>
      <c r="E59" s="1">
        <v>1.41E-2</v>
      </c>
      <c r="F59">
        <f t="shared" si="2"/>
        <v>582.49360000000001</v>
      </c>
      <c r="G59">
        <f t="shared" si="3"/>
        <v>-0.51534000000000002</v>
      </c>
      <c r="H59">
        <f t="shared" si="4"/>
        <v>-300.18225182399999</v>
      </c>
      <c r="I59">
        <v>1</v>
      </c>
      <c r="J59">
        <f t="shared" si="5"/>
        <v>-0.54043708072710372</v>
      </c>
      <c r="K59">
        <f t="shared" si="6"/>
        <v>-0.66457057297601196</v>
      </c>
      <c r="L59">
        <v>1</v>
      </c>
      <c r="M59">
        <f t="shared" si="8"/>
        <v>0.49403065846647864</v>
      </c>
      <c r="N59">
        <f t="shared" si="11"/>
        <v>6.1161828000000008E-2</v>
      </c>
      <c r="O59">
        <f t="shared" si="9"/>
        <v>4.1065798799999997E-2</v>
      </c>
      <c r="P59">
        <f t="shared" si="10"/>
        <v>6.831228770953332E-2</v>
      </c>
      <c r="V59">
        <v>-0.70000000000002005</v>
      </c>
      <c r="W59">
        <f t="shared" si="12"/>
        <v>-0.48842999999999931</v>
      </c>
    </row>
    <row r="60" spans="1:23" x14ac:dyDescent="0.3">
      <c r="A60">
        <v>2.9628771999999999</v>
      </c>
      <c r="B60">
        <v>0.51166999999999996</v>
      </c>
      <c r="C60">
        <f t="shared" si="1"/>
        <v>1.5160153769239999</v>
      </c>
      <c r="D60" s="1">
        <v>2.1000000000000001E-2</v>
      </c>
      <c r="E60" s="1">
        <v>1.41E-2</v>
      </c>
      <c r="F60">
        <f t="shared" si="2"/>
        <v>592.57543999999996</v>
      </c>
      <c r="G60">
        <f t="shared" si="3"/>
        <v>-0.51166999999999996</v>
      </c>
      <c r="H60">
        <f t="shared" si="4"/>
        <v>-303.2030753848</v>
      </c>
      <c r="I60">
        <v>1</v>
      </c>
      <c r="J60">
        <f t="shared" si="5"/>
        <v>-0.5232770891834625</v>
      </c>
      <c r="K60">
        <f t="shared" si="6"/>
        <v>-0.66824057297601203</v>
      </c>
      <c r="L60">
        <v>1</v>
      </c>
      <c r="M60">
        <f t="shared" si="8"/>
        <v>0.49463297416966046</v>
      </c>
      <c r="N60">
        <f t="shared" si="11"/>
        <v>6.2220421200000001E-2</v>
      </c>
      <c r="O60">
        <f t="shared" si="9"/>
        <v>4.1776568519999994E-2</v>
      </c>
      <c r="P60">
        <f t="shared" si="10"/>
        <v>6.9610609086351583E-2</v>
      </c>
      <c r="V60">
        <v>-0.60000000000001996</v>
      </c>
      <c r="W60">
        <f t="shared" si="12"/>
        <v>-0.49193999999999932</v>
      </c>
    </row>
    <row r="61" spans="1:23" x14ac:dyDescent="0.3">
      <c r="A61">
        <v>3.0173599000000002</v>
      </c>
      <c r="B61">
        <v>0.50844999999999996</v>
      </c>
      <c r="C61">
        <f t="shared" si="1"/>
        <v>1.534176641155</v>
      </c>
      <c r="D61" s="1">
        <v>2.1000000000000001E-2</v>
      </c>
      <c r="E61" s="1">
        <v>1.41E-2</v>
      </c>
      <c r="F61">
        <f t="shared" si="2"/>
        <v>603.47198000000003</v>
      </c>
      <c r="G61">
        <f t="shared" si="3"/>
        <v>-0.50844999999999996</v>
      </c>
      <c r="H61">
        <f t="shared" si="4"/>
        <v>-306.83532823100001</v>
      </c>
      <c r="I61">
        <v>1</v>
      </c>
      <c r="J61">
        <f t="shared" si="5"/>
        <v>-0.50505566868563234</v>
      </c>
      <c r="K61">
        <f t="shared" si="6"/>
        <v>-0.67146057297601203</v>
      </c>
      <c r="L61">
        <v>1</v>
      </c>
      <c r="M61">
        <f t="shared" si="8"/>
        <v>0.49527254602913434</v>
      </c>
      <c r="N61">
        <f t="shared" si="11"/>
        <v>6.3364557900000007E-2</v>
      </c>
      <c r="O61">
        <f t="shared" si="9"/>
        <v>4.2544774590000001E-2</v>
      </c>
      <c r="P61">
        <f t="shared" si="10"/>
        <v>7.0278694456877677E-2</v>
      </c>
      <c r="V61">
        <v>-0.50000000000001998</v>
      </c>
      <c r="W61">
        <f t="shared" si="12"/>
        <v>-0.49544999999999934</v>
      </c>
    </row>
    <row r="62" spans="1:23" x14ac:dyDescent="0.3">
      <c r="A62">
        <v>3.0677690000000002</v>
      </c>
      <c r="B62">
        <v>0.50532999999999995</v>
      </c>
      <c r="C62">
        <f t="shared" si="1"/>
        <v>1.5502357087699998</v>
      </c>
      <c r="D62" s="1">
        <v>2.1000000000000001E-2</v>
      </c>
      <c r="E62" s="1">
        <v>1.41E-2</v>
      </c>
      <c r="F62">
        <f t="shared" si="2"/>
        <v>613.55380000000002</v>
      </c>
      <c r="G62">
        <f t="shared" si="3"/>
        <v>-0.50532999999999995</v>
      </c>
      <c r="H62">
        <f t="shared" si="4"/>
        <v>-310.04714175399999</v>
      </c>
      <c r="I62">
        <v>1</v>
      </c>
      <c r="J62">
        <f t="shared" si="5"/>
        <v>-0.48848732511449428</v>
      </c>
      <c r="K62">
        <f t="shared" si="6"/>
        <v>-0.67458057297601204</v>
      </c>
      <c r="L62">
        <v>1</v>
      </c>
      <c r="M62">
        <f t="shared" si="8"/>
        <v>0.49585409488848126</v>
      </c>
      <c r="N62">
        <f t="shared" si="11"/>
        <v>6.4423149000000013E-2</v>
      </c>
      <c r="O62">
        <f t="shared" si="9"/>
        <v>4.3255542899999999E-2</v>
      </c>
      <c r="P62">
        <f t="shared" si="10"/>
        <v>7.104778618753077E-2</v>
      </c>
      <c r="V62">
        <v>-0.40000000000002001</v>
      </c>
      <c r="W62">
        <f t="shared" si="12"/>
        <v>-0.49895999999999929</v>
      </c>
    </row>
    <row r="63" spans="1:23" x14ac:dyDescent="0.3">
      <c r="A63">
        <v>3.1232698000000001</v>
      </c>
      <c r="B63">
        <v>0.50248999999999999</v>
      </c>
      <c r="C63">
        <f t="shared" si="1"/>
        <v>1.569411841802</v>
      </c>
      <c r="D63" s="1">
        <v>2.1000000000000001E-2</v>
      </c>
      <c r="E63" s="1">
        <v>1.41E-2</v>
      </c>
      <c r="F63">
        <f t="shared" si="2"/>
        <v>624.65395999999998</v>
      </c>
      <c r="G63">
        <f t="shared" si="3"/>
        <v>-0.50248999999999999</v>
      </c>
      <c r="H63">
        <f t="shared" si="4"/>
        <v>-313.88236836039999</v>
      </c>
      <c r="I63">
        <v>1</v>
      </c>
      <c r="J63">
        <f t="shared" si="5"/>
        <v>-0.4705574465742457</v>
      </c>
      <c r="K63">
        <f t="shared" si="6"/>
        <v>-0.67742057297601199</v>
      </c>
      <c r="L63">
        <v>1</v>
      </c>
      <c r="M63">
        <f t="shared" si="8"/>
        <v>0.496483433625244</v>
      </c>
      <c r="N63">
        <f t="shared" si="11"/>
        <v>6.5588665800000001E-2</v>
      </c>
      <c r="O63">
        <f t="shared" si="9"/>
        <v>4.4038104180000003E-2</v>
      </c>
      <c r="P63">
        <f t="shared" si="10"/>
        <v>7.1310369370767984E-2</v>
      </c>
      <c r="V63">
        <v>-0.30000000000001997</v>
      </c>
      <c r="W63">
        <f t="shared" si="12"/>
        <v>-0.50246999999999931</v>
      </c>
    </row>
    <row r="64" spans="1:23" x14ac:dyDescent="0.3">
      <c r="A64">
        <v>3.1741879999999996</v>
      </c>
      <c r="B64">
        <v>0.49873000000000001</v>
      </c>
      <c r="C64">
        <f t="shared" si="1"/>
        <v>1.5830627812399998</v>
      </c>
      <c r="D64" s="1">
        <v>2.1000000000000001E-2</v>
      </c>
      <c r="E64" s="1">
        <v>1.41E-2</v>
      </c>
      <c r="F64">
        <f t="shared" si="2"/>
        <v>634.83759999999995</v>
      </c>
      <c r="G64">
        <f t="shared" si="3"/>
        <v>-0.49873000000000001</v>
      </c>
      <c r="H64">
        <f t="shared" si="4"/>
        <v>-316.61255624799998</v>
      </c>
      <c r="I64">
        <v>1</v>
      </c>
      <c r="J64">
        <f t="shared" si="5"/>
        <v>-0.45438606083004623</v>
      </c>
      <c r="K64">
        <f t="shared" si="6"/>
        <v>-0.68118057297601198</v>
      </c>
      <c r="L64">
        <v>1</v>
      </c>
      <c r="M64">
        <f t="shared" si="8"/>
        <v>0.49705104926486537</v>
      </c>
      <c r="N64">
        <f t="shared" si="11"/>
        <v>6.6657947999999995E-2</v>
      </c>
      <c r="O64">
        <f t="shared" si="9"/>
        <v>4.4756050799999995E-2</v>
      </c>
      <c r="P64">
        <f t="shared" si="10"/>
        <v>7.2715524911146606E-2</v>
      </c>
      <c r="V64">
        <v>-0.20000000000002</v>
      </c>
      <c r="W64">
        <f t="shared" si="12"/>
        <v>-0.50597999999999932</v>
      </c>
    </row>
    <row r="65" spans="1:23" x14ac:dyDescent="0.3">
      <c r="A65">
        <v>3.2251064</v>
      </c>
      <c r="B65">
        <v>0.49593999999999999</v>
      </c>
      <c r="C65">
        <f t="shared" si="1"/>
        <v>1.599459268016</v>
      </c>
      <c r="D65" s="1">
        <v>2.1000000000000001E-2</v>
      </c>
      <c r="E65" s="1">
        <v>1.41E-2</v>
      </c>
      <c r="F65">
        <f t="shared" si="2"/>
        <v>645.02128000000005</v>
      </c>
      <c r="G65">
        <f t="shared" si="3"/>
        <v>-0.49593999999999999</v>
      </c>
      <c r="H65">
        <f t="shared" si="4"/>
        <v>-319.89185360319999</v>
      </c>
      <c r="I65">
        <v>1</v>
      </c>
      <c r="J65">
        <f t="shared" si="5"/>
        <v>-0.43847197048253472</v>
      </c>
      <c r="K65">
        <f t="shared" si="6"/>
        <v>-0.68397057297601194</v>
      </c>
      <c r="L65">
        <v>1</v>
      </c>
      <c r="M65">
        <f t="shared" si="8"/>
        <v>0.49760963383606305</v>
      </c>
      <c r="N65">
        <f t="shared" si="11"/>
        <v>6.7727234400000003E-2</v>
      </c>
      <c r="O65">
        <f t="shared" si="9"/>
        <v>4.547400024E-2</v>
      </c>
      <c r="P65">
        <f t="shared" si="10"/>
        <v>7.315970449994888E-2</v>
      </c>
      <c r="V65">
        <v>-0.10000000000002</v>
      </c>
      <c r="W65">
        <f t="shared" si="12"/>
        <v>-0.50948999999999933</v>
      </c>
    </row>
    <row r="66" spans="1:23" x14ac:dyDescent="0.3">
      <c r="A66">
        <v>3.2775522000000001</v>
      </c>
      <c r="B66">
        <v>0.49238999999999999</v>
      </c>
      <c r="C66">
        <f t="shared" si="1"/>
        <v>1.6138339277580001</v>
      </c>
      <c r="D66" s="1">
        <v>2.1000000000000001E-2</v>
      </c>
      <c r="E66" s="1">
        <v>1.41E-2</v>
      </c>
      <c r="F66">
        <f t="shared" si="2"/>
        <v>655.51044000000002</v>
      </c>
      <c r="G66">
        <f t="shared" si="3"/>
        <v>-0.49238999999999999</v>
      </c>
      <c r="H66">
        <f t="shared" si="4"/>
        <v>-322.76678555160004</v>
      </c>
      <c r="I66">
        <v>1</v>
      </c>
      <c r="J66">
        <f t="shared" si="5"/>
        <v>-0.4223410491317568</v>
      </c>
      <c r="K66">
        <f t="shared" si="6"/>
        <v>-0.68752057297601199</v>
      </c>
      <c r="L66">
        <v>1</v>
      </c>
      <c r="M66">
        <f t="shared" si="8"/>
        <v>0.49817582917547537</v>
      </c>
      <c r="N66">
        <f t="shared" si="11"/>
        <v>6.8828596200000008E-2</v>
      </c>
      <c r="O66">
        <f t="shared" si="9"/>
        <v>4.621348602E-2</v>
      </c>
      <c r="P66">
        <f t="shared" si="10"/>
        <v>7.4302661580536611E-2</v>
      </c>
      <c r="V66">
        <v>-2.0428103653102899E-14</v>
      </c>
      <c r="W66">
        <f t="shared" si="12"/>
        <v>-0.51299999999999935</v>
      </c>
    </row>
    <row r="67" spans="1:23" x14ac:dyDescent="0.3">
      <c r="A67">
        <v>3.3299979999999998</v>
      </c>
      <c r="B67">
        <v>0.48937000000000003</v>
      </c>
      <c r="C67">
        <f t="shared" si="1"/>
        <v>1.6296011212599999</v>
      </c>
      <c r="D67" s="1">
        <v>2.1000000000000001E-2</v>
      </c>
      <c r="E67" s="1">
        <v>1.41E-2</v>
      </c>
      <c r="F67">
        <f t="shared" si="2"/>
        <v>665.99959999999999</v>
      </c>
      <c r="G67">
        <f t="shared" si="3"/>
        <v>-0.48937000000000003</v>
      </c>
      <c r="H67">
        <f t="shared" si="4"/>
        <v>-325.92022425199997</v>
      </c>
      <c r="I67">
        <v>1</v>
      </c>
      <c r="J67">
        <f t="shared" si="5"/>
        <v>-0.40646620904252884</v>
      </c>
      <c r="K67">
        <f t="shared" si="6"/>
        <v>-0.6905405729760119</v>
      </c>
      <c r="L67">
        <v>1</v>
      </c>
      <c r="M67">
        <f t="shared" si="8"/>
        <v>0.49873303606260727</v>
      </c>
      <c r="N67">
        <f t="shared" si="11"/>
        <v>6.9929958E-2</v>
      </c>
      <c r="O67">
        <f t="shared" si="9"/>
        <v>4.6952971799999993E-2</v>
      </c>
      <c r="P67">
        <f t="shared" si="10"/>
        <v>7.4924607113404637E-2</v>
      </c>
      <c r="V67">
        <v>9.9999999999980105E-2</v>
      </c>
      <c r="W67">
        <f t="shared" si="12"/>
        <v>-0.51650999999999936</v>
      </c>
    </row>
    <row r="68" spans="1:23" x14ac:dyDescent="0.3">
      <c r="A68">
        <v>3.3824441000000003</v>
      </c>
      <c r="B68">
        <v>0.48607</v>
      </c>
      <c r="C68">
        <f t="shared" si="1"/>
        <v>1.6441046036870002</v>
      </c>
      <c r="D68" s="1">
        <v>2.1000000000000001E-2</v>
      </c>
      <c r="E68" s="1">
        <v>1.41E-2</v>
      </c>
      <c r="F68">
        <f t="shared" si="2"/>
        <v>676.48882000000003</v>
      </c>
      <c r="G68">
        <f t="shared" si="3"/>
        <v>-0.48607</v>
      </c>
      <c r="H68">
        <f t="shared" si="4"/>
        <v>-328.82092073740006</v>
      </c>
      <c r="I68">
        <v>1</v>
      </c>
      <c r="J68">
        <f t="shared" si="5"/>
        <v>-0.39083935774584377</v>
      </c>
      <c r="K68">
        <f t="shared" si="6"/>
        <v>-0.69384057297601198</v>
      </c>
      <c r="L68">
        <v>1</v>
      </c>
      <c r="M68">
        <f t="shared" si="8"/>
        <v>0.49928153854312091</v>
      </c>
      <c r="N68">
        <f t="shared" si="11"/>
        <v>7.1031326100000014E-2</v>
      </c>
      <c r="O68">
        <f t="shared" si="9"/>
        <v>4.7692461810000003E-2</v>
      </c>
      <c r="P68">
        <f t="shared" si="10"/>
        <v>7.5835246522891059E-2</v>
      </c>
      <c r="V68">
        <v>0.19999999999998</v>
      </c>
      <c r="W68">
        <f t="shared" si="12"/>
        <v>-0.52001999999999926</v>
      </c>
    </row>
    <row r="69" spans="1:23" x14ac:dyDescent="0.3">
      <c r="A69">
        <v>3.4328532999999997</v>
      </c>
      <c r="B69">
        <v>0.48324</v>
      </c>
      <c r="C69">
        <f t="shared" ref="C69:C132" si="13">A69*B69</f>
        <v>1.6588920286919999</v>
      </c>
      <c r="D69" s="1">
        <v>2.1000000000000001E-2</v>
      </c>
      <c r="E69" s="1">
        <v>1.41E-2</v>
      </c>
      <c r="F69">
        <f t="shared" ref="F69:F132" si="14">A69*200</f>
        <v>686.57065999999998</v>
      </c>
      <c r="G69">
        <f t="shared" ref="G69:G132" si="15">-B69</f>
        <v>-0.48324</v>
      </c>
      <c r="H69">
        <f t="shared" ref="H69:H132" si="16">-C69*200</f>
        <v>-331.77840573840001</v>
      </c>
      <c r="I69">
        <v>1</v>
      </c>
      <c r="J69">
        <f t="shared" ref="J69:J132" si="17">LN(F69/1000)</f>
        <v>-0.37604613117570351</v>
      </c>
      <c r="K69">
        <f t="shared" ref="K69:K132" si="18">((-G69)-$N$2)</f>
        <v>-0.69667057297601198</v>
      </c>
      <c r="L69">
        <v>1</v>
      </c>
      <c r="M69">
        <f t="shared" si="8"/>
        <v>0.49980078079573281</v>
      </c>
      <c r="N69">
        <f t="shared" si="11"/>
        <v>7.2089919299999999E-2</v>
      </c>
      <c r="O69">
        <f t="shared" si="9"/>
        <v>4.8403231529999993E-2</v>
      </c>
      <c r="P69">
        <f t="shared" si="10"/>
        <v>7.6376641350279176E-2</v>
      </c>
      <c r="V69">
        <v>0.29999999999998</v>
      </c>
      <c r="W69">
        <f t="shared" si="12"/>
        <v>-0.52352999999999927</v>
      </c>
    </row>
    <row r="70" spans="1:23" x14ac:dyDescent="0.3">
      <c r="A70">
        <v>3.4837714999999996</v>
      </c>
      <c r="B70">
        <v>0.48036000000000001</v>
      </c>
      <c r="C70">
        <f t="shared" si="13"/>
        <v>1.6734644777399998</v>
      </c>
      <c r="D70" s="1">
        <v>2.1000000000000001E-2</v>
      </c>
      <c r="E70" s="1">
        <v>1.41E-2</v>
      </c>
      <c r="F70">
        <f t="shared" si="14"/>
        <v>696.75429999999994</v>
      </c>
      <c r="G70">
        <f t="shared" si="15"/>
        <v>-0.48036000000000001</v>
      </c>
      <c r="H70">
        <f t="shared" si="16"/>
        <v>-334.69289554799997</v>
      </c>
      <c r="I70">
        <v>1</v>
      </c>
      <c r="J70">
        <f t="shared" si="17"/>
        <v>-0.3613224411285384</v>
      </c>
      <c r="K70">
        <f t="shared" si="18"/>
        <v>-0.69955057297601198</v>
      </c>
      <c r="L70">
        <v>1</v>
      </c>
      <c r="M70">
        <f t="shared" ref="M70:M133" si="19">-1*($S$4+($S$5*J70))</f>
        <v>0.50031758231638834</v>
      </c>
      <c r="N70">
        <f t="shared" si="11"/>
        <v>7.3159201499999993E-2</v>
      </c>
      <c r="O70">
        <f t="shared" ref="O70:O133" si="20">E70*A70</f>
        <v>4.9121178149999993E-2</v>
      </c>
      <c r="P70">
        <f t="shared" ref="P70:P133" si="21">-K70-M70-N70-O70</f>
        <v>7.6952611009623639E-2</v>
      </c>
      <c r="V70">
        <v>0.39999999999997998</v>
      </c>
      <c r="W70">
        <f t="shared" si="12"/>
        <v>-0.52703999999999929</v>
      </c>
    </row>
    <row r="71" spans="1:23" x14ac:dyDescent="0.3">
      <c r="A71">
        <v>3.5341806999999998</v>
      </c>
      <c r="B71">
        <v>0.47789999999999999</v>
      </c>
      <c r="C71">
        <f t="shared" si="13"/>
        <v>1.6889849565299999</v>
      </c>
      <c r="D71" s="1">
        <v>2.1000000000000001E-2</v>
      </c>
      <c r="E71" s="1">
        <v>1.41E-2</v>
      </c>
      <c r="F71">
        <f t="shared" si="14"/>
        <v>706.83614</v>
      </c>
      <c r="G71">
        <f t="shared" si="15"/>
        <v>-0.47789999999999999</v>
      </c>
      <c r="H71">
        <f t="shared" si="16"/>
        <v>-337.796991306</v>
      </c>
      <c r="I71">
        <v>1</v>
      </c>
      <c r="J71">
        <f t="shared" si="17"/>
        <v>-0.34695640798187205</v>
      </c>
      <c r="K71">
        <f t="shared" si="18"/>
        <v>-0.70201057297601199</v>
      </c>
      <c r="L71">
        <v>1</v>
      </c>
      <c r="M71">
        <f t="shared" si="19"/>
        <v>0.50082183007983627</v>
      </c>
      <c r="N71">
        <f t="shared" ref="N71:N134" si="22">D71*A71</f>
        <v>7.4217794700000006E-2</v>
      </c>
      <c r="O71">
        <f t="shared" si="20"/>
        <v>4.9831947869999997E-2</v>
      </c>
      <c r="P71">
        <f t="shared" si="21"/>
        <v>7.7139000326175711E-2</v>
      </c>
      <c r="V71">
        <v>0.49999999999998002</v>
      </c>
      <c r="W71">
        <f t="shared" ref="W71:W134" si="23">V71*$S$5+$S$4</f>
        <v>-0.5305499999999993</v>
      </c>
    </row>
    <row r="72" spans="1:23" x14ac:dyDescent="0.3">
      <c r="A72">
        <v>3.5856081999999998</v>
      </c>
      <c r="B72">
        <v>0.47439999999999999</v>
      </c>
      <c r="C72">
        <f t="shared" si="13"/>
        <v>1.7010125300799999</v>
      </c>
      <c r="D72" s="1">
        <v>2.1000000000000001E-2</v>
      </c>
      <c r="E72" s="1">
        <v>1.41E-2</v>
      </c>
      <c r="F72">
        <f t="shared" si="14"/>
        <v>717.12163999999996</v>
      </c>
      <c r="G72">
        <f t="shared" si="15"/>
        <v>-0.47439999999999999</v>
      </c>
      <c r="H72">
        <f t="shared" si="16"/>
        <v>-340.20250601599997</v>
      </c>
      <c r="I72">
        <v>1</v>
      </c>
      <c r="J72">
        <f t="shared" si="17"/>
        <v>-0.33250980144671016</v>
      </c>
      <c r="K72">
        <f t="shared" si="18"/>
        <v>-0.70551057297601205</v>
      </c>
      <c r="L72">
        <v>1</v>
      </c>
      <c r="M72">
        <f t="shared" si="19"/>
        <v>0.50132890596922053</v>
      </c>
      <c r="N72">
        <f t="shared" si="22"/>
        <v>7.5297772200000002E-2</v>
      </c>
      <c r="O72">
        <f t="shared" si="20"/>
        <v>5.0557075619999996E-2</v>
      </c>
      <c r="P72">
        <f t="shared" si="21"/>
        <v>7.8326819186791519E-2</v>
      </c>
      <c r="V72">
        <v>0.59999999999997999</v>
      </c>
      <c r="W72">
        <f t="shared" si="23"/>
        <v>-0.53405999999999931</v>
      </c>
    </row>
    <row r="73" spans="1:23" x14ac:dyDescent="0.3">
      <c r="A73">
        <v>3.6360172999999998</v>
      </c>
      <c r="B73">
        <v>0.47141</v>
      </c>
      <c r="C73">
        <f t="shared" si="13"/>
        <v>1.7140549153929998</v>
      </c>
      <c r="D73" s="1">
        <v>2.1000000000000001E-2</v>
      </c>
      <c r="E73" s="1">
        <v>1.41E-2</v>
      </c>
      <c r="F73">
        <f t="shared" si="14"/>
        <v>727.20345999999995</v>
      </c>
      <c r="G73">
        <f t="shared" si="15"/>
        <v>-0.47141</v>
      </c>
      <c r="H73">
        <f t="shared" si="16"/>
        <v>-342.81098307859997</v>
      </c>
      <c r="I73">
        <v>1</v>
      </c>
      <c r="J73">
        <f t="shared" si="17"/>
        <v>-0.31854897815438965</v>
      </c>
      <c r="K73">
        <f t="shared" si="18"/>
        <v>-0.70850057297601199</v>
      </c>
      <c r="L73">
        <v>1</v>
      </c>
      <c r="M73">
        <f t="shared" si="19"/>
        <v>0.50181893086678098</v>
      </c>
      <c r="N73">
        <f t="shared" si="22"/>
        <v>7.6356363299999994E-2</v>
      </c>
      <c r="O73">
        <f t="shared" si="20"/>
        <v>5.1267843929999994E-2</v>
      </c>
      <c r="P73">
        <f t="shared" si="21"/>
        <v>7.9057434879231003E-2</v>
      </c>
      <c r="V73">
        <v>0.69999999999997997</v>
      </c>
      <c r="W73">
        <f t="shared" si="23"/>
        <v>-0.53756999999999933</v>
      </c>
    </row>
    <row r="74" spans="1:23" x14ac:dyDescent="0.3">
      <c r="A74">
        <v>3.6864265000000001</v>
      </c>
      <c r="B74">
        <v>0.46867999999999999</v>
      </c>
      <c r="C74">
        <f t="shared" si="13"/>
        <v>1.7277543720199999</v>
      </c>
      <c r="D74" s="1">
        <v>2.1000000000000001E-2</v>
      </c>
      <c r="E74" s="1">
        <v>1.41E-2</v>
      </c>
      <c r="F74">
        <f t="shared" si="14"/>
        <v>737.28530000000001</v>
      </c>
      <c r="G74">
        <f t="shared" si="15"/>
        <v>-0.46867999999999999</v>
      </c>
      <c r="H74">
        <f t="shared" si="16"/>
        <v>-345.55087440400001</v>
      </c>
      <c r="I74">
        <v>1</v>
      </c>
      <c r="J74">
        <f t="shared" si="17"/>
        <v>-0.30478035179548829</v>
      </c>
      <c r="K74">
        <f t="shared" si="18"/>
        <v>-0.711230572976012</v>
      </c>
      <c r="L74">
        <v>1</v>
      </c>
      <c r="M74">
        <f t="shared" si="19"/>
        <v>0.50230220965197836</v>
      </c>
      <c r="N74">
        <f t="shared" si="22"/>
        <v>7.7414956500000007E-2</v>
      </c>
      <c r="O74">
        <f t="shared" si="20"/>
        <v>5.1978613649999998E-2</v>
      </c>
      <c r="P74">
        <f t="shared" si="21"/>
        <v>7.9534793174033613E-2</v>
      </c>
      <c r="V74">
        <v>0.79999999999997995</v>
      </c>
      <c r="W74">
        <f t="shared" si="23"/>
        <v>-0.54107999999999934</v>
      </c>
    </row>
    <row r="75" spans="1:23" x14ac:dyDescent="0.3">
      <c r="A75">
        <v>3.7393812999999998</v>
      </c>
      <c r="B75">
        <v>0.4657</v>
      </c>
      <c r="C75">
        <f t="shared" si="13"/>
        <v>1.7414298714099998</v>
      </c>
      <c r="D75" s="1">
        <v>2.1000000000000001E-2</v>
      </c>
      <c r="E75" s="1">
        <v>1.41E-2</v>
      </c>
      <c r="F75">
        <f t="shared" si="14"/>
        <v>747.87626</v>
      </c>
      <c r="G75">
        <f t="shared" si="15"/>
        <v>-0.4657</v>
      </c>
      <c r="H75">
        <f t="shared" si="16"/>
        <v>-348.28597428199998</v>
      </c>
      <c r="I75">
        <v>1</v>
      </c>
      <c r="J75">
        <f t="shared" si="17"/>
        <v>-0.29051774249983547</v>
      </c>
      <c r="K75">
        <f t="shared" si="18"/>
        <v>-0.71421057297601198</v>
      </c>
      <c r="L75">
        <v>1</v>
      </c>
      <c r="M75">
        <f t="shared" si="19"/>
        <v>0.50280282723825576</v>
      </c>
      <c r="N75">
        <f t="shared" si="22"/>
        <v>7.8527007300000007E-2</v>
      </c>
      <c r="O75">
        <f t="shared" si="20"/>
        <v>5.2725276329999994E-2</v>
      </c>
      <c r="P75">
        <f t="shared" si="21"/>
        <v>8.0155462107756231E-2</v>
      </c>
      <c r="V75">
        <v>0.89999999999998004</v>
      </c>
      <c r="W75">
        <f t="shared" si="23"/>
        <v>-0.54458999999999935</v>
      </c>
    </row>
    <row r="76" spans="1:23" x14ac:dyDescent="0.3">
      <c r="A76">
        <v>3.7902999999999998</v>
      </c>
      <c r="B76">
        <v>0.46311999999999998</v>
      </c>
      <c r="C76">
        <f t="shared" si="13"/>
        <v>1.7553637359999998</v>
      </c>
      <c r="D76" s="1">
        <v>2.1000000000000001E-2</v>
      </c>
      <c r="E76" s="1">
        <v>1.41E-2</v>
      </c>
      <c r="F76">
        <f t="shared" si="14"/>
        <v>758.06</v>
      </c>
      <c r="G76">
        <f t="shared" si="15"/>
        <v>-0.46311999999999998</v>
      </c>
      <c r="H76">
        <f t="shared" si="16"/>
        <v>-351.07274719999998</v>
      </c>
      <c r="I76">
        <v>1</v>
      </c>
      <c r="J76">
        <f t="shared" si="17"/>
        <v>-0.27699274079958719</v>
      </c>
      <c r="K76">
        <f t="shared" si="18"/>
        <v>-0.71679057297601201</v>
      </c>
      <c r="L76">
        <v>1</v>
      </c>
      <c r="M76">
        <f t="shared" si="19"/>
        <v>0.50327755479793446</v>
      </c>
      <c r="N76">
        <f t="shared" si="22"/>
        <v>7.9596299999999995E-2</v>
      </c>
      <c r="O76">
        <f t="shared" si="20"/>
        <v>5.3443229999999994E-2</v>
      </c>
      <c r="P76">
        <f t="shared" si="21"/>
        <v>8.0473488178077549E-2</v>
      </c>
      <c r="V76">
        <v>0.99999999999998002</v>
      </c>
      <c r="W76">
        <f t="shared" si="23"/>
        <v>-0.54809999999999937</v>
      </c>
    </row>
    <row r="77" spans="1:23" x14ac:dyDescent="0.3">
      <c r="A77">
        <v>3.8427458000000003</v>
      </c>
      <c r="B77">
        <v>0.46005000000000001</v>
      </c>
      <c r="C77">
        <f t="shared" si="13"/>
        <v>1.7678552052900003</v>
      </c>
      <c r="D77" s="1">
        <v>2.1000000000000001E-2</v>
      </c>
      <c r="E77" s="1">
        <v>1.41E-2</v>
      </c>
      <c r="F77">
        <f t="shared" si="14"/>
        <v>768.54916000000003</v>
      </c>
      <c r="G77">
        <f t="shared" si="15"/>
        <v>-0.46005000000000001</v>
      </c>
      <c r="H77">
        <f t="shared" si="16"/>
        <v>-353.57104105800005</v>
      </c>
      <c r="I77">
        <v>1</v>
      </c>
      <c r="J77">
        <f t="shared" si="17"/>
        <v>-0.26325074927906916</v>
      </c>
      <c r="K77">
        <f t="shared" si="18"/>
        <v>-0.71986057297601191</v>
      </c>
      <c r="L77">
        <v>1</v>
      </c>
      <c r="M77">
        <f t="shared" si="19"/>
        <v>0.50375989870030469</v>
      </c>
      <c r="N77">
        <f t="shared" si="22"/>
        <v>8.0697661800000015E-2</v>
      </c>
      <c r="O77">
        <f t="shared" si="20"/>
        <v>5.4182715780000001E-2</v>
      </c>
      <c r="P77">
        <f t="shared" si="21"/>
        <v>8.1220296695707211E-2</v>
      </c>
      <c r="V77">
        <v>1.0999999999999699</v>
      </c>
      <c r="W77">
        <f t="shared" si="23"/>
        <v>-0.55160999999999893</v>
      </c>
    </row>
    <row r="78" spans="1:23" x14ac:dyDescent="0.3">
      <c r="A78">
        <v>3.8946823999999998</v>
      </c>
      <c r="B78">
        <v>0.45716000000000001</v>
      </c>
      <c r="C78">
        <f t="shared" si="13"/>
        <v>1.7804930059839998</v>
      </c>
      <c r="D78" s="1">
        <v>2.1000000000000001E-2</v>
      </c>
      <c r="E78" s="1">
        <v>1.41E-2</v>
      </c>
      <c r="F78">
        <f t="shared" si="14"/>
        <v>778.93647999999996</v>
      </c>
      <c r="G78">
        <f t="shared" si="15"/>
        <v>-0.45716000000000001</v>
      </c>
      <c r="H78">
        <f t="shared" si="16"/>
        <v>-356.09860119679996</v>
      </c>
      <c r="I78">
        <v>1</v>
      </c>
      <c r="J78">
        <f t="shared" si="17"/>
        <v>-0.249825776872448</v>
      </c>
      <c r="K78">
        <f t="shared" si="18"/>
        <v>-0.72275057297601197</v>
      </c>
      <c r="L78">
        <v>1</v>
      </c>
      <c r="M78">
        <f t="shared" si="19"/>
        <v>0.50423111523177711</v>
      </c>
      <c r="N78">
        <f t="shared" si="22"/>
        <v>8.1788330399999998E-2</v>
      </c>
      <c r="O78">
        <f t="shared" si="20"/>
        <v>5.4915021839999995E-2</v>
      </c>
      <c r="P78">
        <f t="shared" si="21"/>
        <v>8.1816105504234876E-2</v>
      </c>
      <c r="V78">
        <v>1.19999999999997</v>
      </c>
      <c r="W78">
        <f t="shared" si="23"/>
        <v>-0.55511999999999895</v>
      </c>
    </row>
    <row r="79" spans="1:23" x14ac:dyDescent="0.3">
      <c r="A79">
        <v>3.9456006000000001</v>
      </c>
      <c r="B79">
        <v>0.45438000000000001</v>
      </c>
      <c r="C79">
        <f t="shared" si="13"/>
        <v>1.7928020006280001</v>
      </c>
      <c r="D79" s="1">
        <v>2.1000000000000001E-2</v>
      </c>
      <c r="E79" s="1">
        <v>1.41E-2</v>
      </c>
      <c r="F79">
        <f t="shared" si="14"/>
        <v>789.12012000000004</v>
      </c>
      <c r="G79">
        <f t="shared" si="15"/>
        <v>-0.45438000000000001</v>
      </c>
      <c r="H79">
        <f t="shared" si="16"/>
        <v>-358.56040012560004</v>
      </c>
      <c r="I79">
        <v>1</v>
      </c>
      <c r="J79">
        <f t="shared" si="17"/>
        <v>-0.23683672637809719</v>
      </c>
      <c r="K79">
        <f t="shared" si="18"/>
        <v>-0.72553057297601198</v>
      </c>
      <c r="L79">
        <v>1</v>
      </c>
      <c r="M79">
        <f t="shared" si="19"/>
        <v>0.50468703090412881</v>
      </c>
      <c r="N79">
        <f t="shared" si="22"/>
        <v>8.2857612600000005E-2</v>
      </c>
      <c r="O79">
        <f t="shared" si="20"/>
        <v>5.5632968460000001E-2</v>
      </c>
      <c r="P79">
        <f t="shared" si="21"/>
        <v>8.235296101188315E-2</v>
      </c>
      <c r="V79">
        <v>1.2999999999999701</v>
      </c>
      <c r="W79">
        <f t="shared" si="23"/>
        <v>-0.55862999999999896</v>
      </c>
    </row>
    <row r="80" spans="1:23" x14ac:dyDescent="0.3">
      <c r="A80">
        <v>3.9960097999999999</v>
      </c>
      <c r="B80">
        <v>0.45138</v>
      </c>
      <c r="C80">
        <f t="shared" si="13"/>
        <v>1.803718903524</v>
      </c>
      <c r="D80" s="1">
        <v>2.1000000000000001E-2</v>
      </c>
      <c r="E80" s="1">
        <v>1.41E-2</v>
      </c>
      <c r="F80">
        <f t="shared" si="14"/>
        <v>799.20195999999999</v>
      </c>
      <c r="G80">
        <f t="shared" si="15"/>
        <v>-0.45138</v>
      </c>
      <c r="H80">
        <f t="shared" si="16"/>
        <v>-360.74378070479997</v>
      </c>
      <c r="I80">
        <v>1</v>
      </c>
      <c r="J80">
        <f t="shared" si="17"/>
        <v>-0.22414159919834811</v>
      </c>
      <c r="K80">
        <f t="shared" si="18"/>
        <v>-0.72853057297601198</v>
      </c>
      <c r="L80">
        <v>1</v>
      </c>
      <c r="M80">
        <f t="shared" si="19"/>
        <v>0.50513262986813801</v>
      </c>
      <c r="N80">
        <f t="shared" si="22"/>
        <v>8.3916205800000004E-2</v>
      </c>
      <c r="O80">
        <f t="shared" si="20"/>
        <v>5.6343738179999998E-2</v>
      </c>
      <c r="P80">
        <f t="shared" si="21"/>
        <v>8.3137999127873979E-2</v>
      </c>
      <c r="V80">
        <v>1.3999999999999699</v>
      </c>
      <c r="W80">
        <f t="shared" si="23"/>
        <v>-0.56213999999999897</v>
      </c>
    </row>
    <row r="81" spans="1:23" x14ac:dyDescent="0.3">
      <c r="A81">
        <v>4.0474375</v>
      </c>
      <c r="B81">
        <v>0.44838</v>
      </c>
      <c r="C81">
        <f t="shared" si="13"/>
        <v>1.8147900262500001</v>
      </c>
      <c r="D81" s="1">
        <v>2.1000000000000001E-2</v>
      </c>
      <c r="E81" s="1">
        <v>1.41E-2</v>
      </c>
      <c r="F81">
        <f t="shared" si="14"/>
        <v>809.48749999999995</v>
      </c>
      <c r="G81">
        <f t="shared" si="15"/>
        <v>-0.44838</v>
      </c>
      <c r="H81">
        <f t="shared" si="16"/>
        <v>-362.95800525000004</v>
      </c>
      <c r="I81">
        <v>1</v>
      </c>
      <c r="J81">
        <f t="shared" si="17"/>
        <v>-0.21135394761430673</v>
      </c>
      <c r="K81">
        <f t="shared" si="18"/>
        <v>-0.73153057297601198</v>
      </c>
      <c r="L81">
        <v>1</v>
      </c>
      <c r="M81">
        <f t="shared" si="19"/>
        <v>0.50558147643873785</v>
      </c>
      <c r="N81">
        <f t="shared" si="22"/>
        <v>8.4996187500000001E-2</v>
      </c>
      <c r="O81">
        <f t="shared" si="20"/>
        <v>5.7068868750000001E-2</v>
      </c>
      <c r="P81">
        <f t="shared" si="21"/>
        <v>8.3884040287274142E-2</v>
      </c>
      <c r="V81">
        <v>1.49999999999997</v>
      </c>
      <c r="W81">
        <f t="shared" si="23"/>
        <v>-0.56564999999999899</v>
      </c>
    </row>
    <row r="82" spans="1:23" x14ac:dyDescent="0.3">
      <c r="A82">
        <v>4.0993740000000001</v>
      </c>
      <c r="B82">
        <v>0.44588</v>
      </c>
      <c r="C82">
        <f t="shared" si="13"/>
        <v>1.8278288791199999</v>
      </c>
      <c r="D82" s="1">
        <v>2.1000000000000001E-2</v>
      </c>
      <c r="E82" s="1">
        <v>1.41E-2</v>
      </c>
      <c r="F82">
        <f t="shared" si="14"/>
        <v>819.87480000000005</v>
      </c>
      <c r="G82">
        <f t="shared" si="15"/>
        <v>-0.44588</v>
      </c>
      <c r="H82">
        <f t="shared" si="16"/>
        <v>-365.56577582399996</v>
      </c>
      <c r="I82">
        <v>1</v>
      </c>
      <c r="J82">
        <f t="shared" si="17"/>
        <v>-0.19860363330789216</v>
      </c>
      <c r="K82">
        <f t="shared" si="18"/>
        <v>-0.73403057297601193</v>
      </c>
      <c r="L82">
        <v>1</v>
      </c>
      <c r="M82">
        <f t="shared" si="19"/>
        <v>0.50602901247089305</v>
      </c>
      <c r="N82">
        <f t="shared" si="22"/>
        <v>8.6086854000000004E-2</v>
      </c>
      <c r="O82">
        <f t="shared" si="20"/>
        <v>5.7801173400000003E-2</v>
      </c>
      <c r="P82">
        <f t="shared" si="21"/>
        <v>8.411353310511889E-2</v>
      </c>
      <c r="V82">
        <v>1.5999999999999699</v>
      </c>
      <c r="W82">
        <f t="shared" si="23"/>
        <v>-0.569159999999999</v>
      </c>
    </row>
    <row r="83" spans="1:23" x14ac:dyDescent="0.3">
      <c r="A83">
        <v>4.1523295999999998</v>
      </c>
      <c r="B83">
        <v>0.44318999999999997</v>
      </c>
      <c r="C83">
        <f t="shared" si="13"/>
        <v>1.8402709554239998</v>
      </c>
      <c r="D83" s="1">
        <v>2.1000000000000001E-2</v>
      </c>
      <c r="E83" s="1">
        <v>1.41E-2</v>
      </c>
      <c r="F83">
        <f t="shared" si="14"/>
        <v>830.46591999999998</v>
      </c>
      <c r="G83">
        <f t="shared" si="15"/>
        <v>-0.44318999999999997</v>
      </c>
      <c r="H83">
        <f t="shared" si="16"/>
        <v>-368.05419108479998</v>
      </c>
      <c r="I83">
        <v>1</v>
      </c>
      <c r="J83">
        <f t="shared" si="17"/>
        <v>-0.18576838629153816</v>
      </c>
      <c r="K83">
        <f t="shared" si="18"/>
        <v>-0.73672057297601201</v>
      </c>
      <c r="L83">
        <v>1</v>
      </c>
      <c r="M83">
        <f t="shared" si="19"/>
        <v>0.50647952964116705</v>
      </c>
      <c r="N83">
        <f t="shared" si="22"/>
        <v>8.7198921600000007E-2</v>
      </c>
      <c r="O83">
        <f t="shared" si="20"/>
        <v>5.8547847359999995E-2</v>
      </c>
      <c r="P83">
        <f t="shared" si="21"/>
        <v>8.4494274374844969E-2</v>
      </c>
      <c r="V83">
        <v>1.69999999999997</v>
      </c>
      <c r="W83">
        <f t="shared" si="23"/>
        <v>-0.5726699999999989</v>
      </c>
    </row>
    <row r="84" spans="1:23" x14ac:dyDescent="0.3">
      <c r="A84">
        <v>4.2047749000000003</v>
      </c>
      <c r="B84">
        <v>0.44052999999999998</v>
      </c>
      <c r="C84">
        <f t="shared" si="13"/>
        <v>1.8523294866970001</v>
      </c>
      <c r="D84" s="1">
        <v>2.1000000000000001E-2</v>
      </c>
      <c r="E84" s="1">
        <v>1.41E-2</v>
      </c>
      <c r="F84">
        <f t="shared" si="14"/>
        <v>840.95498000000009</v>
      </c>
      <c r="G84">
        <f t="shared" si="15"/>
        <v>-0.44052999999999998</v>
      </c>
      <c r="H84">
        <f t="shared" si="16"/>
        <v>-370.46589733940004</v>
      </c>
      <c r="I84">
        <v>1</v>
      </c>
      <c r="J84">
        <f t="shared" si="17"/>
        <v>-0.17321715195215828</v>
      </c>
      <c r="K84">
        <f t="shared" si="18"/>
        <v>-0.73938057297601201</v>
      </c>
      <c r="L84">
        <v>1</v>
      </c>
      <c r="M84">
        <f t="shared" si="19"/>
        <v>0.50692007796647931</v>
      </c>
      <c r="N84">
        <f t="shared" si="22"/>
        <v>8.8300272900000018E-2</v>
      </c>
      <c r="O84">
        <f t="shared" si="20"/>
        <v>5.9287326090000002E-2</v>
      </c>
      <c r="P84">
        <f t="shared" si="21"/>
        <v>8.4872896019532656E-2</v>
      </c>
      <c r="V84">
        <v>1.7999999999999701</v>
      </c>
      <c r="W84">
        <f t="shared" si="23"/>
        <v>-0.57617999999999892</v>
      </c>
    </row>
    <row r="85" spans="1:23" x14ac:dyDescent="0.3">
      <c r="A85">
        <v>4.2551841000000001</v>
      </c>
      <c r="B85">
        <v>0.43769000000000002</v>
      </c>
      <c r="C85">
        <f t="shared" si="13"/>
        <v>1.8624515287290002</v>
      </c>
      <c r="D85" s="1">
        <v>2.1000000000000001E-2</v>
      </c>
      <c r="E85" s="1">
        <v>1.41E-2</v>
      </c>
      <c r="F85">
        <f t="shared" si="14"/>
        <v>851.03682000000003</v>
      </c>
      <c r="G85">
        <f t="shared" si="15"/>
        <v>-0.43769000000000002</v>
      </c>
      <c r="H85">
        <f t="shared" si="16"/>
        <v>-372.49030574580001</v>
      </c>
      <c r="I85">
        <v>1</v>
      </c>
      <c r="J85">
        <f t="shared" si="17"/>
        <v>-0.16129988459973563</v>
      </c>
      <c r="K85">
        <f t="shared" si="18"/>
        <v>-0.74222057297601196</v>
      </c>
      <c r="L85">
        <v>1</v>
      </c>
      <c r="M85">
        <f t="shared" si="19"/>
        <v>0.50733837405054927</v>
      </c>
      <c r="N85">
        <f t="shared" si="22"/>
        <v>8.9358866100000003E-2</v>
      </c>
      <c r="O85">
        <f t="shared" si="20"/>
        <v>5.9998095809999999E-2</v>
      </c>
      <c r="P85">
        <f t="shared" si="21"/>
        <v>8.5525237015462705E-2</v>
      </c>
      <c r="V85">
        <v>1.8999999999999699</v>
      </c>
      <c r="W85">
        <f t="shared" si="23"/>
        <v>-0.57968999999999893</v>
      </c>
    </row>
    <row r="86" spans="1:23" x14ac:dyDescent="0.3">
      <c r="A86">
        <v>4.3055933</v>
      </c>
      <c r="B86">
        <v>0.43484</v>
      </c>
      <c r="C86">
        <f t="shared" si="13"/>
        <v>1.872244190572</v>
      </c>
      <c r="D86" s="1">
        <v>2.1000000000000001E-2</v>
      </c>
      <c r="E86" s="1">
        <v>1.41E-2</v>
      </c>
      <c r="F86">
        <f t="shared" si="14"/>
        <v>861.11865999999998</v>
      </c>
      <c r="G86">
        <f t="shared" si="15"/>
        <v>-0.43484</v>
      </c>
      <c r="H86">
        <f t="shared" si="16"/>
        <v>-374.44883811440002</v>
      </c>
      <c r="I86">
        <v>1</v>
      </c>
      <c r="J86">
        <f t="shared" si="17"/>
        <v>-0.14952296755777605</v>
      </c>
      <c r="K86">
        <f t="shared" si="18"/>
        <v>-0.74507057297601198</v>
      </c>
      <c r="L86">
        <v>1</v>
      </c>
      <c r="M86">
        <f t="shared" si="19"/>
        <v>0.50775174383872212</v>
      </c>
      <c r="N86">
        <f t="shared" si="22"/>
        <v>9.0417459300000003E-2</v>
      </c>
      <c r="O86">
        <f t="shared" si="20"/>
        <v>6.0708865529999996E-2</v>
      </c>
      <c r="P86">
        <f t="shared" si="21"/>
        <v>8.6192504307289863E-2</v>
      </c>
      <c r="V86">
        <v>1.99999999999997</v>
      </c>
      <c r="W86">
        <f t="shared" si="23"/>
        <v>-0.58319999999999894</v>
      </c>
    </row>
    <row r="87" spans="1:23" x14ac:dyDescent="0.3">
      <c r="A87">
        <v>4.3565122000000001</v>
      </c>
      <c r="B87">
        <v>0.43219000000000002</v>
      </c>
      <c r="C87">
        <f t="shared" si="13"/>
        <v>1.882841007718</v>
      </c>
      <c r="D87" s="1">
        <v>2.1000000000000001E-2</v>
      </c>
      <c r="E87" s="1">
        <v>1.41E-2</v>
      </c>
      <c r="F87">
        <f t="shared" si="14"/>
        <v>871.30244000000005</v>
      </c>
      <c r="G87">
        <f t="shared" si="15"/>
        <v>-0.43219000000000002</v>
      </c>
      <c r="H87">
        <f t="shared" si="16"/>
        <v>-376.56820154360003</v>
      </c>
      <c r="I87">
        <v>1</v>
      </c>
      <c r="J87">
        <f t="shared" si="17"/>
        <v>-0.13776612933564134</v>
      </c>
      <c r="K87">
        <f t="shared" si="18"/>
        <v>-0.74772057297601191</v>
      </c>
      <c r="L87">
        <v>1</v>
      </c>
      <c r="M87">
        <f t="shared" si="19"/>
        <v>0.50816440886031899</v>
      </c>
      <c r="N87">
        <f t="shared" si="22"/>
        <v>9.1486756200000005E-2</v>
      </c>
      <c r="O87">
        <f t="shared" si="20"/>
        <v>6.1426822020000001E-2</v>
      </c>
      <c r="P87">
        <f t="shared" si="21"/>
        <v>8.6642585895692903E-2</v>
      </c>
      <c r="V87">
        <v>2.0999999999999699</v>
      </c>
      <c r="W87">
        <f t="shared" si="23"/>
        <v>-0.58670999999999895</v>
      </c>
    </row>
    <row r="88" spans="1:23" x14ac:dyDescent="0.3">
      <c r="A88">
        <v>4.4130313000000001</v>
      </c>
      <c r="B88">
        <v>0.42949999999999999</v>
      </c>
      <c r="C88">
        <f t="shared" si="13"/>
        <v>1.89539694335</v>
      </c>
      <c r="D88" s="1">
        <v>2.1000000000000001E-2</v>
      </c>
      <c r="E88" s="1">
        <v>1.41E-2</v>
      </c>
      <c r="F88">
        <f t="shared" si="14"/>
        <v>882.60626000000002</v>
      </c>
      <c r="G88">
        <f t="shared" si="15"/>
        <v>-0.42949999999999999</v>
      </c>
      <c r="H88">
        <f t="shared" si="16"/>
        <v>-379.07938867000001</v>
      </c>
      <c r="I88">
        <v>1</v>
      </c>
      <c r="J88">
        <f t="shared" si="17"/>
        <v>-0.12487608949112712</v>
      </c>
      <c r="K88">
        <f t="shared" si="18"/>
        <v>-0.75041057297601199</v>
      </c>
      <c r="L88">
        <v>1</v>
      </c>
      <c r="M88">
        <f t="shared" si="19"/>
        <v>0.50861684925886141</v>
      </c>
      <c r="N88">
        <f t="shared" si="22"/>
        <v>9.2673657300000004E-2</v>
      </c>
      <c r="O88">
        <f t="shared" si="20"/>
        <v>6.2223741329999999E-2</v>
      </c>
      <c r="P88">
        <f t="shared" si="21"/>
        <v>8.6896325087150589E-2</v>
      </c>
      <c r="V88">
        <v>2.19999999999997</v>
      </c>
      <c r="W88">
        <f t="shared" si="23"/>
        <v>-0.59021999999999897</v>
      </c>
    </row>
    <row r="89" spans="1:23" x14ac:dyDescent="0.3">
      <c r="A89">
        <v>4.4659863</v>
      </c>
      <c r="B89">
        <v>0.42635000000000001</v>
      </c>
      <c r="C89">
        <f t="shared" si="13"/>
        <v>1.904073259005</v>
      </c>
      <c r="D89" s="1">
        <v>2.1000000000000001E-2</v>
      </c>
      <c r="E89" s="1">
        <v>1.41E-2</v>
      </c>
      <c r="F89">
        <f t="shared" si="14"/>
        <v>893.19726000000003</v>
      </c>
      <c r="G89">
        <f t="shared" si="15"/>
        <v>-0.42635000000000001</v>
      </c>
      <c r="H89">
        <f t="shared" si="16"/>
        <v>-380.81465180100002</v>
      </c>
      <c r="I89">
        <v>1</v>
      </c>
      <c r="J89">
        <f t="shared" si="17"/>
        <v>-0.11294782664287255</v>
      </c>
      <c r="K89">
        <f t="shared" si="18"/>
        <v>-0.75356057297601198</v>
      </c>
      <c r="L89">
        <v>1</v>
      </c>
      <c r="M89">
        <f t="shared" si="19"/>
        <v>0.50903553128483514</v>
      </c>
      <c r="N89">
        <f t="shared" si="22"/>
        <v>9.3785712300000004E-2</v>
      </c>
      <c r="O89">
        <f t="shared" si="20"/>
        <v>6.2970406829999992E-2</v>
      </c>
      <c r="P89">
        <f t="shared" si="21"/>
        <v>8.7768922561176854E-2</v>
      </c>
      <c r="V89">
        <v>2.2999999999999701</v>
      </c>
      <c r="W89">
        <f t="shared" si="23"/>
        <v>-0.59372999999999898</v>
      </c>
    </row>
    <row r="90" spans="1:23" x14ac:dyDescent="0.3">
      <c r="A90">
        <v>4.5189414000000001</v>
      </c>
      <c r="B90">
        <v>0.42359999999999998</v>
      </c>
      <c r="C90">
        <f t="shared" si="13"/>
        <v>1.91422357704</v>
      </c>
      <c r="D90" s="1">
        <v>2.1000000000000001E-2</v>
      </c>
      <c r="E90" s="1">
        <v>1.41E-2</v>
      </c>
      <c r="F90">
        <f t="shared" si="14"/>
        <v>903.78827999999999</v>
      </c>
      <c r="G90">
        <f t="shared" si="15"/>
        <v>-0.42359999999999998</v>
      </c>
      <c r="H90">
        <f t="shared" si="16"/>
        <v>-382.84471540800001</v>
      </c>
      <c r="I90">
        <v>1</v>
      </c>
      <c r="J90">
        <f t="shared" si="17"/>
        <v>-0.10116014955971547</v>
      </c>
      <c r="K90">
        <f t="shared" si="18"/>
        <v>-0.75631057297601201</v>
      </c>
      <c r="L90">
        <v>1</v>
      </c>
      <c r="M90">
        <f t="shared" si="19"/>
        <v>0.50944927875045398</v>
      </c>
      <c r="N90">
        <f t="shared" si="22"/>
        <v>9.4897769400000012E-2</v>
      </c>
      <c r="O90">
        <f t="shared" si="20"/>
        <v>6.3717073740000005E-2</v>
      </c>
      <c r="P90">
        <f t="shared" si="21"/>
        <v>8.8246451085558023E-2</v>
      </c>
      <c r="V90">
        <v>2.3999999999999702</v>
      </c>
      <c r="W90">
        <f t="shared" si="23"/>
        <v>-0.59723999999999899</v>
      </c>
    </row>
    <row r="91" spans="1:23" x14ac:dyDescent="0.3">
      <c r="A91">
        <v>4.5703690999999997</v>
      </c>
      <c r="B91">
        <v>0.42091000000000001</v>
      </c>
      <c r="C91">
        <f t="shared" si="13"/>
        <v>1.9237140578809999</v>
      </c>
      <c r="D91" s="1">
        <v>2.1000000000000001E-2</v>
      </c>
      <c r="E91" s="1">
        <v>1.41E-2</v>
      </c>
      <c r="F91">
        <f t="shared" si="14"/>
        <v>914.07381999999996</v>
      </c>
      <c r="G91">
        <f t="shared" si="15"/>
        <v>-0.42091000000000001</v>
      </c>
      <c r="H91">
        <f t="shared" si="16"/>
        <v>-384.74281157619998</v>
      </c>
      <c r="I91">
        <v>1</v>
      </c>
      <c r="J91">
        <f t="shared" si="17"/>
        <v>-8.984394492504133E-2</v>
      </c>
      <c r="K91">
        <f t="shared" si="18"/>
        <v>-0.75900057297601198</v>
      </c>
      <c r="L91">
        <v>1</v>
      </c>
      <c r="M91">
        <f t="shared" si="19"/>
        <v>0.50984647753313106</v>
      </c>
      <c r="N91">
        <f t="shared" si="22"/>
        <v>9.5977751099999994E-2</v>
      </c>
      <c r="O91">
        <f t="shared" si="20"/>
        <v>6.4442204310000001E-2</v>
      </c>
      <c r="P91">
        <f t="shared" si="21"/>
        <v>8.8734140032880909E-2</v>
      </c>
      <c r="V91">
        <v>2.4999999999999698</v>
      </c>
      <c r="W91">
        <f t="shared" si="23"/>
        <v>-0.60074999999999901</v>
      </c>
    </row>
    <row r="92" spans="1:23" x14ac:dyDescent="0.3">
      <c r="A92">
        <v>4.6212871</v>
      </c>
      <c r="B92">
        <v>0.41842000000000001</v>
      </c>
      <c r="C92">
        <f t="shared" si="13"/>
        <v>1.933638948382</v>
      </c>
      <c r="D92" s="1">
        <v>2.1000000000000001E-2</v>
      </c>
      <c r="E92" s="1">
        <v>1.41E-2</v>
      </c>
      <c r="F92">
        <f t="shared" si="14"/>
        <v>924.25742000000002</v>
      </c>
      <c r="G92">
        <f t="shared" si="15"/>
        <v>-0.41842000000000001</v>
      </c>
      <c r="H92">
        <f t="shared" si="16"/>
        <v>-386.72778967639999</v>
      </c>
      <c r="I92">
        <v>1</v>
      </c>
      <c r="J92">
        <f t="shared" si="17"/>
        <v>-7.8764653066704077E-2</v>
      </c>
      <c r="K92">
        <f t="shared" si="18"/>
        <v>-0.76149057297601197</v>
      </c>
      <c r="L92">
        <v>1</v>
      </c>
      <c r="M92">
        <f t="shared" si="19"/>
        <v>0.51023536067735875</v>
      </c>
      <c r="N92">
        <f t="shared" si="22"/>
        <v>9.7047029100000001E-2</v>
      </c>
      <c r="O92">
        <f t="shared" si="20"/>
        <v>6.5160148109999996E-2</v>
      </c>
      <c r="P92">
        <f t="shared" si="21"/>
        <v>8.9048035088653207E-2</v>
      </c>
      <c r="V92">
        <v>2.5999999999999699</v>
      </c>
      <c r="W92">
        <f t="shared" si="23"/>
        <v>-0.60425999999999891</v>
      </c>
    </row>
    <row r="93" spans="1:23" x14ac:dyDescent="0.3">
      <c r="A93">
        <v>4.6732240999999997</v>
      </c>
      <c r="B93">
        <v>0.41588000000000003</v>
      </c>
      <c r="C93">
        <f t="shared" si="13"/>
        <v>1.9435004387079999</v>
      </c>
      <c r="D93" s="1">
        <v>2.1000000000000001E-2</v>
      </c>
      <c r="E93" s="1">
        <v>1.41E-2</v>
      </c>
      <c r="F93">
        <f t="shared" si="14"/>
        <v>934.64481999999998</v>
      </c>
      <c r="G93">
        <f t="shared" si="15"/>
        <v>-0.41588000000000003</v>
      </c>
      <c r="H93">
        <f t="shared" si="16"/>
        <v>-388.70008774159999</v>
      </c>
      <c r="I93">
        <v>1</v>
      </c>
      <c r="J93">
        <f t="shared" si="17"/>
        <v>-6.7588693520719667E-2</v>
      </c>
      <c r="K93">
        <f t="shared" si="18"/>
        <v>-0.76403057297601196</v>
      </c>
      <c r="L93">
        <v>1</v>
      </c>
      <c r="M93">
        <f t="shared" si="19"/>
        <v>0.51062763685742274</v>
      </c>
      <c r="N93">
        <f t="shared" si="22"/>
        <v>9.8137706099999999E-2</v>
      </c>
      <c r="O93">
        <f t="shared" si="20"/>
        <v>6.5892459809999998E-2</v>
      </c>
      <c r="P93">
        <f t="shared" si="21"/>
        <v>8.9372770208589219E-2</v>
      </c>
      <c r="V93">
        <v>2.69999999999997</v>
      </c>
      <c r="W93">
        <f t="shared" si="23"/>
        <v>-0.60776999999999892</v>
      </c>
    </row>
    <row r="94" spans="1:23" x14ac:dyDescent="0.3">
      <c r="A94">
        <v>4.7251605999999997</v>
      </c>
      <c r="B94">
        <v>0.41295999999999999</v>
      </c>
      <c r="C94">
        <f t="shared" si="13"/>
        <v>1.9513023213759999</v>
      </c>
      <c r="D94" s="1">
        <v>2.1000000000000001E-2</v>
      </c>
      <c r="E94" s="1">
        <v>1.41E-2</v>
      </c>
      <c r="F94">
        <f t="shared" si="14"/>
        <v>945.03211999999996</v>
      </c>
      <c r="G94">
        <f t="shared" si="15"/>
        <v>-0.41295999999999999</v>
      </c>
      <c r="H94">
        <f t="shared" si="16"/>
        <v>-390.26046427519998</v>
      </c>
      <c r="I94">
        <v>1</v>
      </c>
      <c r="J94">
        <f t="shared" si="17"/>
        <v>-5.6536362648032142E-2</v>
      </c>
      <c r="K94">
        <f t="shared" si="18"/>
        <v>-0.76695057297601199</v>
      </c>
      <c r="L94">
        <v>1</v>
      </c>
      <c r="M94">
        <f t="shared" si="19"/>
        <v>0.5110155736710541</v>
      </c>
      <c r="N94">
        <f t="shared" si="22"/>
        <v>9.9228372600000003E-2</v>
      </c>
      <c r="O94">
        <f t="shared" si="20"/>
        <v>6.6624764459999999E-2</v>
      </c>
      <c r="P94">
        <f t="shared" si="21"/>
        <v>9.0081862244957886E-2</v>
      </c>
      <c r="V94">
        <v>2.7999999999999701</v>
      </c>
      <c r="W94">
        <f t="shared" si="23"/>
        <v>-0.61127999999999894</v>
      </c>
    </row>
    <row r="95" spans="1:23" x14ac:dyDescent="0.3">
      <c r="A95">
        <v>4.7760786</v>
      </c>
      <c r="B95">
        <v>0.41038999999999998</v>
      </c>
      <c r="C95">
        <f t="shared" si="13"/>
        <v>1.9600548966539999</v>
      </c>
      <c r="D95" s="1">
        <v>2.1000000000000001E-2</v>
      </c>
      <c r="E95" s="1">
        <v>1.41E-2</v>
      </c>
      <c r="F95">
        <f t="shared" si="14"/>
        <v>955.21572000000003</v>
      </c>
      <c r="G95">
        <f t="shared" si="15"/>
        <v>-0.41038999999999998</v>
      </c>
      <c r="H95">
        <f t="shared" si="16"/>
        <v>-392.01097933079996</v>
      </c>
      <c r="I95">
        <v>1</v>
      </c>
      <c r="J95">
        <f t="shared" si="17"/>
        <v>-4.5818079192786916E-2</v>
      </c>
      <c r="K95">
        <f t="shared" si="18"/>
        <v>-0.76952057297601195</v>
      </c>
      <c r="L95">
        <v>1</v>
      </c>
      <c r="M95">
        <f t="shared" si="19"/>
        <v>0.51139178542033314</v>
      </c>
      <c r="N95">
        <f t="shared" si="22"/>
        <v>0.10029765060000001</v>
      </c>
      <c r="O95">
        <f t="shared" si="20"/>
        <v>6.7342708259999995E-2</v>
      </c>
      <c r="P95">
        <f t="shared" si="21"/>
        <v>9.0488428695678802E-2</v>
      </c>
      <c r="V95">
        <v>2.8999999999999702</v>
      </c>
      <c r="W95">
        <f t="shared" si="23"/>
        <v>-0.61478999999999895</v>
      </c>
    </row>
    <row r="96" spans="1:23" x14ac:dyDescent="0.3">
      <c r="A96">
        <v>4.8310703000000004</v>
      </c>
      <c r="B96">
        <v>0.40778999999999999</v>
      </c>
      <c r="C96">
        <f t="shared" si="13"/>
        <v>1.9700621576370001</v>
      </c>
      <c r="D96" s="1">
        <v>2.1000000000000001E-2</v>
      </c>
      <c r="E96" s="1">
        <v>1.41E-2</v>
      </c>
      <c r="F96">
        <f t="shared" si="14"/>
        <v>966.21406000000002</v>
      </c>
      <c r="G96">
        <f t="shared" si="15"/>
        <v>-0.40778999999999999</v>
      </c>
      <c r="H96">
        <f t="shared" si="16"/>
        <v>-394.0124315274</v>
      </c>
      <c r="I96">
        <v>1</v>
      </c>
      <c r="J96">
        <f t="shared" si="17"/>
        <v>-3.4369875115089446E-2</v>
      </c>
      <c r="K96">
        <f t="shared" si="18"/>
        <v>-0.772120572976012</v>
      </c>
      <c r="L96">
        <v>1</v>
      </c>
      <c r="M96">
        <f t="shared" si="19"/>
        <v>0.51179361738346041</v>
      </c>
      <c r="N96">
        <f t="shared" si="22"/>
        <v>0.10145247630000001</v>
      </c>
      <c r="O96">
        <f t="shared" si="20"/>
        <v>6.8118091229999997E-2</v>
      </c>
      <c r="P96">
        <f t="shared" si="21"/>
        <v>9.0756388062551582E-2</v>
      </c>
      <c r="V96">
        <v>2.9999999999999698</v>
      </c>
      <c r="W96">
        <f t="shared" si="23"/>
        <v>-0.61829999999999896</v>
      </c>
    </row>
    <row r="97" spans="1:23" x14ac:dyDescent="0.3">
      <c r="A97">
        <v>4.8819892999999999</v>
      </c>
      <c r="B97">
        <v>0.40508</v>
      </c>
      <c r="C97">
        <f t="shared" si="13"/>
        <v>1.9775962256439998</v>
      </c>
      <c r="D97" s="1">
        <v>2.1000000000000001E-2</v>
      </c>
      <c r="E97" s="1">
        <v>1.41E-2</v>
      </c>
      <c r="F97">
        <f t="shared" si="14"/>
        <v>976.39785999999992</v>
      </c>
      <c r="G97">
        <f t="shared" si="15"/>
        <v>-0.40508</v>
      </c>
      <c r="H97">
        <f t="shared" si="16"/>
        <v>-395.51924512879998</v>
      </c>
      <c r="I97">
        <v>1</v>
      </c>
      <c r="J97">
        <f t="shared" si="17"/>
        <v>-2.388513219043692E-2</v>
      </c>
      <c r="K97">
        <f t="shared" si="18"/>
        <v>-0.77483057297601199</v>
      </c>
      <c r="L97">
        <v>1</v>
      </c>
      <c r="M97">
        <f t="shared" si="19"/>
        <v>0.51216163186011565</v>
      </c>
      <c r="N97">
        <f t="shared" si="22"/>
        <v>0.10252177530000001</v>
      </c>
      <c r="O97">
        <f t="shared" si="20"/>
        <v>6.8836049129999993E-2</v>
      </c>
      <c r="P97">
        <f t="shared" si="21"/>
        <v>9.1311116685896337E-2</v>
      </c>
      <c r="V97">
        <v>3.0999999999999699</v>
      </c>
      <c r="W97">
        <f t="shared" si="23"/>
        <v>-0.62180999999999897</v>
      </c>
    </row>
    <row r="98" spans="1:23" x14ac:dyDescent="0.3">
      <c r="A98">
        <v>4.9323984000000003</v>
      </c>
      <c r="B98">
        <v>0.40239000000000003</v>
      </c>
      <c r="C98">
        <f t="shared" si="13"/>
        <v>1.9847477921760002</v>
      </c>
      <c r="D98" s="1">
        <v>2.1000000000000001E-2</v>
      </c>
      <c r="E98" s="1">
        <v>1.41E-2</v>
      </c>
      <c r="F98">
        <f t="shared" si="14"/>
        <v>986.47968000000003</v>
      </c>
      <c r="G98">
        <f t="shared" si="15"/>
        <v>-0.40239000000000003</v>
      </c>
      <c r="H98">
        <f t="shared" si="16"/>
        <v>-396.94955843520006</v>
      </c>
      <c r="I98">
        <v>1</v>
      </c>
      <c r="J98">
        <f t="shared" si="17"/>
        <v>-1.361255180560916E-2</v>
      </c>
      <c r="K98">
        <f t="shared" si="18"/>
        <v>-0.77752057297601196</v>
      </c>
      <c r="L98">
        <v>1</v>
      </c>
      <c r="M98">
        <f t="shared" si="19"/>
        <v>0.51252219943162314</v>
      </c>
      <c r="N98">
        <f t="shared" si="22"/>
        <v>0.10358036640000001</v>
      </c>
      <c r="O98">
        <f t="shared" si="20"/>
        <v>6.9546817440000006E-2</v>
      </c>
      <c r="P98">
        <f t="shared" si="21"/>
        <v>9.1871189704388803E-2</v>
      </c>
      <c r="V98">
        <v>3.19999999999997</v>
      </c>
      <c r="W98">
        <f t="shared" si="23"/>
        <v>-0.62531999999999899</v>
      </c>
    </row>
    <row r="99" spans="1:23" x14ac:dyDescent="0.3">
      <c r="A99">
        <v>4.9833163999999996</v>
      </c>
      <c r="B99">
        <v>0.40007999999999999</v>
      </c>
      <c r="C99">
        <f t="shared" si="13"/>
        <v>1.9937252253119999</v>
      </c>
      <c r="D99" s="1">
        <v>2.1000000000000001E-2</v>
      </c>
      <c r="E99" s="1">
        <v>1.41E-2</v>
      </c>
      <c r="F99">
        <f t="shared" si="14"/>
        <v>996.66327999999999</v>
      </c>
      <c r="G99">
        <f t="shared" si="15"/>
        <v>-0.40007999999999999</v>
      </c>
      <c r="H99">
        <f t="shared" si="16"/>
        <v>-398.74504506239998</v>
      </c>
      <c r="I99">
        <v>1</v>
      </c>
      <c r="J99">
        <f t="shared" si="17"/>
        <v>-3.3422992645988211E-3</v>
      </c>
      <c r="K99">
        <f t="shared" si="18"/>
        <v>-0.77983057297601199</v>
      </c>
      <c r="L99">
        <v>1</v>
      </c>
      <c r="M99">
        <f t="shared" si="19"/>
        <v>0.5128826852958126</v>
      </c>
      <c r="N99">
        <f t="shared" si="22"/>
        <v>0.10464964440000001</v>
      </c>
      <c r="O99">
        <f t="shared" si="20"/>
        <v>7.0264761239999987E-2</v>
      </c>
      <c r="P99">
        <f t="shared" si="21"/>
        <v>9.2033482040199385E-2</v>
      </c>
      <c r="V99">
        <v>3.2999999999999701</v>
      </c>
      <c r="W99">
        <f t="shared" si="23"/>
        <v>-0.628829999999999</v>
      </c>
    </row>
    <row r="100" spans="1:23" x14ac:dyDescent="0.3">
      <c r="A100">
        <v>5.0342349000000004</v>
      </c>
      <c r="B100">
        <v>0.39744000000000002</v>
      </c>
      <c r="C100">
        <f t="shared" si="13"/>
        <v>2.0008063186560001</v>
      </c>
      <c r="D100" s="1">
        <v>2.1000000000000001E-2</v>
      </c>
      <c r="E100" s="1">
        <v>1.41E-2</v>
      </c>
      <c r="F100">
        <f t="shared" si="14"/>
        <v>1006.84698</v>
      </c>
      <c r="G100">
        <f t="shared" si="15"/>
        <v>-0.39744000000000002</v>
      </c>
      <c r="H100">
        <f t="shared" si="16"/>
        <v>-400.16126373120005</v>
      </c>
      <c r="I100">
        <v>1</v>
      </c>
      <c r="J100">
        <f t="shared" si="17"/>
        <v>6.8236458840370308E-3</v>
      </c>
      <c r="K100">
        <f t="shared" si="18"/>
        <v>-0.78247057297601197</v>
      </c>
      <c r="L100">
        <v>1</v>
      </c>
      <c r="M100">
        <f t="shared" si="19"/>
        <v>0.51323950997052969</v>
      </c>
      <c r="N100">
        <f t="shared" si="22"/>
        <v>0.10571893290000002</v>
      </c>
      <c r="O100">
        <f t="shared" si="20"/>
        <v>7.0982712090000011E-2</v>
      </c>
      <c r="P100">
        <f t="shared" si="21"/>
        <v>9.2529418015482257E-2</v>
      </c>
      <c r="V100">
        <v>3.3999999999999702</v>
      </c>
      <c r="W100">
        <f t="shared" si="23"/>
        <v>-0.63233999999999901</v>
      </c>
    </row>
    <row r="101" spans="1:23" x14ac:dyDescent="0.3">
      <c r="A101">
        <v>5.0856621000000004</v>
      </c>
      <c r="B101">
        <v>0.39511000000000002</v>
      </c>
      <c r="C101">
        <f t="shared" si="13"/>
        <v>2.0093959523310003</v>
      </c>
      <c r="D101" s="1">
        <v>2.1000000000000001E-2</v>
      </c>
      <c r="E101" s="1">
        <v>1.41E-2</v>
      </c>
      <c r="F101">
        <f t="shared" si="14"/>
        <v>1017.1324200000001</v>
      </c>
      <c r="G101">
        <f t="shared" si="15"/>
        <v>-0.39511000000000002</v>
      </c>
      <c r="H101">
        <f t="shared" si="16"/>
        <v>-401.87919046620004</v>
      </c>
      <c r="I101">
        <v>1</v>
      </c>
      <c r="J101">
        <f t="shared" si="17"/>
        <v>1.6987315079969232E-2</v>
      </c>
      <c r="K101">
        <f t="shared" si="18"/>
        <v>-0.78480057297601191</v>
      </c>
      <c r="L101">
        <v>1</v>
      </c>
      <c r="M101">
        <f t="shared" si="19"/>
        <v>0.51359625475930692</v>
      </c>
      <c r="N101">
        <f t="shared" si="22"/>
        <v>0.10679890410000001</v>
      </c>
      <c r="O101">
        <f t="shared" si="20"/>
        <v>7.1707835610000006E-2</v>
      </c>
      <c r="P101">
        <f t="shared" si="21"/>
        <v>9.2697578506704972E-2</v>
      </c>
      <c r="V101">
        <v>3.4999999999999698</v>
      </c>
      <c r="W101">
        <f t="shared" si="23"/>
        <v>-0.63584999999999892</v>
      </c>
    </row>
    <row r="102" spans="1:23" x14ac:dyDescent="0.3">
      <c r="A102">
        <v>5.1391264999999997</v>
      </c>
      <c r="B102">
        <v>0.39258999999999999</v>
      </c>
      <c r="C102">
        <f t="shared" si="13"/>
        <v>2.0175696726349996</v>
      </c>
      <c r="D102" s="1">
        <v>2.1000000000000001E-2</v>
      </c>
      <c r="E102" s="1">
        <v>1.41E-2</v>
      </c>
      <c r="F102">
        <f t="shared" si="14"/>
        <v>1027.8253</v>
      </c>
      <c r="G102">
        <f t="shared" si="15"/>
        <v>-0.39258999999999999</v>
      </c>
      <c r="H102">
        <f t="shared" si="16"/>
        <v>-403.51393452699995</v>
      </c>
      <c r="I102">
        <v>1</v>
      </c>
      <c r="J102">
        <f t="shared" si="17"/>
        <v>2.7445210957016349E-2</v>
      </c>
      <c r="K102">
        <f t="shared" si="18"/>
        <v>-0.78732057297601199</v>
      </c>
      <c r="L102">
        <v>1</v>
      </c>
      <c r="M102">
        <f t="shared" si="19"/>
        <v>0.51396332690459123</v>
      </c>
      <c r="N102">
        <f t="shared" si="22"/>
        <v>0.1079216565</v>
      </c>
      <c r="O102">
        <f t="shared" si="20"/>
        <v>7.2461683649999997E-2</v>
      </c>
      <c r="P102">
        <f t="shared" si="21"/>
        <v>9.2973905921420741E-2</v>
      </c>
      <c r="V102">
        <v>3.5999999999999699</v>
      </c>
      <c r="W102">
        <f t="shared" si="23"/>
        <v>-0.63935999999999893</v>
      </c>
    </row>
    <row r="103" spans="1:23" x14ac:dyDescent="0.3">
      <c r="A103">
        <v>5.1910630000000006</v>
      </c>
      <c r="B103">
        <v>0.38956000000000002</v>
      </c>
      <c r="C103">
        <f t="shared" si="13"/>
        <v>2.0222305022800002</v>
      </c>
      <c r="D103" s="1">
        <v>2.1000000000000001E-2</v>
      </c>
      <c r="E103" s="1">
        <v>1.41E-2</v>
      </c>
      <c r="F103">
        <f t="shared" si="14"/>
        <v>1038.2126000000001</v>
      </c>
      <c r="G103">
        <f t="shared" si="15"/>
        <v>-0.38956000000000002</v>
      </c>
      <c r="H103">
        <f t="shared" si="16"/>
        <v>-404.44610045600007</v>
      </c>
      <c r="I103">
        <v>1</v>
      </c>
      <c r="J103">
        <f t="shared" si="17"/>
        <v>3.7500580727251855E-2</v>
      </c>
      <c r="K103">
        <f t="shared" si="18"/>
        <v>-0.79035057297601197</v>
      </c>
      <c r="L103">
        <v>1</v>
      </c>
      <c r="M103">
        <f t="shared" si="19"/>
        <v>0.51431627038352656</v>
      </c>
      <c r="N103">
        <f t="shared" si="22"/>
        <v>0.10901232300000002</v>
      </c>
      <c r="O103">
        <f t="shared" si="20"/>
        <v>7.3193988300000012E-2</v>
      </c>
      <c r="P103">
        <f t="shared" si="21"/>
        <v>9.3827991292485369E-2</v>
      </c>
      <c r="V103">
        <v>3.69999999999997</v>
      </c>
      <c r="W103">
        <f t="shared" si="23"/>
        <v>-0.64286999999999894</v>
      </c>
    </row>
    <row r="104" spans="1:23" x14ac:dyDescent="0.3">
      <c r="A104">
        <v>5.2450365999999997</v>
      </c>
      <c r="B104">
        <v>0.38724999999999998</v>
      </c>
      <c r="C104">
        <f t="shared" si="13"/>
        <v>2.0311404233499997</v>
      </c>
      <c r="D104" s="1">
        <v>2.1000000000000001E-2</v>
      </c>
      <c r="E104" s="1">
        <v>1.41E-2</v>
      </c>
      <c r="F104">
        <f t="shared" si="14"/>
        <v>1049.0073199999999</v>
      </c>
      <c r="G104">
        <f t="shared" si="15"/>
        <v>-0.38724999999999998</v>
      </c>
      <c r="H104">
        <f t="shared" si="16"/>
        <v>-406.22808466999993</v>
      </c>
      <c r="I104">
        <v>1</v>
      </c>
      <c r="J104">
        <f t="shared" si="17"/>
        <v>4.7844307464169865E-2</v>
      </c>
      <c r="K104">
        <f t="shared" si="18"/>
        <v>-0.792660572976012</v>
      </c>
      <c r="L104">
        <v>1</v>
      </c>
      <c r="M104">
        <f t="shared" si="19"/>
        <v>0.51467933519199238</v>
      </c>
      <c r="N104">
        <f t="shared" si="22"/>
        <v>0.1101457686</v>
      </c>
      <c r="O104">
        <f t="shared" si="20"/>
        <v>7.395501605999999E-2</v>
      </c>
      <c r="P104">
        <f t="shared" si="21"/>
        <v>9.388045312401963E-2</v>
      </c>
      <c r="V104">
        <v>3.7999999999999701</v>
      </c>
      <c r="W104">
        <f t="shared" si="23"/>
        <v>-0.64637999999999896</v>
      </c>
    </row>
    <row r="105" spans="1:23" x14ac:dyDescent="0.3">
      <c r="A105">
        <v>5.2959550999999996</v>
      </c>
      <c r="B105">
        <v>0.38474000000000003</v>
      </c>
      <c r="C105">
        <f t="shared" si="13"/>
        <v>2.037565765174</v>
      </c>
      <c r="D105" s="1">
        <v>2.1000000000000001E-2</v>
      </c>
      <c r="E105" s="1">
        <v>1.41E-2</v>
      </c>
      <c r="F105">
        <f t="shared" si="14"/>
        <v>1059.19102</v>
      </c>
      <c r="G105">
        <f t="shared" si="15"/>
        <v>-0.38474000000000003</v>
      </c>
      <c r="H105">
        <f t="shared" si="16"/>
        <v>-407.51315303479998</v>
      </c>
      <c r="I105">
        <v>1</v>
      </c>
      <c r="J105">
        <f t="shared" si="17"/>
        <v>5.750542806799059E-2</v>
      </c>
      <c r="K105">
        <f t="shared" si="18"/>
        <v>-0.7951705729760119</v>
      </c>
      <c r="L105">
        <v>1</v>
      </c>
      <c r="M105">
        <f t="shared" si="19"/>
        <v>0.51501844052518653</v>
      </c>
      <c r="N105">
        <f t="shared" si="22"/>
        <v>0.1112150571</v>
      </c>
      <c r="O105">
        <f t="shared" si="20"/>
        <v>7.4672966909999999E-2</v>
      </c>
      <c r="P105">
        <f t="shared" si="21"/>
        <v>9.4264108440825362E-2</v>
      </c>
      <c r="V105">
        <v>3.8999999999999599</v>
      </c>
      <c r="W105">
        <f t="shared" si="23"/>
        <v>-0.64988999999999864</v>
      </c>
    </row>
    <row r="106" spans="1:23" x14ac:dyDescent="0.3">
      <c r="A106">
        <v>5.3463643000000003</v>
      </c>
      <c r="B106">
        <v>0.38211000000000001</v>
      </c>
      <c r="C106">
        <f t="shared" si="13"/>
        <v>2.042899262673</v>
      </c>
      <c r="D106" s="1">
        <v>2.1000000000000001E-2</v>
      </c>
      <c r="E106" s="1">
        <v>1.41E-2</v>
      </c>
      <c r="F106">
        <f t="shared" si="14"/>
        <v>1069.27286</v>
      </c>
      <c r="G106">
        <f t="shared" si="15"/>
        <v>-0.38211000000000001</v>
      </c>
      <c r="H106">
        <f t="shared" si="16"/>
        <v>-408.57985253460004</v>
      </c>
      <c r="I106">
        <v>1</v>
      </c>
      <c r="J106">
        <f t="shared" si="17"/>
        <v>6.6978847367935648E-2</v>
      </c>
      <c r="K106">
        <f t="shared" si="18"/>
        <v>-0.79780057297601203</v>
      </c>
      <c r="L106">
        <v>1</v>
      </c>
      <c r="M106">
        <f t="shared" si="19"/>
        <v>0.51535095754261451</v>
      </c>
      <c r="N106">
        <f t="shared" si="22"/>
        <v>0.11227365030000001</v>
      </c>
      <c r="O106">
        <f t="shared" si="20"/>
        <v>7.5383736630000003E-2</v>
      </c>
      <c r="P106">
        <f t="shared" si="21"/>
        <v>9.4792228503397497E-2</v>
      </c>
      <c r="V106">
        <v>3.99999999999996</v>
      </c>
      <c r="W106">
        <f t="shared" si="23"/>
        <v>-0.65339999999999865</v>
      </c>
    </row>
    <row r="107" spans="1:23" x14ac:dyDescent="0.3">
      <c r="A107">
        <v>5.3988100999999995</v>
      </c>
      <c r="B107">
        <v>0.37963000000000002</v>
      </c>
      <c r="C107">
        <f t="shared" si="13"/>
        <v>2.0495502782629997</v>
      </c>
      <c r="D107" s="1">
        <v>2.1000000000000001E-2</v>
      </c>
      <c r="E107" s="1">
        <v>1.41E-2</v>
      </c>
      <c r="F107">
        <f t="shared" si="14"/>
        <v>1079.7620199999999</v>
      </c>
      <c r="G107">
        <f t="shared" si="15"/>
        <v>-0.37963000000000002</v>
      </c>
      <c r="H107">
        <f t="shared" si="16"/>
        <v>-409.91005565259997</v>
      </c>
      <c r="I107">
        <v>1</v>
      </c>
      <c r="J107">
        <f t="shared" si="17"/>
        <v>7.6740665003240172E-2</v>
      </c>
      <c r="K107">
        <f t="shared" si="18"/>
        <v>-0.80028057297601196</v>
      </c>
      <c r="L107">
        <v>1</v>
      </c>
      <c r="M107">
        <f t="shared" si="19"/>
        <v>0.5156935973416138</v>
      </c>
      <c r="N107">
        <f t="shared" si="22"/>
        <v>0.11337501209999999</v>
      </c>
      <c r="O107">
        <f t="shared" si="20"/>
        <v>7.6123222409999997E-2</v>
      </c>
      <c r="P107">
        <f t="shared" si="21"/>
        <v>9.5088741124398163E-2</v>
      </c>
      <c r="V107">
        <v>4.0999999999999996</v>
      </c>
      <c r="W107">
        <f t="shared" si="23"/>
        <v>-0.65690999999999999</v>
      </c>
    </row>
    <row r="108" spans="1:23" x14ac:dyDescent="0.3">
      <c r="A108">
        <v>5.4492187999999997</v>
      </c>
      <c r="B108">
        <v>0.37748999999999999</v>
      </c>
      <c r="C108">
        <f t="shared" si="13"/>
        <v>2.0570256048119999</v>
      </c>
      <c r="D108" s="1">
        <v>2.1000000000000001E-2</v>
      </c>
      <c r="E108" s="1">
        <v>1.41E-2</v>
      </c>
      <c r="F108">
        <f t="shared" si="14"/>
        <v>1089.84376</v>
      </c>
      <c r="G108">
        <f t="shared" si="15"/>
        <v>-0.37748999999999999</v>
      </c>
      <c r="H108">
        <f t="shared" si="16"/>
        <v>-411.40512096239996</v>
      </c>
      <c r="I108">
        <v>1</v>
      </c>
      <c r="J108">
        <f t="shared" si="17"/>
        <v>8.6034346517430291E-2</v>
      </c>
      <c r="K108">
        <f t="shared" si="18"/>
        <v>-0.80242057297601199</v>
      </c>
      <c r="L108">
        <v>1</v>
      </c>
      <c r="M108">
        <f t="shared" si="19"/>
        <v>0.51601980556276184</v>
      </c>
      <c r="N108">
        <f t="shared" si="22"/>
        <v>0.1144335948</v>
      </c>
      <c r="O108">
        <f t="shared" si="20"/>
        <v>7.683398508E-2</v>
      </c>
      <c r="P108">
        <f t="shared" si="21"/>
        <v>9.5133187533250174E-2</v>
      </c>
      <c r="V108">
        <v>4.2</v>
      </c>
      <c r="W108">
        <f t="shared" si="23"/>
        <v>-0.66042000000000001</v>
      </c>
    </row>
    <row r="109" spans="1:23" x14ac:dyDescent="0.3">
      <c r="A109">
        <v>5.4996284000000006</v>
      </c>
      <c r="B109">
        <v>0.37481999999999999</v>
      </c>
      <c r="C109">
        <f t="shared" si="13"/>
        <v>2.0613707168880002</v>
      </c>
      <c r="D109" s="1">
        <v>2.1000000000000001E-2</v>
      </c>
      <c r="E109" s="1">
        <v>1.41E-2</v>
      </c>
      <c r="F109">
        <f t="shared" si="14"/>
        <v>1099.9256800000001</v>
      </c>
      <c r="G109">
        <f t="shared" si="15"/>
        <v>-0.37481999999999999</v>
      </c>
      <c r="H109">
        <f t="shared" si="16"/>
        <v>-412.27414337760007</v>
      </c>
      <c r="I109">
        <v>1</v>
      </c>
      <c r="J109">
        <f t="shared" si="17"/>
        <v>9.5242613885436048E-2</v>
      </c>
      <c r="K109">
        <f t="shared" si="18"/>
        <v>-0.80509057297601205</v>
      </c>
      <c r="L109">
        <v>1</v>
      </c>
      <c r="M109">
        <f t="shared" si="19"/>
        <v>0.51634301574737884</v>
      </c>
      <c r="N109">
        <f t="shared" si="22"/>
        <v>0.11549219640000002</v>
      </c>
      <c r="O109">
        <f t="shared" si="20"/>
        <v>7.7544760440000013E-2</v>
      </c>
      <c r="P109">
        <f t="shared" si="21"/>
        <v>9.5710600388633174E-2</v>
      </c>
      <c r="V109">
        <v>4.3</v>
      </c>
      <c r="W109">
        <f t="shared" si="23"/>
        <v>-0.66393000000000002</v>
      </c>
    </row>
    <row r="110" spans="1:23" x14ac:dyDescent="0.3">
      <c r="A110">
        <v>5.5510562000000006</v>
      </c>
      <c r="B110">
        <v>0.37242999999999998</v>
      </c>
      <c r="C110">
        <f t="shared" si="13"/>
        <v>2.0673798605660001</v>
      </c>
      <c r="D110" s="1">
        <v>2.1000000000000001E-2</v>
      </c>
      <c r="E110" s="1">
        <v>1.41E-2</v>
      </c>
      <c r="F110">
        <f t="shared" si="14"/>
        <v>1110.2112400000001</v>
      </c>
      <c r="G110">
        <f t="shared" si="15"/>
        <v>-0.37242999999999998</v>
      </c>
      <c r="H110">
        <f t="shared" si="16"/>
        <v>-413.47597211320004</v>
      </c>
      <c r="I110">
        <v>1</v>
      </c>
      <c r="J110">
        <f t="shared" si="17"/>
        <v>0.10455030352460118</v>
      </c>
      <c r="K110">
        <f t="shared" si="18"/>
        <v>-0.80748057297601195</v>
      </c>
      <c r="L110">
        <v>1</v>
      </c>
      <c r="M110">
        <f t="shared" si="19"/>
        <v>0.51666971565371356</v>
      </c>
      <c r="N110">
        <f t="shared" si="22"/>
        <v>0.11657218020000001</v>
      </c>
      <c r="O110">
        <f t="shared" si="20"/>
        <v>7.8269892420000001E-2</v>
      </c>
      <c r="P110">
        <f t="shared" si="21"/>
        <v>9.5968784702298374E-2</v>
      </c>
      <c r="V110">
        <v>4.4000000000000004</v>
      </c>
      <c r="W110">
        <f t="shared" si="23"/>
        <v>-0.66744000000000003</v>
      </c>
    </row>
    <row r="111" spans="1:23" x14ac:dyDescent="0.3">
      <c r="A111">
        <v>5.6045199999999999</v>
      </c>
      <c r="B111">
        <v>0.37006</v>
      </c>
      <c r="C111">
        <f t="shared" si="13"/>
        <v>2.0740086712000001</v>
      </c>
      <c r="D111" s="1">
        <v>2.1000000000000001E-2</v>
      </c>
      <c r="E111" s="1">
        <v>1.41E-2</v>
      </c>
      <c r="F111">
        <f t="shared" si="14"/>
        <v>1120.904</v>
      </c>
      <c r="G111">
        <f t="shared" si="15"/>
        <v>-0.37006</v>
      </c>
      <c r="H111">
        <f t="shared" si="16"/>
        <v>-414.80173424000003</v>
      </c>
      <c r="I111">
        <v>1</v>
      </c>
      <c r="J111">
        <f t="shared" si="17"/>
        <v>0.11413550259952301</v>
      </c>
      <c r="K111">
        <f t="shared" si="18"/>
        <v>-0.80985057297601193</v>
      </c>
      <c r="L111">
        <v>1</v>
      </c>
      <c r="M111">
        <f t="shared" si="19"/>
        <v>0.51700615614124323</v>
      </c>
      <c r="N111">
        <f t="shared" si="22"/>
        <v>0.11769492000000001</v>
      </c>
      <c r="O111">
        <f t="shared" si="20"/>
        <v>7.9023731999999999E-2</v>
      </c>
      <c r="P111">
        <f t="shared" si="21"/>
        <v>9.6125764834768687E-2</v>
      </c>
      <c r="V111">
        <v>4.5</v>
      </c>
      <c r="W111">
        <f t="shared" si="23"/>
        <v>-0.67095000000000005</v>
      </c>
    </row>
    <row r="112" spans="1:23" x14ac:dyDescent="0.3">
      <c r="A112">
        <v>5.6559477999999999</v>
      </c>
      <c r="B112">
        <v>0.36726999999999999</v>
      </c>
      <c r="C112">
        <f t="shared" si="13"/>
        <v>2.0772599485059997</v>
      </c>
      <c r="D112" s="1">
        <v>2.1000000000000001E-2</v>
      </c>
      <c r="E112" s="1">
        <v>1.41E-2</v>
      </c>
      <c r="F112">
        <f t="shared" si="14"/>
        <v>1131.18956</v>
      </c>
      <c r="G112">
        <f t="shared" si="15"/>
        <v>-0.36726999999999999</v>
      </c>
      <c r="H112">
        <f t="shared" si="16"/>
        <v>-415.45198970119992</v>
      </c>
      <c r="I112">
        <v>1</v>
      </c>
      <c r="J112">
        <f t="shared" si="17"/>
        <v>0.12326978698038302</v>
      </c>
      <c r="K112">
        <f t="shared" si="18"/>
        <v>-0.812640572976012</v>
      </c>
      <c r="L112">
        <v>1</v>
      </c>
      <c r="M112">
        <f t="shared" si="19"/>
        <v>0.51732676952301149</v>
      </c>
      <c r="N112">
        <f t="shared" si="22"/>
        <v>0.1187749038</v>
      </c>
      <c r="O112">
        <f t="shared" si="20"/>
        <v>7.9748863980000001E-2</v>
      </c>
      <c r="P112">
        <f t="shared" si="21"/>
        <v>9.6790035673000513E-2</v>
      </c>
      <c r="V112">
        <v>4.5999999999999996</v>
      </c>
      <c r="W112">
        <f t="shared" si="23"/>
        <v>-0.67446000000000006</v>
      </c>
    </row>
    <row r="113" spans="1:23" x14ac:dyDescent="0.3">
      <c r="A113">
        <v>5.7073749999999999</v>
      </c>
      <c r="B113">
        <v>0.36506</v>
      </c>
      <c r="C113">
        <f t="shared" si="13"/>
        <v>2.0835343174999998</v>
      </c>
      <c r="D113" s="1">
        <v>2.1000000000000001E-2</v>
      </c>
      <c r="E113" s="1">
        <v>1.41E-2</v>
      </c>
      <c r="F113">
        <f t="shared" si="14"/>
        <v>1141.4749999999999</v>
      </c>
      <c r="G113">
        <f t="shared" si="15"/>
        <v>-0.36506</v>
      </c>
      <c r="H113">
        <f t="shared" si="16"/>
        <v>-416.70686349999994</v>
      </c>
      <c r="I113">
        <v>1</v>
      </c>
      <c r="J113">
        <f t="shared" si="17"/>
        <v>0.13232128574043628</v>
      </c>
      <c r="K113">
        <f t="shared" si="18"/>
        <v>-0.81485057297601204</v>
      </c>
      <c r="L113">
        <v>1</v>
      </c>
      <c r="M113">
        <f t="shared" si="19"/>
        <v>0.51764447712948936</v>
      </c>
      <c r="N113">
        <f t="shared" si="22"/>
        <v>0.119854875</v>
      </c>
      <c r="O113">
        <f t="shared" si="20"/>
        <v>8.0473987499999997E-2</v>
      </c>
      <c r="P113">
        <f t="shared" si="21"/>
        <v>9.6877233346522693E-2</v>
      </c>
      <c r="V113">
        <v>4.7</v>
      </c>
      <c r="W113">
        <f t="shared" si="23"/>
        <v>-0.67796999999999996</v>
      </c>
    </row>
    <row r="114" spans="1:23" x14ac:dyDescent="0.3">
      <c r="A114">
        <v>5.7582934999999997</v>
      </c>
      <c r="B114">
        <v>0.36262</v>
      </c>
      <c r="C114">
        <f t="shared" si="13"/>
        <v>2.0880723889699997</v>
      </c>
      <c r="D114" s="1">
        <v>2.1000000000000001E-2</v>
      </c>
      <c r="E114" s="1">
        <v>1.41E-2</v>
      </c>
      <c r="F114">
        <f t="shared" si="14"/>
        <v>1151.6587</v>
      </c>
      <c r="G114">
        <f t="shared" si="15"/>
        <v>-0.36262</v>
      </c>
      <c r="H114">
        <f t="shared" si="16"/>
        <v>-417.61447779399992</v>
      </c>
      <c r="I114">
        <v>1</v>
      </c>
      <c r="J114">
        <f t="shared" si="17"/>
        <v>0.14120325101674364</v>
      </c>
      <c r="K114">
        <f t="shared" si="18"/>
        <v>-0.81729057297601204</v>
      </c>
      <c r="L114">
        <v>1</v>
      </c>
      <c r="M114">
        <f t="shared" si="19"/>
        <v>0.5179562341106877</v>
      </c>
      <c r="N114">
        <f t="shared" si="22"/>
        <v>0.1209241635</v>
      </c>
      <c r="O114">
        <f t="shared" si="20"/>
        <v>8.1191938349999992E-2</v>
      </c>
      <c r="P114">
        <f t="shared" si="21"/>
        <v>9.7218237015324338E-2</v>
      </c>
      <c r="V114">
        <v>4.8</v>
      </c>
      <c r="W114">
        <f t="shared" si="23"/>
        <v>-0.68147999999999997</v>
      </c>
    </row>
    <row r="115" spans="1:23" x14ac:dyDescent="0.3">
      <c r="A115">
        <v>5.8097212000000003</v>
      </c>
      <c r="B115">
        <v>0.35988999999999999</v>
      </c>
      <c r="C115">
        <f t="shared" si="13"/>
        <v>2.0908605626679999</v>
      </c>
      <c r="D115" s="1">
        <v>2.1000000000000001E-2</v>
      </c>
      <c r="E115" s="1">
        <v>1.41E-2</v>
      </c>
      <c r="F115">
        <f t="shared" si="14"/>
        <v>1161.94424</v>
      </c>
      <c r="G115">
        <f t="shared" si="15"/>
        <v>-0.35988999999999999</v>
      </c>
      <c r="H115">
        <f t="shared" si="16"/>
        <v>-418.1721125336</v>
      </c>
      <c r="I115">
        <v>1</v>
      </c>
      <c r="J115">
        <f t="shared" si="17"/>
        <v>0.15009467104770663</v>
      </c>
      <c r="K115">
        <f t="shared" si="18"/>
        <v>-0.82002057297601194</v>
      </c>
      <c r="L115">
        <v>1</v>
      </c>
      <c r="M115">
        <f t="shared" si="19"/>
        <v>0.51826832295377456</v>
      </c>
      <c r="N115">
        <f t="shared" si="22"/>
        <v>0.12200414520000001</v>
      </c>
      <c r="O115">
        <f t="shared" si="20"/>
        <v>8.1917068920000002E-2</v>
      </c>
      <c r="P115">
        <f t="shared" si="21"/>
        <v>9.7831035902237351E-2</v>
      </c>
      <c r="V115">
        <v>4.9000000000000004</v>
      </c>
      <c r="W115">
        <f t="shared" si="23"/>
        <v>-0.68498999999999999</v>
      </c>
    </row>
    <row r="116" spans="1:23" x14ac:dyDescent="0.3">
      <c r="A116">
        <v>5.8601298999999996</v>
      </c>
      <c r="B116">
        <v>0.35786000000000001</v>
      </c>
      <c r="C116">
        <f t="shared" si="13"/>
        <v>2.0971060860140001</v>
      </c>
      <c r="D116" s="1">
        <v>2.1000000000000001E-2</v>
      </c>
      <c r="E116" s="1">
        <v>1.41E-2</v>
      </c>
      <c r="F116">
        <f t="shared" si="14"/>
        <v>1172.0259799999999</v>
      </c>
      <c r="G116">
        <f t="shared" si="15"/>
        <v>-0.35786000000000001</v>
      </c>
      <c r="H116">
        <f t="shared" si="16"/>
        <v>-419.42121720279999</v>
      </c>
      <c r="I116">
        <v>1</v>
      </c>
      <c r="J116">
        <f t="shared" si="17"/>
        <v>0.15873385814462615</v>
      </c>
      <c r="K116">
        <f t="shared" si="18"/>
        <v>-0.82205057297601192</v>
      </c>
      <c r="L116">
        <v>1</v>
      </c>
      <c r="M116">
        <f t="shared" si="19"/>
        <v>0.51857155842087643</v>
      </c>
      <c r="N116">
        <f t="shared" si="22"/>
        <v>0.1230627279</v>
      </c>
      <c r="O116">
        <f t="shared" si="20"/>
        <v>8.2627831589999992E-2</v>
      </c>
      <c r="P116">
        <f t="shared" si="21"/>
        <v>9.7788455065135491E-2</v>
      </c>
      <c r="V116">
        <v>5</v>
      </c>
      <c r="W116">
        <f t="shared" si="23"/>
        <v>-0.6885</v>
      </c>
    </row>
    <row r="117" spans="1:23" x14ac:dyDescent="0.3">
      <c r="A117">
        <v>5.9110483</v>
      </c>
      <c r="B117">
        <v>0.35547000000000001</v>
      </c>
      <c r="C117">
        <f t="shared" si="13"/>
        <v>2.1012003392010001</v>
      </c>
      <c r="D117" s="1">
        <v>2.1000000000000001E-2</v>
      </c>
      <c r="E117" s="1">
        <v>1.41E-2</v>
      </c>
      <c r="F117">
        <f t="shared" si="14"/>
        <v>1182.20966</v>
      </c>
      <c r="G117">
        <f t="shared" si="15"/>
        <v>-0.35547000000000001</v>
      </c>
      <c r="H117">
        <f t="shared" si="16"/>
        <v>-420.24006784020003</v>
      </c>
      <c r="I117">
        <v>1</v>
      </c>
      <c r="J117">
        <f t="shared" si="17"/>
        <v>0.16738528058097366</v>
      </c>
      <c r="K117">
        <f t="shared" si="18"/>
        <v>-0.82444057297601203</v>
      </c>
      <c r="L117">
        <v>1</v>
      </c>
      <c r="M117">
        <f t="shared" si="19"/>
        <v>0.5188752233483922</v>
      </c>
      <c r="N117">
        <f t="shared" si="22"/>
        <v>0.12413201430000001</v>
      </c>
      <c r="O117">
        <f t="shared" si="20"/>
        <v>8.3345781029999996E-2</v>
      </c>
      <c r="P117">
        <f t="shared" si="21"/>
        <v>9.8087554297619825E-2</v>
      </c>
      <c r="V117">
        <v>5.0999999999999996</v>
      </c>
      <c r="W117">
        <f t="shared" si="23"/>
        <v>-0.69201000000000001</v>
      </c>
    </row>
    <row r="118" spans="1:23" x14ac:dyDescent="0.3">
      <c r="A118">
        <v>5.9640034000000002</v>
      </c>
      <c r="B118">
        <v>0.35299000000000003</v>
      </c>
      <c r="C118">
        <f t="shared" si="13"/>
        <v>2.1052335601660004</v>
      </c>
      <c r="D118" s="1">
        <v>2.1000000000000001E-2</v>
      </c>
      <c r="E118" s="1">
        <v>1.41E-2</v>
      </c>
      <c r="F118">
        <f t="shared" si="14"/>
        <v>1192.8006800000001</v>
      </c>
      <c r="G118">
        <f t="shared" si="15"/>
        <v>-0.35299000000000003</v>
      </c>
      <c r="H118">
        <f t="shared" si="16"/>
        <v>-421.04671203320009</v>
      </c>
      <c r="I118">
        <v>1</v>
      </c>
      <c r="J118">
        <f t="shared" si="17"/>
        <v>0.17630405455541887</v>
      </c>
      <c r="K118">
        <f t="shared" si="18"/>
        <v>-0.82692057297601196</v>
      </c>
      <c r="L118">
        <v>1</v>
      </c>
      <c r="M118">
        <f t="shared" si="19"/>
        <v>0.51918827231489517</v>
      </c>
      <c r="N118">
        <f t="shared" si="22"/>
        <v>0.12524407140000002</v>
      </c>
      <c r="O118">
        <f t="shared" si="20"/>
        <v>8.4092447939999995E-2</v>
      </c>
      <c r="P118">
        <f t="shared" si="21"/>
        <v>9.8395781321116774E-2</v>
      </c>
      <c r="V118">
        <v>5.2</v>
      </c>
      <c r="W118">
        <f t="shared" si="23"/>
        <v>-0.69552000000000003</v>
      </c>
    </row>
    <row r="119" spans="1:23" x14ac:dyDescent="0.3">
      <c r="A119">
        <v>6.0169584999999994</v>
      </c>
      <c r="B119">
        <v>0.35042000000000001</v>
      </c>
      <c r="C119">
        <f t="shared" si="13"/>
        <v>2.10846259757</v>
      </c>
      <c r="D119" s="1">
        <v>2.1000000000000001E-2</v>
      </c>
      <c r="E119" s="1">
        <v>1.41E-2</v>
      </c>
      <c r="F119">
        <f t="shared" si="14"/>
        <v>1203.3916999999999</v>
      </c>
      <c r="G119">
        <f t="shared" si="15"/>
        <v>-0.35042000000000001</v>
      </c>
      <c r="H119">
        <f t="shared" si="16"/>
        <v>-421.69251951399997</v>
      </c>
      <c r="I119">
        <v>1</v>
      </c>
      <c r="J119">
        <f t="shared" si="17"/>
        <v>0.18514398665551587</v>
      </c>
      <c r="K119">
        <f t="shared" si="18"/>
        <v>-0.82949057297601203</v>
      </c>
      <c r="L119">
        <v>1</v>
      </c>
      <c r="M119">
        <f t="shared" si="19"/>
        <v>0.5194985539316086</v>
      </c>
      <c r="N119">
        <f t="shared" si="22"/>
        <v>0.1263561285</v>
      </c>
      <c r="O119">
        <f t="shared" si="20"/>
        <v>8.4839114849999994E-2</v>
      </c>
      <c r="P119">
        <f t="shared" si="21"/>
        <v>9.8796775694403441E-2</v>
      </c>
      <c r="V119">
        <v>5.3</v>
      </c>
      <c r="W119">
        <f t="shared" si="23"/>
        <v>-0.69903000000000004</v>
      </c>
    </row>
    <row r="120" spans="1:23" x14ac:dyDescent="0.3">
      <c r="A120">
        <v>6.0704228999999996</v>
      </c>
      <c r="B120">
        <v>0.34806999999999999</v>
      </c>
      <c r="C120">
        <f t="shared" si="13"/>
        <v>2.1129320988029998</v>
      </c>
      <c r="D120" s="1">
        <v>2.1000000000000001E-2</v>
      </c>
      <c r="E120" s="1">
        <v>1.41E-2</v>
      </c>
      <c r="F120">
        <f t="shared" si="14"/>
        <v>1214.08458</v>
      </c>
      <c r="G120">
        <f t="shared" si="15"/>
        <v>-0.34806999999999999</v>
      </c>
      <c r="H120">
        <f t="shared" si="16"/>
        <v>-422.58641976059994</v>
      </c>
      <c r="I120">
        <v>1</v>
      </c>
      <c r="J120">
        <f t="shared" si="17"/>
        <v>0.19399036072113759</v>
      </c>
      <c r="K120">
        <f t="shared" si="18"/>
        <v>-0.83184057297601199</v>
      </c>
      <c r="L120">
        <v>1</v>
      </c>
      <c r="M120">
        <f t="shared" si="19"/>
        <v>0.51980906166131191</v>
      </c>
      <c r="N120">
        <f t="shared" si="22"/>
        <v>0.12747888090000001</v>
      </c>
      <c r="O120">
        <f t="shared" si="20"/>
        <v>8.5592962889999999E-2</v>
      </c>
      <c r="P120">
        <f t="shared" si="21"/>
        <v>9.8959667524700076E-2</v>
      </c>
      <c r="V120">
        <v>5.4</v>
      </c>
      <c r="W120">
        <f t="shared" si="23"/>
        <v>-0.70254000000000005</v>
      </c>
    </row>
    <row r="121" spans="1:23" x14ac:dyDescent="0.3">
      <c r="A121">
        <v>6.1233779000000004</v>
      </c>
      <c r="B121">
        <v>0.34566000000000002</v>
      </c>
      <c r="C121">
        <f t="shared" si="13"/>
        <v>2.1166068049140003</v>
      </c>
      <c r="D121" s="1">
        <v>2.1000000000000001E-2</v>
      </c>
      <c r="E121" s="1">
        <v>1.41E-2</v>
      </c>
      <c r="F121">
        <f t="shared" si="14"/>
        <v>1224.6755800000001</v>
      </c>
      <c r="G121">
        <f t="shared" si="15"/>
        <v>-0.34566000000000002</v>
      </c>
      <c r="H121">
        <f t="shared" si="16"/>
        <v>-423.32136098280006</v>
      </c>
      <c r="I121">
        <v>1</v>
      </c>
      <c r="J121">
        <f t="shared" si="17"/>
        <v>0.20267597626926931</v>
      </c>
      <c r="K121">
        <f t="shared" si="18"/>
        <v>-0.83425057297601191</v>
      </c>
      <c r="L121">
        <v>1</v>
      </c>
      <c r="M121">
        <f t="shared" si="19"/>
        <v>0.52011392676705137</v>
      </c>
      <c r="N121">
        <f t="shared" si="22"/>
        <v>0.12859093590000001</v>
      </c>
      <c r="O121">
        <f t="shared" si="20"/>
        <v>8.6339628390000006E-2</v>
      </c>
      <c r="P121">
        <f t="shared" si="21"/>
        <v>9.920608191896052E-2</v>
      </c>
      <c r="V121">
        <v>5.5</v>
      </c>
      <c r="W121">
        <f t="shared" si="23"/>
        <v>-0.70605000000000007</v>
      </c>
    </row>
    <row r="122" spans="1:23" x14ac:dyDescent="0.3">
      <c r="A122">
        <v>6.1819340999999994</v>
      </c>
      <c r="B122">
        <v>0.34310000000000002</v>
      </c>
      <c r="C122">
        <f t="shared" si="13"/>
        <v>2.1210215897099998</v>
      </c>
      <c r="D122" s="1">
        <v>2.1000000000000001E-2</v>
      </c>
      <c r="E122" s="1">
        <v>1.41E-2</v>
      </c>
      <c r="F122">
        <f t="shared" si="14"/>
        <v>1236.3868199999999</v>
      </c>
      <c r="G122">
        <f t="shared" si="15"/>
        <v>-0.34310000000000002</v>
      </c>
      <c r="H122">
        <f t="shared" si="16"/>
        <v>-424.20431794199993</v>
      </c>
      <c r="I122">
        <v>1</v>
      </c>
      <c r="J122">
        <f t="shared" si="17"/>
        <v>0.2121932712384173</v>
      </c>
      <c r="K122">
        <f t="shared" si="18"/>
        <v>-0.83681057297601202</v>
      </c>
      <c r="L122">
        <v>1</v>
      </c>
      <c r="M122">
        <f t="shared" si="19"/>
        <v>0.52044798382046842</v>
      </c>
      <c r="N122">
        <f t="shared" si="22"/>
        <v>0.12982061610000001</v>
      </c>
      <c r="O122">
        <f t="shared" si="20"/>
        <v>8.7165270809999987E-2</v>
      </c>
      <c r="P122">
        <f t="shared" si="21"/>
        <v>9.9376702245543611E-2</v>
      </c>
      <c r="V122">
        <v>5.6</v>
      </c>
      <c r="W122">
        <f t="shared" si="23"/>
        <v>-0.70955999999999997</v>
      </c>
    </row>
    <row r="123" spans="1:23" x14ac:dyDescent="0.3">
      <c r="A123">
        <v>6.2323428000000005</v>
      </c>
      <c r="B123">
        <v>0.34081</v>
      </c>
      <c r="C123">
        <f t="shared" si="13"/>
        <v>2.1240447496680002</v>
      </c>
      <c r="D123" s="1">
        <v>2.1000000000000001E-2</v>
      </c>
      <c r="E123" s="1">
        <v>1.41E-2</v>
      </c>
      <c r="F123">
        <f t="shared" si="14"/>
        <v>1246.46856</v>
      </c>
      <c r="G123">
        <f t="shared" si="15"/>
        <v>-0.34081</v>
      </c>
      <c r="H123">
        <f t="shared" si="16"/>
        <v>-424.80894993360005</v>
      </c>
      <c r="I123">
        <v>1</v>
      </c>
      <c r="J123">
        <f t="shared" si="17"/>
        <v>0.2203144010400345</v>
      </c>
      <c r="K123">
        <f t="shared" si="18"/>
        <v>-0.83910057297601193</v>
      </c>
      <c r="L123">
        <v>1</v>
      </c>
      <c r="M123">
        <f t="shared" si="19"/>
        <v>0.52073303547650518</v>
      </c>
      <c r="N123">
        <f t="shared" si="22"/>
        <v>0.13087919880000001</v>
      </c>
      <c r="O123">
        <f t="shared" si="20"/>
        <v>8.7876033480000004E-2</v>
      </c>
      <c r="P123">
        <f t="shared" si="21"/>
        <v>9.961230521950673E-2</v>
      </c>
      <c r="V123">
        <v>5.7</v>
      </c>
      <c r="W123">
        <f t="shared" si="23"/>
        <v>-0.71306999999999998</v>
      </c>
    </row>
    <row r="124" spans="1:23" x14ac:dyDescent="0.3">
      <c r="A124">
        <v>6.2827520000000003</v>
      </c>
      <c r="B124">
        <v>0.3382</v>
      </c>
      <c r="C124">
        <f t="shared" si="13"/>
        <v>2.1248267264000003</v>
      </c>
      <c r="D124" s="1">
        <v>2.1000000000000001E-2</v>
      </c>
      <c r="E124" s="1">
        <v>1.41E-2</v>
      </c>
      <c r="F124">
        <f t="shared" si="14"/>
        <v>1256.5504000000001</v>
      </c>
      <c r="G124">
        <f t="shared" si="15"/>
        <v>-0.3382</v>
      </c>
      <c r="H124">
        <f t="shared" si="16"/>
        <v>-424.96534528000007</v>
      </c>
      <c r="I124">
        <v>1</v>
      </c>
      <c r="J124">
        <f t="shared" si="17"/>
        <v>0.22837018861768116</v>
      </c>
      <c r="K124">
        <f t="shared" si="18"/>
        <v>-0.84171057297601193</v>
      </c>
      <c r="L124">
        <v>1</v>
      </c>
      <c r="M124">
        <f t="shared" si="19"/>
        <v>0.52101579362048067</v>
      </c>
      <c r="N124">
        <f t="shared" si="22"/>
        <v>0.13193779200000003</v>
      </c>
      <c r="O124">
        <f t="shared" si="20"/>
        <v>8.8586803200000008E-2</v>
      </c>
      <c r="P124">
        <f t="shared" si="21"/>
        <v>0.10017018415553122</v>
      </c>
      <c r="V124">
        <v>5.8</v>
      </c>
      <c r="W124">
        <f t="shared" si="23"/>
        <v>-0.71657999999999999</v>
      </c>
    </row>
    <row r="125" spans="1:23" x14ac:dyDescent="0.3">
      <c r="A125">
        <v>6.3362157999999997</v>
      </c>
      <c r="B125">
        <v>0.33592</v>
      </c>
      <c r="C125">
        <f t="shared" si="13"/>
        <v>2.1284616115359998</v>
      </c>
      <c r="D125" s="1">
        <v>2.1000000000000001E-2</v>
      </c>
      <c r="E125" s="1">
        <v>1.41E-2</v>
      </c>
      <c r="F125">
        <f t="shared" si="14"/>
        <v>1267.24316</v>
      </c>
      <c r="G125">
        <f t="shared" si="15"/>
        <v>-0.33592</v>
      </c>
      <c r="H125">
        <f t="shared" si="16"/>
        <v>-425.69232230719996</v>
      </c>
      <c r="I125">
        <v>1</v>
      </c>
      <c r="J125">
        <f t="shared" si="17"/>
        <v>0.23684380084145246</v>
      </c>
      <c r="K125">
        <f t="shared" si="18"/>
        <v>-0.84399057297601199</v>
      </c>
      <c r="L125">
        <v>1</v>
      </c>
      <c r="M125">
        <f t="shared" si="19"/>
        <v>0.52131321740953496</v>
      </c>
      <c r="N125">
        <f t="shared" si="22"/>
        <v>0.13306053179999999</v>
      </c>
      <c r="O125">
        <f t="shared" si="20"/>
        <v>8.9340642779999993E-2</v>
      </c>
      <c r="P125">
        <f t="shared" si="21"/>
        <v>0.10027618098647705</v>
      </c>
      <c r="V125">
        <v>5.9</v>
      </c>
      <c r="W125">
        <f t="shared" si="23"/>
        <v>-0.72009000000000001</v>
      </c>
    </row>
    <row r="126" spans="1:23" x14ac:dyDescent="0.3">
      <c r="A126">
        <v>6.3881532999999999</v>
      </c>
      <c r="B126">
        <v>0.33356000000000002</v>
      </c>
      <c r="C126">
        <f t="shared" si="13"/>
        <v>2.1308324147480002</v>
      </c>
      <c r="D126" s="1">
        <v>2.1000000000000001E-2</v>
      </c>
      <c r="E126" s="1">
        <v>1.41E-2</v>
      </c>
      <c r="F126">
        <f t="shared" si="14"/>
        <v>1277.63066</v>
      </c>
      <c r="G126">
        <f t="shared" si="15"/>
        <v>-0.33356000000000002</v>
      </c>
      <c r="H126">
        <f t="shared" si="16"/>
        <v>-426.16648294960004</v>
      </c>
      <c r="I126">
        <v>1</v>
      </c>
      <c r="J126">
        <f t="shared" si="17"/>
        <v>0.24500731575219312</v>
      </c>
      <c r="K126">
        <f t="shared" si="18"/>
        <v>-0.84635057297601191</v>
      </c>
      <c r="L126">
        <v>1</v>
      </c>
      <c r="M126">
        <f t="shared" si="19"/>
        <v>0.52159975678290194</v>
      </c>
      <c r="N126">
        <f t="shared" si="22"/>
        <v>0.13415121930000001</v>
      </c>
      <c r="O126">
        <f t="shared" si="20"/>
        <v>9.0072961529999995E-2</v>
      </c>
      <c r="P126">
        <f t="shared" si="21"/>
        <v>0.10052663536310996</v>
      </c>
      <c r="V126">
        <v>6</v>
      </c>
      <c r="W126">
        <f t="shared" si="23"/>
        <v>-0.72360000000000002</v>
      </c>
    </row>
    <row r="127" spans="1:23" x14ac:dyDescent="0.3">
      <c r="A127">
        <v>6.4411073999999999</v>
      </c>
      <c r="B127">
        <v>0.33111000000000002</v>
      </c>
      <c r="C127">
        <f t="shared" si="13"/>
        <v>2.1327150712140002</v>
      </c>
      <c r="D127" s="1">
        <v>2.1000000000000001E-2</v>
      </c>
      <c r="E127" s="1">
        <v>1.41E-2</v>
      </c>
      <c r="F127">
        <f t="shared" si="14"/>
        <v>1288.2214799999999</v>
      </c>
      <c r="G127">
        <f t="shared" si="15"/>
        <v>-0.33111000000000002</v>
      </c>
      <c r="H127">
        <f t="shared" si="16"/>
        <v>-426.54301424280004</v>
      </c>
      <c r="I127">
        <v>1</v>
      </c>
      <c r="J127">
        <f t="shared" si="17"/>
        <v>0.253262569421073</v>
      </c>
      <c r="K127">
        <f t="shared" si="18"/>
        <v>-0.84880057297601197</v>
      </c>
      <c r="L127">
        <v>1</v>
      </c>
      <c r="M127">
        <f t="shared" si="19"/>
        <v>0.52188951618667967</v>
      </c>
      <c r="N127">
        <f t="shared" si="22"/>
        <v>0.1352632554</v>
      </c>
      <c r="O127">
        <f t="shared" si="20"/>
        <v>9.0819614339999993E-2</v>
      </c>
      <c r="P127">
        <f t="shared" si="21"/>
        <v>0.1008281870493323</v>
      </c>
      <c r="V127">
        <v>6.1</v>
      </c>
      <c r="W127">
        <f t="shared" si="23"/>
        <v>-0.72711000000000003</v>
      </c>
    </row>
    <row r="128" spans="1:23" x14ac:dyDescent="0.3">
      <c r="A128">
        <v>6.4950815000000004</v>
      </c>
      <c r="B128">
        <v>0.32851999999999998</v>
      </c>
      <c r="C128">
        <f t="shared" si="13"/>
        <v>2.13376417438</v>
      </c>
      <c r="D128" s="1">
        <v>2.1000000000000001E-2</v>
      </c>
      <c r="E128" s="1">
        <v>1.41E-2</v>
      </c>
      <c r="F128">
        <f t="shared" si="14"/>
        <v>1299.0163</v>
      </c>
      <c r="G128">
        <f t="shared" si="15"/>
        <v>-0.32851999999999998</v>
      </c>
      <c r="H128">
        <f t="shared" si="16"/>
        <v>-426.75283487600001</v>
      </c>
      <c r="I128">
        <v>1</v>
      </c>
      <c r="J128">
        <f t="shared" si="17"/>
        <v>0.26160728572366926</v>
      </c>
      <c r="K128">
        <f t="shared" si="18"/>
        <v>-0.85139057297601206</v>
      </c>
      <c r="L128">
        <v>1</v>
      </c>
      <c r="M128">
        <f t="shared" si="19"/>
        <v>0.52218241572890078</v>
      </c>
      <c r="N128">
        <f t="shared" si="22"/>
        <v>0.13639671150000002</v>
      </c>
      <c r="O128">
        <f t="shared" si="20"/>
        <v>9.1580649149999999E-2</v>
      </c>
      <c r="P128">
        <f t="shared" si="21"/>
        <v>0.10123079659711126</v>
      </c>
      <c r="V128">
        <v>6.2</v>
      </c>
      <c r="W128">
        <f t="shared" si="23"/>
        <v>-0.73062000000000005</v>
      </c>
    </row>
    <row r="129" spans="1:23" x14ac:dyDescent="0.3">
      <c r="A129">
        <v>6.5454902000000006</v>
      </c>
      <c r="B129">
        <v>0.32649</v>
      </c>
      <c r="C129">
        <f t="shared" si="13"/>
        <v>2.137037095398</v>
      </c>
      <c r="D129" s="1">
        <v>2.1000000000000001E-2</v>
      </c>
      <c r="E129" s="1">
        <v>1.41E-2</v>
      </c>
      <c r="F129">
        <f t="shared" si="14"/>
        <v>1309.0980400000001</v>
      </c>
      <c r="G129">
        <f t="shared" si="15"/>
        <v>-0.32649</v>
      </c>
      <c r="H129">
        <f t="shared" si="16"/>
        <v>-427.4074190796</v>
      </c>
      <c r="I129">
        <v>1</v>
      </c>
      <c r="J129">
        <f t="shared" si="17"/>
        <v>0.26933838099097063</v>
      </c>
      <c r="K129">
        <f t="shared" si="18"/>
        <v>-0.85342057297601204</v>
      </c>
      <c r="L129">
        <v>1</v>
      </c>
      <c r="M129">
        <f t="shared" si="19"/>
        <v>0.52245377717278307</v>
      </c>
      <c r="N129">
        <f t="shared" si="22"/>
        <v>0.13745529420000002</v>
      </c>
      <c r="O129">
        <f t="shared" si="20"/>
        <v>9.2291411820000002E-2</v>
      </c>
      <c r="P129">
        <f t="shared" si="21"/>
        <v>0.10122008978322894</v>
      </c>
      <c r="V129">
        <v>6.3</v>
      </c>
      <c r="W129">
        <f t="shared" si="23"/>
        <v>-0.73412999999999995</v>
      </c>
    </row>
    <row r="130" spans="1:23" x14ac:dyDescent="0.3">
      <c r="A130">
        <v>6.5964092000000001</v>
      </c>
      <c r="B130">
        <v>0.32382</v>
      </c>
      <c r="C130">
        <f t="shared" si="13"/>
        <v>2.1360492271439999</v>
      </c>
      <c r="D130" s="1">
        <v>2.1000000000000001E-2</v>
      </c>
      <c r="E130" s="1">
        <v>1.41E-2</v>
      </c>
      <c r="F130">
        <f t="shared" si="14"/>
        <v>1319.2818400000001</v>
      </c>
      <c r="G130">
        <f t="shared" si="15"/>
        <v>-0.32382</v>
      </c>
      <c r="H130">
        <f t="shared" si="16"/>
        <v>-427.20984542880001</v>
      </c>
      <c r="I130">
        <v>1</v>
      </c>
      <c r="J130">
        <f t="shared" si="17"/>
        <v>0.27708752793754454</v>
      </c>
      <c r="K130">
        <f t="shared" si="18"/>
        <v>-0.85609057297601199</v>
      </c>
      <c r="L130">
        <v>1</v>
      </c>
      <c r="M130">
        <f t="shared" si="19"/>
        <v>0.52272577223060779</v>
      </c>
      <c r="N130">
        <f t="shared" si="22"/>
        <v>0.13852459320000002</v>
      </c>
      <c r="O130">
        <f t="shared" si="20"/>
        <v>9.3009369719999999E-2</v>
      </c>
      <c r="P130">
        <f t="shared" si="21"/>
        <v>0.10183083782540418</v>
      </c>
      <c r="V130">
        <v>6.4</v>
      </c>
      <c r="W130">
        <f t="shared" si="23"/>
        <v>-0.73764000000000007</v>
      </c>
    </row>
    <row r="131" spans="1:23" x14ac:dyDescent="0.3">
      <c r="A131">
        <v>6.6473271</v>
      </c>
      <c r="B131">
        <v>0.32189000000000001</v>
      </c>
      <c r="C131">
        <f t="shared" si="13"/>
        <v>2.1397081202190003</v>
      </c>
      <c r="D131" s="1">
        <v>2.1000000000000001E-2</v>
      </c>
      <c r="E131" s="1">
        <v>1.41E-2</v>
      </c>
      <c r="F131">
        <f t="shared" si="14"/>
        <v>1329.46542</v>
      </c>
      <c r="G131">
        <f t="shared" si="15"/>
        <v>-0.32189000000000001</v>
      </c>
      <c r="H131">
        <f t="shared" si="16"/>
        <v>-427.94162404380006</v>
      </c>
      <c r="I131">
        <v>1</v>
      </c>
      <c r="J131">
        <f t="shared" si="17"/>
        <v>0.28477692158456525</v>
      </c>
      <c r="K131">
        <f t="shared" si="18"/>
        <v>-0.85802057297601197</v>
      </c>
      <c r="L131">
        <v>1</v>
      </c>
      <c r="M131">
        <f t="shared" si="19"/>
        <v>0.52299566994761826</v>
      </c>
      <c r="N131">
        <f t="shared" si="22"/>
        <v>0.13959386910000002</v>
      </c>
      <c r="O131">
        <f t="shared" si="20"/>
        <v>9.3727312110000002E-2</v>
      </c>
      <c r="P131">
        <f t="shared" si="21"/>
        <v>0.1017037218183937</v>
      </c>
      <c r="V131">
        <v>6.5</v>
      </c>
      <c r="W131">
        <f t="shared" si="23"/>
        <v>-0.74114999999999998</v>
      </c>
    </row>
    <row r="132" spans="1:23" x14ac:dyDescent="0.3">
      <c r="A132">
        <v>6.6997734000000007</v>
      </c>
      <c r="B132">
        <v>0.31950000000000001</v>
      </c>
      <c r="C132">
        <f t="shared" si="13"/>
        <v>2.1405776013000004</v>
      </c>
      <c r="D132" s="1">
        <v>2.1000000000000001E-2</v>
      </c>
      <c r="E132" s="1">
        <v>1.41E-2</v>
      </c>
      <c r="F132">
        <f t="shared" si="14"/>
        <v>1339.9546800000001</v>
      </c>
      <c r="G132">
        <f t="shared" si="15"/>
        <v>-0.31950000000000001</v>
      </c>
      <c r="H132">
        <f t="shared" si="16"/>
        <v>-428.1155202600001</v>
      </c>
      <c r="I132">
        <v>1</v>
      </c>
      <c r="J132">
        <f t="shared" si="17"/>
        <v>0.2926357924953582</v>
      </c>
      <c r="K132">
        <f t="shared" si="18"/>
        <v>-0.86041057297601198</v>
      </c>
      <c r="L132">
        <v>1</v>
      </c>
      <c r="M132">
        <f t="shared" si="19"/>
        <v>0.52327151631658708</v>
      </c>
      <c r="N132">
        <f t="shared" si="22"/>
        <v>0.14069524140000003</v>
      </c>
      <c r="O132">
        <f t="shared" si="20"/>
        <v>9.446680494000001E-2</v>
      </c>
      <c r="P132">
        <f t="shared" si="21"/>
        <v>0.10197701031942485</v>
      </c>
      <c r="V132">
        <v>6.6</v>
      </c>
      <c r="W132">
        <f t="shared" si="23"/>
        <v>-0.74465999999999999</v>
      </c>
    </row>
    <row r="133" spans="1:23" x14ac:dyDescent="0.3">
      <c r="A133">
        <v>6.7517100000000001</v>
      </c>
      <c r="B133">
        <v>0.31717000000000001</v>
      </c>
      <c r="C133">
        <f t="shared" ref="C133:C196" si="24">A133*B133</f>
        <v>2.1414398607000003</v>
      </c>
      <c r="D133" s="1">
        <v>2.1000000000000001E-2</v>
      </c>
      <c r="E133" s="1">
        <v>1.41E-2</v>
      </c>
      <c r="F133">
        <f t="shared" ref="F133:F144" si="25">A133*200</f>
        <v>1350.3420000000001</v>
      </c>
      <c r="G133">
        <f t="shared" ref="G133:G144" si="26">-B133</f>
        <v>-0.31717000000000001</v>
      </c>
      <c r="H133">
        <f t="shared" ref="H133:H196" si="27">-C133*200</f>
        <v>-428.28797214000008</v>
      </c>
      <c r="I133">
        <v>1</v>
      </c>
      <c r="J133">
        <f t="shared" ref="J133:J196" si="28">LN(F133/1000)</f>
        <v>0.30035789370020105</v>
      </c>
      <c r="K133">
        <f t="shared" ref="K133:K187" si="29">((-G133)-$N$2)</f>
        <v>-0.86274057297601203</v>
      </c>
      <c r="L133">
        <v>1</v>
      </c>
      <c r="M133">
        <f t="shared" si="19"/>
        <v>0.52354256206887706</v>
      </c>
      <c r="N133">
        <f t="shared" si="22"/>
        <v>0.14178591000000001</v>
      </c>
      <c r="O133">
        <f t="shared" si="20"/>
        <v>9.5199111000000003E-2</v>
      </c>
      <c r="P133">
        <f t="shared" si="21"/>
        <v>0.10221298990713495</v>
      </c>
      <c r="V133">
        <v>6.7</v>
      </c>
      <c r="W133">
        <f t="shared" si="23"/>
        <v>-0.74817</v>
      </c>
    </row>
    <row r="134" spans="1:23" x14ac:dyDescent="0.3">
      <c r="A134">
        <v>6.8041558000000002</v>
      </c>
      <c r="B134">
        <v>0.31485999999999997</v>
      </c>
      <c r="C134">
        <f t="shared" si="24"/>
        <v>2.1423564951879999</v>
      </c>
      <c r="D134" s="1">
        <v>2.1000000000000001E-2</v>
      </c>
      <c r="E134" s="1">
        <v>1.41E-2</v>
      </c>
      <c r="F134">
        <f t="shared" si="25"/>
        <v>1360.83116</v>
      </c>
      <c r="G134">
        <f t="shared" si="26"/>
        <v>-0.31485999999999997</v>
      </c>
      <c r="H134">
        <f t="shared" si="27"/>
        <v>-428.47129903759998</v>
      </c>
      <c r="I134">
        <v>1</v>
      </c>
      <c r="J134">
        <f t="shared" si="28"/>
        <v>0.30809566013247353</v>
      </c>
      <c r="K134">
        <f t="shared" si="29"/>
        <v>-0.86505057297601207</v>
      </c>
      <c r="L134">
        <v>1</v>
      </c>
      <c r="M134">
        <f t="shared" ref="M134:M144" si="30">-1*($S$4+($S$5*J134))</f>
        <v>0.52381415767064987</v>
      </c>
      <c r="N134">
        <f t="shared" si="22"/>
        <v>0.14288727180000002</v>
      </c>
      <c r="O134">
        <f t="shared" ref="O134:O144" si="31">E134*A134</f>
        <v>9.5938596779999996E-2</v>
      </c>
      <c r="P134">
        <f t="shared" ref="P134:P144" si="32">-K134-M134-N134-O134</f>
        <v>0.10241054672536218</v>
      </c>
      <c r="V134">
        <v>6.8</v>
      </c>
      <c r="W134">
        <f t="shared" si="23"/>
        <v>-0.75168000000000001</v>
      </c>
    </row>
    <row r="135" spans="1:23" x14ac:dyDescent="0.3">
      <c r="A135">
        <v>6.8545649000000006</v>
      </c>
      <c r="B135">
        <v>0.31263000000000002</v>
      </c>
      <c r="C135">
        <f t="shared" si="24"/>
        <v>2.1429426246870005</v>
      </c>
      <c r="D135" s="1">
        <v>2.1000000000000001E-2</v>
      </c>
      <c r="E135" s="1">
        <v>1.41E-2</v>
      </c>
      <c r="F135">
        <f t="shared" si="25"/>
        <v>1370.9129800000001</v>
      </c>
      <c r="G135">
        <f t="shared" si="26"/>
        <v>-0.31263000000000002</v>
      </c>
      <c r="H135">
        <f t="shared" si="27"/>
        <v>-428.58852493740011</v>
      </c>
      <c r="I135">
        <v>1</v>
      </c>
      <c r="J135">
        <f t="shared" si="28"/>
        <v>0.3154769266474422</v>
      </c>
      <c r="K135">
        <f t="shared" si="29"/>
        <v>-0.86728057297601202</v>
      </c>
      <c r="L135">
        <v>1</v>
      </c>
      <c r="M135">
        <f t="shared" si="30"/>
        <v>0.52407324012532519</v>
      </c>
      <c r="N135">
        <f t="shared" ref="N135:N144" si="33">D135*A135</f>
        <v>0.14394586290000003</v>
      </c>
      <c r="O135">
        <f t="shared" si="31"/>
        <v>9.6649365090000008E-2</v>
      </c>
      <c r="P135">
        <f t="shared" si="32"/>
        <v>0.1026121048606868</v>
      </c>
      <c r="V135">
        <v>6.9</v>
      </c>
      <c r="W135">
        <f t="shared" ref="W135:W198" si="34">V135*$S$5+$S$4</f>
        <v>-0.75519000000000003</v>
      </c>
    </row>
    <row r="136" spans="1:23" x14ac:dyDescent="0.3">
      <c r="A136">
        <v>6.9059921999999991</v>
      </c>
      <c r="B136">
        <v>0.31063000000000002</v>
      </c>
      <c r="C136">
        <f t="shared" si="24"/>
        <v>2.1452083570859997</v>
      </c>
      <c r="D136" s="1">
        <v>2.1000000000000001E-2</v>
      </c>
      <c r="E136" s="1">
        <v>1.41E-2</v>
      </c>
      <c r="F136">
        <f t="shared" si="25"/>
        <v>1381.1984399999999</v>
      </c>
      <c r="G136">
        <f t="shared" si="26"/>
        <v>-0.31063000000000002</v>
      </c>
      <c r="H136">
        <f t="shared" si="27"/>
        <v>-429.04167141719995</v>
      </c>
      <c r="I136">
        <v>1</v>
      </c>
      <c r="J136">
        <f t="shared" si="28"/>
        <v>0.32295155708041245</v>
      </c>
      <c r="K136">
        <f t="shared" si="29"/>
        <v>-0.86928057297601202</v>
      </c>
      <c r="L136">
        <v>1</v>
      </c>
      <c r="M136">
        <f t="shared" si="30"/>
        <v>0.5243355996535225</v>
      </c>
      <c r="N136">
        <f t="shared" si="33"/>
        <v>0.14502583619999998</v>
      </c>
      <c r="O136">
        <f t="shared" si="31"/>
        <v>9.7374490019999982E-2</v>
      </c>
      <c r="P136">
        <f t="shared" si="32"/>
        <v>0.10254464710248956</v>
      </c>
      <c r="V136">
        <v>7</v>
      </c>
      <c r="W136">
        <f t="shared" si="34"/>
        <v>-0.75870000000000004</v>
      </c>
    </row>
    <row r="137" spans="1:23" x14ac:dyDescent="0.3">
      <c r="A137">
        <v>6.9569105999999996</v>
      </c>
      <c r="B137">
        <v>0.30825999999999998</v>
      </c>
      <c r="C137">
        <f t="shared" si="24"/>
        <v>2.1445372615559997</v>
      </c>
      <c r="D137" s="1">
        <v>2.1000000000000001E-2</v>
      </c>
      <c r="E137" s="1">
        <v>1.41E-2</v>
      </c>
      <c r="F137">
        <f t="shared" si="25"/>
        <v>1391.38212</v>
      </c>
      <c r="G137">
        <f t="shared" si="26"/>
        <v>-0.30825999999999998</v>
      </c>
      <c r="H137">
        <f t="shared" si="27"/>
        <v>-428.9074523111999</v>
      </c>
      <c r="I137">
        <v>1</v>
      </c>
      <c r="J137">
        <f t="shared" si="28"/>
        <v>0.33029758405830001</v>
      </c>
      <c r="K137">
        <f t="shared" si="29"/>
        <v>-0.87165057297601201</v>
      </c>
      <c r="L137">
        <v>1</v>
      </c>
      <c r="M137">
        <f t="shared" si="30"/>
        <v>0.52459344520044637</v>
      </c>
      <c r="N137">
        <f t="shared" si="33"/>
        <v>0.14609512259999999</v>
      </c>
      <c r="O137">
        <f t="shared" si="31"/>
        <v>9.8092439459999986E-2</v>
      </c>
      <c r="P137">
        <f t="shared" si="32"/>
        <v>0.10286956571556566</v>
      </c>
      <c r="V137">
        <v>7.1</v>
      </c>
      <c r="W137">
        <f t="shared" si="34"/>
        <v>-0.76221000000000005</v>
      </c>
    </row>
    <row r="138" spans="1:23" x14ac:dyDescent="0.3">
      <c r="A138">
        <v>7.0083384000000004</v>
      </c>
      <c r="B138">
        <v>0.30612</v>
      </c>
      <c r="C138">
        <f t="shared" si="24"/>
        <v>2.1453925510080003</v>
      </c>
      <c r="D138" s="1">
        <v>2.1000000000000001E-2</v>
      </c>
      <c r="E138" s="1">
        <v>1.41E-2</v>
      </c>
      <c r="F138">
        <f t="shared" si="25"/>
        <v>1401.66768</v>
      </c>
      <c r="G138">
        <f t="shared" si="26"/>
        <v>-0.30612</v>
      </c>
      <c r="H138">
        <f t="shared" si="27"/>
        <v>-429.07851020160007</v>
      </c>
      <c r="I138">
        <v>1</v>
      </c>
      <c r="J138">
        <f t="shared" si="28"/>
        <v>0.33766272770541084</v>
      </c>
      <c r="K138">
        <f t="shared" si="29"/>
        <v>-0.87379057297601204</v>
      </c>
      <c r="L138">
        <v>1</v>
      </c>
      <c r="M138">
        <f t="shared" si="30"/>
        <v>0.52485196174245996</v>
      </c>
      <c r="N138">
        <f t="shared" si="33"/>
        <v>0.14717510640000001</v>
      </c>
      <c r="O138">
        <f t="shared" si="31"/>
        <v>9.8817571440000002E-2</v>
      </c>
      <c r="P138">
        <f t="shared" si="32"/>
        <v>0.10294593339355207</v>
      </c>
      <c r="V138">
        <v>7.2</v>
      </c>
      <c r="W138">
        <f t="shared" si="34"/>
        <v>-0.76571999999999996</v>
      </c>
    </row>
    <row r="139" spans="1:23" x14ac:dyDescent="0.3">
      <c r="A139">
        <v>7.0607842000000005</v>
      </c>
      <c r="B139">
        <v>0.30397999999999997</v>
      </c>
      <c r="C139">
        <f t="shared" si="24"/>
        <v>2.1463371811159999</v>
      </c>
      <c r="D139" s="1">
        <v>2.1000000000000001E-2</v>
      </c>
      <c r="E139" s="1">
        <v>1.41E-2</v>
      </c>
      <c r="F139">
        <f t="shared" si="25"/>
        <v>1412.1568400000001</v>
      </c>
      <c r="G139">
        <f t="shared" si="26"/>
        <v>-0.30397999999999997</v>
      </c>
      <c r="H139">
        <f t="shared" si="27"/>
        <v>-429.26743622319998</v>
      </c>
      <c r="I139">
        <v>1</v>
      </c>
      <c r="J139">
        <f t="shared" si="28"/>
        <v>0.34511820938976634</v>
      </c>
      <c r="K139">
        <f t="shared" si="29"/>
        <v>-0.87593057297601207</v>
      </c>
      <c r="L139">
        <v>1</v>
      </c>
      <c r="M139">
        <f t="shared" si="30"/>
        <v>0.52511364914958081</v>
      </c>
      <c r="N139">
        <f t="shared" si="33"/>
        <v>0.14827646820000001</v>
      </c>
      <c r="O139">
        <f t="shared" si="31"/>
        <v>9.9557057220000009E-2</v>
      </c>
      <c r="P139">
        <f t="shared" si="32"/>
        <v>0.10298339840643124</v>
      </c>
      <c r="V139">
        <v>7.3</v>
      </c>
      <c r="W139">
        <f t="shared" si="34"/>
        <v>-0.76923000000000008</v>
      </c>
    </row>
    <row r="140" spans="1:23" x14ac:dyDescent="0.3">
      <c r="A140">
        <v>7.1111933999999994</v>
      </c>
      <c r="B140">
        <v>0.30163000000000001</v>
      </c>
      <c r="C140">
        <f t="shared" si="24"/>
        <v>2.1449492652419999</v>
      </c>
      <c r="D140" s="1">
        <v>2.1000000000000001E-2</v>
      </c>
      <c r="E140" s="1">
        <v>1.41E-2</v>
      </c>
      <c r="F140">
        <f t="shared" si="25"/>
        <v>1422.2386799999999</v>
      </c>
      <c r="G140">
        <f t="shared" si="26"/>
        <v>-0.30163000000000001</v>
      </c>
      <c r="H140">
        <f t="shared" si="27"/>
        <v>-428.98985304839999</v>
      </c>
      <c r="I140">
        <v>1</v>
      </c>
      <c r="J140">
        <f t="shared" si="28"/>
        <v>0.35223216539739843</v>
      </c>
      <c r="K140">
        <f t="shared" si="29"/>
        <v>-0.87828057297601192</v>
      </c>
      <c r="L140">
        <v>1</v>
      </c>
      <c r="M140">
        <f t="shared" si="30"/>
        <v>0.52536334900544868</v>
      </c>
      <c r="N140">
        <f t="shared" si="33"/>
        <v>0.1493350614</v>
      </c>
      <c r="O140">
        <f t="shared" si="31"/>
        <v>0.10026782693999998</v>
      </c>
      <c r="P140">
        <f t="shared" si="32"/>
        <v>0.10331433563056326</v>
      </c>
      <c r="V140">
        <v>7.4</v>
      </c>
      <c r="W140">
        <f t="shared" si="34"/>
        <v>-0.77273999999999998</v>
      </c>
    </row>
    <row r="141" spans="1:23" x14ac:dyDescent="0.3">
      <c r="A141">
        <v>7.1636386999999999</v>
      </c>
      <c r="B141">
        <v>0.29948000000000002</v>
      </c>
      <c r="C141">
        <f t="shared" si="24"/>
        <v>2.145366517876</v>
      </c>
      <c r="D141" s="1">
        <v>2.1000000000000001E-2</v>
      </c>
      <c r="E141" s="1">
        <v>1.41E-2</v>
      </c>
      <c r="F141">
        <f t="shared" si="25"/>
        <v>1432.72774</v>
      </c>
      <c r="G141">
        <f t="shared" si="26"/>
        <v>-0.29948000000000002</v>
      </c>
      <c r="H141">
        <f t="shared" si="27"/>
        <v>-429.07330357519999</v>
      </c>
      <c r="I141">
        <v>1</v>
      </c>
      <c r="J141">
        <f t="shared" si="28"/>
        <v>0.35958013777344133</v>
      </c>
      <c r="K141">
        <f t="shared" si="29"/>
        <v>-0.88043057297601202</v>
      </c>
      <c r="L141">
        <v>1</v>
      </c>
      <c r="M141">
        <f t="shared" si="30"/>
        <v>0.52562126283584776</v>
      </c>
      <c r="N141">
        <f t="shared" si="33"/>
        <v>0.15043641269999999</v>
      </c>
      <c r="O141">
        <f t="shared" si="31"/>
        <v>0.10100730566999999</v>
      </c>
      <c r="P141">
        <f t="shared" si="32"/>
        <v>0.10336559177016427</v>
      </c>
      <c r="V141">
        <v>7.5</v>
      </c>
      <c r="W141">
        <f t="shared" si="34"/>
        <v>-0.77625</v>
      </c>
    </row>
    <row r="142" spans="1:23" x14ac:dyDescent="0.3">
      <c r="A142">
        <v>7.2171029999999998</v>
      </c>
      <c r="B142">
        <v>0.29709000000000002</v>
      </c>
      <c r="C142">
        <f t="shared" si="24"/>
        <v>2.1441291302700001</v>
      </c>
      <c r="D142" s="1">
        <v>2.1000000000000001E-2</v>
      </c>
      <c r="E142" s="1">
        <v>1.41E-2</v>
      </c>
      <c r="F142">
        <f t="shared" si="25"/>
        <v>1443.4205999999999</v>
      </c>
      <c r="G142">
        <f t="shared" si="26"/>
        <v>-0.29709000000000002</v>
      </c>
      <c r="H142">
        <f t="shared" si="27"/>
        <v>-428.825826054</v>
      </c>
      <c r="I142">
        <v>1</v>
      </c>
      <c r="J142">
        <f t="shared" si="28"/>
        <v>0.36701571341230649</v>
      </c>
      <c r="K142">
        <f t="shared" si="29"/>
        <v>-0.88282057297601191</v>
      </c>
      <c r="L142">
        <v>1</v>
      </c>
      <c r="M142">
        <f t="shared" si="30"/>
        <v>0.52588225154077195</v>
      </c>
      <c r="N142">
        <f t="shared" si="33"/>
        <v>0.151559163</v>
      </c>
      <c r="O142">
        <f t="shared" si="31"/>
        <v>0.10176115229999999</v>
      </c>
      <c r="P142">
        <f t="shared" si="32"/>
        <v>0.10361800613523997</v>
      </c>
      <c r="V142">
        <v>7.6</v>
      </c>
      <c r="W142">
        <f t="shared" si="34"/>
        <v>-0.77976000000000001</v>
      </c>
    </row>
    <row r="143" spans="1:23" x14ac:dyDescent="0.3">
      <c r="A143">
        <v>7.2685307999999997</v>
      </c>
      <c r="B143">
        <v>0.29485</v>
      </c>
      <c r="C143">
        <f t="shared" si="24"/>
        <v>2.1431263063800001</v>
      </c>
      <c r="D143" s="1">
        <v>2.1000000000000001E-2</v>
      </c>
      <c r="E143" s="1">
        <v>1.41E-2</v>
      </c>
      <c r="F143">
        <f t="shared" si="25"/>
        <v>1453.70616</v>
      </c>
      <c r="G143">
        <f t="shared" si="26"/>
        <v>-0.29485</v>
      </c>
      <c r="H143">
        <f t="shared" si="27"/>
        <v>-428.625261276</v>
      </c>
      <c r="I143">
        <v>1</v>
      </c>
      <c r="J143">
        <f t="shared" si="28"/>
        <v>0.37411626790418939</v>
      </c>
      <c r="K143">
        <f t="shared" si="29"/>
        <v>-0.88506057297601193</v>
      </c>
      <c r="L143">
        <v>1</v>
      </c>
      <c r="M143">
        <f t="shared" si="30"/>
        <v>0.5261314810034371</v>
      </c>
      <c r="N143">
        <f t="shared" si="33"/>
        <v>0.15263914680000001</v>
      </c>
      <c r="O143">
        <f t="shared" si="31"/>
        <v>0.10248628427999999</v>
      </c>
      <c r="P143">
        <f t="shared" si="32"/>
        <v>0.10380366089257483</v>
      </c>
      <c r="V143">
        <v>7.7</v>
      </c>
      <c r="W143">
        <f t="shared" si="34"/>
        <v>-0.78327000000000002</v>
      </c>
    </row>
    <row r="144" spans="1:23" x14ac:dyDescent="0.3">
      <c r="A144">
        <v>7.3214863000000001</v>
      </c>
      <c r="B144">
        <v>0.29261999999999999</v>
      </c>
      <c r="C144">
        <f t="shared" si="24"/>
        <v>2.1424133211059999</v>
      </c>
      <c r="D144" s="1">
        <v>2.1000000000000001E-2</v>
      </c>
      <c r="E144" s="1">
        <v>1.41E-2</v>
      </c>
      <c r="F144">
        <f t="shared" si="25"/>
        <v>1464.2972600000001</v>
      </c>
      <c r="G144">
        <f t="shared" si="26"/>
        <v>-0.29261999999999999</v>
      </c>
      <c r="H144">
        <f t="shared" si="27"/>
        <v>-428.48266422119997</v>
      </c>
      <c r="I144">
        <v>1</v>
      </c>
      <c r="J144">
        <f t="shared" si="28"/>
        <v>0.38137544137606727</v>
      </c>
      <c r="K144">
        <f t="shared" si="29"/>
        <v>-0.88729057297601199</v>
      </c>
      <c r="L144">
        <v>1</v>
      </c>
      <c r="M144">
        <f t="shared" si="30"/>
        <v>0.52638627799229998</v>
      </c>
      <c r="N144">
        <f t="shared" si="33"/>
        <v>0.15375121230000002</v>
      </c>
      <c r="O144">
        <f t="shared" si="31"/>
        <v>0.10323295683</v>
      </c>
      <c r="P144">
        <f t="shared" si="32"/>
        <v>0.10392012585371199</v>
      </c>
      <c r="V144">
        <v>7.8</v>
      </c>
      <c r="W144">
        <f t="shared" si="34"/>
        <v>-0.78678000000000003</v>
      </c>
    </row>
    <row r="145" spans="1:23" x14ac:dyDescent="0.3">
      <c r="A145">
        <v>7.3744408999999997</v>
      </c>
      <c r="B145">
        <v>0.29038999999999998</v>
      </c>
      <c r="C145">
        <f t="shared" si="24"/>
        <v>2.1414638929509997</v>
      </c>
      <c r="D145" s="1">
        <v>2.1000000000000001E-2</v>
      </c>
      <c r="E145" s="1">
        <v>1.41E-2</v>
      </c>
      <c r="F145">
        <f t="shared" ref="F145:F187" si="35">A145*200</f>
        <v>1474.8881799999999</v>
      </c>
      <c r="G145">
        <f t="shared" ref="G145:G187" si="36">-B145</f>
        <v>-0.29038999999999998</v>
      </c>
      <c r="H145">
        <f t="shared" si="27"/>
        <v>-428.29277859019993</v>
      </c>
      <c r="I145">
        <v>1</v>
      </c>
      <c r="J145">
        <f t="shared" si="28"/>
        <v>0.3885821767485555</v>
      </c>
      <c r="K145">
        <f t="shared" si="29"/>
        <v>-0.88952057297601206</v>
      </c>
      <c r="L145">
        <v>1</v>
      </c>
      <c r="M145">
        <f t="shared" ref="M145:M187" si="37">-1*($S$4+($S$5*J145))</f>
        <v>0.52663923440387428</v>
      </c>
      <c r="N145">
        <f t="shared" ref="N145:N187" si="38">D145*A145</f>
        <v>0.15486325889999999</v>
      </c>
      <c r="O145">
        <f t="shared" ref="O145:O187" si="39">E145*A145</f>
        <v>0.10397961669</v>
      </c>
      <c r="P145">
        <f t="shared" ref="P145:P187" si="40">-K145-M145-N145-O145</f>
        <v>0.10403846298213779</v>
      </c>
      <c r="V145">
        <v>7.9</v>
      </c>
      <c r="W145">
        <f t="shared" si="34"/>
        <v>-0.79028999999999994</v>
      </c>
    </row>
    <row r="146" spans="1:23" x14ac:dyDescent="0.3">
      <c r="A146">
        <v>7.4299419000000002</v>
      </c>
      <c r="B146">
        <v>0.28798000000000001</v>
      </c>
      <c r="C146">
        <f t="shared" si="24"/>
        <v>2.1396746683620003</v>
      </c>
      <c r="D146" s="1">
        <v>2.1000000000000001E-2</v>
      </c>
      <c r="E146" s="1">
        <v>1.41E-2</v>
      </c>
      <c r="F146">
        <f t="shared" si="35"/>
        <v>1485.98838</v>
      </c>
      <c r="G146">
        <f t="shared" si="36"/>
        <v>-0.28798000000000001</v>
      </c>
      <c r="H146">
        <f t="shared" si="27"/>
        <v>-427.93493367240006</v>
      </c>
      <c r="I146">
        <v>1</v>
      </c>
      <c r="J146">
        <f t="shared" si="28"/>
        <v>0.39608012661492648</v>
      </c>
      <c r="K146">
        <f t="shared" si="29"/>
        <v>-0.89193057297601197</v>
      </c>
      <c r="L146">
        <v>1</v>
      </c>
      <c r="M146">
        <f t="shared" si="37"/>
        <v>0.5269024124441839</v>
      </c>
      <c r="N146">
        <f t="shared" si="38"/>
        <v>0.15602877990000003</v>
      </c>
      <c r="O146">
        <f t="shared" si="39"/>
        <v>0.10476218079000001</v>
      </c>
      <c r="P146">
        <f t="shared" si="40"/>
        <v>0.10423719984182804</v>
      </c>
      <c r="V146">
        <v>8</v>
      </c>
      <c r="W146">
        <f t="shared" si="34"/>
        <v>-0.79380000000000006</v>
      </c>
    </row>
    <row r="147" spans="1:23" x14ac:dyDescent="0.3">
      <c r="A147">
        <v>7.4813690999999993</v>
      </c>
      <c r="B147">
        <v>0.28569</v>
      </c>
      <c r="C147">
        <f t="shared" si="24"/>
        <v>2.1373523381789998</v>
      </c>
      <c r="D147" s="1">
        <v>2.1000000000000001E-2</v>
      </c>
      <c r="E147" s="1">
        <v>1.41E-2</v>
      </c>
      <c r="F147">
        <f t="shared" si="35"/>
        <v>1496.2738199999999</v>
      </c>
      <c r="G147">
        <f t="shared" si="36"/>
        <v>-0.28569</v>
      </c>
      <c r="H147">
        <f t="shared" si="27"/>
        <v>-427.47046763579999</v>
      </c>
      <c r="I147">
        <v>1</v>
      </c>
      <c r="J147">
        <f t="shared" si="28"/>
        <v>0.40297789756282587</v>
      </c>
      <c r="K147">
        <f t="shared" si="29"/>
        <v>-0.89422057297601198</v>
      </c>
      <c r="L147">
        <v>1</v>
      </c>
      <c r="M147">
        <f t="shared" si="37"/>
        <v>0.52714452420445523</v>
      </c>
      <c r="N147">
        <f t="shared" si="38"/>
        <v>0.1571087511</v>
      </c>
      <c r="O147">
        <f t="shared" si="39"/>
        <v>0.10548730430999999</v>
      </c>
      <c r="P147">
        <f t="shared" si="40"/>
        <v>0.10447999336155676</v>
      </c>
      <c r="V147">
        <v>8.0999999999999002</v>
      </c>
      <c r="W147">
        <f t="shared" si="34"/>
        <v>-0.79730999999999652</v>
      </c>
    </row>
    <row r="148" spans="1:23" x14ac:dyDescent="0.3">
      <c r="A148">
        <v>7.5363607999999997</v>
      </c>
      <c r="B148">
        <v>0.28344000000000003</v>
      </c>
      <c r="C148">
        <f t="shared" si="24"/>
        <v>2.1361061051520003</v>
      </c>
      <c r="D148" s="1">
        <v>2.1000000000000001E-2</v>
      </c>
      <c r="E148" s="1">
        <v>1.41E-2</v>
      </c>
      <c r="F148">
        <f t="shared" si="35"/>
        <v>1507.27216</v>
      </c>
      <c r="G148">
        <f t="shared" si="36"/>
        <v>-0.28344000000000003</v>
      </c>
      <c r="H148">
        <f t="shared" si="27"/>
        <v>-427.22122103040005</v>
      </c>
      <c r="I148">
        <v>1</v>
      </c>
      <c r="J148">
        <f t="shared" si="28"/>
        <v>0.41030150055165093</v>
      </c>
      <c r="K148">
        <f t="shared" si="29"/>
        <v>-0.89647057297601196</v>
      </c>
      <c r="L148">
        <v>1</v>
      </c>
      <c r="M148">
        <f t="shared" si="37"/>
        <v>0.52740158266936299</v>
      </c>
      <c r="N148">
        <f t="shared" si="38"/>
        <v>0.1582635768</v>
      </c>
      <c r="O148">
        <f t="shared" si="39"/>
        <v>0.10626268727999999</v>
      </c>
      <c r="P148">
        <f t="shared" si="40"/>
        <v>0.10454272622664898</v>
      </c>
      <c r="V148">
        <v>8.1999999999998998</v>
      </c>
      <c r="W148">
        <f t="shared" si="34"/>
        <v>-0.80081999999999653</v>
      </c>
    </row>
    <row r="149" spans="1:23" x14ac:dyDescent="0.3">
      <c r="A149">
        <v>7.5888071000000004</v>
      </c>
      <c r="B149">
        <v>0.28117999999999999</v>
      </c>
      <c r="C149">
        <f t="shared" si="24"/>
        <v>2.133820780378</v>
      </c>
      <c r="D149" s="1">
        <v>2.1000000000000001E-2</v>
      </c>
      <c r="E149" s="1">
        <v>1.41E-2</v>
      </c>
      <c r="F149">
        <f t="shared" si="35"/>
        <v>1517.76142</v>
      </c>
      <c r="G149">
        <f t="shared" si="36"/>
        <v>-0.28117999999999999</v>
      </c>
      <c r="H149">
        <f t="shared" si="27"/>
        <v>-426.7641560756</v>
      </c>
      <c r="I149">
        <v>1</v>
      </c>
      <c r="J149">
        <f t="shared" si="28"/>
        <v>0.41723649929593165</v>
      </c>
      <c r="K149">
        <f t="shared" si="29"/>
        <v>-0.898730572976012</v>
      </c>
      <c r="L149">
        <v>1</v>
      </c>
      <c r="M149">
        <f t="shared" si="37"/>
        <v>0.52764500112528723</v>
      </c>
      <c r="N149">
        <f t="shared" si="38"/>
        <v>0.15936494910000001</v>
      </c>
      <c r="O149">
        <f t="shared" si="39"/>
        <v>0.10700218011</v>
      </c>
      <c r="P149">
        <f t="shared" si="40"/>
        <v>0.10471844264072476</v>
      </c>
      <c r="V149">
        <v>8.2999999999998995</v>
      </c>
      <c r="W149">
        <f t="shared" si="34"/>
        <v>-0.80432999999999644</v>
      </c>
    </row>
    <row r="150" spans="1:23" x14ac:dyDescent="0.3">
      <c r="A150">
        <v>7.6397256000000002</v>
      </c>
      <c r="B150">
        <v>0.27910000000000001</v>
      </c>
      <c r="C150">
        <f t="shared" si="24"/>
        <v>2.1322474149600001</v>
      </c>
      <c r="D150" s="1">
        <v>2.1000000000000001E-2</v>
      </c>
      <c r="E150" s="1">
        <v>1.41E-2</v>
      </c>
      <c r="F150">
        <f t="shared" si="35"/>
        <v>1527.9451200000001</v>
      </c>
      <c r="G150">
        <f t="shared" si="36"/>
        <v>-0.27910000000000001</v>
      </c>
      <c r="H150">
        <f t="shared" si="27"/>
        <v>-426.44948299200001</v>
      </c>
      <c r="I150">
        <v>1</v>
      </c>
      <c r="J150">
        <f t="shared" si="28"/>
        <v>0.42392377386895902</v>
      </c>
      <c r="K150">
        <f t="shared" si="29"/>
        <v>-0.90081057297601197</v>
      </c>
      <c r="L150">
        <v>1</v>
      </c>
      <c r="M150">
        <f t="shared" si="37"/>
        <v>0.52787972446280051</v>
      </c>
      <c r="N150">
        <f t="shared" si="38"/>
        <v>0.1604342376</v>
      </c>
      <c r="O150">
        <f t="shared" si="39"/>
        <v>0.10772013096000001</v>
      </c>
      <c r="P150">
        <f t="shared" si="40"/>
        <v>0.10477647995321145</v>
      </c>
      <c r="V150">
        <v>8.3999999999999009</v>
      </c>
      <c r="W150">
        <f t="shared" si="34"/>
        <v>-0.80783999999999656</v>
      </c>
    </row>
    <row r="151" spans="1:23" x14ac:dyDescent="0.3">
      <c r="A151">
        <v>7.6911528000000002</v>
      </c>
      <c r="B151">
        <v>0.27695999999999998</v>
      </c>
      <c r="C151">
        <f t="shared" si="24"/>
        <v>2.1301416794880002</v>
      </c>
      <c r="D151" s="1">
        <v>2.1000000000000001E-2</v>
      </c>
      <c r="E151" s="1">
        <v>1.41E-2</v>
      </c>
      <c r="F151">
        <f t="shared" si="35"/>
        <v>1538.23056</v>
      </c>
      <c r="G151">
        <f t="shared" si="36"/>
        <v>-0.27695999999999998</v>
      </c>
      <c r="H151">
        <f t="shared" si="27"/>
        <v>-426.02833589760002</v>
      </c>
      <c r="I151">
        <v>1</v>
      </c>
      <c r="J151">
        <f t="shared" si="28"/>
        <v>0.43063276882091678</v>
      </c>
      <c r="K151">
        <f t="shared" si="29"/>
        <v>-0.902950572976012</v>
      </c>
      <c r="L151">
        <v>1</v>
      </c>
      <c r="M151">
        <f t="shared" si="37"/>
        <v>0.52811521018561414</v>
      </c>
      <c r="N151">
        <f t="shared" si="38"/>
        <v>0.1615142088</v>
      </c>
      <c r="O151">
        <f t="shared" si="39"/>
        <v>0.10844525448</v>
      </c>
      <c r="P151">
        <f t="shared" si="40"/>
        <v>0.10487589951039786</v>
      </c>
      <c r="V151">
        <v>8.4999999999999005</v>
      </c>
      <c r="W151">
        <f t="shared" si="34"/>
        <v>-0.81134999999999646</v>
      </c>
    </row>
    <row r="152" spans="1:23" x14ac:dyDescent="0.3">
      <c r="A152">
        <v>7.7435991</v>
      </c>
      <c r="B152">
        <v>0.27460000000000001</v>
      </c>
      <c r="C152">
        <f t="shared" si="24"/>
        <v>2.1263923128600002</v>
      </c>
      <c r="D152" s="1">
        <v>2.1000000000000001E-2</v>
      </c>
      <c r="E152" s="1">
        <v>1.41E-2</v>
      </c>
      <c r="F152">
        <f t="shared" si="35"/>
        <v>1548.71982</v>
      </c>
      <c r="G152">
        <f t="shared" si="36"/>
        <v>-0.27460000000000001</v>
      </c>
      <c r="H152">
        <f t="shared" si="27"/>
        <v>-425.27846257200002</v>
      </c>
      <c r="I152">
        <v>1</v>
      </c>
      <c r="J152">
        <f t="shared" si="28"/>
        <v>0.43742866708853861</v>
      </c>
      <c r="K152">
        <f t="shared" si="29"/>
        <v>-0.90531057297601203</v>
      </c>
      <c r="L152">
        <v>1</v>
      </c>
      <c r="M152">
        <f t="shared" si="37"/>
        <v>0.52835374621480768</v>
      </c>
      <c r="N152">
        <f t="shared" si="38"/>
        <v>0.16261558110000002</v>
      </c>
      <c r="O152">
        <f t="shared" si="39"/>
        <v>0.10918474731</v>
      </c>
      <c r="P152">
        <f t="shared" si="40"/>
        <v>0.10515649835120433</v>
      </c>
      <c r="V152">
        <v>8.5999999999999002</v>
      </c>
      <c r="W152">
        <f t="shared" si="34"/>
        <v>-0.81485999999999648</v>
      </c>
    </row>
    <row r="153" spans="1:23" x14ac:dyDescent="0.3">
      <c r="A153">
        <v>7.7945171000000002</v>
      </c>
      <c r="B153">
        <v>0.27289999999999998</v>
      </c>
      <c r="C153">
        <f t="shared" si="24"/>
        <v>2.1271237165899999</v>
      </c>
      <c r="D153" s="1">
        <v>2.1000000000000001E-2</v>
      </c>
      <c r="E153" s="1">
        <v>1.41E-2</v>
      </c>
      <c r="F153">
        <f t="shared" si="35"/>
        <v>1558.9034200000001</v>
      </c>
      <c r="G153">
        <f t="shared" si="36"/>
        <v>-0.27289999999999998</v>
      </c>
      <c r="H153">
        <f t="shared" si="27"/>
        <v>-425.42474331799997</v>
      </c>
      <c r="I153">
        <v>1</v>
      </c>
      <c r="J153">
        <f t="shared" si="28"/>
        <v>0.44398263818873279</v>
      </c>
      <c r="K153">
        <f t="shared" si="29"/>
        <v>-0.90701057297601206</v>
      </c>
      <c r="L153">
        <v>1</v>
      </c>
      <c r="M153">
        <f t="shared" si="37"/>
        <v>0.52858379060042449</v>
      </c>
      <c r="N153">
        <f t="shared" si="38"/>
        <v>0.16368485910000002</v>
      </c>
      <c r="O153">
        <f t="shared" si="39"/>
        <v>0.10990269111000001</v>
      </c>
      <c r="P153">
        <f t="shared" si="40"/>
        <v>0.10483923216558755</v>
      </c>
      <c r="V153">
        <v>8.6999999999998998</v>
      </c>
      <c r="W153">
        <f t="shared" si="34"/>
        <v>-0.81836999999999649</v>
      </c>
    </row>
    <row r="154" spans="1:23" x14ac:dyDescent="0.3">
      <c r="A154">
        <v>7.8454354999999998</v>
      </c>
      <c r="B154">
        <v>0.27056999999999998</v>
      </c>
      <c r="C154">
        <f t="shared" si="24"/>
        <v>2.1227394832349997</v>
      </c>
      <c r="D154" s="1">
        <v>2.1000000000000001E-2</v>
      </c>
      <c r="E154" s="1">
        <v>1.41E-2</v>
      </c>
      <c r="F154">
        <f t="shared" si="35"/>
        <v>1569.0871</v>
      </c>
      <c r="G154">
        <f t="shared" si="36"/>
        <v>-0.27056999999999998</v>
      </c>
      <c r="H154">
        <f t="shared" si="27"/>
        <v>-424.54789664699996</v>
      </c>
      <c r="I154">
        <v>1</v>
      </c>
      <c r="J154">
        <f t="shared" si="28"/>
        <v>0.45049398527574924</v>
      </c>
      <c r="K154">
        <f t="shared" si="29"/>
        <v>-0.90934057297601201</v>
      </c>
      <c r="L154">
        <v>1</v>
      </c>
      <c r="M154">
        <f t="shared" si="37"/>
        <v>0.5288123388831788</v>
      </c>
      <c r="N154">
        <f t="shared" si="38"/>
        <v>0.1647541455</v>
      </c>
      <c r="O154">
        <f t="shared" si="39"/>
        <v>0.11062064055</v>
      </c>
      <c r="P154">
        <f t="shared" si="40"/>
        <v>0.10515344804283321</v>
      </c>
      <c r="V154">
        <v>8.7999999999998995</v>
      </c>
      <c r="W154">
        <f t="shared" si="34"/>
        <v>-0.8218799999999965</v>
      </c>
    </row>
    <row r="155" spans="1:23" x14ac:dyDescent="0.3">
      <c r="A155">
        <v>7.8958447000000005</v>
      </c>
      <c r="B155">
        <v>0.26856000000000002</v>
      </c>
      <c r="C155">
        <f t="shared" si="24"/>
        <v>2.1205080526320002</v>
      </c>
      <c r="D155" s="1">
        <v>2.1000000000000001E-2</v>
      </c>
      <c r="E155" s="1">
        <v>1.41E-2</v>
      </c>
      <c r="F155">
        <f t="shared" si="35"/>
        <v>1579.16894</v>
      </c>
      <c r="G155">
        <f t="shared" si="36"/>
        <v>-0.26856000000000002</v>
      </c>
      <c r="H155">
        <f t="shared" si="27"/>
        <v>-424.10161052640001</v>
      </c>
      <c r="I155">
        <v>1</v>
      </c>
      <c r="J155">
        <f t="shared" si="28"/>
        <v>0.45689872131723525</v>
      </c>
      <c r="K155">
        <f t="shared" si="29"/>
        <v>-0.91135057297601196</v>
      </c>
      <c r="L155">
        <v>1</v>
      </c>
      <c r="M155">
        <f t="shared" si="37"/>
        <v>0.52903714511823496</v>
      </c>
      <c r="N155">
        <f t="shared" si="38"/>
        <v>0.16581273870000002</v>
      </c>
      <c r="O155">
        <f t="shared" si="39"/>
        <v>0.11133141027</v>
      </c>
      <c r="P155">
        <f t="shared" si="40"/>
        <v>0.10516927888777698</v>
      </c>
      <c r="V155">
        <v>8.8999999999999009</v>
      </c>
      <c r="W155">
        <f t="shared" si="34"/>
        <v>-0.82538999999999652</v>
      </c>
    </row>
    <row r="156" spans="1:23" x14ac:dyDescent="0.3">
      <c r="A156">
        <v>7.9508363999999991</v>
      </c>
      <c r="B156">
        <v>0.2661</v>
      </c>
      <c r="C156">
        <f t="shared" si="24"/>
        <v>2.1157175660399998</v>
      </c>
      <c r="D156" s="1">
        <v>2.1000000000000001E-2</v>
      </c>
      <c r="E156" s="1">
        <v>1.41E-2</v>
      </c>
      <c r="F156">
        <f t="shared" si="35"/>
        <v>1590.1672799999999</v>
      </c>
      <c r="G156">
        <f t="shared" si="36"/>
        <v>-0.2661</v>
      </c>
      <c r="H156">
        <f t="shared" si="27"/>
        <v>-423.14351320799994</v>
      </c>
      <c r="I156">
        <v>1</v>
      </c>
      <c r="J156">
        <f t="shared" si="28"/>
        <v>0.4638392182453841</v>
      </c>
      <c r="K156">
        <f t="shared" si="29"/>
        <v>-0.91381057297601198</v>
      </c>
      <c r="L156">
        <v>1</v>
      </c>
      <c r="M156">
        <f t="shared" si="37"/>
        <v>0.52928075656041296</v>
      </c>
      <c r="N156">
        <f t="shared" si="38"/>
        <v>0.16696756439999999</v>
      </c>
      <c r="O156">
        <f t="shared" si="39"/>
        <v>0.11210679323999999</v>
      </c>
      <c r="P156">
        <f t="shared" si="40"/>
        <v>0.10545545877559905</v>
      </c>
      <c r="V156">
        <v>8.9999999999999005</v>
      </c>
      <c r="W156">
        <f t="shared" si="34"/>
        <v>-0.82889999999999653</v>
      </c>
    </row>
    <row r="157" spans="1:23" x14ac:dyDescent="0.3">
      <c r="A157">
        <v>8.001245599999999</v>
      </c>
      <c r="B157">
        <v>0.26417000000000002</v>
      </c>
      <c r="C157">
        <f t="shared" si="24"/>
        <v>2.1136890501519998</v>
      </c>
      <c r="D157" s="1">
        <v>2.1000000000000001E-2</v>
      </c>
      <c r="E157" s="1">
        <v>1.41E-2</v>
      </c>
      <c r="F157">
        <f t="shared" si="35"/>
        <v>1600.2491199999997</v>
      </c>
      <c r="G157">
        <f t="shared" si="36"/>
        <v>-0.26417000000000002</v>
      </c>
      <c r="H157">
        <f t="shared" si="27"/>
        <v>-422.73781003039994</v>
      </c>
      <c r="I157">
        <v>1</v>
      </c>
      <c r="J157">
        <f t="shared" si="28"/>
        <v>0.47015931712574843</v>
      </c>
      <c r="K157">
        <f t="shared" si="29"/>
        <v>-0.91574057297601197</v>
      </c>
      <c r="L157">
        <v>1</v>
      </c>
      <c r="M157">
        <f t="shared" si="37"/>
        <v>0.52950259203111383</v>
      </c>
      <c r="N157">
        <f t="shared" si="38"/>
        <v>0.16802615759999998</v>
      </c>
      <c r="O157">
        <f t="shared" si="39"/>
        <v>0.11281756295999998</v>
      </c>
      <c r="P157">
        <f t="shared" si="40"/>
        <v>0.10539426038489819</v>
      </c>
      <c r="V157">
        <v>9.0999999999999002</v>
      </c>
      <c r="W157">
        <f t="shared" si="34"/>
        <v>-0.83240999999999654</v>
      </c>
    </row>
    <row r="158" spans="1:23" x14ac:dyDescent="0.3">
      <c r="A158">
        <v>8.0557274999999997</v>
      </c>
      <c r="B158">
        <v>0.26191999999999999</v>
      </c>
      <c r="C158">
        <f t="shared" si="24"/>
        <v>2.1099561467999997</v>
      </c>
      <c r="D158" s="1">
        <v>2.1000000000000001E-2</v>
      </c>
      <c r="E158" s="1">
        <v>1.41E-2</v>
      </c>
      <c r="F158">
        <f t="shared" si="35"/>
        <v>1611.1454999999999</v>
      </c>
      <c r="G158">
        <f t="shared" si="36"/>
        <v>-0.26191999999999999</v>
      </c>
      <c r="H158">
        <f t="shared" si="27"/>
        <v>-421.99122935999992</v>
      </c>
      <c r="I158">
        <v>1</v>
      </c>
      <c r="J158">
        <f t="shared" si="28"/>
        <v>0.47694541669009788</v>
      </c>
      <c r="K158">
        <f t="shared" si="29"/>
        <v>-0.91799057297601205</v>
      </c>
      <c r="L158">
        <v>1</v>
      </c>
      <c r="M158">
        <f t="shared" si="37"/>
        <v>0.52974078412582248</v>
      </c>
      <c r="N158">
        <f t="shared" si="38"/>
        <v>0.16917027749999999</v>
      </c>
      <c r="O158">
        <f t="shared" si="39"/>
        <v>0.11358575774999999</v>
      </c>
      <c r="P158">
        <f t="shared" si="40"/>
        <v>0.10549375360018959</v>
      </c>
      <c r="V158">
        <v>9.1999999999998998</v>
      </c>
      <c r="W158">
        <f t="shared" si="34"/>
        <v>-0.83591999999999644</v>
      </c>
    </row>
    <row r="159" spans="1:23" x14ac:dyDescent="0.3">
      <c r="A159">
        <v>8.109191899999999</v>
      </c>
      <c r="B159">
        <v>0.25952999999999998</v>
      </c>
      <c r="C159">
        <f t="shared" si="24"/>
        <v>2.1045785738069998</v>
      </c>
      <c r="D159" s="1">
        <v>2.1000000000000001E-2</v>
      </c>
      <c r="E159" s="1">
        <v>1.41E-2</v>
      </c>
      <c r="F159">
        <f t="shared" si="35"/>
        <v>1621.8383799999997</v>
      </c>
      <c r="G159">
        <f t="shared" si="36"/>
        <v>-0.25952999999999998</v>
      </c>
      <c r="H159">
        <f t="shared" si="27"/>
        <v>-420.91571476139995</v>
      </c>
      <c r="I159">
        <v>1</v>
      </c>
      <c r="J159">
        <f t="shared" si="28"/>
        <v>0.48356030831181607</v>
      </c>
      <c r="K159">
        <f t="shared" si="29"/>
        <v>-0.92038057297601195</v>
      </c>
      <c r="L159">
        <v>1</v>
      </c>
      <c r="M159">
        <f t="shared" si="37"/>
        <v>0.52997296682174477</v>
      </c>
      <c r="N159">
        <f t="shared" si="38"/>
        <v>0.1702930299</v>
      </c>
      <c r="O159">
        <f t="shared" si="39"/>
        <v>0.11433960578999998</v>
      </c>
      <c r="P159">
        <f t="shared" si="40"/>
        <v>0.10577497046426719</v>
      </c>
      <c r="V159">
        <v>9.2999999999998995</v>
      </c>
      <c r="W159">
        <f t="shared" si="34"/>
        <v>-0.83942999999999646</v>
      </c>
    </row>
    <row r="160" spans="1:23" x14ac:dyDescent="0.3">
      <c r="A160">
        <v>8.1621474999999997</v>
      </c>
      <c r="B160">
        <v>0.25735999999999998</v>
      </c>
      <c r="C160">
        <f t="shared" si="24"/>
        <v>2.1006102805999998</v>
      </c>
      <c r="D160" s="1">
        <v>2.1000000000000001E-2</v>
      </c>
      <c r="E160" s="1">
        <v>1.41E-2</v>
      </c>
      <c r="F160">
        <f t="shared" si="35"/>
        <v>1632.4295</v>
      </c>
      <c r="G160">
        <f t="shared" si="36"/>
        <v>-0.25735999999999998</v>
      </c>
      <c r="H160">
        <f t="shared" si="27"/>
        <v>-420.12205611999997</v>
      </c>
      <c r="I160">
        <v>1</v>
      </c>
      <c r="J160">
        <f t="shared" si="28"/>
        <v>0.49006939593731547</v>
      </c>
      <c r="K160">
        <f t="shared" si="29"/>
        <v>-0.92255057297601195</v>
      </c>
      <c r="L160">
        <v>1</v>
      </c>
      <c r="M160">
        <f t="shared" si="37"/>
        <v>0.53020143579739976</v>
      </c>
      <c r="N160">
        <f t="shared" si="38"/>
        <v>0.17140509749999999</v>
      </c>
      <c r="O160">
        <f t="shared" si="39"/>
        <v>0.11508627974999999</v>
      </c>
      <c r="P160">
        <f t="shared" si="40"/>
        <v>0.10585775992861221</v>
      </c>
      <c r="V160">
        <v>9.3999999999999009</v>
      </c>
      <c r="W160">
        <f t="shared" si="34"/>
        <v>-0.84293999999999647</v>
      </c>
    </row>
    <row r="161" spans="1:23" x14ac:dyDescent="0.3">
      <c r="A161">
        <v>8.2145937999999994</v>
      </c>
      <c r="B161">
        <v>0.25519999999999998</v>
      </c>
      <c r="C161">
        <f t="shared" si="24"/>
        <v>2.0963643377599999</v>
      </c>
      <c r="D161" s="1">
        <v>2.1000000000000001E-2</v>
      </c>
      <c r="E161" s="1">
        <v>1.41E-2</v>
      </c>
      <c r="F161">
        <f t="shared" si="35"/>
        <v>1642.9187599999998</v>
      </c>
      <c r="G161">
        <f t="shared" si="36"/>
        <v>-0.25519999999999998</v>
      </c>
      <c r="H161">
        <f t="shared" si="27"/>
        <v>-419.27286755199998</v>
      </c>
      <c r="I161">
        <v>1</v>
      </c>
      <c r="J161">
        <f t="shared" si="28"/>
        <v>0.49647439169751173</v>
      </c>
      <c r="K161">
        <f t="shared" si="29"/>
        <v>-0.924710572976012</v>
      </c>
      <c r="L161">
        <v>1</v>
      </c>
      <c r="M161">
        <f t="shared" si="37"/>
        <v>0.53042625114858266</v>
      </c>
      <c r="N161">
        <f t="shared" si="38"/>
        <v>0.17250646980000001</v>
      </c>
      <c r="O161">
        <f t="shared" si="39"/>
        <v>0.11582577257999999</v>
      </c>
      <c r="P161">
        <f t="shared" si="40"/>
        <v>0.10595207944742935</v>
      </c>
      <c r="V161">
        <v>9.4999999999999005</v>
      </c>
      <c r="W161">
        <f t="shared" si="34"/>
        <v>-0.84644999999999659</v>
      </c>
    </row>
    <row r="162" spans="1:23" x14ac:dyDescent="0.3">
      <c r="A162">
        <v>8.2670390999999999</v>
      </c>
      <c r="B162">
        <v>0.25303999999999999</v>
      </c>
      <c r="C162">
        <f t="shared" si="24"/>
        <v>2.0918915738639998</v>
      </c>
      <c r="D162" s="1">
        <v>2.1000000000000001E-2</v>
      </c>
      <c r="E162" s="1">
        <v>1.41E-2</v>
      </c>
      <c r="F162">
        <f t="shared" si="35"/>
        <v>1653.4078199999999</v>
      </c>
      <c r="G162">
        <f t="shared" si="36"/>
        <v>-0.25303999999999999</v>
      </c>
      <c r="H162">
        <f t="shared" si="27"/>
        <v>-418.37831477279997</v>
      </c>
      <c r="I162">
        <v>1</v>
      </c>
      <c r="J162">
        <f t="shared" si="28"/>
        <v>0.50283850347325143</v>
      </c>
      <c r="K162">
        <f t="shared" si="29"/>
        <v>-0.92687057297601205</v>
      </c>
      <c r="L162">
        <v>1</v>
      </c>
      <c r="M162">
        <f t="shared" si="37"/>
        <v>0.53064963147191113</v>
      </c>
      <c r="N162">
        <f t="shared" si="38"/>
        <v>0.1736078211</v>
      </c>
      <c r="O162">
        <f t="shared" si="39"/>
        <v>0.11656525130999999</v>
      </c>
      <c r="P162">
        <f t="shared" si="40"/>
        <v>0.10604786909410092</v>
      </c>
      <c r="V162">
        <v>9.5999999999999002</v>
      </c>
      <c r="W162">
        <f t="shared" si="34"/>
        <v>-0.8499599999999965</v>
      </c>
    </row>
    <row r="163" spans="1:23" x14ac:dyDescent="0.3">
      <c r="A163">
        <v>8.3057382999999998</v>
      </c>
      <c r="B163">
        <v>0.25161</v>
      </c>
      <c r="C163">
        <f t="shared" si="24"/>
        <v>2.0898068136629999</v>
      </c>
      <c r="D163" s="1">
        <v>2.1000000000000001E-2</v>
      </c>
      <c r="E163" s="1">
        <v>1.41E-2</v>
      </c>
      <c r="F163">
        <f t="shared" si="35"/>
        <v>1661.1476599999999</v>
      </c>
      <c r="G163">
        <f t="shared" si="36"/>
        <v>-0.25161</v>
      </c>
      <c r="H163">
        <f t="shared" si="27"/>
        <v>-417.96136273259998</v>
      </c>
      <c r="I163">
        <v>1</v>
      </c>
      <c r="J163">
        <f t="shared" si="28"/>
        <v>0.50750872493400601</v>
      </c>
      <c r="K163">
        <f t="shared" si="29"/>
        <v>-0.92830057297601198</v>
      </c>
      <c r="L163">
        <v>1</v>
      </c>
      <c r="M163">
        <f t="shared" si="37"/>
        <v>0.53081355624518367</v>
      </c>
      <c r="N163">
        <f t="shared" si="38"/>
        <v>0.1744205043</v>
      </c>
      <c r="O163">
        <f t="shared" si="39"/>
        <v>0.11711091003</v>
      </c>
      <c r="P163">
        <f>-K163-M163-N163-O163</f>
        <v>0.10595560240082831</v>
      </c>
      <c r="V163">
        <v>9.6999999999998998</v>
      </c>
      <c r="W163">
        <f t="shared" si="34"/>
        <v>-0.85346999999999651</v>
      </c>
    </row>
    <row r="164" spans="1:23" x14ac:dyDescent="0.3">
      <c r="C164">
        <f t="shared" si="24"/>
        <v>0</v>
      </c>
      <c r="D164" s="1">
        <v>2.1000000000000001E-2</v>
      </c>
      <c r="E164" s="1">
        <v>1.41E-2</v>
      </c>
      <c r="F164">
        <f t="shared" si="35"/>
        <v>0</v>
      </c>
      <c r="G164">
        <f t="shared" si="36"/>
        <v>0</v>
      </c>
      <c r="H164">
        <f t="shared" si="27"/>
        <v>0</v>
      </c>
      <c r="I164">
        <v>1</v>
      </c>
      <c r="J164" t="e">
        <f t="shared" si="28"/>
        <v>#NUM!</v>
      </c>
      <c r="K164">
        <f t="shared" si="29"/>
        <v>-1.179910572976012</v>
      </c>
      <c r="L164">
        <v>1</v>
      </c>
      <c r="M164" t="e">
        <f t="shared" si="37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  <c r="V164">
        <v>9.7999999999998995</v>
      </c>
      <c r="W164">
        <f t="shared" si="34"/>
        <v>-0.85697999999999652</v>
      </c>
    </row>
    <row r="165" spans="1:23" x14ac:dyDescent="0.3">
      <c r="C165">
        <f t="shared" si="24"/>
        <v>0</v>
      </c>
      <c r="D165" s="1">
        <v>2.1000000000000001E-2</v>
      </c>
      <c r="E165" s="1">
        <v>1.41E-2</v>
      </c>
      <c r="F165">
        <f t="shared" si="35"/>
        <v>0</v>
      </c>
      <c r="G165">
        <f t="shared" si="36"/>
        <v>0</v>
      </c>
      <c r="H165">
        <f t="shared" si="27"/>
        <v>0</v>
      </c>
      <c r="I165">
        <v>1</v>
      </c>
      <c r="J165" t="e">
        <f t="shared" si="28"/>
        <v>#NUM!</v>
      </c>
      <c r="K165">
        <f t="shared" si="29"/>
        <v>-1.179910572976012</v>
      </c>
      <c r="L165">
        <v>1</v>
      </c>
      <c r="M165" t="e">
        <f t="shared" si="37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  <c r="V165">
        <v>9.8999999999999009</v>
      </c>
      <c r="W165">
        <f t="shared" si="34"/>
        <v>-0.86048999999999654</v>
      </c>
    </row>
    <row r="166" spans="1:23" x14ac:dyDescent="0.3">
      <c r="C166">
        <f t="shared" si="24"/>
        <v>0</v>
      </c>
      <c r="D166" s="1">
        <v>2.1000000000000001E-2</v>
      </c>
      <c r="E166" s="1">
        <v>1.41E-2</v>
      </c>
      <c r="F166">
        <f t="shared" si="35"/>
        <v>0</v>
      </c>
      <c r="G166">
        <f t="shared" si="36"/>
        <v>0</v>
      </c>
      <c r="H166">
        <f t="shared" si="27"/>
        <v>0</v>
      </c>
      <c r="I166">
        <v>1</v>
      </c>
      <c r="J166" t="e">
        <f t="shared" si="28"/>
        <v>#NUM!</v>
      </c>
      <c r="K166">
        <f t="shared" si="29"/>
        <v>-1.179910572976012</v>
      </c>
      <c r="L166">
        <v>1</v>
      </c>
      <c r="M166" t="e">
        <f t="shared" si="37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  <c r="V166">
        <v>9.9999999999999005</v>
      </c>
      <c r="W166">
        <f t="shared" si="34"/>
        <v>-0.86399999999999655</v>
      </c>
    </row>
    <row r="167" spans="1:23" x14ac:dyDescent="0.3">
      <c r="C167">
        <f t="shared" si="24"/>
        <v>0</v>
      </c>
      <c r="D167" s="1">
        <v>2.1000000000000001E-2</v>
      </c>
      <c r="E167" s="1">
        <v>1.41E-2</v>
      </c>
      <c r="F167">
        <f t="shared" si="35"/>
        <v>0</v>
      </c>
      <c r="G167">
        <f t="shared" si="36"/>
        <v>0</v>
      </c>
      <c r="H167">
        <f t="shared" si="27"/>
        <v>0</v>
      </c>
      <c r="I167">
        <v>1</v>
      </c>
      <c r="J167" t="e">
        <f t="shared" si="28"/>
        <v>#NUM!</v>
      </c>
      <c r="K167">
        <f t="shared" si="29"/>
        <v>-1.179910572976012</v>
      </c>
      <c r="L167">
        <v>1</v>
      </c>
      <c r="M167" t="e">
        <f t="shared" si="37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  <c r="V167">
        <v>10.0999999999999</v>
      </c>
      <c r="W167">
        <f t="shared" si="34"/>
        <v>-0.86750999999999645</v>
      </c>
    </row>
    <row r="168" spans="1:23" x14ac:dyDescent="0.3">
      <c r="C168">
        <f t="shared" si="24"/>
        <v>0</v>
      </c>
      <c r="D168" s="1">
        <v>2.1000000000000001E-2</v>
      </c>
      <c r="E168" s="1">
        <v>1.41E-2</v>
      </c>
      <c r="F168">
        <f t="shared" si="35"/>
        <v>0</v>
      </c>
      <c r="G168">
        <f t="shared" si="36"/>
        <v>0</v>
      </c>
      <c r="H168">
        <f t="shared" si="27"/>
        <v>0</v>
      </c>
      <c r="I168">
        <v>1</v>
      </c>
      <c r="J168" t="e">
        <f t="shared" si="28"/>
        <v>#NUM!</v>
      </c>
      <c r="K168">
        <f t="shared" si="29"/>
        <v>-1.179910572976012</v>
      </c>
      <c r="L168">
        <v>1</v>
      </c>
      <c r="M168" t="e">
        <f t="shared" si="37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  <c r="V168">
        <v>10.1999999999999</v>
      </c>
      <c r="W168">
        <f t="shared" si="34"/>
        <v>-0.87101999999999646</v>
      </c>
    </row>
    <row r="169" spans="1:23" x14ac:dyDescent="0.3">
      <c r="C169">
        <f t="shared" si="24"/>
        <v>0</v>
      </c>
      <c r="D169" s="1">
        <v>2.1000000000000001E-2</v>
      </c>
      <c r="E169" s="1">
        <v>1.41E-2</v>
      </c>
      <c r="F169">
        <f t="shared" si="35"/>
        <v>0</v>
      </c>
      <c r="G169">
        <f t="shared" si="36"/>
        <v>0</v>
      </c>
      <c r="H169">
        <f t="shared" si="27"/>
        <v>0</v>
      </c>
      <c r="I169">
        <v>1</v>
      </c>
      <c r="J169" t="e">
        <f t="shared" si="28"/>
        <v>#NUM!</v>
      </c>
      <c r="K169">
        <f t="shared" si="29"/>
        <v>-1.179910572976012</v>
      </c>
      <c r="L169">
        <v>1</v>
      </c>
      <c r="M169" t="e">
        <f t="shared" si="37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  <c r="V169">
        <v>10.299999999999899</v>
      </c>
      <c r="W169">
        <f t="shared" si="34"/>
        <v>-0.87452999999999648</v>
      </c>
    </row>
    <row r="170" spans="1:23" x14ac:dyDescent="0.3">
      <c r="C170">
        <f t="shared" si="24"/>
        <v>0</v>
      </c>
      <c r="D170" s="1">
        <v>2.1000000000000001E-2</v>
      </c>
      <c r="E170" s="1">
        <v>1.41E-2</v>
      </c>
      <c r="F170">
        <f t="shared" si="35"/>
        <v>0</v>
      </c>
      <c r="G170">
        <f t="shared" si="36"/>
        <v>0</v>
      </c>
      <c r="H170">
        <f t="shared" si="27"/>
        <v>0</v>
      </c>
      <c r="I170">
        <v>1</v>
      </c>
      <c r="J170" t="e">
        <f t="shared" si="28"/>
        <v>#NUM!</v>
      </c>
      <c r="K170">
        <f t="shared" si="29"/>
        <v>-1.179910572976012</v>
      </c>
      <c r="L170">
        <v>1</v>
      </c>
      <c r="M170" t="e">
        <f t="shared" si="37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  <c r="V170">
        <v>10.399999999999901</v>
      </c>
      <c r="W170">
        <f t="shared" si="34"/>
        <v>-0.8780399999999966</v>
      </c>
    </row>
    <row r="171" spans="1:23" x14ac:dyDescent="0.3">
      <c r="C171">
        <f t="shared" si="24"/>
        <v>0</v>
      </c>
      <c r="D171" s="1">
        <v>2.1000000000000001E-2</v>
      </c>
      <c r="E171" s="1">
        <v>1.41E-2</v>
      </c>
      <c r="F171">
        <f t="shared" si="35"/>
        <v>0</v>
      </c>
      <c r="G171">
        <f t="shared" si="36"/>
        <v>0</v>
      </c>
      <c r="H171">
        <f t="shared" si="27"/>
        <v>0</v>
      </c>
      <c r="I171">
        <v>1</v>
      </c>
      <c r="J171" t="e">
        <f t="shared" si="28"/>
        <v>#NUM!</v>
      </c>
      <c r="K171">
        <f t="shared" si="29"/>
        <v>-1.179910572976012</v>
      </c>
      <c r="L171">
        <v>1</v>
      </c>
      <c r="M171" t="e">
        <f t="shared" si="37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  <c r="V171">
        <v>10.499999999999901</v>
      </c>
      <c r="W171">
        <f t="shared" si="34"/>
        <v>-0.8815499999999965</v>
      </c>
    </row>
    <row r="172" spans="1:23" x14ac:dyDescent="0.3">
      <c r="C172">
        <f t="shared" si="24"/>
        <v>0</v>
      </c>
      <c r="D172" s="1">
        <v>2.1000000000000001E-2</v>
      </c>
      <c r="E172" s="1">
        <v>1.41E-2</v>
      </c>
      <c r="F172">
        <f t="shared" si="35"/>
        <v>0</v>
      </c>
      <c r="G172">
        <f t="shared" si="36"/>
        <v>0</v>
      </c>
      <c r="H172">
        <f t="shared" si="27"/>
        <v>0</v>
      </c>
      <c r="I172">
        <v>1</v>
      </c>
      <c r="J172" t="e">
        <f t="shared" si="28"/>
        <v>#NUM!</v>
      </c>
      <c r="K172">
        <f t="shared" si="29"/>
        <v>-1.179910572976012</v>
      </c>
      <c r="L172">
        <v>1</v>
      </c>
      <c r="M172" t="e">
        <f t="shared" si="37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  <c r="V172">
        <v>10.5999999999999</v>
      </c>
      <c r="W172">
        <f t="shared" si="34"/>
        <v>-0.88505999999999652</v>
      </c>
    </row>
    <row r="173" spans="1:23" x14ac:dyDescent="0.3">
      <c r="C173">
        <f t="shared" si="24"/>
        <v>0</v>
      </c>
      <c r="D173" s="1">
        <v>2.1000000000000001E-2</v>
      </c>
      <c r="E173" s="1">
        <v>1.41E-2</v>
      </c>
      <c r="F173">
        <f t="shared" si="35"/>
        <v>0</v>
      </c>
      <c r="G173">
        <f t="shared" si="36"/>
        <v>0</v>
      </c>
      <c r="H173">
        <f t="shared" si="27"/>
        <v>0</v>
      </c>
      <c r="I173">
        <v>1</v>
      </c>
      <c r="J173" t="e">
        <f t="shared" si="28"/>
        <v>#NUM!</v>
      </c>
      <c r="K173">
        <f t="shared" si="29"/>
        <v>-1.179910572976012</v>
      </c>
      <c r="L173">
        <v>1</v>
      </c>
      <c r="M173" t="e">
        <f t="shared" si="37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  <c r="V173">
        <v>10.6999999999999</v>
      </c>
      <c r="W173">
        <f t="shared" si="34"/>
        <v>-0.88856999999999653</v>
      </c>
    </row>
    <row r="174" spans="1:23" x14ac:dyDescent="0.3">
      <c r="C174">
        <f t="shared" si="24"/>
        <v>0</v>
      </c>
      <c r="D174" s="1">
        <v>2.1000000000000001E-2</v>
      </c>
      <c r="E174" s="1">
        <v>1.41E-2</v>
      </c>
      <c r="F174">
        <f t="shared" si="35"/>
        <v>0</v>
      </c>
      <c r="G174">
        <f t="shared" si="36"/>
        <v>0</v>
      </c>
      <c r="H174">
        <f t="shared" si="27"/>
        <v>0</v>
      </c>
      <c r="I174">
        <v>1</v>
      </c>
      <c r="J174" t="e">
        <f t="shared" si="28"/>
        <v>#NUM!</v>
      </c>
      <c r="K174">
        <f t="shared" si="29"/>
        <v>-1.179910572976012</v>
      </c>
      <c r="L174">
        <v>1</v>
      </c>
      <c r="M174" t="e">
        <f t="shared" si="37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  <c r="V174">
        <v>10.799999999999899</v>
      </c>
      <c r="W174">
        <f t="shared" si="34"/>
        <v>-0.89207999999999643</v>
      </c>
    </row>
    <row r="175" spans="1:23" x14ac:dyDescent="0.3">
      <c r="C175">
        <f t="shared" si="24"/>
        <v>0</v>
      </c>
      <c r="D175" s="1">
        <v>2.1000000000000001E-2</v>
      </c>
      <c r="E175" s="1">
        <v>1.41E-2</v>
      </c>
      <c r="F175">
        <f t="shared" si="35"/>
        <v>0</v>
      </c>
      <c r="G175">
        <f t="shared" si="36"/>
        <v>0</v>
      </c>
      <c r="H175">
        <f t="shared" si="27"/>
        <v>0</v>
      </c>
      <c r="I175">
        <v>1</v>
      </c>
      <c r="J175" t="e">
        <f t="shared" si="28"/>
        <v>#NUM!</v>
      </c>
      <c r="K175">
        <f t="shared" si="29"/>
        <v>-1.179910572976012</v>
      </c>
      <c r="L175">
        <v>1</v>
      </c>
      <c r="M175" t="e">
        <f t="shared" si="37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  <c r="V175">
        <v>10.899999999999901</v>
      </c>
      <c r="W175">
        <f t="shared" si="34"/>
        <v>-0.89558999999999656</v>
      </c>
    </row>
    <row r="176" spans="1:23" x14ac:dyDescent="0.3">
      <c r="C176">
        <f t="shared" si="24"/>
        <v>0</v>
      </c>
      <c r="D176" s="1">
        <v>2.1000000000000001E-2</v>
      </c>
      <c r="E176" s="1">
        <v>1.41E-2</v>
      </c>
      <c r="F176">
        <f t="shared" si="35"/>
        <v>0</v>
      </c>
      <c r="G176">
        <f t="shared" si="36"/>
        <v>0</v>
      </c>
      <c r="H176">
        <f t="shared" si="27"/>
        <v>0</v>
      </c>
      <c r="I176">
        <v>1</v>
      </c>
      <c r="J176" t="e">
        <f t="shared" si="28"/>
        <v>#NUM!</v>
      </c>
      <c r="K176">
        <f t="shared" si="29"/>
        <v>-1.179910572976012</v>
      </c>
      <c r="L176">
        <v>1</v>
      </c>
      <c r="M176" t="e">
        <f t="shared" si="37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  <c r="V176">
        <v>10.999999999999901</v>
      </c>
      <c r="W176">
        <f t="shared" si="34"/>
        <v>-0.89909999999999646</v>
      </c>
    </row>
    <row r="177" spans="3:23" x14ac:dyDescent="0.3">
      <c r="C177">
        <f t="shared" si="24"/>
        <v>0</v>
      </c>
      <c r="D177" s="1">
        <v>2.1000000000000001E-2</v>
      </c>
      <c r="E177" s="1">
        <v>1.41E-2</v>
      </c>
      <c r="F177">
        <f t="shared" si="35"/>
        <v>0</v>
      </c>
      <c r="G177">
        <f t="shared" si="36"/>
        <v>0</v>
      </c>
      <c r="H177">
        <f t="shared" si="27"/>
        <v>0</v>
      </c>
      <c r="I177">
        <v>1</v>
      </c>
      <c r="J177" t="e">
        <f t="shared" si="28"/>
        <v>#NUM!</v>
      </c>
      <c r="K177">
        <f t="shared" si="29"/>
        <v>-1.179910572976012</v>
      </c>
      <c r="L177">
        <v>1</v>
      </c>
      <c r="M177" t="e">
        <f t="shared" si="37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  <c r="V177">
        <v>11.0999999999999</v>
      </c>
      <c r="W177">
        <f t="shared" si="34"/>
        <v>-0.90260999999999658</v>
      </c>
    </row>
    <row r="178" spans="3:23" x14ac:dyDescent="0.3">
      <c r="C178">
        <f t="shared" si="24"/>
        <v>0</v>
      </c>
      <c r="D178" s="1">
        <v>2.1000000000000001E-2</v>
      </c>
      <c r="E178" s="1">
        <v>1.41E-2</v>
      </c>
      <c r="F178">
        <f t="shared" si="35"/>
        <v>0</v>
      </c>
      <c r="G178">
        <f t="shared" si="36"/>
        <v>0</v>
      </c>
      <c r="H178">
        <f t="shared" si="27"/>
        <v>0</v>
      </c>
      <c r="I178">
        <v>1</v>
      </c>
      <c r="J178" t="e">
        <f t="shared" si="28"/>
        <v>#NUM!</v>
      </c>
      <c r="K178">
        <f t="shared" si="29"/>
        <v>-1.179910572976012</v>
      </c>
      <c r="L178">
        <v>1</v>
      </c>
      <c r="M178" t="e">
        <f t="shared" si="37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  <c r="V178">
        <v>11.1999999999999</v>
      </c>
      <c r="W178">
        <f t="shared" si="34"/>
        <v>-0.90611999999999648</v>
      </c>
    </row>
    <row r="179" spans="3:23" x14ac:dyDescent="0.3">
      <c r="C179">
        <f t="shared" si="24"/>
        <v>0</v>
      </c>
      <c r="D179" s="1">
        <v>2.1000000000000001E-2</v>
      </c>
      <c r="E179" s="1">
        <v>1.41E-2</v>
      </c>
      <c r="F179">
        <f t="shared" si="35"/>
        <v>0</v>
      </c>
      <c r="G179">
        <f t="shared" si="36"/>
        <v>0</v>
      </c>
      <c r="H179">
        <f t="shared" si="27"/>
        <v>0</v>
      </c>
      <c r="I179">
        <v>1</v>
      </c>
      <c r="J179" t="e">
        <f t="shared" si="28"/>
        <v>#NUM!</v>
      </c>
      <c r="K179">
        <f t="shared" si="29"/>
        <v>-1.179910572976012</v>
      </c>
      <c r="L179">
        <v>1</v>
      </c>
      <c r="M179" t="e">
        <f t="shared" si="37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  <c r="V179">
        <v>11.299999999999899</v>
      </c>
      <c r="W179">
        <f t="shared" si="34"/>
        <v>-0.9096299999999965</v>
      </c>
    </row>
    <row r="180" spans="3:23" x14ac:dyDescent="0.3">
      <c r="C180">
        <f t="shared" si="24"/>
        <v>0</v>
      </c>
      <c r="D180" s="1">
        <v>2.1000000000000001E-2</v>
      </c>
      <c r="E180" s="1">
        <v>1.41E-2</v>
      </c>
      <c r="F180">
        <f t="shared" si="35"/>
        <v>0</v>
      </c>
      <c r="G180">
        <f t="shared" si="36"/>
        <v>0</v>
      </c>
      <c r="H180">
        <f t="shared" si="27"/>
        <v>0</v>
      </c>
      <c r="I180">
        <v>1</v>
      </c>
      <c r="J180" t="e">
        <f t="shared" si="28"/>
        <v>#NUM!</v>
      </c>
      <c r="K180">
        <f t="shared" si="29"/>
        <v>-1.179910572976012</v>
      </c>
      <c r="L180">
        <v>1</v>
      </c>
      <c r="M180" t="e">
        <f t="shared" si="37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  <c r="V180">
        <v>11.399999999999901</v>
      </c>
      <c r="W180">
        <f t="shared" si="34"/>
        <v>-0.91313999999999651</v>
      </c>
    </row>
    <row r="181" spans="3:23" x14ac:dyDescent="0.3">
      <c r="C181">
        <f t="shared" si="24"/>
        <v>0</v>
      </c>
      <c r="D181" s="1">
        <v>2.1000000000000001E-2</v>
      </c>
      <c r="E181" s="1">
        <v>1.41E-2</v>
      </c>
      <c r="F181">
        <f t="shared" si="35"/>
        <v>0</v>
      </c>
      <c r="G181">
        <f t="shared" si="36"/>
        <v>0</v>
      </c>
      <c r="H181">
        <f t="shared" si="27"/>
        <v>0</v>
      </c>
      <c r="I181">
        <v>1</v>
      </c>
      <c r="J181" t="e">
        <f t="shared" si="28"/>
        <v>#NUM!</v>
      </c>
      <c r="K181">
        <f t="shared" si="29"/>
        <v>-1.179910572976012</v>
      </c>
      <c r="L181">
        <v>1</v>
      </c>
      <c r="M181" t="e">
        <f t="shared" si="37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  <c r="V181">
        <v>11.499999999999901</v>
      </c>
      <c r="W181">
        <f t="shared" si="34"/>
        <v>-0.91664999999999652</v>
      </c>
    </row>
    <row r="182" spans="3:23" x14ac:dyDescent="0.3">
      <c r="C182">
        <f t="shared" si="24"/>
        <v>0</v>
      </c>
      <c r="D182" s="1">
        <v>2.1000000000000001E-2</v>
      </c>
      <c r="E182" s="1">
        <v>1.41E-2</v>
      </c>
      <c r="F182">
        <f t="shared" si="35"/>
        <v>0</v>
      </c>
      <c r="G182">
        <f t="shared" si="36"/>
        <v>0</v>
      </c>
      <c r="H182">
        <f t="shared" si="27"/>
        <v>0</v>
      </c>
      <c r="I182">
        <v>1</v>
      </c>
      <c r="J182" t="e">
        <f t="shared" si="28"/>
        <v>#NUM!</v>
      </c>
      <c r="K182">
        <f t="shared" si="29"/>
        <v>-1.179910572976012</v>
      </c>
      <c r="L182">
        <v>1</v>
      </c>
      <c r="M182" t="e">
        <f t="shared" si="37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  <c r="V182">
        <v>11.5999999999999</v>
      </c>
      <c r="W182">
        <f t="shared" si="34"/>
        <v>-0.92015999999999654</v>
      </c>
    </row>
    <row r="183" spans="3:23" x14ac:dyDescent="0.3">
      <c r="C183">
        <f t="shared" si="24"/>
        <v>0</v>
      </c>
      <c r="D183" s="1">
        <v>2.1000000000000001E-2</v>
      </c>
      <c r="E183" s="1">
        <v>1.41E-2</v>
      </c>
      <c r="F183">
        <f t="shared" si="35"/>
        <v>0</v>
      </c>
      <c r="G183">
        <f t="shared" si="36"/>
        <v>0</v>
      </c>
      <c r="H183">
        <f t="shared" si="27"/>
        <v>0</v>
      </c>
      <c r="I183">
        <v>1</v>
      </c>
      <c r="J183" t="e">
        <f t="shared" si="28"/>
        <v>#NUM!</v>
      </c>
      <c r="K183">
        <f t="shared" si="29"/>
        <v>-1.179910572976012</v>
      </c>
      <c r="L183">
        <v>1</v>
      </c>
      <c r="M183" t="e">
        <f t="shared" si="37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  <c r="V183">
        <v>11.6999999999999</v>
      </c>
      <c r="W183">
        <f t="shared" si="34"/>
        <v>-0.92366999999999644</v>
      </c>
    </row>
    <row r="184" spans="3:23" x14ac:dyDescent="0.3">
      <c r="C184">
        <f t="shared" si="24"/>
        <v>0</v>
      </c>
      <c r="D184" s="1">
        <v>2.1000000000000001E-2</v>
      </c>
      <c r="E184" s="1">
        <v>1.41E-2</v>
      </c>
      <c r="F184">
        <f t="shared" si="35"/>
        <v>0</v>
      </c>
      <c r="G184">
        <f t="shared" si="36"/>
        <v>0</v>
      </c>
      <c r="H184">
        <f t="shared" si="27"/>
        <v>0</v>
      </c>
      <c r="I184">
        <v>1</v>
      </c>
      <c r="J184" t="e">
        <f t="shared" si="28"/>
        <v>#NUM!</v>
      </c>
      <c r="K184">
        <f t="shared" si="29"/>
        <v>-1.179910572976012</v>
      </c>
      <c r="L184">
        <v>1</v>
      </c>
      <c r="M184" t="e">
        <f t="shared" si="37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  <c r="V184">
        <v>11.799999999999899</v>
      </c>
      <c r="W184">
        <f t="shared" si="34"/>
        <v>-0.92717999999999645</v>
      </c>
    </row>
    <row r="185" spans="3:23" x14ac:dyDescent="0.3">
      <c r="C185">
        <f t="shared" si="24"/>
        <v>0</v>
      </c>
      <c r="D185" s="1">
        <v>2.1000000000000001E-2</v>
      </c>
      <c r="E185" s="1">
        <v>1.41E-2</v>
      </c>
      <c r="F185">
        <f t="shared" si="35"/>
        <v>0</v>
      </c>
      <c r="G185">
        <f t="shared" si="36"/>
        <v>0</v>
      </c>
      <c r="H185">
        <f t="shared" si="27"/>
        <v>0</v>
      </c>
      <c r="I185">
        <v>1</v>
      </c>
      <c r="J185" t="e">
        <f t="shared" si="28"/>
        <v>#NUM!</v>
      </c>
      <c r="K185">
        <f t="shared" si="29"/>
        <v>-1.179910572976012</v>
      </c>
      <c r="L185">
        <v>1</v>
      </c>
      <c r="M185" t="e">
        <f t="shared" si="37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  <c r="V185">
        <v>11.899999999999901</v>
      </c>
      <c r="W185">
        <f t="shared" si="34"/>
        <v>-0.93068999999999646</v>
      </c>
    </row>
    <row r="186" spans="3:23" x14ac:dyDescent="0.3">
      <c r="C186">
        <f t="shared" si="24"/>
        <v>0</v>
      </c>
      <c r="D186" s="1">
        <v>2.1000000000000001E-2</v>
      </c>
      <c r="E186" s="1">
        <v>1.41E-2</v>
      </c>
      <c r="F186">
        <f t="shared" si="35"/>
        <v>0</v>
      </c>
      <c r="G186">
        <f t="shared" si="36"/>
        <v>0</v>
      </c>
      <c r="H186">
        <f t="shared" si="27"/>
        <v>0</v>
      </c>
      <c r="I186">
        <v>1</v>
      </c>
      <c r="J186" t="e">
        <f t="shared" si="28"/>
        <v>#NUM!</v>
      </c>
      <c r="K186">
        <f t="shared" si="29"/>
        <v>-1.179910572976012</v>
      </c>
      <c r="L186">
        <v>1</v>
      </c>
      <c r="M186" t="e">
        <f t="shared" si="37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  <c r="V186">
        <v>11.999999999999901</v>
      </c>
      <c r="W186">
        <f t="shared" si="34"/>
        <v>-0.93419999999999659</v>
      </c>
    </row>
    <row r="187" spans="3:23" x14ac:dyDescent="0.3">
      <c r="C187">
        <f t="shared" si="24"/>
        <v>0</v>
      </c>
      <c r="D187" s="1">
        <v>2.1000000000000001E-2</v>
      </c>
      <c r="E187" s="1">
        <v>1.41E-2</v>
      </c>
      <c r="F187">
        <f t="shared" si="35"/>
        <v>0</v>
      </c>
      <c r="G187">
        <f t="shared" si="36"/>
        <v>0</v>
      </c>
      <c r="H187">
        <f t="shared" si="27"/>
        <v>0</v>
      </c>
      <c r="I187">
        <v>1</v>
      </c>
      <c r="J187" t="e">
        <f t="shared" si="28"/>
        <v>#NUM!</v>
      </c>
      <c r="K187">
        <f t="shared" si="29"/>
        <v>-1.179910572976012</v>
      </c>
      <c r="L187">
        <v>1</v>
      </c>
      <c r="M187" t="e">
        <f t="shared" si="37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  <c r="V187">
        <v>12.0999999999999</v>
      </c>
      <c r="W187">
        <f t="shared" si="34"/>
        <v>-0.93770999999999649</v>
      </c>
    </row>
    <row r="188" spans="3:23" x14ac:dyDescent="0.3">
      <c r="C188">
        <f t="shared" si="24"/>
        <v>0</v>
      </c>
      <c r="D188" s="1">
        <v>2.1000000000000001E-2</v>
      </c>
      <c r="E188" s="1">
        <v>1.41E-2</v>
      </c>
      <c r="F188">
        <f t="shared" ref="F188:F211" si="41">A188*200</f>
        <v>0</v>
      </c>
      <c r="G188">
        <f t="shared" ref="G188:G211" si="42">-B188</f>
        <v>0</v>
      </c>
      <c r="H188">
        <f t="shared" si="27"/>
        <v>0</v>
      </c>
      <c r="I188">
        <v>1</v>
      </c>
      <c r="J188" t="e">
        <f t="shared" si="28"/>
        <v>#NUM!</v>
      </c>
      <c r="K188">
        <f t="shared" ref="K188:K211" si="43">((-G188)-$N$2)</f>
        <v>-1.179910572976012</v>
      </c>
      <c r="L188">
        <v>1</v>
      </c>
      <c r="M188" t="e">
        <f t="shared" ref="M188:M211" si="44">-1*($S$4+($S$5*J188))</f>
        <v>#NUM!</v>
      </c>
      <c r="N188">
        <f t="shared" ref="N188:N211" si="45">D188*A188</f>
        <v>0</v>
      </c>
      <c r="O188">
        <f t="shared" ref="O188:O211" si="46">E188*A188</f>
        <v>0</v>
      </c>
      <c r="P188" t="e">
        <f t="shared" ref="P188:P211" si="47">-K188-M188-N188-O188</f>
        <v>#NUM!</v>
      </c>
      <c r="V188">
        <v>12.1999999999999</v>
      </c>
      <c r="W188">
        <f t="shared" si="34"/>
        <v>-0.9412199999999965</v>
      </c>
    </row>
    <row r="189" spans="3:23" x14ac:dyDescent="0.3">
      <c r="C189">
        <f t="shared" si="24"/>
        <v>0</v>
      </c>
      <c r="D189" s="1">
        <v>2.1000000000000001E-2</v>
      </c>
      <c r="E189" s="1">
        <v>1.41E-2</v>
      </c>
      <c r="F189">
        <f t="shared" si="41"/>
        <v>0</v>
      </c>
      <c r="G189">
        <f t="shared" si="42"/>
        <v>0</v>
      </c>
      <c r="H189">
        <f t="shared" si="27"/>
        <v>0</v>
      </c>
      <c r="I189">
        <v>1</v>
      </c>
      <c r="J189" t="e">
        <f t="shared" si="28"/>
        <v>#NUM!</v>
      </c>
      <c r="K189">
        <f t="shared" si="43"/>
        <v>-1.179910572976012</v>
      </c>
      <c r="L189">
        <v>1</v>
      </c>
      <c r="M189" t="e">
        <f t="shared" si="44"/>
        <v>#NUM!</v>
      </c>
      <c r="N189">
        <f t="shared" si="45"/>
        <v>0</v>
      </c>
      <c r="O189">
        <f t="shared" si="46"/>
        <v>0</v>
      </c>
      <c r="P189" t="e">
        <f t="shared" si="47"/>
        <v>#NUM!</v>
      </c>
      <c r="V189">
        <v>12.299999999999899</v>
      </c>
      <c r="W189">
        <f t="shared" si="34"/>
        <v>-0.94472999999999652</v>
      </c>
    </row>
    <row r="190" spans="3:23" x14ac:dyDescent="0.3">
      <c r="C190">
        <f t="shared" si="24"/>
        <v>0</v>
      </c>
      <c r="D190" s="1">
        <v>2.1000000000000001E-2</v>
      </c>
      <c r="E190" s="1">
        <v>1.41E-2</v>
      </c>
      <c r="F190">
        <f t="shared" si="41"/>
        <v>0</v>
      </c>
      <c r="G190">
        <f t="shared" si="42"/>
        <v>0</v>
      </c>
      <c r="H190">
        <f t="shared" si="27"/>
        <v>0</v>
      </c>
      <c r="I190">
        <v>1</v>
      </c>
      <c r="J190" t="e">
        <f t="shared" si="28"/>
        <v>#NUM!</v>
      </c>
      <c r="K190">
        <f t="shared" si="43"/>
        <v>-1.179910572976012</v>
      </c>
      <c r="L190">
        <v>1</v>
      </c>
      <c r="M190" t="e">
        <f t="shared" si="44"/>
        <v>#NUM!</v>
      </c>
      <c r="N190">
        <f t="shared" si="45"/>
        <v>0</v>
      </c>
      <c r="O190">
        <f t="shared" si="46"/>
        <v>0</v>
      </c>
      <c r="P190" t="e">
        <f t="shared" si="47"/>
        <v>#NUM!</v>
      </c>
      <c r="V190">
        <v>12.399999999999901</v>
      </c>
      <c r="W190">
        <f t="shared" si="34"/>
        <v>-0.94823999999999653</v>
      </c>
    </row>
    <row r="191" spans="3:23" x14ac:dyDescent="0.3">
      <c r="C191">
        <f t="shared" si="24"/>
        <v>0</v>
      </c>
      <c r="D191" s="1">
        <v>2.1000000000000001E-2</v>
      </c>
      <c r="E191" s="1">
        <v>1.41E-2</v>
      </c>
      <c r="F191">
        <f t="shared" si="41"/>
        <v>0</v>
      </c>
      <c r="G191">
        <f t="shared" si="42"/>
        <v>0</v>
      </c>
      <c r="H191">
        <f t="shared" si="27"/>
        <v>0</v>
      </c>
      <c r="I191">
        <v>1</v>
      </c>
      <c r="J191" t="e">
        <f t="shared" si="28"/>
        <v>#NUM!</v>
      </c>
      <c r="K191">
        <f t="shared" si="43"/>
        <v>-1.179910572976012</v>
      </c>
      <c r="L191">
        <v>1</v>
      </c>
      <c r="M191" t="e">
        <f t="shared" si="44"/>
        <v>#NUM!</v>
      </c>
      <c r="N191">
        <f t="shared" si="45"/>
        <v>0</v>
      </c>
      <c r="O191">
        <f t="shared" si="46"/>
        <v>0</v>
      </c>
      <c r="P191" t="e">
        <f t="shared" si="47"/>
        <v>#NUM!</v>
      </c>
      <c r="V191">
        <v>12.499999999999901</v>
      </c>
      <c r="W191">
        <f t="shared" si="34"/>
        <v>-0.95174999999999654</v>
      </c>
    </row>
    <row r="192" spans="3:23" x14ac:dyDescent="0.3">
      <c r="C192">
        <f t="shared" si="24"/>
        <v>0</v>
      </c>
      <c r="D192" s="1">
        <v>2.1000000000000001E-2</v>
      </c>
      <c r="E192" s="1">
        <v>1.41E-2</v>
      </c>
      <c r="F192">
        <f t="shared" si="41"/>
        <v>0</v>
      </c>
      <c r="G192">
        <f t="shared" si="42"/>
        <v>0</v>
      </c>
      <c r="H192">
        <f t="shared" si="27"/>
        <v>0</v>
      </c>
      <c r="I192">
        <v>1</v>
      </c>
      <c r="J192" t="e">
        <f t="shared" si="28"/>
        <v>#NUM!</v>
      </c>
      <c r="K192">
        <f t="shared" si="43"/>
        <v>-1.179910572976012</v>
      </c>
      <c r="L192">
        <v>1</v>
      </c>
      <c r="M192" t="e">
        <f t="shared" si="44"/>
        <v>#NUM!</v>
      </c>
      <c r="N192">
        <f t="shared" si="45"/>
        <v>0</v>
      </c>
      <c r="O192">
        <f t="shared" si="46"/>
        <v>0</v>
      </c>
      <c r="P192" t="e">
        <f t="shared" si="47"/>
        <v>#NUM!</v>
      </c>
      <c r="V192">
        <v>12.5999999999999</v>
      </c>
      <c r="W192">
        <f t="shared" si="34"/>
        <v>-0.95525999999999645</v>
      </c>
    </row>
    <row r="193" spans="3:23" x14ac:dyDescent="0.3">
      <c r="C193">
        <f t="shared" si="24"/>
        <v>0</v>
      </c>
      <c r="D193" s="1">
        <v>2.1000000000000001E-2</v>
      </c>
      <c r="E193" s="1">
        <v>1.41E-2</v>
      </c>
      <c r="F193">
        <f t="shared" si="41"/>
        <v>0</v>
      </c>
      <c r="G193">
        <f t="shared" si="42"/>
        <v>0</v>
      </c>
      <c r="H193">
        <f t="shared" si="27"/>
        <v>0</v>
      </c>
      <c r="I193">
        <v>1</v>
      </c>
      <c r="J193" t="e">
        <f t="shared" si="28"/>
        <v>#NUM!</v>
      </c>
      <c r="K193">
        <f t="shared" si="43"/>
        <v>-1.179910572976012</v>
      </c>
      <c r="L193">
        <v>1</v>
      </c>
      <c r="M193" t="e">
        <f t="shared" si="44"/>
        <v>#NUM!</v>
      </c>
      <c r="N193">
        <f t="shared" si="45"/>
        <v>0</v>
      </c>
      <c r="O193">
        <f t="shared" si="46"/>
        <v>0</v>
      </c>
      <c r="P193" t="e">
        <f t="shared" si="47"/>
        <v>#NUM!</v>
      </c>
      <c r="V193">
        <v>12.6999999999999</v>
      </c>
      <c r="W193">
        <f t="shared" si="34"/>
        <v>-0.95876999999999646</v>
      </c>
    </row>
    <row r="194" spans="3:23" x14ac:dyDescent="0.3">
      <c r="C194">
        <f t="shared" si="24"/>
        <v>0</v>
      </c>
      <c r="D194" s="1">
        <v>2.1000000000000001E-2</v>
      </c>
      <c r="E194" s="1">
        <v>1.41E-2</v>
      </c>
      <c r="F194">
        <f t="shared" si="41"/>
        <v>0</v>
      </c>
      <c r="G194">
        <f t="shared" si="42"/>
        <v>0</v>
      </c>
      <c r="H194">
        <f t="shared" si="27"/>
        <v>0</v>
      </c>
      <c r="I194">
        <v>1</v>
      </c>
      <c r="J194" t="e">
        <f t="shared" si="28"/>
        <v>#NUM!</v>
      </c>
      <c r="K194">
        <f t="shared" si="43"/>
        <v>-1.179910572976012</v>
      </c>
      <c r="L194">
        <v>1</v>
      </c>
      <c r="M194" t="e">
        <f t="shared" si="44"/>
        <v>#NUM!</v>
      </c>
      <c r="N194">
        <f t="shared" si="45"/>
        <v>0</v>
      </c>
      <c r="O194">
        <f t="shared" si="46"/>
        <v>0</v>
      </c>
      <c r="P194" t="e">
        <f t="shared" si="47"/>
        <v>#NUM!</v>
      </c>
      <c r="V194">
        <v>12.799999999999899</v>
      </c>
      <c r="W194">
        <f t="shared" si="34"/>
        <v>-0.96227999999999647</v>
      </c>
    </row>
    <row r="195" spans="3:23" x14ac:dyDescent="0.3">
      <c r="C195">
        <f t="shared" si="24"/>
        <v>0</v>
      </c>
      <c r="D195" s="1">
        <v>2.1000000000000001E-2</v>
      </c>
      <c r="E195" s="1">
        <v>1.41E-2</v>
      </c>
      <c r="F195">
        <f t="shared" si="41"/>
        <v>0</v>
      </c>
      <c r="G195">
        <f t="shared" si="42"/>
        <v>0</v>
      </c>
      <c r="H195">
        <f t="shared" si="27"/>
        <v>0</v>
      </c>
      <c r="I195">
        <v>1</v>
      </c>
      <c r="J195" t="e">
        <f t="shared" si="28"/>
        <v>#NUM!</v>
      </c>
      <c r="K195">
        <f t="shared" si="43"/>
        <v>-1.179910572976012</v>
      </c>
      <c r="L195">
        <v>1</v>
      </c>
      <c r="M195" t="e">
        <f t="shared" si="44"/>
        <v>#NUM!</v>
      </c>
      <c r="N195">
        <f t="shared" si="45"/>
        <v>0</v>
      </c>
      <c r="O195">
        <f t="shared" si="46"/>
        <v>0</v>
      </c>
      <c r="P195" t="e">
        <f t="shared" si="47"/>
        <v>#NUM!</v>
      </c>
      <c r="V195">
        <v>12.899999999999901</v>
      </c>
      <c r="W195">
        <f t="shared" si="34"/>
        <v>-0.9657899999999966</v>
      </c>
    </row>
    <row r="196" spans="3:23" x14ac:dyDescent="0.3">
      <c r="C196">
        <f t="shared" si="24"/>
        <v>0</v>
      </c>
      <c r="D196" s="1">
        <v>2.1000000000000001E-2</v>
      </c>
      <c r="E196" s="1">
        <v>1.41E-2</v>
      </c>
      <c r="F196">
        <f t="shared" si="41"/>
        <v>0</v>
      </c>
      <c r="G196">
        <f t="shared" si="42"/>
        <v>0</v>
      </c>
      <c r="H196">
        <f t="shared" si="27"/>
        <v>0</v>
      </c>
      <c r="I196">
        <v>1</v>
      </c>
      <c r="J196" t="e">
        <f t="shared" si="28"/>
        <v>#NUM!</v>
      </c>
      <c r="K196">
        <f t="shared" si="43"/>
        <v>-1.179910572976012</v>
      </c>
      <c r="L196">
        <v>1</v>
      </c>
      <c r="M196" t="e">
        <f t="shared" si="44"/>
        <v>#NUM!</v>
      </c>
      <c r="N196">
        <f t="shared" si="45"/>
        <v>0</v>
      </c>
      <c r="O196">
        <f t="shared" si="46"/>
        <v>0</v>
      </c>
      <c r="P196" t="e">
        <f t="shared" si="47"/>
        <v>#NUM!</v>
      </c>
      <c r="V196">
        <v>12.999999999999901</v>
      </c>
      <c r="W196">
        <f t="shared" si="34"/>
        <v>-0.9692999999999965</v>
      </c>
    </row>
    <row r="197" spans="3:23" x14ac:dyDescent="0.3">
      <c r="C197">
        <f t="shared" ref="C197:C211" si="48">A197*B197</f>
        <v>0</v>
      </c>
      <c r="D197" s="1">
        <v>2.1000000000000001E-2</v>
      </c>
      <c r="E197" s="1">
        <v>1.41E-2</v>
      </c>
      <c r="F197">
        <f t="shared" si="41"/>
        <v>0</v>
      </c>
      <c r="G197">
        <f t="shared" si="42"/>
        <v>0</v>
      </c>
      <c r="H197">
        <f t="shared" ref="H197:H211" si="49">-C197*200</f>
        <v>0</v>
      </c>
      <c r="I197">
        <v>1</v>
      </c>
      <c r="J197" t="e">
        <f t="shared" ref="J197:J260" si="50">LN(F197/1000)</f>
        <v>#NUM!</v>
      </c>
      <c r="K197">
        <f t="shared" si="43"/>
        <v>-1.179910572976012</v>
      </c>
      <c r="L197">
        <v>1</v>
      </c>
      <c r="M197" t="e">
        <f t="shared" si="44"/>
        <v>#NUM!</v>
      </c>
      <c r="N197">
        <f t="shared" si="45"/>
        <v>0</v>
      </c>
      <c r="O197">
        <f t="shared" si="46"/>
        <v>0</v>
      </c>
      <c r="P197" t="e">
        <f t="shared" si="47"/>
        <v>#NUM!</v>
      </c>
      <c r="V197">
        <v>13.0999999999999</v>
      </c>
      <c r="W197">
        <f t="shared" si="34"/>
        <v>-0.97280999999999651</v>
      </c>
    </row>
    <row r="198" spans="3:23" x14ac:dyDescent="0.3">
      <c r="C198">
        <f t="shared" si="48"/>
        <v>0</v>
      </c>
      <c r="D198" s="1">
        <v>2.1000000000000001E-2</v>
      </c>
      <c r="E198" s="1">
        <v>1.41E-2</v>
      </c>
      <c r="F198">
        <f t="shared" si="41"/>
        <v>0</v>
      </c>
      <c r="G198">
        <f t="shared" si="42"/>
        <v>0</v>
      </c>
      <c r="H198">
        <f t="shared" si="49"/>
        <v>0</v>
      </c>
      <c r="I198">
        <v>1</v>
      </c>
      <c r="J198" t="e">
        <f t="shared" si="50"/>
        <v>#NUM!</v>
      </c>
      <c r="K198">
        <f t="shared" si="43"/>
        <v>-1.179910572976012</v>
      </c>
      <c r="L198">
        <v>1</v>
      </c>
      <c r="M198" t="e">
        <f t="shared" si="44"/>
        <v>#NUM!</v>
      </c>
      <c r="N198">
        <f t="shared" si="45"/>
        <v>0</v>
      </c>
      <c r="O198">
        <f t="shared" si="46"/>
        <v>0</v>
      </c>
      <c r="P198" t="e">
        <f t="shared" si="47"/>
        <v>#NUM!</v>
      </c>
      <c r="V198">
        <v>13.1999999999999</v>
      </c>
      <c r="W198">
        <f t="shared" si="34"/>
        <v>-0.97631999999999652</v>
      </c>
    </row>
    <row r="199" spans="3:23" x14ac:dyDescent="0.3">
      <c r="C199">
        <f t="shared" si="48"/>
        <v>0</v>
      </c>
      <c r="D199" s="1">
        <v>2.1000000000000001E-2</v>
      </c>
      <c r="E199" s="1">
        <v>1.41E-2</v>
      </c>
      <c r="F199">
        <f t="shared" si="41"/>
        <v>0</v>
      </c>
      <c r="G199">
        <f t="shared" si="42"/>
        <v>0</v>
      </c>
      <c r="H199">
        <f t="shared" si="49"/>
        <v>0</v>
      </c>
      <c r="I199">
        <v>1</v>
      </c>
      <c r="J199" t="e">
        <f t="shared" si="50"/>
        <v>#NUM!</v>
      </c>
      <c r="K199">
        <f t="shared" si="43"/>
        <v>-1.179910572976012</v>
      </c>
      <c r="L199">
        <v>1</v>
      </c>
      <c r="M199" t="e">
        <f t="shared" si="44"/>
        <v>#NUM!</v>
      </c>
      <c r="N199">
        <f t="shared" si="45"/>
        <v>0</v>
      </c>
      <c r="O199">
        <f t="shared" si="46"/>
        <v>0</v>
      </c>
      <c r="P199" t="e">
        <f t="shared" si="47"/>
        <v>#NUM!</v>
      </c>
      <c r="V199">
        <v>13.299999999999899</v>
      </c>
      <c r="W199">
        <f t="shared" ref="W199:W262" si="51">V199*$S$5+$S$4</f>
        <v>-0.97982999999999643</v>
      </c>
    </row>
    <row r="200" spans="3:23" x14ac:dyDescent="0.3">
      <c r="C200">
        <f t="shared" si="48"/>
        <v>0</v>
      </c>
      <c r="D200" s="1">
        <v>2.1000000000000001E-2</v>
      </c>
      <c r="E200" s="1">
        <v>1.41E-2</v>
      </c>
      <c r="F200">
        <f t="shared" si="41"/>
        <v>0</v>
      </c>
      <c r="G200">
        <f t="shared" si="42"/>
        <v>0</v>
      </c>
      <c r="H200">
        <f t="shared" si="49"/>
        <v>0</v>
      </c>
      <c r="I200">
        <v>1</v>
      </c>
      <c r="J200" t="e">
        <f t="shared" si="50"/>
        <v>#NUM!</v>
      </c>
      <c r="K200">
        <f t="shared" si="43"/>
        <v>-1.179910572976012</v>
      </c>
      <c r="L200">
        <v>1</v>
      </c>
      <c r="M200" t="e">
        <f t="shared" si="44"/>
        <v>#NUM!</v>
      </c>
      <c r="N200">
        <f t="shared" si="45"/>
        <v>0</v>
      </c>
      <c r="O200">
        <f t="shared" si="46"/>
        <v>0</v>
      </c>
      <c r="P200" t="e">
        <f t="shared" si="47"/>
        <v>#NUM!</v>
      </c>
      <c r="V200">
        <v>13.399999999999901</v>
      </c>
      <c r="W200">
        <f t="shared" si="51"/>
        <v>-0.98333999999999655</v>
      </c>
    </row>
    <row r="201" spans="3:23" x14ac:dyDescent="0.3">
      <c r="C201">
        <f t="shared" si="48"/>
        <v>0</v>
      </c>
      <c r="D201" s="1">
        <v>2.1000000000000001E-2</v>
      </c>
      <c r="E201" s="1">
        <v>1.41E-2</v>
      </c>
      <c r="F201">
        <f t="shared" si="41"/>
        <v>0</v>
      </c>
      <c r="G201">
        <f t="shared" si="42"/>
        <v>0</v>
      </c>
      <c r="H201">
        <f t="shared" si="49"/>
        <v>0</v>
      </c>
      <c r="I201">
        <v>1</v>
      </c>
      <c r="J201" t="e">
        <f t="shared" si="50"/>
        <v>#NUM!</v>
      </c>
      <c r="K201">
        <f t="shared" si="43"/>
        <v>-1.179910572976012</v>
      </c>
      <c r="L201">
        <v>1</v>
      </c>
      <c r="M201" t="e">
        <f t="shared" si="44"/>
        <v>#NUM!</v>
      </c>
      <c r="N201">
        <f t="shared" si="45"/>
        <v>0</v>
      </c>
      <c r="O201">
        <f t="shared" si="46"/>
        <v>0</v>
      </c>
      <c r="P201" t="e">
        <f t="shared" si="47"/>
        <v>#NUM!</v>
      </c>
      <c r="V201">
        <v>13.499999999999901</v>
      </c>
      <c r="W201">
        <f t="shared" si="51"/>
        <v>-0.98684999999999645</v>
      </c>
    </row>
    <row r="202" spans="3:23" x14ac:dyDescent="0.3">
      <c r="C202">
        <f t="shared" si="48"/>
        <v>0</v>
      </c>
      <c r="D202" s="1">
        <v>2.1000000000000001E-2</v>
      </c>
      <c r="E202" s="1">
        <v>1.41E-2</v>
      </c>
      <c r="F202">
        <f t="shared" si="41"/>
        <v>0</v>
      </c>
      <c r="G202">
        <f t="shared" si="42"/>
        <v>0</v>
      </c>
      <c r="H202">
        <f t="shared" si="49"/>
        <v>0</v>
      </c>
      <c r="I202">
        <v>1</v>
      </c>
      <c r="J202" t="e">
        <f t="shared" si="50"/>
        <v>#NUM!</v>
      </c>
      <c r="K202">
        <f t="shared" si="43"/>
        <v>-1.179910572976012</v>
      </c>
      <c r="L202">
        <v>1</v>
      </c>
      <c r="M202" t="e">
        <f t="shared" si="44"/>
        <v>#NUM!</v>
      </c>
      <c r="N202">
        <f t="shared" si="45"/>
        <v>0</v>
      </c>
      <c r="O202">
        <f t="shared" si="46"/>
        <v>0</v>
      </c>
      <c r="P202" t="e">
        <f t="shared" si="47"/>
        <v>#NUM!</v>
      </c>
      <c r="V202">
        <v>13.5999999999999</v>
      </c>
      <c r="W202">
        <f t="shared" si="51"/>
        <v>-0.99035999999999658</v>
      </c>
    </row>
    <row r="203" spans="3:23" x14ac:dyDescent="0.3">
      <c r="C203">
        <f t="shared" si="48"/>
        <v>0</v>
      </c>
      <c r="D203" s="1">
        <v>2.1000000000000001E-2</v>
      </c>
      <c r="E203" s="1">
        <v>1.41E-2</v>
      </c>
      <c r="F203">
        <f t="shared" si="41"/>
        <v>0</v>
      </c>
      <c r="G203">
        <f t="shared" si="42"/>
        <v>0</v>
      </c>
      <c r="H203">
        <f t="shared" si="49"/>
        <v>0</v>
      </c>
      <c r="I203">
        <v>1</v>
      </c>
      <c r="J203" t="e">
        <f t="shared" si="50"/>
        <v>#NUM!</v>
      </c>
      <c r="K203">
        <f t="shared" si="43"/>
        <v>-1.179910572976012</v>
      </c>
      <c r="L203">
        <v>1</v>
      </c>
      <c r="M203" t="e">
        <f t="shared" si="44"/>
        <v>#NUM!</v>
      </c>
      <c r="N203">
        <f t="shared" si="45"/>
        <v>0</v>
      </c>
      <c r="O203">
        <f t="shared" si="46"/>
        <v>0</v>
      </c>
      <c r="P203" t="e">
        <f t="shared" si="47"/>
        <v>#NUM!</v>
      </c>
      <c r="V203">
        <v>13.6999999999999</v>
      </c>
      <c r="W203">
        <f t="shared" si="51"/>
        <v>-0.99386999999999648</v>
      </c>
    </row>
    <row r="204" spans="3:23" x14ac:dyDescent="0.3">
      <c r="C204">
        <f t="shared" si="48"/>
        <v>0</v>
      </c>
      <c r="D204" s="1">
        <v>2.1000000000000001E-2</v>
      </c>
      <c r="E204" s="1">
        <v>1.41E-2</v>
      </c>
      <c r="F204">
        <f t="shared" si="41"/>
        <v>0</v>
      </c>
      <c r="G204">
        <f t="shared" si="42"/>
        <v>0</v>
      </c>
      <c r="H204">
        <f t="shared" si="49"/>
        <v>0</v>
      </c>
      <c r="I204">
        <v>1</v>
      </c>
      <c r="J204" t="e">
        <f t="shared" si="50"/>
        <v>#NUM!</v>
      </c>
      <c r="K204">
        <f t="shared" si="43"/>
        <v>-1.179910572976012</v>
      </c>
      <c r="L204">
        <v>1</v>
      </c>
      <c r="M204" t="e">
        <f t="shared" si="44"/>
        <v>#NUM!</v>
      </c>
      <c r="N204">
        <f t="shared" si="45"/>
        <v>0</v>
      </c>
      <c r="O204">
        <f t="shared" si="46"/>
        <v>0</v>
      </c>
      <c r="P204" t="e">
        <f t="shared" si="47"/>
        <v>#NUM!</v>
      </c>
      <c r="V204">
        <v>13.799999999999899</v>
      </c>
      <c r="W204">
        <f t="shared" si="51"/>
        <v>-0.99737999999999649</v>
      </c>
    </row>
    <row r="205" spans="3:23" x14ac:dyDescent="0.3">
      <c r="C205">
        <f t="shared" si="48"/>
        <v>0</v>
      </c>
      <c r="D205" s="1">
        <v>2.1000000000000001E-2</v>
      </c>
      <c r="E205" s="1">
        <v>1.41E-2</v>
      </c>
      <c r="F205">
        <f t="shared" si="41"/>
        <v>0</v>
      </c>
      <c r="G205">
        <f t="shared" si="42"/>
        <v>0</v>
      </c>
      <c r="H205">
        <f t="shared" si="49"/>
        <v>0</v>
      </c>
      <c r="I205">
        <v>1</v>
      </c>
      <c r="J205" t="e">
        <f t="shared" si="50"/>
        <v>#NUM!</v>
      </c>
      <c r="K205">
        <f t="shared" si="43"/>
        <v>-1.179910572976012</v>
      </c>
      <c r="L205">
        <v>1</v>
      </c>
      <c r="M205" t="e">
        <f t="shared" si="44"/>
        <v>#NUM!</v>
      </c>
      <c r="N205">
        <f t="shared" si="45"/>
        <v>0</v>
      </c>
      <c r="O205">
        <f t="shared" si="46"/>
        <v>0</v>
      </c>
      <c r="P205" t="e">
        <f t="shared" si="47"/>
        <v>#NUM!</v>
      </c>
      <c r="V205">
        <v>13.899999999999901</v>
      </c>
      <c r="W205">
        <f t="shared" si="51"/>
        <v>-1.0008899999999965</v>
      </c>
    </row>
    <row r="206" spans="3:23" x14ac:dyDescent="0.3">
      <c r="C206">
        <f t="shared" si="48"/>
        <v>0</v>
      </c>
      <c r="D206" s="1">
        <v>2.1000000000000001E-2</v>
      </c>
      <c r="E206" s="1">
        <v>1.41E-2</v>
      </c>
      <c r="F206">
        <f t="shared" si="41"/>
        <v>0</v>
      </c>
      <c r="G206">
        <f t="shared" si="42"/>
        <v>0</v>
      </c>
      <c r="H206">
        <f t="shared" si="49"/>
        <v>0</v>
      </c>
      <c r="I206">
        <v>1</v>
      </c>
      <c r="J206" t="e">
        <f t="shared" si="50"/>
        <v>#NUM!</v>
      </c>
      <c r="K206">
        <f t="shared" si="43"/>
        <v>-1.179910572976012</v>
      </c>
      <c r="L206">
        <v>1</v>
      </c>
      <c r="M206" t="e">
        <f t="shared" si="44"/>
        <v>#NUM!</v>
      </c>
      <c r="N206">
        <f t="shared" si="45"/>
        <v>0</v>
      </c>
      <c r="O206">
        <f t="shared" si="46"/>
        <v>0</v>
      </c>
      <c r="P206" t="e">
        <f t="shared" si="47"/>
        <v>#NUM!</v>
      </c>
      <c r="V206">
        <v>13.999999999999901</v>
      </c>
      <c r="W206">
        <f t="shared" si="51"/>
        <v>-1.0043999999999964</v>
      </c>
    </row>
    <row r="207" spans="3:23" x14ac:dyDescent="0.3">
      <c r="C207">
        <f t="shared" si="48"/>
        <v>0</v>
      </c>
      <c r="D207" s="1">
        <v>2.1000000000000001E-2</v>
      </c>
      <c r="E207" s="1">
        <v>1.41E-2</v>
      </c>
      <c r="F207">
        <f t="shared" si="41"/>
        <v>0</v>
      </c>
      <c r="G207">
        <f t="shared" si="42"/>
        <v>0</v>
      </c>
      <c r="H207">
        <f t="shared" si="49"/>
        <v>0</v>
      </c>
      <c r="I207">
        <v>1</v>
      </c>
      <c r="J207" t="e">
        <f t="shared" si="50"/>
        <v>#NUM!</v>
      </c>
      <c r="K207">
        <f t="shared" si="43"/>
        <v>-1.179910572976012</v>
      </c>
      <c r="L207">
        <v>1</v>
      </c>
      <c r="M207" t="e">
        <f t="shared" si="44"/>
        <v>#NUM!</v>
      </c>
      <c r="N207">
        <f t="shared" si="45"/>
        <v>0</v>
      </c>
      <c r="O207">
        <f t="shared" si="46"/>
        <v>0</v>
      </c>
      <c r="P207" t="e">
        <f t="shared" si="47"/>
        <v>#NUM!</v>
      </c>
      <c r="V207">
        <v>14.0999999999999</v>
      </c>
      <c r="W207">
        <f t="shared" si="51"/>
        <v>-1.0079099999999965</v>
      </c>
    </row>
    <row r="208" spans="3:23" x14ac:dyDescent="0.3">
      <c r="C208">
        <f t="shared" si="48"/>
        <v>0</v>
      </c>
      <c r="D208" s="1">
        <v>2.1000000000000001E-2</v>
      </c>
      <c r="E208" s="1">
        <v>1.41E-2</v>
      </c>
      <c r="F208">
        <f t="shared" si="41"/>
        <v>0</v>
      </c>
      <c r="G208">
        <f t="shared" si="42"/>
        <v>0</v>
      </c>
      <c r="H208">
        <f t="shared" si="49"/>
        <v>0</v>
      </c>
      <c r="I208">
        <v>1</v>
      </c>
      <c r="J208" t="e">
        <f t="shared" si="50"/>
        <v>#NUM!</v>
      </c>
      <c r="K208">
        <f t="shared" si="43"/>
        <v>-1.179910572976012</v>
      </c>
      <c r="L208">
        <v>1</v>
      </c>
      <c r="M208" t="e">
        <f t="shared" si="44"/>
        <v>#NUM!</v>
      </c>
      <c r="N208">
        <f t="shared" si="45"/>
        <v>0</v>
      </c>
      <c r="O208">
        <f t="shared" si="46"/>
        <v>0</v>
      </c>
      <c r="P208" t="e">
        <f t="shared" si="47"/>
        <v>#NUM!</v>
      </c>
      <c r="V208">
        <v>14.1999999999999</v>
      </c>
      <c r="W208">
        <f t="shared" si="51"/>
        <v>-1.0114199999999964</v>
      </c>
    </row>
    <row r="209" spans="3:23" x14ac:dyDescent="0.3">
      <c r="C209">
        <f t="shared" si="48"/>
        <v>0</v>
      </c>
      <c r="D209" s="1">
        <v>2.1000000000000001E-2</v>
      </c>
      <c r="E209" s="1">
        <v>1.41E-2</v>
      </c>
      <c r="F209">
        <f t="shared" si="41"/>
        <v>0</v>
      </c>
      <c r="G209">
        <f t="shared" si="42"/>
        <v>0</v>
      </c>
      <c r="H209">
        <f t="shared" si="49"/>
        <v>0</v>
      </c>
      <c r="I209">
        <v>1</v>
      </c>
      <c r="J209" t="e">
        <f t="shared" si="50"/>
        <v>#NUM!</v>
      </c>
      <c r="K209">
        <f t="shared" si="43"/>
        <v>-1.179910572976012</v>
      </c>
      <c r="L209">
        <v>1</v>
      </c>
      <c r="M209" t="e">
        <f t="shared" si="44"/>
        <v>#NUM!</v>
      </c>
      <c r="N209">
        <f t="shared" si="45"/>
        <v>0</v>
      </c>
      <c r="O209">
        <f t="shared" si="46"/>
        <v>0</v>
      </c>
      <c r="P209" t="e">
        <f t="shared" si="47"/>
        <v>#NUM!</v>
      </c>
      <c r="V209">
        <v>14.299999999999899</v>
      </c>
      <c r="W209">
        <f t="shared" si="51"/>
        <v>-1.0149299999999966</v>
      </c>
    </row>
    <row r="210" spans="3:23" x14ac:dyDescent="0.3">
      <c r="C210">
        <f t="shared" si="48"/>
        <v>0</v>
      </c>
      <c r="D210" s="1">
        <v>2.1000000000000001E-2</v>
      </c>
      <c r="E210" s="1">
        <v>1.41E-2</v>
      </c>
      <c r="F210">
        <f t="shared" si="41"/>
        <v>0</v>
      </c>
      <c r="G210">
        <f t="shared" si="42"/>
        <v>0</v>
      </c>
      <c r="H210">
        <f t="shared" si="49"/>
        <v>0</v>
      </c>
      <c r="I210">
        <v>1</v>
      </c>
      <c r="J210" t="e">
        <f t="shared" si="50"/>
        <v>#NUM!</v>
      </c>
      <c r="K210">
        <f t="shared" si="43"/>
        <v>-1.179910572976012</v>
      </c>
      <c r="L210">
        <v>1</v>
      </c>
      <c r="M210" t="e">
        <f t="shared" si="44"/>
        <v>#NUM!</v>
      </c>
      <c r="N210">
        <f t="shared" si="45"/>
        <v>0</v>
      </c>
      <c r="O210">
        <f t="shared" si="46"/>
        <v>0</v>
      </c>
      <c r="P210" t="e">
        <f t="shared" si="47"/>
        <v>#NUM!</v>
      </c>
      <c r="V210">
        <v>14.399999999999901</v>
      </c>
      <c r="W210">
        <f t="shared" si="51"/>
        <v>-1.0184399999999965</v>
      </c>
    </row>
    <row r="211" spans="3:23" x14ac:dyDescent="0.3">
      <c r="C211">
        <f t="shared" si="48"/>
        <v>0</v>
      </c>
      <c r="D211" s="1">
        <v>2.1000000000000001E-2</v>
      </c>
      <c r="E211" s="1">
        <v>1.41E-2</v>
      </c>
      <c r="F211">
        <f t="shared" si="41"/>
        <v>0</v>
      </c>
      <c r="G211">
        <f t="shared" si="42"/>
        <v>0</v>
      </c>
      <c r="H211">
        <f t="shared" si="49"/>
        <v>0</v>
      </c>
      <c r="I211">
        <v>1</v>
      </c>
      <c r="J211" t="e">
        <f t="shared" si="50"/>
        <v>#NUM!</v>
      </c>
      <c r="K211">
        <f t="shared" si="43"/>
        <v>-1.179910572976012</v>
      </c>
      <c r="L211">
        <v>1</v>
      </c>
      <c r="M211" t="e">
        <f t="shared" si="44"/>
        <v>#NUM!</v>
      </c>
      <c r="N211">
        <f t="shared" si="45"/>
        <v>0</v>
      </c>
      <c r="O211">
        <f t="shared" si="46"/>
        <v>0</v>
      </c>
      <c r="P211" t="e">
        <f t="shared" si="47"/>
        <v>#NUM!</v>
      </c>
      <c r="V211">
        <v>14.499999999999901</v>
      </c>
      <c r="W211">
        <f t="shared" si="51"/>
        <v>-1.0219499999999964</v>
      </c>
    </row>
    <row r="212" spans="3:23" x14ac:dyDescent="0.3">
      <c r="C212">
        <f t="shared" ref="C212:C275" si="52">A212*B212</f>
        <v>0</v>
      </c>
      <c r="D212" s="1">
        <v>2.1000000000000001E-2</v>
      </c>
      <c r="E212" s="1">
        <v>1.41E-2</v>
      </c>
      <c r="F212">
        <f t="shared" ref="F212:F275" si="53">A212*200</f>
        <v>0</v>
      </c>
      <c r="G212">
        <f t="shared" ref="G212:G275" si="54">-B212</f>
        <v>0</v>
      </c>
      <c r="H212">
        <f t="shared" ref="H212:H275" si="55">-C212*200</f>
        <v>0</v>
      </c>
      <c r="I212">
        <v>1</v>
      </c>
      <c r="J212" t="e">
        <f t="shared" si="50"/>
        <v>#NUM!</v>
      </c>
      <c r="K212">
        <f t="shared" ref="K212:K275" si="56">((-G212)-$N$2)</f>
        <v>-1.179910572976012</v>
      </c>
      <c r="L212">
        <v>1</v>
      </c>
      <c r="M212" t="e">
        <f t="shared" ref="M212:M275" si="57">-1*($S$4+($S$5*J212))</f>
        <v>#NUM!</v>
      </c>
      <c r="N212">
        <f t="shared" ref="N212:N275" si="58">D212*A212</f>
        <v>0</v>
      </c>
      <c r="O212">
        <f t="shared" ref="O212:O275" si="59">E212*A212</f>
        <v>0</v>
      </c>
      <c r="P212" t="e">
        <f t="shared" ref="P212:P275" si="60">-K212-M212-N212-O212</f>
        <v>#NUM!</v>
      </c>
      <c r="V212">
        <v>14.5999999999999</v>
      </c>
      <c r="W212">
        <f t="shared" si="51"/>
        <v>-1.0254599999999965</v>
      </c>
    </row>
    <row r="213" spans="3:23" x14ac:dyDescent="0.3">
      <c r="C213">
        <f t="shared" si="52"/>
        <v>0</v>
      </c>
      <c r="D213" s="1">
        <v>2.1000000000000001E-2</v>
      </c>
      <c r="E213" s="1">
        <v>1.41E-2</v>
      </c>
      <c r="F213">
        <f t="shared" si="53"/>
        <v>0</v>
      </c>
      <c r="G213">
        <f t="shared" si="54"/>
        <v>0</v>
      </c>
      <c r="H213">
        <f t="shared" si="55"/>
        <v>0</v>
      </c>
      <c r="I213">
        <v>1</v>
      </c>
      <c r="J213" t="e">
        <f t="shared" si="50"/>
        <v>#NUM!</v>
      </c>
      <c r="K213">
        <f t="shared" si="56"/>
        <v>-1.179910572976012</v>
      </c>
      <c r="L213">
        <v>1</v>
      </c>
      <c r="M213" t="e">
        <f t="shared" si="57"/>
        <v>#NUM!</v>
      </c>
      <c r="N213">
        <f t="shared" si="58"/>
        <v>0</v>
      </c>
      <c r="O213">
        <f t="shared" si="59"/>
        <v>0</v>
      </c>
      <c r="P213" t="e">
        <f t="shared" si="60"/>
        <v>#NUM!</v>
      </c>
      <c r="V213">
        <v>14.6999999999999</v>
      </c>
      <c r="W213">
        <f t="shared" si="51"/>
        <v>-1.0289699999999966</v>
      </c>
    </row>
    <row r="214" spans="3:23" x14ac:dyDescent="0.3">
      <c r="C214">
        <f t="shared" si="52"/>
        <v>0</v>
      </c>
      <c r="D214" s="1">
        <v>2.1000000000000001E-2</v>
      </c>
      <c r="E214" s="1">
        <v>1.41E-2</v>
      </c>
      <c r="F214">
        <f t="shared" si="53"/>
        <v>0</v>
      </c>
      <c r="G214">
        <f t="shared" si="54"/>
        <v>0</v>
      </c>
      <c r="H214">
        <f t="shared" si="55"/>
        <v>0</v>
      </c>
      <c r="I214">
        <v>1</v>
      </c>
      <c r="J214" t="e">
        <f t="shared" si="50"/>
        <v>#NUM!</v>
      </c>
      <c r="K214">
        <f t="shared" si="56"/>
        <v>-1.179910572976012</v>
      </c>
      <c r="L214">
        <v>1</v>
      </c>
      <c r="M214" t="e">
        <f t="shared" si="57"/>
        <v>#NUM!</v>
      </c>
      <c r="N214">
        <f t="shared" si="58"/>
        <v>0</v>
      </c>
      <c r="O214">
        <f t="shared" si="59"/>
        <v>0</v>
      </c>
      <c r="P214" t="e">
        <f t="shared" si="60"/>
        <v>#NUM!</v>
      </c>
      <c r="V214">
        <v>14.799999999999899</v>
      </c>
      <c r="W214">
        <f t="shared" si="51"/>
        <v>-1.0324799999999965</v>
      </c>
    </row>
    <row r="215" spans="3:23" x14ac:dyDescent="0.3">
      <c r="C215">
        <f t="shared" si="52"/>
        <v>0</v>
      </c>
      <c r="D215" s="1">
        <v>2.1000000000000001E-2</v>
      </c>
      <c r="E215" s="1">
        <v>1.41E-2</v>
      </c>
      <c r="F215">
        <f t="shared" si="53"/>
        <v>0</v>
      </c>
      <c r="G215">
        <f t="shared" si="54"/>
        <v>0</v>
      </c>
      <c r="H215">
        <f t="shared" si="55"/>
        <v>0</v>
      </c>
      <c r="I215">
        <v>1</v>
      </c>
      <c r="J215" t="e">
        <f t="shared" si="50"/>
        <v>#NUM!</v>
      </c>
      <c r="K215">
        <f t="shared" si="56"/>
        <v>-1.179910572976012</v>
      </c>
      <c r="L215">
        <v>1</v>
      </c>
      <c r="M215" t="e">
        <f t="shared" si="57"/>
        <v>#NUM!</v>
      </c>
      <c r="N215">
        <f t="shared" si="58"/>
        <v>0</v>
      </c>
      <c r="O215">
        <f t="shared" si="59"/>
        <v>0</v>
      </c>
      <c r="P215" t="e">
        <f t="shared" si="60"/>
        <v>#NUM!</v>
      </c>
      <c r="V215">
        <v>14.899999999999901</v>
      </c>
      <c r="W215">
        <f t="shared" si="51"/>
        <v>-1.0359899999999964</v>
      </c>
    </row>
    <row r="216" spans="3:23" x14ac:dyDescent="0.3">
      <c r="C216">
        <f t="shared" si="52"/>
        <v>0</v>
      </c>
      <c r="D216" s="1">
        <v>2.1000000000000001E-2</v>
      </c>
      <c r="E216" s="1">
        <v>1.41E-2</v>
      </c>
      <c r="F216">
        <f t="shared" si="53"/>
        <v>0</v>
      </c>
      <c r="G216">
        <f t="shared" si="54"/>
        <v>0</v>
      </c>
      <c r="H216">
        <f t="shared" si="55"/>
        <v>0</v>
      </c>
      <c r="I216">
        <v>1</v>
      </c>
      <c r="J216" t="e">
        <f t="shared" si="50"/>
        <v>#NUM!</v>
      </c>
      <c r="K216">
        <f t="shared" si="56"/>
        <v>-1.179910572976012</v>
      </c>
      <c r="L216">
        <v>1</v>
      </c>
      <c r="M216" t="e">
        <f t="shared" si="57"/>
        <v>#NUM!</v>
      </c>
      <c r="N216">
        <f t="shared" si="58"/>
        <v>0</v>
      </c>
      <c r="O216">
        <f t="shared" si="59"/>
        <v>0</v>
      </c>
      <c r="P216" t="e">
        <f t="shared" si="60"/>
        <v>#NUM!</v>
      </c>
      <c r="V216">
        <v>14.999999999999901</v>
      </c>
      <c r="W216">
        <f t="shared" si="51"/>
        <v>-1.0394999999999965</v>
      </c>
    </row>
    <row r="217" spans="3:23" x14ac:dyDescent="0.3">
      <c r="C217">
        <f t="shared" si="52"/>
        <v>0</v>
      </c>
      <c r="D217" s="1">
        <v>2.1000000000000001E-2</v>
      </c>
      <c r="E217" s="1">
        <v>1.41E-2</v>
      </c>
      <c r="F217">
        <f t="shared" si="53"/>
        <v>0</v>
      </c>
      <c r="G217">
        <f t="shared" si="54"/>
        <v>0</v>
      </c>
      <c r="H217">
        <f t="shared" si="55"/>
        <v>0</v>
      </c>
      <c r="I217">
        <v>1</v>
      </c>
      <c r="J217" t="e">
        <f t="shared" si="50"/>
        <v>#NUM!</v>
      </c>
      <c r="K217">
        <f t="shared" si="56"/>
        <v>-1.179910572976012</v>
      </c>
      <c r="L217">
        <v>1</v>
      </c>
      <c r="M217" t="e">
        <f t="shared" si="57"/>
        <v>#NUM!</v>
      </c>
      <c r="N217">
        <f t="shared" si="58"/>
        <v>0</v>
      </c>
      <c r="O217">
        <f t="shared" si="59"/>
        <v>0</v>
      </c>
      <c r="P217" t="e">
        <f t="shared" si="60"/>
        <v>#NUM!</v>
      </c>
      <c r="V217">
        <v>15.0999999999999</v>
      </c>
      <c r="W217">
        <f t="shared" si="51"/>
        <v>-1.0430099999999967</v>
      </c>
    </row>
    <row r="218" spans="3:23" x14ac:dyDescent="0.3">
      <c r="C218">
        <f t="shared" si="52"/>
        <v>0</v>
      </c>
      <c r="D218" s="1">
        <v>2.1000000000000001E-2</v>
      </c>
      <c r="E218" s="1">
        <v>1.41E-2</v>
      </c>
      <c r="F218">
        <f t="shared" si="53"/>
        <v>0</v>
      </c>
      <c r="G218">
        <f t="shared" si="54"/>
        <v>0</v>
      </c>
      <c r="H218">
        <f t="shared" si="55"/>
        <v>0</v>
      </c>
      <c r="I218">
        <v>1</v>
      </c>
      <c r="J218" t="e">
        <f t="shared" si="50"/>
        <v>#NUM!</v>
      </c>
      <c r="K218">
        <f t="shared" si="56"/>
        <v>-1.179910572976012</v>
      </c>
      <c r="L218">
        <v>1</v>
      </c>
      <c r="M218" t="e">
        <f t="shared" si="57"/>
        <v>#NUM!</v>
      </c>
      <c r="N218">
        <f t="shared" si="58"/>
        <v>0</v>
      </c>
      <c r="O218">
        <f t="shared" si="59"/>
        <v>0</v>
      </c>
      <c r="P218" t="e">
        <f t="shared" si="60"/>
        <v>#NUM!</v>
      </c>
      <c r="V218">
        <v>15.1999999999999</v>
      </c>
      <c r="W218">
        <f t="shared" si="51"/>
        <v>-1.0465199999999966</v>
      </c>
    </row>
    <row r="219" spans="3:23" x14ac:dyDescent="0.3">
      <c r="C219">
        <f t="shared" si="52"/>
        <v>0</v>
      </c>
      <c r="D219" s="1">
        <v>2.1000000000000001E-2</v>
      </c>
      <c r="E219" s="1">
        <v>1.41E-2</v>
      </c>
      <c r="F219">
        <f t="shared" si="53"/>
        <v>0</v>
      </c>
      <c r="G219">
        <f t="shared" si="54"/>
        <v>0</v>
      </c>
      <c r="H219">
        <f t="shared" si="55"/>
        <v>0</v>
      </c>
      <c r="I219">
        <v>1</v>
      </c>
      <c r="J219" t="e">
        <f t="shared" si="50"/>
        <v>#NUM!</v>
      </c>
      <c r="K219">
        <f t="shared" si="56"/>
        <v>-1.179910572976012</v>
      </c>
      <c r="L219">
        <v>1</v>
      </c>
      <c r="M219" t="e">
        <f t="shared" si="57"/>
        <v>#NUM!</v>
      </c>
      <c r="N219">
        <f t="shared" si="58"/>
        <v>0</v>
      </c>
      <c r="O219">
        <f t="shared" si="59"/>
        <v>0</v>
      </c>
      <c r="P219" t="e">
        <f t="shared" si="60"/>
        <v>#NUM!</v>
      </c>
      <c r="V219">
        <v>15.299999999999899</v>
      </c>
      <c r="W219">
        <f t="shared" si="51"/>
        <v>-1.0500299999999965</v>
      </c>
    </row>
    <row r="220" spans="3:23" x14ac:dyDescent="0.3">
      <c r="C220">
        <f t="shared" si="52"/>
        <v>0</v>
      </c>
      <c r="D220" s="1">
        <v>2.1000000000000001E-2</v>
      </c>
      <c r="E220" s="1">
        <v>1.41E-2</v>
      </c>
      <c r="F220">
        <f t="shared" si="53"/>
        <v>0</v>
      </c>
      <c r="G220">
        <f t="shared" si="54"/>
        <v>0</v>
      </c>
      <c r="H220">
        <f t="shared" si="55"/>
        <v>0</v>
      </c>
      <c r="I220">
        <v>1</v>
      </c>
      <c r="J220" t="e">
        <f t="shared" si="50"/>
        <v>#NUM!</v>
      </c>
      <c r="K220">
        <f t="shared" si="56"/>
        <v>-1.179910572976012</v>
      </c>
      <c r="L220">
        <v>1</v>
      </c>
      <c r="M220" t="e">
        <f t="shared" si="57"/>
        <v>#NUM!</v>
      </c>
      <c r="N220">
        <f t="shared" si="58"/>
        <v>0</v>
      </c>
      <c r="O220">
        <f t="shared" si="59"/>
        <v>0</v>
      </c>
      <c r="P220" t="e">
        <f t="shared" si="60"/>
        <v>#NUM!</v>
      </c>
      <c r="V220">
        <v>15.399999999999901</v>
      </c>
      <c r="W220">
        <f t="shared" si="51"/>
        <v>-1.0535399999999964</v>
      </c>
    </row>
    <row r="221" spans="3:23" x14ac:dyDescent="0.3">
      <c r="C221">
        <f t="shared" si="52"/>
        <v>0</v>
      </c>
      <c r="D221" s="1">
        <v>2.1000000000000001E-2</v>
      </c>
      <c r="E221" s="1">
        <v>1.41E-2</v>
      </c>
      <c r="F221">
        <f t="shared" si="53"/>
        <v>0</v>
      </c>
      <c r="G221">
        <f t="shared" si="54"/>
        <v>0</v>
      </c>
      <c r="H221">
        <f t="shared" si="55"/>
        <v>0</v>
      </c>
      <c r="I221">
        <v>1</v>
      </c>
      <c r="J221" t="e">
        <f t="shared" si="50"/>
        <v>#NUM!</v>
      </c>
      <c r="K221">
        <f t="shared" si="56"/>
        <v>-1.179910572976012</v>
      </c>
      <c r="L221">
        <v>1</v>
      </c>
      <c r="M221" t="e">
        <f t="shared" si="57"/>
        <v>#NUM!</v>
      </c>
      <c r="N221">
        <f t="shared" si="58"/>
        <v>0</v>
      </c>
      <c r="O221">
        <f t="shared" si="59"/>
        <v>0</v>
      </c>
      <c r="P221" t="e">
        <f t="shared" si="60"/>
        <v>#NUM!</v>
      </c>
      <c r="V221">
        <v>15.499999999999901</v>
      </c>
      <c r="W221">
        <f t="shared" si="51"/>
        <v>-1.0570499999999965</v>
      </c>
    </row>
    <row r="222" spans="3:23" x14ac:dyDescent="0.3">
      <c r="C222">
        <f t="shared" si="52"/>
        <v>0</v>
      </c>
      <c r="D222" s="1">
        <v>2.1000000000000001E-2</v>
      </c>
      <c r="E222" s="1">
        <v>1.41E-2</v>
      </c>
      <c r="F222">
        <f t="shared" si="53"/>
        <v>0</v>
      </c>
      <c r="G222">
        <f t="shared" si="54"/>
        <v>0</v>
      </c>
      <c r="H222">
        <f t="shared" si="55"/>
        <v>0</v>
      </c>
      <c r="I222">
        <v>1</v>
      </c>
      <c r="J222" t="e">
        <f t="shared" si="50"/>
        <v>#NUM!</v>
      </c>
      <c r="K222">
        <f t="shared" si="56"/>
        <v>-1.179910572976012</v>
      </c>
      <c r="L222">
        <v>1</v>
      </c>
      <c r="M222" t="e">
        <f t="shared" si="57"/>
        <v>#NUM!</v>
      </c>
      <c r="N222">
        <f t="shared" si="58"/>
        <v>0</v>
      </c>
      <c r="O222">
        <f t="shared" si="59"/>
        <v>0</v>
      </c>
      <c r="P222" t="e">
        <f t="shared" si="60"/>
        <v>#NUM!</v>
      </c>
      <c r="V222">
        <v>15.5999999999999</v>
      </c>
      <c r="W222">
        <f t="shared" si="51"/>
        <v>-1.0605599999999966</v>
      </c>
    </row>
    <row r="223" spans="3:23" x14ac:dyDescent="0.3">
      <c r="C223">
        <f t="shared" si="52"/>
        <v>0</v>
      </c>
      <c r="D223" s="1">
        <v>2.1000000000000001E-2</v>
      </c>
      <c r="E223" s="1">
        <v>1.41E-2</v>
      </c>
      <c r="F223">
        <f t="shared" si="53"/>
        <v>0</v>
      </c>
      <c r="G223">
        <f t="shared" si="54"/>
        <v>0</v>
      </c>
      <c r="H223">
        <f t="shared" si="55"/>
        <v>0</v>
      </c>
      <c r="I223">
        <v>1</v>
      </c>
      <c r="J223" t="e">
        <f t="shared" si="50"/>
        <v>#NUM!</v>
      </c>
      <c r="K223">
        <f t="shared" si="56"/>
        <v>-1.179910572976012</v>
      </c>
      <c r="L223">
        <v>1</v>
      </c>
      <c r="M223" t="e">
        <f t="shared" si="57"/>
        <v>#NUM!</v>
      </c>
      <c r="N223">
        <f t="shared" si="58"/>
        <v>0</v>
      </c>
      <c r="O223">
        <f t="shared" si="59"/>
        <v>0</v>
      </c>
      <c r="P223" t="e">
        <f t="shared" si="60"/>
        <v>#NUM!</v>
      </c>
      <c r="V223">
        <v>15.6999999999999</v>
      </c>
      <c r="W223">
        <f t="shared" si="51"/>
        <v>-1.0640699999999965</v>
      </c>
    </row>
    <row r="224" spans="3:23" x14ac:dyDescent="0.3">
      <c r="C224">
        <f t="shared" si="52"/>
        <v>0</v>
      </c>
      <c r="D224" s="1">
        <v>2.1000000000000001E-2</v>
      </c>
      <c r="E224" s="1">
        <v>1.41E-2</v>
      </c>
      <c r="F224">
        <f t="shared" si="53"/>
        <v>0</v>
      </c>
      <c r="G224">
        <f t="shared" si="54"/>
        <v>0</v>
      </c>
      <c r="H224">
        <f t="shared" si="55"/>
        <v>0</v>
      </c>
      <c r="I224">
        <v>1</v>
      </c>
      <c r="J224" t="e">
        <f t="shared" si="50"/>
        <v>#NUM!</v>
      </c>
      <c r="K224">
        <f t="shared" si="56"/>
        <v>-1.179910572976012</v>
      </c>
      <c r="L224">
        <v>1</v>
      </c>
      <c r="M224" t="e">
        <f t="shared" si="57"/>
        <v>#NUM!</v>
      </c>
      <c r="N224">
        <f t="shared" si="58"/>
        <v>0</v>
      </c>
      <c r="O224">
        <f t="shared" si="59"/>
        <v>0</v>
      </c>
      <c r="P224" t="e">
        <f t="shared" si="60"/>
        <v>#NUM!</v>
      </c>
      <c r="V224">
        <v>15.799999999999899</v>
      </c>
      <c r="W224">
        <f t="shared" si="51"/>
        <v>-1.0675799999999964</v>
      </c>
    </row>
    <row r="225" spans="3:23" x14ac:dyDescent="0.3">
      <c r="C225">
        <f t="shared" si="52"/>
        <v>0</v>
      </c>
      <c r="D225" s="1">
        <v>2.1000000000000001E-2</v>
      </c>
      <c r="E225" s="1">
        <v>1.41E-2</v>
      </c>
      <c r="F225">
        <f t="shared" si="53"/>
        <v>0</v>
      </c>
      <c r="G225">
        <f t="shared" si="54"/>
        <v>0</v>
      </c>
      <c r="H225">
        <f t="shared" si="55"/>
        <v>0</v>
      </c>
      <c r="I225">
        <v>1</v>
      </c>
      <c r="J225" t="e">
        <f t="shared" si="50"/>
        <v>#NUM!</v>
      </c>
      <c r="K225">
        <f t="shared" si="56"/>
        <v>-1.179910572976012</v>
      </c>
      <c r="L225">
        <v>1</v>
      </c>
      <c r="M225" t="e">
        <f t="shared" si="57"/>
        <v>#NUM!</v>
      </c>
      <c r="N225">
        <f t="shared" si="58"/>
        <v>0</v>
      </c>
      <c r="O225">
        <f t="shared" si="59"/>
        <v>0</v>
      </c>
      <c r="P225" t="e">
        <f t="shared" si="60"/>
        <v>#NUM!</v>
      </c>
      <c r="R225" t="e">
        <f>O225+N225+M225</f>
        <v>#NUM!</v>
      </c>
      <c r="V225">
        <v>15.899999999999901</v>
      </c>
      <c r="W225">
        <f t="shared" si="51"/>
        <v>-1.0710899999999965</v>
      </c>
    </row>
    <row r="226" spans="3:23" x14ac:dyDescent="0.3">
      <c r="C226">
        <f t="shared" si="52"/>
        <v>0</v>
      </c>
      <c r="D226" s="1">
        <v>2.1000000000000001E-2</v>
      </c>
      <c r="E226" s="1">
        <v>1.41E-2</v>
      </c>
      <c r="F226">
        <f t="shared" si="53"/>
        <v>0</v>
      </c>
      <c r="G226">
        <f t="shared" si="54"/>
        <v>0</v>
      </c>
      <c r="H226">
        <f t="shared" si="55"/>
        <v>0</v>
      </c>
      <c r="I226">
        <v>1</v>
      </c>
      <c r="J226" t="e">
        <f t="shared" si="50"/>
        <v>#NUM!</v>
      </c>
      <c r="K226">
        <f t="shared" si="56"/>
        <v>-1.179910572976012</v>
      </c>
      <c r="L226">
        <v>1</v>
      </c>
      <c r="M226" t="e">
        <f t="shared" si="57"/>
        <v>#NUM!</v>
      </c>
      <c r="N226">
        <f t="shared" si="58"/>
        <v>0</v>
      </c>
      <c r="O226">
        <f t="shared" si="59"/>
        <v>0</v>
      </c>
      <c r="P226" t="e">
        <f t="shared" si="60"/>
        <v>#NUM!</v>
      </c>
      <c r="V226">
        <v>15.999999999999901</v>
      </c>
      <c r="W226">
        <f t="shared" si="51"/>
        <v>-1.0745999999999967</v>
      </c>
    </row>
    <row r="227" spans="3:23" x14ac:dyDescent="0.3">
      <c r="C227">
        <f t="shared" si="52"/>
        <v>0</v>
      </c>
      <c r="D227" s="1">
        <v>2.1000000000000001E-2</v>
      </c>
      <c r="E227" s="1">
        <v>1.41E-2</v>
      </c>
      <c r="F227">
        <f t="shared" si="53"/>
        <v>0</v>
      </c>
      <c r="G227">
        <f t="shared" si="54"/>
        <v>0</v>
      </c>
      <c r="H227">
        <f t="shared" si="55"/>
        <v>0</v>
      </c>
      <c r="I227">
        <v>1</v>
      </c>
      <c r="J227" t="e">
        <f t="shared" si="50"/>
        <v>#NUM!</v>
      </c>
      <c r="K227">
        <f t="shared" si="56"/>
        <v>-1.179910572976012</v>
      </c>
      <c r="L227">
        <v>1</v>
      </c>
      <c r="M227" t="e">
        <f t="shared" si="57"/>
        <v>#NUM!</v>
      </c>
      <c r="N227">
        <f t="shared" si="58"/>
        <v>0</v>
      </c>
      <c r="O227">
        <f t="shared" si="59"/>
        <v>0</v>
      </c>
      <c r="P227" t="e">
        <f t="shared" si="60"/>
        <v>#NUM!</v>
      </c>
      <c r="V227">
        <v>16.099999999999898</v>
      </c>
      <c r="W227">
        <f t="shared" si="51"/>
        <v>-1.0781099999999966</v>
      </c>
    </row>
    <row r="228" spans="3:23" x14ac:dyDescent="0.3">
      <c r="C228">
        <f t="shared" si="52"/>
        <v>0</v>
      </c>
      <c r="D228" s="1">
        <v>2.1000000000000001E-2</v>
      </c>
      <c r="E228" s="1">
        <v>1.41E-2</v>
      </c>
      <c r="F228">
        <f t="shared" si="53"/>
        <v>0</v>
      </c>
      <c r="G228">
        <f t="shared" si="54"/>
        <v>0</v>
      </c>
      <c r="H228">
        <f t="shared" si="55"/>
        <v>0</v>
      </c>
      <c r="I228">
        <v>1</v>
      </c>
      <c r="J228" t="e">
        <f t="shared" si="50"/>
        <v>#NUM!</v>
      </c>
      <c r="K228">
        <f t="shared" si="56"/>
        <v>-1.179910572976012</v>
      </c>
      <c r="L228">
        <v>1</v>
      </c>
      <c r="M228" t="e">
        <f t="shared" si="57"/>
        <v>#NUM!</v>
      </c>
      <c r="N228">
        <f t="shared" si="58"/>
        <v>0</v>
      </c>
      <c r="O228">
        <f t="shared" si="59"/>
        <v>0</v>
      </c>
      <c r="P228" t="e">
        <f t="shared" si="60"/>
        <v>#NUM!</v>
      </c>
      <c r="V228">
        <v>16.1999999999999</v>
      </c>
      <c r="W228">
        <f t="shared" si="51"/>
        <v>-1.0816199999999965</v>
      </c>
    </row>
    <row r="229" spans="3:23" x14ac:dyDescent="0.3">
      <c r="C229">
        <f t="shared" si="52"/>
        <v>0</v>
      </c>
      <c r="D229" s="1">
        <v>2.1000000000000001E-2</v>
      </c>
      <c r="E229" s="1">
        <v>1.41E-2</v>
      </c>
      <c r="F229">
        <f t="shared" si="53"/>
        <v>0</v>
      </c>
      <c r="G229">
        <f t="shared" si="54"/>
        <v>0</v>
      </c>
      <c r="H229">
        <f t="shared" si="55"/>
        <v>0</v>
      </c>
      <c r="I229">
        <v>1</v>
      </c>
      <c r="J229" t="e">
        <f t="shared" si="50"/>
        <v>#NUM!</v>
      </c>
      <c r="K229">
        <f t="shared" si="56"/>
        <v>-1.179910572976012</v>
      </c>
      <c r="L229">
        <v>1</v>
      </c>
      <c r="M229" t="e">
        <f t="shared" si="57"/>
        <v>#NUM!</v>
      </c>
      <c r="N229">
        <f t="shared" si="58"/>
        <v>0</v>
      </c>
      <c r="O229">
        <f t="shared" si="59"/>
        <v>0</v>
      </c>
      <c r="P229" t="e">
        <f t="shared" si="60"/>
        <v>#NUM!</v>
      </c>
      <c r="V229">
        <v>16.299999999999901</v>
      </c>
      <c r="W229">
        <f t="shared" si="51"/>
        <v>-1.0851299999999964</v>
      </c>
    </row>
    <row r="230" spans="3:23" x14ac:dyDescent="0.3">
      <c r="C230">
        <f t="shared" si="52"/>
        <v>0</v>
      </c>
      <c r="D230" s="1">
        <v>2.1000000000000001E-2</v>
      </c>
      <c r="E230" s="1">
        <v>1.41E-2</v>
      </c>
      <c r="F230">
        <f t="shared" si="53"/>
        <v>0</v>
      </c>
      <c r="G230">
        <f t="shared" si="54"/>
        <v>0</v>
      </c>
      <c r="H230">
        <f t="shared" si="55"/>
        <v>0</v>
      </c>
      <c r="I230">
        <v>1</v>
      </c>
      <c r="J230" t="e">
        <f t="shared" si="50"/>
        <v>#NUM!</v>
      </c>
      <c r="K230">
        <f t="shared" si="56"/>
        <v>-1.179910572976012</v>
      </c>
      <c r="L230">
        <v>1</v>
      </c>
      <c r="M230" t="e">
        <f t="shared" si="57"/>
        <v>#NUM!</v>
      </c>
      <c r="N230">
        <f t="shared" si="58"/>
        <v>0</v>
      </c>
      <c r="O230">
        <f t="shared" si="59"/>
        <v>0</v>
      </c>
      <c r="P230" t="e">
        <f t="shared" si="60"/>
        <v>#NUM!</v>
      </c>
      <c r="V230">
        <v>16.399999999999899</v>
      </c>
      <c r="W230">
        <f t="shared" si="51"/>
        <v>-1.0886399999999965</v>
      </c>
    </row>
    <row r="231" spans="3:23" x14ac:dyDescent="0.3">
      <c r="C231">
        <f t="shared" si="52"/>
        <v>0</v>
      </c>
      <c r="D231" s="1">
        <v>2.1000000000000001E-2</v>
      </c>
      <c r="E231" s="1">
        <v>1.41E-2</v>
      </c>
      <c r="F231">
        <f t="shared" si="53"/>
        <v>0</v>
      </c>
      <c r="G231">
        <f t="shared" si="54"/>
        <v>0</v>
      </c>
      <c r="H231">
        <f t="shared" si="55"/>
        <v>0</v>
      </c>
      <c r="I231">
        <v>1</v>
      </c>
      <c r="J231" t="e">
        <f t="shared" si="50"/>
        <v>#NUM!</v>
      </c>
      <c r="K231">
        <f t="shared" si="56"/>
        <v>-1.179910572976012</v>
      </c>
      <c r="L231">
        <v>1</v>
      </c>
      <c r="M231" t="e">
        <f t="shared" si="57"/>
        <v>#NUM!</v>
      </c>
      <c r="N231">
        <f t="shared" si="58"/>
        <v>0</v>
      </c>
      <c r="O231">
        <f t="shared" si="59"/>
        <v>0</v>
      </c>
      <c r="P231" t="e">
        <f t="shared" si="60"/>
        <v>#NUM!</v>
      </c>
      <c r="V231">
        <v>16.499999999999901</v>
      </c>
      <c r="W231">
        <f t="shared" si="51"/>
        <v>-1.0921499999999966</v>
      </c>
    </row>
    <row r="232" spans="3:23" x14ac:dyDescent="0.3">
      <c r="C232">
        <f t="shared" si="52"/>
        <v>0</v>
      </c>
      <c r="D232" s="1">
        <v>2.1000000000000001E-2</v>
      </c>
      <c r="E232" s="1">
        <v>1.41E-2</v>
      </c>
      <c r="F232">
        <f t="shared" si="53"/>
        <v>0</v>
      </c>
      <c r="G232">
        <f t="shared" si="54"/>
        <v>0</v>
      </c>
      <c r="H232">
        <f t="shared" si="55"/>
        <v>0</v>
      </c>
      <c r="I232">
        <v>1</v>
      </c>
      <c r="J232" t="e">
        <f t="shared" si="50"/>
        <v>#NUM!</v>
      </c>
      <c r="K232">
        <f t="shared" si="56"/>
        <v>-1.179910572976012</v>
      </c>
      <c r="L232">
        <v>1</v>
      </c>
      <c r="M232" t="e">
        <f t="shared" si="57"/>
        <v>#NUM!</v>
      </c>
      <c r="N232">
        <f t="shared" si="58"/>
        <v>0</v>
      </c>
      <c r="O232">
        <f t="shared" si="59"/>
        <v>0</v>
      </c>
      <c r="P232" t="e">
        <f t="shared" si="60"/>
        <v>#NUM!</v>
      </c>
      <c r="V232">
        <v>16.599999999999898</v>
      </c>
      <c r="W232">
        <f t="shared" si="51"/>
        <v>-1.0956599999999965</v>
      </c>
    </row>
    <row r="233" spans="3:23" x14ac:dyDescent="0.3">
      <c r="C233">
        <f t="shared" si="52"/>
        <v>0</v>
      </c>
      <c r="D233" s="1">
        <v>2.1000000000000001E-2</v>
      </c>
      <c r="E233" s="1">
        <v>1.41E-2</v>
      </c>
      <c r="F233">
        <f t="shared" si="53"/>
        <v>0</v>
      </c>
      <c r="G233">
        <f t="shared" si="54"/>
        <v>0</v>
      </c>
      <c r="H233">
        <f t="shared" si="55"/>
        <v>0</v>
      </c>
      <c r="I233">
        <v>1</v>
      </c>
      <c r="J233" t="e">
        <f t="shared" si="50"/>
        <v>#NUM!</v>
      </c>
      <c r="K233">
        <f t="shared" si="56"/>
        <v>-1.179910572976012</v>
      </c>
      <c r="L233">
        <v>1</v>
      </c>
      <c r="M233" t="e">
        <f t="shared" si="57"/>
        <v>#NUM!</v>
      </c>
      <c r="N233">
        <f t="shared" si="58"/>
        <v>0</v>
      </c>
      <c r="O233">
        <f t="shared" si="59"/>
        <v>0</v>
      </c>
      <c r="P233" t="e">
        <f t="shared" si="60"/>
        <v>#NUM!</v>
      </c>
      <c r="V233">
        <v>16.6999999999999</v>
      </c>
      <c r="W233">
        <f t="shared" si="51"/>
        <v>-1.0991699999999964</v>
      </c>
    </row>
    <row r="234" spans="3:23" x14ac:dyDescent="0.3">
      <c r="C234">
        <f t="shared" si="52"/>
        <v>0</v>
      </c>
      <c r="D234" s="1">
        <v>2.1000000000000001E-2</v>
      </c>
      <c r="E234" s="1">
        <v>1.41E-2</v>
      </c>
      <c r="F234">
        <f t="shared" si="53"/>
        <v>0</v>
      </c>
      <c r="G234">
        <f t="shared" si="54"/>
        <v>0</v>
      </c>
      <c r="H234">
        <f t="shared" si="55"/>
        <v>0</v>
      </c>
      <c r="I234">
        <v>1</v>
      </c>
      <c r="J234" t="e">
        <f t="shared" si="50"/>
        <v>#NUM!</v>
      </c>
      <c r="K234">
        <f t="shared" si="56"/>
        <v>-1.179910572976012</v>
      </c>
      <c r="L234">
        <v>1</v>
      </c>
      <c r="M234" t="e">
        <f t="shared" si="57"/>
        <v>#NUM!</v>
      </c>
      <c r="N234">
        <f t="shared" si="58"/>
        <v>0</v>
      </c>
      <c r="O234">
        <f t="shared" si="59"/>
        <v>0</v>
      </c>
      <c r="P234" t="e">
        <f t="shared" si="60"/>
        <v>#NUM!</v>
      </c>
      <c r="V234">
        <v>16.799999999999901</v>
      </c>
      <c r="W234">
        <f t="shared" si="51"/>
        <v>-1.1026799999999966</v>
      </c>
    </row>
    <row r="235" spans="3:23" x14ac:dyDescent="0.3">
      <c r="C235">
        <f t="shared" si="52"/>
        <v>0</v>
      </c>
      <c r="D235" s="1">
        <v>2.1000000000000001E-2</v>
      </c>
      <c r="E235" s="1">
        <v>1.41E-2</v>
      </c>
      <c r="F235">
        <f t="shared" si="53"/>
        <v>0</v>
      </c>
      <c r="G235">
        <f t="shared" si="54"/>
        <v>0</v>
      </c>
      <c r="H235">
        <f t="shared" si="55"/>
        <v>0</v>
      </c>
      <c r="I235">
        <v>1</v>
      </c>
      <c r="J235" t="e">
        <f t="shared" si="50"/>
        <v>#NUM!</v>
      </c>
      <c r="K235">
        <f t="shared" si="56"/>
        <v>-1.179910572976012</v>
      </c>
      <c r="L235">
        <v>1</v>
      </c>
      <c r="M235" t="e">
        <f t="shared" si="57"/>
        <v>#NUM!</v>
      </c>
      <c r="N235">
        <f t="shared" si="58"/>
        <v>0</v>
      </c>
      <c r="O235">
        <f t="shared" si="59"/>
        <v>0</v>
      </c>
      <c r="P235" t="e">
        <f t="shared" si="60"/>
        <v>#NUM!</v>
      </c>
      <c r="V235">
        <v>16.899999999999899</v>
      </c>
      <c r="W235">
        <f t="shared" si="51"/>
        <v>-1.1061899999999965</v>
      </c>
    </row>
    <row r="236" spans="3:23" x14ac:dyDescent="0.3">
      <c r="C236">
        <f t="shared" si="52"/>
        <v>0</v>
      </c>
      <c r="D236" s="1">
        <v>2.1000000000000001E-2</v>
      </c>
      <c r="E236" s="1">
        <v>1.41E-2</v>
      </c>
      <c r="F236">
        <f t="shared" si="53"/>
        <v>0</v>
      </c>
      <c r="G236">
        <f t="shared" si="54"/>
        <v>0</v>
      </c>
      <c r="H236">
        <f t="shared" si="55"/>
        <v>0</v>
      </c>
      <c r="I236">
        <v>1</v>
      </c>
      <c r="J236" t="e">
        <f t="shared" si="50"/>
        <v>#NUM!</v>
      </c>
      <c r="K236">
        <f t="shared" si="56"/>
        <v>-1.179910572976012</v>
      </c>
      <c r="L236">
        <v>1</v>
      </c>
      <c r="M236" t="e">
        <f t="shared" si="57"/>
        <v>#NUM!</v>
      </c>
      <c r="N236">
        <f t="shared" si="58"/>
        <v>0</v>
      </c>
      <c r="O236">
        <f t="shared" si="59"/>
        <v>0</v>
      </c>
      <c r="P236" t="e">
        <f t="shared" si="60"/>
        <v>#NUM!</v>
      </c>
      <c r="V236">
        <v>16.999999999999901</v>
      </c>
      <c r="W236">
        <f t="shared" si="51"/>
        <v>-1.1096999999999966</v>
      </c>
    </row>
    <row r="237" spans="3:23" x14ac:dyDescent="0.3">
      <c r="C237">
        <f t="shared" si="52"/>
        <v>0</v>
      </c>
      <c r="D237" s="1">
        <v>2.1000000000000001E-2</v>
      </c>
      <c r="E237" s="1">
        <v>1.41E-2</v>
      </c>
      <c r="F237">
        <f t="shared" si="53"/>
        <v>0</v>
      </c>
      <c r="G237">
        <f t="shared" si="54"/>
        <v>0</v>
      </c>
      <c r="H237">
        <f t="shared" si="55"/>
        <v>0</v>
      </c>
      <c r="I237">
        <v>1</v>
      </c>
      <c r="J237" t="e">
        <f t="shared" si="50"/>
        <v>#NUM!</v>
      </c>
      <c r="K237">
        <f t="shared" si="56"/>
        <v>-1.179910572976012</v>
      </c>
      <c r="L237">
        <v>1</v>
      </c>
      <c r="M237" t="e">
        <f t="shared" si="57"/>
        <v>#NUM!</v>
      </c>
      <c r="N237">
        <f t="shared" si="58"/>
        <v>0</v>
      </c>
      <c r="O237">
        <f t="shared" si="59"/>
        <v>0</v>
      </c>
      <c r="P237" t="e">
        <f t="shared" si="60"/>
        <v>#NUM!</v>
      </c>
      <c r="V237">
        <v>17.099999999999898</v>
      </c>
      <c r="W237">
        <f t="shared" si="51"/>
        <v>-1.1132099999999965</v>
      </c>
    </row>
    <row r="238" spans="3:23" x14ac:dyDescent="0.3">
      <c r="C238">
        <f t="shared" si="52"/>
        <v>0</v>
      </c>
      <c r="D238" s="1">
        <v>2.1000000000000001E-2</v>
      </c>
      <c r="E238" s="1">
        <v>1.41E-2</v>
      </c>
      <c r="F238">
        <f t="shared" si="53"/>
        <v>0</v>
      </c>
      <c r="G238">
        <f t="shared" si="54"/>
        <v>0</v>
      </c>
      <c r="H238">
        <f t="shared" si="55"/>
        <v>0</v>
      </c>
      <c r="I238">
        <v>1</v>
      </c>
      <c r="J238" t="e">
        <f t="shared" si="50"/>
        <v>#NUM!</v>
      </c>
      <c r="K238">
        <f t="shared" si="56"/>
        <v>-1.179910572976012</v>
      </c>
      <c r="L238">
        <v>1</v>
      </c>
      <c r="M238" t="e">
        <f t="shared" si="57"/>
        <v>#NUM!</v>
      </c>
      <c r="N238">
        <f t="shared" si="58"/>
        <v>0</v>
      </c>
      <c r="O238">
        <f t="shared" si="59"/>
        <v>0</v>
      </c>
      <c r="P238" t="e">
        <f t="shared" si="60"/>
        <v>#NUM!</v>
      </c>
      <c r="V238">
        <v>17.1999999999999</v>
      </c>
      <c r="W238">
        <f t="shared" si="51"/>
        <v>-1.1167199999999964</v>
      </c>
    </row>
    <row r="239" spans="3:23" x14ac:dyDescent="0.3">
      <c r="C239">
        <f t="shared" si="52"/>
        <v>0</v>
      </c>
      <c r="D239" s="1">
        <v>2.1000000000000001E-2</v>
      </c>
      <c r="E239" s="1">
        <v>1.41E-2</v>
      </c>
      <c r="F239">
        <f t="shared" si="53"/>
        <v>0</v>
      </c>
      <c r="G239">
        <f t="shared" si="54"/>
        <v>0</v>
      </c>
      <c r="H239">
        <f t="shared" si="55"/>
        <v>0</v>
      </c>
      <c r="I239">
        <v>1</v>
      </c>
      <c r="J239" t="e">
        <f t="shared" si="50"/>
        <v>#NUM!</v>
      </c>
      <c r="K239">
        <f t="shared" si="56"/>
        <v>-1.179910572976012</v>
      </c>
      <c r="L239">
        <v>1</v>
      </c>
      <c r="M239" t="e">
        <f t="shared" si="57"/>
        <v>#NUM!</v>
      </c>
      <c r="N239">
        <f t="shared" si="58"/>
        <v>0</v>
      </c>
      <c r="O239">
        <f t="shared" si="59"/>
        <v>0</v>
      </c>
      <c r="P239" t="e">
        <f t="shared" si="60"/>
        <v>#NUM!</v>
      </c>
      <c r="V239">
        <v>17.299999999999901</v>
      </c>
      <c r="W239">
        <f t="shared" si="51"/>
        <v>-1.1202299999999965</v>
      </c>
    </row>
    <row r="240" spans="3:23" x14ac:dyDescent="0.3">
      <c r="C240">
        <f t="shared" si="52"/>
        <v>0</v>
      </c>
      <c r="D240" s="1">
        <v>2.1000000000000001E-2</v>
      </c>
      <c r="E240" s="1">
        <v>1.41E-2</v>
      </c>
      <c r="F240">
        <f t="shared" si="53"/>
        <v>0</v>
      </c>
      <c r="G240">
        <f t="shared" si="54"/>
        <v>0</v>
      </c>
      <c r="H240">
        <f t="shared" si="55"/>
        <v>0</v>
      </c>
      <c r="I240">
        <v>1</v>
      </c>
      <c r="J240" t="e">
        <f t="shared" si="50"/>
        <v>#NUM!</v>
      </c>
      <c r="K240">
        <f t="shared" si="56"/>
        <v>-1.179910572976012</v>
      </c>
      <c r="L240">
        <v>1</v>
      </c>
      <c r="M240" t="e">
        <f t="shared" si="57"/>
        <v>#NUM!</v>
      </c>
      <c r="N240">
        <f t="shared" si="58"/>
        <v>0</v>
      </c>
      <c r="O240">
        <f t="shared" si="59"/>
        <v>0</v>
      </c>
      <c r="P240" t="e">
        <f t="shared" si="60"/>
        <v>#NUM!</v>
      </c>
      <c r="V240">
        <v>17.399999999999899</v>
      </c>
      <c r="W240">
        <f t="shared" si="51"/>
        <v>-1.1237399999999964</v>
      </c>
    </row>
    <row r="241" spans="3:23" x14ac:dyDescent="0.3">
      <c r="C241">
        <f t="shared" si="52"/>
        <v>0</v>
      </c>
      <c r="D241" s="1">
        <v>2.1000000000000001E-2</v>
      </c>
      <c r="E241" s="1">
        <v>1.41E-2</v>
      </c>
      <c r="F241">
        <f t="shared" si="53"/>
        <v>0</v>
      </c>
      <c r="G241">
        <f t="shared" si="54"/>
        <v>0</v>
      </c>
      <c r="H241">
        <f t="shared" si="55"/>
        <v>0</v>
      </c>
      <c r="I241">
        <v>1</v>
      </c>
      <c r="J241" t="e">
        <f t="shared" si="50"/>
        <v>#NUM!</v>
      </c>
      <c r="K241">
        <f t="shared" si="56"/>
        <v>-1.179910572976012</v>
      </c>
      <c r="L241">
        <v>1</v>
      </c>
      <c r="M241" t="e">
        <f t="shared" si="57"/>
        <v>#NUM!</v>
      </c>
      <c r="N241">
        <f t="shared" si="58"/>
        <v>0</v>
      </c>
      <c r="O241">
        <f t="shared" si="59"/>
        <v>0</v>
      </c>
      <c r="P241" t="e">
        <f t="shared" si="60"/>
        <v>#NUM!</v>
      </c>
      <c r="V241">
        <v>17.499999999999901</v>
      </c>
      <c r="W241">
        <f t="shared" si="51"/>
        <v>-1.1272499999999965</v>
      </c>
    </row>
    <row r="242" spans="3:23" x14ac:dyDescent="0.3">
      <c r="C242">
        <f t="shared" si="52"/>
        <v>0</v>
      </c>
      <c r="D242" s="1">
        <v>2.1000000000000001E-2</v>
      </c>
      <c r="E242" s="1">
        <v>1.41E-2</v>
      </c>
      <c r="F242">
        <f t="shared" si="53"/>
        <v>0</v>
      </c>
      <c r="G242">
        <f t="shared" si="54"/>
        <v>0</v>
      </c>
      <c r="H242">
        <f t="shared" si="55"/>
        <v>0</v>
      </c>
      <c r="I242">
        <v>1</v>
      </c>
      <c r="J242" t="e">
        <f t="shared" si="50"/>
        <v>#NUM!</v>
      </c>
      <c r="K242">
        <f t="shared" si="56"/>
        <v>-1.179910572976012</v>
      </c>
      <c r="L242">
        <v>1</v>
      </c>
      <c r="M242" t="e">
        <f t="shared" si="57"/>
        <v>#NUM!</v>
      </c>
      <c r="N242">
        <f t="shared" si="58"/>
        <v>0</v>
      </c>
      <c r="O242">
        <f t="shared" si="59"/>
        <v>0</v>
      </c>
      <c r="P242" t="e">
        <f t="shared" si="60"/>
        <v>#NUM!</v>
      </c>
      <c r="V242">
        <v>17.599999999999898</v>
      </c>
      <c r="W242">
        <f t="shared" si="51"/>
        <v>-1.1307599999999964</v>
      </c>
    </row>
    <row r="243" spans="3:23" x14ac:dyDescent="0.3">
      <c r="C243">
        <f t="shared" si="52"/>
        <v>0</v>
      </c>
      <c r="D243" s="1">
        <v>2.1000000000000001E-2</v>
      </c>
      <c r="E243" s="1">
        <v>1.41E-2</v>
      </c>
      <c r="F243">
        <f t="shared" si="53"/>
        <v>0</v>
      </c>
      <c r="G243">
        <f t="shared" si="54"/>
        <v>0</v>
      </c>
      <c r="H243">
        <f t="shared" si="55"/>
        <v>0</v>
      </c>
      <c r="I243">
        <v>1</v>
      </c>
      <c r="J243" t="e">
        <f t="shared" si="50"/>
        <v>#NUM!</v>
      </c>
      <c r="K243">
        <f t="shared" si="56"/>
        <v>-1.179910572976012</v>
      </c>
      <c r="L243">
        <v>1</v>
      </c>
      <c r="M243" t="e">
        <f t="shared" si="57"/>
        <v>#NUM!</v>
      </c>
      <c r="N243">
        <f t="shared" si="58"/>
        <v>0</v>
      </c>
      <c r="O243">
        <f t="shared" si="59"/>
        <v>0</v>
      </c>
      <c r="P243" t="e">
        <f t="shared" si="60"/>
        <v>#NUM!</v>
      </c>
      <c r="V243">
        <v>17.6999999999999</v>
      </c>
      <c r="W243">
        <f t="shared" si="51"/>
        <v>-1.1342699999999963</v>
      </c>
    </row>
    <row r="244" spans="3:23" x14ac:dyDescent="0.3">
      <c r="C244">
        <f t="shared" si="52"/>
        <v>0</v>
      </c>
      <c r="D244" s="1">
        <v>2.1000000000000001E-2</v>
      </c>
      <c r="E244" s="1">
        <v>1.41E-2</v>
      </c>
      <c r="F244">
        <f t="shared" si="53"/>
        <v>0</v>
      </c>
      <c r="G244">
        <f t="shared" si="54"/>
        <v>0</v>
      </c>
      <c r="H244">
        <f t="shared" si="55"/>
        <v>0</v>
      </c>
      <c r="I244">
        <v>1</v>
      </c>
      <c r="J244" t="e">
        <f t="shared" si="50"/>
        <v>#NUM!</v>
      </c>
      <c r="K244">
        <f t="shared" si="56"/>
        <v>-1.179910572976012</v>
      </c>
      <c r="L244">
        <v>1</v>
      </c>
      <c r="M244" t="e">
        <f t="shared" si="57"/>
        <v>#NUM!</v>
      </c>
      <c r="N244">
        <f t="shared" si="58"/>
        <v>0</v>
      </c>
      <c r="O244">
        <f t="shared" si="59"/>
        <v>0</v>
      </c>
      <c r="P244" t="e">
        <f t="shared" si="60"/>
        <v>#NUM!</v>
      </c>
      <c r="V244">
        <v>17.799999999999901</v>
      </c>
      <c r="W244">
        <f t="shared" si="51"/>
        <v>-1.1377799999999967</v>
      </c>
    </row>
    <row r="245" spans="3:23" x14ac:dyDescent="0.3">
      <c r="C245">
        <f t="shared" si="52"/>
        <v>0</v>
      </c>
      <c r="D245" s="1">
        <v>2.1000000000000001E-2</v>
      </c>
      <c r="E245" s="1">
        <v>1.41E-2</v>
      </c>
      <c r="F245">
        <f t="shared" si="53"/>
        <v>0</v>
      </c>
      <c r="G245">
        <f t="shared" si="54"/>
        <v>0</v>
      </c>
      <c r="H245">
        <f t="shared" si="55"/>
        <v>0</v>
      </c>
      <c r="I245">
        <v>1</v>
      </c>
      <c r="J245" t="e">
        <f t="shared" si="50"/>
        <v>#NUM!</v>
      </c>
      <c r="K245">
        <f t="shared" si="56"/>
        <v>-1.179910572976012</v>
      </c>
      <c r="L245">
        <v>1</v>
      </c>
      <c r="M245" t="e">
        <f t="shared" si="57"/>
        <v>#NUM!</v>
      </c>
      <c r="N245">
        <f t="shared" si="58"/>
        <v>0</v>
      </c>
      <c r="O245">
        <f t="shared" si="59"/>
        <v>0</v>
      </c>
      <c r="P245" t="e">
        <f t="shared" si="60"/>
        <v>#NUM!</v>
      </c>
      <c r="V245">
        <v>17.899999999999899</v>
      </c>
      <c r="W245">
        <f t="shared" si="51"/>
        <v>-1.1412899999999966</v>
      </c>
    </row>
    <row r="246" spans="3:23" x14ac:dyDescent="0.3">
      <c r="C246">
        <f t="shared" si="52"/>
        <v>0</v>
      </c>
      <c r="D246" s="1">
        <v>2.1000000000000001E-2</v>
      </c>
      <c r="E246" s="1">
        <v>1.41E-2</v>
      </c>
      <c r="F246">
        <f t="shared" si="53"/>
        <v>0</v>
      </c>
      <c r="G246">
        <f t="shared" si="54"/>
        <v>0</v>
      </c>
      <c r="H246">
        <f t="shared" si="55"/>
        <v>0</v>
      </c>
      <c r="I246">
        <v>1</v>
      </c>
      <c r="J246" t="e">
        <f t="shared" si="50"/>
        <v>#NUM!</v>
      </c>
      <c r="K246">
        <f t="shared" si="56"/>
        <v>-1.179910572976012</v>
      </c>
      <c r="L246">
        <v>1</v>
      </c>
      <c r="M246" t="e">
        <f t="shared" si="57"/>
        <v>#NUM!</v>
      </c>
      <c r="N246">
        <f t="shared" si="58"/>
        <v>0</v>
      </c>
      <c r="O246">
        <f t="shared" si="59"/>
        <v>0</v>
      </c>
      <c r="P246" t="e">
        <f t="shared" si="60"/>
        <v>#NUM!</v>
      </c>
      <c r="V246">
        <v>17.999999999999901</v>
      </c>
      <c r="W246">
        <f t="shared" si="51"/>
        <v>-1.1447999999999965</v>
      </c>
    </row>
    <row r="247" spans="3:23" x14ac:dyDescent="0.3">
      <c r="C247">
        <f t="shared" si="52"/>
        <v>0</v>
      </c>
      <c r="D247" s="1">
        <v>2.1000000000000001E-2</v>
      </c>
      <c r="E247" s="1">
        <v>1.41E-2</v>
      </c>
      <c r="F247">
        <f t="shared" si="53"/>
        <v>0</v>
      </c>
      <c r="G247">
        <f t="shared" si="54"/>
        <v>0</v>
      </c>
      <c r="H247">
        <f t="shared" si="55"/>
        <v>0</v>
      </c>
      <c r="I247">
        <v>1</v>
      </c>
      <c r="J247" t="e">
        <f t="shared" si="50"/>
        <v>#NUM!</v>
      </c>
      <c r="K247">
        <f t="shared" si="56"/>
        <v>-1.179910572976012</v>
      </c>
      <c r="L247">
        <v>1</v>
      </c>
      <c r="M247" t="e">
        <f t="shared" si="57"/>
        <v>#NUM!</v>
      </c>
      <c r="N247">
        <f t="shared" si="58"/>
        <v>0</v>
      </c>
      <c r="O247">
        <f t="shared" si="59"/>
        <v>0</v>
      </c>
      <c r="P247" t="e">
        <f t="shared" si="60"/>
        <v>#NUM!</v>
      </c>
      <c r="V247">
        <v>18.099999999999898</v>
      </c>
      <c r="W247">
        <f t="shared" si="51"/>
        <v>-1.1483099999999964</v>
      </c>
    </row>
    <row r="248" spans="3:23" x14ac:dyDescent="0.3">
      <c r="C248">
        <f t="shared" si="52"/>
        <v>0</v>
      </c>
      <c r="D248" s="1">
        <v>2.1000000000000001E-2</v>
      </c>
      <c r="E248" s="1">
        <v>1.41E-2</v>
      </c>
      <c r="F248">
        <f t="shared" si="53"/>
        <v>0</v>
      </c>
      <c r="G248">
        <f t="shared" si="54"/>
        <v>0</v>
      </c>
      <c r="H248">
        <f t="shared" si="55"/>
        <v>0</v>
      </c>
      <c r="I248">
        <v>1</v>
      </c>
      <c r="J248" t="e">
        <f t="shared" si="50"/>
        <v>#NUM!</v>
      </c>
      <c r="K248">
        <f t="shared" si="56"/>
        <v>-1.179910572976012</v>
      </c>
      <c r="L248">
        <v>1</v>
      </c>
      <c r="M248" t="e">
        <f t="shared" si="57"/>
        <v>#NUM!</v>
      </c>
      <c r="N248">
        <f t="shared" si="58"/>
        <v>0</v>
      </c>
      <c r="O248">
        <f t="shared" si="59"/>
        <v>0</v>
      </c>
      <c r="P248" t="e">
        <f t="shared" si="60"/>
        <v>#NUM!</v>
      </c>
      <c r="V248">
        <v>18.1999999999999</v>
      </c>
      <c r="W248">
        <f t="shared" si="51"/>
        <v>-1.1518199999999965</v>
      </c>
    </row>
    <row r="249" spans="3:23" x14ac:dyDescent="0.3">
      <c r="C249">
        <f t="shared" si="52"/>
        <v>0</v>
      </c>
      <c r="D249" s="1">
        <v>2.1000000000000001E-2</v>
      </c>
      <c r="E249" s="1">
        <v>1.41E-2</v>
      </c>
      <c r="F249">
        <f t="shared" si="53"/>
        <v>0</v>
      </c>
      <c r="G249">
        <f t="shared" si="54"/>
        <v>0</v>
      </c>
      <c r="H249">
        <f t="shared" si="55"/>
        <v>0</v>
      </c>
      <c r="I249">
        <v>1</v>
      </c>
      <c r="J249" t="e">
        <f t="shared" si="50"/>
        <v>#NUM!</v>
      </c>
      <c r="K249">
        <f t="shared" si="56"/>
        <v>-1.179910572976012</v>
      </c>
      <c r="L249">
        <v>1</v>
      </c>
      <c r="M249" t="e">
        <f t="shared" si="57"/>
        <v>#NUM!</v>
      </c>
      <c r="N249">
        <f t="shared" si="58"/>
        <v>0</v>
      </c>
      <c r="O249">
        <f t="shared" si="59"/>
        <v>0</v>
      </c>
      <c r="P249" t="e">
        <f t="shared" si="60"/>
        <v>#NUM!</v>
      </c>
      <c r="V249">
        <v>18.299999999999901</v>
      </c>
      <c r="W249">
        <f t="shared" si="51"/>
        <v>-1.1553299999999966</v>
      </c>
    </row>
    <row r="250" spans="3:23" x14ac:dyDescent="0.3">
      <c r="C250">
        <f t="shared" si="52"/>
        <v>0</v>
      </c>
      <c r="D250" s="1">
        <v>2.1000000000000001E-2</v>
      </c>
      <c r="E250" s="1">
        <v>1.41E-2</v>
      </c>
      <c r="F250">
        <f t="shared" si="53"/>
        <v>0</v>
      </c>
      <c r="G250">
        <f t="shared" si="54"/>
        <v>0</v>
      </c>
      <c r="H250">
        <f t="shared" si="55"/>
        <v>0</v>
      </c>
      <c r="I250">
        <v>1</v>
      </c>
      <c r="J250" t="e">
        <f t="shared" si="50"/>
        <v>#NUM!</v>
      </c>
      <c r="K250">
        <f t="shared" si="56"/>
        <v>-1.179910572976012</v>
      </c>
      <c r="L250">
        <v>1</v>
      </c>
      <c r="M250" t="e">
        <f t="shared" si="57"/>
        <v>#NUM!</v>
      </c>
      <c r="N250">
        <f t="shared" si="58"/>
        <v>0</v>
      </c>
      <c r="O250">
        <f t="shared" si="59"/>
        <v>0</v>
      </c>
      <c r="P250" t="e">
        <f t="shared" si="60"/>
        <v>#NUM!</v>
      </c>
      <c r="V250">
        <v>18.399999999999899</v>
      </c>
      <c r="W250">
        <f t="shared" si="51"/>
        <v>-1.1588399999999965</v>
      </c>
    </row>
    <row r="251" spans="3:23" x14ac:dyDescent="0.3">
      <c r="C251">
        <f t="shared" si="52"/>
        <v>0</v>
      </c>
      <c r="D251" s="1">
        <v>2.1000000000000001E-2</v>
      </c>
      <c r="E251" s="1">
        <v>1.41E-2</v>
      </c>
      <c r="F251">
        <f t="shared" si="53"/>
        <v>0</v>
      </c>
      <c r="G251">
        <f t="shared" si="54"/>
        <v>0</v>
      </c>
      <c r="H251">
        <f t="shared" si="55"/>
        <v>0</v>
      </c>
      <c r="I251">
        <v>1</v>
      </c>
      <c r="J251" t="e">
        <f t="shared" si="50"/>
        <v>#NUM!</v>
      </c>
      <c r="K251">
        <f t="shared" si="56"/>
        <v>-1.179910572976012</v>
      </c>
      <c r="L251">
        <v>1</v>
      </c>
      <c r="M251" t="e">
        <f t="shared" si="57"/>
        <v>#NUM!</v>
      </c>
      <c r="N251">
        <f t="shared" si="58"/>
        <v>0</v>
      </c>
      <c r="O251">
        <f t="shared" si="59"/>
        <v>0</v>
      </c>
      <c r="P251" t="e">
        <f t="shared" si="60"/>
        <v>#NUM!</v>
      </c>
      <c r="V251">
        <v>18.499999999999901</v>
      </c>
      <c r="W251">
        <f t="shared" si="51"/>
        <v>-1.1623499999999964</v>
      </c>
    </row>
    <row r="252" spans="3:23" x14ac:dyDescent="0.3">
      <c r="C252">
        <f t="shared" si="52"/>
        <v>0</v>
      </c>
      <c r="D252" s="1">
        <v>2.1000000000000001E-2</v>
      </c>
      <c r="E252" s="1">
        <v>1.41E-2</v>
      </c>
      <c r="F252">
        <f t="shared" si="53"/>
        <v>0</v>
      </c>
      <c r="G252">
        <f t="shared" si="54"/>
        <v>0</v>
      </c>
      <c r="H252">
        <f t="shared" si="55"/>
        <v>0</v>
      </c>
      <c r="I252">
        <v>1</v>
      </c>
      <c r="J252" t="e">
        <f t="shared" si="50"/>
        <v>#NUM!</v>
      </c>
      <c r="K252">
        <f t="shared" si="56"/>
        <v>-1.179910572976012</v>
      </c>
      <c r="L252">
        <v>1</v>
      </c>
      <c r="M252" t="e">
        <f t="shared" si="57"/>
        <v>#NUM!</v>
      </c>
      <c r="N252">
        <f t="shared" si="58"/>
        <v>0</v>
      </c>
      <c r="O252">
        <f t="shared" si="59"/>
        <v>0</v>
      </c>
      <c r="P252" t="e">
        <f t="shared" si="60"/>
        <v>#NUM!</v>
      </c>
      <c r="V252">
        <v>18.599999999999898</v>
      </c>
      <c r="W252">
        <f t="shared" si="51"/>
        <v>-1.1658599999999963</v>
      </c>
    </row>
    <row r="253" spans="3:23" x14ac:dyDescent="0.3">
      <c r="C253">
        <f t="shared" si="52"/>
        <v>0</v>
      </c>
      <c r="D253" s="1">
        <v>2.1000000000000001E-2</v>
      </c>
      <c r="E253" s="1">
        <v>1.41E-2</v>
      </c>
      <c r="F253">
        <f t="shared" si="53"/>
        <v>0</v>
      </c>
      <c r="G253">
        <f t="shared" si="54"/>
        <v>0</v>
      </c>
      <c r="H253">
        <f t="shared" si="55"/>
        <v>0</v>
      </c>
      <c r="I253">
        <v>1</v>
      </c>
      <c r="J253" t="e">
        <f t="shared" si="50"/>
        <v>#NUM!</v>
      </c>
      <c r="K253">
        <f t="shared" si="56"/>
        <v>-1.179910572976012</v>
      </c>
      <c r="L253">
        <v>1</v>
      </c>
      <c r="M253" t="e">
        <f t="shared" si="57"/>
        <v>#NUM!</v>
      </c>
      <c r="N253">
        <f t="shared" si="58"/>
        <v>0</v>
      </c>
      <c r="O253">
        <f t="shared" si="59"/>
        <v>0</v>
      </c>
      <c r="P253" t="e">
        <f t="shared" si="60"/>
        <v>#NUM!</v>
      </c>
      <c r="V253">
        <v>18.6999999999999</v>
      </c>
      <c r="W253">
        <f t="shared" si="51"/>
        <v>-1.1693699999999965</v>
      </c>
    </row>
    <row r="254" spans="3:23" x14ac:dyDescent="0.3">
      <c r="C254">
        <f t="shared" si="52"/>
        <v>0</v>
      </c>
      <c r="D254" s="1">
        <v>2.1000000000000001E-2</v>
      </c>
      <c r="E254" s="1">
        <v>1.41E-2</v>
      </c>
      <c r="F254">
        <f t="shared" si="53"/>
        <v>0</v>
      </c>
      <c r="G254">
        <f t="shared" si="54"/>
        <v>0</v>
      </c>
      <c r="H254">
        <f t="shared" si="55"/>
        <v>0</v>
      </c>
      <c r="I254">
        <v>1</v>
      </c>
      <c r="J254" t="e">
        <f t="shared" si="50"/>
        <v>#NUM!</v>
      </c>
      <c r="K254">
        <f t="shared" si="56"/>
        <v>-1.179910572976012</v>
      </c>
      <c r="L254">
        <v>1</v>
      </c>
      <c r="M254" t="e">
        <f t="shared" si="57"/>
        <v>#NUM!</v>
      </c>
      <c r="N254">
        <f t="shared" si="58"/>
        <v>0</v>
      </c>
      <c r="O254">
        <f t="shared" si="59"/>
        <v>0</v>
      </c>
      <c r="P254" t="e">
        <f t="shared" si="60"/>
        <v>#NUM!</v>
      </c>
      <c r="V254">
        <v>18.799999999999901</v>
      </c>
      <c r="W254">
        <f t="shared" si="51"/>
        <v>-1.1728799999999966</v>
      </c>
    </row>
    <row r="255" spans="3:23" x14ac:dyDescent="0.3">
      <c r="C255">
        <f t="shared" si="52"/>
        <v>0</v>
      </c>
      <c r="D255" s="1">
        <v>2.1000000000000001E-2</v>
      </c>
      <c r="E255" s="1">
        <v>1.41E-2</v>
      </c>
      <c r="F255">
        <f t="shared" si="53"/>
        <v>0</v>
      </c>
      <c r="G255">
        <f t="shared" si="54"/>
        <v>0</v>
      </c>
      <c r="H255">
        <f t="shared" si="55"/>
        <v>0</v>
      </c>
      <c r="I255">
        <v>1</v>
      </c>
      <c r="J255" t="e">
        <f t="shared" si="50"/>
        <v>#NUM!</v>
      </c>
      <c r="K255">
        <f t="shared" si="56"/>
        <v>-1.179910572976012</v>
      </c>
      <c r="L255">
        <v>1</v>
      </c>
      <c r="M255" t="e">
        <f t="shared" si="57"/>
        <v>#NUM!</v>
      </c>
      <c r="N255">
        <f t="shared" si="58"/>
        <v>0</v>
      </c>
      <c r="O255">
        <f t="shared" si="59"/>
        <v>0</v>
      </c>
      <c r="P255" t="e">
        <f t="shared" si="60"/>
        <v>#NUM!</v>
      </c>
      <c r="V255">
        <v>18.899999999999899</v>
      </c>
      <c r="W255">
        <f t="shared" si="51"/>
        <v>-1.1763899999999965</v>
      </c>
    </row>
    <row r="256" spans="3:23" x14ac:dyDescent="0.3">
      <c r="C256">
        <f t="shared" si="52"/>
        <v>0</v>
      </c>
      <c r="D256" s="1">
        <v>2.1000000000000001E-2</v>
      </c>
      <c r="E256" s="1">
        <v>1.41E-2</v>
      </c>
      <c r="F256">
        <f t="shared" si="53"/>
        <v>0</v>
      </c>
      <c r="G256">
        <f t="shared" si="54"/>
        <v>0</v>
      </c>
      <c r="H256">
        <f t="shared" si="55"/>
        <v>0</v>
      </c>
      <c r="I256">
        <v>1</v>
      </c>
      <c r="J256" t="e">
        <f t="shared" si="50"/>
        <v>#NUM!</v>
      </c>
      <c r="K256">
        <f t="shared" si="56"/>
        <v>-1.179910572976012</v>
      </c>
      <c r="L256">
        <v>1</v>
      </c>
      <c r="M256" t="e">
        <f t="shared" si="57"/>
        <v>#NUM!</v>
      </c>
      <c r="N256">
        <f t="shared" si="58"/>
        <v>0</v>
      </c>
      <c r="O256">
        <f t="shared" si="59"/>
        <v>0</v>
      </c>
      <c r="P256" t="e">
        <f t="shared" si="60"/>
        <v>#NUM!</v>
      </c>
      <c r="V256">
        <v>18.999999999999901</v>
      </c>
      <c r="W256">
        <f t="shared" si="51"/>
        <v>-1.1798999999999964</v>
      </c>
    </row>
    <row r="257" spans="3:23" x14ac:dyDescent="0.3">
      <c r="C257">
        <f t="shared" si="52"/>
        <v>0</v>
      </c>
      <c r="D257" s="1">
        <v>2.1000000000000001E-2</v>
      </c>
      <c r="E257" s="1">
        <v>1.41E-2</v>
      </c>
      <c r="F257">
        <f t="shared" si="53"/>
        <v>0</v>
      </c>
      <c r="G257">
        <f t="shared" si="54"/>
        <v>0</v>
      </c>
      <c r="H257">
        <f t="shared" si="55"/>
        <v>0</v>
      </c>
      <c r="I257">
        <v>1</v>
      </c>
      <c r="J257" t="e">
        <f t="shared" si="50"/>
        <v>#NUM!</v>
      </c>
      <c r="K257">
        <f t="shared" si="56"/>
        <v>-1.179910572976012</v>
      </c>
      <c r="L257">
        <v>1</v>
      </c>
      <c r="M257" t="e">
        <f t="shared" si="57"/>
        <v>#NUM!</v>
      </c>
      <c r="N257">
        <f t="shared" si="58"/>
        <v>0</v>
      </c>
      <c r="O257">
        <f t="shared" si="59"/>
        <v>0</v>
      </c>
      <c r="P257" t="e">
        <f t="shared" si="60"/>
        <v>#NUM!</v>
      </c>
      <c r="V257">
        <v>19.099999999999898</v>
      </c>
      <c r="W257">
        <f t="shared" si="51"/>
        <v>-1.1834099999999963</v>
      </c>
    </row>
    <row r="258" spans="3:23" x14ac:dyDescent="0.3">
      <c r="C258">
        <f t="shared" si="52"/>
        <v>0</v>
      </c>
      <c r="D258" s="1">
        <v>2.1000000000000001E-2</v>
      </c>
      <c r="E258" s="1">
        <v>1.41E-2</v>
      </c>
      <c r="F258">
        <f t="shared" si="53"/>
        <v>0</v>
      </c>
      <c r="G258">
        <f t="shared" si="54"/>
        <v>0</v>
      </c>
      <c r="H258">
        <f t="shared" si="55"/>
        <v>0</v>
      </c>
      <c r="I258">
        <v>1</v>
      </c>
      <c r="J258" t="e">
        <f t="shared" si="50"/>
        <v>#NUM!</v>
      </c>
      <c r="K258">
        <f t="shared" si="56"/>
        <v>-1.179910572976012</v>
      </c>
      <c r="L258">
        <v>1</v>
      </c>
      <c r="M258" t="e">
        <f t="shared" si="57"/>
        <v>#NUM!</v>
      </c>
      <c r="N258">
        <f t="shared" si="58"/>
        <v>0</v>
      </c>
      <c r="O258">
        <f t="shared" si="59"/>
        <v>0</v>
      </c>
      <c r="P258" t="e">
        <f t="shared" si="60"/>
        <v>#NUM!</v>
      </c>
      <c r="V258">
        <v>19.1999999999999</v>
      </c>
      <c r="W258">
        <f t="shared" si="51"/>
        <v>-1.1869199999999966</v>
      </c>
    </row>
    <row r="259" spans="3:23" x14ac:dyDescent="0.3">
      <c r="C259">
        <f t="shared" si="52"/>
        <v>0</v>
      </c>
      <c r="D259" s="1">
        <v>2.1000000000000001E-2</v>
      </c>
      <c r="E259" s="1">
        <v>1.41E-2</v>
      </c>
      <c r="F259">
        <f t="shared" si="53"/>
        <v>0</v>
      </c>
      <c r="G259">
        <f t="shared" si="54"/>
        <v>0</v>
      </c>
      <c r="H259">
        <f t="shared" si="55"/>
        <v>0</v>
      </c>
      <c r="I259">
        <v>1</v>
      </c>
      <c r="J259" t="e">
        <f t="shared" si="50"/>
        <v>#NUM!</v>
      </c>
      <c r="K259">
        <f t="shared" si="56"/>
        <v>-1.179910572976012</v>
      </c>
      <c r="L259">
        <v>1</v>
      </c>
      <c r="M259" t="e">
        <f t="shared" si="57"/>
        <v>#NUM!</v>
      </c>
      <c r="N259">
        <f t="shared" si="58"/>
        <v>0</v>
      </c>
      <c r="O259">
        <f t="shared" si="59"/>
        <v>0</v>
      </c>
      <c r="P259" t="e">
        <f t="shared" si="60"/>
        <v>#NUM!</v>
      </c>
      <c r="V259">
        <v>19.299999999999901</v>
      </c>
      <c r="W259">
        <f t="shared" si="51"/>
        <v>-1.1904299999999965</v>
      </c>
    </row>
    <row r="260" spans="3:23" x14ac:dyDescent="0.3">
      <c r="C260">
        <f t="shared" si="52"/>
        <v>0</v>
      </c>
      <c r="D260" s="1">
        <v>2.1000000000000001E-2</v>
      </c>
      <c r="E260" s="1">
        <v>1.41E-2</v>
      </c>
      <c r="F260">
        <f t="shared" si="53"/>
        <v>0</v>
      </c>
      <c r="G260">
        <f t="shared" si="54"/>
        <v>0</v>
      </c>
      <c r="H260">
        <f t="shared" si="55"/>
        <v>0</v>
      </c>
      <c r="I260">
        <v>1</v>
      </c>
      <c r="J260" t="e">
        <f t="shared" si="50"/>
        <v>#NUM!</v>
      </c>
      <c r="K260">
        <f t="shared" si="56"/>
        <v>-1.179910572976012</v>
      </c>
      <c r="L260">
        <v>1</v>
      </c>
      <c r="M260" t="e">
        <f t="shared" si="57"/>
        <v>#NUM!</v>
      </c>
      <c r="N260">
        <f t="shared" si="58"/>
        <v>0</v>
      </c>
      <c r="O260">
        <f t="shared" si="59"/>
        <v>0</v>
      </c>
      <c r="P260" t="e">
        <f t="shared" si="60"/>
        <v>#NUM!</v>
      </c>
      <c r="V260">
        <v>19.399999999999899</v>
      </c>
      <c r="W260">
        <f t="shared" si="51"/>
        <v>-1.1939399999999964</v>
      </c>
    </row>
    <row r="261" spans="3:23" x14ac:dyDescent="0.3">
      <c r="C261">
        <f t="shared" si="52"/>
        <v>0</v>
      </c>
      <c r="D261" s="1">
        <v>2.1000000000000001E-2</v>
      </c>
      <c r="E261" s="1">
        <v>1.41E-2</v>
      </c>
      <c r="F261">
        <f t="shared" si="53"/>
        <v>0</v>
      </c>
      <c r="G261">
        <f t="shared" si="54"/>
        <v>0</v>
      </c>
      <c r="H261">
        <f t="shared" si="55"/>
        <v>0</v>
      </c>
      <c r="I261">
        <v>1</v>
      </c>
      <c r="J261" t="e">
        <f t="shared" ref="J261:J303" si="61">LN(F261/1000)</f>
        <v>#NUM!</v>
      </c>
      <c r="K261">
        <f t="shared" si="56"/>
        <v>-1.179910572976012</v>
      </c>
      <c r="L261">
        <v>1</v>
      </c>
      <c r="M261" t="e">
        <f t="shared" si="57"/>
        <v>#NUM!</v>
      </c>
      <c r="N261">
        <f t="shared" si="58"/>
        <v>0</v>
      </c>
      <c r="O261">
        <f t="shared" si="59"/>
        <v>0</v>
      </c>
      <c r="P261" t="e">
        <f t="shared" si="60"/>
        <v>#NUM!</v>
      </c>
      <c r="V261">
        <v>19.499999999999901</v>
      </c>
      <c r="W261">
        <f t="shared" si="51"/>
        <v>-1.1974499999999964</v>
      </c>
    </row>
    <row r="262" spans="3:23" x14ac:dyDescent="0.3">
      <c r="C262">
        <f t="shared" si="52"/>
        <v>0</v>
      </c>
      <c r="D262" s="1">
        <v>2.1000000000000001E-2</v>
      </c>
      <c r="E262" s="1">
        <v>1.41E-2</v>
      </c>
      <c r="F262">
        <f t="shared" si="53"/>
        <v>0</v>
      </c>
      <c r="G262">
        <f t="shared" si="54"/>
        <v>0</v>
      </c>
      <c r="H262">
        <f t="shared" si="55"/>
        <v>0</v>
      </c>
      <c r="I262">
        <v>1</v>
      </c>
      <c r="J262" t="e">
        <f t="shared" si="61"/>
        <v>#NUM!</v>
      </c>
      <c r="K262">
        <f t="shared" si="56"/>
        <v>-1.179910572976012</v>
      </c>
      <c r="L262">
        <v>1</v>
      </c>
      <c r="M262" t="e">
        <f t="shared" si="57"/>
        <v>#NUM!</v>
      </c>
      <c r="N262">
        <f t="shared" si="58"/>
        <v>0</v>
      </c>
      <c r="O262">
        <f t="shared" si="59"/>
        <v>0</v>
      </c>
      <c r="P262" t="e">
        <f t="shared" si="60"/>
        <v>#NUM!</v>
      </c>
      <c r="V262">
        <v>19.599999999999898</v>
      </c>
      <c r="W262">
        <f t="shared" si="51"/>
        <v>-1.2009599999999965</v>
      </c>
    </row>
    <row r="263" spans="3:23" x14ac:dyDescent="0.3">
      <c r="C263">
        <f t="shared" si="52"/>
        <v>0</v>
      </c>
      <c r="D263" s="1">
        <v>2.1000000000000001E-2</v>
      </c>
      <c r="E263" s="1">
        <v>1.41E-2</v>
      </c>
      <c r="F263">
        <f t="shared" si="53"/>
        <v>0</v>
      </c>
      <c r="G263">
        <f t="shared" si="54"/>
        <v>0</v>
      </c>
      <c r="H263">
        <f t="shared" si="55"/>
        <v>0</v>
      </c>
      <c r="I263">
        <v>1</v>
      </c>
      <c r="J263" t="e">
        <f t="shared" si="61"/>
        <v>#NUM!</v>
      </c>
      <c r="K263">
        <f t="shared" si="56"/>
        <v>-1.179910572976012</v>
      </c>
      <c r="L263">
        <v>1</v>
      </c>
      <c r="M263" t="e">
        <f t="shared" si="57"/>
        <v>#NUM!</v>
      </c>
      <c r="N263">
        <f t="shared" si="58"/>
        <v>0</v>
      </c>
      <c r="O263">
        <f t="shared" si="59"/>
        <v>0</v>
      </c>
      <c r="P263" t="e">
        <f t="shared" si="60"/>
        <v>#NUM!</v>
      </c>
      <c r="V263">
        <v>19.6999999999999</v>
      </c>
      <c r="W263">
        <f t="shared" ref="W263:W305" si="62">V263*$S$5+$S$4</f>
        <v>-1.2044699999999966</v>
      </c>
    </row>
    <row r="264" spans="3:23" x14ac:dyDescent="0.3">
      <c r="C264">
        <f t="shared" si="52"/>
        <v>0</v>
      </c>
      <c r="D264" s="1">
        <v>2.1000000000000001E-2</v>
      </c>
      <c r="E264" s="1">
        <v>1.41E-2</v>
      </c>
      <c r="F264">
        <f t="shared" si="53"/>
        <v>0</v>
      </c>
      <c r="G264">
        <f t="shared" si="54"/>
        <v>0</v>
      </c>
      <c r="H264">
        <f t="shared" si="55"/>
        <v>0</v>
      </c>
      <c r="I264">
        <v>1</v>
      </c>
      <c r="J264" t="e">
        <f t="shared" si="61"/>
        <v>#NUM!</v>
      </c>
      <c r="K264">
        <f t="shared" si="56"/>
        <v>-1.179910572976012</v>
      </c>
      <c r="L264">
        <v>1</v>
      </c>
      <c r="M264" t="e">
        <f t="shared" si="57"/>
        <v>#NUM!</v>
      </c>
      <c r="N264">
        <f t="shared" si="58"/>
        <v>0</v>
      </c>
      <c r="O264">
        <f t="shared" si="59"/>
        <v>0</v>
      </c>
      <c r="P264" t="e">
        <f t="shared" si="60"/>
        <v>#NUM!</v>
      </c>
      <c r="V264">
        <v>19.799999999999901</v>
      </c>
      <c r="W264">
        <f t="shared" si="62"/>
        <v>-1.2079799999999965</v>
      </c>
    </row>
    <row r="265" spans="3:23" x14ac:dyDescent="0.3">
      <c r="C265">
        <f t="shared" si="52"/>
        <v>0</v>
      </c>
      <c r="D265" s="1">
        <v>2.1000000000000001E-2</v>
      </c>
      <c r="E265" s="1">
        <v>1.41E-2</v>
      </c>
      <c r="F265">
        <f t="shared" si="53"/>
        <v>0</v>
      </c>
      <c r="G265">
        <f t="shared" si="54"/>
        <v>0</v>
      </c>
      <c r="H265">
        <f t="shared" si="55"/>
        <v>0</v>
      </c>
      <c r="I265">
        <v>1</v>
      </c>
      <c r="J265" t="e">
        <f t="shared" si="61"/>
        <v>#NUM!</v>
      </c>
      <c r="K265">
        <f t="shared" si="56"/>
        <v>-1.179910572976012</v>
      </c>
      <c r="L265">
        <v>1</v>
      </c>
      <c r="M265" t="e">
        <f t="shared" si="57"/>
        <v>#NUM!</v>
      </c>
      <c r="N265">
        <f t="shared" si="58"/>
        <v>0</v>
      </c>
      <c r="O265">
        <f t="shared" si="59"/>
        <v>0</v>
      </c>
      <c r="P265" t="e">
        <f t="shared" si="60"/>
        <v>#NUM!</v>
      </c>
      <c r="V265">
        <v>19.899999999999899</v>
      </c>
      <c r="W265">
        <f t="shared" si="62"/>
        <v>-1.2114899999999964</v>
      </c>
    </row>
    <row r="266" spans="3:23" x14ac:dyDescent="0.3">
      <c r="C266">
        <f t="shared" si="52"/>
        <v>0</v>
      </c>
      <c r="D266" s="1">
        <v>2.1000000000000001E-2</v>
      </c>
      <c r="E266" s="1">
        <v>1.41E-2</v>
      </c>
      <c r="F266">
        <f t="shared" si="53"/>
        <v>0</v>
      </c>
      <c r="G266">
        <f t="shared" si="54"/>
        <v>0</v>
      </c>
      <c r="H266">
        <f t="shared" si="55"/>
        <v>0</v>
      </c>
      <c r="I266">
        <v>1</v>
      </c>
      <c r="J266" t="e">
        <f t="shared" si="61"/>
        <v>#NUM!</v>
      </c>
      <c r="K266">
        <f t="shared" si="56"/>
        <v>-1.179910572976012</v>
      </c>
      <c r="L266">
        <v>1</v>
      </c>
      <c r="M266" t="e">
        <f t="shared" si="57"/>
        <v>#NUM!</v>
      </c>
      <c r="N266">
        <f t="shared" si="58"/>
        <v>0</v>
      </c>
      <c r="O266">
        <f t="shared" si="59"/>
        <v>0</v>
      </c>
      <c r="P266" t="e">
        <f t="shared" si="60"/>
        <v>#NUM!</v>
      </c>
      <c r="V266">
        <v>19.999999999999901</v>
      </c>
      <c r="W266">
        <f t="shared" si="62"/>
        <v>-1.2149999999999965</v>
      </c>
    </row>
    <row r="267" spans="3:23" x14ac:dyDescent="0.3">
      <c r="C267">
        <f t="shared" si="52"/>
        <v>0</v>
      </c>
      <c r="D267" s="1">
        <v>2.1000000000000001E-2</v>
      </c>
      <c r="E267" s="1">
        <v>1.41E-2</v>
      </c>
      <c r="F267">
        <f t="shared" si="53"/>
        <v>0</v>
      </c>
      <c r="G267">
        <f t="shared" si="54"/>
        <v>0</v>
      </c>
      <c r="H267">
        <f t="shared" si="55"/>
        <v>0</v>
      </c>
      <c r="I267">
        <v>1</v>
      </c>
      <c r="J267" t="e">
        <f t="shared" si="61"/>
        <v>#NUM!</v>
      </c>
      <c r="K267">
        <f t="shared" si="56"/>
        <v>-1.179910572976012</v>
      </c>
      <c r="L267">
        <v>1</v>
      </c>
      <c r="M267" t="e">
        <f t="shared" si="57"/>
        <v>#NUM!</v>
      </c>
      <c r="N267">
        <f t="shared" si="58"/>
        <v>0</v>
      </c>
      <c r="O267">
        <f t="shared" si="59"/>
        <v>0</v>
      </c>
      <c r="P267" t="e">
        <f t="shared" si="60"/>
        <v>#NUM!</v>
      </c>
      <c r="V267">
        <v>20.099999999999898</v>
      </c>
      <c r="W267">
        <f t="shared" si="62"/>
        <v>-1.2185099999999964</v>
      </c>
    </row>
    <row r="268" spans="3:23" x14ac:dyDescent="0.3">
      <c r="C268">
        <f t="shared" si="52"/>
        <v>0</v>
      </c>
      <c r="D268" s="1">
        <v>2.1000000000000001E-2</v>
      </c>
      <c r="E268" s="1">
        <v>1.41E-2</v>
      </c>
      <c r="F268">
        <f t="shared" si="53"/>
        <v>0</v>
      </c>
      <c r="G268">
        <f t="shared" si="54"/>
        <v>0</v>
      </c>
      <c r="H268">
        <f t="shared" si="55"/>
        <v>0</v>
      </c>
      <c r="I268">
        <v>1</v>
      </c>
      <c r="J268" t="e">
        <f t="shared" si="61"/>
        <v>#NUM!</v>
      </c>
      <c r="K268">
        <f t="shared" si="56"/>
        <v>-1.179910572976012</v>
      </c>
      <c r="L268">
        <v>1</v>
      </c>
      <c r="M268" t="e">
        <f t="shared" si="57"/>
        <v>#NUM!</v>
      </c>
      <c r="N268">
        <f t="shared" si="58"/>
        <v>0</v>
      </c>
      <c r="O268">
        <f t="shared" si="59"/>
        <v>0</v>
      </c>
      <c r="P268" t="e">
        <f t="shared" si="60"/>
        <v>#NUM!</v>
      </c>
      <c r="V268">
        <v>20.1999999999999</v>
      </c>
      <c r="W268">
        <f t="shared" si="62"/>
        <v>-1.2220199999999966</v>
      </c>
    </row>
    <row r="269" spans="3:23" x14ac:dyDescent="0.3">
      <c r="C269">
        <f t="shared" si="52"/>
        <v>0</v>
      </c>
      <c r="D269" s="1">
        <v>2.1000000000000001E-2</v>
      </c>
      <c r="E269" s="1">
        <v>1.41E-2</v>
      </c>
      <c r="F269">
        <f t="shared" si="53"/>
        <v>0</v>
      </c>
      <c r="G269">
        <f t="shared" si="54"/>
        <v>0</v>
      </c>
      <c r="H269">
        <f t="shared" si="55"/>
        <v>0</v>
      </c>
      <c r="I269">
        <v>1</v>
      </c>
      <c r="J269" t="e">
        <f t="shared" si="61"/>
        <v>#NUM!</v>
      </c>
      <c r="K269">
        <f t="shared" si="56"/>
        <v>-1.179910572976012</v>
      </c>
      <c r="L269">
        <v>1</v>
      </c>
      <c r="M269" t="e">
        <f t="shared" si="57"/>
        <v>#NUM!</v>
      </c>
      <c r="N269">
        <f t="shared" si="58"/>
        <v>0</v>
      </c>
      <c r="O269">
        <f t="shared" si="59"/>
        <v>0</v>
      </c>
      <c r="P269" t="e">
        <f t="shared" si="60"/>
        <v>#NUM!</v>
      </c>
      <c r="V269">
        <v>20.299999999999901</v>
      </c>
      <c r="W269">
        <f t="shared" si="62"/>
        <v>-1.2255299999999965</v>
      </c>
    </row>
    <row r="270" spans="3:23" x14ac:dyDescent="0.3">
      <c r="C270">
        <f t="shared" si="52"/>
        <v>0</v>
      </c>
      <c r="D270" s="1">
        <v>2.1000000000000001E-2</v>
      </c>
      <c r="E270" s="1">
        <v>1.41E-2</v>
      </c>
      <c r="F270">
        <f t="shared" si="53"/>
        <v>0</v>
      </c>
      <c r="G270">
        <f t="shared" si="54"/>
        <v>0</v>
      </c>
      <c r="H270">
        <f t="shared" si="55"/>
        <v>0</v>
      </c>
      <c r="I270">
        <v>1</v>
      </c>
      <c r="J270" t="e">
        <f t="shared" si="61"/>
        <v>#NUM!</v>
      </c>
      <c r="K270">
        <f t="shared" si="56"/>
        <v>-1.179910572976012</v>
      </c>
      <c r="L270">
        <v>1</v>
      </c>
      <c r="M270" t="e">
        <f t="shared" si="57"/>
        <v>#NUM!</v>
      </c>
      <c r="N270">
        <f t="shared" si="58"/>
        <v>0</v>
      </c>
      <c r="O270">
        <f t="shared" si="59"/>
        <v>0</v>
      </c>
      <c r="P270" t="e">
        <f t="shared" si="60"/>
        <v>#NUM!</v>
      </c>
      <c r="V270">
        <v>20.399999999999899</v>
      </c>
      <c r="W270">
        <f t="shared" si="62"/>
        <v>-1.2290399999999964</v>
      </c>
    </row>
    <row r="271" spans="3:23" x14ac:dyDescent="0.3">
      <c r="C271">
        <f t="shared" si="52"/>
        <v>0</v>
      </c>
      <c r="D271" s="1">
        <v>2.1000000000000001E-2</v>
      </c>
      <c r="E271" s="1">
        <v>1.41E-2</v>
      </c>
      <c r="F271">
        <f t="shared" si="53"/>
        <v>0</v>
      </c>
      <c r="G271">
        <f t="shared" si="54"/>
        <v>0</v>
      </c>
      <c r="H271">
        <f t="shared" si="55"/>
        <v>0</v>
      </c>
      <c r="I271">
        <v>1</v>
      </c>
      <c r="J271" t="e">
        <f t="shared" si="61"/>
        <v>#NUM!</v>
      </c>
      <c r="K271">
        <f t="shared" si="56"/>
        <v>-1.179910572976012</v>
      </c>
      <c r="L271">
        <v>1</v>
      </c>
      <c r="M271" t="e">
        <f t="shared" si="57"/>
        <v>#NUM!</v>
      </c>
      <c r="N271">
        <f t="shared" si="58"/>
        <v>0</v>
      </c>
      <c r="O271">
        <f t="shared" si="59"/>
        <v>0</v>
      </c>
      <c r="P271" t="e">
        <f t="shared" si="60"/>
        <v>#NUM!</v>
      </c>
      <c r="V271">
        <v>20.499999999999901</v>
      </c>
      <c r="W271">
        <f t="shared" si="62"/>
        <v>-1.2325499999999965</v>
      </c>
    </row>
    <row r="272" spans="3:23" x14ac:dyDescent="0.3">
      <c r="C272">
        <f t="shared" si="52"/>
        <v>0</v>
      </c>
      <c r="D272" s="1">
        <v>2.1000000000000001E-2</v>
      </c>
      <c r="E272" s="1">
        <v>1.41E-2</v>
      </c>
      <c r="F272">
        <f t="shared" si="53"/>
        <v>0</v>
      </c>
      <c r="G272">
        <f t="shared" si="54"/>
        <v>0</v>
      </c>
      <c r="H272">
        <f t="shared" si="55"/>
        <v>0</v>
      </c>
      <c r="I272">
        <v>1</v>
      </c>
      <c r="J272" t="e">
        <f t="shared" si="61"/>
        <v>#NUM!</v>
      </c>
      <c r="K272">
        <f t="shared" si="56"/>
        <v>-1.179910572976012</v>
      </c>
      <c r="L272">
        <v>1</v>
      </c>
      <c r="M272" t="e">
        <f t="shared" si="57"/>
        <v>#NUM!</v>
      </c>
      <c r="N272">
        <f t="shared" si="58"/>
        <v>0</v>
      </c>
      <c r="O272">
        <f t="shared" si="59"/>
        <v>0</v>
      </c>
      <c r="P272" t="e">
        <f t="shared" si="60"/>
        <v>#NUM!</v>
      </c>
      <c r="V272">
        <v>20.599999999999898</v>
      </c>
      <c r="W272">
        <f t="shared" si="62"/>
        <v>-1.2360599999999964</v>
      </c>
    </row>
    <row r="273" spans="3:23" x14ac:dyDescent="0.3">
      <c r="C273">
        <f t="shared" si="52"/>
        <v>0</v>
      </c>
      <c r="D273" s="1">
        <v>2.1000000000000001E-2</v>
      </c>
      <c r="E273" s="1">
        <v>1.41E-2</v>
      </c>
      <c r="F273">
        <f t="shared" si="53"/>
        <v>0</v>
      </c>
      <c r="G273">
        <f t="shared" si="54"/>
        <v>0</v>
      </c>
      <c r="H273">
        <f t="shared" si="55"/>
        <v>0</v>
      </c>
      <c r="I273">
        <v>1</v>
      </c>
      <c r="J273" t="e">
        <f t="shared" si="61"/>
        <v>#NUM!</v>
      </c>
      <c r="K273">
        <f t="shared" si="56"/>
        <v>-1.179910572976012</v>
      </c>
      <c r="L273">
        <v>1</v>
      </c>
      <c r="M273" t="e">
        <f t="shared" si="57"/>
        <v>#NUM!</v>
      </c>
      <c r="N273">
        <f t="shared" si="58"/>
        <v>0</v>
      </c>
      <c r="O273">
        <f t="shared" si="59"/>
        <v>0</v>
      </c>
      <c r="P273" t="e">
        <f t="shared" si="60"/>
        <v>#NUM!</v>
      </c>
      <c r="V273">
        <v>20.6999999999999</v>
      </c>
      <c r="W273">
        <f t="shared" si="62"/>
        <v>-1.2395699999999965</v>
      </c>
    </row>
    <row r="274" spans="3:23" x14ac:dyDescent="0.3">
      <c r="C274">
        <f t="shared" si="52"/>
        <v>0</v>
      </c>
      <c r="D274" s="1">
        <v>2.1000000000000001E-2</v>
      </c>
      <c r="E274" s="1">
        <v>1.41E-2</v>
      </c>
      <c r="F274">
        <f t="shared" si="53"/>
        <v>0</v>
      </c>
      <c r="G274">
        <f t="shared" si="54"/>
        <v>0</v>
      </c>
      <c r="H274">
        <f t="shared" si="55"/>
        <v>0</v>
      </c>
      <c r="I274">
        <v>1</v>
      </c>
      <c r="J274" t="e">
        <f t="shared" si="61"/>
        <v>#NUM!</v>
      </c>
      <c r="K274">
        <f t="shared" si="56"/>
        <v>-1.179910572976012</v>
      </c>
      <c r="L274">
        <v>1</v>
      </c>
      <c r="M274" t="e">
        <f t="shared" si="57"/>
        <v>#NUM!</v>
      </c>
      <c r="N274">
        <f t="shared" si="58"/>
        <v>0</v>
      </c>
      <c r="O274">
        <f t="shared" si="59"/>
        <v>0</v>
      </c>
      <c r="P274" t="e">
        <f t="shared" si="60"/>
        <v>#NUM!</v>
      </c>
      <c r="V274">
        <v>20.799999999999901</v>
      </c>
      <c r="W274">
        <f t="shared" si="62"/>
        <v>-1.2430799999999964</v>
      </c>
    </row>
    <row r="275" spans="3:23" x14ac:dyDescent="0.3">
      <c r="C275">
        <f t="shared" si="52"/>
        <v>0</v>
      </c>
      <c r="D275" s="1">
        <v>2.1000000000000001E-2</v>
      </c>
      <c r="E275" s="1">
        <v>1.41E-2</v>
      </c>
      <c r="F275">
        <f t="shared" si="53"/>
        <v>0</v>
      </c>
      <c r="G275">
        <f t="shared" si="54"/>
        <v>0</v>
      </c>
      <c r="H275">
        <f t="shared" si="55"/>
        <v>0</v>
      </c>
      <c r="I275">
        <v>1</v>
      </c>
      <c r="J275" t="e">
        <f t="shared" si="61"/>
        <v>#NUM!</v>
      </c>
      <c r="K275">
        <f t="shared" si="56"/>
        <v>-1.179910572976012</v>
      </c>
      <c r="L275">
        <v>1</v>
      </c>
      <c r="M275" t="e">
        <f t="shared" si="57"/>
        <v>#NUM!</v>
      </c>
      <c r="N275">
        <f t="shared" si="58"/>
        <v>0</v>
      </c>
      <c r="O275">
        <f t="shared" si="59"/>
        <v>0</v>
      </c>
      <c r="P275" t="e">
        <f t="shared" si="60"/>
        <v>#NUM!</v>
      </c>
      <c r="V275">
        <v>20.899999999999899</v>
      </c>
      <c r="W275">
        <f t="shared" si="62"/>
        <v>-1.2465899999999963</v>
      </c>
    </row>
    <row r="276" spans="3:23" x14ac:dyDescent="0.3">
      <c r="C276">
        <f t="shared" ref="C276:C303" si="63">A276*B276</f>
        <v>0</v>
      </c>
      <c r="D276" s="1">
        <v>2.1000000000000001E-2</v>
      </c>
      <c r="E276" s="1">
        <v>1.41E-2</v>
      </c>
      <c r="F276">
        <f t="shared" ref="F276:F303" si="64">A276*200</f>
        <v>0</v>
      </c>
      <c r="G276">
        <f t="shared" ref="G276:G303" si="65">-B276</f>
        <v>0</v>
      </c>
      <c r="H276">
        <f t="shared" ref="H276:H303" si="66">-C276*200</f>
        <v>0</v>
      </c>
      <c r="I276">
        <v>1</v>
      </c>
      <c r="J276" t="e">
        <f t="shared" si="61"/>
        <v>#NUM!</v>
      </c>
      <c r="K276">
        <f t="shared" ref="K276:K303" si="67">((-G276)-$N$2)</f>
        <v>-1.179910572976012</v>
      </c>
      <c r="L276">
        <v>1</v>
      </c>
      <c r="M276" t="e">
        <f t="shared" ref="M276:M303" si="68">-1*($S$4+($S$5*J276))</f>
        <v>#NUM!</v>
      </c>
      <c r="N276">
        <f t="shared" ref="N276:N303" si="69">D276*A276</f>
        <v>0</v>
      </c>
      <c r="O276">
        <f t="shared" ref="O276:O303" si="70">E276*A276</f>
        <v>0</v>
      </c>
      <c r="P276" t="e">
        <f t="shared" ref="P276:P303" si="71">-K276-M276-N276-O276</f>
        <v>#NUM!</v>
      </c>
      <c r="V276">
        <v>20.999999999999901</v>
      </c>
      <c r="W276">
        <f t="shared" si="62"/>
        <v>-1.2500999999999967</v>
      </c>
    </row>
    <row r="277" spans="3:23" x14ac:dyDescent="0.3">
      <c r="C277">
        <f t="shared" si="63"/>
        <v>0</v>
      </c>
      <c r="D277" s="1">
        <v>2.1000000000000001E-2</v>
      </c>
      <c r="E277" s="1">
        <v>1.41E-2</v>
      </c>
      <c r="F277">
        <f t="shared" si="64"/>
        <v>0</v>
      </c>
      <c r="G277">
        <f t="shared" si="65"/>
        <v>0</v>
      </c>
      <c r="H277">
        <f t="shared" si="66"/>
        <v>0</v>
      </c>
      <c r="I277">
        <v>1</v>
      </c>
      <c r="J277" t="e">
        <f t="shared" si="61"/>
        <v>#NUM!</v>
      </c>
      <c r="K277">
        <f t="shared" si="67"/>
        <v>-1.179910572976012</v>
      </c>
      <c r="L277">
        <v>1</v>
      </c>
      <c r="M277" t="e">
        <f t="shared" si="68"/>
        <v>#NUM!</v>
      </c>
      <c r="N277">
        <f t="shared" si="69"/>
        <v>0</v>
      </c>
      <c r="O277">
        <f t="shared" si="70"/>
        <v>0</v>
      </c>
      <c r="P277" t="e">
        <f t="shared" si="71"/>
        <v>#NUM!</v>
      </c>
      <c r="V277">
        <v>21.099999999999898</v>
      </c>
      <c r="W277">
        <f t="shared" si="62"/>
        <v>-1.2536099999999966</v>
      </c>
    </row>
    <row r="278" spans="3:23" x14ac:dyDescent="0.3">
      <c r="C278">
        <f t="shared" si="63"/>
        <v>0</v>
      </c>
      <c r="D278" s="1">
        <v>2.1000000000000001E-2</v>
      </c>
      <c r="E278" s="1">
        <v>1.41E-2</v>
      </c>
      <c r="F278">
        <f t="shared" si="64"/>
        <v>0</v>
      </c>
      <c r="G278">
        <f t="shared" si="65"/>
        <v>0</v>
      </c>
      <c r="H278">
        <f t="shared" si="66"/>
        <v>0</v>
      </c>
      <c r="I278">
        <v>1</v>
      </c>
      <c r="J278" t="e">
        <f t="shared" si="61"/>
        <v>#NUM!</v>
      </c>
      <c r="K278">
        <f t="shared" si="67"/>
        <v>-1.179910572976012</v>
      </c>
      <c r="L278">
        <v>1</v>
      </c>
      <c r="M278" t="e">
        <f t="shared" si="68"/>
        <v>#NUM!</v>
      </c>
      <c r="N278">
        <f t="shared" si="69"/>
        <v>0</v>
      </c>
      <c r="O278">
        <f t="shared" si="70"/>
        <v>0</v>
      </c>
      <c r="P278" t="e">
        <f t="shared" si="71"/>
        <v>#NUM!</v>
      </c>
      <c r="V278">
        <v>21.1999999999999</v>
      </c>
      <c r="W278">
        <f t="shared" si="62"/>
        <v>-1.2571199999999965</v>
      </c>
    </row>
    <row r="279" spans="3:23" x14ac:dyDescent="0.3">
      <c r="C279">
        <f t="shared" si="63"/>
        <v>0</v>
      </c>
      <c r="D279" s="1">
        <v>2.1000000000000001E-2</v>
      </c>
      <c r="E279" s="1">
        <v>1.41E-2</v>
      </c>
      <c r="F279">
        <f t="shared" si="64"/>
        <v>0</v>
      </c>
      <c r="G279">
        <f t="shared" si="65"/>
        <v>0</v>
      </c>
      <c r="H279">
        <f t="shared" si="66"/>
        <v>0</v>
      </c>
      <c r="I279">
        <v>1</v>
      </c>
      <c r="J279" t="e">
        <f t="shared" si="61"/>
        <v>#NUM!</v>
      </c>
      <c r="K279">
        <f t="shared" si="67"/>
        <v>-1.179910572976012</v>
      </c>
      <c r="L279">
        <v>1</v>
      </c>
      <c r="M279" t="e">
        <f t="shared" si="68"/>
        <v>#NUM!</v>
      </c>
      <c r="N279">
        <f t="shared" si="69"/>
        <v>0</v>
      </c>
      <c r="O279">
        <f t="shared" si="70"/>
        <v>0</v>
      </c>
      <c r="P279" t="e">
        <f t="shared" si="71"/>
        <v>#NUM!</v>
      </c>
      <c r="V279">
        <v>21.299999999999901</v>
      </c>
      <c r="W279">
        <f t="shared" si="62"/>
        <v>-1.2606299999999964</v>
      </c>
    </row>
    <row r="280" spans="3:23" x14ac:dyDescent="0.3">
      <c r="C280">
        <f t="shared" si="63"/>
        <v>0</v>
      </c>
      <c r="D280" s="1">
        <v>2.1000000000000001E-2</v>
      </c>
      <c r="E280" s="1">
        <v>1.41E-2</v>
      </c>
      <c r="F280">
        <f t="shared" si="64"/>
        <v>0</v>
      </c>
      <c r="G280">
        <f t="shared" si="65"/>
        <v>0</v>
      </c>
      <c r="H280">
        <f t="shared" si="66"/>
        <v>0</v>
      </c>
      <c r="I280">
        <v>1</v>
      </c>
      <c r="J280" t="e">
        <f t="shared" si="61"/>
        <v>#NUM!</v>
      </c>
      <c r="K280">
        <f t="shared" si="67"/>
        <v>-1.179910572976012</v>
      </c>
      <c r="L280">
        <v>1</v>
      </c>
      <c r="M280" t="e">
        <f t="shared" si="68"/>
        <v>#NUM!</v>
      </c>
      <c r="N280">
        <f t="shared" si="69"/>
        <v>0</v>
      </c>
      <c r="O280">
        <f t="shared" si="70"/>
        <v>0</v>
      </c>
      <c r="P280" t="e">
        <f t="shared" si="71"/>
        <v>#NUM!</v>
      </c>
      <c r="V280">
        <v>21.399999999999899</v>
      </c>
      <c r="W280">
        <f t="shared" si="62"/>
        <v>-1.2641399999999965</v>
      </c>
    </row>
    <row r="281" spans="3:23" x14ac:dyDescent="0.3">
      <c r="C281">
        <f t="shared" si="63"/>
        <v>0</v>
      </c>
      <c r="D281" s="1">
        <v>2.1000000000000001E-2</v>
      </c>
      <c r="E281" s="1">
        <v>1.41E-2</v>
      </c>
      <c r="F281">
        <f t="shared" si="64"/>
        <v>0</v>
      </c>
      <c r="G281">
        <f t="shared" si="65"/>
        <v>0</v>
      </c>
      <c r="H281">
        <f t="shared" si="66"/>
        <v>0</v>
      </c>
      <c r="I281">
        <v>1</v>
      </c>
      <c r="J281" t="e">
        <f t="shared" si="61"/>
        <v>#NUM!</v>
      </c>
      <c r="K281">
        <f t="shared" si="67"/>
        <v>-1.179910572976012</v>
      </c>
      <c r="L281">
        <v>1</v>
      </c>
      <c r="M281" t="e">
        <f t="shared" si="68"/>
        <v>#NUM!</v>
      </c>
      <c r="N281">
        <f t="shared" si="69"/>
        <v>0</v>
      </c>
      <c r="O281">
        <f t="shared" si="70"/>
        <v>0</v>
      </c>
      <c r="P281" t="e">
        <f t="shared" si="71"/>
        <v>#NUM!</v>
      </c>
      <c r="V281">
        <v>21.499999999999901</v>
      </c>
      <c r="W281">
        <f t="shared" si="62"/>
        <v>-1.2676499999999966</v>
      </c>
    </row>
    <row r="282" spans="3:23" x14ac:dyDescent="0.3">
      <c r="C282">
        <f t="shared" si="63"/>
        <v>0</v>
      </c>
      <c r="D282" s="1">
        <v>2.1000000000000001E-2</v>
      </c>
      <c r="E282" s="1">
        <v>1.41E-2</v>
      </c>
      <c r="F282">
        <f t="shared" si="64"/>
        <v>0</v>
      </c>
      <c r="G282">
        <f t="shared" si="65"/>
        <v>0</v>
      </c>
      <c r="H282">
        <f t="shared" si="66"/>
        <v>0</v>
      </c>
      <c r="I282">
        <v>1</v>
      </c>
      <c r="J282" t="e">
        <f t="shared" si="61"/>
        <v>#NUM!</v>
      </c>
      <c r="K282">
        <f t="shared" si="67"/>
        <v>-1.179910572976012</v>
      </c>
      <c r="L282">
        <v>1</v>
      </c>
      <c r="M282" t="e">
        <f t="shared" si="68"/>
        <v>#NUM!</v>
      </c>
      <c r="N282">
        <f t="shared" si="69"/>
        <v>0</v>
      </c>
      <c r="O282">
        <f t="shared" si="70"/>
        <v>0</v>
      </c>
      <c r="P282" t="e">
        <f t="shared" si="71"/>
        <v>#NUM!</v>
      </c>
      <c r="V282">
        <v>21.599999999999898</v>
      </c>
      <c r="W282">
        <f t="shared" si="62"/>
        <v>-1.2711599999999965</v>
      </c>
    </row>
    <row r="283" spans="3:23" x14ac:dyDescent="0.3">
      <c r="C283">
        <f t="shared" si="63"/>
        <v>0</v>
      </c>
      <c r="D283" s="1">
        <v>2.1000000000000001E-2</v>
      </c>
      <c r="E283" s="1">
        <v>1.41E-2</v>
      </c>
      <c r="F283">
        <f t="shared" si="64"/>
        <v>0</v>
      </c>
      <c r="G283">
        <f t="shared" si="65"/>
        <v>0</v>
      </c>
      <c r="H283">
        <f t="shared" si="66"/>
        <v>0</v>
      </c>
      <c r="I283">
        <v>1</v>
      </c>
      <c r="J283" t="e">
        <f t="shared" si="61"/>
        <v>#NUM!</v>
      </c>
      <c r="K283">
        <f t="shared" si="67"/>
        <v>-1.179910572976012</v>
      </c>
      <c r="L283">
        <v>1</v>
      </c>
      <c r="M283" t="e">
        <f t="shared" si="68"/>
        <v>#NUM!</v>
      </c>
      <c r="N283">
        <f t="shared" si="69"/>
        <v>0</v>
      </c>
      <c r="O283">
        <f t="shared" si="70"/>
        <v>0</v>
      </c>
      <c r="P283" t="e">
        <f t="shared" si="71"/>
        <v>#NUM!</v>
      </c>
      <c r="V283">
        <v>21.6999999999999</v>
      </c>
      <c r="W283">
        <f t="shared" si="62"/>
        <v>-1.2746699999999964</v>
      </c>
    </row>
    <row r="284" spans="3:23" x14ac:dyDescent="0.3">
      <c r="C284">
        <f t="shared" si="63"/>
        <v>0</v>
      </c>
      <c r="D284" s="1">
        <v>2.1000000000000001E-2</v>
      </c>
      <c r="E284" s="1">
        <v>1.41E-2</v>
      </c>
      <c r="F284">
        <f t="shared" si="64"/>
        <v>0</v>
      </c>
      <c r="G284">
        <f t="shared" si="65"/>
        <v>0</v>
      </c>
      <c r="H284">
        <f t="shared" si="66"/>
        <v>0</v>
      </c>
      <c r="I284">
        <v>1</v>
      </c>
      <c r="J284" t="e">
        <f t="shared" si="61"/>
        <v>#NUM!</v>
      </c>
      <c r="K284">
        <f t="shared" si="67"/>
        <v>-1.179910572976012</v>
      </c>
      <c r="L284">
        <v>1</v>
      </c>
      <c r="M284" t="e">
        <f t="shared" si="68"/>
        <v>#NUM!</v>
      </c>
      <c r="N284">
        <f t="shared" si="69"/>
        <v>0</v>
      </c>
      <c r="O284">
        <f t="shared" si="70"/>
        <v>0</v>
      </c>
      <c r="P284" t="e">
        <f t="shared" si="71"/>
        <v>#NUM!</v>
      </c>
      <c r="V284">
        <v>21.799999999999901</v>
      </c>
      <c r="W284">
        <f t="shared" si="62"/>
        <v>-1.2781799999999965</v>
      </c>
    </row>
    <row r="285" spans="3:23" x14ac:dyDescent="0.3">
      <c r="C285">
        <f t="shared" si="63"/>
        <v>0</v>
      </c>
      <c r="D285" s="1">
        <v>2.1000000000000001E-2</v>
      </c>
      <c r="E285" s="1">
        <v>1.41E-2</v>
      </c>
      <c r="F285">
        <f t="shared" si="64"/>
        <v>0</v>
      </c>
      <c r="G285">
        <f t="shared" si="65"/>
        <v>0</v>
      </c>
      <c r="H285">
        <f t="shared" si="66"/>
        <v>0</v>
      </c>
      <c r="I285">
        <v>1</v>
      </c>
      <c r="J285" t="e">
        <f t="shared" si="61"/>
        <v>#NUM!</v>
      </c>
      <c r="K285">
        <f t="shared" si="67"/>
        <v>-1.179910572976012</v>
      </c>
      <c r="L285">
        <v>1</v>
      </c>
      <c r="M285" t="e">
        <f t="shared" si="68"/>
        <v>#NUM!</v>
      </c>
      <c r="N285">
        <f t="shared" si="69"/>
        <v>0</v>
      </c>
      <c r="O285">
        <f t="shared" si="70"/>
        <v>0</v>
      </c>
      <c r="P285" t="e">
        <f t="shared" si="71"/>
        <v>#NUM!</v>
      </c>
      <c r="V285">
        <v>21.899999999999899</v>
      </c>
      <c r="W285">
        <f t="shared" si="62"/>
        <v>-1.2816899999999964</v>
      </c>
    </row>
    <row r="286" spans="3:23" x14ac:dyDescent="0.3">
      <c r="C286">
        <f t="shared" si="63"/>
        <v>0</v>
      </c>
      <c r="D286" s="1">
        <v>2.1000000000000001E-2</v>
      </c>
      <c r="E286" s="1">
        <v>1.41E-2</v>
      </c>
      <c r="F286">
        <f t="shared" si="64"/>
        <v>0</v>
      </c>
      <c r="G286">
        <f t="shared" si="65"/>
        <v>0</v>
      </c>
      <c r="H286">
        <f t="shared" si="66"/>
        <v>0</v>
      </c>
      <c r="I286">
        <v>1</v>
      </c>
      <c r="J286" t="e">
        <f t="shared" si="61"/>
        <v>#NUM!</v>
      </c>
      <c r="K286">
        <f t="shared" si="67"/>
        <v>-1.179910572976012</v>
      </c>
      <c r="L286">
        <v>1</v>
      </c>
      <c r="M286" t="e">
        <f t="shared" si="68"/>
        <v>#NUM!</v>
      </c>
      <c r="N286">
        <f t="shared" si="69"/>
        <v>0</v>
      </c>
      <c r="O286">
        <f t="shared" si="70"/>
        <v>0</v>
      </c>
      <c r="P286" t="e">
        <f t="shared" si="71"/>
        <v>#NUM!</v>
      </c>
      <c r="V286">
        <v>21.999999999999901</v>
      </c>
      <c r="W286">
        <f t="shared" si="62"/>
        <v>-1.2851999999999966</v>
      </c>
    </row>
    <row r="287" spans="3:23" x14ac:dyDescent="0.3">
      <c r="C287">
        <f t="shared" si="63"/>
        <v>0</v>
      </c>
      <c r="D287" s="1">
        <v>2.1000000000000001E-2</v>
      </c>
      <c r="E287" s="1">
        <v>1.41E-2</v>
      </c>
      <c r="F287">
        <f t="shared" si="64"/>
        <v>0</v>
      </c>
      <c r="G287">
        <f t="shared" si="65"/>
        <v>0</v>
      </c>
      <c r="H287">
        <f t="shared" si="66"/>
        <v>0</v>
      </c>
      <c r="I287">
        <v>1</v>
      </c>
      <c r="J287" t="e">
        <f t="shared" si="61"/>
        <v>#NUM!</v>
      </c>
      <c r="K287">
        <f t="shared" si="67"/>
        <v>-1.179910572976012</v>
      </c>
      <c r="L287">
        <v>1</v>
      </c>
      <c r="M287" t="e">
        <f t="shared" si="68"/>
        <v>#NUM!</v>
      </c>
      <c r="N287">
        <f t="shared" si="69"/>
        <v>0</v>
      </c>
      <c r="O287">
        <f t="shared" si="70"/>
        <v>0</v>
      </c>
      <c r="P287" t="e">
        <f t="shared" si="71"/>
        <v>#NUM!</v>
      </c>
      <c r="V287">
        <v>22.099999999999898</v>
      </c>
      <c r="W287">
        <f t="shared" si="62"/>
        <v>-1.2887099999999965</v>
      </c>
    </row>
    <row r="288" spans="3:23" x14ac:dyDescent="0.3">
      <c r="C288">
        <f t="shared" si="63"/>
        <v>0</v>
      </c>
      <c r="D288" s="1">
        <v>2.1000000000000001E-2</v>
      </c>
      <c r="E288" s="1">
        <v>1.41E-2</v>
      </c>
      <c r="F288">
        <f t="shared" si="64"/>
        <v>0</v>
      </c>
      <c r="G288">
        <f t="shared" si="65"/>
        <v>0</v>
      </c>
      <c r="H288">
        <f t="shared" si="66"/>
        <v>0</v>
      </c>
      <c r="I288">
        <v>1</v>
      </c>
      <c r="J288" t="e">
        <f t="shared" si="61"/>
        <v>#NUM!</v>
      </c>
      <c r="K288">
        <f t="shared" si="67"/>
        <v>-1.179910572976012</v>
      </c>
      <c r="L288">
        <v>1</v>
      </c>
      <c r="M288" t="e">
        <f t="shared" si="68"/>
        <v>#NUM!</v>
      </c>
      <c r="N288">
        <f t="shared" si="69"/>
        <v>0</v>
      </c>
      <c r="O288">
        <f t="shared" si="70"/>
        <v>0</v>
      </c>
      <c r="P288" t="e">
        <f t="shared" si="71"/>
        <v>#NUM!</v>
      </c>
      <c r="V288">
        <v>22.1999999999999</v>
      </c>
      <c r="W288">
        <f t="shared" si="62"/>
        <v>-1.2922199999999964</v>
      </c>
    </row>
    <row r="289" spans="3:23" x14ac:dyDescent="0.3">
      <c r="C289">
        <f t="shared" si="63"/>
        <v>0</v>
      </c>
      <c r="D289" s="1">
        <v>2.1000000000000001E-2</v>
      </c>
      <c r="E289" s="1">
        <v>1.41E-2</v>
      </c>
      <c r="F289">
        <f t="shared" si="64"/>
        <v>0</v>
      </c>
      <c r="G289">
        <f t="shared" si="65"/>
        <v>0</v>
      </c>
      <c r="H289">
        <f t="shared" si="66"/>
        <v>0</v>
      </c>
      <c r="I289">
        <v>1</v>
      </c>
      <c r="J289" t="e">
        <f t="shared" si="61"/>
        <v>#NUM!</v>
      </c>
      <c r="K289">
        <f t="shared" si="67"/>
        <v>-1.179910572976012</v>
      </c>
      <c r="L289">
        <v>1</v>
      </c>
      <c r="M289" t="e">
        <f t="shared" si="68"/>
        <v>#NUM!</v>
      </c>
      <c r="N289">
        <f t="shared" si="69"/>
        <v>0</v>
      </c>
      <c r="O289">
        <f t="shared" si="70"/>
        <v>0</v>
      </c>
      <c r="P289" t="e">
        <f t="shared" si="71"/>
        <v>#NUM!</v>
      </c>
      <c r="V289">
        <v>22.299999999999901</v>
      </c>
      <c r="W289">
        <f t="shared" si="62"/>
        <v>-1.2957299999999965</v>
      </c>
    </row>
    <row r="290" spans="3:23" x14ac:dyDescent="0.3">
      <c r="C290">
        <f t="shared" si="63"/>
        <v>0</v>
      </c>
      <c r="D290" s="1">
        <v>2.1000000000000001E-2</v>
      </c>
      <c r="E290" s="1">
        <v>1.41E-2</v>
      </c>
      <c r="F290">
        <f t="shared" si="64"/>
        <v>0</v>
      </c>
      <c r="G290">
        <f t="shared" si="65"/>
        <v>0</v>
      </c>
      <c r="H290">
        <f t="shared" si="66"/>
        <v>0</v>
      </c>
      <c r="I290">
        <v>1</v>
      </c>
      <c r="J290" t="e">
        <f t="shared" si="61"/>
        <v>#NUM!</v>
      </c>
      <c r="K290">
        <f t="shared" si="67"/>
        <v>-1.179910572976012</v>
      </c>
      <c r="L290">
        <v>1</v>
      </c>
      <c r="M290" t="e">
        <f t="shared" si="68"/>
        <v>#NUM!</v>
      </c>
      <c r="N290">
        <f t="shared" si="69"/>
        <v>0</v>
      </c>
      <c r="O290">
        <f t="shared" si="70"/>
        <v>0</v>
      </c>
      <c r="P290" t="e">
        <f t="shared" si="71"/>
        <v>#NUM!</v>
      </c>
      <c r="V290">
        <v>22.399999999999899</v>
      </c>
      <c r="W290">
        <f t="shared" si="62"/>
        <v>-1.2992399999999966</v>
      </c>
    </row>
    <row r="291" spans="3:23" x14ac:dyDescent="0.3">
      <c r="C291">
        <f t="shared" si="63"/>
        <v>0</v>
      </c>
      <c r="D291" s="1">
        <v>2.1000000000000001E-2</v>
      </c>
      <c r="E291" s="1">
        <v>1.41E-2</v>
      </c>
      <c r="F291">
        <f t="shared" si="64"/>
        <v>0</v>
      </c>
      <c r="G291">
        <f t="shared" si="65"/>
        <v>0</v>
      </c>
      <c r="H291">
        <f t="shared" si="66"/>
        <v>0</v>
      </c>
      <c r="I291">
        <v>1</v>
      </c>
      <c r="J291" t="e">
        <f t="shared" si="61"/>
        <v>#NUM!</v>
      </c>
      <c r="K291">
        <f t="shared" si="67"/>
        <v>-1.179910572976012</v>
      </c>
      <c r="L291">
        <v>1</v>
      </c>
      <c r="M291" t="e">
        <f t="shared" si="68"/>
        <v>#NUM!</v>
      </c>
      <c r="N291">
        <f t="shared" si="69"/>
        <v>0</v>
      </c>
      <c r="O291">
        <f t="shared" si="70"/>
        <v>0</v>
      </c>
      <c r="P291" t="e">
        <f t="shared" si="71"/>
        <v>#NUM!</v>
      </c>
      <c r="V291">
        <v>22.499999999999901</v>
      </c>
      <c r="W291">
        <f t="shared" si="62"/>
        <v>-1.3027499999999965</v>
      </c>
    </row>
    <row r="292" spans="3:23" x14ac:dyDescent="0.3">
      <c r="C292">
        <f t="shared" si="63"/>
        <v>0</v>
      </c>
      <c r="D292" s="1">
        <v>2.1000000000000001E-2</v>
      </c>
      <c r="E292" s="1">
        <v>1.41E-2</v>
      </c>
      <c r="F292">
        <f t="shared" si="64"/>
        <v>0</v>
      </c>
      <c r="G292">
        <f t="shared" si="65"/>
        <v>0</v>
      </c>
      <c r="H292">
        <f t="shared" si="66"/>
        <v>0</v>
      </c>
      <c r="I292">
        <v>1</v>
      </c>
      <c r="J292" t="e">
        <f t="shared" si="61"/>
        <v>#NUM!</v>
      </c>
      <c r="K292">
        <f t="shared" si="67"/>
        <v>-1.179910572976012</v>
      </c>
      <c r="L292">
        <v>1</v>
      </c>
      <c r="M292" t="e">
        <f t="shared" si="68"/>
        <v>#NUM!</v>
      </c>
      <c r="N292">
        <f t="shared" si="69"/>
        <v>0</v>
      </c>
      <c r="O292">
        <f t="shared" si="70"/>
        <v>0</v>
      </c>
      <c r="P292" t="e">
        <f t="shared" si="71"/>
        <v>#NUM!</v>
      </c>
      <c r="V292">
        <v>22.599999999999898</v>
      </c>
      <c r="W292">
        <f t="shared" si="62"/>
        <v>-1.3062599999999964</v>
      </c>
    </row>
    <row r="293" spans="3:23" x14ac:dyDescent="0.3">
      <c r="C293">
        <f t="shared" si="63"/>
        <v>0</v>
      </c>
      <c r="D293" s="1">
        <v>2.1000000000000001E-2</v>
      </c>
      <c r="E293" s="1">
        <v>1.41E-2</v>
      </c>
      <c r="F293">
        <f t="shared" si="64"/>
        <v>0</v>
      </c>
      <c r="G293">
        <f t="shared" si="65"/>
        <v>0</v>
      </c>
      <c r="H293">
        <f t="shared" si="66"/>
        <v>0</v>
      </c>
      <c r="I293">
        <v>1</v>
      </c>
      <c r="J293" t="e">
        <f t="shared" si="61"/>
        <v>#NUM!</v>
      </c>
      <c r="K293">
        <f t="shared" si="67"/>
        <v>-1.179910572976012</v>
      </c>
      <c r="L293">
        <v>1</v>
      </c>
      <c r="M293" t="e">
        <f t="shared" si="68"/>
        <v>#NUM!</v>
      </c>
      <c r="N293">
        <f t="shared" si="69"/>
        <v>0</v>
      </c>
      <c r="O293">
        <f t="shared" si="70"/>
        <v>0</v>
      </c>
      <c r="P293" t="e">
        <f t="shared" si="71"/>
        <v>#NUM!</v>
      </c>
      <c r="V293">
        <v>22.6999999999999</v>
      </c>
      <c r="W293">
        <f t="shared" si="62"/>
        <v>-1.3097699999999963</v>
      </c>
    </row>
    <row r="294" spans="3:23" x14ac:dyDescent="0.3">
      <c r="C294">
        <f t="shared" si="63"/>
        <v>0</v>
      </c>
      <c r="D294" s="1">
        <v>2.1000000000000001E-2</v>
      </c>
      <c r="E294" s="1">
        <v>1.41E-2</v>
      </c>
      <c r="F294">
        <f t="shared" si="64"/>
        <v>0</v>
      </c>
      <c r="G294">
        <f t="shared" si="65"/>
        <v>0</v>
      </c>
      <c r="H294">
        <f t="shared" si="66"/>
        <v>0</v>
      </c>
      <c r="I294">
        <v>1</v>
      </c>
      <c r="J294" t="e">
        <f t="shared" si="61"/>
        <v>#NUM!</v>
      </c>
      <c r="K294">
        <f t="shared" si="67"/>
        <v>-1.179910572976012</v>
      </c>
      <c r="L294">
        <v>1</v>
      </c>
      <c r="M294" t="e">
        <f t="shared" si="68"/>
        <v>#NUM!</v>
      </c>
      <c r="N294">
        <f t="shared" si="69"/>
        <v>0</v>
      </c>
      <c r="O294">
        <f t="shared" si="70"/>
        <v>0</v>
      </c>
      <c r="P294" t="e">
        <f t="shared" si="71"/>
        <v>#NUM!</v>
      </c>
      <c r="V294">
        <v>22.799999999999901</v>
      </c>
      <c r="W294">
        <f t="shared" si="62"/>
        <v>-1.3132799999999967</v>
      </c>
    </row>
    <row r="295" spans="3:23" x14ac:dyDescent="0.3">
      <c r="C295">
        <f t="shared" si="63"/>
        <v>0</v>
      </c>
      <c r="D295" s="1">
        <v>2.1000000000000001E-2</v>
      </c>
      <c r="E295" s="1">
        <v>1.41E-2</v>
      </c>
      <c r="F295">
        <f t="shared" si="64"/>
        <v>0</v>
      </c>
      <c r="G295">
        <f t="shared" si="65"/>
        <v>0</v>
      </c>
      <c r="H295">
        <f t="shared" si="66"/>
        <v>0</v>
      </c>
      <c r="I295">
        <v>1</v>
      </c>
      <c r="J295" t="e">
        <f t="shared" si="61"/>
        <v>#NUM!</v>
      </c>
      <c r="K295">
        <f t="shared" si="67"/>
        <v>-1.179910572976012</v>
      </c>
      <c r="L295">
        <v>1</v>
      </c>
      <c r="M295" t="e">
        <f t="shared" si="68"/>
        <v>#NUM!</v>
      </c>
      <c r="N295">
        <f t="shared" si="69"/>
        <v>0</v>
      </c>
      <c r="O295">
        <f t="shared" si="70"/>
        <v>0</v>
      </c>
      <c r="P295" t="e">
        <f t="shared" si="71"/>
        <v>#NUM!</v>
      </c>
      <c r="V295">
        <v>22.899999999999899</v>
      </c>
      <c r="W295">
        <f t="shared" si="62"/>
        <v>-1.3167899999999966</v>
      </c>
    </row>
    <row r="296" spans="3:23" x14ac:dyDescent="0.3">
      <c r="C296">
        <f t="shared" si="63"/>
        <v>0</v>
      </c>
      <c r="D296" s="1">
        <v>2.1000000000000001E-2</v>
      </c>
      <c r="E296" s="1">
        <v>1.41E-2</v>
      </c>
      <c r="F296">
        <f t="shared" si="64"/>
        <v>0</v>
      </c>
      <c r="G296">
        <f t="shared" si="65"/>
        <v>0</v>
      </c>
      <c r="H296">
        <f t="shared" si="66"/>
        <v>0</v>
      </c>
      <c r="I296">
        <v>1</v>
      </c>
      <c r="J296" t="e">
        <f t="shared" si="61"/>
        <v>#NUM!</v>
      </c>
      <c r="K296">
        <f t="shared" si="67"/>
        <v>-1.179910572976012</v>
      </c>
      <c r="L296">
        <v>1</v>
      </c>
      <c r="M296" t="e">
        <f t="shared" si="68"/>
        <v>#NUM!</v>
      </c>
      <c r="N296">
        <f t="shared" si="69"/>
        <v>0</v>
      </c>
      <c r="O296">
        <f t="shared" si="70"/>
        <v>0</v>
      </c>
      <c r="P296" t="e">
        <f t="shared" si="71"/>
        <v>#NUM!</v>
      </c>
      <c r="V296">
        <v>22.999999999999901</v>
      </c>
      <c r="W296">
        <f t="shared" si="62"/>
        <v>-1.3202999999999965</v>
      </c>
    </row>
    <row r="297" spans="3:23" x14ac:dyDescent="0.3">
      <c r="C297">
        <f t="shared" si="63"/>
        <v>0</v>
      </c>
      <c r="D297" s="1">
        <v>2.1000000000000001E-2</v>
      </c>
      <c r="E297" s="1">
        <v>1.41E-2</v>
      </c>
      <c r="F297">
        <f t="shared" si="64"/>
        <v>0</v>
      </c>
      <c r="G297">
        <f t="shared" si="65"/>
        <v>0</v>
      </c>
      <c r="H297">
        <f t="shared" si="66"/>
        <v>0</v>
      </c>
      <c r="I297">
        <v>1</v>
      </c>
      <c r="J297" t="e">
        <f t="shared" si="61"/>
        <v>#NUM!</v>
      </c>
      <c r="K297">
        <f t="shared" si="67"/>
        <v>-1.179910572976012</v>
      </c>
      <c r="L297">
        <v>1</v>
      </c>
      <c r="M297" t="e">
        <f t="shared" si="68"/>
        <v>#NUM!</v>
      </c>
      <c r="N297">
        <f t="shared" si="69"/>
        <v>0</v>
      </c>
      <c r="O297">
        <f t="shared" si="70"/>
        <v>0</v>
      </c>
      <c r="P297" t="e">
        <f t="shared" si="71"/>
        <v>#NUM!</v>
      </c>
      <c r="V297">
        <v>23.099999999999898</v>
      </c>
      <c r="W297">
        <f t="shared" si="62"/>
        <v>-1.3238099999999964</v>
      </c>
    </row>
    <row r="298" spans="3:23" x14ac:dyDescent="0.3">
      <c r="C298">
        <f t="shared" si="63"/>
        <v>0</v>
      </c>
      <c r="D298" s="1">
        <v>2.1000000000000001E-2</v>
      </c>
      <c r="E298" s="1">
        <v>1.41E-2</v>
      </c>
      <c r="F298">
        <f t="shared" si="64"/>
        <v>0</v>
      </c>
      <c r="G298">
        <f t="shared" si="65"/>
        <v>0</v>
      </c>
      <c r="H298">
        <f t="shared" si="66"/>
        <v>0</v>
      </c>
      <c r="I298">
        <v>1</v>
      </c>
      <c r="J298" t="e">
        <f t="shared" si="61"/>
        <v>#NUM!</v>
      </c>
      <c r="K298">
        <f t="shared" si="67"/>
        <v>-1.179910572976012</v>
      </c>
      <c r="L298">
        <v>1</v>
      </c>
      <c r="M298" t="e">
        <f t="shared" si="68"/>
        <v>#NUM!</v>
      </c>
      <c r="N298">
        <f t="shared" si="69"/>
        <v>0</v>
      </c>
      <c r="O298">
        <f t="shared" si="70"/>
        <v>0</v>
      </c>
      <c r="P298" t="e">
        <f t="shared" si="71"/>
        <v>#NUM!</v>
      </c>
      <c r="V298">
        <v>23.1999999999999</v>
      </c>
      <c r="W298">
        <f t="shared" si="62"/>
        <v>-1.3273199999999965</v>
      </c>
    </row>
    <row r="299" spans="3:23" x14ac:dyDescent="0.3">
      <c r="C299">
        <f t="shared" si="63"/>
        <v>0</v>
      </c>
      <c r="D299" s="1">
        <v>2.1000000000000001E-2</v>
      </c>
      <c r="E299" s="1">
        <v>1.41E-2</v>
      </c>
      <c r="F299">
        <f t="shared" si="64"/>
        <v>0</v>
      </c>
      <c r="G299">
        <f t="shared" si="65"/>
        <v>0</v>
      </c>
      <c r="H299">
        <f t="shared" si="66"/>
        <v>0</v>
      </c>
      <c r="I299">
        <v>1</v>
      </c>
      <c r="J299" t="e">
        <f t="shared" si="61"/>
        <v>#NUM!</v>
      </c>
      <c r="K299">
        <f t="shared" si="67"/>
        <v>-1.179910572976012</v>
      </c>
      <c r="L299">
        <v>1</v>
      </c>
      <c r="M299" t="e">
        <f t="shared" si="68"/>
        <v>#NUM!</v>
      </c>
      <c r="N299">
        <f t="shared" si="69"/>
        <v>0</v>
      </c>
      <c r="O299">
        <f t="shared" si="70"/>
        <v>0</v>
      </c>
      <c r="P299" t="e">
        <f t="shared" si="71"/>
        <v>#NUM!</v>
      </c>
      <c r="V299">
        <v>23.299999999999901</v>
      </c>
      <c r="W299">
        <f t="shared" si="62"/>
        <v>-1.3308299999999966</v>
      </c>
    </row>
    <row r="300" spans="3:23" x14ac:dyDescent="0.3">
      <c r="C300">
        <f t="shared" si="63"/>
        <v>0</v>
      </c>
      <c r="D300" s="1">
        <v>2.1000000000000001E-2</v>
      </c>
      <c r="E300" s="1">
        <v>1.41E-2</v>
      </c>
      <c r="F300">
        <f t="shared" si="64"/>
        <v>0</v>
      </c>
      <c r="G300">
        <f t="shared" si="65"/>
        <v>0</v>
      </c>
      <c r="H300">
        <f t="shared" si="66"/>
        <v>0</v>
      </c>
      <c r="I300">
        <v>1</v>
      </c>
      <c r="J300" t="e">
        <f t="shared" si="61"/>
        <v>#NUM!</v>
      </c>
      <c r="K300">
        <f t="shared" si="67"/>
        <v>-1.179910572976012</v>
      </c>
      <c r="L300">
        <v>1</v>
      </c>
      <c r="M300" t="e">
        <f t="shared" si="68"/>
        <v>#NUM!</v>
      </c>
      <c r="N300">
        <f t="shared" si="69"/>
        <v>0</v>
      </c>
      <c r="O300">
        <f t="shared" si="70"/>
        <v>0</v>
      </c>
      <c r="P300" t="e">
        <f t="shared" si="71"/>
        <v>#NUM!</v>
      </c>
      <c r="V300">
        <v>23.399999999999899</v>
      </c>
      <c r="W300">
        <f t="shared" si="62"/>
        <v>-1.3343399999999965</v>
      </c>
    </row>
    <row r="301" spans="3:23" x14ac:dyDescent="0.3">
      <c r="C301">
        <f t="shared" si="63"/>
        <v>0</v>
      </c>
      <c r="D301" s="1">
        <v>2.1000000000000001E-2</v>
      </c>
      <c r="E301" s="1">
        <v>1.41E-2</v>
      </c>
      <c r="F301">
        <f t="shared" si="64"/>
        <v>0</v>
      </c>
      <c r="G301">
        <f t="shared" si="65"/>
        <v>0</v>
      </c>
      <c r="H301">
        <f t="shared" si="66"/>
        <v>0</v>
      </c>
      <c r="I301">
        <v>1</v>
      </c>
      <c r="J301" t="e">
        <f t="shared" si="61"/>
        <v>#NUM!</v>
      </c>
      <c r="K301">
        <f t="shared" si="67"/>
        <v>-1.179910572976012</v>
      </c>
      <c r="L301">
        <v>1</v>
      </c>
      <c r="M301" t="e">
        <f t="shared" si="68"/>
        <v>#NUM!</v>
      </c>
      <c r="N301">
        <f t="shared" si="69"/>
        <v>0</v>
      </c>
      <c r="O301">
        <f t="shared" si="70"/>
        <v>0</v>
      </c>
      <c r="P301" t="e">
        <f t="shared" si="71"/>
        <v>#NUM!</v>
      </c>
      <c r="V301">
        <v>23.499999999999901</v>
      </c>
      <c r="W301">
        <f t="shared" si="62"/>
        <v>-1.3378499999999964</v>
      </c>
    </row>
    <row r="302" spans="3:23" x14ac:dyDescent="0.3">
      <c r="C302">
        <f t="shared" si="63"/>
        <v>0</v>
      </c>
      <c r="D302" s="1">
        <v>2.1000000000000001E-2</v>
      </c>
      <c r="E302" s="1">
        <v>1.41E-2</v>
      </c>
      <c r="F302">
        <f t="shared" si="64"/>
        <v>0</v>
      </c>
      <c r="G302">
        <f t="shared" si="65"/>
        <v>0</v>
      </c>
      <c r="H302">
        <f t="shared" si="66"/>
        <v>0</v>
      </c>
      <c r="I302">
        <v>1</v>
      </c>
      <c r="J302" t="e">
        <f t="shared" si="61"/>
        <v>#NUM!</v>
      </c>
      <c r="K302">
        <f t="shared" si="67"/>
        <v>-1.179910572976012</v>
      </c>
      <c r="L302">
        <v>1</v>
      </c>
      <c r="M302" t="e">
        <f t="shared" si="68"/>
        <v>#NUM!</v>
      </c>
      <c r="N302">
        <f t="shared" si="69"/>
        <v>0</v>
      </c>
      <c r="O302">
        <f t="shared" si="70"/>
        <v>0</v>
      </c>
      <c r="P302" t="e">
        <f t="shared" si="71"/>
        <v>#NUM!</v>
      </c>
      <c r="V302">
        <v>23.599999999999898</v>
      </c>
      <c r="W302">
        <f t="shared" si="62"/>
        <v>-1.3413599999999963</v>
      </c>
    </row>
    <row r="303" spans="3:23" x14ac:dyDescent="0.3">
      <c r="C303">
        <f t="shared" si="63"/>
        <v>0</v>
      </c>
      <c r="D303" s="1">
        <v>2.1000000000000001E-2</v>
      </c>
      <c r="E303" s="1">
        <v>1.41E-2</v>
      </c>
      <c r="F303">
        <f t="shared" si="64"/>
        <v>0</v>
      </c>
      <c r="G303">
        <f t="shared" si="65"/>
        <v>0</v>
      </c>
      <c r="H303">
        <f t="shared" si="66"/>
        <v>0</v>
      </c>
      <c r="I303">
        <v>1</v>
      </c>
      <c r="J303" t="e">
        <f t="shared" si="61"/>
        <v>#NUM!</v>
      </c>
      <c r="K303">
        <f t="shared" si="67"/>
        <v>-1.179910572976012</v>
      </c>
      <c r="L303">
        <v>1</v>
      </c>
      <c r="M303" t="e">
        <f t="shared" si="68"/>
        <v>#NUM!</v>
      </c>
      <c r="N303">
        <f t="shared" si="69"/>
        <v>0</v>
      </c>
      <c r="O303">
        <f t="shared" si="70"/>
        <v>0</v>
      </c>
      <c r="P303" t="e">
        <f t="shared" si="71"/>
        <v>#NUM!</v>
      </c>
      <c r="V303">
        <v>23.6999999999999</v>
      </c>
      <c r="W303">
        <f t="shared" si="62"/>
        <v>-1.3448699999999965</v>
      </c>
    </row>
    <row r="304" spans="3:23" x14ac:dyDescent="0.3">
      <c r="V304">
        <v>23.799999999999901</v>
      </c>
      <c r="W304">
        <f t="shared" si="62"/>
        <v>-1.3483799999999966</v>
      </c>
    </row>
    <row r="305" spans="22:23" x14ac:dyDescent="0.3">
      <c r="V305">
        <v>23.899999999999899</v>
      </c>
      <c r="W305">
        <f t="shared" si="62"/>
        <v>-1.3518899999999965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K301"/>
  <sheetViews>
    <sheetView topLeftCell="A134" workbookViewId="0">
      <selection activeCell="K1" sqref="K1"/>
    </sheetView>
  </sheetViews>
  <sheetFormatPr defaultRowHeight="16.5" x14ac:dyDescent="0.3"/>
  <sheetData>
    <row r="1" spans="1:11" x14ac:dyDescent="0.3">
      <c r="A1">
        <v>11.393599999999999</v>
      </c>
      <c r="B1">
        <v>0.80364000000000002</v>
      </c>
      <c r="C1">
        <f>A1/200</f>
        <v>5.6967999999999998E-2</v>
      </c>
      <c r="D1">
        <f>B1</f>
        <v>0.80364000000000002</v>
      </c>
      <c r="K1">
        <f>Sheet1!N2</f>
        <v>1.179910572976012</v>
      </c>
    </row>
    <row r="2" spans="1:11" x14ac:dyDescent="0.3">
      <c r="A2">
        <v>21.475429999999999</v>
      </c>
      <c r="B2">
        <v>0.79361999999999999</v>
      </c>
      <c r="C2">
        <f t="shared" ref="C2:C65" si="0">A2/200</f>
        <v>0.10737714999999999</v>
      </c>
      <c r="D2">
        <f t="shared" ref="D2:D65" si="1">B2</f>
        <v>0.79361999999999999</v>
      </c>
      <c r="H2" s="1">
        <v>1.7999999999999999E-2</v>
      </c>
      <c r="I2">
        <f t="shared" ref="I2:I65" si="2">B1+(C1*H2)</f>
        <v>0.80466542400000007</v>
      </c>
      <c r="K2">
        <f>I2-$K$1</f>
        <v>-0.37524514897601191</v>
      </c>
    </row>
    <row r="3" spans="1:11" x14ac:dyDescent="0.3">
      <c r="A3">
        <v>31.557259999999999</v>
      </c>
      <c r="B3">
        <v>0.78086</v>
      </c>
      <c r="C3">
        <f t="shared" si="0"/>
        <v>0.15778629999999999</v>
      </c>
      <c r="D3">
        <f t="shared" si="1"/>
        <v>0.78086</v>
      </c>
      <c r="H3" s="1">
        <v>1.7999999999999999E-2</v>
      </c>
      <c r="I3">
        <f t="shared" si="2"/>
        <v>0.79555278870000001</v>
      </c>
      <c r="K3">
        <f t="shared" ref="K3:K66" si="3">I3-$K$1</f>
        <v>-0.38435778427601197</v>
      </c>
    </row>
    <row r="4" spans="1:11" x14ac:dyDescent="0.3">
      <c r="A4">
        <v>41.944600000000001</v>
      </c>
      <c r="B4">
        <v>0.77007999999999999</v>
      </c>
      <c r="C4">
        <f t="shared" si="0"/>
        <v>0.20972299999999999</v>
      </c>
      <c r="D4">
        <f t="shared" si="1"/>
        <v>0.77007999999999999</v>
      </c>
      <c r="H4" s="1">
        <v>1.7999999999999999E-2</v>
      </c>
      <c r="I4">
        <f t="shared" si="2"/>
        <v>0.78370015339999999</v>
      </c>
      <c r="K4">
        <f t="shared" si="3"/>
        <v>-0.396210419576012</v>
      </c>
    </row>
    <row r="5" spans="1:11" x14ac:dyDescent="0.3">
      <c r="A5">
        <v>52.535609999999998</v>
      </c>
      <c r="B5">
        <v>0.76061000000000001</v>
      </c>
      <c r="C5">
        <f t="shared" si="0"/>
        <v>0.26267805</v>
      </c>
      <c r="D5">
        <f t="shared" si="1"/>
        <v>0.76061000000000001</v>
      </c>
      <c r="H5" s="1">
        <v>1.7999999999999999E-2</v>
      </c>
      <c r="I5">
        <f t="shared" si="2"/>
        <v>0.77385501400000001</v>
      </c>
      <c r="K5">
        <f t="shared" si="3"/>
        <v>-0.40605555897601198</v>
      </c>
    </row>
    <row r="6" spans="1:11" x14ac:dyDescent="0.3">
      <c r="A6">
        <v>63.024790000000003</v>
      </c>
      <c r="B6">
        <v>0.75124999999999997</v>
      </c>
      <c r="C6">
        <f t="shared" si="0"/>
        <v>0.31512395000000004</v>
      </c>
      <c r="D6">
        <f t="shared" si="1"/>
        <v>0.75124999999999997</v>
      </c>
      <c r="H6" s="1">
        <v>1.7999999999999999E-2</v>
      </c>
      <c r="I6">
        <f t="shared" si="2"/>
        <v>0.76533820490000004</v>
      </c>
      <c r="K6">
        <f t="shared" si="3"/>
        <v>-0.41457236807601194</v>
      </c>
    </row>
    <row r="7" spans="1:11" x14ac:dyDescent="0.3">
      <c r="A7">
        <v>73.412120000000002</v>
      </c>
      <c r="B7">
        <v>0.74243000000000003</v>
      </c>
      <c r="C7">
        <f t="shared" si="0"/>
        <v>0.36706060000000001</v>
      </c>
      <c r="D7">
        <f t="shared" si="1"/>
        <v>0.74243000000000003</v>
      </c>
      <c r="H7" s="1">
        <v>1.7999999999999999E-2</v>
      </c>
      <c r="I7">
        <f t="shared" si="2"/>
        <v>0.75692223110000001</v>
      </c>
      <c r="K7">
        <f t="shared" si="3"/>
        <v>-0.42298834187601198</v>
      </c>
    </row>
    <row r="8" spans="1:11" x14ac:dyDescent="0.3">
      <c r="A8">
        <v>83.493960000000001</v>
      </c>
      <c r="B8">
        <v>0.73490999999999995</v>
      </c>
      <c r="C8">
        <f t="shared" si="0"/>
        <v>0.4174698</v>
      </c>
      <c r="D8">
        <f t="shared" si="1"/>
        <v>0.73490999999999995</v>
      </c>
      <c r="H8" s="1">
        <v>1.7999999999999999E-2</v>
      </c>
      <c r="I8">
        <f t="shared" si="2"/>
        <v>0.74903709080000003</v>
      </c>
      <c r="K8">
        <f t="shared" si="3"/>
        <v>-0.43087348217601196</v>
      </c>
    </row>
    <row r="9" spans="1:11" x14ac:dyDescent="0.3">
      <c r="A9">
        <v>93.677610000000001</v>
      </c>
      <c r="B9">
        <v>0.72662000000000004</v>
      </c>
      <c r="C9">
        <f t="shared" si="0"/>
        <v>0.46838805</v>
      </c>
      <c r="D9">
        <f t="shared" si="1"/>
        <v>0.72662000000000004</v>
      </c>
      <c r="H9" s="1">
        <v>1.7999999999999999E-2</v>
      </c>
      <c r="I9">
        <f t="shared" si="2"/>
        <v>0.74242445639999999</v>
      </c>
      <c r="K9">
        <f t="shared" si="3"/>
        <v>-0.437486116576012</v>
      </c>
    </row>
    <row r="10" spans="1:11" x14ac:dyDescent="0.3">
      <c r="A10">
        <v>103.75946</v>
      </c>
      <c r="B10">
        <v>0.72006999999999999</v>
      </c>
      <c r="C10">
        <f t="shared" si="0"/>
        <v>0.51879730000000002</v>
      </c>
      <c r="D10">
        <f t="shared" si="1"/>
        <v>0.72006999999999999</v>
      </c>
      <c r="H10" s="1">
        <v>1.7999999999999999E-2</v>
      </c>
      <c r="I10">
        <f t="shared" si="2"/>
        <v>0.73505098490000009</v>
      </c>
      <c r="K10">
        <f t="shared" si="3"/>
        <v>-0.44485958807601189</v>
      </c>
    </row>
    <row r="11" spans="1:11" x14ac:dyDescent="0.3">
      <c r="A11">
        <v>114.04496</v>
      </c>
      <c r="B11">
        <v>0.71340999999999999</v>
      </c>
      <c r="C11">
        <f t="shared" si="0"/>
        <v>0.57022479999999998</v>
      </c>
      <c r="D11">
        <f t="shared" si="1"/>
        <v>0.71340999999999999</v>
      </c>
      <c r="H11" s="1">
        <v>1.7999999999999999E-2</v>
      </c>
      <c r="I11">
        <f t="shared" si="2"/>
        <v>0.72940835140000004</v>
      </c>
      <c r="K11">
        <f t="shared" si="3"/>
        <v>-0.45050222157601194</v>
      </c>
    </row>
    <row r="12" spans="1:11" x14ac:dyDescent="0.3">
      <c r="A12">
        <v>124.83965000000001</v>
      </c>
      <c r="B12">
        <v>0.70653999999999995</v>
      </c>
      <c r="C12">
        <f t="shared" si="0"/>
        <v>0.62419825000000007</v>
      </c>
      <c r="D12">
        <f t="shared" si="1"/>
        <v>0.70653999999999995</v>
      </c>
      <c r="H12" s="1">
        <v>1.7999999999999999E-2</v>
      </c>
      <c r="I12">
        <f t="shared" si="2"/>
        <v>0.72367404639999999</v>
      </c>
      <c r="K12">
        <f t="shared" si="3"/>
        <v>-0.45623652657601199</v>
      </c>
    </row>
    <row r="13" spans="1:11" x14ac:dyDescent="0.3">
      <c r="A13">
        <v>135.43065000000001</v>
      </c>
      <c r="B13">
        <v>0.70009999999999994</v>
      </c>
      <c r="C13">
        <f t="shared" si="0"/>
        <v>0.67715325000000004</v>
      </c>
      <c r="D13">
        <f t="shared" si="1"/>
        <v>0.70009999999999994</v>
      </c>
      <c r="H13" s="1">
        <v>1.7999999999999999E-2</v>
      </c>
      <c r="I13">
        <f t="shared" si="2"/>
        <v>0.71777556849999991</v>
      </c>
      <c r="K13">
        <f t="shared" si="3"/>
        <v>-0.46213500447601208</v>
      </c>
    </row>
    <row r="14" spans="1:11" x14ac:dyDescent="0.3">
      <c r="A14">
        <v>145.71615</v>
      </c>
      <c r="B14">
        <v>0.69367000000000001</v>
      </c>
      <c r="C14">
        <f t="shared" si="0"/>
        <v>0.72858075</v>
      </c>
      <c r="D14">
        <f t="shared" si="1"/>
        <v>0.69367000000000001</v>
      </c>
      <c r="H14" s="1">
        <v>1.7999999999999999E-2</v>
      </c>
      <c r="I14">
        <f t="shared" si="2"/>
        <v>0.71228875849999995</v>
      </c>
      <c r="K14">
        <f t="shared" si="3"/>
        <v>-0.46762181447601203</v>
      </c>
    </row>
    <row r="15" spans="1:11" x14ac:dyDescent="0.3">
      <c r="A15">
        <v>155.89982000000001</v>
      </c>
      <c r="B15">
        <v>0.68759999999999999</v>
      </c>
      <c r="C15">
        <f t="shared" si="0"/>
        <v>0.7794991</v>
      </c>
      <c r="D15">
        <f t="shared" si="1"/>
        <v>0.68759999999999999</v>
      </c>
      <c r="H15" s="1">
        <v>1.7999999999999999E-2</v>
      </c>
      <c r="I15">
        <f t="shared" si="2"/>
        <v>0.70678445349999997</v>
      </c>
      <c r="K15">
        <f t="shared" si="3"/>
        <v>-0.47312611947601202</v>
      </c>
    </row>
    <row r="16" spans="1:11" x14ac:dyDescent="0.3">
      <c r="A16">
        <v>167.00001</v>
      </c>
      <c r="B16">
        <v>0.68272999999999995</v>
      </c>
      <c r="C16">
        <f t="shared" si="0"/>
        <v>0.83500004999999999</v>
      </c>
      <c r="D16">
        <f t="shared" si="1"/>
        <v>0.68272999999999995</v>
      </c>
      <c r="H16" s="1">
        <v>1.7999999999999999E-2</v>
      </c>
      <c r="I16">
        <f t="shared" si="2"/>
        <v>0.7016309838</v>
      </c>
      <c r="K16">
        <f t="shared" si="3"/>
        <v>-0.47827958917601199</v>
      </c>
    </row>
    <row r="17" spans="1:11" x14ac:dyDescent="0.3">
      <c r="A17">
        <v>177.59102999999999</v>
      </c>
      <c r="B17">
        <v>0.67635000000000001</v>
      </c>
      <c r="C17">
        <f t="shared" si="0"/>
        <v>0.88795514999999992</v>
      </c>
      <c r="D17">
        <f t="shared" si="1"/>
        <v>0.67635000000000001</v>
      </c>
      <c r="H17" s="1">
        <v>1.7999999999999999E-2</v>
      </c>
      <c r="I17">
        <f t="shared" si="2"/>
        <v>0.6977600008999999</v>
      </c>
      <c r="K17">
        <f t="shared" si="3"/>
        <v>-0.48215057207601208</v>
      </c>
    </row>
    <row r="18" spans="1:11" x14ac:dyDescent="0.3">
      <c r="A18">
        <v>188.58938000000001</v>
      </c>
      <c r="B18">
        <v>0.67042999999999997</v>
      </c>
      <c r="C18">
        <f t="shared" si="0"/>
        <v>0.94294690000000003</v>
      </c>
      <c r="D18">
        <f t="shared" si="1"/>
        <v>0.67042999999999997</v>
      </c>
      <c r="H18" s="1">
        <v>1.7999999999999999E-2</v>
      </c>
      <c r="I18">
        <f t="shared" si="2"/>
        <v>0.69233319270000004</v>
      </c>
      <c r="K18">
        <f t="shared" si="3"/>
        <v>-0.48757738027601194</v>
      </c>
    </row>
    <row r="19" spans="1:11" x14ac:dyDescent="0.3">
      <c r="A19">
        <v>198.77305000000001</v>
      </c>
      <c r="B19">
        <v>0.66512000000000004</v>
      </c>
      <c r="C19">
        <f t="shared" si="0"/>
        <v>0.99386525000000003</v>
      </c>
      <c r="D19">
        <f t="shared" si="1"/>
        <v>0.66512000000000004</v>
      </c>
      <c r="H19" s="1">
        <v>1.7999999999999999E-2</v>
      </c>
      <c r="I19">
        <f t="shared" si="2"/>
        <v>0.68740304419999998</v>
      </c>
      <c r="K19">
        <f t="shared" si="3"/>
        <v>-0.492507528776012</v>
      </c>
    </row>
    <row r="20" spans="1:11" x14ac:dyDescent="0.3">
      <c r="A20">
        <v>209.66958</v>
      </c>
      <c r="B20">
        <v>0.65993000000000002</v>
      </c>
      <c r="C20">
        <f t="shared" si="0"/>
        <v>1.0483479</v>
      </c>
      <c r="D20">
        <f t="shared" si="1"/>
        <v>0.65993000000000002</v>
      </c>
      <c r="H20" s="1">
        <v>1.7999999999999999E-2</v>
      </c>
      <c r="I20">
        <f t="shared" si="2"/>
        <v>0.68300957449999999</v>
      </c>
      <c r="K20">
        <f t="shared" si="3"/>
        <v>-0.49690099847601199</v>
      </c>
    </row>
    <row r="21" spans="1:11" x14ac:dyDescent="0.3">
      <c r="A21">
        <v>219.75142</v>
      </c>
      <c r="B21">
        <v>0.65434999999999999</v>
      </c>
      <c r="C21">
        <f t="shared" si="0"/>
        <v>1.0987571</v>
      </c>
      <c r="D21">
        <f t="shared" si="1"/>
        <v>0.65434999999999999</v>
      </c>
      <c r="H21" s="1">
        <v>1.7999999999999999E-2</v>
      </c>
      <c r="I21">
        <f t="shared" si="2"/>
        <v>0.6788002622</v>
      </c>
      <c r="K21">
        <f t="shared" si="3"/>
        <v>-0.50111031077601198</v>
      </c>
    </row>
    <row r="22" spans="1:11" x14ac:dyDescent="0.3">
      <c r="A22">
        <v>230.13874000000001</v>
      </c>
      <c r="B22">
        <v>0.64981</v>
      </c>
      <c r="C22">
        <f t="shared" si="0"/>
        <v>1.1506937000000002</v>
      </c>
      <c r="D22">
        <f t="shared" si="1"/>
        <v>0.64981</v>
      </c>
      <c r="H22" s="1">
        <v>1.7999999999999999E-2</v>
      </c>
      <c r="I22">
        <f t="shared" si="2"/>
        <v>0.67412762780000002</v>
      </c>
      <c r="K22">
        <f t="shared" si="3"/>
        <v>-0.50578294517601197</v>
      </c>
    </row>
    <row r="23" spans="1:11" x14ac:dyDescent="0.3">
      <c r="A23">
        <v>240.42426</v>
      </c>
      <c r="B23">
        <v>0.64459999999999995</v>
      </c>
      <c r="C23">
        <f t="shared" si="0"/>
        <v>1.2021212999999999</v>
      </c>
      <c r="D23">
        <f t="shared" si="1"/>
        <v>0.64459999999999995</v>
      </c>
      <c r="H23" s="1">
        <v>1.7999999999999999E-2</v>
      </c>
      <c r="I23">
        <f t="shared" si="2"/>
        <v>0.67052248660000002</v>
      </c>
      <c r="K23">
        <f t="shared" si="3"/>
        <v>-0.50938808637601196</v>
      </c>
    </row>
    <row r="24" spans="1:11" x14ac:dyDescent="0.3">
      <c r="A24">
        <v>250.60792000000001</v>
      </c>
      <c r="B24">
        <v>0.64015</v>
      </c>
      <c r="C24">
        <f t="shared" si="0"/>
        <v>1.2530396000000001</v>
      </c>
      <c r="D24">
        <f t="shared" si="1"/>
        <v>0.64015</v>
      </c>
      <c r="H24" s="1">
        <v>1.7999999999999999E-2</v>
      </c>
      <c r="I24">
        <f t="shared" si="2"/>
        <v>0.66623818339999996</v>
      </c>
      <c r="K24">
        <f t="shared" si="3"/>
        <v>-0.51367238957601202</v>
      </c>
    </row>
    <row r="25" spans="1:11" x14ac:dyDescent="0.3">
      <c r="A25">
        <v>260.79158000000001</v>
      </c>
      <c r="B25">
        <v>0.63534000000000002</v>
      </c>
      <c r="C25">
        <f t="shared" si="0"/>
        <v>1.3039579000000001</v>
      </c>
      <c r="D25">
        <f t="shared" si="1"/>
        <v>0.63534000000000002</v>
      </c>
      <c r="H25" s="1">
        <v>1.7999999999999999E-2</v>
      </c>
      <c r="I25">
        <f t="shared" si="2"/>
        <v>0.66270471279999998</v>
      </c>
      <c r="K25">
        <f t="shared" si="3"/>
        <v>-0.517205860176012</v>
      </c>
    </row>
    <row r="26" spans="1:11" x14ac:dyDescent="0.3">
      <c r="A26">
        <v>271.07708000000002</v>
      </c>
      <c r="B26">
        <v>0.63053000000000003</v>
      </c>
      <c r="C26">
        <f t="shared" si="0"/>
        <v>1.3553854000000001</v>
      </c>
      <c r="D26">
        <f t="shared" si="1"/>
        <v>0.63053000000000003</v>
      </c>
      <c r="H26" s="1">
        <v>1.7999999999999999E-2</v>
      </c>
      <c r="I26">
        <f t="shared" si="2"/>
        <v>0.65881124219999998</v>
      </c>
      <c r="K26">
        <f t="shared" si="3"/>
        <v>-0.521099330776012</v>
      </c>
    </row>
    <row r="27" spans="1:11" x14ac:dyDescent="0.3">
      <c r="A27">
        <v>281.15892000000002</v>
      </c>
      <c r="B27">
        <v>0.62624999999999997</v>
      </c>
      <c r="C27">
        <f t="shared" si="0"/>
        <v>1.4057946000000001</v>
      </c>
      <c r="D27">
        <f t="shared" si="1"/>
        <v>0.62624999999999997</v>
      </c>
      <c r="H27" s="1">
        <v>1.7999999999999999E-2</v>
      </c>
      <c r="I27">
        <f t="shared" si="2"/>
        <v>0.65492693720000006</v>
      </c>
      <c r="K27">
        <f t="shared" si="3"/>
        <v>-0.52498363577601193</v>
      </c>
    </row>
    <row r="28" spans="1:11" x14ac:dyDescent="0.3">
      <c r="A28">
        <v>291.24072000000001</v>
      </c>
      <c r="B28">
        <v>0.62163000000000002</v>
      </c>
      <c r="C28">
        <f t="shared" si="0"/>
        <v>1.4562036</v>
      </c>
      <c r="D28">
        <f t="shared" si="1"/>
        <v>0.62163000000000002</v>
      </c>
      <c r="H28" s="1">
        <v>1.7999999999999999E-2</v>
      </c>
      <c r="I28">
        <f t="shared" si="2"/>
        <v>0.65155430279999993</v>
      </c>
      <c r="K28">
        <f t="shared" si="3"/>
        <v>-0.52835627017601206</v>
      </c>
    </row>
    <row r="29" spans="1:11" x14ac:dyDescent="0.3">
      <c r="A29">
        <v>301.62808000000001</v>
      </c>
      <c r="B29">
        <v>0.61765999999999999</v>
      </c>
      <c r="C29">
        <f t="shared" si="0"/>
        <v>1.5081404</v>
      </c>
      <c r="D29">
        <f t="shared" si="1"/>
        <v>0.61765999999999999</v>
      </c>
      <c r="H29" s="1">
        <v>1.7999999999999999E-2</v>
      </c>
      <c r="I29">
        <f t="shared" si="2"/>
        <v>0.64784166480000005</v>
      </c>
      <c r="K29">
        <f t="shared" si="3"/>
        <v>-0.53206890817601193</v>
      </c>
    </row>
    <row r="30" spans="1:11" x14ac:dyDescent="0.3">
      <c r="A30">
        <v>311.70992000000001</v>
      </c>
      <c r="B30">
        <v>0.61321000000000003</v>
      </c>
      <c r="C30">
        <f t="shared" si="0"/>
        <v>1.5585496000000001</v>
      </c>
      <c r="D30">
        <f t="shared" si="1"/>
        <v>0.61321000000000003</v>
      </c>
      <c r="H30" s="1">
        <v>1.7999999999999999E-2</v>
      </c>
      <c r="I30">
        <f t="shared" si="2"/>
        <v>0.64480652719999998</v>
      </c>
      <c r="K30">
        <f t="shared" si="3"/>
        <v>-0.53510404577601201</v>
      </c>
    </row>
    <row r="31" spans="1:11" x14ac:dyDescent="0.3">
      <c r="A31">
        <v>322.40276</v>
      </c>
      <c r="B31">
        <v>0.60843999999999998</v>
      </c>
      <c r="C31">
        <f t="shared" si="0"/>
        <v>1.6120137999999999</v>
      </c>
      <c r="D31">
        <f t="shared" si="1"/>
        <v>0.60843999999999998</v>
      </c>
      <c r="H31" s="1">
        <v>1.7999999999999999E-2</v>
      </c>
      <c r="I31">
        <f t="shared" si="2"/>
        <v>0.64126389280000007</v>
      </c>
      <c r="K31">
        <f t="shared" si="3"/>
        <v>-0.53864668017601192</v>
      </c>
    </row>
    <row r="32" spans="1:11" x14ac:dyDescent="0.3">
      <c r="A32">
        <v>332.4846</v>
      </c>
      <c r="B32">
        <v>0.60441</v>
      </c>
      <c r="C32">
        <f t="shared" si="0"/>
        <v>1.662423</v>
      </c>
      <c r="D32">
        <f t="shared" si="1"/>
        <v>0.60441</v>
      </c>
      <c r="H32" s="1">
        <v>1.7999999999999999E-2</v>
      </c>
      <c r="I32">
        <f t="shared" si="2"/>
        <v>0.63745624839999993</v>
      </c>
      <c r="K32">
        <f t="shared" si="3"/>
        <v>-0.54245432457601206</v>
      </c>
    </row>
    <row r="33" spans="1:11" x14ac:dyDescent="0.3">
      <c r="A33">
        <v>342.56639999999999</v>
      </c>
      <c r="B33">
        <v>0.60013000000000005</v>
      </c>
      <c r="C33">
        <f t="shared" si="0"/>
        <v>1.7128319999999999</v>
      </c>
      <c r="D33">
        <f t="shared" si="1"/>
        <v>0.60013000000000005</v>
      </c>
      <c r="H33" s="1">
        <v>1.7999999999999999E-2</v>
      </c>
      <c r="I33">
        <f t="shared" si="2"/>
        <v>0.63433361399999999</v>
      </c>
      <c r="K33">
        <f t="shared" si="3"/>
        <v>-0.54557695897601199</v>
      </c>
    </row>
    <row r="34" spans="1:11" x14ac:dyDescent="0.3">
      <c r="A34">
        <v>353.46292</v>
      </c>
      <c r="B34">
        <v>0.59604000000000001</v>
      </c>
      <c r="C34">
        <f t="shared" si="0"/>
        <v>1.7673146</v>
      </c>
      <c r="D34">
        <f t="shared" si="1"/>
        <v>0.59604000000000001</v>
      </c>
      <c r="H34" s="1">
        <v>1.7999999999999999E-2</v>
      </c>
      <c r="I34">
        <f t="shared" si="2"/>
        <v>0.63096097600000001</v>
      </c>
      <c r="K34">
        <f t="shared" si="3"/>
        <v>-0.54894959697601198</v>
      </c>
    </row>
    <row r="35" spans="1:11" x14ac:dyDescent="0.3">
      <c r="A35">
        <v>363.54476</v>
      </c>
      <c r="B35">
        <v>0.59184000000000003</v>
      </c>
      <c r="C35">
        <f t="shared" si="0"/>
        <v>1.8177238</v>
      </c>
      <c r="D35">
        <f t="shared" si="1"/>
        <v>0.59184000000000003</v>
      </c>
      <c r="H35" s="1">
        <v>1.7999999999999999E-2</v>
      </c>
      <c r="I35">
        <f t="shared" si="2"/>
        <v>0.62785166280000004</v>
      </c>
      <c r="K35">
        <f t="shared" si="3"/>
        <v>-0.55205891017601194</v>
      </c>
    </row>
    <row r="36" spans="1:11" x14ac:dyDescent="0.3">
      <c r="A36">
        <v>373.62655999999998</v>
      </c>
      <c r="B36">
        <v>0.58857999999999999</v>
      </c>
      <c r="C36">
        <f t="shared" si="0"/>
        <v>1.8681327999999999</v>
      </c>
      <c r="D36">
        <f t="shared" si="1"/>
        <v>0.58857999999999999</v>
      </c>
      <c r="H36" s="1">
        <v>1.7999999999999999E-2</v>
      </c>
      <c r="I36">
        <f t="shared" si="2"/>
        <v>0.62455902839999999</v>
      </c>
      <c r="K36">
        <f t="shared" si="3"/>
        <v>-0.55535154457601199</v>
      </c>
    </row>
    <row r="37" spans="1:11" x14ac:dyDescent="0.3">
      <c r="A37">
        <v>383.70841999999999</v>
      </c>
      <c r="B37">
        <v>0.58425000000000005</v>
      </c>
      <c r="C37">
        <f t="shared" si="0"/>
        <v>1.9185421</v>
      </c>
      <c r="D37">
        <f t="shared" si="1"/>
        <v>0.58425000000000005</v>
      </c>
      <c r="H37" s="1">
        <v>1.7999999999999999E-2</v>
      </c>
      <c r="I37">
        <f t="shared" si="2"/>
        <v>0.62220639040000003</v>
      </c>
      <c r="K37">
        <f t="shared" si="3"/>
        <v>-0.55770418257601195</v>
      </c>
    </row>
    <row r="38" spans="1:11" x14ac:dyDescent="0.3">
      <c r="A38">
        <v>394.19760000000002</v>
      </c>
      <c r="B38">
        <v>0.58013999999999999</v>
      </c>
      <c r="C38">
        <f t="shared" si="0"/>
        <v>1.9709880000000002</v>
      </c>
      <c r="D38">
        <f t="shared" si="1"/>
        <v>0.58013999999999999</v>
      </c>
      <c r="H38" s="1">
        <v>1.7999999999999999E-2</v>
      </c>
      <c r="I38">
        <f t="shared" si="2"/>
        <v>0.61878375780000006</v>
      </c>
      <c r="K38">
        <f t="shared" si="3"/>
        <v>-0.56112681517601193</v>
      </c>
    </row>
    <row r="39" spans="1:11" x14ac:dyDescent="0.3">
      <c r="A39">
        <v>404.38126</v>
      </c>
      <c r="B39">
        <v>0.57604999999999995</v>
      </c>
      <c r="C39">
        <f t="shared" si="0"/>
        <v>2.0219062999999999</v>
      </c>
      <c r="D39">
        <f t="shared" si="1"/>
        <v>0.57604999999999995</v>
      </c>
      <c r="H39" s="1">
        <v>1.7999999999999999E-2</v>
      </c>
      <c r="I39">
        <f t="shared" si="2"/>
        <v>0.615617784</v>
      </c>
      <c r="K39">
        <f t="shared" si="3"/>
        <v>-0.56429278897601198</v>
      </c>
    </row>
    <row r="40" spans="1:11" x14ac:dyDescent="0.3">
      <c r="A40">
        <v>414.56493999999998</v>
      </c>
      <c r="B40">
        <v>0.57238999999999995</v>
      </c>
      <c r="C40">
        <f t="shared" si="0"/>
        <v>2.0728247</v>
      </c>
      <c r="D40">
        <f t="shared" si="1"/>
        <v>0.57238999999999995</v>
      </c>
      <c r="H40" s="1">
        <v>1.7999999999999999E-2</v>
      </c>
      <c r="I40">
        <f t="shared" si="2"/>
        <v>0.61244431339999994</v>
      </c>
      <c r="K40">
        <f t="shared" si="3"/>
        <v>-0.56746625957601204</v>
      </c>
    </row>
    <row r="41" spans="1:11" x14ac:dyDescent="0.3">
      <c r="A41">
        <v>425.05416000000002</v>
      </c>
      <c r="B41">
        <v>0.56855</v>
      </c>
      <c r="C41">
        <f t="shared" si="0"/>
        <v>2.1252708</v>
      </c>
      <c r="D41">
        <f t="shared" si="1"/>
        <v>0.56855</v>
      </c>
      <c r="H41" s="1">
        <v>1.7999999999999999E-2</v>
      </c>
      <c r="I41">
        <f t="shared" si="2"/>
        <v>0.60970084459999996</v>
      </c>
      <c r="K41">
        <f t="shared" si="3"/>
        <v>-0.57020972837601203</v>
      </c>
    </row>
    <row r="42" spans="1:11" x14ac:dyDescent="0.3">
      <c r="A42">
        <v>435.44146000000001</v>
      </c>
      <c r="B42">
        <v>0.56459999999999999</v>
      </c>
      <c r="C42">
        <f t="shared" si="0"/>
        <v>2.1772073000000001</v>
      </c>
      <c r="D42">
        <f t="shared" si="1"/>
        <v>0.56459999999999999</v>
      </c>
      <c r="H42" s="1">
        <v>1.7999999999999999E-2</v>
      </c>
      <c r="I42">
        <f t="shared" si="2"/>
        <v>0.60680487439999997</v>
      </c>
      <c r="K42">
        <f t="shared" si="3"/>
        <v>-0.57310569857601201</v>
      </c>
    </row>
    <row r="43" spans="1:11" x14ac:dyDescent="0.3">
      <c r="A43">
        <v>446.03248000000002</v>
      </c>
      <c r="B43">
        <v>0.56120000000000003</v>
      </c>
      <c r="C43">
        <f t="shared" si="0"/>
        <v>2.2301624000000002</v>
      </c>
      <c r="D43">
        <f t="shared" si="1"/>
        <v>0.56120000000000003</v>
      </c>
      <c r="H43" s="1">
        <v>1.7999999999999999E-2</v>
      </c>
      <c r="I43">
        <f t="shared" si="2"/>
        <v>0.60378973140000003</v>
      </c>
      <c r="K43">
        <f t="shared" si="3"/>
        <v>-0.57612084157601195</v>
      </c>
    </row>
    <row r="44" spans="1:11" x14ac:dyDescent="0.3">
      <c r="A44">
        <v>456.11430000000001</v>
      </c>
      <c r="B44">
        <v>0.55744000000000005</v>
      </c>
      <c r="C44">
        <f t="shared" si="0"/>
        <v>2.2805715000000002</v>
      </c>
      <c r="D44">
        <f t="shared" si="1"/>
        <v>0.55744000000000005</v>
      </c>
      <c r="H44" s="1">
        <v>1.7999999999999999E-2</v>
      </c>
      <c r="I44">
        <f t="shared" si="2"/>
        <v>0.60134292320000005</v>
      </c>
      <c r="K44">
        <f t="shared" si="3"/>
        <v>-0.57856764977601194</v>
      </c>
    </row>
    <row r="45" spans="1:11" x14ac:dyDescent="0.3">
      <c r="A45">
        <v>466.90897999999999</v>
      </c>
      <c r="B45">
        <v>0.55381000000000002</v>
      </c>
      <c r="C45">
        <f t="shared" si="0"/>
        <v>2.3345449</v>
      </c>
      <c r="D45">
        <f t="shared" si="1"/>
        <v>0.55381000000000002</v>
      </c>
      <c r="H45" s="1">
        <v>1.7999999999999999E-2</v>
      </c>
      <c r="I45">
        <f t="shared" si="2"/>
        <v>0.59849028700000007</v>
      </c>
      <c r="K45">
        <f t="shared" si="3"/>
        <v>-0.58142028597601192</v>
      </c>
    </row>
    <row r="46" spans="1:11" x14ac:dyDescent="0.3">
      <c r="A46">
        <v>476.99081999999999</v>
      </c>
      <c r="B46">
        <v>0.54981999999999998</v>
      </c>
      <c r="C46">
        <f t="shared" si="0"/>
        <v>2.3849540999999999</v>
      </c>
      <c r="D46">
        <f t="shared" si="1"/>
        <v>0.54981999999999998</v>
      </c>
      <c r="H46" s="1">
        <v>1.7999999999999999E-2</v>
      </c>
      <c r="I46">
        <f t="shared" si="2"/>
        <v>0.59583180820000003</v>
      </c>
      <c r="K46">
        <f t="shared" si="3"/>
        <v>-0.58407876477601195</v>
      </c>
    </row>
    <row r="47" spans="1:11" x14ac:dyDescent="0.3">
      <c r="A47">
        <v>487.17451999999997</v>
      </c>
      <c r="B47">
        <v>0.5464</v>
      </c>
      <c r="C47">
        <f t="shared" si="0"/>
        <v>2.4358725999999997</v>
      </c>
      <c r="D47">
        <f t="shared" si="1"/>
        <v>0.5464</v>
      </c>
      <c r="H47" s="1">
        <v>1.7999999999999999E-2</v>
      </c>
      <c r="I47">
        <f t="shared" si="2"/>
        <v>0.59274917379999992</v>
      </c>
      <c r="K47">
        <f t="shared" si="3"/>
        <v>-0.58716139917601207</v>
      </c>
    </row>
    <row r="48" spans="1:11" x14ac:dyDescent="0.3">
      <c r="A48">
        <v>498.47836000000001</v>
      </c>
      <c r="B48">
        <v>0.54274</v>
      </c>
      <c r="C48">
        <f t="shared" si="0"/>
        <v>2.4923918</v>
      </c>
      <c r="D48">
        <f t="shared" si="1"/>
        <v>0.54274</v>
      </c>
      <c r="H48" s="1">
        <v>1.7999999999999999E-2</v>
      </c>
      <c r="I48">
        <f t="shared" si="2"/>
        <v>0.59024570679999999</v>
      </c>
      <c r="K48">
        <f t="shared" si="3"/>
        <v>-0.58966486617601199</v>
      </c>
    </row>
    <row r="49" spans="1:11" x14ac:dyDescent="0.3">
      <c r="A49">
        <v>508.76382000000001</v>
      </c>
      <c r="B49">
        <v>0.53903000000000001</v>
      </c>
      <c r="C49">
        <f t="shared" si="0"/>
        <v>2.5438190999999999</v>
      </c>
      <c r="D49">
        <f t="shared" si="1"/>
        <v>0.53903000000000001</v>
      </c>
      <c r="H49" s="1">
        <v>1.7999999999999999E-2</v>
      </c>
      <c r="I49">
        <f t="shared" si="2"/>
        <v>0.58760305239999999</v>
      </c>
      <c r="K49">
        <f t="shared" si="3"/>
        <v>-0.59230752057601199</v>
      </c>
    </row>
    <row r="50" spans="1:11" x14ac:dyDescent="0.3">
      <c r="A50">
        <v>519.35483999999997</v>
      </c>
      <c r="B50">
        <v>0.53583000000000003</v>
      </c>
      <c r="C50">
        <f t="shared" si="0"/>
        <v>2.5967742</v>
      </c>
      <c r="D50">
        <f t="shared" si="1"/>
        <v>0.53583000000000003</v>
      </c>
      <c r="H50" s="1">
        <v>1.7999999999999999E-2</v>
      </c>
      <c r="I50">
        <f t="shared" si="2"/>
        <v>0.58481874379999998</v>
      </c>
      <c r="K50">
        <f t="shared" si="3"/>
        <v>-0.595091829176012</v>
      </c>
    </row>
    <row r="51" spans="1:11" x14ac:dyDescent="0.3">
      <c r="A51">
        <v>529.43665999999996</v>
      </c>
      <c r="B51">
        <v>0.53210000000000002</v>
      </c>
      <c r="C51">
        <f t="shared" si="0"/>
        <v>2.6471833</v>
      </c>
      <c r="D51">
        <f t="shared" si="1"/>
        <v>0.53210000000000002</v>
      </c>
      <c r="H51" s="1">
        <v>1.7999999999999999E-2</v>
      </c>
      <c r="I51">
        <f t="shared" si="2"/>
        <v>0.58257193559999998</v>
      </c>
      <c r="K51">
        <f t="shared" si="3"/>
        <v>-0.597338637376012</v>
      </c>
    </row>
    <row r="52" spans="1:11" x14ac:dyDescent="0.3">
      <c r="A52">
        <v>539.51850000000002</v>
      </c>
      <c r="B52">
        <v>0.52866999999999997</v>
      </c>
      <c r="C52">
        <f t="shared" si="0"/>
        <v>2.6975925000000003</v>
      </c>
      <c r="D52">
        <f t="shared" si="1"/>
        <v>0.52866999999999997</v>
      </c>
      <c r="H52" s="1">
        <v>1.7999999999999999E-2</v>
      </c>
      <c r="I52">
        <f t="shared" si="2"/>
        <v>0.57974929939999997</v>
      </c>
      <c r="K52">
        <f t="shared" si="3"/>
        <v>-0.60016127357601201</v>
      </c>
    </row>
    <row r="53" spans="1:11" x14ac:dyDescent="0.3">
      <c r="A53">
        <v>549.70219999999995</v>
      </c>
      <c r="B53">
        <v>0.52544000000000002</v>
      </c>
      <c r="C53">
        <f t="shared" si="0"/>
        <v>2.7485109999999997</v>
      </c>
      <c r="D53">
        <f t="shared" si="1"/>
        <v>0.52544000000000002</v>
      </c>
      <c r="H53" s="1">
        <v>1.7999999999999999E-2</v>
      </c>
      <c r="I53">
        <f t="shared" si="2"/>
        <v>0.57722666499999997</v>
      </c>
      <c r="K53">
        <f t="shared" si="3"/>
        <v>-0.60268390797601201</v>
      </c>
    </row>
    <row r="54" spans="1:11" x14ac:dyDescent="0.3">
      <c r="A54">
        <v>561.10792000000004</v>
      </c>
      <c r="B54">
        <v>0.52212000000000003</v>
      </c>
      <c r="C54">
        <f t="shared" si="0"/>
        <v>2.8055396000000004</v>
      </c>
      <c r="D54">
        <f t="shared" si="1"/>
        <v>0.52212000000000003</v>
      </c>
      <c r="H54" s="1">
        <v>1.7999999999999999E-2</v>
      </c>
      <c r="I54">
        <f t="shared" si="2"/>
        <v>0.57491319799999996</v>
      </c>
      <c r="K54">
        <f t="shared" si="3"/>
        <v>-0.60499737497601203</v>
      </c>
    </row>
    <row r="55" spans="1:11" x14ac:dyDescent="0.3">
      <c r="A55">
        <v>572.30992000000003</v>
      </c>
      <c r="B55">
        <v>0.51849000000000001</v>
      </c>
      <c r="C55">
        <f t="shared" si="0"/>
        <v>2.8615496</v>
      </c>
      <c r="D55">
        <f t="shared" si="1"/>
        <v>0.51849000000000001</v>
      </c>
      <c r="H55" s="1">
        <v>1.7999999999999999E-2</v>
      </c>
      <c r="I55">
        <f t="shared" si="2"/>
        <v>0.57261971280000001</v>
      </c>
      <c r="K55">
        <f t="shared" si="3"/>
        <v>-0.60729086017601197</v>
      </c>
    </row>
    <row r="56" spans="1:11" x14ac:dyDescent="0.3">
      <c r="A56">
        <v>582.49360000000001</v>
      </c>
      <c r="B56">
        <v>0.51534000000000002</v>
      </c>
      <c r="C56">
        <f t="shared" si="0"/>
        <v>2.9124680000000001</v>
      </c>
      <c r="D56">
        <f t="shared" si="1"/>
        <v>0.51534000000000002</v>
      </c>
      <c r="H56" s="1">
        <v>1.7999999999999999E-2</v>
      </c>
      <c r="I56">
        <f t="shared" si="2"/>
        <v>0.56999789280000002</v>
      </c>
      <c r="K56">
        <f t="shared" si="3"/>
        <v>-0.60991268017601197</v>
      </c>
    </row>
    <row r="57" spans="1:11" x14ac:dyDescent="0.3">
      <c r="A57">
        <v>592.57543999999996</v>
      </c>
      <c r="B57">
        <v>0.51166999999999996</v>
      </c>
      <c r="C57">
        <f t="shared" si="0"/>
        <v>2.9628771999999999</v>
      </c>
      <c r="D57">
        <f t="shared" si="1"/>
        <v>0.51166999999999996</v>
      </c>
      <c r="H57" s="1">
        <v>1.7999999999999999E-2</v>
      </c>
      <c r="I57">
        <f t="shared" si="2"/>
        <v>0.56776442400000005</v>
      </c>
      <c r="K57">
        <f t="shared" si="3"/>
        <v>-0.61214614897601194</v>
      </c>
    </row>
    <row r="58" spans="1:11" x14ac:dyDescent="0.3">
      <c r="A58">
        <v>603.47198000000003</v>
      </c>
      <c r="B58">
        <v>0.50844999999999996</v>
      </c>
      <c r="C58">
        <f t="shared" si="0"/>
        <v>3.0173599000000002</v>
      </c>
      <c r="D58">
        <f t="shared" si="1"/>
        <v>0.50844999999999996</v>
      </c>
      <c r="H58" s="1">
        <v>1.7999999999999999E-2</v>
      </c>
      <c r="I58">
        <f t="shared" si="2"/>
        <v>0.56500178959999992</v>
      </c>
      <c r="K58">
        <f t="shared" si="3"/>
        <v>-0.61490878337601207</v>
      </c>
    </row>
    <row r="59" spans="1:11" x14ac:dyDescent="0.3">
      <c r="A59">
        <v>613.55380000000002</v>
      </c>
      <c r="B59">
        <v>0.50532999999999995</v>
      </c>
      <c r="C59">
        <f t="shared" si="0"/>
        <v>3.0677690000000002</v>
      </c>
      <c r="D59">
        <f t="shared" si="1"/>
        <v>0.50532999999999995</v>
      </c>
      <c r="H59" s="1">
        <v>1.7999999999999999E-2</v>
      </c>
      <c r="I59">
        <f t="shared" si="2"/>
        <v>0.56276247819999992</v>
      </c>
      <c r="K59">
        <f t="shared" si="3"/>
        <v>-0.61714809477601207</v>
      </c>
    </row>
    <row r="60" spans="1:11" x14ac:dyDescent="0.3">
      <c r="A60">
        <v>624.65395999999998</v>
      </c>
      <c r="B60">
        <v>0.50248999999999999</v>
      </c>
      <c r="C60">
        <f t="shared" si="0"/>
        <v>3.1232698000000001</v>
      </c>
      <c r="D60">
        <f t="shared" si="1"/>
        <v>0.50248999999999999</v>
      </c>
      <c r="H60" s="1">
        <v>1.7999999999999999E-2</v>
      </c>
      <c r="I60">
        <f t="shared" si="2"/>
        <v>0.56054984199999991</v>
      </c>
      <c r="K60">
        <f t="shared" si="3"/>
        <v>-0.61936073097601207</v>
      </c>
    </row>
    <row r="61" spans="1:11" x14ac:dyDescent="0.3">
      <c r="A61">
        <v>634.83759999999995</v>
      </c>
      <c r="B61">
        <v>0.49873000000000001</v>
      </c>
      <c r="C61">
        <f t="shared" si="0"/>
        <v>3.1741879999999996</v>
      </c>
      <c r="D61">
        <f t="shared" si="1"/>
        <v>0.49873000000000001</v>
      </c>
      <c r="H61" s="1">
        <v>1.7999999999999999E-2</v>
      </c>
      <c r="I61">
        <f t="shared" si="2"/>
        <v>0.55870885640000001</v>
      </c>
      <c r="K61">
        <f t="shared" si="3"/>
        <v>-0.62120171657601198</v>
      </c>
    </row>
    <row r="62" spans="1:11" x14ac:dyDescent="0.3">
      <c r="A62">
        <v>645.02128000000005</v>
      </c>
      <c r="B62">
        <v>0.49593999999999999</v>
      </c>
      <c r="C62">
        <f t="shared" si="0"/>
        <v>3.2251064</v>
      </c>
      <c r="D62">
        <f t="shared" si="1"/>
        <v>0.49593999999999999</v>
      </c>
      <c r="H62" s="1">
        <v>1.7999999999999999E-2</v>
      </c>
      <c r="I62">
        <f t="shared" si="2"/>
        <v>0.55586538399999996</v>
      </c>
      <c r="K62">
        <f t="shared" si="3"/>
        <v>-0.62404518897601202</v>
      </c>
    </row>
    <row r="63" spans="1:11" x14ac:dyDescent="0.3">
      <c r="A63">
        <v>655.51044000000002</v>
      </c>
      <c r="B63">
        <v>0.49238999999999999</v>
      </c>
      <c r="C63">
        <f t="shared" si="0"/>
        <v>3.2775522000000001</v>
      </c>
      <c r="D63">
        <f t="shared" si="1"/>
        <v>0.49238999999999999</v>
      </c>
      <c r="H63" s="1">
        <v>1.7999999999999999E-2</v>
      </c>
      <c r="I63">
        <f t="shared" si="2"/>
        <v>0.55399191520000002</v>
      </c>
      <c r="K63">
        <f t="shared" si="3"/>
        <v>-0.62591865777601197</v>
      </c>
    </row>
    <row r="64" spans="1:11" x14ac:dyDescent="0.3">
      <c r="A64">
        <v>665.99959999999999</v>
      </c>
      <c r="B64">
        <v>0.48937000000000003</v>
      </c>
      <c r="C64">
        <f t="shared" si="0"/>
        <v>3.3299979999999998</v>
      </c>
      <c r="D64">
        <f t="shared" si="1"/>
        <v>0.48937000000000003</v>
      </c>
      <c r="H64" s="1">
        <v>1.7999999999999999E-2</v>
      </c>
      <c r="I64">
        <f t="shared" si="2"/>
        <v>0.55138593960000004</v>
      </c>
      <c r="K64">
        <f t="shared" si="3"/>
        <v>-0.62852463337601194</v>
      </c>
    </row>
    <row r="65" spans="1:11" x14ac:dyDescent="0.3">
      <c r="A65">
        <v>676.48882000000003</v>
      </c>
      <c r="B65">
        <v>0.48607</v>
      </c>
      <c r="C65">
        <f t="shared" si="0"/>
        <v>3.3824441000000003</v>
      </c>
      <c r="D65">
        <f t="shared" si="1"/>
        <v>0.48607</v>
      </c>
      <c r="H65" s="1">
        <v>1.7999999999999999E-2</v>
      </c>
      <c r="I65">
        <f t="shared" si="2"/>
        <v>0.54930996399999998</v>
      </c>
      <c r="K65">
        <f t="shared" si="3"/>
        <v>-0.630600608976012</v>
      </c>
    </row>
    <row r="66" spans="1:11" x14ac:dyDescent="0.3">
      <c r="A66">
        <v>686.57065999999998</v>
      </c>
      <c r="B66">
        <v>0.48324</v>
      </c>
      <c r="C66">
        <f t="shared" ref="C66:C129" si="4">A66/200</f>
        <v>3.4328532999999997</v>
      </c>
      <c r="D66">
        <f t="shared" ref="D66:D129" si="5">B66</f>
        <v>0.48324</v>
      </c>
      <c r="H66" s="1">
        <v>1.7999999999999999E-2</v>
      </c>
      <c r="I66">
        <f t="shared" ref="I66:I129" si="6">B65+(C65*H66)</f>
        <v>0.54695399379999998</v>
      </c>
      <c r="K66">
        <f t="shared" si="3"/>
        <v>-0.632956579176012</v>
      </c>
    </row>
    <row r="67" spans="1:11" x14ac:dyDescent="0.3">
      <c r="A67">
        <v>696.75429999999994</v>
      </c>
      <c r="B67">
        <v>0.48036000000000001</v>
      </c>
      <c r="C67">
        <f t="shared" si="4"/>
        <v>3.4837714999999996</v>
      </c>
      <c r="D67">
        <f t="shared" si="5"/>
        <v>0.48036000000000001</v>
      </c>
      <c r="H67" s="1">
        <v>1.7999999999999999E-2</v>
      </c>
      <c r="I67">
        <f t="shared" si="6"/>
        <v>0.54503135940000003</v>
      </c>
      <c r="K67">
        <f t="shared" ref="K67:K130" si="7">I67-$K$1</f>
        <v>-0.63487921357601196</v>
      </c>
    </row>
    <row r="68" spans="1:11" x14ac:dyDescent="0.3">
      <c r="A68">
        <v>706.83614</v>
      </c>
      <c r="B68">
        <v>0.47789999999999999</v>
      </c>
      <c r="C68">
        <f t="shared" si="4"/>
        <v>3.5341806999999998</v>
      </c>
      <c r="D68">
        <f t="shared" si="5"/>
        <v>0.47789999999999999</v>
      </c>
      <c r="H68" s="1">
        <v>1.7999999999999999E-2</v>
      </c>
      <c r="I68">
        <f t="shared" si="6"/>
        <v>0.54306788699999997</v>
      </c>
      <c r="K68">
        <f t="shared" si="7"/>
        <v>-0.63684268597601201</v>
      </c>
    </row>
    <row r="69" spans="1:11" x14ac:dyDescent="0.3">
      <c r="A69">
        <v>717.12163999999996</v>
      </c>
      <c r="B69">
        <v>0.47439999999999999</v>
      </c>
      <c r="C69">
        <f t="shared" si="4"/>
        <v>3.5856081999999998</v>
      </c>
      <c r="D69">
        <f t="shared" si="5"/>
        <v>0.47439999999999999</v>
      </c>
      <c r="H69" s="1">
        <v>1.7999999999999999E-2</v>
      </c>
      <c r="I69">
        <f t="shared" si="6"/>
        <v>0.5415152526</v>
      </c>
      <c r="K69">
        <f t="shared" si="7"/>
        <v>-0.63839532037601199</v>
      </c>
    </row>
    <row r="70" spans="1:11" x14ac:dyDescent="0.3">
      <c r="A70">
        <v>727.20345999999995</v>
      </c>
      <c r="B70">
        <v>0.47141</v>
      </c>
      <c r="C70">
        <f t="shared" si="4"/>
        <v>3.6360172999999998</v>
      </c>
      <c r="D70">
        <f t="shared" si="5"/>
        <v>0.47141</v>
      </c>
      <c r="H70" s="1">
        <v>1.7999999999999999E-2</v>
      </c>
      <c r="I70">
        <f t="shared" si="6"/>
        <v>0.5389409476</v>
      </c>
      <c r="K70">
        <f t="shared" si="7"/>
        <v>-0.64096962537601199</v>
      </c>
    </row>
    <row r="71" spans="1:11" x14ac:dyDescent="0.3">
      <c r="A71">
        <v>737.28530000000001</v>
      </c>
      <c r="B71">
        <v>0.46867999999999999</v>
      </c>
      <c r="C71">
        <f t="shared" si="4"/>
        <v>3.6864265000000001</v>
      </c>
      <c r="D71">
        <f t="shared" si="5"/>
        <v>0.46867999999999999</v>
      </c>
      <c r="H71" s="1">
        <v>1.7999999999999999E-2</v>
      </c>
      <c r="I71">
        <f t="shared" si="6"/>
        <v>0.53685831139999995</v>
      </c>
      <c r="K71">
        <f t="shared" si="7"/>
        <v>-0.64305226157601203</v>
      </c>
    </row>
    <row r="72" spans="1:11" x14ac:dyDescent="0.3">
      <c r="A72">
        <v>747.87626</v>
      </c>
      <c r="B72">
        <v>0.4657</v>
      </c>
      <c r="C72">
        <f t="shared" si="4"/>
        <v>3.7393812999999998</v>
      </c>
      <c r="D72">
        <f t="shared" si="5"/>
        <v>0.4657</v>
      </c>
      <c r="H72" s="1">
        <v>1.7999999999999999E-2</v>
      </c>
      <c r="I72">
        <f t="shared" si="6"/>
        <v>0.53503567699999999</v>
      </c>
      <c r="K72">
        <f t="shared" si="7"/>
        <v>-0.644874895976012</v>
      </c>
    </row>
    <row r="73" spans="1:11" x14ac:dyDescent="0.3">
      <c r="A73">
        <v>758.06</v>
      </c>
      <c r="B73">
        <v>0.46311999999999998</v>
      </c>
      <c r="C73">
        <f t="shared" si="4"/>
        <v>3.7902999999999998</v>
      </c>
      <c r="D73">
        <f t="shared" si="5"/>
        <v>0.46311999999999998</v>
      </c>
      <c r="H73" s="1">
        <v>1.7999999999999999E-2</v>
      </c>
      <c r="I73">
        <f t="shared" si="6"/>
        <v>0.53300886339999998</v>
      </c>
      <c r="K73">
        <f t="shared" si="7"/>
        <v>-0.64690170957601201</v>
      </c>
    </row>
    <row r="74" spans="1:11" x14ac:dyDescent="0.3">
      <c r="A74">
        <v>768.54916000000003</v>
      </c>
      <c r="B74">
        <v>0.46005000000000001</v>
      </c>
      <c r="C74">
        <f t="shared" si="4"/>
        <v>3.8427458000000003</v>
      </c>
      <c r="D74">
        <f t="shared" si="5"/>
        <v>0.46005000000000001</v>
      </c>
      <c r="H74" s="1">
        <v>1.7999999999999999E-2</v>
      </c>
      <c r="I74">
        <f t="shared" si="6"/>
        <v>0.53134539999999997</v>
      </c>
      <c r="K74">
        <f t="shared" si="7"/>
        <v>-0.64856517297601202</v>
      </c>
    </row>
    <row r="75" spans="1:11" x14ac:dyDescent="0.3">
      <c r="A75">
        <v>778.93647999999996</v>
      </c>
      <c r="B75">
        <v>0.45716000000000001</v>
      </c>
      <c r="C75">
        <f t="shared" si="4"/>
        <v>3.8946823999999998</v>
      </c>
      <c r="D75">
        <f t="shared" si="5"/>
        <v>0.45716000000000001</v>
      </c>
      <c r="H75" s="1">
        <v>1.7999999999999999E-2</v>
      </c>
      <c r="I75">
        <f t="shared" si="6"/>
        <v>0.52921942440000003</v>
      </c>
      <c r="K75">
        <f t="shared" si="7"/>
        <v>-0.65069114857601196</v>
      </c>
    </row>
    <row r="76" spans="1:11" x14ac:dyDescent="0.3">
      <c r="A76">
        <v>789.12012000000004</v>
      </c>
      <c r="B76">
        <v>0.45438000000000001</v>
      </c>
      <c r="C76">
        <f t="shared" si="4"/>
        <v>3.9456006000000001</v>
      </c>
      <c r="D76">
        <f t="shared" si="5"/>
        <v>0.45438000000000001</v>
      </c>
      <c r="H76" s="1">
        <v>1.7999999999999999E-2</v>
      </c>
      <c r="I76">
        <f t="shared" si="6"/>
        <v>0.52726428319999996</v>
      </c>
      <c r="K76">
        <f t="shared" si="7"/>
        <v>-0.65264628977601202</v>
      </c>
    </row>
    <row r="77" spans="1:11" x14ac:dyDescent="0.3">
      <c r="A77">
        <v>799.20195999999999</v>
      </c>
      <c r="B77">
        <v>0.45138</v>
      </c>
      <c r="C77">
        <f t="shared" si="4"/>
        <v>3.9960097999999999</v>
      </c>
      <c r="D77">
        <f t="shared" si="5"/>
        <v>0.45138</v>
      </c>
      <c r="H77" s="1">
        <v>1.7999999999999999E-2</v>
      </c>
      <c r="I77">
        <f t="shared" si="6"/>
        <v>0.52540081080000001</v>
      </c>
      <c r="K77">
        <f t="shared" si="7"/>
        <v>-0.65450976217601198</v>
      </c>
    </row>
    <row r="78" spans="1:11" x14ac:dyDescent="0.3">
      <c r="A78">
        <v>809.48749999999995</v>
      </c>
      <c r="B78">
        <v>0.44838</v>
      </c>
      <c r="C78">
        <f t="shared" si="4"/>
        <v>4.0474375</v>
      </c>
      <c r="D78">
        <f t="shared" si="5"/>
        <v>0.44838</v>
      </c>
      <c r="H78" s="1">
        <v>1.7999999999999999E-2</v>
      </c>
      <c r="I78">
        <f t="shared" si="6"/>
        <v>0.52330817640000005</v>
      </c>
      <c r="K78">
        <f t="shared" si="7"/>
        <v>-0.65660239657601194</v>
      </c>
    </row>
    <row r="79" spans="1:11" x14ac:dyDescent="0.3">
      <c r="A79">
        <v>819.87480000000005</v>
      </c>
      <c r="B79">
        <v>0.44588</v>
      </c>
      <c r="C79">
        <f t="shared" si="4"/>
        <v>4.0993740000000001</v>
      </c>
      <c r="D79">
        <f t="shared" si="5"/>
        <v>0.44588</v>
      </c>
      <c r="H79" s="1">
        <v>1.7999999999999999E-2</v>
      </c>
      <c r="I79">
        <f t="shared" si="6"/>
        <v>0.52123387499999996</v>
      </c>
      <c r="K79">
        <f t="shared" si="7"/>
        <v>-0.65867669797601203</v>
      </c>
    </row>
    <row r="80" spans="1:11" x14ac:dyDescent="0.3">
      <c r="A80">
        <v>830.46591999999998</v>
      </c>
      <c r="B80">
        <v>0.44318999999999997</v>
      </c>
      <c r="C80">
        <f t="shared" si="4"/>
        <v>4.1523295999999998</v>
      </c>
      <c r="D80">
        <f t="shared" si="5"/>
        <v>0.44318999999999997</v>
      </c>
      <c r="H80" s="1">
        <v>1.7999999999999999E-2</v>
      </c>
      <c r="I80">
        <f t="shared" si="6"/>
        <v>0.51966873199999997</v>
      </c>
      <c r="K80">
        <f t="shared" si="7"/>
        <v>-0.66024184097601202</v>
      </c>
    </row>
    <row r="81" spans="1:11" x14ac:dyDescent="0.3">
      <c r="A81">
        <v>840.95497999999998</v>
      </c>
      <c r="B81">
        <v>0.44052999999999998</v>
      </c>
      <c r="C81">
        <f t="shared" si="4"/>
        <v>4.2047749000000003</v>
      </c>
      <c r="D81">
        <f t="shared" si="5"/>
        <v>0.44052999999999998</v>
      </c>
      <c r="H81" s="1">
        <v>1.7999999999999999E-2</v>
      </c>
      <c r="I81">
        <f t="shared" si="6"/>
        <v>0.51793193279999994</v>
      </c>
      <c r="K81">
        <f t="shared" si="7"/>
        <v>-0.66197864017601205</v>
      </c>
    </row>
    <row r="82" spans="1:11" x14ac:dyDescent="0.3">
      <c r="A82">
        <v>851.03682000000003</v>
      </c>
      <c r="B82">
        <v>0.43769000000000002</v>
      </c>
      <c r="C82">
        <f t="shared" si="4"/>
        <v>4.2551841000000001</v>
      </c>
      <c r="D82">
        <f t="shared" si="5"/>
        <v>0.43769000000000002</v>
      </c>
      <c r="H82" s="1">
        <v>1.7999999999999999E-2</v>
      </c>
      <c r="I82">
        <f t="shared" si="6"/>
        <v>0.51621594819999994</v>
      </c>
      <c r="K82">
        <f t="shared" si="7"/>
        <v>-0.66369462477601204</v>
      </c>
    </row>
    <row r="83" spans="1:11" x14ac:dyDescent="0.3">
      <c r="A83">
        <v>861.11865999999998</v>
      </c>
      <c r="B83">
        <v>0.43484</v>
      </c>
      <c r="C83">
        <f t="shared" si="4"/>
        <v>4.3055933</v>
      </c>
      <c r="D83">
        <f t="shared" si="5"/>
        <v>0.43484</v>
      </c>
      <c r="H83" s="1">
        <v>1.7999999999999999E-2</v>
      </c>
      <c r="I83">
        <f t="shared" si="6"/>
        <v>0.51428331380000003</v>
      </c>
      <c r="K83">
        <f t="shared" si="7"/>
        <v>-0.66562725917601195</v>
      </c>
    </row>
    <row r="84" spans="1:11" x14ac:dyDescent="0.3">
      <c r="A84">
        <v>871.30244000000005</v>
      </c>
      <c r="B84">
        <v>0.43219000000000002</v>
      </c>
      <c r="C84">
        <f t="shared" si="4"/>
        <v>4.3565122000000001</v>
      </c>
      <c r="D84">
        <f t="shared" si="5"/>
        <v>0.43219000000000002</v>
      </c>
      <c r="H84" s="1">
        <v>1.7999999999999999E-2</v>
      </c>
      <c r="I84">
        <f t="shared" si="6"/>
        <v>0.51234067940000005</v>
      </c>
      <c r="K84">
        <f t="shared" si="7"/>
        <v>-0.66756989357601193</v>
      </c>
    </row>
    <row r="85" spans="1:11" x14ac:dyDescent="0.3">
      <c r="A85">
        <v>882.60626000000002</v>
      </c>
      <c r="B85">
        <v>0.42949999999999999</v>
      </c>
      <c r="C85">
        <f t="shared" si="4"/>
        <v>4.4130313000000001</v>
      </c>
      <c r="D85">
        <f t="shared" si="5"/>
        <v>0.42949999999999999</v>
      </c>
      <c r="H85" s="1">
        <v>1.7999999999999999E-2</v>
      </c>
      <c r="I85">
        <f t="shared" si="6"/>
        <v>0.5106072196</v>
      </c>
      <c r="K85">
        <f t="shared" si="7"/>
        <v>-0.66930335337601199</v>
      </c>
    </row>
    <row r="86" spans="1:11" x14ac:dyDescent="0.3">
      <c r="A86">
        <v>893.19726000000003</v>
      </c>
      <c r="B86">
        <v>0.42635000000000001</v>
      </c>
      <c r="C86">
        <f t="shared" si="4"/>
        <v>4.4659863</v>
      </c>
      <c r="D86">
        <f t="shared" si="5"/>
        <v>0.42635000000000001</v>
      </c>
      <c r="H86" s="1">
        <v>1.7999999999999999E-2</v>
      </c>
      <c r="I86">
        <f t="shared" si="6"/>
        <v>0.50893456339999998</v>
      </c>
      <c r="K86">
        <f t="shared" si="7"/>
        <v>-0.670976009576012</v>
      </c>
    </row>
    <row r="87" spans="1:11" x14ac:dyDescent="0.3">
      <c r="A87">
        <v>903.78827999999999</v>
      </c>
      <c r="B87">
        <v>0.42359999999999998</v>
      </c>
      <c r="C87">
        <f t="shared" si="4"/>
        <v>4.5189414000000001</v>
      </c>
      <c r="D87">
        <f t="shared" si="5"/>
        <v>0.42359999999999998</v>
      </c>
      <c r="H87" s="1">
        <v>1.7999999999999999E-2</v>
      </c>
      <c r="I87">
        <f t="shared" si="6"/>
        <v>0.50673775340000005</v>
      </c>
      <c r="K87">
        <f t="shared" si="7"/>
        <v>-0.67317281957601194</v>
      </c>
    </row>
    <row r="88" spans="1:11" x14ac:dyDescent="0.3">
      <c r="A88">
        <v>914.07381999999996</v>
      </c>
      <c r="B88">
        <v>0.42091000000000001</v>
      </c>
      <c r="C88">
        <f t="shared" si="4"/>
        <v>4.5703690999999997</v>
      </c>
      <c r="D88">
        <f t="shared" si="5"/>
        <v>0.42091000000000001</v>
      </c>
      <c r="H88" s="1">
        <v>1.7999999999999999E-2</v>
      </c>
      <c r="I88">
        <f t="shared" si="6"/>
        <v>0.50494094519999999</v>
      </c>
      <c r="K88">
        <f t="shared" si="7"/>
        <v>-0.67496962777601199</v>
      </c>
    </row>
    <row r="89" spans="1:11" x14ac:dyDescent="0.3">
      <c r="A89">
        <v>924.25742000000002</v>
      </c>
      <c r="B89">
        <v>0.41842000000000001</v>
      </c>
      <c r="C89">
        <f t="shared" si="4"/>
        <v>4.6212871</v>
      </c>
      <c r="D89">
        <f t="shared" si="5"/>
        <v>0.41842000000000001</v>
      </c>
      <c r="H89" s="1">
        <v>1.7999999999999999E-2</v>
      </c>
      <c r="I89">
        <f t="shared" si="6"/>
        <v>0.50317664380000005</v>
      </c>
      <c r="K89">
        <f t="shared" si="7"/>
        <v>-0.67673392917601194</v>
      </c>
    </row>
    <row r="90" spans="1:11" x14ac:dyDescent="0.3">
      <c r="A90">
        <v>934.64481999999998</v>
      </c>
      <c r="B90">
        <v>0.41588000000000003</v>
      </c>
      <c r="C90">
        <f t="shared" si="4"/>
        <v>4.6732240999999997</v>
      </c>
      <c r="D90">
        <f t="shared" si="5"/>
        <v>0.41588000000000003</v>
      </c>
      <c r="H90" s="1">
        <v>1.7999999999999999E-2</v>
      </c>
      <c r="I90">
        <f t="shared" si="6"/>
        <v>0.50160316780000003</v>
      </c>
      <c r="K90">
        <f t="shared" si="7"/>
        <v>-0.67830740517601196</v>
      </c>
    </row>
    <row r="91" spans="1:11" x14ac:dyDescent="0.3">
      <c r="A91">
        <v>945.03211999999996</v>
      </c>
      <c r="B91">
        <v>0.41295999999999999</v>
      </c>
      <c r="C91">
        <f t="shared" si="4"/>
        <v>4.7251605999999997</v>
      </c>
      <c r="D91">
        <f t="shared" si="5"/>
        <v>0.41295999999999999</v>
      </c>
      <c r="H91" s="1">
        <v>1.7999999999999999E-2</v>
      </c>
      <c r="I91">
        <f t="shared" si="6"/>
        <v>0.49999803380000002</v>
      </c>
      <c r="K91">
        <f t="shared" si="7"/>
        <v>-0.67991253917601191</v>
      </c>
    </row>
    <row r="92" spans="1:11" x14ac:dyDescent="0.3">
      <c r="A92">
        <v>955.21572000000003</v>
      </c>
      <c r="B92">
        <v>0.41038999999999998</v>
      </c>
      <c r="C92">
        <f t="shared" si="4"/>
        <v>4.7760786</v>
      </c>
      <c r="D92">
        <f t="shared" si="5"/>
        <v>0.41038999999999998</v>
      </c>
      <c r="H92" s="1">
        <v>1.7999999999999999E-2</v>
      </c>
      <c r="I92">
        <f t="shared" si="6"/>
        <v>0.4980128908</v>
      </c>
      <c r="K92">
        <f t="shared" si="7"/>
        <v>-0.68189768217601199</v>
      </c>
    </row>
    <row r="93" spans="1:11" x14ac:dyDescent="0.3">
      <c r="A93">
        <v>966.21406000000002</v>
      </c>
      <c r="B93">
        <v>0.40778999999999999</v>
      </c>
      <c r="C93">
        <f t="shared" si="4"/>
        <v>4.8310703000000004</v>
      </c>
      <c r="D93">
        <f t="shared" si="5"/>
        <v>0.40778999999999999</v>
      </c>
      <c r="H93" s="1">
        <v>1.7999999999999999E-2</v>
      </c>
      <c r="I93">
        <f t="shared" si="6"/>
        <v>0.49635941479999995</v>
      </c>
      <c r="K93">
        <f t="shared" si="7"/>
        <v>-0.68355115817601209</v>
      </c>
    </row>
    <row r="94" spans="1:11" x14ac:dyDescent="0.3">
      <c r="A94">
        <v>976.39786000000004</v>
      </c>
      <c r="B94">
        <v>0.40508</v>
      </c>
      <c r="C94">
        <f t="shared" si="4"/>
        <v>4.8819892999999999</v>
      </c>
      <c r="D94">
        <f t="shared" si="5"/>
        <v>0.40508</v>
      </c>
      <c r="H94" s="1">
        <v>1.7999999999999999E-2</v>
      </c>
      <c r="I94">
        <f t="shared" si="6"/>
        <v>0.49474926539999997</v>
      </c>
      <c r="K94">
        <f t="shared" si="7"/>
        <v>-0.68516130757601201</v>
      </c>
    </row>
    <row r="95" spans="1:11" x14ac:dyDescent="0.3">
      <c r="A95">
        <v>986.47968000000003</v>
      </c>
      <c r="B95">
        <v>0.40239000000000003</v>
      </c>
      <c r="C95">
        <f t="shared" si="4"/>
        <v>4.9323984000000003</v>
      </c>
      <c r="D95">
        <f t="shared" si="5"/>
        <v>0.40239000000000003</v>
      </c>
      <c r="H95" s="1">
        <v>1.7999999999999999E-2</v>
      </c>
      <c r="I95">
        <f t="shared" si="6"/>
        <v>0.4929558074</v>
      </c>
      <c r="K95">
        <f t="shared" si="7"/>
        <v>-0.68695476557601198</v>
      </c>
    </row>
    <row r="96" spans="1:11" x14ac:dyDescent="0.3">
      <c r="A96">
        <v>996.66327999999999</v>
      </c>
      <c r="B96">
        <v>0.40007999999999999</v>
      </c>
      <c r="C96">
        <f t="shared" si="4"/>
        <v>4.9833163999999996</v>
      </c>
      <c r="D96">
        <f t="shared" si="5"/>
        <v>0.40007999999999999</v>
      </c>
      <c r="H96" s="1">
        <v>1.7999999999999999E-2</v>
      </c>
      <c r="I96">
        <f t="shared" si="6"/>
        <v>0.49117317120000004</v>
      </c>
      <c r="K96">
        <f t="shared" si="7"/>
        <v>-0.68873740177601195</v>
      </c>
    </row>
    <row r="97" spans="1:11" x14ac:dyDescent="0.3">
      <c r="A97">
        <v>1006.84698</v>
      </c>
      <c r="B97">
        <v>0.39744000000000002</v>
      </c>
      <c r="C97">
        <f t="shared" si="4"/>
        <v>5.0342349000000004</v>
      </c>
      <c r="D97">
        <f t="shared" si="5"/>
        <v>0.39744000000000002</v>
      </c>
      <c r="H97" s="1">
        <v>1.7999999999999999E-2</v>
      </c>
      <c r="I97">
        <f t="shared" si="6"/>
        <v>0.48977969519999998</v>
      </c>
      <c r="K97">
        <f t="shared" si="7"/>
        <v>-0.69013087777601201</v>
      </c>
    </row>
    <row r="98" spans="1:11" x14ac:dyDescent="0.3">
      <c r="A98">
        <v>1017.13242</v>
      </c>
      <c r="B98">
        <v>0.39511000000000002</v>
      </c>
      <c r="C98">
        <f t="shared" si="4"/>
        <v>5.0856621000000004</v>
      </c>
      <c r="D98">
        <f t="shared" si="5"/>
        <v>0.39511000000000002</v>
      </c>
      <c r="H98" s="1">
        <v>1.7999999999999999E-2</v>
      </c>
      <c r="I98">
        <f t="shared" si="6"/>
        <v>0.4880562282</v>
      </c>
      <c r="K98">
        <f t="shared" si="7"/>
        <v>-0.69185434477601193</v>
      </c>
    </row>
    <row r="99" spans="1:11" x14ac:dyDescent="0.3">
      <c r="A99">
        <v>1027.8253</v>
      </c>
      <c r="B99">
        <v>0.39258999999999999</v>
      </c>
      <c r="C99">
        <f t="shared" si="4"/>
        <v>5.1391264999999997</v>
      </c>
      <c r="D99">
        <f t="shared" si="5"/>
        <v>0.39258999999999999</v>
      </c>
      <c r="H99" s="1">
        <v>1.7999999999999999E-2</v>
      </c>
      <c r="I99">
        <f t="shared" si="6"/>
        <v>0.4866519178</v>
      </c>
      <c r="K99">
        <f t="shared" si="7"/>
        <v>-0.69325865517601204</v>
      </c>
    </row>
    <row r="100" spans="1:11" x14ac:dyDescent="0.3">
      <c r="A100">
        <v>1038.2126000000001</v>
      </c>
      <c r="B100">
        <v>0.38956000000000002</v>
      </c>
      <c r="C100">
        <f t="shared" si="4"/>
        <v>5.1910630000000006</v>
      </c>
      <c r="D100">
        <f t="shared" si="5"/>
        <v>0.38956000000000002</v>
      </c>
      <c r="H100" s="1">
        <v>1.7999999999999999E-2</v>
      </c>
      <c r="I100">
        <f t="shared" si="6"/>
        <v>0.48509427699999996</v>
      </c>
      <c r="K100">
        <f t="shared" si="7"/>
        <v>-0.69481629597601202</v>
      </c>
    </row>
    <row r="101" spans="1:11" x14ac:dyDescent="0.3">
      <c r="A101">
        <v>1049.0073199999999</v>
      </c>
      <c r="B101">
        <v>0.38724999999999998</v>
      </c>
      <c r="C101">
        <f t="shared" si="4"/>
        <v>5.2450365999999997</v>
      </c>
      <c r="D101">
        <f t="shared" si="5"/>
        <v>0.38724999999999998</v>
      </c>
      <c r="H101" s="1">
        <v>1.7999999999999999E-2</v>
      </c>
      <c r="I101">
        <f t="shared" si="6"/>
        <v>0.48299913400000005</v>
      </c>
      <c r="K101">
        <f t="shared" si="7"/>
        <v>-0.69691143897601193</v>
      </c>
    </row>
    <row r="102" spans="1:11" x14ac:dyDescent="0.3">
      <c r="A102">
        <v>1059.19102</v>
      </c>
      <c r="B102">
        <v>0.38474000000000003</v>
      </c>
      <c r="C102">
        <f t="shared" si="4"/>
        <v>5.2959550999999996</v>
      </c>
      <c r="D102">
        <f t="shared" si="5"/>
        <v>0.38474000000000003</v>
      </c>
      <c r="H102" s="1">
        <v>1.7999999999999999E-2</v>
      </c>
      <c r="I102">
        <f t="shared" si="6"/>
        <v>0.48166065879999997</v>
      </c>
      <c r="K102">
        <f t="shared" si="7"/>
        <v>-0.69824991417601201</v>
      </c>
    </row>
    <row r="103" spans="1:11" x14ac:dyDescent="0.3">
      <c r="A103">
        <v>1069.27286</v>
      </c>
      <c r="B103">
        <v>0.38211000000000001</v>
      </c>
      <c r="C103">
        <f t="shared" si="4"/>
        <v>5.3463643000000003</v>
      </c>
      <c r="D103">
        <f t="shared" si="5"/>
        <v>0.38211000000000001</v>
      </c>
      <c r="H103" s="1">
        <v>1.7999999999999999E-2</v>
      </c>
      <c r="I103">
        <f t="shared" si="6"/>
        <v>0.48006719180000001</v>
      </c>
      <c r="K103">
        <f t="shared" si="7"/>
        <v>-0.69984338117601197</v>
      </c>
    </row>
    <row r="104" spans="1:11" x14ac:dyDescent="0.3">
      <c r="A104">
        <v>1079.7620199999999</v>
      </c>
      <c r="B104">
        <v>0.37963000000000002</v>
      </c>
      <c r="C104">
        <f t="shared" si="4"/>
        <v>5.3988100999999995</v>
      </c>
      <c r="D104">
        <f t="shared" si="5"/>
        <v>0.37963000000000002</v>
      </c>
      <c r="H104" s="1">
        <v>1.7999999999999999E-2</v>
      </c>
      <c r="I104">
        <f t="shared" si="6"/>
        <v>0.47834455740000004</v>
      </c>
      <c r="K104">
        <f t="shared" si="7"/>
        <v>-0.70156601557601195</v>
      </c>
    </row>
    <row r="105" spans="1:11" x14ac:dyDescent="0.3">
      <c r="A105">
        <v>1089.84376</v>
      </c>
      <c r="B105">
        <v>0.37748999999999999</v>
      </c>
      <c r="C105">
        <f t="shared" si="4"/>
        <v>5.4492187999999997</v>
      </c>
      <c r="D105">
        <f t="shared" si="5"/>
        <v>0.37748999999999999</v>
      </c>
      <c r="H105" s="1">
        <v>1.7999999999999999E-2</v>
      </c>
      <c r="I105">
        <f t="shared" si="6"/>
        <v>0.47680858180000002</v>
      </c>
      <c r="K105">
        <f t="shared" si="7"/>
        <v>-0.70310199117601191</v>
      </c>
    </row>
    <row r="106" spans="1:11" x14ac:dyDescent="0.3">
      <c r="A106">
        <v>1099.9256800000001</v>
      </c>
      <c r="B106">
        <v>0.37481999999999999</v>
      </c>
      <c r="C106">
        <f t="shared" si="4"/>
        <v>5.4996284000000006</v>
      </c>
      <c r="D106">
        <f t="shared" si="5"/>
        <v>0.37481999999999999</v>
      </c>
      <c r="H106" s="1">
        <v>1.7999999999999999E-2</v>
      </c>
      <c r="I106">
        <f t="shared" si="6"/>
        <v>0.47557593840000001</v>
      </c>
      <c r="K106">
        <f t="shared" si="7"/>
        <v>-0.70433463457601198</v>
      </c>
    </row>
    <row r="107" spans="1:11" x14ac:dyDescent="0.3">
      <c r="A107">
        <v>1110.2112400000001</v>
      </c>
      <c r="B107">
        <v>0.37242999999999998</v>
      </c>
      <c r="C107">
        <f t="shared" si="4"/>
        <v>5.5510562000000006</v>
      </c>
      <c r="D107">
        <f t="shared" si="5"/>
        <v>0.37242999999999998</v>
      </c>
      <c r="H107" s="1">
        <v>1.7999999999999999E-2</v>
      </c>
      <c r="I107">
        <f t="shared" si="6"/>
        <v>0.47381331119999998</v>
      </c>
      <c r="K107">
        <f t="shared" si="7"/>
        <v>-0.70609726177601195</v>
      </c>
    </row>
    <row r="108" spans="1:11" x14ac:dyDescent="0.3">
      <c r="A108">
        <v>1120.904</v>
      </c>
      <c r="B108">
        <v>0.37006</v>
      </c>
      <c r="C108">
        <f t="shared" si="4"/>
        <v>5.6045199999999999</v>
      </c>
      <c r="D108">
        <f t="shared" si="5"/>
        <v>0.37006</v>
      </c>
      <c r="H108" s="1">
        <v>1.7999999999999999E-2</v>
      </c>
      <c r="I108">
        <f t="shared" si="6"/>
        <v>0.47234901159999998</v>
      </c>
      <c r="K108">
        <f t="shared" si="7"/>
        <v>-0.707561561376012</v>
      </c>
    </row>
    <row r="109" spans="1:11" x14ac:dyDescent="0.3">
      <c r="A109">
        <v>1131.18956</v>
      </c>
      <c r="B109">
        <v>0.36726999999999999</v>
      </c>
      <c r="C109">
        <f t="shared" si="4"/>
        <v>5.6559477999999999</v>
      </c>
      <c r="D109">
        <f t="shared" si="5"/>
        <v>0.36726999999999999</v>
      </c>
      <c r="H109" s="1">
        <v>1.7999999999999999E-2</v>
      </c>
      <c r="I109">
        <f t="shared" si="6"/>
        <v>0.47094135999999998</v>
      </c>
      <c r="K109">
        <f t="shared" si="7"/>
        <v>-0.70896921297601201</v>
      </c>
    </row>
    <row r="110" spans="1:11" x14ac:dyDescent="0.3">
      <c r="A110">
        <v>1141.4749999999999</v>
      </c>
      <c r="B110">
        <v>0.36506</v>
      </c>
      <c r="C110">
        <f t="shared" si="4"/>
        <v>5.7073749999999999</v>
      </c>
      <c r="D110">
        <f t="shared" si="5"/>
        <v>0.36506</v>
      </c>
      <c r="H110" s="1">
        <v>1.7999999999999999E-2</v>
      </c>
      <c r="I110">
        <f t="shared" si="6"/>
        <v>0.46907706039999997</v>
      </c>
      <c r="K110">
        <f t="shared" si="7"/>
        <v>-0.71083351257601202</v>
      </c>
    </row>
    <row r="111" spans="1:11" x14ac:dyDescent="0.3">
      <c r="A111">
        <v>1151.6587</v>
      </c>
      <c r="B111">
        <v>0.36262</v>
      </c>
      <c r="C111">
        <f t="shared" si="4"/>
        <v>5.7582934999999997</v>
      </c>
      <c r="D111">
        <f t="shared" si="5"/>
        <v>0.36262</v>
      </c>
      <c r="H111" s="1">
        <v>1.7999999999999999E-2</v>
      </c>
      <c r="I111">
        <f t="shared" si="6"/>
        <v>0.46779274999999998</v>
      </c>
      <c r="K111">
        <f t="shared" si="7"/>
        <v>-0.712117822976012</v>
      </c>
    </row>
    <row r="112" spans="1:11" x14ac:dyDescent="0.3">
      <c r="A112">
        <v>1161.94424</v>
      </c>
      <c r="B112">
        <v>0.35988999999999999</v>
      </c>
      <c r="C112">
        <f t="shared" si="4"/>
        <v>5.8097212000000003</v>
      </c>
      <c r="D112">
        <f t="shared" si="5"/>
        <v>0.35988999999999999</v>
      </c>
      <c r="H112" s="1">
        <v>1.7999999999999999E-2</v>
      </c>
      <c r="I112">
        <f t="shared" si="6"/>
        <v>0.46626928299999998</v>
      </c>
      <c r="K112">
        <f t="shared" si="7"/>
        <v>-0.71364128997601206</v>
      </c>
    </row>
    <row r="113" spans="1:11" x14ac:dyDescent="0.3">
      <c r="A113">
        <v>1172.0259799999999</v>
      </c>
      <c r="B113">
        <v>0.35786000000000001</v>
      </c>
      <c r="C113">
        <f t="shared" si="4"/>
        <v>5.8601298999999996</v>
      </c>
      <c r="D113">
        <f t="shared" si="5"/>
        <v>0.35786000000000001</v>
      </c>
      <c r="H113" s="1">
        <v>1.7999999999999999E-2</v>
      </c>
      <c r="I113">
        <f t="shared" si="6"/>
        <v>0.46446498159999999</v>
      </c>
      <c r="K113">
        <f t="shared" si="7"/>
        <v>-0.71544559137601205</v>
      </c>
    </row>
    <row r="114" spans="1:11" x14ac:dyDescent="0.3">
      <c r="A114">
        <v>1182.20966</v>
      </c>
      <c r="B114">
        <v>0.35547000000000001</v>
      </c>
      <c r="C114">
        <f t="shared" si="4"/>
        <v>5.9110483</v>
      </c>
      <c r="D114">
        <f t="shared" si="5"/>
        <v>0.35547000000000001</v>
      </c>
      <c r="H114" s="1">
        <v>1.7999999999999999E-2</v>
      </c>
      <c r="I114">
        <f t="shared" si="6"/>
        <v>0.46334233819999998</v>
      </c>
      <c r="K114">
        <f t="shared" si="7"/>
        <v>-0.71656823477601206</v>
      </c>
    </row>
    <row r="115" spans="1:11" x14ac:dyDescent="0.3">
      <c r="A115">
        <v>1192.8006800000001</v>
      </c>
      <c r="B115">
        <v>0.35299000000000003</v>
      </c>
      <c r="C115">
        <f t="shared" si="4"/>
        <v>5.9640034000000002</v>
      </c>
      <c r="D115">
        <f t="shared" si="5"/>
        <v>0.35299000000000003</v>
      </c>
      <c r="H115" s="1">
        <v>1.7999999999999999E-2</v>
      </c>
      <c r="I115">
        <f t="shared" si="6"/>
        <v>0.46186886939999999</v>
      </c>
      <c r="K115">
        <f t="shared" si="7"/>
        <v>-0.71804170357601205</v>
      </c>
    </row>
    <row r="116" spans="1:11" x14ac:dyDescent="0.3">
      <c r="A116">
        <v>1203.3916999999999</v>
      </c>
      <c r="B116">
        <v>0.35042000000000001</v>
      </c>
      <c r="C116">
        <f t="shared" si="4"/>
        <v>6.0169584999999994</v>
      </c>
      <c r="D116">
        <f t="shared" si="5"/>
        <v>0.35042000000000001</v>
      </c>
      <c r="H116" s="1">
        <v>1.7999999999999999E-2</v>
      </c>
      <c r="I116">
        <f t="shared" si="6"/>
        <v>0.46034206120000004</v>
      </c>
      <c r="K116">
        <f t="shared" si="7"/>
        <v>-0.719568511776012</v>
      </c>
    </row>
    <row r="117" spans="1:11" x14ac:dyDescent="0.3">
      <c r="A117">
        <v>1214.08458</v>
      </c>
      <c r="B117">
        <v>0.34806999999999999</v>
      </c>
      <c r="C117">
        <f t="shared" si="4"/>
        <v>6.0704228999999996</v>
      </c>
      <c r="D117">
        <f t="shared" si="5"/>
        <v>0.34806999999999999</v>
      </c>
      <c r="H117" s="1">
        <v>1.7999999999999999E-2</v>
      </c>
      <c r="I117">
        <f t="shared" si="6"/>
        <v>0.458725253</v>
      </c>
      <c r="K117">
        <f t="shared" si="7"/>
        <v>-0.72118531997601198</v>
      </c>
    </row>
    <row r="118" spans="1:11" x14ac:dyDescent="0.3">
      <c r="A118">
        <v>1224.6755800000001</v>
      </c>
      <c r="B118">
        <v>0.34566000000000002</v>
      </c>
      <c r="C118">
        <f t="shared" si="4"/>
        <v>6.1233779000000004</v>
      </c>
      <c r="D118">
        <f t="shared" si="5"/>
        <v>0.34566000000000002</v>
      </c>
      <c r="H118" s="1">
        <v>1.7999999999999999E-2</v>
      </c>
      <c r="I118">
        <f t="shared" si="6"/>
        <v>0.45733761219999997</v>
      </c>
      <c r="K118">
        <f t="shared" si="7"/>
        <v>-0.72257296077601207</v>
      </c>
    </row>
    <row r="119" spans="1:11" x14ac:dyDescent="0.3">
      <c r="A119">
        <v>1236.3868199999999</v>
      </c>
      <c r="B119">
        <v>0.34310000000000002</v>
      </c>
      <c r="C119">
        <f t="shared" si="4"/>
        <v>6.1819340999999994</v>
      </c>
      <c r="D119">
        <f t="shared" si="5"/>
        <v>0.34310000000000002</v>
      </c>
      <c r="H119" s="1">
        <v>1.7999999999999999E-2</v>
      </c>
      <c r="I119">
        <f t="shared" si="6"/>
        <v>0.45588080220000005</v>
      </c>
      <c r="K119">
        <f t="shared" si="7"/>
        <v>-0.72402977077601194</v>
      </c>
    </row>
    <row r="120" spans="1:11" x14ac:dyDescent="0.3">
      <c r="A120">
        <v>1246.46856</v>
      </c>
      <c r="B120">
        <v>0.34081</v>
      </c>
      <c r="C120">
        <f t="shared" si="4"/>
        <v>6.2323428000000005</v>
      </c>
      <c r="D120">
        <f t="shared" si="5"/>
        <v>0.34081</v>
      </c>
      <c r="H120" s="1">
        <v>1.7999999999999999E-2</v>
      </c>
      <c r="I120">
        <f t="shared" si="6"/>
        <v>0.4543748138</v>
      </c>
      <c r="K120">
        <f t="shared" si="7"/>
        <v>-0.72553575917601199</v>
      </c>
    </row>
    <row r="121" spans="1:11" x14ac:dyDescent="0.3">
      <c r="A121">
        <v>1256.5504000000001</v>
      </c>
      <c r="B121">
        <v>0.3382</v>
      </c>
      <c r="C121">
        <f t="shared" si="4"/>
        <v>6.2827520000000003</v>
      </c>
      <c r="D121">
        <f t="shared" si="5"/>
        <v>0.3382</v>
      </c>
      <c r="H121" s="1">
        <v>1.7999999999999999E-2</v>
      </c>
      <c r="I121">
        <f t="shared" si="6"/>
        <v>0.4529921704</v>
      </c>
      <c r="K121">
        <f t="shared" si="7"/>
        <v>-0.72691840257601203</v>
      </c>
    </row>
    <row r="122" spans="1:11" x14ac:dyDescent="0.3">
      <c r="A122">
        <v>1267.24316</v>
      </c>
      <c r="B122">
        <v>0.33592</v>
      </c>
      <c r="C122">
        <f t="shared" si="4"/>
        <v>6.3362157999999997</v>
      </c>
      <c r="D122">
        <f t="shared" si="5"/>
        <v>0.33592</v>
      </c>
      <c r="H122" s="1">
        <v>1.7999999999999999E-2</v>
      </c>
      <c r="I122">
        <f t="shared" si="6"/>
        <v>0.45128953599999999</v>
      </c>
      <c r="K122">
        <f t="shared" si="7"/>
        <v>-0.72862103697601199</v>
      </c>
    </row>
    <row r="123" spans="1:11" x14ac:dyDescent="0.3">
      <c r="A123">
        <v>1277.63066</v>
      </c>
      <c r="B123">
        <v>0.33356000000000002</v>
      </c>
      <c r="C123">
        <f t="shared" si="4"/>
        <v>6.3881532999999999</v>
      </c>
      <c r="D123">
        <f t="shared" si="5"/>
        <v>0.33356000000000002</v>
      </c>
      <c r="H123" s="1">
        <v>1.7999999999999999E-2</v>
      </c>
      <c r="I123">
        <f t="shared" si="6"/>
        <v>0.44997188439999997</v>
      </c>
      <c r="K123">
        <f t="shared" si="7"/>
        <v>-0.72993868857601196</v>
      </c>
    </row>
    <row r="124" spans="1:11" x14ac:dyDescent="0.3">
      <c r="A124">
        <v>1288.2214799999999</v>
      </c>
      <c r="B124">
        <v>0.33111000000000002</v>
      </c>
      <c r="C124">
        <f t="shared" si="4"/>
        <v>6.4411073999999999</v>
      </c>
      <c r="D124">
        <f t="shared" si="5"/>
        <v>0.33111000000000002</v>
      </c>
      <c r="H124" s="1">
        <v>1.7999999999999999E-2</v>
      </c>
      <c r="I124">
        <f t="shared" si="6"/>
        <v>0.44854675939999999</v>
      </c>
      <c r="K124">
        <f t="shared" si="7"/>
        <v>-0.73136381357601199</v>
      </c>
    </row>
    <row r="125" spans="1:11" x14ac:dyDescent="0.3">
      <c r="A125">
        <v>1299.0163</v>
      </c>
      <c r="B125">
        <v>0.32851999999999998</v>
      </c>
      <c r="C125">
        <f t="shared" si="4"/>
        <v>6.4950815000000004</v>
      </c>
      <c r="D125">
        <f t="shared" si="5"/>
        <v>0.32851999999999998</v>
      </c>
      <c r="H125" s="1">
        <v>1.7999999999999999E-2</v>
      </c>
      <c r="I125">
        <f t="shared" si="6"/>
        <v>0.44704993319999997</v>
      </c>
      <c r="K125">
        <f t="shared" si="7"/>
        <v>-0.73286063977601201</v>
      </c>
    </row>
    <row r="126" spans="1:11" x14ac:dyDescent="0.3">
      <c r="A126">
        <v>1309.0980400000001</v>
      </c>
      <c r="B126">
        <v>0.32649</v>
      </c>
      <c r="C126">
        <f t="shared" si="4"/>
        <v>6.5454902000000006</v>
      </c>
      <c r="D126">
        <f t="shared" si="5"/>
        <v>0.32649</v>
      </c>
      <c r="H126" s="1">
        <v>1.7999999999999999E-2</v>
      </c>
      <c r="I126">
        <f t="shared" si="6"/>
        <v>0.44543146699999997</v>
      </c>
      <c r="K126">
        <f t="shared" si="7"/>
        <v>-0.73447910597601207</v>
      </c>
    </row>
    <row r="127" spans="1:11" x14ac:dyDescent="0.3">
      <c r="A127">
        <v>1319.2818400000001</v>
      </c>
      <c r="B127">
        <v>0.32382</v>
      </c>
      <c r="C127">
        <f t="shared" si="4"/>
        <v>6.5964092000000001</v>
      </c>
      <c r="D127">
        <f t="shared" si="5"/>
        <v>0.32382</v>
      </c>
      <c r="H127" s="1">
        <v>1.7999999999999999E-2</v>
      </c>
      <c r="I127">
        <f t="shared" si="6"/>
        <v>0.44430882360000001</v>
      </c>
      <c r="K127">
        <f t="shared" si="7"/>
        <v>-0.73560174937601197</v>
      </c>
    </row>
    <row r="128" spans="1:11" x14ac:dyDescent="0.3">
      <c r="A128">
        <v>1329.46542</v>
      </c>
      <c r="B128">
        <v>0.32189000000000001</v>
      </c>
      <c r="C128">
        <f t="shared" si="4"/>
        <v>6.6473271</v>
      </c>
      <c r="D128">
        <f t="shared" si="5"/>
        <v>0.32189000000000001</v>
      </c>
      <c r="H128" s="1">
        <v>1.7999999999999999E-2</v>
      </c>
      <c r="I128">
        <f t="shared" si="6"/>
        <v>0.44255536559999997</v>
      </c>
      <c r="K128">
        <f t="shared" si="7"/>
        <v>-0.73735520737601201</v>
      </c>
    </row>
    <row r="129" spans="1:11" x14ac:dyDescent="0.3">
      <c r="A129">
        <v>1339.9546800000001</v>
      </c>
      <c r="B129">
        <v>0.31950000000000001</v>
      </c>
      <c r="C129">
        <f t="shared" si="4"/>
        <v>6.6997734000000007</v>
      </c>
      <c r="D129">
        <f t="shared" si="5"/>
        <v>0.31950000000000001</v>
      </c>
      <c r="H129" s="1">
        <v>1.7999999999999999E-2</v>
      </c>
      <c r="I129">
        <f t="shared" si="6"/>
        <v>0.44154188780000003</v>
      </c>
      <c r="K129">
        <f t="shared" si="7"/>
        <v>-0.73836868517601195</v>
      </c>
    </row>
    <row r="130" spans="1:11" x14ac:dyDescent="0.3">
      <c r="A130">
        <v>1350.3420000000001</v>
      </c>
      <c r="B130">
        <v>0.31717000000000001</v>
      </c>
      <c r="C130">
        <f t="shared" ref="C130:C160" si="8">A130/200</f>
        <v>6.7517100000000001</v>
      </c>
      <c r="D130">
        <f t="shared" ref="D130:D160" si="9">B130</f>
        <v>0.31717000000000001</v>
      </c>
      <c r="H130" s="1">
        <v>1.7999999999999999E-2</v>
      </c>
      <c r="I130">
        <f t="shared" ref="I130:I193" si="10">B129+(C129*H130)</f>
        <v>0.44009592120000002</v>
      </c>
      <c r="K130">
        <f t="shared" si="7"/>
        <v>-0.73981465177601202</v>
      </c>
    </row>
    <row r="131" spans="1:11" x14ac:dyDescent="0.3">
      <c r="A131">
        <v>1360.83116</v>
      </c>
      <c r="B131">
        <v>0.31485999999999997</v>
      </c>
      <c r="C131">
        <f t="shared" si="8"/>
        <v>6.8041558000000002</v>
      </c>
      <c r="D131">
        <f t="shared" si="9"/>
        <v>0.31485999999999997</v>
      </c>
      <c r="H131" s="1">
        <v>1.7999999999999999E-2</v>
      </c>
      <c r="I131">
        <f t="shared" si="10"/>
        <v>0.43870078000000001</v>
      </c>
      <c r="K131">
        <f t="shared" ref="K131:K194" si="11">I131-$K$1</f>
        <v>-0.74120979297601197</v>
      </c>
    </row>
    <row r="132" spans="1:11" x14ac:dyDescent="0.3">
      <c r="A132">
        <v>1370.9129800000001</v>
      </c>
      <c r="B132">
        <v>0.31263000000000002</v>
      </c>
      <c r="C132">
        <f t="shared" si="8"/>
        <v>6.8545649000000006</v>
      </c>
      <c r="D132">
        <f t="shared" si="9"/>
        <v>0.31263000000000002</v>
      </c>
      <c r="H132" s="1">
        <v>1.7999999999999999E-2</v>
      </c>
      <c r="I132">
        <f t="shared" si="10"/>
        <v>0.43733480439999994</v>
      </c>
      <c r="K132">
        <f t="shared" si="11"/>
        <v>-0.74257576857601204</v>
      </c>
    </row>
    <row r="133" spans="1:11" x14ac:dyDescent="0.3">
      <c r="A133">
        <v>1381.1984399999999</v>
      </c>
      <c r="B133">
        <v>0.31063000000000002</v>
      </c>
      <c r="C133">
        <f t="shared" si="8"/>
        <v>6.9059921999999991</v>
      </c>
      <c r="D133">
        <f t="shared" si="9"/>
        <v>0.31063000000000002</v>
      </c>
      <c r="H133" s="1">
        <v>1.7999999999999999E-2</v>
      </c>
      <c r="I133">
        <f t="shared" si="10"/>
        <v>0.43601216819999999</v>
      </c>
      <c r="K133">
        <f t="shared" si="11"/>
        <v>-0.74389840477601199</v>
      </c>
    </row>
    <row r="134" spans="1:11" x14ac:dyDescent="0.3">
      <c r="A134" s="1">
        <v>1391.38212</v>
      </c>
      <c r="B134">
        <v>0.30825999999999998</v>
      </c>
      <c r="C134">
        <f t="shared" si="8"/>
        <v>6.9569105999999996</v>
      </c>
      <c r="D134">
        <f t="shared" si="9"/>
        <v>0.30825999999999998</v>
      </c>
      <c r="H134" s="1">
        <v>1.7999999999999999E-2</v>
      </c>
      <c r="I134">
        <f t="shared" si="10"/>
        <v>0.43493785959999998</v>
      </c>
      <c r="K134">
        <f t="shared" si="11"/>
        <v>-0.74497271337601201</v>
      </c>
    </row>
    <row r="135" spans="1:11" x14ac:dyDescent="0.3">
      <c r="A135" s="1">
        <v>1401.66768</v>
      </c>
      <c r="B135">
        <v>0.30612</v>
      </c>
      <c r="C135">
        <f t="shared" si="8"/>
        <v>7.0083384000000004</v>
      </c>
      <c r="D135">
        <f t="shared" si="9"/>
        <v>0.30612</v>
      </c>
      <c r="H135" s="1">
        <v>1.7999999999999999E-2</v>
      </c>
      <c r="I135">
        <f t="shared" si="10"/>
        <v>0.43348439079999995</v>
      </c>
      <c r="K135">
        <f t="shared" si="11"/>
        <v>-0.74642618217601209</v>
      </c>
    </row>
    <row r="136" spans="1:11" x14ac:dyDescent="0.3">
      <c r="A136" s="1">
        <v>1412.1568400000001</v>
      </c>
      <c r="B136">
        <v>0.30397999999999997</v>
      </c>
      <c r="C136">
        <f t="shared" si="8"/>
        <v>7.0607842000000005</v>
      </c>
      <c r="D136">
        <f t="shared" si="9"/>
        <v>0.30397999999999997</v>
      </c>
      <c r="H136" s="1">
        <v>1.7999999999999999E-2</v>
      </c>
      <c r="I136">
        <f t="shared" si="10"/>
        <v>0.43227009120000004</v>
      </c>
      <c r="K136">
        <f t="shared" si="11"/>
        <v>-0.74764048177601194</v>
      </c>
    </row>
    <row r="137" spans="1:11" x14ac:dyDescent="0.3">
      <c r="A137" s="1">
        <v>1422.2386799999999</v>
      </c>
      <c r="B137">
        <v>0.30163000000000001</v>
      </c>
      <c r="C137">
        <f t="shared" si="8"/>
        <v>7.1111933999999994</v>
      </c>
      <c r="D137">
        <f t="shared" si="9"/>
        <v>0.30163000000000001</v>
      </c>
      <c r="H137" s="1">
        <v>1.7999999999999999E-2</v>
      </c>
      <c r="I137">
        <f t="shared" si="10"/>
        <v>0.43107411559999997</v>
      </c>
      <c r="K137">
        <f t="shared" si="11"/>
        <v>-0.74883645737601201</v>
      </c>
    </row>
    <row r="138" spans="1:11" x14ac:dyDescent="0.3">
      <c r="A138" s="1">
        <v>1432.72774</v>
      </c>
      <c r="B138">
        <v>0.29948000000000002</v>
      </c>
      <c r="C138">
        <f t="shared" si="8"/>
        <v>7.1636386999999999</v>
      </c>
      <c r="D138">
        <f t="shared" si="9"/>
        <v>0.29948000000000002</v>
      </c>
      <c r="H138" s="1">
        <v>1.7999999999999999E-2</v>
      </c>
      <c r="I138">
        <f t="shared" si="10"/>
        <v>0.4296314812</v>
      </c>
      <c r="K138">
        <f t="shared" si="11"/>
        <v>-0.75027909177601204</v>
      </c>
    </row>
    <row r="139" spans="1:11" x14ac:dyDescent="0.3">
      <c r="A139" s="1">
        <v>1443.4205999999999</v>
      </c>
      <c r="B139">
        <v>0.29709000000000002</v>
      </c>
      <c r="C139">
        <f t="shared" si="8"/>
        <v>7.2171029999999998</v>
      </c>
      <c r="D139">
        <f t="shared" si="9"/>
        <v>0.29709000000000002</v>
      </c>
      <c r="H139" s="1">
        <v>1.7999999999999999E-2</v>
      </c>
      <c r="I139">
        <f t="shared" si="10"/>
        <v>0.42842549660000001</v>
      </c>
      <c r="K139">
        <f t="shared" si="11"/>
        <v>-0.75148507637601192</v>
      </c>
    </row>
    <row r="140" spans="1:11" x14ac:dyDescent="0.3">
      <c r="A140" s="1">
        <v>1453.70616</v>
      </c>
      <c r="B140">
        <v>0.29485</v>
      </c>
      <c r="C140">
        <f t="shared" si="8"/>
        <v>7.2685307999999997</v>
      </c>
      <c r="D140">
        <f t="shared" si="9"/>
        <v>0.29485</v>
      </c>
      <c r="H140" s="1">
        <v>1.7999999999999999E-2</v>
      </c>
      <c r="I140">
        <f t="shared" si="10"/>
        <v>0.42699785400000001</v>
      </c>
      <c r="K140">
        <f t="shared" si="11"/>
        <v>-0.75291271897601197</v>
      </c>
    </row>
    <row r="141" spans="1:11" x14ac:dyDescent="0.3">
      <c r="A141" s="1">
        <v>1464.2972600000001</v>
      </c>
      <c r="B141">
        <v>0.29261999999999999</v>
      </c>
      <c r="C141">
        <f t="shared" si="8"/>
        <v>7.3214863000000001</v>
      </c>
      <c r="D141">
        <f t="shared" si="9"/>
        <v>0.29261999999999999</v>
      </c>
      <c r="H141" s="1">
        <v>1.7999999999999999E-2</v>
      </c>
      <c r="I141">
        <f t="shared" si="10"/>
        <v>0.4256835544</v>
      </c>
      <c r="K141">
        <f t="shared" si="11"/>
        <v>-0.75422701857601204</v>
      </c>
    </row>
    <row r="142" spans="1:11" x14ac:dyDescent="0.3">
      <c r="A142">
        <v>1474.8881799999999</v>
      </c>
      <c r="B142">
        <v>0.29038999999999998</v>
      </c>
      <c r="C142">
        <f t="shared" si="8"/>
        <v>7.3744408999999997</v>
      </c>
      <c r="D142">
        <f t="shared" si="9"/>
        <v>0.29038999999999998</v>
      </c>
      <c r="H142" s="1">
        <v>1.7999999999999999E-2</v>
      </c>
      <c r="I142">
        <f t="shared" si="10"/>
        <v>0.4244067534</v>
      </c>
      <c r="K142">
        <f t="shared" si="11"/>
        <v>-0.75550381957601198</v>
      </c>
    </row>
    <row r="143" spans="1:11" x14ac:dyDescent="0.3">
      <c r="A143">
        <v>1485.98838</v>
      </c>
      <c r="B143">
        <v>0.28798000000000001</v>
      </c>
      <c r="C143">
        <f t="shared" si="8"/>
        <v>7.4299419000000002</v>
      </c>
      <c r="D143">
        <f t="shared" si="9"/>
        <v>0.28798000000000001</v>
      </c>
      <c r="H143" s="1">
        <v>1.7999999999999999E-2</v>
      </c>
      <c r="I143">
        <f t="shared" si="10"/>
        <v>0.42312993619999995</v>
      </c>
      <c r="K143">
        <f t="shared" si="11"/>
        <v>-0.75678063677601204</v>
      </c>
    </row>
    <row r="144" spans="1:11" x14ac:dyDescent="0.3">
      <c r="A144">
        <v>1496.2738199999999</v>
      </c>
      <c r="B144">
        <v>0.28569</v>
      </c>
      <c r="C144">
        <f t="shared" si="8"/>
        <v>7.4813690999999993</v>
      </c>
      <c r="D144">
        <f t="shared" si="9"/>
        <v>0.28569</v>
      </c>
      <c r="H144" s="1">
        <v>1.7999999999999999E-2</v>
      </c>
      <c r="I144">
        <f t="shared" si="10"/>
        <v>0.4217189542</v>
      </c>
      <c r="K144">
        <f t="shared" si="11"/>
        <v>-0.75819161877601204</v>
      </c>
    </row>
    <row r="145" spans="1:11" x14ac:dyDescent="0.3">
      <c r="A145">
        <v>1507.27216</v>
      </c>
      <c r="B145">
        <v>0.28344000000000003</v>
      </c>
      <c r="C145">
        <f t="shared" si="8"/>
        <v>7.5363607999999997</v>
      </c>
      <c r="D145">
        <f t="shared" si="9"/>
        <v>0.28344000000000003</v>
      </c>
      <c r="H145" s="1">
        <v>1.7999999999999999E-2</v>
      </c>
      <c r="I145">
        <f t="shared" si="10"/>
        <v>0.42035464379999998</v>
      </c>
      <c r="K145">
        <f t="shared" si="11"/>
        <v>-0.759555929176012</v>
      </c>
    </row>
    <row r="146" spans="1:11" x14ac:dyDescent="0.3">
      <c r="A146">
        <v>1517.76142</v>
      </c>
      <c r="B146">
        <v>0.28117999999999999</v>
      </c>
      <c r="C146">
        <f t="shared" si="8"/>
        <v>7.5888071000000004</v>
      </c>
      <c r="D146">
        <f t="shared" si="9"/>
        <v>0.28117999999999999</v>
      </c>
      <c r="H146" s="1">
        <v>1.7999999999999999E-2</v>
      </c>
      <c r="I146">
        <f t="shared" si="10"/>
        <v>0.41909449440000002</v>
      </c>
      <c r="K146">
        <f t="shared" si="11"/>
        <v>-0.76081607857601197</v>
      </c>
    </row>
    <row r="147" spans="1:11" x14ac:dyDescent="0.3">
      <c r="A147">
        <v>1527.9451200000001</v>
      </c>
      <c r="B147">
        <v>0.27910000000000001</v>
      </c>
      <c r="C147">
        <f t="shared" si="8"/>
        <v>7.6397256000000002</v>
      </c>
      <c r="D147">
        <f t="shared" si="9"/>
        <v>0.27910000000000001</v>
      </c>
      <c r="H147" s="1">
        <v>1.7999999999999999E-2</v>
      </c>
      <c r="I147">
        <f t="shared" si="10"/>
        <v>0.41777852780000002</v>
      </c>
      <c r="K147">
        <f t="shared" si="11"/>
        <v>-0.76213204517601196</v>
      </c>
    </row>
    <row r="148" spans="1:11" x14ac:dyDescent="0.3">
      <c r="A148">
        <v>1538.23056</v>
      </c>
      <c r="B148">
        <v>0.27695999999999998</v>
      </c>
      <c r="C148">
        <f t="shared" si="8"/>
        <v>7.6911528000000002</v>
      </c>
      <c r="D148">
        <f t="shared" si="9"/>
        <v>0.27695999999999998</v>
      </c>
      <c r="H148" s="1">
        <v>1.7999999999999999E-2</v>
      </c>
      <c r="I148">
        <f t="shared" si="10"/>
        <v>0.41661506079999999</v>
      </c>
      <c r="K148">
        <f t="shared" si="11"/>
        <v>-0.76329551217601199</v>
      </c>
    </row>
    <row r="149" spans="1:11" x14ac:dyDescent="0.3">
      <c r="A149">
        <v>1548.71982</v>
      </c>
      <c r="B149">
        <v>0.27460000000000001</v>
      </c>
      <c r="C149">
        <f t="shared" si="8"/>
        <v>7.7435991</v>
      </c>
      <c r="D149">
        <f t="shared" si="9"/>
        <v>0.27460000000000001</v>
      </c>
      <c r="H149" s="1">
        <v>1.7999999999999999E-2</v>
      </c>
      <c r="I149">
        <f t="shared" si="10"/>
        <v>0.41540075040000002</v>
      </c>
      <c r="K149">
        <f t="shared" si="11"/>
        <v>-0.76450982257601197</v>
      </c>
    </row>
    <row r="150" spans="1:11" x14ac:dyDescent="0.3">
      <c r="A150">
        <v>1558.9034200000001</v>
      </c>
      <c r="B150">
        <v>0.27289999999999998</v>
      </c>
      <c r="C150">
        <f t="shared" si="8"/>
        <v>7.7945171000000002</v>
      </c>
      <c r="D150">
        <f t="shared" si="9"/>
        <v>0.27289999999999998</v>
      </c>
      <c r="H150" s="1">
        <v>1.7999999999999999E-2</v>
      </c>
      <c r="I150">
        <f t="shared" si="10"/>
        <v>0.41398478380000003</v>
      </c>
      <c r="K150">
        <f t="shared" si="11"/>
        <v>-0.76592578917601195</v>
      </c>
    </row>
    <row r="151" spans="1:11" x14ac:dyDescent="0.3">
      <c r="A151">
        <v>1569.0871</v>
      </c>
      <c r="B151">
        <v>0.27056999999999998</v>
      </c>
      <c r="C151">
        <f t="shared" si="8"/>
        <v>7.8454354999999998</v>
      </c>
      <c r="D151">
        <f t="shared" si="9"/>
        <v>0.27056999999999998</v>
      </c>
      <c r="H151" s="1">
        <v>1.7999999999999999E-2</v>
      </c>
      <c r="I151">
        <f t="shared" si="10"/>
        <v>0.41320130779999997</v>
      </c>
      <c r="K151">
        <f t="shared" si="11"/>
        <v>-0.76670926517601201</v>
      </c>
    </row>
    <row r="152" spans="1:11" x14ac:dyDescent="0.3">
      <c r="A152">
        <v>1579.16894</v>
      </c>
      <c r="B152">
        <v>0.26856000000000002</v>
      </c>
      <c r="C152">
        <f t="shared" si="8"/>
        <v>7.8958447000000005</v>
      </c>
      <c r="D152">
        <f t="shared" si="9"/>
        <v>0.26856000000000002</v>
      </c>
      <c r="H152" s="1">
        <v>1.7999999999999999E-2</v>
      </c>
      <c r="I152">
        <f t="shared" si="10"/>
        <v>0.41178783899999993</v>
      </c>
      <c r="K152">
        <f t="shared" si="11"/>
        <v>-0.76812273397601205</v>
      </c>
    </row>
    <row r="153" spans="1:11" x14ac:dyDescent="0.3">
      <c r="A153">
        <v>1590.1672799999999</v>
      </c>
      <c r="B153">
        <v>0.2661</v>
      </c>
      <c r="C153">
        <f t="shared" si="8"/>
        <v>7.9508363999999991</v>
      </c>
      <c r="D153">
        <f t="shared" si="9"/>
        <v>0.2661</v>
      </c>
      <c r="H153" s="1">
        <v>1.7999999999999999E-2</v>
      </c>
      <c r="I153">
        <f t="shared" si="10"/>
        <v>0.41068520460000002</v>
      </c>
      <c r="K153">
        <f t="shared" si="11"/>
        <v>-0.76922536837601196</v>
      </c>
    </row>
    <row r="154" spans="1:11" x14ac:dyDescent="0.3">
      <c r="A154">
        <v>1600.2491199999999</v>
      </c>
      <c r="B154">
        <v>0.26417000000000002</v>
      </c>
      <c r="C154">
        <f t="shared" si="8"/>
        <v>8.001245599999999</v>
      </c>
      <c r="D154">
        <f t="shared" si="9"/>
        <v>0.26417000000000002</v>
      </c>
      <c r="H154" s="1">
        <v>1.7999999999999999E-2</v>
      </c>
      <c r="I154">
        <f t="shared" si="10"/>
        <v>0.40921505520000001</v>
      </c>
      <c r="K154">
        <f t="shared" si="11"/>
        <v>-0.77069551777601197</v>
      </c>
    </row>
    <row r="155" spans="1:11" x14ac:dyDescent="0.3">
      <c r="A155">
        <v>1611.1455000000001</v>
      </c>
      <c r="B155">
        <v>0.26191999999999999</v>
      </c>
      <c r="C155">
        <f t="shared" si="8"/>
        <v>8.0557274999999997</v>
      </c>
      <c r="D155">
        <f t="shared" si="9"/>
        <v>0.26191999999999999</v>
      </c>
      <c r="H155" s="1">
        <v>1.7999999999999999E-2</v>
      </c>
      <c r="I155">
        <f t="shared" si="10"/>
        <v>0.40819242079999996</v>
      </c>
      <c r="K155">
        <f t="shared" si="11"/>
        <v>-0.77171815217601203</v>
      </c>
    </row>
    <row r="156" spans="1:11" x14ac:dyDescent="0.3">
      <c r="A156">
        <v>1621.8383799999999</v>
      </c>
      <c r="B156">
        <v>0.25952999999999998</v>
      </c>
      <c r="C156">
        <f t="shared" si="8"/>
        <v>8.109191899999999</v>
      </c>
      <c r="D156">
        <f t="shared" si="9"/>
        <v>0.25952999999999998</v>
      </c>
      <c r="H156" s="1">
        <v>1.7999999999999999E-2</v>
      </c>
      <c r="I156">
        <f t="shared" si="10"/>
        <v>0.40692309499999996</v>
      </c>
      <c r="K156">
        <f t="shared" si="11"/>
        <v>-0.77298747797601197</v>
      </c>
    </row>
    <row r="157" spans="1:11" x14ac:dyDescent="0.3">
      <c r="A157">
        <v>1632.4295</v>
      </c>
      <c r="B157">
        <v>0.25735999999999998</v>
      </c>
      <c r="C157">
        <f t="shared" si="8"/>
        <v>8.1621474999999997</v>
      </c>
      <c r="D157">
        <f t="shared" si="9"/>
        <v>0.25735999999999998</v>
      </c>
      <c r="H157" s="1">
        <v>1.7999999999999999E-2</v>
      </c>
      <c r="I157">
        <f t="shared" si="10"/>
        <v>0.40549545419999999</v>
      </c>
      <c r="K157">
        <f t="shared" si="11"/>
        <v>-0.77441511877601199</v>
      </c>
    </row>
    <row r="158" spans="1:11" x14ac:dyDescent="0.3">
      <c r="A158">
        <v>1642.91876</v>
      </c>
      <c r="B158">
        <v>0.25519999999999998</v>
      </c>
      <c r="C158">
        <f t="shared" si="8"/>
        <v>8.2145937999999994</v>
      </c>
      <c r="D158">
        <f t="shared" si="9"/>
        <v>0.25519999999999998</v>
      </c>
      <c r="H158" s="1">
        <v>1.7999999999999999E-2</v>
      </c>
      <c r="I158">
        <f t="shared" si="10"/>
        <v>0.40427865499999993</v>
      </c>
      <c r="K158">
        <f t="shared" si="11"/>
        <v>-0.77563191797601205</v>
      </c>
    </row>
    <row r="159" spans="1:11" x14ac:dyDescent="0.3">
      <c r="A159">
        <v>1653.4078199999999</v>
      </c>
      <c r="B159">
        <v>0.25303999999999999</v>
      </c>
      <c r="C159">
        <f t="shared" si="8"/>
        <v>8.2670390999999999</v>
      </c>
      <c r="D159">
        <f t="shared" si="9"/>
        <v>0.25303999999999999</v>
      </c>
      <c r="H159" s="1">
        <v>1.7999999999999999E-2</v>
      </c>
      <c r="I159">
        <f t="shared" si="10"/>
        <v>0.40306268839999992</v>
      </c>
      <c r="K159">
        <f t="shared" si="11"/>
        <v>-0.77684788457601206</v>
      </c>
    </row>
    <row r="160" spans="1:11" x14ac:dyDescent="0.3">
      <c r="A160">
        <v>1661.1476600000001</v>
      </c>
      <c r="B160">
        <v>0.25161</v>
      </c>
      <c r="C160">
        <f t="shared" si="8"/>
        <v>8.3057382999999998</v>
      </c>
      <c r="D160">
        <f t="shared" si="9"/>
        <v>0.25161</v>
      </c>
      <c r="H160" s="1">
        <v>1.7999999999999999E-2</v>
      </c>
      <c r="I160">
        <f t="shared" si="10"/>
        <v>0.40184670379999998</v>
      </c>
      <c r="K160">
        <f t="shared" si="11"/>
        <v>-0.778063869176012</v>
      </c>
    </row>
    <row r="161" spans="8:11" x14ac:dyDescent="0.3">
      <c r="H161" s="1">
        <v>1.7999999999999999E-2</v>
      </c>
      <c r="I161">
        <f t="shared" si="10"/>
        <v>0.40111328940000002</v>
      </c>
      <c r="K161">
        <f t="shared" si="11"/>
        <v>-0.77879728357601197</v>
      </c>
    </row>
    <row r="162" spans="8:11" x14ac:dyDescent="0.3">
      <c r="H162" s="1">
        <v>1.7999999999999999E-2</v>
      </c>
      <c r="I162">
        <f t="shared" si="10"/>
        <v>0</v>
      </c>
      <c r="K162">
        <f t="shared" si="11"/>
        <v>-1.179910572976012</v>
      </c>
    </row>
    <row r="163" spans="8:11" x14ac:dyDescent="0.3">
      <c r="H163" s="1">
        <v>1.7999999999999999E-2</v>
      </c>
      <c r="I163">
        <f t="shared" si="10"/>
        <v>0</v>
      </c>
      <c r="K163">
        <f t="shared" si="11"/>
        <v>-1.179910572976012</v>
      </c>
    </row>
    <row r="164" spans="8:11" x14ac:dyDescent="0.3">
      <c r="H164" s="1">
        <v>1.7999999999999999E-2</v>
      </c>
      <c r="I164">
        <f t="shared" si="10"/>
        <v>0</v>
      </c>
      <c r="K164">
        <f t="shared" si="11"/>
        <v>-1.179910572976012</v>
      </c>
    </row>
    <row r="165" spans="8:11" x14ac:dyDescent="0.3">
      <c r="H165" s="1">
        <v>1.7999999999999999E-2</v>
      </c>
      <c r="I165">
        <f t="shared" si="10"/>
        <v>0</v>
      </c>
      <c r="K165">
        <f t="shared" si="11"/>
        <v>-1.179910572976012</v>
      </c>
    </row>
    <row r="166" spans="8:11" x14ac:dyDescent="0.3">
      <c r="H166" s="1">
        <v>1.7999999999999999E-2</v>
      </c>
      <c r="I166">
        <f t="shared" si="10"/>
        <v>0</v>
      </c>
      <c r="K166">
        <f t="shared" si="11"/>
        <v>-1.179910572976012</v>
      </c>
    </row>
    <row r="167" spans="8:11" x14ac:dyDescent="0.3">
      <c r="H167" s="1">
        <v>1.7999999999999999E-2</v>
      </c>
      <c r="I167">
        <f t="shared" si="10"/>
        <v>0</v>
      </c>
      <c r="K167">
        <f t="shared" si="11"/>
        <v>-1.179910572976012</v>
      </c>
    </row>
    <row r="168" spans="8:11" x14ac:dyDescent="0.3">
      <c r="H168" s="1">
        <v>1.7999999999999999E-2</v>
      </c>
      <c r="I168">
        <f t="shared" si="10"/>
        <v>0</v>
      </c>
      <c r="K168">
        <f t="shared" si="11"/>
        <v>-1.179910572976012</v>
      </c>
    </row>
    <row r="169" spans="8:11" x14ac:dyDescent="0.3">
      <c r="H169" s="1">
        <v>1.7999999999999999E-2</v>
      </c>
      <c r="I169">
        <f t="shared" si="10"/>
        <v>0</v>
      </c>
      <c r="K169">
        <f t="shared" si="11"/>
        <v>-1.179910572976012</v>
      </c>
    </row>
    <row r="170" spans="8:11" x14ac:dyDescent="0.3">
      <c r="H170" s="1">
        <v>1.7999999999999999E-2</v>
      </c>
      <c r="I170">
        <f t="shared" si="10"/>
        <v>0</v>
      </c>
      <c r="K170">
        <f t="shared" si="11"/>
        <v>-1.179910572976012</v>
      </c>
    </row>
    <row r="171" spans="8:11" x14ac:dyDescent="0.3">
      <c r="H171" s="1">
        <v>1.7999999999999999E-2</v>
      </c>
      <c r="I171">
        <f t="shared" si="10"/>
        <v>0</v>
      </c>
      <c r="K171">
        <f t="shared" si="11"/>
        <v>-1.179910572976012</v>
      </c>
    </row>
    <row r="172" spans="8:11" x14ac:dyDescent="0.3">
      <c r="H172" s="1">
        <v>1.7999999999999999E-2</v>
      </c>
      <c r="I172">
        <f t="shared" si="10"/>
        <v>0</v>
      </c>
      <c r="K172">
        <f t="shared" si="11"/>
        <v>-1.179910572976012</v>
      </c>
    </row>
    <row r="173" spans="8:11" x14ac:dyDescent="0.3">
      <c r="H173" s="1">
        <v>1.7999999999999999E-2</v>
      </c>
      <c r="I173">
        <f t="shared" si="10"/>
        <v>0</v>
      </c>
      <c r="K173">
        <f t="shared" si="11"/>
        <v>-1.179910572976012</v>
      </c>
    </row>
    <row r="174" spans="8:11" x14ac:dyDescent="0.3">
      <c r="H174" s="1">
        <v>1.7999999999999999E-2</v>
      </c>
      <c r="I174">
        <f t="shared" si="10"/>
        <v>0</v>
      </c>
      <c r="K174">
        <f t="shared" si="11"/>
        <v>-1.179910572976012</v>
      </c>
    </row>
    <row r="175" spans="8:11" x14ac:dyDescent="0.3">
      <c r="H175" s="1">
        <v>1.7999999999999999E-2</v>
      </c>
      <c r="I175">
        <f t="shared" si="10"/>
        <v>0</v>
      </c>
      <c r="K175">
        <f t="shared" si="11"/>
        <v>-1.179910572976012</v>
      </c>
    </row>
    <row r="176" spans="8:11" x14ac:dyDescent="0.3">
      <c r="H176" s="1">
        <v>1.7999999999999999E-2</v>
      </c>
      <c r="I176">
        <f t="shared" si="10"/>
        <v>0</v>
      </c>
      <c r="K176">
        <f t="shared" si="11"/>
        <v>-1.179910572976012</v>
      </c>
    </row>
    <row r="177" spans="8:11" x14ac:dyDescent="0.3">
      <c r="H177" s="1">
        <v>1.7999999999999999E-2</v>
      </c>
      <c r="I177">
        <f t="shared" si="10"/>
        <v>0</v>
      </c>
      <c r="K177">
        <f t="shared" si="11"/>
        <v>-1.179910572976012</v>
      </c>
    </row>
    <row r="178" spans="8:11" x14ac:dyDescent="0.3">
      <c r="H178" s="1">
        <v>1.7999999999999999E-2</v>
      </c>
      <c r="I178">
        <f t="shared" si="10"/>
        <v>0</v>
      </c>
      <c r="K178">
        <f t="shared" si="11"/>
        <v>-1.179910572976012</v>
      </c>
    </row>
    <row r="179" spans="8:11" x14ac:dyDescent="0.3">
      <c r="H179" s="1">
        <v>1.7999999999999999E-2</v>
      </c>
      <c r="I179">
        <f t="shared" si="10"/>
        <v>0</v>
      </c>
      <c r="K179">
        <f t="shared" si="11"/>
        <v>-1.179910572976012</v>
      </c>
    </row>
    <row r="180" spans="8:11" x14ac:dyDescent="0.3">
      <c r="H180" s="1">
        <v>1.7999999999999999E-2</v>
      </c>
      <c r="I180">
        <f t="shared" si="10"/>
        <v>0</v>
      </c>
      <c r="K180">
        <f t="shared" si="11"/>
        <v>-1.179910572976012</v>
      </c>
    </row>
    <row r="181" spans="8:11" x14ac:dyDescent="0.3">
      <c r="H181" s="1">
        <v>1.7999999999999999E-2</v>
      </c>
      <c r="I181">
        <f t="shared" si="10"/>
        <v>0</v>
      </c>
      <c r="K181">
        <f t="shared" si="11"/>
        <v>-1.179910572976012</v>
      </c>
    </row>
    <row r="182" spans="8:11" x14ac:dyDescent="0.3">
      <c r="H182" s="1">
        <v>1.7999999999999999E-2</v>
      </c>
      <c r="I182">
        <f t="shared" si="10"/>
        <v>0</v>
      </c>
      <c r="K182">
        <f t="shared" si="11"/>
        <v>-1.179910572976012</v>
      </c>
    </row>
    <row r="183" spans="8:11" x14ac:dyDescent="0.3">
      <c r="H183" s="1">
        <v>1.7999999999999999E-2</v>
      </c>
      <c r="I183">
        <f t="shared" si="10"/>
        <v>0</v>
      </c>
      <c r="K183">
        <f t="shared" si="11"/>
        <v>-1.179910572976012</v>
      </c>
    </row>
    <row r="184" spans="8:11" x14ac:dyDescent="0.3">
      <c r="H184" s="1">
        <v>1.7999999999999999E-2</v>
      </c>
      <c r="I184">
        <f t="shared" si="10"/>
        <v>0</v>
      </c>
      <c r="K184">
        <f t="shared" si="11"/>
        <v>-1.179910572976012</v>
      </c>
    </row>
    <row r="185" spans="8:11" x14ac:dyDescent="0.3">
      <c r="H185" s="1">
        <v>1.7999999999999999E-2</v>
      </c>
      <c r="I185">
        <f t="shared" si="10"/>
        <v>0</v>
      </c>
      <c r="K185">
        <f t="shared" si="11"/>
        <v>-1.179910572976012</v>
      </c>
    </row>
    <row r="186" spans="8:11" x14ac:dyDescent="0.3">
      <c r="H186" s="1">
        <v>1.7999999999999999E-2</v>
      </c>
      <c r="I186">
        <f t="shared" si="10"/>
        <v>0</v>
      </c>
      <c r="K186">
        <f t="shared" si="11"/>
        <v>-1.179910572976012</v>
      </c>
    </row>
    <row r="187" spans="8:11" x14ac:dyDescent="0.3">
      <c r="H187" s="1">
        <v>1.7999999999999999E-2</v>
      </c>
      <c r="I187">
        <f t="shared" si="10"/>
        <v>0</v>
      </c>
      <c r="K187">
        <f t="shared" si="11"/>
        <v>-1.179910572976012</v>
      </c>
    </row>
    <row r="188" spans="8:11" x14ac:dyDescent="0.3">
      <c r="H188" s="1">
        <v>1.7999999999999999E-2</v>
      </c>
      <c r="I188">
        <f t="shared" si="10"/>
        <v>0</v>
      </c>
      <c r="K188">
        <f t="shared" si="11"/>
        <v>-1.179910572976012</v>
      </c>
    </row>
    <row r="189" spans="8:11" x14ac:dyDescent="0.3">
      <c r="H189" s="1">
        <v>1.7999999999999999E-2</v>
      </c>
      <c r="I189">
        <f t="shared" si="10"/>
        <v>0</v>
      </c>
      <c r="K189">
        <f t="shared" si="11"/>
        <v>-1.179910572976012</v>
      </c>
    </row>
    <row r="190" spans="8:11" x14ac:dyDescent="0.3">
      <c r="H190" s="1">
        <v>1.7999999999999999E-2</v>
      </c>
      <c r="I190">
        <f t="shared" si="10"/>
        <v>0</v>
      </c>
      <c r="K190">
        <f t="shared" si="11"/>
        <v>-1.179910572976012</v>
      </c>
    </row>
    <row r="191" spans="8:11" x14ac:dyDescent="0.3">
      <c r="H191" s="1">
        <v>1.7999999999999999E-2</v>
      </c>
      <c r="I191">
        <f t="shared" si="10"/>
        <v>0</v>
      </c>
      <c r="K191">
        <f t="shared" si="11"/>
        <v>-1.179910572976012</v>
      </c>
    </row>
    <row r="192" spans="8:11" x14ac:dyDescent="0.3">
      <c r="H192" s="1">
        <v>1.7999999999999999E-2</v>
      </c>
      <c r="I192">
        <f t="shared" si="10"/>
        <v>0</v>
      </c>
      <c r="K192">
        <f t="shared" si="11"/>
        <v>-1.179910572976012</v>
      </c>
    </row>
    <row r="193" spans="8:11" x14ac:dyDescent="0.3">
      <c r="H193" s="1">
        <v>1.7999999999999999E-2</v>
      </c>
      <c r="I193">
        <f t="shared" si="10"/>
        <v>0</v>
      </c>
      <c r="K193">
        <f t="shared" si="11"/>
        <v>-1.179910572976012</v>
      </c>
    </row>
    <row r="194" spans="8:11" x14ac:dyDescent="0.3">
      <c r="H194" s="1">
        <v>1.7999999999999999E-2</v>
      </c>
      <c r="I194">
        <f t="shared" ref="I194:I257" si="12">B193+(C193*H194)</f>
        <v>0</v>
      </c>
      <c r="K194">
        <f t="shared" si="11"/>
        <v>-1.179910572976012</v>
      </c>
    </row>
    <row r="195" spans="8:11" x14ac:dyDescent="0.3">
      <c r="H195" s="1">
        <v>1.7999999999999999E-2</v>
      </c>
      <c r="I195">
        <f t="shared" si="12"/>
        <v>0</v>
      </c>
      <c r="K195">
        <f t="shared" ref="K195:K258" si="13">I195-$K$1</f>
        <v>-1.179910572976012</v>
      </c>
    </row>
    <row r="196" spans="8:11" x14ac:dyDescent="0.3">
      <c r="H196" s="1">
        <v>1.7999999999999999E-2</v>
      </c>
      <c r="I196">
        <f t="shared" si="12"/>
        <v>0</v>
      </c>
      <c r="K196">
        <f t="shared" si="13"/>
        <v>-1.179910572976012</v>
      </c>
    </row>
    <row r="197" spans="8:11" x14ac:dyDescent="0.3">
      <c r="H197" s="1">
        <v>1.7999999999999999E-2</v>
      </c>
      <c r="I197">
        <f t="shared" si="12"/>
        <v>0</v>
      </c>
      <c r="K197">
        <f t="shared" si="13"/>
        <v>-1.179910572976012</v>
      </c>
    </row>
    <row r="198" spans="8:11" x14ac:dyDescent="0.3">
      <c r="H198" s="1">
        <v>1.7999999999999999E-2</v>
      </c>
      <c r="I198">
        <f t="shared" si="12"/>
        <v>0</v>
      </c>
      <c r="K198">
        <f t="shared" si="13"/>
        <v>-1.179910572976012</v>
      </c>
    </row>
    <row r="199" spans="8:11" x14ac:dyDescent="0.3">
      <c r="H199" s="1">
        <v>1.7999999999999999E-2</v>
      </c>
      <c r="I199">
        <f t="shared" si="12"/>
        <v>0</v>
      </c>
      <c r="K199">
        <f t="shared" si="13"/>
        <v>-1.179910572976012</v>
      </c>
    </row>
    <row r="200" spans="8:11" x14ac:dyDescent="0.3">
      <c r="H200" s="1">
        <v>1.7999999999999999E-2</v>
      </c>
      <c r="I200">
        <f t="shared" si="12"/>
        <v>0</v>
      </c>
      <c r="K200">
        <f t="shared" si="13"/>
        <v>-1.179910572976012</v>
      </c>
    </row>
    <row r="201" spans="8:11" x14ac:dyDescent="0.3">
      <c r="H201" s="1">
        <v>1.7999999999999999E-2</v>
      </c>
      <c r="I201">
        <f t="shared" si="12"/>
        <v>0</v>
      </c>
      <c r="K201">
        <f t="shared" si="13"/>
        <v>-1.179910572976012</v>
      </c>
    </row>
    <row r="202" spans="8:11" x14ac:dyDescent="0.3">
      <c r="H202" s="1">
        <v>1.7999999999999999E-2</v>
      </c>
      <c r="I202">
        <f t="shared" si="12"/>
        <v>0</v>
      </c>
      <c r="K202">
        <f t="shared" si="13"/>
        <v>-1.179910572976012</v>
      </c>
    </row>
    <row r="203" spans="8:11" x14ac:dyDescent="0.3">
      <c r="H203" s="1">
        <v>1.7999999999999999E-2</v>
      </c>
      <c r="I203">
        <f t="shared" si="12"/>
        <v>0</v>
      </c>
      <c r="K203">
        <f t="shared" si="13"/>
        <v>-1.179910572976012</v>
      </c>
    </row>
    <row r="204" spans="8:11" x14ac:dyDescent="0.3">
      <c r="H204" s="1">
        <v>1.7999999999999999E-2</v>
      </c>
      <c r="I204">
        <f t="shared" si="12"/>
        <v>0</v>
      </c>
      <c r="K204">
        <f t="shared" si="13"/>
        <v>-1.179910572976012</v>
      </c>
    </row>
    <row r="205" spans="8:11" x14ac:dyDescent="0.3">
      <c r="H205" s="1">
        <v>1.7999999999999999E-2</v>
      </c>
      <c r="I205">
        <f t="shared" si="12"/>
        <v>0</v>
      </c>
      <c r="K205">
        <f t="shared" si="13"/>
        <v>-1.179910572976012</v>
      </c>
    </row>
    <row r="206" spans="8:11" x14ac:dyDescent="0.3">
      <c r="H206" s="1">
        <v>1.7999999999999999E-2</v>
      </c>
      <c r="I206">
        <f t="shared" si="12"/>
        <v>0</v>
      </c>
      <c r="K206">
        <f t="shared" si="13"/>
        <v>-1.179910572976012</v>
      </c>
    </row>
    <row r="207" spans="8:11" x14ac:dyDescent="0.3">
      <c r="H207" s="1">
        <v>1.7999999999999999E-2</v>
      </c>
      <c r="I207">
        <f t="shared" si="12"/>
        <v>0</v>
      </c>
      <c r="K207">
        <f t="shared" si="13"/>
        <v>-1.179910572976012</v>
      </c>
    </row>
    <row r="208" spans="8:11" x14ac:dyDescent="0.3">
      <c r="H208" s="1">
        <v>1.7999999999999999E-2</v>
      </c>
      <c r="I208">
        <f t="shared" si="12"/>
        <v>0</v>
      </c>
      <c r="K208">
        <f t="shared" si="13"/>
        <v>-1.179910572976012</v>
      </c>
    </row>
    <row r="209" spans="8:11" x14ac:dyDescent="0.3">
      <c r="H209" s="1">
        <v>1.7999999999999999E-2</v>
      </c>
      <c r="I209">
        <f t="shared" si="12"/>
        <v>0</v>
      </c>
      <c r="K209">
        <f t="shared" si="13"/>
        <v>-1.179910572976012</v>
      </c>
    </row>
    <row r="210" spans="8:11" x14ac:dyDescent="0.3">
      <c r="H210" s="1">
        <v>1.7999999999999999E-2</v>
      </c>
      <c r="I210">
        <f t="shared" si="12"/>
        <v>0</v>
      </c>
      <c r="K210">
        <f t="shared" si="13"/>
        <v>-1.179910572976012</v>
      </c>
    </row>
    <row r="211" spans="8:11" x14ac:dyDescent="0.3">
      <c r="H211" s="1">
        <v>1.7999999999999999E-2</v>
      </c>
      <c r="I211">
        <f t="shared" si="12"/>
        <v>0</v>
      </c>
      <c r="K211">
        <f t="shared" si="13"/>
        <v>-1.179910572976012</v>
      </c>
    </row>
    <row r="212" spans="8:11" x14ac:dyDescent="0.3">
      <c r="H212" s="1">
        <v>1.7999999999999999E-2</v>
      </c>
      <c r="I212">
        <f t="shared" si="12"/>
        <v>0</v>
      </c>
      <c r="K212">
        <f t="shared" si="13"/>
        <v>-1.179910572976012</v>
      </c>
    </row>
    <row r="213" spans="8:11" x14ac:dyDescent="0.3">
      <c r="H213" s="1">
        <v>1.7999999999999999E-2</v>
      </c>
      <c r="I213">
        <f t="shared" si="12"/>
        <v>0</v>
      </c>
      <c r="K213">
        <f t="shared" si="13"/>
        <v>-1.179910572976012</v>
      </c>
    </row>
    <row r="214" spans="8:11" x14ac:dyDescent="0.3">
      <c r="H214" s="1">
        <v>1.7999999999999999E-2</v>
      </c>
      <c r="I214">
        <f t="shared" si="12"/>
        <v>0</v>
      </c>
      <c r="K214">
        <f t="shared" si="13"/>
        <v>-1.179910572976012</v>
      </c>
    </row>
    <row r="215" spans="8:11" x14ac:dyDescent="0.3">
      <c r="H215" s="1">
        <v>1.7999999999999999E-2</v>
      </c>
      <c r="I215">
        <f t="shared" si="12"/>
        <v>0</v>
      </c>
      <c r="K215">
        <f t="shared" si="13"/>
        <v>-1.179910572976012</v>
      </c>
    </row>
    <row r="216" spans="8:11" x14ac:dyDescent="0.3">
      <c r="H216" s="1">
        <v>1.7999999999999999E-2</v>
      </c>
      <c r="I216">
        <f t="shared" si="12"/>
        <v>0</v>
      </c>
      <c r="K216">
        <f t="shared" si="13"/>
        <v>-1.179910572976012</v>
      </c>
    </row>
    <row r="217" spans="8:11" x14ac:dyDescent="0.3">
      <c r="H217" s="1">
        <v>1.7999999999999999E-2</v>
      </c>
      <c r="I217">
        <f t="shared" si="12"/>
        <v>0</v>
      </c>
      <c r="K217">
        <f t="shared" si="13"/>
        <v>-1.179910572976012</v>
      </c>
    </row>
    <row r="218" spans="8:11" x14ac:dyDescent="0.3">
      <c r="H218" s="1">
        <v>1.7999999999999999E-2</v>
      </c>
      <c r="I218">
        <f t="shared" si="12"/>
        <v>0</v>
      </c>
      <c r="K218">
        <f t="shared" si="13"/>
        <v>-1.179910572976012</v>
      </c>
    </row>
    <row r="219" spans="8:11" x14ac:dyDescent="0.3">
      <c r="H219" s="1">
        <v>1.7999999999999999E-2</v>
      </c>
      <c r="I219">
        <f t="shared" si="12"/>
        <v>0</v>
      </c>
      <c r="K219">
        <f t="shared" si="13"/>
        <v>-1.179910572976012</v>
      </c>
    </row>
    <row r="220" spans="8:11" x14ac:dyDescent="0.3">
      <c r="H220" s="1">
        <v>1.7999999999999999E-2</v>
      </c>
      <c r="I220">
        <f t="shared" si="12"/>
        <v>0</v>
      </c>
      <c r="K220">
        <f t="shared" si="13"/>
        <v>-1.179910572976012</v>
      </c>
    </row>
    <row r="221" spans="8:11" x14ac:dyDescent="0.3">
      <c r="H221" s="1">
        <v>1.7999999999999999E-2</v>
      </c>
      <c r="I221">
        <f t="shared" si="12"/>
        <v>0</v>
      </c>
      <c r="K221">
        <f t="shared" si="13"/>
        <v>-1.179910572976012</v>
      </c>
    </row>
    <row r="222" spans="8:11" x14ac:dyDescent="0.3">
      <c r="H222" s="1">
        <v>1.7999999999999999E-2</v>
      </c>
      <c r="I222">
        <f t="shared" si="12"/>
        <v>0</v>
      </c>
      <c r="K222">
        <f t="shared" si="13"/>
        <v>-1.179910572976012</v>
      </c>
    </row>
    <row r="223" spans="8:11" x14ac:dyDescent="0.3">
      <c r="H223" s="1">
        <v>1.7999999999999999E-2</v>
      </c>
      <c r="I223">
        <f t="shared" si="12"/>
        <v>0</v>
      </c>
      <c r="K223">
        <f t="shared" si="13"/>
        <v>-1.179910572976012</v>
      </c>
    </row>
    <row r="224" spans="8:11" x14ac:dyDescent="0.3">
      <c r="H224" s="1">
        <v>1.7999999999999999E-2</v>
      </c>
      <c r="I224">
        <f t="shared" si="12"/>
        <v>0</v>
      </c>
      <c r="K224">
        <f t="shared" si="13"/>
        <v>-1.179910572976012</v>
      </c>
    </row>
    <row r="225" spans="8:11" x14ac:dyDescent="0.3">
      <c r="H225" s="1">
        <v>1.7999999999999999E-2</v>
      </c>
      <c r="I225">
        <f t="shared" si="12"/>
        <v>0</v>
      </c>
      <c r="K225">
        <f t="shared" si="13"/>
        <v>-1.179910572976012</v>
      </c>
    </row>
    <row r="226" spans="8:11" x14ac:dyDescent="0.3">
      <c r="H226" s="1">
        <v>1.7999999999999999E-2</v>
      </c>
      <c r="I226">
        <f t="shared" si="12"/>
        <v>0</v>
      </c>
      <c r="K226">
        <f t="shared" si="13"/>
        <v>-1.179910572976012</v>
      </c>
    </row>
    <row r="227" spans="8:11" x14ac:dyDescent="0.3">
      <c r="H227" s="1">
        <v>1.7999999999999999E-2</v>
      </c>
      <c r="I227">
        <f t="shared" si="12"/>
        <v>0</v>
      </c>
      <c r="K227">
        <f t="shared" si="13"/>
        <v>-1.179910572976012</v>
      </c>
    </row>
    <row r="228" spans="8:11" x14ac:dyDescent="0.3">
      <c r="H228" s="1">
        <v>1.7999999999999999E-2</v>
      </c>
      <c r="I228">
        <f t="shared" si="12"/>
        <v>0</v>
      </c>
      <c r="K228">
        <f t="shared" si="13"/>
        <v>-1.179910572976012</v>
      </c>
    </row>
    <row r="229" spans="8:11" x14ac:dyDescent="0.3">
      <c r="H229" s="1">
        <v>1.7999999999999999E-2</v>
      </c>
      <c r="I229">
        <f t="shared" si="12"/>
        <v>0</v>
      </c>
      <c r="K229">
        <f t="shared" si="13"/>
        <v>-1.179910572976012</v>
      </c>
    </row>
    <row r="230" spans="8:11" x14ac:dyDescent="0.3">
      <c r="H230" s="1">
        <v>1.7999999999999999E-2</v>
      </c>
      <c r="I230">
        <f t="shared" si="12"/>
        <v>0</v>
      </c>
      <c r="K230">
        <f t="shared" si="13"/>
        <v>-1.179910572976012</v>
      </c>
    </row>
    <row r="231" spans="8:11" x14ac:dyDescent="0.3">
      <c r="H231" s="1">
        <v>1.7999999999999999E-2</v>
      </c>
      <c r="I231">
        <f t="shared" si="12"/>
        <v>0</v>
      </c>
      <c r="K231">
        <f t="shared" si="13"/>
        <v>-1.179910572976012</v>
      </c>
    </row>
    <row r="232" spans="8:11" x14ac:dyDescent="0.3">
      <c r="H232" s="1">
        <v>1.7999999999999999E-2</v>
      </c>
      <c r="I232">
        <f t="shared" si="12"/>
        <v>0</v>
      </c>
      <c r="K232">
        <f t="shared" si="13"/>
        <v>-1.179910572976012</v>
      </c>
    </row>
    <row r="233" spans="8:11" x14ac:dyDescent="0.3">
      <c r="H233" s="1">
        <v>1.7999999999999999E-2</v>
      </c>
      <c r="I233">
        <f t="shared" si="12"/>
        <v>0</v>
      </c>
      <c r="K233">
        <f t="shared" si="13"/>
        <v>-1.179910572976012</v>
      </c>
    </row>
    <row r="234" spans="8:11" x14ac:dyDescent="0.3">
      <c r="H234" s="1">
        <v>1.7999999999999999E-2</v>
      </c>
      <c r="I234">
        <f t="shared" si="12"/>
        <v>0</v>
      </c>
      <c r="K234">
        <f t="shared" si="13"/>
        <v>-1.179910572976012</v>
      </c>
    </row>
    <row r="235" spans="8:11" x14ac:dyDescent="0.3">
      <c r="H235" s="1">
        <v>1.7999999999999999E-2</v>
      </c>
      <c r="I235">
        <f t="shared" si="12"/>
        <v>0</v>
      </c>
      <c r="K235">
        <f t="shared" si="13"/>
        <v>-1.179910572976012</v>
      </c>
    </row>
    <row r="236" spans="8:11" x14ac:dyDescent="0.3">
      <c r="H236" s="1">
        <v>1.7999999999999999E-2</v>
      </c>
      <c r="I236">
        <f t="shared" si="12"/>
        <v>0</v>
      </c>
      <c r="K236">
        <f t="shared" si="13"/>
        <v>-1.179910572976012</v>
      </c>
    </row>
    <row r="237" spans="8:11" x14ac:dyDescent="0.3">
      <c r="H237" s="1">
        <v>1.7999999999999999E-2</v>
      </c>
      <c r="I237">
        <f t="shared" si="12"/>
        <v>0</v>
      </c>
      <c r="K237">
        <f t="shared" si="13"/>
        <v>-1.179910572976012</v>
      </c>
    </row>
    <row r="238" spans="8:11" x14ac:dyDescent="0.3">
      <c r="H238" s="1">
        <v>1.7999999999999999E-2</v>
      </c>
      <c r="I238">
        <f t="shared" si="12"/>
        <v>0</v>
      </c>
      <c r="K238">
        <f t="shared" si="13"/>
        <v>-1.179910572976012</v>
      </c>
    </row>
    <row r="239" spans="8:11" x14ac:dyDescent="0.3">
      <c r="H239" s="1">
        <v>1.7999999999999999E-2</v>
      </c>
      <c r="I239">
        <f t="shared" si="12"/>
        <v>0</v>
      </c>
      <c r="K239">
        <f t="shared" si="13"/>
        <v>-1.179910572976012</v>
      </c>
    </row>
    <row r="240" spans="8:11" x14ac:dyDescent="0.3">
      <c r="H240" s="1">
        <v>1.7999999999999999E-2</v>
      </c>
      <c r="I240">
        <f t="shared" si="12"/>
        <v>0</v>
      </c>
      <c r="K240">
        <f t="shared" si="13"/>
        <v>-1.179910572976012</v>
      </c>
    </row>
    <row r="241" spans="8:11" x14ac:dyDescent="0.3">
      <c r="H241" s="1">
        <v>1.7999999999999999E-2</v>
      </c>
      <c r="I241">
        <f t="shared" si="12"/>
        <v>0</v>
      </c>
      <c r="K241">
        <f t="shared" si="13"/>
        <v>-1.179910572976012</v>
      </c>
    </row>
    <row r="242" spans="8:11" x14ac:dyDescent="0.3">
      <c r="H242" s="1">
        <v>1.7999999999999999E-2</v>
      </c>
      <c r="I242">
        <f t="shared" si="12"/>
        <v>0</v>
      </c>
      <c r="K242">
        <f t="shared" si="13"/>
        <v>-1.179910572976012</v>
      </c>
    </row>
    <row r="243" spans="8:11" x14ac:dyDescent="0.3">
      <c r="H243" s="1">
        <v>1.7999999999999999E-2</v>
      </c>
      <c r="I243">
        <f t="shared" si="12"/>
        <v>0</v>
      </c>
      <c r="K243">
        <f t="shared" si="13"/>
        <v>-1.179910572976012</v>
      </c>
    </row>
    <row r="244" spans="8:11" x14ac:dyDescent="0.3">
      <c r="H244" s="1">
        <v>1.7999999999999999E-2</v>
      </c>
      <c r="I244">
        <f t="shared" si="12"/>
        <v>0</v>
      </c>
      <c r="K244">
        <f t="shared" si="13"/>
        <v>-1.179910572976012</v>
      </c>
    </row>
    <row r="245" spans="8:11" x14ac:dyDescent="0.3">
      <c r="H245" s="1">
        <v>1.7999999999999999E-2</v>
      </c>
      <c r="I245">
        <f t="shared" si="12"/>
        <v>0</v>
      </c>
      <c r="K245">
        <f t="shared" si="13"/>
        <v>-1.179910572976012</v>
      </c>
    </row>
    <row r="246" spans="8:11" x14ac:dyDescent="0.3">
      <c r="H246" s="1">
        <v>1.7999999999999999E-2</v>
      </c>
      <c r="I246">
        <f t="shared" si="12"/>
        <v>0</v>
      </c>
      <c r="K246">
        <f t="shared" si="13"/>
        <v>-1.179910572976012</v>
      </c>
    </row>
    <row r="247" spans="8:11" x14ac:dyDescent="0.3">
      <c r="H247" s="1">
        <v>1.7999999999999999E-2</v>
      </c>
      <c r="I247">
        <f t="shared" si="12"/>
        <v>0</v>
      </c>
      <c r="K247">
        <f t="shared" si="13"/>
        <v>-1.179910572976012</v>
      </c>
    </row>
    <row r="248" spans="8:11" x14ac:dyDescent="0.3">
      <c r="H248" s="1">
        <v>1.7999999999999999E-2</v>
      </c>
      <c r="I248">
        <f t="shared" si="12"/>
        <v>0</v>
      </c>
      <c r="K248">
        <f t="shared" si="13"/>
        <v>-1.179910572976012</v>
      </c>
    </row>
    <row r="249" spans="8:11" x14ac:dyDescent="0.3">
      <c r="H249" s="1">
        <v>1.7999999999999999E-2</v>
      </c>
      <c r="I249">
        <f t="shared" si="12"/>
        <v>0</v>
      </c>
      <c r="K249">
        <f t="shared" si="13"/>
        <v>-1.179910572976012</v>
      </c>
    </row>
    <row r="250" spans="8:11" x14ac:dyDescent="0.3">
      <c r="H250" s="1">
        <v>1.7999999999999999E-2</v>
      </c>
      <c r="I250">
        <f t="shared" si="12"/>
        <v>0</v>
      </c>
      <c r="K250">
        <f t="shared" si="13"/>
        <v>-1.179910572976012</v>
      </c>
    </row>
    <row r="251" spans="8:11" x14ac:dyDescent="0.3">
      <c r="H251" s="1">
        <v>1.7999999999999999E-2</v>
      </c>
      <c r="I251">
        <f t="shared" si="12"/>
        <v>0</v>
      </c>
      <c r="K251">
        <f t="shared" si="13"/>
        <v>-1.179910572976012</v>
      </c>
    </row>
    <row r="252" spans="8:11" x14ac:dyDescent="0.3">
      <c r="H252" s="1">
        <v>1.7999999999999999E-2</v>
      </c>
      <c r="I252">
        <f t="shared" si="12"/>
        <v>0</v>
      </c>
      <c r="K252">
        <f t="shared" si="13"/>
        <v>-1.179910572976012</v>
      </c>
    </row>
    <row r="253" spans="8:11" x14ac:dyDescent="0.3">
      <c r="H253" s="1">
        <v>1.7999999999999999E-2</v>
      </c>
      <c r="I253">
        <f t="shared" si="12"/>
        <v>0</v>
      </c>
      <c r="K253">
        <f t="shared" si="13"/>
        <v>-1.179910572976012</v>
      </c>
    </row>
    <row r="254" spans="8:11" x14ac:dyDescent="0.3">
      <c r="H254" s="1">
        <v>1.7999999999999999E-2</v>
      </c>
      <c r="I254">
        <f t="shared" si="12"/>
        <v>0</v>
      </c>
      <c r="K254">
        <f t="shared" si="13"/>
        <v>-1.179910572976012</v>
      </c>
    </row>
    <row r="255" spans="8:11" x14ac:dyDescent="0.3">
      <c r="H255" s="1">
        <v>1.7999999999999999E-2</v>
      </c>
      <c r="I255">
        <f t="shared" si="12"/>
        <v>0</v>
      </c>
      <c r="K255">
        <f t="shared" si="13"/>
        <v>-1.179910572976012</v>
      </c>
    </row>
    <row r="256" spans="8:11" x14ac:dyDescent="0.3">
      <c r="H256" s="1">
        <v>1.7999999999999999E-2</v>
      </c>
      <c r="I256">
        <f t="shared" si="12"/>
        <v>0</v>
      </c>
      <c r="K256">
        <f t="shared" si="13"/>
        <v>-1.179910572976012</v>
      </c>
    </row>
    <row r="257" spans="8:11" x14ac:dyDescent="0.3">
      <c r="H257" s="1">
        <v>1.7999999999999999E-2</v>
      </c>
      <c r="I257">
        <f t="shared" si="12"/>
        <v>0</v>
      </c>
      <c r="K257">
        <f t="shared" si="13"/>
        <v>-1.179910572976012</v>
      </c>
    </row>
    <row r="258" spans="8:11" x14ac:dyDescent="0.3">
      <c r="H258" s="1">
        <v>1.7999999999999999E-2</v>
      </c>
      <c r="I258">
        <f t="shared" ref="I258:I301" si="14">B257+(C257*H258)</f>
        <v>0</v>
      </c>
      <c r="K258">
        <f t="shared" si="13"/>
        <v>-1.179910572976012</v>
      </c>
    </row>
    <row r="259" spans="8:11" x14ac:dyDescent="0.3">
      <c r="H259" s="1">
        <v>1.7999999999999999E-2</v>
      </c>
      <c r="I259">
        <f t="shared" si="14"/>
        <v>0</v>
      </c>
      <c r="K259">
        <f t="shared" ref="K259:K301" si="15">I259-$K$1</f>
        <v>-1.179910572976012</v>
      </c>
    </row>
    <row r="260" spans="8:11" x14ac:dyDescent="0.3">
      <c r="H260" s="1">
        <v>1.7999999999999999E-2</v>
      </c>
      <c r="I260">
        <f t="shared" si="14"/>
        <v>0</v>
      </c>
      <c r="K260">
        <f t="shared" si="15"/>
        <v>-1.179910572976012</v>
      </c>
    </row>
    <row r="261" spans="8:11" x14ac:dyDescent="0.3">
      <c r="H261" s="1">
        <v>1.7999999999999999E-2</v>
      </c>
      <c r="I261">
        <f t="shared" si="14"/>
        <v>0</v>
      </c>
      <c r="K261">
        <f t="shared" si="15"/>
        <v>-1.179910572976012</v>
      </c>
    </row>
    <row r="262" spans="8:11" x14ac:dyDescent="0.3">
      <c r="H262" s="1">
        <v>1.7999999999999999E-2</v>
      </c>
      <c r="I262">
        <f t="shared" si="14"/>
        <v>0</v>
      </c>
      <c r="K262">
        <f t="shared" si="15"/>
        <v>-1.179910572976012</v>
      </c>
    </row>
    <row r="263" spans="8:11" x14ac:dyDescent="0.3">
      <c r="H263" s="1">
        <v>1.7999999999999999E-2</v>
      </c>
      <c r="I263">
        <f t="shared" si="14"/>
        <v>0</v>
      </c>
      <c r="K263">
        <f t="shared" si="15"/>
        <v>-1.179910572976012</v>
      </c>
    </row>
    <row r="264" spans="8:11" x14ac:dyDescent="0.3">
      <c r="H264" s="1">
        <v>1.7999999999999999E-2</v>
      </c>
      <c r="I264">
        <f t="shared" si="14"/>
        <v>0</v>
      </c>
      <c r="K264">
        <f t="shared" si="15"/>
        <v>-1.179910572976012</v>
      </c>
    </row>
    <row r="265" spans="8:11" x14ac:dyDescent="0.3">
      <c r="H265" s="1">
        <v>1.7999999999999999E-2</v>
      </c>
      <c r="I265">
        <f t="shared" si="14"/>
        <v>0</v>
      </c>
      <c r="K265">
        <f t="shared" si="15"/>
        <v>-1.179910572976012</v>
      </c>
    </row>
    <row r="266" spans="8:11" x14ac:dyDescent="0.3">
      <c r="H266" s="1">
        <v>1.7999999999999999E-2</v>
      </c>
      <c r="I266">
        <f t="shared" si="14"/>
        <v>0</v>
      </c>
      <c r="K266">
        <f t="shared" si="15"/>
        <v>-1.179910572976012</v>
      </c>
    </row>
    <row r="267" spans="8:11" x14ac:dyDescent="0.3">
      <c r="H267" s="1">
        <v>1.7999999999999999E-2</v>
      </c>
      <c r="I267">
        <f t="shared" si="14"/>
        <v>0</v>
      </c>
      <c r="K267">
        <f t="shared" si="15"/>
        <v>-1.179910572976012</v>
      </c>
    </row>
    <row r="268" spans="8:11" x14ac:dyDescent="0.3">
      <c r="H268" s="1">
        <v>1.7999999999999999E-2</v>
      </c>
      <c r="I268">
        <f t="shared" si="14"/>
        <v>0</v>
      </c>
      <c r="K268">
        <f t="shared" si="15"/>
        <v>-1.179910572976012</v>
      </c>
    </row>
    <row r="269" spans="8:11" x14ac:dyDescent="0.3">
      <c r="H269" s="1">
        <v>1.7999999999999999E-2</v>
      </c>
      <c r="I269">
        <f t="shared" si="14"/>
        <v>0</v>
      </c>
      <c r="K269">
        <f t="shared" si="15"/>
        <v>-1.179910572976012</v>
      </c>
    </row>
    <row r="270" spans="8:11" x14ac:dyDescent="0.3">
      <c r="H270" s="1">
        <v>1.7999999999999999E-2</v>
      </c>
      <c r="I270">
        <f t="shared" si="14"/>
        <v>0</v>
      </c>
      <c r="K270">
        <f t="shared" si="15"/>
        <v>-1.179910572976012</v>
      </c>
    </row>
    <row r="271" spans="8:11" x14ac:dyDescent="0.3">
      <c r="H271" s="1">
        <v>1.7999999999999999E-2</v>
      </c>
      <c r="I271">
        <f t="shared" si="14"/>
        <v>0</v>
      </c>
      <c r="K271">
        <f t="shared" si="15"/>
        <v>-1.179910572976012</v>
      </c>
    </row>
    <row r="272" spans="8:11" x14ac:dyDescent="0.3">
      <c r="H272" s="1">
        <v>1.7999999999999999E-2</v>
      </c>
      <c r="I272">
        <f t="shared" si="14"/>
        <v>0</v>
      </c>
      <c r="K272">
        <f t="shared" si="15"/>
        <v>-1.179910572976012</v>
      </c>
    </row>
    <row r="273" spans="8:11" x14ac:dyDescent="0.3">
      <c r="H273" s="1">
        <v>1.7999999999999999E-2</v>
      </c>
      <c r="I273">
        <f t="shared" si="14"/>
        <v>0</v>
      </c>
      <c r="K273">
        <f t="shared" si="15"/>
        <v>-1.179910572976012</v>
      </c>
    </row>
    <row r="274" spans="8:11" x14ac:dyDescent="0.3">
      <c r="H274" s="1">
        <v>1.7999999999999999E-2</v>
      </c>
      <c r="I274">
        <f t="shared" si="14"/>
        <v>0</v>
      </c>
      <c r="K274">
        <f t="shared" si="15"/>
        <v>-1.179910572976012</v>
      </c>
    </row>
    <row r="275" spans="8:11" x14ac:dyDescent="0.3">
      <c r="H275" s="1">
        <v>1.7999999999999999E-2</v>
      </c>
      <c r="I275">
        <f t="shared" si="14"/>
        <v>0</v>
      </c>
      <c r="K275">
        <f t="shared" si="15"/>
        <v>-1.179910572976012</v>
      </c>
    </row>
    <row r="276" spans="8:11" x14ac:dyDescent="0.3">
      <c r="H276" s="1">
        <v>1.7999999999999999E-2</v>
      </c>
      <c r="I276">
        <f t="shared" si="14"/>
        <v>0</v>
      </c>
      <c r="K276">
        <f t="shared" si="15"/>
        <v>-1.179910572976012</v>
      </c>
    </row>
    <row r="277" spans="8:11" x14ac:dyDescent="0.3">
      <c r="H277" s="1">
        <v>1.7999999999999999E-2</v>
      </c>
      <c r="I277">
        <f t="shared" si="14"/>
        <v>0</v>
      </c>
      <c r="K277">
        <f t="shared" si="15"/>
        <v>-1.179910572976012</v>
      </c>
    </row>
    <row r="278" spans="8:11" x14ac:dyDescent="0.3">
      <c r="H278" s="1">
        <v>1.7999999999999999E-2</v>
      </c>
      <c r="I278">
        <f t="shared" si="14"/>
        <v>0</v>
      </c>
      <c r="K278">
        <f t="shared" si="15"/>
        <v>-1.179910572976012</v>
      </c>
    </row>
    <row r="279" spans="8:11" x14ac:dyDescent="0.3">
      <c r="H279" s="1">
        <v>1.7999999999999999E-2</v>
      </c>
      <c r="I279">
        <f t="shared" si="14"/>
        <v>0</v>
      </c>
      <c r="K279">
        <f t="shared" si="15"/>
        <v>-1.179910572976012</v>
      </c>
    </row>
    <row r="280" spans="8:11" x14ac:dyDescent="0.3">
      <c r="H280" s="1">
        <v>1.7999999999999999E-2</v>
      </c>
      <c r="I280">
        <f t="shared" si="14"/>
        <v>0</v>
      </c>
      <c r="K280">
        <f t="shared" si="15"/>
        <v>-1.179910572976012</v>
      </c>
    </row>
    <row r="281" spans="8:11" x14ac:dyDescent="0.3">
      <c r="H281" s="1">
        <v>1.7999999999999999E-2</v>
      </c>
      <c r="I281">
        <f t="shared" si="14"/>
        <v>0</v>
      </c>
      <c r="K281">
        <f t="shared" si="15"/>
        <v>-1.179910572976012</v>
      </c>
    </row>
    <row r="282" spans="8:11" x14ac:dyDescent="0.3">
      <c r="H282" s="1">
        <v>1.7999999999999999E-2</v>
      </c>
      <c r="I282">
        <f t="shared" si="14"/>
        <v>0</v>
      </c>
      <c r="K282">
        <f t="shared" si="15"/>
        <v>-1.179910572976012</v>
      </c>
    </row>
    <row r="283" spans="8:11" x14ac:dyDescent="0.3">
      <c r="H283" s="1">
        <v>1.7999999999999999E-2</v>
      </c>
      <c r="I283">
        <f t="shared" si="14"/>
        <v>0</v>
      </c>
      <c r="K283">
        <f t="shared" si="15"/>
        <v>-1.179910572976012</v>
      </c>
    </row>
    <row r="284" spans="8:11" x14ac:dyDescent="0.3">
      <c r="H284" s="1">
        <v>1.7999999999999999E-2</v>
      </c>
      <c r="I284">
        <f t="shared" si="14"/>
        <v>0</v>
      </c>
      <c r="K284">
        <f t="shared" si="15"/>
        <v>-1.179910572976012</v>
      </c>
    </row>
    <row r="285" spans="8:11" x14ac:dyDescent="0.3">
      <c r="H285" s="1">
        <v>1.7999999999999999E-2</v>
      </c>
      <c r="I285">
        <f t="shared" si="14"/>
        <v>0</v>
      </c>
      <c r="K285">
        <f t="shared" si="15"/>
        <v>-1.179910572976012</v>
      </c>
    </row>
    <row r="286" spans="8:11" x14ac:dyDescent="0.3">
      <c r="H286" s="1">
        <v>1.7999999999999999E-2</v>
      </c>
      <c r="I286">
        <f t="shared" si="14"/>
        <v>0</v>
      </c>
      <c r="K286">
        <f t="shared" si="15"/>
        <v>-1.179910572976012</v>
      </c>
    </row>
    <row r="287" spans="8:11" x14ac:dyDescent="0.3">
      <c r="H287" s="1">
        <v>1.7999999999999999E-2</v>
      </c>
      <c r="I287">
        <f t="shared" si="14"/>
        <v>0</v>
      </c>
      <c r="K287">
        <f t="shared" si="15"/>
        <v>-1.179910572976012</v>
      </c>
    </row>
    <row r="288" spans="8:11" x14ac:dyDescent="0.3">
      <c r="H288" s="1">
        <v>1.7999999999999999E-2</v>
      </c>
      <c r="I288">
        <f t="shared" si="14"/>
        <v>0</v>
      </c>
      <c r="K288">
        <f t="shared" si="15"/>
        <v>-1.179910572976012</v>
      </c>
    </row>
    <row r="289" spans="8:11" x14ac:dyDescent="0.3">
      <c r="H289" s="1">
        <v>1.7999999999999999E-2</v>
      </c>
      <c r="I289">
        <f t="shared" si="14"/>
        <v>0</v>
      </c>
      <c r="K289">
        <f t="shared" si="15"/>
        <v>-1.179910572976012</v>
      </c>
    </row>
    <row r="290" spans="8:11" x14ac:dyDescent="0.3">
      <c r="H290" s="1">
        <v>1.7999999999999999E-2</v>
      </c>
      <c r="I290">
        <f t="shared" si="14"/>
        <v>0</v>
      </c>
      <c r="K290">
        <f t="shared" si="15"/>
        <v>-1.179910572976012</v>
      </c>
    </row>
    <row r="291" spans="8:11" x14ac:dyDescent="0.3">
      <c r="H291" s="1">
        <v>1.7999999999999999E-2</v>
      </c>
      <c r="I291">
        <f t="shared" si="14"/>
        <v>0</v>
      </c>
      <c r="K291">
        <f t="shared" si="15"/>
        <v>-1.179910572976012</v>
      </c>
    </row>
    <row r="292" spans="8:11" x14ac:dyDescent="0.3">
      <c r="H292" s="1">
        <v>1.7999999999999999E-2</v>
      </c>
      <c r="I292">
        <f t="shared" si="14"/>
        <v>0</v>
      </c>
      <c r="K292">
        <f t="shared" si="15"/>
        <v>-1.179910572976012</v>
      </c>
    </row>
    <row r="293" spans="8:11" x14ac:dyDescent="0.3">
      <c r="H293" s="1">
        <v>1.7999999999999999E-2</v>
      </c>
      <c r="I293">
        <f t="shared" si="14"/>
        <v>0</v>
      </c>
      <c r="K293">
        <f t="shared" si="15"/>
        <v>-1.179910572976012</v>
      </c>
    </row>
    <row r="294" spans="8:11" x14ac:dyDescent="0.3">
      <c r="H294" s="1">
        <v>1.7999999999999999E-2</v>
      </c>
      <c r="I294">
        <f t="shared" si="14"/>
        <v>0</v>
      </c>
      <c r="K294">
        <f t="shared" si="15"/>
        <v>-1.179910572976012</v>
      </c>
    </row>
    <row r="295" spans="8:11" x14ac:dyDescent="0.3">
      <c r="H295" s="1">
        <v>1.7999999999999999E-2</v>
      </c>
      <c r="I295">
        <f t="shared" si="14"/>
        <v>0</v>
      </c>
      <c r="K295">
        <f t="shared" si="15"/>
        <v>-1.179910572976012</v>
      </c>
    </row>
    <row r="296" spans="8:11" x14ac:dyDescent="0.3">
      <c r="H296" s="1">
        <v>1.7999999999999999E-2</v>
      </c>
      <c r="I296">
        <f t="shared" si="14"/>
        <v>0</v>
      </c>
      <c r="K296">
        <f t="shared" si="15"/>
        <v>-1.179910572976012</v>
      </c>
    </row>
    <row r="297" spans="8:11" x14ac:dyDescent="0.3">
      <c r="H297" s="1">
        <v>1.7999999999999999E-2</v>
      </c>
      <c r="I297">
        <f t="shared" si="14"/>
        <v>0</v>
      </c>
      <c r="K297">
        <f t="shared" si="15"/>
        <v>-1.179910572976012</v>
      </c>
    </row>
    <row r="298" spans="8:11" x14ac:dyDescent="0.3">
      <c r="H298" s="1">
        <v>1.7999999999999999E-2</v>
      </c>
      <c r="I298">
        <f t="shared" si="14"/>
        <v>0</v>
      </c>
      <c r="K298">
        <f t="shared" si="15"/>
        <v>-1.179910572976012</v>
      </c>
    </row>
    <row r="299" spans="8:11" x14ac:dyDescent="0.3">
      <c r="H299" s="1">
        <v>1.7999999999999999E-2</v>
      </c>
      <c r="I299">
        <f t="shared" si="14"/>
        <v>0</v>
      </c>
      <c r="K299">
        <f t="shared" si="15"/>
        <v>-1.179910572976012</v>
      </c>
    </row>
    <row r="300" spans="8:11" x14ac:dyDescent="0.3">
      <c r="H300" s="1">
        <v>1.7999999999999999E-2</v>
      </c>
      <c r="I300">
        <f t="shared" si="14"/>
        <v>0</v>
      </c>
      <c r="K300">
        <f t="shared" si="15"/>
        <v>-1.179910572976012</v>
      </c>
    </row>
    <row r="301" spans="8:11" x14ac:dyDescent="0.3">
      <c r="H301" s="1">
        <v>1.7999999999999999E-2</v>
      </c>
      <c r="I301">
        <f t="shared" si="14"/>
        <v>0</v>
      </c>
      <c r="K301">
        <f t="shared" si="15"/>
        <v>-1.179910572976012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2026-04-17T06:26:54Z</dcterms:modified>
</cp:coreProperties>
</file>