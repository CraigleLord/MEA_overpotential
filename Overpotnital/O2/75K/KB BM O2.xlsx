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"/>
    </mc:Choice>
  </mc:AlternateContent>
  <xr:revisionPtr revIDLastSave="0" documentId="13_ncr:1_{09C278B3-C526-4F0D-8FD2-17DA003ECAD4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R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257" i="1"/>
  <c r="P257" i="1" s="1"/>
  <c r="K263" i="1"/>
  <c r="P263" i="1" s="1"/>
  <c r="K240" i="1"/>
  <c r="P240" i="1" s="1"/>
  <c r="K217" i="1"/>
  <c r="P217" i="1" s="1"/>
  <c r="K274" i="1"/>
  <c r="P274" i="1" s="1"/>
  <c r="K277" i="1"/>
  <c r="P277" i="1" s="1"/>
  <c r="K247" i="1"/>
  <c r="P247" i="1" s="1"/>
  <c r="K255" i="1"/>
  <c r="P255" i="1" s="1"/>
  <c r="K279" i="1"/>
  <c r="P279" i="1" s="1"/>
  <c r="K278" i="1"/>
  <c r="P278" i="1" s="1"/>
  <c r="K243" i="1"/>
  <c r="P243" i="1" s="1"/>
  <c r="K273" i="1"/>
  <c r="P273" i="1" s="1"/>
  <c r="K237" i="1"/>
  <c r="P237" i="1" s="1"/>
  <c r="K213" i="1"/>
  <c r="P213" i="1" s="1"/>
  <c r="K269" i="1"/>
  <c r="P269" i="1" s="1"/>
  <c r="K297" i="1"/>
  <c r="P297" i="1" s="1"/>
  <c r="K227" i="1"/>
  <c r="P227" i="1" s="1"/>
  <c r="K241" i="1"/>
  <c r="P241" i="1" s="1"/>
  <c r="K215" i="1"/>
  <c r="P215" i="1" s="1"/>
  <c r="K226" i="1"/>
  <c r="P226" i="1" s="1"/>
  <c r="K233" i="1"/>
  <c r="P233" i="1" s="1"/>
  <c r="K282" i="1"/>
  <c r="P282" i="1" s="1"/>
  <c r="K234" i="1"/>
  <c r="P234" i="1" s="1"/>
  <c r="K251" i="1"/>
  <c r="P251" i="1" s="1"/>
  <c r="K294" i="1"/>
  <c r="P294" i="1" s="1"/>
  <c r="K261" i="1"/>
  <c r="P261" i="1" s="1"/>
  <c r="K236" i="1"/>
  <c r="P236" i="1" s="1"/>
  <c r="K262" i="1"/>
  <c r="P262" i="1" s="1"/>
  <c r="K249" i="1"/>
  <c r="P249" i="1" s="1"/>
  <c r="K229" i="1"/>
  <c r="P229" i="1" s="1"/>
  <c r="K253" i="1"/>
  <c r="P253" i="1" s="1"/>
  <c r="K235" i="1"/>
  <c r="P235" i="1" s="1"/>
  <c r="K292" i="1"/>
  <c r="P292" i="1" s="1"/>
  <c r="K245" i="1"/>
  <c r="P245" i="1" s="1"/>
  <c r="K221" i="1"/>
  <c r="P221" i="1" s="1"/>
  <c r="K301" i="1"/>
  <c r="P301" i="1" s="1"/>
  <c r="K258" i="1"/>
  <c r="P258" i="1" s="1"/>
  <c r="K252" i="1"/>
  <c r="P252" i="1" s="1"/>
  <c r="K260" i="1"/>
  <c r="P260" i="1" s="1"/>
  <c r="K299" i="1"/>
  <c r="P299" i="1" s="1"/>
  <c r="K214" i="1"/>
  <c r="P214" i="1" s="1"/>
  <c r="K219" i="1"/>
  <c r="P219" i="1" s="1"/>
  <c r="K239" i="1"/>
  <c r="P239" i="1" s="1"/>
  <c r="K266" i="1"/>
  <c r="P266" i="1" s="1"/>
  <c r="K272" i="1"/>
  <c r="P272" i="1" s="1"/>
  <c r="K290" i="1"/>
  <c r="P290" i="1" s="1"/>
  <c r="K287" i="1"/>
  <c r="P287" i="1" s="1"/>
  <c r="K223" i="1"/>
  <c r="P223" i="1" s="1"/>
  <c r="K264" i="1"/>
  <c r="P264" i="1" s="1"/>
  <c r="K267" i="1"/>
  <c r="P267" i="1" s="1"/>
  <c r="K285" i="1"/>
  <c r="P285" i="1" s="1"/>
  <c r="K291" i="1"/>
  <c r="P291" i="1" s="1"/>
  <c r="K246" i="1"/>
  <c r="P246" i="1" s="1"/>
  <c r="K281" i="1"/>
  <c r="P281" i="1" s="1"/>
  <c r="K224" i="1"/>
  <c r="P224" i="1" s="1"/>
  <c r="K275" i="1"/>
  <c r="P275" i="1" s="1"/>
  <c r="K232" i="1"/>
  <c r="P232" i="1" s="1"/>
  <c r="K228" i="1"/>
  <c r="P228" i="1" s="1"/>
  <c r="K268" i="1"/>
  <c r="P268" i="1" s="1"/>
  <c r="K254" i="1"/>
  <c r="P254" i="1" s="1"/>
  <c r="K271" i="1"/>
  <c r="P271" i="1" s="1"/>
  <c r="K302" i="1"/>
  <c r="P302" i="1" s="1"/>
  <c r="K256" i="1"/>
  <c r="P256" i="1" s="1"/>
  <c r="K248" i="1"/>
  <c r="P248" i="1" s="1"/>
  <c r="K238" i="1"/>
  <c r="P238" i="1" s="1"/>
  <c r="K230" i="1"/>
  <c r="P230" i="1" s="1"/>
  <c r="K244" i="1"/>
  <c r="P244" i="1" s="1"/>
  <c r="K225" i="1"/>
  <c r="P225" i="1" s="1"/>
  <c r="K216" i="1"/>
  <c r="P216" i="1" s="1"/>
  <c r="K284" i="1"/>
  <c r="P284" i="1" s="1"/>
  <c r="K250" i="1"/>
  <c r="P250" i="1" s="1"/>
  <c r="K283" i="1"/>
  <c r="P283" i="1" s="1"/>
  <c r="K270" i="1"/>
  <c r="P270" i="1" s="1"/>
  <c r="K286" i="1"/>
  <c r="P286" i="1" s="1"/>
  <c r="K303" i="1"/>
  <c r="P303" i="1" s="1"/>
  <c r="K289" i="1"/>
  <c r="P289" i="1" s="1"/>
  <c r="K212" i="1"/>
  <c r="P212" i="1" s="1"/>
  <c r="K231" i="1"/>
  <c r="P231" i="1" s="1"/>
  <c r="K222" i="1"/>
  <c r="P222" i="1" s="1"/>
  <c r="K220" i="1"/>
  <c r="P220" i="1" s="1"/>
  <c r="K298" i="1"/>
  <c r="P298" i="1" s="1"/>
  <c r="K276" i="1"/>
  <c r="P276" i="1" s="1"/>
  <c r="K218" i="1"/>
  <c r="P218" i="1" s="1"/>
  <c r="K242" i="1"/>
  <c r="P242" i="1" s="1"/>
  <c r="K293" i="1"/>
  <c r="P293" i="1" s="1"/>
  <c r="K300" i="1"/>
  <c r="P300" i="1" s="1"/>
  <c r="K296" i="1"/>
  <c r="P296" i="1" s="1"/>
  <c r="K295" i="1"/>
  <c r="P295" i="1" s="1"/>
  <c r="K280" i="1"/>
  <c r="P280" i="1" s="1"/>
  <c r="K259" i="1"/>
  <c r="P259" i="1" s="1"/>
  <c r="K265" i="1"/>
  <c r="P265" i="1" s="1"/>
  <c r="K160" i="1"/>
  <c r="P160" i="1" s="1"/>
  <c r="K191" i="1"/>
  <c r="P191" i="1" s="1"/>
  <c r="K196" i="1"/>
  <c r="P196" i="1" s="1"/>
  <c r="K18" i="1"/>
  <c r="K50" i="1"/>
  <c r="K167" i="1"/>
  <c r="P167" i="1" s="1"/>
  <c r="K46" i="1"/>
  <c r="K67" i="1"/>
  <c r="K145" i="1"/>
  <c r="K169" i="1"/>
  <c r="K135" i="1"/>
  <c r="K185" i="1"/>
  <c r="K117" i="1"/>
  <c r="K65" i="1"/>
  <c r="K73" i="1"/>
  <c r="K118" i="1"/>
  <c r="K27" i="1"/>
  <c r="K98" i="1"/>
  <c r="K113" i="1"/>
  <c r="K60" i="1"/>
  <c r="K202" i="1"/>
  <c r="P202" i="1" s="1"/>
  <c r="K186" i="1"/>
  <c r="P186" i="1" s="1"/>
  <c r="K156" i="1"/>
  <c r="P156" i="1" s="1"/>
  <c r="K59" i="1"/>
  <c r="K63" i="1"/>
  <c r="K150" i="1"/>
  <c r="P150" i="1" s="1"/>
  <c r="K175" i="1"/>
  <c r="P175" i="1" s="1"/>
  <c r="K8" i="1"/>
  <c r="K207" i="1"/>
  <c r="P207" i="1" s="1"/>
  <c r="K20" i="1"/>
  <c r="K36" i="1"/>
  <c r="K7" i="1"/>
  <c r="K164" i="1"/>
  <c r="P164" i="1" s="1"/>
  <c r="K122" i="1"/>
  <c r="K115" i="1"/>
  <c r="K165" i="1"/>
  <c r="P165" i="1" s="1"/>
  <c r="K151" i="1"/>
  <c r="P151" i="1" s="1"/>
  <c r="K138" i="1"/>
  <c r="K62" i="1"/>
  <c r="K163" i="1"/>
  <c r="K45" i="1"/>
  <c r="K61" i="1"/>
  <c r="K198" i="1"/>
  <c r="P198" i="1" s="1"/>
  <c r="K120" i="1"/>
  <c r="K111" i="1"/>
  <c r="K149" i="1"/>
  <c r="P149" i="1" s="1"/>
  <c r="K102" i="1"/>
  <c r="K48" i="1"/>
  <c r="K143" i="1"/>
  <c r="K112" i="1"/>
  <c r="K83" i="1"/>
  <c r="K93" i="1"/>
  <c r="K205" i="1"/>
  <c r="P205" i="1" s="1"/>
  <c r="K146" i="1"/>
  <c r="P146" i="1" s="1"/>
  <c r="K176" i="1"/>
  <c r="P176" i="1" s="1"/>
  <c r="K26" i="1"/>
  <c r="K126" i="1"/>
  <c r="K87" i="1"/>
  <c r="K42" i="1"/>
  <c r="K85" i="1"/>
  <c r="K142" i="1"/>
  <c r="K209" i="1"/>
  <c r="P209" i="1" s="1"/>
  <c r="K72" i="1"/>
  <c r="K84" i="1"/>
  <c r="K153" i="1"/>
  <c r="P153" i="1" s="1"/>
  <c r="K177" i="1"/>
  <c r="P177" i="1" s="1"/>
  <c r="K21" i="1"/>
  <c r="K44" i="1"/>
  <c r="K30" i="1"/>
  <c r="K11" i="1"/>
  <c r="K99" i="1"/>
  <c r="K116" i="1"/>
  <c r="K81" i="1"/>
  <c r="K43" i="1"/>
  <c r="K82" i="1"/>
  <c r="K195" i="1"/>
  <c r="P195" i="1" s="1"/>
  <c r="K69" i="1"/>
  <c r="K139" i="1"/>
  <c r="K16" i="1"/>
  <c r="K172" i="1"/>
  <c r="P172" i="1" s="1"/>
  <c r="K17" i="1"/>
  <c r="K189" i="1"/>
  <c r="P189" i="1" s="1"/>
  <c r="K181" i="1"/>
  <c r="P181" i="1" s="1"/>
  <c r="K41" i="1"/>
  <c r="K183" i="1"/>
  <c r="P183" i="1" s="1"/>
  <c r="K200" i="1"/>
  <c r="P200" i="1" s="1"/>
  <c r="K94" i="1"/>
  <c r="K57" i="1"/>
  <c r="K32" i="1"/>
  <c r="K74" i="1"/>
  <c r="K25" i="1"/>
  <c r="K54" i="1"/>
  <c r="K147" i="1"/>
  <c r="K197" i="1"/>
  <c r="P197" i="1" s="1"/>
  <c r="K86" i="1"/>
  <c r="K49" i="1"/>
  <c r="K110" i="1"/>
  <c r="K144" i="1"/>
  <c r="K190" i="1"/>
  <c r="P190" i="1" s="1"/>
  <c r="K141" i="1"/>
  <c r="K123" i="1"/>
  <c r="K39" i="1"/>
  <c r="K19" i="1"/>
  <c r="K6" i="1"/>
  <c r="K162" i="1"/>
  <c r="P162" i="1" s="1"/>
  <c r="K125" i="1"/>
  <c r="K148" i="1"/>
  <c r="P148" i="1" s="1"/>
  <c r="K171" i="1"/>
  <c r="K152" i="1"/>
  <c r="P152" i="1" s="1"/>
  <c r="K105" i="1"/>
  <c r="K101" i="1"/>
  <c r="K161" i="1"/>
  <c r="K95" i="1"/>
  <c r="K109" i="1"/>
  <c r="K140" i="1"/>
  <c r="K173" i="1"/>
  <c r="P173" i="1" s="1"/>
  <c r="K10" i="1"/>
  <c r="K210" i="1"/>
  <c r="P210" i="1" s="1"/>
  <c r="K108" i="1"/>
  <c r="K180" i="1"/>
  <c r="P180" i="1" s="1"/>
  <c r="K88" i="1"/>
  <c r="K80" i="1"/>
  <c r="K34" i="1"/>
  <c r="K192" i="1"/>
  <c r="P192" i="1" s="1"/>
  <c r="K14" i="1"/>
  <c r="K79" i="1"/>
  <c r="K134" i="1"/>
  <c r="K179" i="1"/>
  <c r="K203" i="1"/>
  <c r="P203" i="1" s="1"/>
  <c r="K77" i="1"/>
  <c r="K199" i="1"/>
  <c r="P199" i="1" s="1"/>
  <c r="K159" i="1"/>
  <c r="K9" i="1"/>
  <c r="K12" i="1"/>
  <c r="K106" i="1"/>
  <c r="K71" i="1"/>
  <c r="K40" i="1"/>
  <c r="K188" i="1"/>
  <c r="P188" i="1" s="1"/>
  <c r="K184" i="1"/>
  <c r="P184" i="1" s="1"/>
  <c r="K124" i="1"/>
  <c r="K132" i="1"/>
  <c r="K90" i="1"/>
  <c r="K51" i="1"/>
  <c r="K97" i="1"/>
  <c r="K174" i="1"/>
  <c r="P174" i="1" s="1"/>
  <c r="K193" i="1"/>
  <c r="P193" i="1" s="1"/>
  <c r="K133" i="1"/>
  <c r="K208" i="1"/>
  <c r="P208" i="1" s="1"/>
  <c r="K128" i="1"/>
  <c r="K166" i="1"/>
  <c r="K35" i="1"/>
  <c r="K194" i="1"/>
  <c r="P194" i="1" s="1"/>
  <c r="K15" i="1"/>
  <c r="K154" i="1"/>
  <c r="P154" i="1" s="1"/>
  <c r="K96" i="1"/>
  <c r="K89" i="1"/>
  <c r="K76" i="1"/>
  <c r="K158" i="1"/>
  <c r="P158" i="1" s="1"/>
  <c r="K114" i="1"/>
  <c r="K52" i="1"/>
  <c r="K119" i="1"/>
  <c r="K130" i="1"/>
  <c r="K37" i="1"/>
  <c r="K137" i="1"/>
  <c r="K103" i="1"/>
  <c r="K53" i="1"/>
  <c r="K75" i="1"/>
  <c r="K157" i="1"/>
  <c r="K178" i="1"/>
  <c r="K168" i="1"/>
  <c r="K92" i="1"/>
  <c r="K155" i="1"/>
  <c r="K5" i="1"/>
  <c r="K68" i="1"/>
  <c r="K47" i="1"/>
  <c r="K22" i="1"/>
  <c r="K66" i="1"/>
  <c r="K104" i="1"/>
  <c r="K33" i="1"/>
  <c r="K55" i="1"/>
  <c r="K121" i="1"/>
  <c r="K91" i="1"/>
  <c r="K129" i="1"/>
  <c r="K64" i="1"/>
  <c r="K136" i="1"/>
  <c r="K78" i="1"/>
  <c r="K100" i="1"/>
  <c r="K24" i="1"/>
  <c r="K170" i="1"/>
  <c r="K211" i="1"/>
  <c r="P211" i="1" s="1"/>
  <c r="K201" i="1"/>
  <c r="P201" i="1" s="1"/>
  <c r="K29" i="1"/>
  <c r="K28" i="1"/>
  <c r="K70" i="1"/>
  <c r="K31" i="1"/>
  <c r="K56" i="1"/>
  <c r="K127" i="1"/>
  <c r="K206" i="1"/>
  <c r="P206" i="1" s="1"/>
  <c r="K23" i="1"/>
  <c r="K182" i="1"/>
  <c r="P182" i="1" s="1"/>
  <c r="K131" i="1"/>
  <c r="K187" i="1"/>
  <c r="P187" i="1" s="1"/>
  <c r="K13" i="1"/>
  <c r="K107" i="1"/>
  <c r="K58" i="1"/>
  <c r="K204" i="1"/>
  <c r="P204" i="1" s="1"/>
  <c r="K38" i="1"/>
  <c r="P166" i="1"/>
  <c r="P168" i="1"/>
  <c r="P170" i="1"/>
  <c r="P178" i="1"/>
  <c r="P157" i="1"/>
  <c r="P159" i="1"/>
  <c r="P145" i="1"/>
  <c r="P161" i="1"/>
  <c r="P169" i="1"/>
  <c r="P185" i="1"/>
  <c r="P147" i="1"/>
  <c r="P155" i="1"/>
  <c r="P163" i="1"/>
  <c r="P171" i="1"/>
  <c r="P179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16" i="3"/>
  <c r="L162" i="3"/>
  <c r="L112" i="3"/>
  <c r="L28" i="3"/>
  <c r="L70" i="3"/>
  <c r="L24" i="3"/>
  <c r="L163" i="3"/>
  <c r="L211" i="3"/>
  <c r="L95" i="3"/>
  <c r="L96" i="3"/>
  <c r="L155" i="3"/>
  <c r="L87" i="3"/>
  <c r="L8" i="3"/>
  <c r="L147" i="3"/>
  <c r="L2" i="3"/>
  <c r="L183" i="3"/>
  <c r="L164" i="3"/>
  <c r="L208" i="3"/>
  <c r="L131" i="3"/>
  <c r="L144" i="3"/>
  <c r="L192" i="3"/>
  <c r="L185" i="3"/>
  <c r="L178" i="3"/>
  <c r="L98" i="3"/>
  <c r="L18" i="3"/>
  <c r="L69" i="3"/>
  <c r="L168" i="3"/>
  <c r="L51" i="3"/>
  <c r="L132" i="3"/>
  <c r="L52" i="3"/>
  <c r="L201" i="3"/>
  <c r="L199" i="3"/>
  <c r="L40" i="3"/>
  <c r="L181" i="3"/>
  <c r="L36" i="3"/>
  <c r="L111" i="3"/>
  <c r="L219" i="3"/>
  <c r="L171" i="3"/>
  <c r="L19" i="3"/>
  <c r="L100" i="3"/>
  <c r="L159" i="3"/>
  <c r="L92" i="3"/>
  <c r="L203" i="3"/>
  <c r="L173" i="3"/>
  <c r="L83" i="3"/>
  <c r="L4" i="3"/>
  <c r="L46" i="3"/>
  <c r="L122" i="3"/>
  <c r="L9" i="3"/>
  <c r="L114" i="3"/>
  <c r="L184" i="3"/>
  <c r="L217" i="3"/>
  <c r="L188" i="3"/>
  <c r="L189" i="3"/>
  <c r="L174" i="3"/>
  <c r="L94" i="3"/>
  <c r="L14" i="3"/>
  <c r="L65" i="3"/>
  <c r="L160" i="3"/>
  <c r="L47" i="3"/>
  <c r="L128" i="3"/>
  <c r="L48" i="3"/>
  <c r="L197" i="3"/>
  <c r="L44" i="3"/>
  <c r="L120" i="3"/>
  <c r="L82" i="3"/>
  <c r="L32" i="3"/>
  <c r="L107" i="3"/>
  <c r="L125" i="3"/>
  <c r="L117" i="3"/>
  <c r="L20" i="3"/>
  <c r="L193" i="3"/>
  <c r="L11" i="3"/>
  <c r="L12" i="3"/>
  <c r="L151" i="3"/>
  <c r="L3" i="3"/>
  <c r="L143" i="3"/>
  <c r="L205" i="3"/>
  <c r="L167" i="3"/>
  <c r="L67" i="3"/>
  <c r="L30" i="3"/>
  <c r="L157" i="3"/>
  <c r="L169" i="3"/>
  <c r="L170" i="3"/>
  <c r="L90" i="3"/>
  <c r="L10" i="3"/>
  <c r="L61" i="3"/>
  <c r="L156" i="3"/>
  <c r="L43" i="3"/>
  <c r="L124" i="3"/>
  <c r="L220" i="3"/>
  <c r="L153" i="3"/>
  <c r="L27" i="3"/>
  <c r="L133" i="3"/>
  <c r="L23" i="3"/>
  <c r="L215" i="3"/>
  <c r="L66" i="3"/>
  <c r="L142" i="3"/>
  <c r="L207" i="3"/>
  <c r="L29" i="3"/>
  <c r="L134" i="3"/>
  <c r="L214" i="3"/>
  <c r="L101" i="3"/>
  <c r="L97" i="3"/>
  <c r="L218" i="3"/>
  <c r="L93" i="3"/>
  <c r="L222" i="3"/>
  <c r="L118" i="3"/>
  <c r="L68" i="3"/>
  <c r="L204" i="3"/>
  <c r="L190" i="3"/>
  <c r="L195" i="3"/>
  <c r="L161" i="3"/>
  <c r="L166" i="3"/>
  <c r="L86" i="3"/>
  <c r="L6" i="3"/>
  <c r="L57" i="3"/>
  <c r="L152" i="3"/>
  <c r="L39" i="3"/>
  <c r="L115" i="3"/>
  <c r="L35" i="3"/>
  <c r="L116" i="3"/>
  <c r="L212" i="3"/>
  <c r="L31" i="3"/>
  <c r="L108" i="3"/>
  <c r="L150" i="3"/>
  <c r="L121" i="3"/>
  <c r="L33" i="3"/>
  <c r="L16" i="3"/>
  <c r="L138" i="3"/>
  <c r="L54" i="3"/>
  <c r="L88" i="3"/>
  <c r="L130" i="3"/>
  <c r="L17" i="3"/>
  <c r="L206" i="3"/>
  <c r="L13" i="3"/>
  <c r="L76" i="3"/>
  <c r="L89" i="3"/>
  <c r="L72" i="3"/>
  <c r="L34" i="3"/>
  <c r="L110" i="3"/>
  <c r="L187" i="3"/>
  <c r="L53" i="3"/>
  <c r="L104" i="3"/>
  <c r="L146" i="3"/>
  <c r="L15" i="3"/>
  <c r="L91" i="3"/>
  <c r="L105" i="3"/>
  <c r="L21" i="3"/>
  <c r="L126" i="3"/>
  <c r="L75" i="3"/>
  <c r="L38" i="3"/>
  <c r="L5" i="3"/>
  <c r="L221" i="3"/>
  <c r="L81" i="3"/>
  <c r="L179" i="3"/>
  <c r="L145" i="3"/>
  <c r="L158" i="3"/>
  <c r="L78" i="3"/>
  <c r="L165" i="3"/>
  <c r="L49" i="3"/>
  <c r="L223" i="3"/>
  <c r="L103" i="3"/>
  <c r="L37" i="3"/>
  <c r="L113" i="3"/>
  <c r="L58" i="3"/>
  <c r="L7" i="3"/>
  <c r="L50" i="3"/>
  <c r="L210" i="3"/>
  <c r="L79" i="3"/>
  <c r="L139" i="3"/>
  <c r="L198" i="3"/>
  <c r="L194" i="3"/>
  <c r="L64" i="3"/>
  <c r="L175" i="3"/>
  <c r="L137" i="3"/>
  <c r="L154" i="3"/>
  <c r="L74" i="3"/>
  <c r="L149" i="3"/>
  <c r="L45" i="3"/>
  <c r="L41" i="3"/>
  <c r="L99" i="3"/>
  <c r="L62" i="3"/>
  <c r="L109" i="3"/>
  <c r="L25" i="3"/>
  <c r="L141" i="3"/>
  <c r="L80" i="3"/>
  <c r="L42" i="3"/>
  <c r="L71" i="3"/>
  <c r="L85" i="3"/>
  <c r="L63" i="3"/>
  <c r="L202" i="3"/>
  <c r="L129" i="3"/>
  <c r="L84" i="3"/>
  <c r="L191" i="3"/>
  <c r="L180" i="3"/>
  <c r="L135" i="3"/>
  <c r="L148" i="3"/>
  <c r="L127" i="3"/>
  <c r="L123" i="3"/>
  <c r="L186" i="3"/>
  <c r="L106" i="3"/>
  <c r="L26" i="3"/>
  <c r="L77" i="3"/>
  <c r="L176" i="3"/>
  <c r="L59" i="3"/>
  <c r="L140" i="3"/>
  <c r="L60" i="3"/>
  <c r="L213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<sst xmlns="http://schemas.openxmlformats.org/spreadsheetml/2006/main" count="40" uniqueCount="36">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</sst>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zoomScale="85" zoomScaleNormal="85" workbookViewId="0">
      <selection activeCell="M8" sqref="M8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-0.38053999999999999</v>
      </c>
      <c r="AC3" t="s">
        <v>30</v>
      </c>
    </row>
    <row r="4" spans="1:29" x14ac:dyDescent="0.3">
      <c r="A4">
        <v>1.9976149999999998E-2</v>
      </c>
      <c r="B4">
        <v>0.80981999999999998</v>
      </c>
      <c r="C4">
        <f>A4*B4</f>
        <v>1.6177085793E-2</v>
      </c>
      <c r="D4">
        <v>1.9E-2</v>
      </c>
      <c r="E4">
        <v>9.9000000000000008E-3</v>
      </c>
      <c r="F4">
        <f>A4*200</f>
        <v>3.9952299999999994</v>
      </c>
      <c r="G4">
        <f>-B4</f>
        <v>-0.80981999999999998</v>
      </c>
      <c r="H4">
        <f t="shared" ref="H4" si="0">-C4*200</f>
        <v>-3.2354171585999998</v>
      </c>
      <c r="I4">
        <v>1</v>
      </c>
      <c r="J4">
        <f>LN(F4/1000)</f>
        <v>-5.5226541294561446</v>
      </c>
      <c r="K4">
        <f>((-G4)-$N$2)</f>
        <v>-0.370090572976012</v>
      </c>
      <c r="L4">
        <v>1</v>
      </c>
      <c r="M4">
        <f>-1*($S$4+($S$5*J4))</f>
        <v>0.20812166343788746</v>
      </c>
      <c r="N4">
        <f>D4*A4</f>
        <v>3.7954684999999994E-4</v>
      </c>
      <c r="O4">
        <f>E4*A4</f>
        <v>1.9776388499999998E-4</v>
      </c>
      <c r="P4">
        <f>-K4-M4-N4-O4</f>
        <v>0.16139159880312454</v>
      </c>
      <c r="R4" s="2" t="s">
        <v>16</v>
      </c>
      <c r="S4">
        <v>-0.47099999999999997</v>
      </c>
      <c r="V4">
        <v>-6</v>
      </c>
      <c r="W4">
        <f>V4*$S$5+$S$4</f>
        <v>-0.18539999999999995</v>
      </c>
      <c r="Y4">
        <v>0</v>
      </c>
      <c r="Z4">
        <f>$AB$4*Y4+$AB$3</f>
        <v>-0.38053999999999999</v>
      </c>
      <c r="AB4">
        <v>11.144740000000001</v>
      </c>
      <c r="AC4" t="s">
        <v>31</v>
      </c>
    </row>
    <row r="5" spans="1:29" x14ac:dyDescent="0.3">
      <c r="A5">
        <v>7.2068850000000004E-2</v>
      </c>
      <c r="B5">
        <v>0.80884999999999996</v>
      </c>
      <c r="C5">
        <f t="shared" ref="C5:C68" si="1">A5*B5</f>
        <v>5.8292889322499999E-2</v>
      </c>
      <c r="D5">
        <v>1.9E-2</v>
      </c>
      <c r="E5">
        <v>9.9000000000000008E-3</v>
      </c>
      <c r="F5">
        <f t="shared" ref="F5:F68" si="2">A5*200</f>
        <v>14.413770000000001</v>
      </c>
      <c r="G5">
        <f t="shared" ref="G5:G68" si="3">-B5</f>
        <v>-0.80884999999999996</v>
      </c>
      <c r="H5">
        <f t="shared" ref="H5:H68" si="4">-C5*200</f>
        <v>-11.6585778645</v>
      </c>
      <c r="I5">
        <v>1</v>
      </c>
      <c r="J5">
        <f t="shared" ref="J5:J68" si="5">LN(F5/1000)</f>
        <v>-4.2395712793159523</v>
      </c>
      <c r="K5">
        <f t="shared" ref="K5:K68" si="6">((-G5)-$N$2)</f>
        <v>-0.37106057297601203</v>
      </c>
      <c r="L5">
        <v>1</v>
      </c>
      <c r="M5">
        <f t="shared" ref="M5:M68" si="7">-1*($S$4+($S$5*J5))</f>
        <v>0.26919640710456061</v>
      </c>
      <c r="N5">
        <f t="shared" ref="N5:N6" si="8">D5*A5</f>
        <v>1.3693081500000001E-3</v>
      </c>
      <c r="O5">
        <f>E5*A5</f>
        <v>7.1348161500000011E-4</v>
      </c>
      <c r="P5">
        <f>-K5-M5-N5-O5</f>
        <v>9.9781376106451422E-2</v>
      </c>
      <c r="R5" s="2" t="s">
        <v>17</v>
      </c>
      <c r="S5">
        <v>-4.7600000000000003E-2</v>
      </c>
      <c r="V5">
        <v>-5.9</v>
      </c>
      <c r="W5">
        <f t="shared" ref="W5:W68" si="9">V5*$S$5+$S$4</f>
        <v>-0.19015999999999994</v>
      </c>
      <c r="Y5">
        <v>0.01</v>
      </c>
      <c r="Z5">
        <f t="shared" ref="Z5:Z31" si="10">$AB$4*Y5+$AB$3</f>
        <v>-0.26909260000000002</v>
      </c>
    </row>
    <row r="6" spans="1:29" x14ac:dyDescent="0.3">
      <c r="A6">
        <v>0.122659</v>
      </c>
      <c r="B6">
        <v>0.80044000000000004</v>
      </c>
      <c r="C6">
        <f t="shared" si="1"/>
        <v>9.8181169960000009E-2</v>
      </c>
      <c r="D6">
        <v>1.9E-2</v>
      </c>
      <c r="E6">
        <v>9.9000000000000008E-3</v>
      </c>
      <c r="F6">
        <f t="shared" si="2"/>
        <v>24.5318</v>
      </c>
      <c r="G6">
        <f t="shared" si="3"/>
        <v>-0.80044000000000004</v>
      </c>
      <c r="H6">
        <f t="shared" si="4"/>
        <v>-19.636233992000001</v>
      </c>
      <c r="I6">
        <v>1</v>
      </c>
      <c r="J6">
        <f t="shared" si="5"/>
        <v>-3.7077850438686224</v>
      </c>
      <c r="K6">
        <f t="shared" si="6"/>
        <v>-0.37947057297601194</v>
      </c>
      <c r="L6">
        <v>1</v>
      </c>
      <c r="M6">
        <f t="shared" si="7"/>
        <v>0.29450943191185353</v>
      </c>
      <c r="N6">
        <f t="shared" si="8"/>
        <v>2.3305209999999999E-3</v>
      </c>
      <c r="O6">
        <f t="shared" ref="O6:O69" si="11">E6*A6</f>
        <v>1.2143241000000002E-3</v>
      </c>
      <c r="P6">
        <f t="shared" ref="P6:P69" si="12">-K6-M6-N6-O6</f>
        <v>8.1416295964158419E-2</v>
      </c>
      <c r="V6">
        <v>-5.8</v>
      </c>
      <c r="W6">
        <f t="shared" si="9"/>
        <v>-0.19491999999999998</v>
      </c>
      <c r="Y6">
        <v>0.02</v>
      </c>
      <c r="Z6">
        <f t="shared" si="10"/>
        <v>-0.15764519999999999</v>
      </c>
      <c r="AB6" t="s">
        <v>32</v>
      </c>
    </row>
    <row r="7" spans="1:29" x14ac:dyDescent="0.3">
      <c r="A7">
        <v>0.17224730000000002</v>
      </c>
      <c r="B7">
        <v>0.79225000000000001</v>
      </c>
      <c r="C7">
        <f t="shared" si="1"/>
        <v>0.13646292342500002</v>
      </c>
      <c r="D7">
        <v>1.9E-2</v>
      </c>
      <c r="E7">
        <v>9.9000000000000008E-3</v>
      </c>
      <c r="F7">
        <f t="shared" si="2"/>
        <v>34.449460000000002</v>
      </c>
      <c r="G7">
        <f t="shared" si="3"/>
        <v>-0.79225000000000001</v>
      </c>
      <c r="H7">
        <f t="shared" si="4"/>
        <v>-27.292584685000005</v>
      </c>
      <c r="I7">
        <v>1</v>
      </c>
      <c r="J7">
        <f t="shared" si="5"/>
        <v>-3.3682619565364682</v>
      </c>
      <c r="K7">
        <f t="shared" si="6"/>
        <v>-0.38766057297601197</v>
      </c>
      <c r="L7">
        <v>1</v>
      </c>
      <c r="M7">
        <f t="shared" si="7"/>
        <v>0.3106707308688641</v>
      </c>
      <c r="N7">
        <f t="shared" ref="N7:N70" si="13">D7*A7</f>
        <v>3.2726987000000003E-3</v>
      </c>
      <c r="O7">
        <f t="shared" si="11"/>
        <v>1.7052482700000004E-3</v>
      </c>
      <c r="P7">
        <f t="shared" si="12"/>
        <v>7.2011895137147869E-2</v>
      </c>
      <c r="V7">
        <v>-5.7</v>
      </c>
      <c r="W7">
        <f t="shared" si="9"/>
        <v>-0.19967999999999997</v>
      </c>
      <c r="Y7">
        <v>0.03</v>
      </c>
      <c r="Z7">
        <f t="shared" si="10"/>
        <v>-4.6197800000000011E-2</v>
      </c>
      <c r="AB7" t="s">
        <v>33</v>
      </c>
      <c r="AC7">
        <f>-AB3/AB4</f>
        <v>3.4145255968286381E-2</v>
      </c>
    </row>
    <row r="8" spans="1:29" x14ac:dyDescent="0.3">
      <c r="A8">
        <v>0.22233644999999999</v>
      </c>
      <c r="B8">
        <v>0.78525</v>
      </c>
      <c r="C8">
        <f t="shared" si="1"/>
        <v>0.17458969736249999</v>
      </c>
      <c r="D8">
        <v>1.9E-2</v>
      </c>
      <c r="E8">
        <v>9.9000000000000008E-3</v>
      </c>
      <c r="F8">
        <f t="shared" si="2"/>
        <v>44.467289999999998</v>
      </c>
      <c r="G8">
        <f t="shared" si="3"/>
        <v>-0.78525</v>
      </c>
      <c r="H8">
        <f t="shared" si="4"/>
        <v>-34.917939472499995</v>
      </c>
      <c r="I8">
        <v>1</v>
      </c>
      <c r="J8">
        <f t="shared" si="5"/>
        <v>-3.1130014162759698</v>
      </c>
      <c r="K8">
        <f t="shared" si="6"/>
        <v>-0.39466057297601198</v>
      </c>
      <c r="L8">
        <v>1</v>
      </c>
      <c r="M8">
        <f t="shared" si="7"/>
        <v>0.32282113258526379</v>
      </c>
      <c r="N8">
        <f t="shared" si="13"/>
        <v>4.22439255E-3</v>
      </c>
      <c r="O8">
        <f t="shared" si="11"/>
        <v>2.201130855E-3</v>
      </c>
      <c r="P8">
        <f t="shared" si="12"/>
        <v>6.5413916985748194E-2</v>
      </c>
      <c r="V8">
        <v>-5.6</v>
      </c>
      <c r="W8">
        <f t="shared" si="9"/>
        <v>-0.20443999999999996</v>
      </c>
      <c r="Y8">
        <v>0.04</v>
      </c>
      <c r="Z8">
        <f t="shared" si="10"/>
        <v>6.5249600000000019E-2</v>
      </c>
    </row>
    <row r="9" spans="1:29" x14ac:dyDescent="0.3">
      <c r="A9">
        <v>0.27543099999999998</v>
      </c>
      <c r="B9">
        <v>0.77897000000000005</v>
      </c>
      <c r="C9">
        <f t="shared" si="1"/>
        <v>0.21455248606999999</v>
      </c>
      <c r="D9">
        <v>1.9E-2</v>
      </c>
      <c r="E9">
        <v>9.9000000000000008E-3</v>
      </c>
      <c r="F9">
        <f t="shared" si="2"/>
        <v>55.086199999999998</v>
      </c>
      <c r="G9">
        <f t="shared" si="3"/>
        <v>-0.77897000000000005</v>
      </c>
      <c r="H9">
        <f t="shared" si="4"/>
        <v>-42.910497213999996</v>
      </c>
      <c r="I9">
        <v>1</v>
      </c>
      <c r="J9">
        <f t="shared" si="5"/>
        <v>-2.8988560479125471</v>
      </c>
      <c r="K9">
        <f t="shared" si="6"/>
        <v>-0.40094057297601193</v>
      </c>
      <c r="L9">
        <v>1</v>
      </c>
      <c r="M9">
        <f t="shared" si="7"/>
        <v>0.33301445211936276</v>
      </c>
      <c r="N9">
        <f t="shared" si="13"/>
        <v>5.2331889999999992E-3</v>
      </c>
      <c r="O9">
        <f t="shared" si="11"/>
        <v>2.7267669000000001E-3</v>
      </c>
      <c r="P9">
        <f t="shared" si="12"/>
        <v>5.9966164956649179E-2</v>
      </c>
      <c r="V9">
        <v>-5.5</v>
      </c>
      <c r="W9">
        <f t="shared" si="9"/>
        <v>-0.20919999999999994</v>
      </c>
      <c r="Y9">
        <v>0.05</v>
      </c>
      <c r="Z9">
        <f t="shared" si="10"/>
        <v>0.1766970000000001</v>
      </c>
      <c r="AB9" t="s">
        <v>35</v>
      </c>
      <c r="AC9">
        <v>3.083E-2</v>
      </c>
    </row>
    <row r="10" spans="1:29" x14ac:dyDescent="0.3">
      <c r="A10">
        <v>0.32702285000000003</v>
      </c>
      <c r="B10">
        <v>0.77236000000000005</v>
      </c>
      <c r="C10">
        <f t="shared" si="1"/>
        <v>0.25257936842600004</v>
      </c>
      <c r="D10">
        <v>1.9E-2</v>
      </c>
      <c r="E10">
        <v>9.9000000000000008E-3</v>
      </c>
      <c r="F10">
        <f t="shared" si="2"/>
        <v>65.404570000000007</v>
      </c>
      <c r="G10">
        <f t="shared" si="3"/>
        <v>-0.77236000000000005</v>
      </c>
      <c r="H10">
        <f t="shared" si="4"/>
        <v>-50.515873685200006</v>
      </c>
      <c r="I10">
        <v>1</v>
      </c>
      <c r="J10">
        <f t="shared" si="5"/>
        <v>-2.7271631452844738</v>
      </c>
      <c r="K10">
        <f t="shared" si="6"/>
        <v>-0.40755057297601194</v>
      </c>
      <c r="L10">
        <v>1</v>
      </c>
      <c r="M10">
        <f t="shared" si="7"/>
        <v>0.34118703428445901</v>
      </c>
      <c r="N10">
        <f t="shared" si="13"/>
        <v>6.2134341500000006E-3</v>
      </c>
      <c r="O10">
        <f t="shared" si="11"/>
        <v>3.2375262150000006E-3</v>
      </c>
      <c r="P10">
        <f t="shared" si="12"/>
        <v>5.6912578326552922E-2</v>
      </c>
      <c r="V10">
        <v>-5.4</v>
      </c>
      <c r="W10">
        <f t="shared" si="9"/>
        <v>-0.21395999999999993</v>
      </c>
      <c r="Y10">
        <v>0.06</v>
      </c>
      <c r="Z10">
        <f t="shared" si="10"/>
        <v>0.28814439999999997</v>
      </c>
    </row>
    <row r="11" spans="1:29" x14ac:dyDescent="0.3">
      <c r="A11">
        <v>0.37711204999999998</v>
      </c>
      <c r="B11">
        <v>0.76673999999999998</v>
      </c>
      <c r="C11">
        <f t="shared" si="1"/>
        <v>0.28914689321699999</v>
      </c>
      <c r="D11">
        <v>1.9E-2</v>
      </c>
      <c r="E11">
        <v>9.9000000000000008E-3</v>
      </c>
      <c r="F11">
        <f t="shared" si="2"/>
        <v>75.422409999999999</v>
      </c>
      <c r="G11">
        <f t="shared" si="3"/>
        <v>-0.76673999999999998</v>
      </c>
      <c r="H11">
        <f t="shared" si="4"/>
        <v>-57.829378643399998</v>
      </c>
      <c r="I11">
        <v>1</v>
      </c>
      <c r="J11">
        <f t="shared" si="5"/>
        <v>-2.5846508332737002</v>
      </c>
      <c r="K11">
        <f t="shared" si="6"/>
        <v>-0.41317057297601201</v>
      </c>
      <c r="L11">
        <v>1</v>
      </c>
      <c r="M11">
        <f t="shared" si="7"/>
        <v>0.34797062033617182</v>
      </c>
      <c r="N11">
        <f t="shared" si="13"/>
        <v>7.1651289499999994E-3</v>
      </c>
      <c r="O11">
        <f t="shared" si="11"/>
        <v>3.7334092950000002E-3</v>
      </c>
      <c r="P11">
        <f t="shared" si="12"/>
        <v>5.4301414394840181E-2</v>
      </c>
      <c r="V11">
        <v>-5.3</v>
      </c>
      <c r="W11">
        <f t="shared" si="9"/>
        <v>-0.21871999999999997</v>
      </c>
      <c r="Y11">
        <v>7.0000000000000007E-2</v>
      </c>
      <c r="Z11">
        <f t="shared" si="10"/>
        <v>0.39959180000000016</v>
      </c>
      <c r="AB11" t="s">
        <v>34</v>
      </c>
      <c r="AC11">
        <f>AC7-AC9</f>
        <v>3.3152559682863812E-3</v>
      </c>
    </row>
    <row r="12" spans="1:29" x14ac:dyDescent="0.3">
      <c r="A12">
        <v>0.43120835000000002</v>
      </c>
      <c r="B12">
        <v>0.76121000000000005</v>
      </c>
      <c r="C12">
        <f t="shared" si="1"/>
        <v>0.32824010810350002</v>
      </c>
      <c r="D12">
        <v>1.9E-2</v>
      </c>
      <c r="E12">
        <v>9.9000000000000008E-3</v>
      </c>
      <c r="F12">
        <f t="shared" si="2"/>
        <v>86.241669999999999</v>
      </c>
      <c r="G12">
        <f t="shared" si="3"/>
        <v>-0.76121000000000005</v>
      </c>
      <c r="H12">
        <f t="shared" si="4"/>
        <v>-65.648021620700007</v>
      </c>
      <c r="I12">
        <v>1</v>
      </c>
      <c r="J12">
        <f t="shared" si="5"/>
        <v>-2.4506018074449334</v>
      </c>
      <c r="K12">
        <f t="shared" si="6"/>
        <v>-0.41870057297601193</v>
      </c>
      <c r="L12">
        <v>1</v>
      </c>
      <c r="M12">
        <f t="shared" si="7"/>
        <v>0.35435135396562112</v>
      </c>
      <c r="N12">
        <f t="shared" si="13"/>
        <v>8.1929586500000002E-3</v>
      </c>
      <c r="O12">
        <f t="shared" si="11"/>
        <v>4.2689626650000007E-3</v>
      </c>
      <c r="P12">
        <f t="shared" si="12"/>
        <v>5.1887297695390813E-2</v>
      </c>
      <c r="V12">
        <v>-5.2</v>
      </c>
      <c r="W12">
        <f t="shared" si="9"/>
        <v>-0.22347999999999996</v>
      </c>
      <c r="Y12">
        <v>0.08</v>
      </c>
      <c r="Z12">
        <f t="shared" si="10"/>
        <v>0.51103920000000003</v>
      </c>
      <c r="AC12">
        <f>AC11*3</f>
        <v>9.9457679048591437E-3</v>
      </c>
    </row>
    <row r="13" spans="1:29" x14ac:dyDescent="0.3">
      <c r="A13">
        <v>0.48129755000000002</v>
      </c>
      <c r="B13">
        <v>0.75612999999999997</v>
      </c>
      <c r="C13">
        <f t="shared" si="1"/>
        <v>0.36392351648150001</v>
      </c>
      <c r="D13">
        <v>1.9E-2</v>
      </c>
      <c r="E13">
        <v>9.9000000000000008E-3</v>
      </c>
      <c r="F13">
        <f t="shared" si="2"/>
        <v>96.259510000000006</v>
      </c>
      <c r="G13">
        <f t="shared" si="3"/>
        <v>-0.75612999999999997</v>
      </c>
      <c r="H13">
        <f t="shared" si="4"/>
        <v>-72.784703296299995</v>
      </c>
      <c r="I13">
        <v>1</v>
      </c>
      <c r="J13">
        <f t="shared" si="5"/>
        <v>-2.3407075055003501</v>
      </c>
      <c r="K13">
        <f t="shared" si="6"/>
        <v>-0.42378057297601202</v>
      </c>
      <c r="L13">
        <v>1</v>
      </c>
      <c r="M13">
        <f t="shared" si="7"/>
        <v>0.3595823227381833</v>
      </c>
      <c r="N13">
        <f t="shared" si="13"/>
        <v>9.1446534499999999E-3</v>
      </c>
      <c r="O13">
        <f t="shared" si="11"/>
        <v>4.7648457450000003E-3</v>
      </c>
      <c r="P13">
        <f t="shared" si="12"/>
        <v>5.0288751042828712E-2</v>
      </c>
      <c r="V13">
        <v>-5.0999999999999996</v>
      </c>
      <c r="W13">
        <f t="shared" si="9"/>
        <v>-0.22823999999999997</v>
      </c>
      <c r="Y13">
        <v>0.09</v>
      </c>
      <c r="Z13">
        <f t="shared" si="10"/>
        <v>0.62248660000000011</v>
      </c>
    </row>
    <row r="14" spans="1:29" x14ac:dyDescent="0.3">
      <c r="A14">
        <v>0.53138680000000005</v>
      </c>
      <c r="B14">
        <v>0.75131999999999999</v>
      </c>
      <c r="C14">
        <f t="shared" si="1"/>
        <v>0.39924153057600004</v>
      </c>
      <c r="D14">
        <v>1.9E-2</v>
      </c>
      <c r="E14">
        <v>9.9000000000000008E-3</v>
      </c>
      <c r="F14">
        <f t="shared" si="2"/>
        <v>106.27736000000002</v>
      </c>
      <c r="G14">
        <f t="shared" si="3"/>
        <v>-0.75131999999999999</v>
      </c>
      <c r="H14">
        <f t="shared" si="4"/>
        <v>-79.848306115200003</v>
      </c>
      <c r="I14">
        <v>1</v>
      </c>
      <c r="J14">
        <f t="shared" si="5"/>
        <v>-2.241702998444207</v>
      </c>
      <c r="K14">
        <f t="shared" si="6"/>
        <v>-0.428590572976012</v>
      </c>
      <c r="L14">
        <v>1</v>
      </c>
      <c r="M14">
        <f t="shared" si="7"/>
        <v>0.36429493727405571</v>
      </c>
      <c r="N14">
        <f t="shared" si="13"/>
        <v>1.00963492E-2</v>
      </c>
      <c r="O14">
        <f t="shared" si="11"/>
        <v>5.2607293200000009E-3</v>
      </c>
      <c r="P14">
        <f t="shared" si="12"/>
        <v>4.8938557181956291E-2</v>
      </c>
      <c r="V14">
        <v>-5</v>
      </c>
      <c r="W14">
        <f t="shared" si="9"/>
        <v>-0.23299999999999996</v>
      </c>
      <c r="Y14">
        <v>0.1</v>
      </c>
      <c r="Z14">
        <f t="shared" si="10"/>
        <v>0.7339340000000002</v>
      </c>
    </row>
    <row r="15" spans="1:29" x14ac:dyDescent="0.3">
      <c r="A15">
        <v>0.58097504999999994</v>
      </c>
      <c r="B15">
        <v>0.74643999999999999</v>
      </c>
      <c r="C15">
        <f t="shared" si="1"/>
        <v>0.43366301632199994</v>
      </c>
      <c r="D15">
        <v>1.9E-2</v>
      </c>
      <c r="E15">
        <v>9.9000000000000008E-3</v>
      </c>
      <c r="F15">
        <f t="shared" si="2"/>
        <v>116.19500999999998</v>
      </c>
      <c r="G15">
        <f t="shared" si="3"/>
        <v>-0.74643999999999999</v>
      </c>
      <c r="H15">
        <f t="shared" si="4"/>
        <v>-86.732603264399984</v>
      </c>
      <c r="I15">
        <v>1</v>
      </c>
      <c r="J15">
        <f t="shared" si="5"/>
        <v>-2.1524853786877891</v>
      </c>
      <c r="K15">
        <f t="shared" si="6"/>
        <v>-0.43347057297601199</v>
      </c>
      <c r="L15">
        <v>1</v>
      </c>
      <c r="M15">
        <f t="shared" si="7"/>
        <v>0.36854169597446118</v>
      </c>
      <c r="N15">
        <f t="shared" si="13"/>
        <v>1.1038525949999999E-2</v>
      </c>
      <c r="O15">
        <f t="shared" si="11"/>
        <v>5.7516529950000003E-3</v>
      </c>
      <c r="P15">
        <f t="shared" si="12"/>
        <v>4.8138698056550806E-2</v>
      </c>
      <c r="V15">
        <v>-4.9000000000000004</v>
      </c>
      <c r="W15">
        <f t="shared" si="9"/>
        <v>-0.23775999999999994</v>
      </c>
      <c r="Y15">
        <v>0.11</v>
      </c>
      <c r="Z15">
        <f t="shared" si="10"/>
        <v>0.84538140000000006</v>
      </c>
    </row>
    <row r="16" spans="1:29" x14ac:dyDescent="0.3">
      <c r="A16">
        <v>0.63106424999999999</v>
      </c>
      <c r="B16">
        <v>0.74212999999999996</v>
      </c>
      <c r="C16">
        <f t="shared" si="1"/>
        <v>0.46833171185249994</v>
      </c>
      <c r="D16">
        <v>1.9E-2</v>
      </c>
      <c r="E16">
        <v>9.9000000000000008E-3</v>
      </c>
      <c r="F16">
        <f t="shared" si="2"/>
        <v>126.21285</v>
      </c>
      <c r="G16">
        <f t="shared" si="3"/>
        <v>-0.74212999999999996</v>
      </c>
      <c r="H16">
        <f t="shared" si="4"/>
        <v>-93.66634237049999</v>
      </c>
      <c r="I16">
        <v>1</v>
      </c>
      <c r="J16">
        <f t="shared" si="5"/>
        <v>-2.0697855115546213</v>
      </c>
      <c r="K16">
        <f t="shared" si="6"/>
        <v>-0.43778057297601203</v>
      </c>
      <c r="L16">
        <v>1</v>
      </c>
      <c r="M16">
        <f t="shared" si="7"/>
        <v>0.37247820965</v>
      </c>
      <c r="N16">
        <f t="shared" si="13"/>
        <v>1.1990220749999999E-2</v>
      </c>
      <c r="O16">
        <f t="shared" si="11"/>
        <v>6.2475360750000007E-3</v>
      </c>
      <c r="P16">
        <f t="shared" si="12"/>
        <v>4.7064606501012018E-2</v>
      </c>
      <c r="V16">
        <v>-4.8</v>
      </c>
      <c r="W16">
        <f t="shared" si="9"/>
        <v>-0.24251999999999996</v>
      </c>
      <c r="Y16">
        <v>0.12</v>
      </c>
      <c r="Z16">
        <f t="shared" si="10"/>
        <v>0.95682879999999992</v>
      </c>
    </row>
    <row r="17" spans="1:26" x14ac:dyDescent="0.3">
      <c r="A17">
        <v>0.68165430000000005</v>
      </c>
      <c r="B17">
        <v>0.73807999999999996</v>
      </c>
      <c r="C17">
        <f t="shared" si="1"/>
        <v>0.50311540574400004</v>
      </c>
      <c r="D17">
        <v>1.9E-2</v>
      </c>
      <c r="E17">
        <v>9.9000000000000008E-3</v>
      </c>
      <c r="F17">
        <f t="shared" si="2"/>
        <v>136.33086</v>
      </c>
      <c r="G17">
        <f t="shared" si="3"/>
        <v>-0.73807999999999996</v>
      </c>
      <c r="H17">
        <f t="shared" si="4"/>
        <v>-100.62308114880001</v>
      </c>
      <c r="I17">
        <v>1</v>
      </c>
      <c r="J17">
        <f t="shared" si="5"/>
        <v>-1.9926705535813005</v>
      </c>
      <c r="K17">
        <f t="shared" si="6"/>
        <v>-0.44183057297601203</v>
      </c>
      <c r="L17">
        <v>1</v>
      </c>
      <c r="M17">
        <f t="shared" si="7"/>
        <v>0.37614888164953009</v>
      </c>
      <c r="N17">
        <f t="shared" si="13"/>
        <v>1.29514317E-2</v>
      </c>
      <c r="O17">
        <f t="shared" si="11"/>
        <v>6.748377570000001E-3</v>
      </c>
      <c r="P17">
        <f t="shared" si="12"/>
        <v>4.5981882056481939E-2</v>
      </c>
      <c r="V17">
        <v>-4.7</v>
      </c>
      <c r="W17">
        <f t="shared" si="9"/>
        <v>-0.24727999999999994</v>
      </c>
      <c r="Y17">
        <v>0.13</v>
      </c>
      <c r="Z17">
        <f t="shared" si="10"/>
        <v>1.0682762000000001</v>
      </c>
    </row>
    <row r="18" spans="1:26" x14ac:dyDescent="0.3">
      <c r="A18">
        <v>0.73274529999999993</v>
      </c>
      <c r="B18">
        <v>0.73351999999999995</v>
      </c>
      <c r="C18">
        <f t="shared" si="1"/>
        <v>0.53748333245599988</v>
      </c>
      <c r="D18">
        <v>1.9E-2</v>
      </c>
      <c r="E18">
        <v>9.9000000000000008E-3</v>
      </c>
      <c r="F18">
        <f t="shared" si="2"/>
        <v>146.54906</v>
      </c>
      <c r="G18">
        <f t="shared" si="3"/>
        <v>-0.73351999999999995</v>
      </c>
      <c r="H18">
        <f t="shared" si="4"/>
        <v>-107.49666649119997</v>
      </c>
      <c r="I18">
        <v>1</v>
      </c>
      <c r="J18">
        <f t="shared" si="5"/>
        <v>-1.9203950260389147</v>
      </c>
      <c r="K18">
        <f t="shared" si="6"/>
        <v>-0.44639057297601203</v>
      </c>
      <c r="L18">
        <v>1</v>
      </c>
      <c r="M18">
        <f t="shared" si="7"/>
        <v>0.37958919676054764</v>
      </c>
      <c r="N18">
        <f t="shared" si="13"/>
        <v>1.3922160699999998E-2</v>
      </c>
      <c r="O18">
        <f t="shared" si="11"/>
        <v>7.2541784699999999E-3</v>
      </c>
      <c r="P18">
        <f t="shared" si="12"/>
        <v>4.5625037045464396E-2</v>
      </c>
      <c r="V18">
        <v>-4.5999999999999996</v>
      </c>
      <c r="W18">
        <f t="shared" si="9"/>
        <v>-0.25203999999999999</v>
      </c>
      <c r="Y18">
        <v>0.14000000000000001</v>
      </c>
      <c r="Z18">
        <f t="shared" si="10"/>
        <v>1.1797236000000004</v>
      </c>
    </row>
    <row r="19" spans="1:26" x14ac:dyDescent="0.3">
      <c r="A19">
        <v>0.78283440000000004</v>
      </c>
      <c r="B19">
        <v>0.72938999999999998</v>
      </c>
      <c r="C19">
        <f t="shared" si="1"/>
        <v>0.57099158301600006</v>
      </c>
      <c r="D19">
        <v>1.9E-2</v>
      </c>
      <c r="E19">
        <v>9.9000000000000008E-3</v>
      </c>
      <c r="F19">
        <f t="shared" si="2"/>
        <v>156.56688</v>
      </c>
      <c r="G19">
        <f t="shared" si="3"/>
        <v>-0.72938999999999998</v>
      </c>
      <c r="H19">
        <f t="shared" si="4"/>
        <v>-114.19831660320001</v>
      </c>
      <c r="I19">
        <v>1</v>
      </c>
      <c r="J19">
        <f t="shared" si="5"/>
        <v>-1.8542720120463714</v>
      </c>
      <c r="K19">
        <f t="shared" si="6"/>
        <v>-0.450520572976012</v>
      </c>
      <c r="L19">
        <v>1</v>
      </c>
      <c r="M19">
        <f t="shared" si="7"/>
        <v>0.3827366522265927</v>
      </c>
      <c r="N19">
        <f t="shared" si="13"/>
        <v>1.48738536E-2</v>
      </c>
      <c r="O19">
        <f t="shared" si="11"/>
        <v>7.7500605600000008E-3</v>
      </c>
      <c r="P19">
        <f t="shared" si="12"/>
        <v>4.5160006589419301E-2</v>
      </c>
      <c r="V19">
        <v>-4.5000000000000098</v>
      </c>
      <c r="W19">
        <f t="shared" si="9"/>
        <v>-0.25679999999999947</v>
      </c>
      <c r="Y19">
        <v>0.15</v>
      </c>
      <c r="Z19">
        <f t="shared" si="10"/>
        <v>1.2911709999999998</v>
      </c>
    </row>
    <row r="20" spans="1:26" x14ac:dyDescent="0.3">
      <c r="A20">
        <v>0.83292365000000002</v>
      </c>
      <c r="B20">
        <v>0.72577000000000003</v>
      </c>
      <c r="C20">
        <f t="shared" si="1"/>
        <v>0.60451099746050008</v>
      </c>
      <c r="D20">
        <v>1.9E-2</v>
      </c>
      <c r="E20">
        <v>9.9000000000000008E-3</v>
      </c>
      <c r="F20">
        <f t="shared" si="2"/>
        <v>166.58473000000001</v>
      </c>
      <c r="G20">
        <f t="shared" si="3"/>
        <v>-0.72577000000000003</v>
      </c>
      <c r="H20">
        <f t="shared" si="4"/>
        <v>-120.90219949210001</v>
      </c>
      <c r="I20">
        <v>1</v>
      </c>
      <c r="J20">
        <f t="shared" si="5"/>
        <v>-1.7922512101127883</v>
      </c>
      <c r="K20">
        <f t="shared" si="6"/>
        <v>-0.45414057297601196</v>
      </c>
      <c r="L20">
        <v>1</v>
      </c>
      <c r="M20">
        <f t="shared" si="7"/>
        <v>0.38568884239863122</v>
      </c>
      <c r="N20">
        <f t="shared" si="13"/>
        <v>1.5825549349999999E-2</v>
      </c>
      <c r="O20">
        <f t="shared" si="11"/>
        <v>8.2459441350000006E-3</v>
      </c>
      <c r="P20">
        <f t="shared" si="12"/>
        <v>4.4380237092380745E-2</v>
      </c>
      <c r="V20">
        <v>-4.4000000000000101</v>
      </c>
      <c r="W20">
        <f t="shared" si="9"/>
        <v>-0.26155999999999946</v>
      </c>
      <c r="Y20">
        <v>0.16</v>
      </c>
      <c r="Z20">
        <f t="shared" si="10"/>
        <v>1.4026184000000002</v>
      </c>
    </row>
    <row r="21" spans="1:26" x14ac:dyDescent="0.3">
      <c r="A21">
        <v>0.88301280000000004</v>
      </c>
      <c r="B21">
        <v>0.72194000000000003</v>
      </c>
      <c r="C21">
        <f t="shared" si="1"/>
        <v>0.6374822608320001</v>
      </c>
      <c r="D21">
        <v>1.9E-2</v>
      </c>
      <c r="E21">
        <v>9.9000000000000008E-3</v>
      </c>
      <c r="F21">
        <f t="shared" si="2"/>
        <v>176.60256000000001</v>
      </c>
      <c r="G21">
        <f t="shared" si="3"/>
        <v>-0.72194000000000003</v>
      </c>
      <c r="H21">
        <f t="shared" si="4"/>
        <v>-127.49645216640002</v>
      </c>
      <c r="I21">
        <v>1</v>
      </c>
      <c r="J21">
        <f t="shared" si="5"/>
        <v>-1.7338534948811037</v>
      </c>
      <c r="K21">
        <f t="shared" si="6"/>
        <v>-0.45797057297601196</v>
      </c>
      <c r="L21">
        <v>1</v>
      </c>
      <c r="M21">
        <f t="shared" si="7"/>
        <v>0.38846857364365944</v>
      </c>
      <c r="N21">
        <f t="shared" si="13"/>
        <v>1.67772432E-2</v>
      </c>
      <c r="O21">
        <f t="shared" si="11"/>
        <v>8.7418267200000017E-3</v>
      </c>
      <c r="P21">
        <f t="shared" si="12"/>
        <v>4.3982929412352517E-2</v>
      </c>
      <c r="V21">
        <v>-4.3000000000000096</v>
      </c>
      <c r="W21">
        <f t="shared" si="9"/>
        <v>-0.2663199999999995</v>
      </c>
      <c r="Y21">
        <v>0.17</v>
      </c>
      <c r="Z21">
        <f t="shared" si="10"/>
        <v>1.5140658</v>
      </c>
    </row>
    <row r="22" spans="1:26" x14ac:dyDescent="0.3">
      <c r="A22">
        <v>0.93310194999999996</v>
      </c>
      <c r="B22">
        <v>0.71833000000000002</v>
      </c>
      <c r="C22">
        <f t="shared" si="1"/>
        <v>0.67027512374349996</v>
      </c>
      <c r="D22">
        <v>1.9E-2</v>
      </c>
      <c r="E22">
        <v>9.9000000000000008E-3</v>
      </c>
      <c r="F22">
        <f t="shared" si="2"/>
        <v>186.62038999999999</v>
      </c>
      <c r="G22">
        <f t="shared" si="3"/>
        <v>-0.71833000000000002</v>
      </c>
      <c r="H22">
        <f t="shared" si="4"/>
        <v>-134.05502474869999</v>
      </c>
      <c r="I22">
        <v>1</v>
      </c>
      <c r="J22">
        <f t="shared" si="5"/>
        <v>-1.6786787253702784</v>
      </c>
      <c r="K22">
        <f t="shared" si="6"/>
        <v>-0.46158057297601196</v>
      </c>
      <c r="L22">
        <v>1</v>
      </c>
      <c r="M22">
        <f t="shared" si="7"/>
        <v>0.39109489267237474</v>
      </c>
      <c r="N22">
        <f t="shared" si="13"/>
        <v>1.7728937049999997E-2</v>
      </c>
      <c r="O22">
        <f t="shared" si="11"/>
        <v>9.2377093050000011E-3</v>
      </c>
      <c r="P22">
        <f t="shared" si="12"/>
        <v>4.3519033948637223E-2</v>
      </c>
      <c r="V22">
        <v>-4.2000000000000099</v>
      </c>
      <c r="W22">
        <f t="shared" si="9"/>
        <v>-0.27107999999999949</v>
      </c>
      <c r="Y22">
        <v>0.18</v>
      </c>
      <c r="Z22">
        <f t="shared" si="10"/>
        <v>1.6255132000000003</v>
      </c>
    </row>
    <row r="23" spans="1:26" x14ac:dyDescent="0.3">
      <c r="A23">
        <v>0.98669749999999989</v>
      </c>
      <c r="B23">
        <v>0.71413000000000004</v>
      </c>
      <c r="C23">
        <f t="shared" si="1"/>
        <v>0.70463028567499997</v>
      </c>
      <c r="D23">
        <v>1.9E-2</v>
      </c>
      <c r="E23">
        <v>9.9000000000000008E-3</v>
      </c>
      <c r="F23">
        <f t="shared" si="2"/>
        <v>197.33949999999999</v>
      </c>
      <c r="G23">
        <f t="shared" si="3"/>
        <v>-0.71413000000000004</v>
      </c>
      <c r="H23">
        <f t="shared" si="4"/>
        <v>-140.92605713500001</v>
      </c>
      <c r="I23">
        <v>1</v>
      </c>
      <c r="J23">
        <f t="shared" si="5"/>
        <v>-1.6228296832545124</v>
      </c>
      <c r="K23">
        <f t="shared" si="6"/>
        <v>-0.46578057297601194</v>
      </c>
      <c r="L23">
        <v>1</v>
      </c>
      <c r="M23">
        <f t="shared" si="7"/>
        <v>0.39375330707708517</v>
      </c>
      <c r="N23">
        <f t="shared" si="13"/>
        <v>1.8747252499999999E-2</v>
      </c>
      <c r="O23">
        <f t="shared" si="11"/>
        <v>9.7683052499999996E-3</v>
      </c>
      <c r="P23">
        <f t="shared" si="12"/>
        <v>4.3511708148926777E-2</v>
      </c>
      <c r="V23">
        <v>-4.1000000000000103</v>
      </c>
      <c r="W23">
        <f t="shared" si="9"/>
        <v>-0.27583999999999947</v>
      </c>
      <c r="Y23">
        <v>0.19</v>
      </c>
      <c r="Z23">
        <f t="shared" si="10"/>
        <v>1.7369606000000002</v>
      </c>
    </row>
    <row r="24" spans="1:26" x14ac:dyDescent="0.3">
      <c r="A24">
        <v>1.0372875500000001</v>
      </c>
      <c r="B24">
        <v>0.71077999999999997</v>
      </c>
      <c r="C24">
        <f t="shared" si="1"/>
        <v>0.73728324478899998</v>
      </c>
      <c r="D24">
        <v>1.9E-2</v>
      </c>
      <c r="E24">
        <v>9.9000000000000008E-3</v>
      </c>
      <c r="F24">
        <f t="shared" si="2"/>
        <v>207.45751000000001</v>
      </c>
      <c r="G24">
        <f t="shared" si="3"/>
        <v>-0.71077999999999997</v>
      </c>
      <c r="H24">
        <f t="shared" si="4"/>
        <v>-147.45664895779998</v>
      </c>
      <c r="I24">
        <v>1</v>
      </c>
      <c r="J24">
        <f t="shared" si="5"/>
        <v>-1.5728287313641824</v>
      </c>
      <c r="K24">
        <f t="shared" si="6"/>
        <v>-0.46913057297601202</v>
      </c>
      <c r="L24">
        <v>1</v>
      </c>
      <c r="M24">
        <f t="shared" si="7"/>
        <v>0.39613335238706487</v>
      </c>
      <c r="N24">
        <f t="shared" si="13"/>
        <v>1.9708463450000002E-2</v>
      </c>
      <c r="O24">
        <f t="shared" si="11"/>
        <v>1.0269146745000001E-2</v>
      </c>
      <c r="P24">
        <f t="shared" si="12"/>
        <v>4.3019610393947139E-2</v>
      </c>
      <c r="V24">
        <v>-4.0000000000000098</v>
      </c>
      <c r="W24">
        <f t="shared" si="9"/>
        <v>-0.28059999999999952</v>
      </c>
      <c r="Y24">
        <v>0.2</v>
      </c>
      <c r="Z24">
        <f t="shared" si="10"/>
        <v>1.8484080000000005</v>
      </c>
    </row>
    <row r="25" spans="1:26" x14ac:dyDescent="0.3">
      <c r="A25">
        <v>1.08887935</v>
      </c>
      <c r="B25">
        <v>0.70703000000000005</v>
      </c>
      <c r="C25">
        <f t="shared" si="1"/>
        <v>0.76987036683050003</v>
      </c>
      <c r="D25">
        <v>1.9E-2</v>
      </c>
      <c r="E25">
        <v>9.9000000000000008E-3</v>
      </c>
      <c r="F25">
        <f t="shared" si="2"/>
        <v>217.77587</v>
      </c>
      <c r="G25">
        <f t="shared" si="3"/>
        <v>-0.70703000000000005</v>
      </c>
      <c r="H25">
        <f t="shared" si="4"/>
        <v>-153.97407336610001</v>
      </c>
      <c r="I25">
        <v>1</v>
      </c>
      <c r="J25">
        <f t="shared" si="5"/>
        <v>-1.524288864336246</v>
      </c>
      <c r="K25">
        <f t="shared" si="6"/>
        <v>-0.47288057297601194</v>
      </c>
      <c r="L25">
        <v>1</v>
      </c>
      <c r="M25">
        <f t="shared" si="7"/>
        <v>0.39844385005759464</v>
      </c>
      <c r="N25">
        <f t="shared" si="13"/>
        <v>2.0688707649999999E-2</v>
      </c>
      <c r="O25">
        <f t="shared" si="11"/>
        <v>1.0779905565000001E-2</v>
      </c>
      <c r="P25">
        <f t="shared" si="12"/>
        <v>4.2968109703417301E-2</v>
      </c>
      <c r="V25">
        <v>-3.9000000000000101</v>
      </c>
      <c r="W25">
        <f t="shared" si="9"/>
        <v>-0.2853599999999995</v>
      </c>
      <c r="Y25">
        <v>0.21</v>
      </c>
      <c r="Z25">
        <f t="shared" si="10"/>
        <v>1.9598554000000004</v>
      </c>
    </row>
    <row r="26" spans="1:26" x14ac:dyDescent="0.3">
      <c r="A26">
        <v>1.1384677000000001</v>
      </c>
      <c r="B26">
        <v>0.70318000000000003</v>
      </c>
      <c r="C26">
        <f t="shared" si="1"/>
        <v>0.80054771728600005</v>
      </c>
      <c r="D26">
        <v>1.9E-2</v>
      </c>
      <c r="E26">
        <v>9.9000000000000008E-3</v>
      </c>
      <c r="F26">
        <f t="shared" si="2"/>
        <v>227.69354000000001</v>
      </c>
      <c r="G26">
        <f t="shared" si="3"/>
        <v>-0.70318000000000003</v>
      </c>
      <c r="H26">
        <f t="shared" si="4"/>
        <v>-160.1095434572</v>
      </c>
      <c r="I26">
        <v>1</v>
      </c>
      <c r="J26">
        <f t="shared" si="5"/>
        <v>-1.4797546769780512</v>
      </c>
      <c r="K26">
        <f t="shared" si="6"/>
        <v>-0.47673057297601196</v>
      </c>
      <c r="L26">
        <v>1</v>
      </c>
      <c r="M26">
        <f t="shared" si="7"/>
        <v>0.40056367737584475</v>
      </c>
      <c r="N26">
        <f t="shared" si="13"/>
        <v>2.1630886300000002E-2</v>
      </c>
      <c r="O26">
        <f t="shared" si="11"/>
        <v>1.1270830230000002E-2</v>
      </c>
      <c r="P26">
        <f t="shared" si="12"/>
        <v>4.3265179070167206E-2</v>
      </c>
      <c r="V26">
        <v>-3.80000000000001</v>
      </c>
      <c r="W26">
        <f t="shared" si="9"/>
        <v>-0.29011999999999949</v>
      </c>
      <c r="Y26">
        <v>0.22</v>
      </c>
      <c r="Z26">
        <f t="shared" si="10"/>
        <v>2.0713028000000002</v>
      </c>
    </row>
    <row r="27" spans="1:26" x14ac:dyDescent="0.3">
      <c r="A27">
        <v>1.18905785</v>
      </c>
      <c r="B27">
        <v>0.69955000000000001</v>
      </c>
      <c r="C27">
        <f t="shared" si="1"/>
        <v>0.83180541896749993</v>
      </c>
      <c r="D27">
        <v>1.9E-2</v>
      </c>
      <c r="E27">
        <v>9.9000000000000008E-3</v>
      </c>
      <c r="F27">
        <f t="shared" si="2"/>
        <v>237.81156999999999</v>
      </c>
      <c r="G27">
        <f t="shared" si="3"/>
        <v>-0.69955000000000001</v>
      </c>
      <c r="H27">
        <f t="shared" si="4"/>
        <v>-166.36108379349997</v>
      </c>
      <c r="I27">
        <v>1</v>
      </c>
      <c r="J27">
        <f t="shared" si="5"/>
        <v>-1.4362766415776682</v>
      </c>
      <c r="K27">
        <f t="shared" si="6"/>
        <v>-0.48036057297601198</v>
      </c>
      <c r="L27">
        <v>1</v>
      </c>
      <c r="M27">
        <f t="shared" si="7"/>
        <v>0.40263323186090294</v>
      </c>
      <c r="N27">
        <f t="shared" si="13"/>
        <v>2.2592099149999999E-2</v>
      </c>
      <c r="O27">
        <f t="shared" si="11"/>
        <v>1.1771672715000001E-2</v>
      </c>
      <c r="P27">
        <f t="shared" si="12"/>
        <v>4.3363569250109035E-2</v>
      </c>
      <c r="V27">
        <v>-3.7000000000000099</v>
      </c>
      <c r="W27">
        <f t="shared" si="9"/>
        <v>-0.29487999999999948</v>
      </c>
      <c r="Y27">
        <v>0.23</v>
      </c>
      <c r="Z27">
        <f t="shared" si="10"/>
        <v>2.1827502000000005</v>
      </c>
    </row>
    <row r="28" spans="1:26" x14ac:dyDescent="0.3">
      <c r="A28">
        <v>1.2386461</v>
      </c>
      <c r="B28">
        <v>0.69637000000000004</v>
      </c>
      <c r="C28">
        <f t="shared" si="1"/>
        <v>0.86255598465700001</v>
      </c>
      <c r="D28">
        <v>1.9E-2</v>
      </c>
      <c r="E28">
        <v>9.9000000000000008E-3</v>
      </c>
      <c r="F28">
        <f t="shared" si="2"/>
        <v>247.72922</v>
      </c>
      <c r="G28">
        <f t="shared" si="3"/>
        <v>-0.69637000000000004</v>
      </c>
      <c r="H28">
        <f t="shared" si="4"/>
        <v>-172.51119693140001</v>
      </c>
      <c r="I28">
        <v>1</v>
      </c>
      <c r="J28">
        <f t="shared" si="5"/>
        <v>-1.3954189841635984</v>
      </c>
      <c r="K28">
        <f t="shared" si="6"/>
        <v>-0.48354057297601194</v>
      </c>
      <c r="L28">
        <v>1</v>
      </c>
      <c r="M28">
        <f t="shared" si="7"/>
        <v>0.40457805635381267</v>
      </c>
      <c r="N28">
        <f t="shared" si="13"/>
        <v>2.3534275899999998E-2</v>
      </c>
      <c r="O28">
        <f t="shared" si="11"/>
        <v>1.226259639E-2</v>
      </c>
      <c r="P28">
        <f t="shared" si="12"/>
        <v>4.3165644332199278E-2</v>
      </c>
      <c r="V28">
        <v>-3.6000000000000099</v>
      </c>
      <c r="W28">
        <f t="shared" si="9"/>
        <v>-0.29963999999999946</v>
      </c>
      <c r="Y28">
        <v>0.24</v>
      </c>
      <c r="Z28">
        <f t="shared" si="10"/>
        <v>2.2941975999999999</v>
      </c>
    </row>
    <row r="29" spans="1:26" x14ac:dyDescent="0.3">
      <c r="A29">
        <v>1.2917406</v>
      </c>
      <c r="B29">
        <v>0.69267999999999996</v>
      </c>
      <c r="C29">
        <f t="shared" si="1"/>
        <v>0.89476287880799998</v>
      </c>
      <c r="D29">
        <v>1.9E-2</v>
      </c>
      <c r="E29">
        <v>9.9000000000000008E-3</v>
      </c>
      <c r="F29">
        <f t="shared" si="2"/>
        <v>258.34811999999999</v>
      </c>
      <c r="G29">
        <f t="shared" si="3"/>
        <v>-0.69267999999999996</v>
      </c>
      <c r="H29">
        <f t="shared" si="4"/>
        <v>-178.9525757616</v>
      </c>
      <c r="I29">
        <v>1</v>
      </c>
      <c r="J29">
        <f t="shared" si="5"/>
        <v>-1.3534473012252948</v>
      </c>
      <c r="K29">
        <f t="shared" si="6"/>
        <v>-0.48723057297601202</v>
      </c>
      <c r="L29">
        <v>1</v>
      </c>
      <c r="M29">
        <f t="shared" si="7"/>
        <v>0.40657590846167591</v>
      </c>
      <c r="N29">
        <f t="shared" si="13"/>
        <v>2.4543071399999998E-2</v>
      </c>
      <c r="O29">
        <f t="shared" si="11"/>
        <v>1.2788231940000002E-2</v>
      </c>
      <c r="P29">
        <f t="shared" si="12"/>
        <v>4.332336117433612E-2</v>
      </c>
      <c r="V29">
        <v>-3.5000000000000102</v>
      </c>
      <c r="W29">
        <f t="shared" si="9"/>
        <v>-0.30439999999999945</v>
      </c>
      <c r="Y29">
        <v>0.25</v>
      </c>
      <c r="Z29">
        <f t="shared" si="10"/>
        <v>2.4056450000000003</v>
      </c>
    </row>
    <row r="30" spans="1:26" x14ac:dyDescent="0.3">
      <c r="A30">
        <v>1.3413288499999998</v>
      </c>
      <c r="B30">
        <v>0.68949000000000005</v>
      </c>
      <c r="C30">
        <f t="shared" si="1"/>
        <v>0.92483282878649997</v>
      </c>
      <c r="D30">
        <v>1.9E-2</v>
      </c>
      <c r="E30">
        <v>9.9000000000000008E-3</v>
      </c>
      <c r="F30">
        <f t="shared" si="2"/>
        <v>268.26576999999997</v>
      </c>
      <c r="G30">
        <f t="shared" si="3"/>
        <v>-0.68949000000000005</v>
      </c>
      <c r="H30">
        <f t="shared" si="4"/>
        <v>-184.9665657573</v>
      </c>
      <c r="I30">
        <v>1</v>
      </c>
      <c r="J30">
        <f t="shared" si="5"/>
        <v>-1.3157771107556862</v>
      </c>
      <c r="K30">
        <f t="shared" si="6"/>
        <v>-0.49042057297601194</v>
      </c>
      <c r="L30">
        <v>1</v>
      </c>
      <c r="M30">
        <f t="shared" si="7"/>
        <v>0.40836900952802929</v>
      </c>
      <c r="N30">
        <f t="shared" si="13"/>
        <v>2.5485248149999997E-2</v>
      </c>
      <c r="O30">
        <f t="shared" si="11"/>
        <v>1.3279155615E-2</v>
      </c>
      <c r="P30">
        <f t="shared" si="12"/>
        <v>4.3287159682982648E-2</v>
      </c>
      <c r="V30">
        <v>-3.4000000000000101</v>
      </c>
      <c r="W30">
        <f t="shared" si="9"/>
        <v>-0.30915999999999949</v>
      </c>
      <c r="Y30">
        <v>0.26</v>
      </c>
      <c r="Z30">
        <f t="shared" si="10"/>
        <v>2.5170924000000006</v>
      </c>
    </row>
    <row r="31" spans="1:26" x14ac:dyDescent="0.3">
      <c r="A31">
        <v>1.3909171</v>
      </c>
      <c r="B31">
        <v>0.68623000000000001</v>
      </c>
      <c r="C31">
        <f t="shared" si="1"/>
        <v>0.95448904153300007</v>
      </c>
      <c r="D31">
        <v>1.9E-2</v>
      </c>
      <c r="E31">
        <v>9.9000000000000008E-3</v>
      </c>
      <c r="F31">
        <f t="shared" si="2"/>
        <v>278.18342000000001</v>
      </c>
      <c r="G31">
        <f t="shared" si="3"/>
        <v>-0.68623000000000001</v>
      </c>
      <c r="H31">
        <f t="shared" si="4"/>
        <v>-190.89780830660001</v>
      </c>
      <c r="I31">
        <v>1</v>
      </c>
      <c r="J31">
        <f t="shared" si="5"/>
        <v>-1.2794745986807246</v>
      </c>
      <c r="K31">
        <f t="shared" si="6"/>
        <v>-0.49368057297601198</v>
      </c>
      <c r="L31">
        <v>1</v>
      </c>
      <c r="M31">
        <f t="shared" si="7"/>
        <v>0.41009700910279751</v>
      </c>
      <c r="N31">
        <f t="shared" si="13"/>
        <v>2.64274249E-2</v>
      </c>
      <c r="O31">
        <f t="shared" si="11"/>
        <v>1.3770079290000001E-2</v>
      </c>
      <c r="P31">
        <f t="shared" si="12"/>
        <v>4.3386059683214476E-2</v>
      </c>
      <c r="V31">
        <v>-3.30000000000001</v>
      </c>
      <c r="W31">
        <f t="shared" si="9"/>
        <v>-0.31391999999999948</v>
      </c>
      <c r="Y31">
        <v>0.27</v>
      </c>
      <c r="Z31">
        <f t="shared" si="10"/>
        <v>2.6285398000000004</v>
      </c>
    </row>
    <row r="32" spans="1:26" x14ac:dyDescent="0.3">
      <c r="A32">
        <v>1.4440117000000001</v>
      </c>
      <c r="B32">
        <v>0.68259999999999998</v>
      </c>
      <c r="C32">
        <f t="shared" si="1"/>
        <v>0.98568238642000006</v>
      </c>
      <c r="D32">
        <v>1.9E-2</v>
      </c>
      <c r="E32">
        <v>9.9000000000000008E-3</v>
      </c>
      <c r="F32">
        <f t="shared" si="2"/>
        <v>288.80234000000002</v>
      </c>
      <c r="G32">
        <f t="shared" si="3"/>
        <v>-0.68259999999999998</v>
      </c>
      <c r="H32">
        <f t="shared" si="4"/>
        <v>-197.13647728400002</v>
      </c>
      <c r="I32">
        <v>1</v>
      </c>
      <c r="J32">
        <f t="shared" si="5"/>
        <v>-1.2420127695032162</v>
      </c>
      <c r="K32">
        <f t="shared" si="6"/>
        <v>-0.497310572976012</v>
      </c>
      <c r="L32">
        <v>1</v>
      </c>
      <c r="M32">
        <f t="shared" si="7"/>
        <v>0.4118801921716469</v>
      </c>
      <c r="N32">
        <f t="shared" si="13"/>
        <v>2.74362223E-2</v>
      </c>
      <c r="O32">
        <f t="shared" si="11"/>
        <v>1.4295715830000002E-2</v>
      </c>
      <c r="P32">
        <f t="shared" si="12"/>
        <v>4.3698442674365102E-2</v>
      </c>
      <c r="V32">
        <v>-3.2000000000000099</v>
      </c>
      <c r="W32">
        <f t="shared" si="9"/>
        <v>-0.31867999999999952</v>
      </c>
    </row>
    <row r="33" spans="1:23" x14ac:dyDescent="0.3">
      <c r="A33">
        <v>1.49360005</v>
      </c>
      <c r="B33">
        <v>0.67939000000000005</v>
      </c>
      <c r="C33">
        <f t="shared" si="1"/>
        <v>1.0147369379695002</v>
      </c>
      <c r="D33">
        <v>1.9E-2</v>
      </c>
      <c r="E33">
        <v>9.9000000000000008E-3</v>
      </c>
      <c r="F33">
        <f t="shared" si="2"/>
        <v>298.72001</v>
      </c>
      <c r="G33">
        <f t="shared" si="3"/>
        <v>-0.67939000000000005</v>
      </c>
      <c r="H33">
        <f t="shared" si="4"/>
        <v>-202.94738759390003</v>
      </c>
      <c r="I33">
        <v>1</v>
      </c>
      <c r="J33">
        <f t="shared" si="5"/>
        <v>-1.2082485657125601</v>
      </c>
      <c r="K33">
        <f t="shared" si="6"/>
        <v>-0.50052057297601193</v>
      </c>
      <c r="L33">
        <v>1</v>
      </c>
      <c r="M33">
        <f t="shared" si="7"/>
        <v>0.4134873682720821</v>
      </c>
      <c r="N33">
        <f t="shared" si="13"/>
        <v>2.8378400949999997E-2</v>
      </c>
      <c r="O33">
        <f t="shared" si="11"/>
        <v>1.4786640495000001E-2</v>
      </c>
      <c r="P33">
        <f t="shared" si="12"/>
        <v>4.3868163258929838E-2</v>
      </c>
      <c r="V33">
        <v>-3.1000000000000099</v>
      </c>
      <c r="W33">
        <f t="shared" si="9"/>
        <v>-0.32343999999999951</v>
      </c>
    </row>
    <row r="34" spans="1:23" x14ac:dyDescent="0.3">
      <c r="A34">
        <v>1.5441900500000001</v>
      </c>
      <c r="B34">
        <v>0.67618999999999996</v>
      </c>
      <c r="C34">
        <f t="shared" si="1"/>
        <v>1.0441658699095</v>
      </c>
      <c r="D34">
        <v>1.9E-2</v>
      </c>
      <c r="E34">
        <v>9.9000000000000008E-3</v>
      </c>
      <c r="F34">
        <f t="shared" si="2"/>
        <v>308.83801</v>
      </c>
      <c r="G34">
        <f t="shared" si="3"/>
        <v>-0.67618999999999996</v>
      </c>
      <c r="H34">
        <f t="shared" si="4"/>
        <v>-208.83317398189999</v>
      </c>
      <c r="I34">
        <v>1</v>
      </c>
      <c r="J34">
        <f t="shared" si="5"/>
        <v>-1.1749383790281536</v>
      </c>
      <c r="K34">
        <f t="shared" si="6"/>
        <v>-0.50372057297601203</v>
      </c>
      <c r="L34">
        <v>1</v>
      </c>
      <c r="M34">
        <f t="shared" si="7"/>
        <v>0.41507293315825988</v>
      </c>
      <c r="N34">
        <f t="shared" si="13"/>
        <v>2.9339610950000001E-2</v>
      </c>
      <c r="O34">
        <f t="shared" si="11"/>
        <v>1.5287481495000001E-2</v>
      </c>
      <c r="P34">
        <f t="shared" si="12"/>
        <v>4.4020547372752142E-2</v>
      </c>
      <c r="V34">
        <v>-3.0000000000000102</v>
      </c>
      <c r="W34">
        <f t="shared" si="9"/>
        <v>-0.32819999999999949</v>
      </c>
    </row>
    <row r="35" spans="1:23" x14ac:dyDescent="0.3">
      <c r="A35">
        <v>1.5937782</v>
      </c>
      <c r="B35">
        <v>0.67298999999999998</v>
      </c>
      <c r="C35">
        <f t="shared" si="1"/>
        <v>1.0725967908180001</v>
      </c>
      <c r="D35">
        <v>1.9E-2</v>
      </c>
      <c r="E35">
        <v>9.9000000000000008E-3</v>
      </c>
      <c r="F35">
        <f t="shared" si="2"/>
        <v>318.75564000000003</v>
      </c>
      <c r="G35">
        <f t="shared" si="3"/>
        <v>-0.67298999999999998</v>
      </c>
      <c r="H35">
        <f t="shared" si="4"/>
        <v>-214.5193581636</v>
      </c>
      <c r="I35">
        <v>1</v>
      </c>
      <c r="J35">
        <f t="shared" si="5"/>
        <v>-1.143330488548393</v>
      </c>
      <c r="K35">
        <f t="shared" si="6"/>
        <v>-0.50692057297601201</v>
      </c>
      <c r="L35">
        <v>1</v>
      </c>
      <c r="M35">
        <f t="shared" si="7"/>
        <v>0.41657746874509649</v>
      </c>
      <c r="N35">
        <f t="shared" si="13"/>
        <v>3.0281785799999999E-2</v>
      </c>
      <c r="O35">
        <f t="shared" si="11"/>
        <v>1.577840418E-2</v>
      </c>
      <c r="P35">
        <f t="shared" si="12"/>
        <v>4.4282914250915517E-2</v>
      </c>
      <c r="V35">
        <v>-2.9000000000000101</v>
      </c>
      <c r="W35">
        <f t="shared" si="9"/>
        <v>-0.33295999999999948</v>
      </c>
    </row>
    <row r="36" spans="1:23" x14ac:dyDescent="0.3">
      <c r="A36">
        <v>1.64537025</v>
      </c>
      <c r="B36">
        <v>0.67005999999999999</v>
      </c>
      <c r="C36">
        <f t="shared" si="1"/>
        <v>1.102496789715</v>
      </c>
      <c r="D36">
        <v>1.9E-2</v>
      </c>
      <c r="E36">
        <v>9.9000000000000008E-3</v>
      </c>
      <c r="F36">
        <f t="shared" si="2"/>
        <v>329.07405</v>
      </c>
      <c r="G36">
        <f t="shared" si="3"/>
        <v>-0.67005999999999999</v>
      </c>
      <c r="H36">
        <f t="shared" si="4"/>
        <v>-220.49935794300001</v>
      </c>
      <c r="I36">
        <v>1</v>
      </c>
      <c r="J36">
        <f t="shared" si="5"/>
        <v>-1.1114724775547233</v>
      </c>
      <c r="K36">
        <f t="shared" si="6"/>
        <v>-0.509850572976012</v>
      </c>
      <c r="L36">
        <v>1</v>
      </c>
      <c r="M36">
        <f t="shared" si="7"/>
        <v>0.41809391006839514</v>
      </c>
      <c r="N36">
        <f t="shared" si="13"/>
        <v>3.1262034750000001E-2</v>
      </c>
      <c r="O36">
        <f t="shared" si="11"/>
        <v>1.6289165475000002E-2</v>
      </c>
      <c r="P36">
        <f t="shared" si="12"/>
        <v>4.4205462682616853E-2</v>
      </c>
      <c r="V36">
        <v>-2.80000000000001</v>
      </c>
      <c r="W36">
        <f t="shared" si="9"/>
        <v>-0.33771999999999947</v>
      </c>
    </row>
    <row r="37" spans="1:23" x14ac:dyDescent="0.3">
      <c r="A37">
        <v>1.6949584</v>
      </c>
      <c r="B37">
        <v>0.66681999999999997</v>
      </c>
      <c r="C37">
        <f t="shared" si="1"/>
        <v>1.1302321602879999</v>
      </c>
      <c r="D37">
        <v>1.9E-2</v>
      </c>
      <c r="E37">
        <v>9.9000000000000008E-3</v>
      </c>
      <c r="F37">
        <f t="shared" si="2"/>
        <v>338.99167999999997</v>
      </c>
      <c r="G37">
        <f t="shared" si="3"/>
        <v>-0.66681999999999997</v>
      </c>
      <c r="H37">
        <f t="shared" si="4"/>
        <v>-226.04643205759999</v>
      </c>
      <c r="I37">
        <v>1</v>
      </c>
      <c r="J37">
        <f t="shared" si="5"/>
        <v>-1.0817797146757271</v>
      </c>
      <c r="K37">
        <f t="shared" si="6"/>
        <v>-0.51309057297601202</v>
      </c>
      <c r="L37">
        <v>1</v>
      </c>
      <c r="M37">
        <f t="shared" si="7"/>
        <v>0.41950728558143535</v>
      </c>
      <c r="N37">
        <f t="shared" si="13"/>
        <v>3.2204209599999999E-2</v>
      </c>
      <c r="O37">
        <f t="shared" si="11"/>
        <v>1.6780088160000001E-2</v>
      </c>
      <c r="P37">
        <f t="shared" si="12"/>
        <v>4.4598989634576661E-2</v>
      </c>
      <c r="V37">
        <v>-2.7000000000000099</v>
      </c>
      <c r="W37">
        <f t="shared" si="9"/>
        <v>-0.34247999999999945</v>
      </c>
    </row>
    <row r="38" spans="1:23" x14ac:dyDescent="0.3">
      <c r="A38">
        <v>1.7470512</v>
      </c>
      <c r="B38">
        <v>0.66359999999999997</v>
      </c>
      <c r="C38">
        <f t="shared" si="1"/>
        <v>1.1593431763199999</v>
      </c>
      <c r="D38">
        <v>1.9E-2</v>
      </c>
      <c r="E38">
        <v>9.9000000000000008E-3</v>
      </c>
      <c r="F38">
        <f t="shared" si="2"/>
        <v>349.41023999999999</v>
      </c>
      <c r="G38">
        <f t="shared" si="3"/>
        <v>-0.66359999999999997</v>
      </c>
      <c r="H38">
        <f t="shared" si="4"/>
        <v>-231.86863526399998</v>
      </c>
      <c r="I38">
        <v>1</v>
      </c>
      <c r="J38">
        <f t="shared" si="5"/>
        <v>-1.051508574327547</v>
      </c>
      <c r="K38">
        <f t="shared" si="6"/>
        <v>-0.51631057297601202</v>
      </c>
      <c r="L38">
        <v>1</v>
      </c>
      <c r="M38">
        <f t="shared" si="7"/>
        <v>0.42094819186200871</v>
      </c>
      <c r="N38">
        <f t="shared" si="13"/>
        <v>3.3193972799999999E-2</v>
      </c>
      <c r="O38">
        <f t="shared" si="11"/>
        <v>1.729580688E-2</v>
      </c>
      <c r="P38">
        <f t="shared" si="12"/>
        <v>4.4872601434003304E-2</v>
      </c>
      <c r="V38">
        <v>-2.6000000000000099</v>
      </c>
      <c r="W38">
        <f t="shared" si="9"/>
        <v>-0.34723999999999949</v>
      </c>
    </row>
    <row r="39" spans="1:23" x14ac:dyDescent="0.3">
      <c r="A39">
        <v>1.79663945</v>
      </c>
      <c r="B39">
        <v>0.66047999999999996</v>
      </c>
      <c r="C39">
        <f t="shared" si="1"/>
        <v>1.1866444239359999</v>
      </c>
      <c r="D39">
        <v>1.9E-2</v>
      </c>
      <c r="E39">
        <v>9.9000000000000008E-3</v>
      </c>
      <c r="F39">
        <f t="shared" si="2"/>
        <v>359.32789000000002</v>
      </c>
      <c r="G39">
        <f t="shared" si="3"/>
        <v>-0.66047999999999996</v>
      </c>
      <c r="H39">
        <f t="shared" si="4"/>
        <v>-237.32888478719997</v>
      </c>
      <c r="I39">
        <v>1</v>
      </c>
      <c r="J39">
        <f t="shared" si="5"/>
        <v>-1.0235199647190483</v>
      </c>
      <c r="K39">
        <f t="shared" si="6"/>
        <v>-0.51943057297601203</v>
      </c>
      <c r="L39">
        <v>1</v>
      </c>
      <c r="M39">
        <f t="shared" si="7"/>
        <v>0.42228044967937328</v>
      </c>
      <c r="N39">
        <f t="shared" si="13"/>
        <v>3.4136149550000001E-2</v>
      </c>
      <c r="O39">
        <f t="shared" si="11"/>
        <v>1.7786730555000001E-2</v>
      </c>
      <c r="P39">
        <f t="shared" si="12"/>
        <v>4.5227243191638747E-2</v>
      </c>
      <c r="V39">
        <v>-2.5000000000000102</v>
      </c>
      <c r="W39">
        <f t="shared" si="9"/>
        <v>-0.35199999999999948</v>
      </c>
    </row>
    <row r="40" spans="1:23" x14ac:dyDescent="0.3">
      <c r="A40">
        <v>1.8472297</v>
      </c>
      <c r="B40">
        <v>0.65763000000000005</v>
      </c>
      <c r="C40">
        <f t="shared" si="1"/>
        <v>1.214793667611</v>
      </c>
      <c r="D40">
        <v>1.9E-2</v>
      </c>
      <c r="E40">
        <v>9.9000000000000008E-3</v>
      </c>
      <c r="F40">
        <f t="shared" si="2"/>
        <v>369.44594000000001</v>
      </c>
      <c r="G40">
        <f t="shared" si="3"/>
        <v>-0.65763000000000005</v>
      </c>
      <c r="H40">
        <f t="shared" si="4"/>
        <v>-242.95873352220002</v>
      </c>
      <c r="I40">
        <v>1</v>
      </c>
      <c r="J40">
        <f t="shared" si="5"/>
        <v>-0.99575085511629469</v>
      </c>
      <c r="K40">
        <f t="shared" si="6"/>
        <v>-0.52228057297601194</v>
      </c>
      <c r="L40">
        <v>1</v>
      </c>
      <c r="M40">
        <f t="shared" si="7"/>
        <v>0.42360225929646433</v>
      </c>
      <c r="N40">
        <f t="shared" si="13"/>
        <v>3.5097364299999996E-2</v>
      </c>
      <c r="O40">
        <f t="shared" si="11"/>
        <v>1.828757403E-2</v>
      </c>
      <c r="P40">
        <f t="shared" si="12"/>
        <v>4.529337534954761E-2</v>
      </c>
      <c r="V40">
        <v>-2.4000000000000101</v>
      </c>
      <c r="W40">
        <f t="shared" si="9"/>
        <v>-0.35675999999999947</v>
      </c>
    </row>
    <row r="41" spans="1:23" x14ac:dyDescent="0.3">
      <c r="A41">
        <v>1.8973187999999999</v>
      </c>
      <c r="B41">
        <v>0.65466000000000002</v>
      </c>
      <c r="C41">
        <f t="shared" si="1"/>
        <v>1.2420987256080001</v>
      </c>
      <c r="D41">
        <v>1.9E-2</v>
      </c>
      <c r="E41">
        <v>9.9000000000000008E-3</v>
      </c>
      <c r="F41">
        <f t="shared" si="2"/>
        <v>379.46375999999998</v>
      </c>
      <c r="G41">
        <f t="shared" si="3"/>
        <v>-0.65466000000000002</v>
      </c>
      <c r="H41">
        <f t="shared" si="4"/>
        <v>-248.41974512160002</v>
      </c>
      <c r="I41">
        <v>1</v>
      </c>
      <c r="J41">
        <f t="shared" si="5"/>
        <v>-0.96899618077744787</v>
      </c>
      <c r="K41">
        <f t="shared" si="6"/>
        <v>-0.52525057297601196</v>
      </c>
      <c r="L41">
        <v>1</v>
      </c>
      <c r="M41">
        <f t="shared" si="7"/>
        <v>0.42487578179499347</v>
      </c>
      <c r="N41">
        <f t="shared" si="13"/>
        <v>3.6049057199999998E-2</v>
      </c>
      <c r="O41">
        <f t="shared" si="11"/>
        <v>1.878345612E-2</v>
      </c>
      <c r="P41">
        <f t="shared" si="12"/>
        <v>4.5542277861018499E-2</v>
      </c>
      <c r="V41">
        <v>-2.30000000000001</v>
      </c>
      <c r="W41">
        <f t="shared" si="9"/>
        <v>-0.36151999999999951</v>
      </c>
    </row>
    <row r="42" spans="1:23" x14ac:dyDescent="0.3">
      <c r="A42">
        <v>1.9509143</v>
      </c>
      <c r="B42">
        <v>0.65151999999999999</v>
      </c>
      <c r="C42">
        <f t="shared" si="1"/>
        <v>1.2710596847360001</v>
      </c>
      <c r="D42">
        <v>1.9E-2</v>
      </c>
      <c r="E42">
        <v>9.9000000000000008E-3</v>
      </c>
      <c r="F42">
        <f t="shared" si="2"/>
        <v>390.18286000000001</v>
      </c>
      <c r="G42">
        <f t="shared" si="3"/>
        <v>-0.65151999999999999</v>
      </c>
      <c r="H42">
        <f t="shared" si="4"/>
        <v>-254.2119369472</v>
      </c>
      <c r="I42">
        <v>1</v>
      </c>
      <c r="J42">
        <f t="shared" si="5"/>
        <v>-0.94113977794960613</v>
      </c>
      <c r="K42">
        <f t="shared" si="6"/>
        <v>-0.528390572976012</v>
      </c>
      <c r="L42">
        <v>1</v>
      </c>
      <c r="M42">
        <f t="shared" si="7"/>
        <v>0.42620174656959875</v>
      </c>
      <c r="N42">
        <f t="shared" si="13"/>
        <v>3.7067371699999997E-2</v>
      </c>
      <c r="O42">
        <f t="shared" si="11"/>
        <v>1.9314051570000001E-2</v>
      </c>
      <c r="P42">
        <f t="shared" si="12"/>
        <v>4.5807403136413252E-2</v>
      </c>
      <c r="V42">
        <v>-2.2000000000000099</v>
      </c>
      <c r="W42">
        <f t="shared" si="9"/>
        <v>-0.36627999999999949</v>
      </c>
    </row>
    <row r="43" spans="1:23" x14ac:dyDescent="0.3">
      <c r="A43">
        <v>2.0020052000000002</v>
      </c>
      <c r="B43">
        <v>0.64858000000000005</v>
      </c>
      <c r="C43">
        <f t="shared" si="1"/>
        <v>1.2984605326160001</v>
      </c>
      <c r="D43">
        <v>1.9E-2</v>
      </c>
      <c r="E43">
        <v>9.9000000000000008E-3</v>
      </c>
      <c r="F43">
        <f t="shared" si="2"/>
        <v>400.40104000000002</v>
      </c>
      <c r="G43">
        <f t="shared" si="3"/>
        <v>-0.64858000000000005</v>
      </c>
      <c r="H43">
        <f t="shared" si="4"/>
        <v>-259.69210652320004</v>
      </c>
      <c r="I43">
        <v>1</v>
      </c>
      <c r="J43">
        <f t="shared" si="5"/>
        <v>-0.91528863414184725</v>
      </c>
      <c r="K43">
        <f t="shared" si="6"/>
        <v>-0.53133057297601194</v>
      </c>
      <c r="L43">
        <v>1</v>
      </c>
      <c r="M43">
        <f t="shared" si="7"/>
        <v>0.42743226101484805</v>
      </c>
      <c r="N43">
        <f t="shared" si="13"/>
        <v>3.8038098800000003E-2</v>
      </c>
      <c r="O43">
        <f t="shared" si="11"/>
        <v>1.9819851480000004E-2</v>
      </c>
      <c r="P43">
        <f t="shared" si="12"/>
        <v>4.6040361681163884E-2</v>
      </c>
      <c r="V43">
        <v>-2.1000000000000099</v>
      </c>
      <c r="W43">
        <f t="shared" si="9"/>
        <v>-0.37103999999999948</v>
      </c>
    </row>
    <row r="44" spans="1:23" x14ac:dyDescent="0.3">
      <c r="A44">
        <v>2.05259525</v>
      </c>
      <c r="B44">
        <v>0.64525999999999994</v>
      </c>
      <c r="C44">
        <f t="shared" si="1"/>
        <v>1.3244576110149999</v>
      </c>
      <c r="D44">
        <v>1.9E-2</v>
      </c>
      <c r="E44">
        <v>9.9000000000000008E-3</v>
      </c>
      <c r="F44">
        <f t="shared" si="2"/>
        <v>410.51904999999999</v>
      </c>
      <c r="G44">
        <f t="shared" si="3"/>
        <v>-0.64525999999999994</v>
      </c>
      <c r="H44">
        <f t="shared" si="4"/>
        <v>-264.89152220299997</v>
      </c>
      <c r="I44">
        <v>1</v>
      </c>
      <c r="J44">
        <f t="shared" si="5"/>
        <v>-0.89033294434546728</v>
      </c>
      <c r="K44">
        <f t="shared" si="6"/>
        <v>-0.53465057297601204</v>
      </c>
      <c r="L44">
        <v>1</v>
      </c>
      <c r="M44">
        <f t="shared" si="7"/>
        <v>0.42862015184915575</v>
      </c>
      <c r="N44">
        <f t="shared" si="13"/>
        <v>3.8999309749999996E-2</v>
      </c>
      <c r="O44">
        <f t="shared" si="11"/>
        <v>2.0320692975000002E-2</v>
      </c>
      <c r="P44">
        <f t="shared" si="12"/>
        <v>4.6710418401856302E-2</v>
      </c>
      <c r="V44">
        <v>-2.0000000000000102</v>
      </c>
      <c r="W44">
        <f t="shared" si="9"/>
        <v>-0.37579999999999947</v>
      </c>
    </row>
    <row r="45" spans="1:23" x14ac:dyDescent="0.3">
      <c r="A45">
        <v>2.1051890499999999</v>
      </c>
      <c r="B45">
        <v>0.64229000000000003</v>
      </c>
      <c r="C45">
        <f t="shared" si="1"/>
        <v>1.3521418749245</v>
      </c>
      <c r="D45">
        <v>1.9E-2</v>
      </c>
      <c r="E45">
        <v>9.9000000000000008E-3</v>
      </c>
      <c r="F45">
        <f t="shared" si="2"/>
        <v>421.03780999999998</v>
      </c>
      <c r="G45">
        <f t="shared" si="3"/>
        <v>-0.64229000000000003</v>
      </c>
      <c r="H45">
        <f t="shared" si="4"/>
        <v>-270.42837498490002</v>
      </c>
      <c r="I45">
        <v>1</v>
      </c>
      <c r="J45">
        <f t="shared" si="5"/>
        <v>-0.86503263935618313</v>
      </c>
      <c r="K45">
        <f t="shared" si="6"/>
        <v>-0.53762057297601196</v>
      </c>
      <c r="L45">
        <v>1</v>
      </c>
      <c r="M45">
        <f t="shared" si="7"/>
        <v>0.42982444636664563</v>
      </c>
      <c r="N45">
        <f t="shared" si="13"/>
        <v>3.9998591949999995E-2</v>
      </c>
      <c r="O45">
        <f t="shared" si="11"/>
        <v>2.0841371595000002E-2</v>
      </c>
      <c r="P45">
        <f t="shared" si="12"/>
        <v>4.6956163064366327E-2</v>
      </c>
      <c r="V45">
        <v>-1.9000000000000099</v>
      </c>
      <c r="W45">
        <f t="shared" si="9"/>
        <v>-0.38055999999999951</v>
      </c>
    </row>
    <row r="46" spans="1:23" x14ac:dyDescent="0.3">
      <c r="A46">
        <v>2.1637933500000002</v>
      </c>
      <c r="B46">
        <v>0.63912999999999998</v>
      </c>
      <c r="C46">
        <f t="shared" si="1"/>
        <v>1.3829452437855001</v>
      </c>
      <c r="D46">
        <v>1.9E-2</v>
      </c>
      <c r="E46">
        <v>9.9000000000000008E-3</v>
      </c>
      <c r="F46">
        <f t="shared" si="2"/>
        <v>432.75867000000005</v>
      </c>
      <c r="G46">
        <f t="shared" si="3"/>
        <v>-0.63912999999999998</v>
      </c>
      <c r="H46">
        <f t="shared" si="4"/>
        <v>-276.58904875710004</v>
      </c>
      <c r="I46">
        <v>1</v>
      </c>
      <c r="J46">
        <f t="shared" si="5"/>
        <v>-0.83757505046446434</v>
      </c>
      <c r="K46">
        <f t="shared" si="6"/>
        <v>-0.54078057297601201</v>
      </c>
      <c r="L46">
        <v>1</v>
      </c>
      <c r="M46">
        <f t="shared" si="7"/>
        <v>0.43113142759789147</v>
      </c>
      <c r="N46">
        <f t="shared" si="13"/>
        <v>4.1112073650000004E-2</v>
      </c>
      <c r="O46">
        <f t="shared" si="11"/>
        <v>2.1421554165000002E-2</v>
      </c>
      <c r="P46">
        <f t="shared" si="12"/>
        <v>4.7115517563120539E-2</v>
      </c>
      <c r="V46">
        <v>-1.80000000000001</v>
      </c>
      <c r="W46">
        <f t="shared" si="9"/>
        <v>-0.3853199999999995</v>
      </c>
    </row>
    <row r="47" spans="1:23" x14ac:dyDescent="0.3">
      <c r="A47">
        <v>2.2138824000000001</v>
      </c>
      <c r="B47">
        <v>0.63585999999999998</v>
      </c>
      <c r="C47">
        <f t="shared" si="1"/>
        <v>1.4077192628640001</v>
      </c>
      <c r="D47">
        <v>1.9E-2</v>
      </c>
      <c r="E47">
        <v>9.9000000000000008E-3</v>
      </c>
      <c r="F47">
        <f t="shared" si="2"/>
        <v>442.77648000000005</v>
      </c>
      <c r="G47">
        <f t="shared" si="3"/>
        <v>-0.63585999999999998</v>
      </c>
      <c r="H47">
        <f t="shared" si="4"/>
        <v>-281.54385257280001</v>
      </c>
      <c r="I47">
        <v>1</v>
      </c>
      <c r="J47">
        <f t="shared" si="5"/>
        <v>-0.8146901960895534</v>
      </c>
      <c r="K47">
        <f t="shared" si="6"/>
        <v>-0.544050572976012</v>
      </c>
      <c r="L47">
        <v>1</v>
      </c>
      <c r="M47">
        <f t="shared" si="7"/>
        <v>0.43222074666613725</v>
      </c>
      <c r="N47">
        <f t="shared" si="13"/>
        <v>4.2063765600000004E-2</v>
      </c>
      <c r="O47">
        <f t="shared" si="11"/>
        <v>2.1917435760000003E-2</v>
      </c>
      <c r="P47">
        <f t="shared" si="12"/>
        <v>4.7848624949874755E-2</v>
      </c>
      <c r="V47">
        <v>-1.7000000000000199</v>
      </c>
      <c r="W47">
        <f t="shared" si="9"/>
        <v>-0.39007999999999904</v>
      </c>
    </row>
    <row r="48" spans="1:23" x14ac:dyDescent="0.3">
      <c r="A48">
        <v>2.26447245</v>
      </c>
      <c r="B48">
        <v>0.6331</v>
      </c>
      <c r="C48">
        <f t="shared" si="1"/>
        <v>1.4336375080949999</v>
      </c>
      <c r="D48">
        <v>1.9E-2</v>
      </c>
      <c r="E48">
        <v>9.9000000000000008E-3</v>
      </c>
      <c r="F48">
        <f t="shared" si="2"/>
        <v>452.89449000000002</v>
      </c>
      <c r="G48">
        <f t="shared" si="3"/>
        <v>-0.6331</v>
      </c>
      <c r="H48">
        <f t="shared" si="4"/>
        <v>-286.72750161900001</v>
      </c>
      <c r="I48">
        <v>1</v>
      </c>
      <c r="J48">
        <f t="shared" si="5"/>
        <v>-0.79209609453504437</v>
      </c>
      <c r="K48">
        <f t="shared" si="6"/>
        <v>-0.54681057297601199</v>
      </c>
      <c r="L48">
        <v>1</v>
      </c>
      <c r="M48">
        <f t="shared" si="7"/>
        <v>0.43329622590013184</v>
      </c>
      <c r="N48">
        <f t="shared" si="13"/>
        <v>4.3024976549999996E-2</v>
      </c>
      <c r="O48">
        <f t="shared" si="11"/>
        <v>2.2418277255000001E-2</v>
      </c>
      <c r="P48">
        <f t="shared" si="12"/>
        <v>4.8071093270880154E-2</v>
      </c>
      <c r="V48">
        <v>-1.6000000000000201</v>
      </c>
      <c r="W48">
        <f t="shared" si="9"/>
        <v>-0.39483999999999903</v>
      </c>
    </row>
    <row r="49" spans="1:23" x14ac:dyDescent="0.3">
      <c r="A49">
        <v>2.3155635499999998</v>
      </c>
      <c r="B49">
        <v>0.63014000000000003</v>
      </c>
      <c r="C49">
        <f t="shared" si="1"/>
        <v>1.4591292153969999</v>
      </c>
      <c r="D49">
        <v>1.9E-2</v>
      </c>
      <c r="E49">
        <v>9.9000000000000008E-3</v>
      </c>
      <c r="F49">
        <f t="shared" si="2"/>
        <v>463.11270999999994</v>
      </c>
      <c r="G49">
        <f t="shared" si="3"/>
        <v>-0.63014000000000003</v>
      </c>
      <c r="H49">
        <f t="shared" si="4"/>
        <v>-291.82584307939999</v>
      </c>
      <c r="I49">
        <v>1</v>
      </c>
      <c r="J49">
        <f t="shared" si="5"/>
        <v>-0.76978482039591201</v>
      </c>
      <c r="K49">
        <f t="shared" si="6"/>
        <v>-0.54977057297601195</v>
      </c>
      <c r="L49">
        <v>1</v>
      </c>
      <c r="M49">
        <f t="shared" si="7"/>
        <v>0.43435824254915456</v>
      </c>
      <c r="N49">
        <f t="shared" si="13"/>
        <v>4.3995707449999998E-2</v>
      </c>
      <c r="O49">
        <f t="shared" si="11"/>
        <v>2.2924079145000002E-2</v>
      </c>
      <c r="P49">
        <f t="shared" si="12"/>
        <v>4.8492543831857388E-2</v>
      </c>
      <c r="V49">
        <v>-1.50000000000002</v>
      </c>
      <c r="W49">
        <f t="shared" si="9"/>
        <v>-0.39959999999999901</v>
      </c>
    </row>
    <row r="50" spans="1:23" x14ac:dyDescent="0.3">
      <c r="A50">
        <v>2.3656529000000002</v>
      </c>
      <c r="B50">
        <v>0.62726000000000004</v>
      </c>
      <c r="C50">
        <f t="shared" si="1"/>
        <v>1.4838794380540001</v>
      </c>
      <c r="D50">
        <v>1.9E-2</v>
      </c>
      <c r="E50">
        <v>9.9000000000000008E-3</v>
      </c>
      <c r="F50">
        <f t="shared" si="2"/>
        <v>473.13058000000001</v>
      </c>
      <c r="G50">
        <f t="shared" si="3"/>
        <v>-0.62726000000000004</v>
      </c>
      <c r="H50">
        <f t="shared" si="4"/>
        <v>-296.77588761080005</v>
      </c>
      <c r="I50">
        <v>1</v>
      </c>
      <c r="J50">
        <f t="shared" si="5"/>
        <v>-0.74838386093658982</v>
      </c>
      <c r="K50">
        <f t="shared" si="6"/>
        <v>-0.55265057297601194</v>
      </c>
      <c r="L50">
        <v>1</v>
      </c>
      <c r="M50">
        <f t="shared" si="7"/>
        <v>0.43537692821941831</v>
      </c>
      <c r="N50">
        <f t="shared" si="13"/>
        <v>4.4947405100000004E-2</v>
      </c>
      <c r="O50">
        <f t="shared" si="11"/>
        <v>2.3419963710000005E-2</v>
      </c>
      <c r="P50">
        <f t="shared" si="12"/>
        <v>4.8906275946593622E-2</v>
      </c>
      <c r="V50">
        <v>-1.4000000000000199</v>
      </c>
      <c r="W50">
        <f t="shared" si="9"/>
        <v>-0.40435999999999905</v>
      </c>
    </row>
    <row r="51" spans="1:23" x14ac:dyDescent="0.3">
      <c r="A51">
        <v>2.4182465999999998</v>
      </c>
      <c r="B51">
        <v>0.62443000000000004</v>
      </c>
      <c r="C51">
        <f t="shared" si="1"/>
        <v>1.510025724438</v>
      </c>
      <c r="D51">
        <v>1.9E-2</v>
      </c>
      <c r="E51">
        <v>9.9000000000000008E-3</v>
      </c>
      <c r="F51">
        <f t="shared" si="2"/>
        <v>483.64931999999999</v>
      </c>
      <c r="G51">
        <f t="shared" si="3"/>
        <v>-0.62443000000000004</v>
      </c>
      <c r="H51">
        <f t="shared" si="4"/>
        <v>-302.00514488760001</v>
      </c>
      <c r="I51">
        <v>1</v>
      </c>
      <c r="J51">
        <f t="shared" si="5"/>
        <v>-0.72639518032996486</v>
      </c>
      <c r="K51">
        <f t="shared" si="6"/>
        <v>-0.55548057297601194</v>
      </c>
      <c r="L51">
        <v>1</v>
      </c>
      <c r="M51">
        <f t="shared" si="7"/>
        <v>0.43642358941629367</v>
      </c>
      <c r="N51">
        <f t="shared" si="13"/>
        <v>4.5946685399999992E-2</v>
      </c>
      <c r="O51">
        <f t="shared" si="11"/>
        <v>2.3940641339999999E-2</v>
      </c>
      <c r="P51">
        <f t="shared" si="12"/>
        <v>4.9169656819718285E-2</v>
      </c>
      <c r="V51">
        <v>-1.30000000000002</v>
      </c>
      <c r="W51">
        <f t="shared" si="9"/>
        <v>-0.40911999999999904</v>
      </c>
    </row>
    <row r="52" spans="1:23" x14ac:dyDescent="0.3">
      <c r="A52">
        <v>2.4678349499999999</v>
      </c>
      <c r="B52">
        <v>0.62139</v>
      </c>
      <c r="C52">
        <f t="shared" si="1"/>
        <v>1.5334879595805</v>
      </c>
      <c r="D52">
        <v>1.9E-2</v>
      </c>
      <c r="E52">
        <v>9.9000000000000008E-3</v>
      </c>
      <c r="F52">
        <f t="shared" si="2"/>
        <v>493.56698999999998</v>
      </c>
      <c r="G52">
        <f t="shared" si="3"/>
        <v>-0.62139</v>
      </c>
      <c r="H52">
        <f t="shared" si="4"/>
        <v>-306.69759191610001</v>
      </c>
      <c r="I52">
        <v>1</v>
      </c>
      <c r="J52">
        <f t="shared" si="5"/>
        <v>-0.70609668464022524</v>
      </c>
      <c r="K52">
        <f t="shared" si="6"/>
        <v>-0.55852057297601199</v>
      </c>
      <c r="L52">
        <v>1</v>
      </c>
      <c r="M52">
        <f t="shared" si="7"/>
        <v>0.43738979781112525</v>
      </c>
      <c r="N52">
        <f t="shared" si="13"/>
        <v>4.688886405E-2</v>
      </c>
      <c r="O52">
        <f t="shared" si="11"/>
        <v>2.4431566005000002E-2</v>
      </c>
      <c r="P52">
        <f t="shared" si="12"/>
        <v>4.9810345109886731E-2</v>
      </c>
      <c r="V52">
        <v>-1.2000000000000199</v>
      </c>
      <c r="W52">
        <f t="shared" si="9"/>
        <v>-0.41387999999999903</v>
      </c>
    </row>
    <row r="53" spans="1:23" x14ac:dyDescent="0.3">
      <c r="A53">
        <v>2.5179238000000002</v>
      </c>
      <c r="B53">
        <v>0.61882999999999999</v>
      </c>
      <c r="C53">
        <f t="shared" si="1"/>
        <v>1.558166785154</v>
      </c>
      <c r="D53">
        <v>1.9E-2</v>
      </c>
      <c r="E53">
        <v>9.9000000000000008E-3</v>
      </c>
      <c r="F53">
        <f t="shared" si="2"/>
        <v>503.58476000000002</v>
      </c>
      <c r="G53">
        <f t="shared" si="3"/>
        <v>-0.61882999999999999</v>
      </c>
      <c r="H53">
        <f t="shared" si="4"/>
        <v>-311.63335703079997</v>
      </c>
      <c r="I53">
        <v>1</v>
      </c>
      <c r="J53">
        <f t="shared" si="5"/>
        <v>-0.68600323938263996</v>
      </c>
      <c r="K53">
        <f t="shared" si="6"/>
        <v>-0.56108057297601199</v>
      </c>
      <c r="L53">
        <v>1</v>
      </c>
      <c r="M53" s="5">
        <f t="shared" si="7"/>
        <v>0.43834624580538628</v>
      </c>
      <c r="N53">
        <f t="shared" si="13"/>
        <v>4.7840552200000004E-2</v>
      </c>
      <c r="O53">
        <f t="shared" si="11"/>
        <v>2.4927445620000002E-2</v>
      </c>
      <c r="P53">
        <f t="shared" si="12"/>
        <v>4.9966329350625713E-2</v>
      </c>
      <c r="R53">
        <f>N2-M53</f>
        <v>0.7415643271706257</v>
      </c>
      <c r="V53">
        <v>-1.1000000000000201</v>
      </c>
      <c r="W53">
        <f t="shared" si="9"/>
        <v>-0.41863999999999901</v>
      </c>
    </row>
    <row r="54" spans="1:23" x14ac:dyDescent="0.3">
      <c r="A54">
        <v>2.5680128500000001</v>
      </c>
      <c r="B54">
        <v>0.61573</v>
      </c>
      <c r="C54">
        <f t="shared" si="1"/>
        <v>1.5812025521305</v>
      </c>
      <c r="D54">
        <v>1.9E-2</v>
      </c>
      <c r="E54">
        <v>9.9000000000000008E-3</v>
      </c>
      <c r="F54">
        <f t="shared" si="2"/>
        <v>513.60257000000001</v>
      </c>
      <c r="G54">
        <f t="shared" si="3"/>
        <v>-0.61573</v>
      </c>
      <c r="H54">
        <f t="shared" si="4"/>
        <v>-316.2405104261</v>
      </c>
      <c r="I54">
        <v>1</v>
      </c>
      <c r="J54">
        <f t="shared" si="5"/>
        <v>-0.66630552272482413</v>
      </c>
      <c r="K54">
        <f t="shared" si="6"/>
        <v>-0.56418057297601198</v>
      </c>
      <c r="L54">
        <v>1</v>
      </c>
      <c r="M54">
        <f t="shared" si="7"/>
        <v>0.43928385711829832</v>
      </c>
      <c r="N54">
        <f t="shared" si="13"/>
        <v>4.8792244150000004E-2</v>
      </c>
      <c r="O54">
        <f t="shared" si="11"/>
        <v>2.5423327215000003E-2</v>
      </c>
      <c r="P54">
        <f t="shared" si="12"/>
        <v>5.0681144492713673E-2</v>
      </c>
      <c r="V54">
        <v>-1.00000000000002</v>
      </c>
      <c r="W54">
        <f t="shared" si="9"/>
        <v>-0.423399999999999</v>
      </c>
    </row>
    <row r="55" spans="1:23" x14ac:dyDescent="0.3">
      <c r="A55">
        <v>2.6226102999999998</v>
      </c>
      <c r="B55">
        <v>0.61294000000000004</v>
      </c>
      <c r="C55">
        <f t="shared" si="1"/>
        <v>1.607502757282</v>
      </c>
      <c r="D55">
        <v>1.9E-2</v>
      </c>
      <c r="E55">
        <v>9.9000000000000008E-3</v>
      </c>
      <c r="F55">
        <f t="shared" si="2"/>
        <v>524.52206000000001</v>
      </c>
      <c r="G55">
        <f t="shared" si="3"/>
        <v>-0.61294000000000004</v>
      </c>
      <c r="H55">
        <f t="shared" si="4"/>
        <v>-321.50055145639999</v>
      </c>
      <c r="I55">
        <v>1</v>
      </c>
      <c r="J55">
        <f t="shared" si="5"/>
        <v>-0.64526779292633596</v>
      </c>
      <c r="K55">
        <f t="shared" si="6"/>
        <v>-0.56697057297601194</v>
      </c>
      <c r="L55">
        <v>1</v>
      </c>
      <c r="M55">
        <f t="shared" si="7"/>
        <v>0.4402852530567064</v>
      </c>
      <c r="N55">
        <f t="shared" si="13"/>
        <v>4.9829595699999993E-2</v>
      </c>
      <c r="O55">
        <f t="shared" si="11"/>
        <v>2.5963841970000002E-2</v>
      </c>
      <c r="P55">
        <f t="shared" si="12"/>
        <v>5.0891882249305548E-2</v>
      </c>
      <c r="V55">
        <v>-0.90000000000002001</v>
      </c>
      <c r="W55">
        <f t="shared" si="9"/>
        <v>-0.42815999999999904</v>
      </c>
    </row>
    <row r="56" spans="1:23" x14ac:dyDescent="0.3">
      <c r="A56">
        <v>2.6721986500000003</v>
      </c>
      <c r="B56">
        <v>0.61019999999999996</v>
      </c>
      <c r="C56">
        <f t="shared" si="1"/>
        <v>1.63057561623</v>
      </c>
      <c r="D56">
        <v>1.9E-2</v>
      </c>
      <c r="E56">
        <v>9.9000000000000008E-3</v>
      </c>
      <c r="F56">
        <f t="shared" si="2"/>
        <v>534.43973000000005</v>
      </c>
      <c r="G56">
        <f t="shared" si="3"/>
        <v>-0.61019999999999996</v>
      </c>
      <c r="H56">
        <f t="shared" si="4"/>
        <v>-326.115123246</v>
      </c>
      <c r="I56">
        <v>1</v>
      </c>
      <c r="J56">
        <f t="shared" si="5"/>
        <v>-0.62653631446327784</v>
      </c>
      <c r="K56">
        <f t="shared" si="6"/>
        <v>-0.56971057297601202</v>
      </c>
      <c r="L56">
        <v>1</v>
      </c>
      <c r="M56">
        <f t="shared" si="7"/>
        <v>0.44117687143154793</v>
      </c>
      <c r="N56">
        <f t="shared" si="13"/>
        <v>5.0771774350000007E-2</v>
      </c>
      <c r="O56">
        <f t="shared" si="11"/>
        <v>2.6454766635000005E-2</v>
      </c>
      <c r="P56">
        <f t="shared" si="12"/>
        <v>5.1307160559464077E-2</v>
      </c>
      <c r="V56">
        <v>-0.80000000000002003</v>
      </c>
      <c r="W56">
        <f t="shared" si="9"/>
        <v>-0.43291999999999903</v>
      </c>
    </row>
    <row r="57" spans="1:23" x14ac:dyDescent="0.3">
      <c r="A57">
        <v>2.7222879</v>
      </c>
      <c r="B57">
        <v>0.60702</v>
      </c>
      <c r="C57">
        <f t="shared" si="1"/>
        <v>1.652483201058</v>
      </c>
      <c r="D57">
        <v>1.9E-2</v>
      </c>
      <c r="E57">
        <v>9.9000000000000008E-3</v>
      </c>
      <c r="F57">
        <f t="shared" si="2"/>
        <v>544.45758000000001</v>
      </c>
      <c r="G57">
        <f t="shared" si="3"/>
        <v>-0.60702</v>
      </c>
      <c r="H57">
        <f t="shared" si="4"/>
        <v>-330.49664021159998</v>
      </c>
      <c r="I57">
        <v>1</v>
      </c>
      <c r="J57">
        <f t="shared" si="5"/>
        <v>-0.60796524598006629</v>
      </c>
      <c r="K57">
        <f t="shared" si="6"/>
        <v>-0.57289057297601198</v>
      </c>
      <c r="L57">
        <v>1</v>
      </c>
      <c r="M57">
        <f t="shared" si="7"/>
        <v>0.44206085429134884</v>
      </c>
      <c r="N57">
        <f t="shared" si="13"/>
        <v>5.1723470099999995E-2</v>
      </c>
      <c r="O57">
        <f t="shared" si="11"/>
        <v>2.6950650210000003E-2</v>
      </c>
      <c r="P57">
        <f t="shared" si="12"/>
        <v>5.2155598374663138E-2</v>
      </c>
      <c r="V57">
        <v>-0.70000000000002005</v>
      </c>
      <c r="W57">
        <f t="shared" si="9"/>
        <v>-0.43767999999999901</v>
      </c>
    </row>
    <row r="58" spans="1:23" x14ac:dyDescent="0.3">
      <c r="A58">
        <v>2.7743804999999999</v>
      </c>
      <c r="B58">
        <v>0.60426999999999997</v>
      </c>
      <c r="C58">
        <f t="shared" si="1"/>
        <v>1.6764749047349998</v>
      </c>
      <c r="D58">
        <v>1.9E-2</v>
      </c>
      <c r="E58">
        <v>9.9000000000000008E-3</v>
      </c>
      <c r="F58">
        <f t="shared" si="2"/>
        <v>554.87609999999995</v>
      </c>
      <c r="G58">
        <f t="shared" si="3"/>
        <v>-0.60426999999999997</v>
      </c>
      <c r="H58">
        <f t="shared" si="4"/>
        <v>-335.29498094699994</v>
      </c>
      <c r="I58">
        <v>1</v>
      </c>
      <c r="J58">
        <f t="shared" si="5"/>
        <v>-0.58901043340142789</v>
      </c>
      <c r="K58">
        <f t="shared" si="6"/>
        <v>-0.57564057297601201</v>
      </c>
      <c r="L58">
        <v>1</v>
      </c>
      <c r="M58">
        <f t="shared" si="7"/>
        <v>0.44296310337009198</v>
      </c>
      <c r="N58">
        <f t="shared" si="13"/>
        <v>5.27132295E-2</v>
      </c>
      <c r="O58">
        <f t="shared" si="11"/>
        <v>2.7466366950000001E-2</v>
      </c>
      <c r="P58">
        <f t="shared" si="12"/>
        <v>5.2497873155920027E-2</v>
      </c>
      <c r="V58">
        <v>-0.60000000000001996</v>
      </c>
      <c r="W58">
        <f t="shared" si="9"/>
        <v>-0.442439999999999</v>
      </c>
    </row>
    <row r="59" spans="1:23" x14ac:dyDescent="0.3">
      <c r="A59">
        <v>2.8279757499999998</v>
      </c>
      <c r="B59">
        <v>0.60138000000000003</v>
      </c>
      <c r="C59">
        <f t="shared" si="1"/>
        <v>1.700688056535</v>
      </c>
      <c r="D59">
        <v>1.9E-2</v>
      </c>
      <c r="E59">
        <v>9.9000000000000008E-3</v>
      </c>
      <c r="F59">
        <f t="shared" si="2"/>
        <v>565.59514999999999</v>
      </c>
      <c r="G59">
        <f t="shared" si="3"/>
        <v>-0.60138000000000003</v>
      </c>
      <c r="H59">
        <f t="shared" si="4"/>
        <v>-340.13761130699999</v>
      </c>
      <c r="I59">
        <v>1</v>
      </c>
      <c r="J59">
        <f t="shared" si="5"/>
        <v>-0.56987673940117867</v>
      </c>
      <c r="K59">
        <f t="shared" si="6"/>
        <v>-0.57853057297601196</v>
      </c>
      <c r="L59">
        <v>1</v>
      </c>
      <c r="M59">
        <f t="shared" si="7"/>
        <v>0.44387386720450389</v>
      </c>
      <c r="N59">
        <f t="shared" si="13"/>
        <v>5.3731539249999995E-2</v>
      </c>
      <c r="O59">
        <f t="shared" si="11"/>
        <v>2.7996959924999999E-2</v>
      </c>
      <c r="P59">
        <f t="shared" si="12"/>
        <v>5.2928206596508084E-2</v>
      </c>
      <c r="V59">
        <v>-0.50000000000001998</v>
      </c>
      <c r="W59">
        <f t="shared" si="9"/>
        <v>-0.44719999999999904</v>
      </c>
    </row>
    <row r="60" spans="1:23" x14ac:dyDescent="0.3">
      <c r="A60">
        <v>2.8780650000000003</v>
      </c>
      <c r="B60">
        <v>0.59850999999999999</v>
      </c>
      <c r="C60">
        <f t="shared" si="1"/>
        <v>1.7225506831500002</v>
      </c>
      <c r="D60">
        <v>1.9E-2</v>
      </c>
      <c r="E60">
        <v>9.9000000000000008E-3</v>
      </c>
      <c r="F60">
        <f t="shared" si="2"/>
        <v>575.61300000000006</v>
      </c>
      <c r="G60">
        <f t="shared" si="3"/>
        <v>-0.59850999999999999</v>
      </c>
      <c r="H60">
        <f t="shared" si="4"/>
        <v>-344.51013663000003</v>
      </c>
      <c r="I60">
        <v>1</v>
      </c>
      <c r="J60">
        <f t="shared" si="5"/>
        <v>-0.55231971909540289</v>
      </c>
      <c r="K60">
        <f t="shared" si="6"/>
        <v>-0.581400572976012</v>
      </c>
      <c r="L60">
        <v>1</v>
      </c>
      <c r="M60">
        <f t="shared" si="7"/>
        <v>0.44470958137105882</v>
      </c>
      <c r="N60">
        <f t="shared" si="13"/>
        <v>5.4683235000000004E-2</v>
      </c>
      <c r="O60">
        <f t="shared" si="11"/>
        <v>2.8492843500000007E-2</v>
      </c>
      <c r="P60">
        <f t="shared" si="12"/>
        <v>5.3514913104953182E-2</v>
      </c>
      <c r="V60">
        <v>-0.40000000000002001</v>
      </c>
      <c r="W60">
        <f t="shared" si="9"/>
        <v>-0.45195999999999903</v>
      </c>
    </row>
    <row r="61" spans="1:23" x14ac:dyDescent="0.3">
      <c r="A61">
        <v>2.9276533499999999</v>
      </c>
      <c r="B61">
        <v>0.59582999999999997</v>
      </c>
      <c r="C61">
        <f t="shared" si="1"/>
        <v>1.7443836955304999</v>
      </c>
      <c r="D61">
        <v>1.9E-2</v>
      </c>
      <c r="E61">
        <v>9.9000000000000008E-3</v>
      </c>
      <c r="F61">
        <f t="shared" si="2"/>
        <v>585.53066999999999</v>
      </c>
      <c r="G61">
        <f t="shared" si="3"/>
        <v>-0.59582999999999997</v>
      </c>
      <c r="H61">
        <f t="shared" si="4"/>
        <v>-348.87673910609999</v>
      </c>
      <c r="I61">
        <v>1</v>
      </c>
      <c r="J61">
        <f t="shared" si="5"/>
        <v>-0.53523671473729206</v>
      </c>
      <c r="K61">
        <f t="shared" si="6"/>
        <v>-0.58408057297601201</v>
      </c>
      <c r="L61">
        <v>1</v>
      </c>
      <c r="M61">
        <f t="shared" si="7"/>
        <v>0.44552273237850487</v>
      </c>
      <c r="N61">
        <f t="shared" si="13"/>
        <v>5.5625413649999997E-2</v>
      </c>
      <c r="O61">
        <f t="shared" si="11"/>
        <v>2.8983768165000003E-2</v>
      </c>
      <c r="P61">
        <f t="shared" si="12"/>
        <v>5.3948658782507139E-2</v>
      </c>
      <c r="V61">
        <v>-0.30000000000001997</v>
      </c>
      <c r="W61">
        <f t="shared" si="9"/>
        <v>-0.45671999999999902</v>
      </c>
    </row>
    <row r="62" spans="1:23" x14ac:dyDescent="0.3">
      <c r="A62">
        <v>2.9787444000000001</v>
      </c>
      <c r="B62">
        <v>0.59314</v>
      </c>
      <c r="C62">
        <f t="shared" si="1"/>
        <v>1.7668124534160001</v>
      </c>
      <c r="D62">
        <v>1.9E-2</v>
      </c>
      <c r="E62">
        <v>9.9000000000000008E-3</v>
      </c>
      <c r="F62">
        <f t="shared" si="2"/>
        <v>595.74887999999999</v>
      </c>
      <c r="G62">
        <f t="shared" si="3"/>
        <v>-0.59314</v>
      </c>
      <c r="H62">
        <f t="shared" si="4"/>
        <v>-353.36249068320001</v>
      </c>
      <c r="I62">
        <v>1</v>
      </c>
      <c r="J62">
        <f t="shared" si="5"/>
        <v>-0.51793604298826712</v>
      </c>
      <c r="K62">
        <f t="shared" si="6"/>
        <v>-0.58677057297601198</v>
      </c>
      <c r="L62">
        <v>1</v>
      </c>
      <c r="M62">
        <f t="shared" si="7"/>
        <v>0.44634624435375847</v>
      </c>
      <c r="N62">
        <f t="shared" si="13"/>
        <v>5.6596143600000003E-2</v>
      </c>
      <c r="O62">
        <f t="shared" si="11"/>
        <v>2.9489569560000001E-2</v>
      </c>
      <c r="P62">
        <f t="shared" si="12"/>
        <v>5.4338615462253506E-2</v>
      </c>
      <c r="V62">
        <v>-0.20000000000002</v>
      </c>
      <c r="W62">
        <f t="shared" si="9"/>
        <v>-0.461479999999999</v>
      </c>
    </row>
    <row r="63" spans="1:23" x14ac:dyDescent="0.3">
      <c r="A63">
        <v>3.0283327500000001</v>
      </c>
      <c r="B63">
        <v>0.59050000000000002</v>
      </c>
      <c r="C63">
        <f t="shared" si="1"/>
        <v>1.7882304888750002</v>
      </c>
      <c r="D63">
        <v>1.9E-2</v>
      </c>
      <c r="E63">
        <v>9.9000000000000008E-3</v>
      </c>
      <c r="F63">
        <f t="shared" si="2"/>
        <v>605.66655000000003</v>
      </c>
      <c r="G63">
        <f t="shared" si="3"/>
        <v>-0.59050000000000002</v>
      </c>
      <c r="H63">
        <f t="shared" si="4"/>
        <v>-357.64609777500004</v>
      </c>
      <c r="I63">
        <v>1</v>
      </c>
      <c r="J63">
        <f t="shared" si="5"/>
        <v>-0.50142569187930042</v>
      </c>
      <c r="K63">
        <f t="shared" si="6"/>
        <v>-0.58941057297601196</v>
      </c>
      <c r="L63">
        <v>1</v>
      </c>
      <c r="M63">
        <f t="shared" si="7"/>
        <v>0.44713213706654525</v>
      </c>
      <c r="N63">
        <f t="shared" si="13"/>
        <v>5.7538322250000003E-2</v>
      </c>
      <c r="O63">
        <f t="shared" si="11"/>
        <v>2.9980494225000005E-2</v>
      </c>
      <c r="P63">
        <f t="shared" si="12"/>
        <v>5.4759619434466708E-2</v>
      </c>
      <c r="V63">
        <v>-0.10000000000002</v>
      </c>
      <c r="W63">
        <f t="shared" si="9"/>
        <v>-0.46623999999999904</v>
      </c>
    </row>
    <row r="64" spans="1:23" x14ac:dyDescent="0.3">
      <c r="A64">
        <v>3.0789225499999997</v>
      </c>
      <c r="B64">
        <v>0.58789000000000002</v>
      </c>
      <c r="C64">
        <f t="shared" si="1"/>
        <v>1.8100677779194998</v>
      </c>
      <c r="D64">
        <v>1.9E-2</v>
      </c>
      <c r="E64">
        <v>9.9000000000000008E-3</v>
      </c>
      <c r="F64">
        <f t="shared" si="2"/>
        <v>615.78450999999995</v>
      </c>
      <c r="G64">
        <f t="shared" si="3"/>
        <v>-0.58789000000000002</v>
      </c>
      <c r="H64">
        <f t="shared" si="4"/>
        <v>-362.01355558389997</v>
      </c>
      <c r="I64">
        <v>1</v>
      </c>
      <c r="J64">
        <f t="shared" si="5"/>
        <v>-0.48485819807897818</v>
      </c>
      <c r="K64">
        <f t="shared" si="6"/>
        <v>-0.59202057297601196</v>
      </c>
      <c r="L64">
        <v>1</v>
      </c>
      <c r="M64">
        <f t="shared" si="7"/>
        <v>0.44792074977144059</v>
      </c>
      <c r="N64">
        <f t="shared" si="13"/>
        <v>5.8499528449999991E-2</v>
      </c>
      <c r="O64">
        <f t="shared" si="11"/>
        <v>3.0481333244999999E-2</v>
      </c>
      <c r="P64">
        <f t="shared" si="12"/>
        <v>5.5118961509571386E-2</v>
      </c>
      <c r="V64">
        <v>-2.0428103653102899E-14</v>
      </c>
      <c r="W64">
        <f t="shared" si="9"/>
        <v>-0.47099999999999898</v>
      </c>
    </row>
    <row r="65" spans="1:23" x14ac:dyDescent="0.3">
      <c r="A65">
        <v>3.1310153000000001</v>
      </c>
      <c r="B65">
        <v>0.58484000000000003</v>
      </c>
      <c r="C65">
        <f t="shared" si="1"/>
        <v>1.831142988052</v>
      </c>
      <c r="D65">
        <v>1.9E-2</v>
      </c>
      <c r="E65">
        <v>9.9000000000000008E-3</v>
      </c>
      <c r="F65">
        <f t="shared" si="2"/>
        <v>626.20306000000005</v>
      </c>
      <c r="G65">
        <f t="shared" si="3"/>
        <v>-0.58484000000000003</v>
      </c>
      <c r="H65">
        <f t="shared" si="4"/>
        <v>-366.22859761040002</v>
      </c>
      <c r="I65">
        <v>1</v>
      </c>
      <c r="J65">
        <f t="shared" si="5"/>
        <v>-0.46808058348407711</v>
      </c>
      <c r="K65">
        <f t="shared" si="6"/>
        <v>-0.59507057297601196</v>
      </c>
      <c r="L65">
        <v>1</v>
      </c>
      <c r="M65">
        <f t="shared" si="7"/>
        <v>0.44871936422615788</v>
      </c>
      <c r="N65">
        <f t="shared" si="13"/>
        <v>5.9489290700000003E-2</v>
      </c>
      <c r="O65">
        <f t="shared" si="11"/>
        <v>3.0997051470000002E-2</v>
      </c>
      <c r="P65">
        <f t="shared" si="12"/>
        <v>5.5864866579854074E-2</v>
      </c>
      <c r="V65">
        <v>9.9999999999980105E-2</v>
      </c>
      <c r="W65">
        <f t="shared" si="9"/>
        <v>-0.47575999999999902</v>
      </c>
    </row>
    <row r="66" spans="1:23" x14ac:dyDescent="0.3">
      <c r="A66">
        <v>3.1806036500000001</v>
      </c>
      <c r="B66">
        <v>0.58209</v>
      </c>
      <c r="C66">
        <f t="shared" si="1"/>
        <v>1.8513975786285</v>
      </c>
      <c r="D66">
        <v>1.9E-2</v>
      </c>
      <c r="E66">
        <v>9.9000000000000008E-3</v>
      </c>
      <c r="F66">
        <f t="shared" si="2"/>
        <v>636.12072999999998</v>
      </c>
      <c r="G66">
        <f t="shared" si="3"/>
        <v>-0.58209</v>
      </c>
      <c r="H66">
        <f t="shared" si="4"/>
        <v>-370.27951572569998</v>
      </c>
      <c r="I66">
        <v>1</v>
      </c>
      <c r="J66">
        <f t="shared" si="5"/>
        <v>-0.45236690661286327</v>
      </c>
      <c r="K66">
        <f t="shared" si="6"/>
        <v>-0.59782057297601199</v>
      </c>
      <c r="L66">
        <v>1</v>
      </c>
      <c r="M66">
        <f t="shared" si="7"/>
        <v>0.44946733524522769</v>
      </c>
      <c r="N66">
        <f t="shared" si="13"/>
        <v>6.0431469350000003E-2</v>
      </c>
      <c r="O66">
        <f t="shared" si="11"/>
        <v>3.1487976135000005E-2</v>
      </c>
      <c r="P66">
        <f t="shared" si="12"/>
        <v>5.6433792245784285E-2</v>
      </c>
      <c r="V66">
        <v>0.19999999999998</v>
      </c>
      <c r="W66">
        <f t="shared" si="9"/>
        <v>-0.480519999999999</v>
      </c>
    </row>
    <row r="67" spans="1:23" x14ac:dyDescent="0.3">
      <c r="A67">
        <v>3.2301920000000002</v>
      </c>
      <c r="B67">
        <v>0.57926999999999995</v>
      </c>
      <c r="C67">
        <f t="shared" si="1"/>
        <v>1.8711533198399999</v>
      </c>
      <c r="D67">
        <v>1.9E-2</v>
      </c>
      <c r="E67">
        <v>9.9000000000000008E-3</v>
      </c>
      <c r="F67">
        <f t="shared" si="2"/>
        <v>646.03840000000002</v>
      </c>
      <c r="G67">
        <f t="shared" si="3"/>
        <v>-0.57926999999999995</v>
      </c>
      <c r="H67">
        <f t="shared" si="4"/>
        <v>-374.23066396799999</v>
      </c>
      <c r="I67">
        <v>1</v>
      </c>
      <c r="J67">
        <f t="shared" si="5"/>
        <v>-0.43689633424172569</v>
      </c>
      <c r="K67">
        <f t="shared" si="6"/>
        <v>-0.60064057297601203</v>
      </c>
      <c r="L67">
        <v>1</v>
      </c>
      <c r="M67">
        <f t="shared" si="7"/>
        <v>0.45020373449009382</v>
      </c>
      <c r="N67">
        <f t="shared" si="13"/>
        <v>6.1373648000000003E-2</v>
      </c>
      <c r="O67">
        <f t="shared" si="11"/>
        <v>3.1978900800000001E-2</v>
      </c>
      <c r="P67">
        <f t="shared" si="12"/>
        <v>5.7084289685918208E-2</v>
      </c>
      <c r="V67">
        <v>0.29999999999998</v>
      </c>
      <c r="W67">
        <f t="shared" si="9"/>
        <v>-0.48527999999999905</v>
      </c>
    </row>
    <row r="68" spans="1:23" x14ac:dyDescent="0.3">
      <c r="A68">
        <v>3.27978025</v>
      </c>
      <c r="B68">
        <v>0.57674999999999998</v>
      </c>
      <c r="C68">
        <f t="shared" si="1"/>
        <v>1.8916132591874999</v>
      </c>
      <c r="D68">
        <v>1.9E-2</v>
      </c>
      <c r="E68">
        <v>9.9000000000000008E-3</v>
      </c>
      <c r="F68">
        <f t="shared" si="2"/>
        <v>655.95605</v>
      </c>
      <c r="G68">
        <f t="shared" si="3"/>
        <v>-0.57674999999999998</v>
      </c>
      <c r="H68">
        <f t="shared" si="4"/>
        <v>-378.32265183749996</v>
      </c>
      <c r="I68">
        <v>1</v>
      </c>
      <c r="J68">
        <f t="shared" si="5"/>
        <v>-0.42166148923366348</v>
      </c>
      <c r="K68">
        <f t="shared" si="6"/>
        <v>-0.603160572976012</v>
      </c>
      <c r="L68">
        <v>1</v>
      </c>
      <c r="M68">
        <f t="shared" si="7"/>
        <v>0.45092891311247757</v>
      </c>
      <c r="N68">
        <f t="shared" si="13"/>
        <v>6.2315824749999998E-2</v>
      </c>
      <c r="O68">
        <f t="shared" si="11"/>
        <v>3.2469824474999999E-2</v>
      </c>
      <c r="P68">
        <f t="shared" si="12"/>
        <v>5.7446010638534432E-2</v>
      </c>
      <c r="V68">
        <v>0.39999999999997998</v>
      </c>
      <c r="W68">
        <f t="shared" si="9"/>
        <v>-0.49003999999999903</v>
      </c>
    </row>
    <row r="69" spans="1:23" x14ac:dyDescent="0.3">
      <c r="A69">
        <v>3.3293686000000005</v>
      </c>
      <c r="B69">
        <v>0.57437000000000005</v>
      </c>
      <c r="C69">
        <f t="shared" ref="C69:C132" si="14">A69*B69</f>
        <v>1.9122894427820005</v>
      </c>
      <c r="D69">
        <v>1.9E-2</v>
      </c>
      <c r="E69">
        <v>9.9000000000000008E-3</v>
      </c>
      <c r="F69">
        <f t="shared" ref="F69:F132" si="15">A69*200</f>
        <v>665.87372000000005</v>
      </c>
      <c r="G69">
        <f t="shared" ref="G69:G132" si="16">-B69</f>
        <v>-0.57437000000000005</v>
      </c>
      <c r="H69">
        <f t="shared" ref="H69:H132" si="17">-C69*200</f>
        <v>-382.45788855640012</v>
      </c>
      <c r="I69">
        <v>1</v>
      </c>
      <c r="J69">
        <f t="shared" ref="J69:J132" si="18">LN(F69/1000)</f>
        <v>-0.40665523602953213</v>
      </c>
      <c r="K69">
        <f t="shared" ref="K69:K132" si="19">((-G69)-$N$2)</f>
        <v>-0.60554057297601194</v>
      </c>
      <c r="L69">
        <v>1</v>
      </c>
      <c r="M69">
        <f t="shared" ref="M69:M132" si="20">-1*($S$4+($S$5*J69))</f>
        <v>0.45164321076499425</v>
      </c>
      <c r="N69">
        <f t="shared" si="13"/>
        <v>6.3258003400000012E-2</v>
      </c>
      <c r="O69">
        <f t="shared" si="11"/>
        <v>3.2960749140000009E-2</v>
      </c>
      <c r="P69">
        <f t="shared" si="12"/>
        <v>5.7678609671017664E-2</v>
      </c>
      <c r="V69">
        <v>0.49999999999998002</v>
      </c>
      <c r="W69">
        <f t="shared" ref="W69:W132" si="21">V69*$S$5+$S$4</f>
        <v>-0.49479999999999902</v>
      </c>
    </row>
    <row r="70" spans="1:23" x14ac:dyDescent="0.3">
      <c r="A70">
        <v>3.3804597000000003</v>
      </c>
      <c r="B70">
        <v>0.57157999999999998</v>
      </c>
      <c r="C70">
        <f t="shared" si="14"/>
        <v>1.9322031553260002</v>
      </c>
      <c r="D70">
        <v>1.9E-2</v>
      </c>
      <c r="E70">
        <v>9.9000000000000008E-3</v>
      </c>
      <c r="F70">
        <f t="shared" si="15"/>
        <v>676.09194000000002</v>
      </c>
      <c r="G70">
        <f t="shared" si="16"/>
        <v>-0.57157999999999998</v>
      </c>
      <c r="H70">
        <f t="shared" si="17"/>
        <v>-386.44063106520002</v>
      </c>
      <c r="I70">
        <v>1</v>
      </c>
      <c r="J70">
        <f t="shared" si="18"/>
        <v>-0.39142620626997937</v>
      </c>
      <c r="K70">
        <f t="shared" si="19"/>
        <v>-0.60833057297601201</v>
      </c>
      <c r="L70">
        <v>1</v>
      </c>
      <c r="M70">
        <f t="shared" si="20"/>
        <v>0.45236811258154896</v>
      </c>
      <c r="N70">
        <f t="shared" si="13"/>
        <v>6.4228734300000007E-2</v>
      </c>
      <c r="O70">
        <f t="shared" ref="O70:O133" si="22">E70*A70</f>
        <v>3.3466551030000007E-2</v>
      </c>
      <c r="P70">
        <f t="shared" ref="P70:P133" si="23">-K70-M70-N70-O70</f>
        <v>5.826717506446303E-2</v>
      </c>
      <c r="V70">
        <v>0.59999999999997999</v>
      </c>
      <c r="W70">
        <f t="shared" si="21"/>
        <v>-0.499559999999999</v>
      </c>
    </row>
    <row r="71" spans="1:23" x14ac:dyDescent="0.3">
      <c r="A71">
        <v>3.4360588500000002</v>
      </c>
      <c r="B71">
        <v>0.56849000000000005</v>
      </c>
      <c r="C71">
        <f t="shared" si="14"/>
        <v>1.9533650956365003</v>
      </c>
      <c r="D71">
        <v>1.9E-2</v>
      </c>
      <c r="E71">
        <v>9.9000000000000008E-3</v>
      </c>
      <c r="F71">
        <f t="shared" si="15"/>
        <v>687.21177</v>
      </c>
      <c r="G71">
        <f t="shared" si="16"/>
        <v>-0.56849000000000005</v>
      </c>
      <c r="H71">
        <f t="shared" si="17"/>
        <v>-390.67301912730005</v>
      </c>
      <c r="I71">
        <v>1</v>
      </c>
      <c r="J71">
        <f t="shared" si="18"/>
        <v>-0.37511278098495821</v>
      </c>
      <c r="K71">
        <f t="shared" si="19"/>
        <v>-0.61142057297601193</v>
      </c>
      <c r="L71">
        <v>1</v>
      </c>
      <c r="M71">
        <f t="shared" si="20"/>
        <v>0.45314463162511598</v>
      </c>
      <c r="N71">
        <f t="shared" ref="N71:N134" si="24">D71*A71</f>
        <v>6.5285118150000002E-2</v>
      </c>
      <c r="O71">
        <f t="shared" si="22"/>
        <v>3.4016982615000003E-2</v>
      </c>
      <c r="P71">
        <f t="shared" si="23"/>
        <v>5.8973840585895949E-2</v>
      </c>
      <c r="V71">
        <v>0.69999999999997997</v>
      </c>
      <c r="W71">
        <f t="shared" si="21"/>
        <v>-0.50431999999999899</v>
      </c>
    </row>
    <row r="72" spans="1:23" x14ac:dyDescent="0.3">
      <c r="A72">
        <v>3.4861477000000001</v>
      </c>
      <c r="B72">
        <v>0.56605000000000005</v>
      </c>
      <c r="C72">
        <f t="shared" si="14"/>
        <v>1.9733339055850003</v>
      </c>
      <c r="D72">
        <v>1.9E-2</v>
      </c>
      <c r="E72">
        <v>9.9000000000000008E-3</v>
      </c>
      <c r="F72">
        <f t="shared" si="15"/>
        <v>697.22954000000004</v>
      </c>
      <c r="G72">
        <f t="shared" si="16"/>
        <v>-0.56605000000000005</v>
      </c>
      <c r="H72">
        <f t="shared" si="17"/>
        <v>-394.66678111700008</v>
      </c>
      <c r="I72">
        <v>1</v>
      </c>
      <c r="J72">
        <f t="shared" si="18"/>
        <v>-0.36064059675592047</v>
      </c>
      <c r="K72">
        <f t="shared" si="19"/>
        <v>-0.61386057297601193</v>
      </c>
      <c r="L72">
        <v>1</v>
      </c>
      <c r="M72">
        <f t="shared" si="20"/>
        <v>0.45383350759441815</v>
      </c>
      <c r="N72">
        <f t="shared" si="24"/>
        <v>6.6236806300000006E-2</v>
      </c>
      <c r="O72">
        <f t="shared" si="22"/>
        <v>3.4512862230000003E-2</v>
      </c>
      <c r="P72">
        <f t="shared" si="23"/>
        <v>5.9277396851593771E-2</v>
      </c>
      <c r="V72">
        <v>0.79999999999997995</v>
      </c>
      <c r="W72">
        <f t="shared" si="21"/>
        <v>-0.50907999999999898</v>
      </c>
    </row>
    <row r="73" spans="1:23" x14ac:dyDescent="0.3">
      <c r="A73">
        <v>3.5392424</v>
      </c>
      <c r="B73">
        <v>0.56310000000000004</v>
      </c>
      <c r="C73">
        <f t="shared" si="14"/>
        <v>1.9929473954400001</v>
      </c>
      <c r="D73">
        <v>1.9E-2</v>
      </c>
      <c r="E73">
        <v>9.9000000000000008E-3</v>
      </c>
      <c r="F73">
        <f t="shared" si="15"/>
        <v>707.84848</v>
      </c>
      <c r="G73">
        <f t="shared" si="16"/>
        <v>-0.56310000000000004</v>
      </c>
      <c r="H73">
        <f t="shared" si="17"/>
        <v>-398.58947908800002</v>
      </c>
      <c r="I73">
        <v>1</v>
      </c>
      <c r="J73">
        <f t="shared" si="18"/>
        <v>-0.3455252194915383</v>
      </c>
      <c r="K73">
        <f t="shared" si="19"/>
        <v>-0.61681057297601194</v>
      </c>
      <c r="L73">
        <v>1</v>
      </c>
      <c r="M73">
        <f t="shared" si="20"/>
        <v>0.45455299955220274</v>
      </c>
      <c r="N73">
        <f t="shared" si="24"/>
        <v>6.7245605599999994E-2</v>
      </c>
      <c r="O73">
        <f t="shared" si="22"/>
        <v>3.5038499760000001E-2</v>
      </c>
      <c r="P73">
        <f t="shared" si="23"/>
        <v>5.9973468063809203E-2</v>
      </c>
      <c r="V73">
        <v>0.89999999999998004</v>
      </c>
      <c r="W73">
        <f t="shared" si="21"/>
        <v>-0.51383999999999908</v>
      </c>
    </row>
    <row r="74" spans="1:23" x14ac:dyDescent="0.3">
      <c r="A74">
        <v>3.5893314500000004</v>
      </c>
      <c r="B74">
        <v>0.56018999999999997</v>
      </c>
      <c r="C74">
        <f t="shared" si="14"/>
        <v>2.0107075849755001</v>
      </c>
      <c r="D74">
        <v>1.9E-2</v>
      </c>
      <c r="E74">
        <v>9.9000000000000008E-3</v>
      </c>
      <c r="F74">
        <f t="shared" si="15"/>
        <v>717.86629000000005</v>
      </c>
      <c r="G74">
        <f t="shared" si="16"/>
        <v>-0.56018999999999997</v>
      </c>
      <c r="H74">
        <f t="shared" si="17"/>
        <v>-402.14151699510001</v>
      </c>
      <c r="I74">
        <v>1</v>
      </c>
      <c r="J74">
        <f t="shared" si="18"/>
        <v>-0.33147195290279891</v>
      </c>
      <c r="K74">
        <f t="shared" si="19"/>
        <v>-0.61972057297601202</v>
      </c>
      <c r="L74">
        <v>1</v>
      </c>
      <c r="M74">
        <f t="shared" si="20"/>
        <v>0.45522193504182673</v>
      </c>
      <c r="N74">
        <f t="shared" si="24"/>
        <v>6.8197297550000008E-2</v>
      </c>
      <c r="O74">
        <f t="shared" si="22"/>
        <v>3.5534381355000005E-2</v>
      </c>
      <c r="P74">
        <f t="shared" si="23"/>
        <v>6.0766959029185275E-2</v>
      </c>
      <c r="V74">
        <v>0.99999999999998002</v>
      </c>
      <c r="W74">
        <f t="shared" si="21"/>
        <v>-0.51859999999999906</v>
      </c>
    </row>
    <row r="75" spans="1:23" x14ac:dyDescent="0.3">
      <c r="A75">
        <v>3.6444299</v>
      </c>
      <c r="B75">
        <v>0.5575</v>
      </c>
      <c r="C75">
        <f t="shared" si="14"/>
        <v>2.03176966925</v>
      </c>
      <c r="D75">
        <v>1.9E-2</v>
      </c>
      <c r="E75">
        <v>9.9000000000000008E-3</v>
      </c>
      <c r="F75">
        <f t="shared" si="15"/>
        <v>728.88598000000002</v>
      </c>
      <c r="G75">
        <f t="shared" si="16"/>
        <v>-0.5575</v>
      </c>
      <c r="H75">
        <f t="shared" si="17"/>
        <v>-406.35393384999998</v>
      </c>
      <c r="I75">
        <v>1</v>
      </c>
      <c r="J75">
        <f t="shared" si="18"/>
        <v>-0.31623796524184367</v>
      </c>
      <c r="K75">
        <f t="shared" si="19"/>
        <v>-0.62241057297601199</v>
      </c>
      <c r="L75">
        <v>1</v>
      </c>
      <c r="M75">
        <f t="shared" si="20"/>
        <v>0.45594707285448821</v>
      </c>
      <c r="N75">
        <f t="shared" si="24"/>
        <v>6.9244168100000003E-2</v>
      </c>
      <c r="O75">
        <f t="shared" si="22"/>
        <v>3.6079856010000001E-2</v>
      </c>
      <c r="P75">
        <f t="shared" si="23"/>
        <v>6.1139476011523773E-2</v>
      </c>
      <c r="V75">
        <v>1.0999999999999699</v>
      </c>
      <c r="W75">
        <f t="shared" si="21"/>
        <v>-0.52335999999999849</v>
      </c>
    </row>
    <row r="76" spans="1:23" x14ac:dyDescent="0.3">
      <c r="A76">
        <v>3.6950195000000003</v>
      </c>
      <c r="B76">
        <v>0.55457999999999996</v>
      </c>
      <c r="C76">
        <f t="shared" si="14"/>
        <v>2.0491839143099999</v>
      </c>
      <c r="D76">
        <v>1.9E-2</v>
      </c>
      <c r="E76">
        <v>9.9000000000000008E-3</v>
      </c>
      <c r="F76">
        <f t="shared" si="15"/>
        <v>739.00390000000004</v>
      </c>
      <c r="G76">
        <f t="shared" si="16"/>
        <v>-0.55457999999999996</v>
      </c>
      <c r="H76">
        <f t="shared" si="17"/>
        <v>-409.83678286200001</v>
      </c>
      <c r="I76">
        <v>1</v>
      </c>
      <c r="J76">
        <f t="shared" si="18"/>
        <v>-0.30245208064596618</v>
      </c>
      <c r="K76">
        <f t="shared" si="19"/>
        <v>-0.62533057297601202</v>
      </c>
      <c r="L76">
        <v>1</v>
      </c>
      <c r="M76">
        <f t="shared" si="20"/>
        <v>0.45660328096125197</v>
      </c>
      <c r="N76">
        <f t="shared" si="24"/>
        <v>7.0205370500000003E-2</v>
      </c>
      <c r="O76">
        <f t="shared" si="22"/>
        <v>3.6580693050000009E-2</v>
      </c>
      <c r="P76">
        <f t="shared" si="23"/>
        <v>6.1941228464760044E-2</v>
      </c>
      <c r="V76">
        <v>1.19999999999997</v>
      </c>
      <c r="W76">
        <f t="shared" si="21"/>
        <v>-0.52811999999999859</v>
      </c>
    </row>
    <row r="77" spans="1:23" x14ac:dyDescent="0.3">
      <c r="A77">
        <v>3.7451088499999998</v>
      </c>
      <c r="B77">
        <v>0.55235999999999996</v>
      </c>
      <c r="C77">
        <f t="shared" si="14"/>
        <v>2.0686483243859999</v>
      </c>
      <c r="D77">
        <v>1.9E-2</v>
      </c>
      <c r="E77">
        <v>9.9000000000000008E-3</v>
      </c>
      <c r="F77">
        <f t="shared" si="15"/>
        <v>749.02176999999995</v>
      </c>
      <c r="G77">
        <f t="shared" si="16"/>
        <v>-0.55235999999999996</v>
      </c>
      <c r="H77">
        <f t="shared" si="17"/>
        <v>-413.72966487719998</v>
      </c>
      <c r="I77">
        <v>1</v>
      </c>
      <c r="J77">
        <f t="shared" si="18"/>
        <v>-0.28898723046674807</v>
      </c>
      <c r="K77">
        <f t="shared" si="19"/>
        <v>-0.62755057297601202</v>
      </c>
      <c r="L77">
        <v>1</v>
      </c>
      <c r="M77">
        <f t="shared" si="20"/>
        <v>0.45724420782978276</v>
      </c>
      <c r="N77">
        <f t="shared" si="24"/>
        <v>7.1157068149999989E-2</v>
      </c>
      <c r="O77">
        <f t="shared" si="22"/>
        <v>3.7076577615000002E-2</v>
      </c>
      <c r="P77">
        <f t="shared" si="23"/>
        <v>6.2072719381229276E-2</v>
      </c>
      <c r="V77">
        <v>1.2999999999999701</v>
      </c>
      <c r="W77">
        <f t="shared" si="21"/>
        <v>-0.53287999999999858</v>
      </c>
    </row>
    <row r="78" spans="1:23" x14ac:dyDescent="0.3">
      <c r="A78">
        <v>3.79920525</v>
      </c>
      <c r="B78">
        <v>0.54944999999999999</v>
      </c>
      <c r="C78">
        <f t="shared" si="14"/>
        <v>2.0874733246125001</v>
      </c>
      <c r="D78">
        <v>1.9E-2</v>
      </c>
      <c r="E78">
        <v>9.9000000000000008E-3</v>
      </c>
      <c r="F78">
        <f t="shared" si="15"/>
        <v>759.84105</v>
      </c>
      <c r="G78">
        <f t="shared" si="16"/>
        <v>-0.54944999999999999</v>
      </c>
      <c r="H78">
        <f t="shared" si="17"/>
        <v>-417.49466492250002</v>
      </c>
      <c r="I78">
        <v>1</v>
      </c>
      <c r="J78">
        <f t="shared" si="18"/>
        <v>-0.27464601231241276</v>
      </c>
      <c r="K78">
        <f t="shared" si="19"/>
        <v>-0.63046057297601199</v>
      </c>
      <c r="L78">
        <v>1</v>
      </c>
      <c r="M78">
        <f t="shared" si="20"/>
        <v>0.45792684981392912</v>
      </c>
      <c r="N78">
        <f t="shared" si="24"/>
        <v>7.2184899750000003E-2</v>
      </c>
      <c r="O78">
        <f t="shared" si="22"/>
        <v>3.7612131975000004E-2</v>
      </c>
      <c r="P78">
        <f t="shared" si="23"/>
        <v>6.2736691437082867E-2</v>
      </c>
      <c r="V78">
        <v>1.3999999999999699</v>
      </c>
      <c r="W78">
        <f t="shared" si="21"/>
        <v>-0.53763999999999856</v>
      </c>
    </row>
    <row r="79" spans="1:23" x14ac:dyDescent="0.3">
      <c r="A79">
        <v>3.8497953000000003</v>
      </c>
      <c r="B79">
        <v>0.54669000000000001</v>
      </c>
      <c r="C79">
        <f t="shared" si="14"/>
        <v>2.1046445925570003</v>
      </c>
      <c r="D79">
        <v>1.9E-2</v>
      </c>
      <c r="E79">
        <v>9.9000000000000008E-3</v>
      </c>
      <c r="F79">
        <f t="shared" si="15"/>
        <v>769.95906000000002</v>
      </c>
      <c r="G79">
        <f t="shared" si="16"/>
        <v>-0.54669000000000001</v>
      </c>
      <c r="H79">
        <f t="shared" si="17"/>
        <v>-420.92891851140007</v>
      </c>
      <c r="I79">
        <v>1</v>
      </c>
      <c r="J79">
        <f t="shared" si="18"/>
        <v>-0.26141793437908872</v>
      </c>
      <c r="K79">
        <f t="shared" si="19"/>
        <v>-0.63322057297601198</v>
      </c>
      <c r="L79">
        <v>1</v>
      </c>
      <c r="M79">
        <f t="shared" si="20"/>
        <v>0.45855650632355532</v>
      </c>
      <c r="N79">
        <f t="shared" si="24"/>
        <v>7.3146110700000003E-2</v>
      </c>
      <c r="O79">
        <f t="shared" si="22"/>
        <v>3.8112973470000006E-2</v>
      </c>
      <c r="P79">
        <f t="shared" si="23"/>
        <v>6.3404982482456643E-2</v>
      </c>
      <c r="V79">
        <v>1.49999999999997</v>
      </c>
      <c r="W79">
        <f t="shared" si="21"/>
        <v>-0.54239999999999855</v>
      </c>
    </row>
    <row r="80" spans="1:23" x14ac:dyDescent="0.3">
      <c r="A80">
        <v>3.8993836499999999</v>
      </c>
      <c r="B80">
        <v>0.54395000000000004</v>
      </c>
      <c r="C80">
        <f t="shared" si="14"/>
        <v>2.1210697364175002</v>
      </c>
      <c r="D80">
        <v>1.9E-2</v>
      </c>
      <c r="E80">
        <v>9.9000000000000008E-3</v>
      </c>
      <c r="F80">
        <f t="shared" si="15"/>
        <v>779.87672999999995</v>
      </c>
      <c r="G80">
        <f t="shared" si="16"/>
        <v>-0.54395000000000004</v>
      </c>
      <c r="H80">
        <f t="shared" si="17"/>
        <v>-424.21394728350003</v>
      </c>
      <c r="I80">
        <v>1</v>
      </c>
      <c r="J80">
        <f t="shared" si="18"/>
        <v>-0.24861941024943177</v>
      </c>
      <c r="K80">
        <f t="shared" si="19"/>
        <v>-0.63596057297601194</v>
      </c>
      <c r="L80">
        <v>1</v>
      </c>
      <c r="M80">
        <f t="shared" si="20"/>
        <v>0.45916571607212703</v>
      </c>
      <c r="N80">
        <f t="shared" si="24"/>
        <v>7.4088289349999989E-2</v>
      </c>
      <c r="O80">
        <f t="shared" si="22"/>
        <v>3.8603898135000002E-2</v>
      </c>
      <c r="P80">
        <f t="shared" si="23"/>
        <v>6.4102669418884928E-2</v>
      </c>
      <c r="V80">
        <v>1.5999999999999699</v>
      </c>
      <c r="W80">
        <f t="shared" si="21"/>
        <v>-0.54715999999999854</v>
      </c>
    </row>
    <row r="81" spans="1:23" x14ac:dyDescent="0.3">
      <c r="A81">
        <v>3.9489719999999999</v>
      </c>
      <c r="B81">
        <v>0.54139000000000004</v>
      </c>
      <c r="C81">
        <f t="shared" si="14"/>
        <v>2.13793395108</v>
      </c>
      <c r="D81">
        <v>1.9E-2</v>
      </c>
      <c r="E81">
        <v>9.9000000000000008E-3</v>
      </c>
      <c r="F81">
        <f t="shared" si="15"/>
        <v>789.7944</v>
      </c>
      <c r="G81">
        <f t="shared" si="16"/>
        <v>-0.54139000000000004</v>
      </c>
      <c r="H81">
        <f t="shared" si="17"/>
        <v>-427.586790216</v>
      </c>
      <c r="I81">
        <v>1</v>
      </c>
      <c r="J81">
        <f t="shared" si="18"/>
        <v>-0.23598262055735861</v>
      </c>
      <c r="K81">
        <f t="shared" si="19"/>
        <v>-0.63852057297601195</v>
      </c>
      <c r="L81">
        <v>1</v>
      </c>
      <c r="M81">
        <f t="shared" si="20"/>
        <v>0.45976722726146968</v>
      </c>
      <c r="N81">
        <f t="shared" si="24"/>
        <v>7.5030468000000003E-2</v>
      </c>
      <c r="O81">
        <f t="shared" si="22"/>
        <v>3.9094822800000005E-2</v>
      </c>
      <c r="P81">
        <f t="shared" si="23"/>
        <v>6.4628054914542266E-2</v>
      </c>
      <c r="V81">
        <v>1.69999999999997</v>
      </c>
      <c r="W81">
        <f t="shared" si="21"/>
        <v>-0.55191999999999852</v>
      </c>
    </row>
    <row r="82" spans="1:23" x14ac:dyDescent="0.3">
      <c r="A82">
        <v>3.99856005</v>
      </c>
      <c r="B82">
        <v>0.53883000000000003</v>
      </c>
      <c r="C82">
        <f t="shared" si="14"/>
        <v>2.1545441117415001</v>
      </c>
      <c r="D82">
        <v>1.9E-2</v>
      </c>
      <c r="E82">
        <v>9.9000000000000008E-3</v>
      </c>
      <c r="F82">
        <f t="shared" si="15"/>
        <v>799.71200999999996</v>
      </c>
      <c r="G82">
        <f t="shared" si="16"/>
        <v>-0.53883000000000003</v>
      </c>
      <c r="H82">
        <f t="shared" si="17"/>
        <v>-430.90882234830002</v>
      </c>
      <c r="I82">
        <v>1</v>
      </c>
      <c r="J82">
        <f t="shared" si="18"/>
        <v>-0.22350360362526453</v>
      </c>
      <c r="K82">
        <f t="shared" si="19"/>
        <v>-0.64108057297601195</v>
      </c>
      <c r="L82">
        <v>1</v>
      </c>
      <c r="M82">
        <f t="shared" si="20"/>
        <v>0.46036122846743738</v>
      </c>
      <c r="N82">
        <f t="shared" si="24"/>
        <v>7.5972640950000003E-2</v>
      </c>
      <c r="O82">
        <f t="shared" si="22"/>
        <v>3.9585744495000005E-2</v>
      </c>
      <c r="P82">
        <f t="shared" si="23"/>
        <v>6.5160959063574567E-2</v>
      </c>
      <c r="V82">
        <v>1.7999999999999701</v>
      </c>
      <c r="W82">
        <f t="shared" si="21"/>
        <v>-0.55667999999999851</v>
      </c>
    </row>
    <row r="83" spans="1:23" x14ac:dyDescent="0.3">
      <c r="A83">
        <v>4.0501523500000003</v>
      </c>
      <c r="B83">
        <v>0.53639000000000003</v>
      </c>
      <c r="C83">
        <f t="shared" si="14"/>
        <v>2.1724612190165002</v>
      </c>
      <c r="D83">
        <v>1.9E-2</v>
      </c>
      <c r="E83">
        <v>9.9000000000000008E-3</v>
      </c>
      <c r="F83">
        <f t="shared" si="15"/>
        <v>810.03047000000004</v>
      </c>
      <c r="G83">
        <f t="shared" si="16"/>
        <v>-0.53639000000000003</v>
      </c>
      <c r="H83">
        <f t="shared" si="17"/>
        <v>-434.49224380330003</v>
      </c>
      <c r="I83">
        <v>1</v>
      </c>
      <c r="J83">
        <f t="shared" si="18"/>
        <v>-0.2106834147392142</v>
      </c>
      <c r="K83">
        <f t="shared" si="19"/>
        <v>-0.64352057297601195</v>
      </c>
      <c r="L83">
        <v>1</v>
      </c>
      <c r="M83">
        <f t="shared" si="20"/>
        <v>0.46097146945841339</v>
      </c>
      <c r="N83">
        <f t="shared" si="24"/>
        <v>7.6952894650000006E-2</v>
      </c>
      <c r="O83">
        <f t="shared" si="22"/>
        <v>4.0096508265000004E-2</v>
      </c>
      <c r="P83">
        <f t="shared" si="23"/>
        <v>6.5499700602598548E-2</v>
      </c>
      <c r="V83">
        <v>1.8999999999999699</v>
      </c>
      <c r="W83">
        <f t="shared" si="21"/>
        <v>-0.56143999999999861</v>
      </c>
    </row>
    <row r="84" spans="1:23" x14ac:dyDescent="0.3">
      <c r="A84">
        <v>4.0997406999999999</v>
      </c>
      <c r="B84">
        <v>0.53369</v>
      </c>
      <c r="C84">
        <f t="shared" si="14"/>
        <v>2.1879906141830001</v>
      </c>
      <c r="D84">
        <v>1.9E-2</v>
      </c>
      <c r="E84">
        <v>9.9000000000000008E-3</v>
      </c>
      <c r="F84">
        <f t="shared" si="15"/>
        <v>819.94813999999997</v>
      </c>
      <c r="G84">
        <f t="shared" si="16"/>
        <v>-0.53369</v>
      </c>
      <c r="H84">
        <f t="shared" si="17"/>
        <v>-437.5981228366</v>
      </c>
      <c r="I84">
        <v>1</v>
      </c>
      <c r="J84">
        <f t="shared" si="18"/>
        <v>-0.19851418462625728</v>
      </c>
      <c r="K84">
        <f t="shared" si="19"/>
        <v>-0.64622057297601199</v>
      </c>
      <c r="L84">
        <v>1</v>
      </c>
      <c r="M84">
        <f t="shared" si="20"/>
        <v>0.4615507248117901</v>
      </c>
      <c r="N84">
        <f t="shared" si="24"/>
        <v>7.7895073299999992E-2</v>
      </c>
      <c r="O84">
        <f t="shared" si="22"/>
        <v>4.058743293E-2</v>
      </c>
      <c r="P84">
        <f t="shared" si="23"/>
        <v>6.6187341934221891E-2</v>
      </c>
      <c r="V84">
        <v>1.99999999999997</v>
      </c>
      <c r="W84">
        <f t="shared" si="21"/>
        <v>-0.56619999999999859</v>
      </c>
    </row>
    <row r="85" spans="1:23" x14ac:dyDescent="0.3">
      <c r="A85">
        <v>4.1523344</v>
      </c>
      <c r="B85">
        <v>0.53115999999999997</v>
      </c>
      <c r="C85">
        <f t="shared" si="14"/>
        <v>2.2055539399040001</v>
      </c>
      <c r="D85">
        <v>1.9E-2</v>
      </c>
      <c r="E85">
        <v>9.9000000000000008E-3</v>
      </c>
      <c r="F85">
        <f t="shared" si="15"/>
        <v>830.46687999999995</v>
      </c>
      <c r="G85">
        <f t="shared" si="16"/>
        <v>-0.53115999999999997</v>
      </c>
      <c r="H85">
        <f t="shared" si="17"/>
        <v>-441.11078798080001</v>
      </c>
      <c r="I85">
        <v>1</v>
      </c>
      <c r="J85">
        <f t="shared" si="18"/>
        <v>-0.18576723031460768</v>
      </c>
      <c r="K85">
        <f t="shared" si="19"/>
        <v>-0.64875057297601202</v>
      </c>
      <c r="L85">
        <v>1</v>
      </c>
      <c r="M85">
        <f t="shared" si="20"/>
        <v>0.46215747983702465</v>
      </c>
      <c r="N85">
        <f t="shared" si="24"/>
        <v>7.8894353599999995E-2</v>
      </c>
      <c r="O85">
        <f t="shared" si="22"/>
        <v>4.1108110560000001E-2</v>
      </c>
      <c r="P85">
        <f t="shared" si="23"/>
        <v>6.6590628978987376E-2</v>
      </c>
      <c r="V85">
        <v>2.0999999999999699</v>
      </c>
      <c r="W85">
        <f t="shared" si="21"/>
        <v>-0.57095999999999858</v>
      </c>
    </row>
    <row r="86" spans="1:23" x14ac:dyDescent="0.3">
      <c r="A86">
        <v>4.2054286999999997</v>
      </c>
      <c r="B86">
        <v>0.52822999999999998</v>
      </c>
      <c r="C86">
        <f t="shared" si="14"/>
        <v>2.2214336022009999</v>
      </c>
      <c r="D86">
        <v>1.9E-2</v>
      </c>
      <c r="E86">
        <v>9.9000000000000008E-3</v>
      </c>
      <c r="F86">
        <f t="shared" si="15"/>
        <v>841.08573999999999</v>
      </c>
      <c r="G86">
        <f t="shared" si="16"/>
        <v>-0.52822999999999998</v>
      </c>
      <c r="H86">
        <f t="shared" si="17"/>
        <v>-444.28672044019999</v>
      </c>
      <c r="I86">
        <v>1</v>
      </c>
      <c r="J86">
        <f t="shared" si="18"/>
        <v>-0.17306167414629006</v>
      </c>
      <c r="K86">
        <f t="shared" si="19"/>
        <v>-0.65168057297601201</v>
      </c>
      <c r="L86">
        <v>1</v>
      </c>
      <c r="M86">
        <f t="shared" si="20"/>
        <v>0.46276226431063655</v>
      </c>
      <c r="N86">
        <f t="shared" si="24"/>
        <v>7.9903145299999992E-2</v>
      </c>
      <c r="O86">
        <f t="shared" si="22"/>
        <v>4.1633744129999997E-2</v>
      </c>
      <c r="P86">
        <f t="shared" si="23"/>
        <v>6.7381419235375467E-2</v>
      </c>
      <c r="V86">
        <v>2.19999999999997</v>
      </c>
      <c r="W86">
        <f t="shared" si="21"/>
        <v>-0.57571999999999857</v>
      </c>
    </row>
    <row r="87" spans="1:23" x14ac:dyDescent="0.3">
      <c r="A87">
        <v>4.2580223999999998</v>
      </c>
      <c r="B87">
        <v>0.52549000000000001</v>
      </c>
      <c r="C87">
        <f t="shared" si="14"/>
        <v>2.2375481909759998</v>
      </c>
      <c r="D87">
        <v>1.9E-2</v>
      </c>
      <c r="E87">
        <v>9.9000000000000008E-3</v>
      </c>
      <c r="F87">
        <f t="shared" si="15"/>
        <v>851.60447999999997</v>
      </c>
      <c r="G87">
        <f t="shared" si="16"/>
        <v>-0.52549000000000001</v>
      </c>
      <c r="H87">
        <f t="shared" si="17"/>
        <v>-447.50963819519995</v>
      </c>
      <c r="I87">
        <v>1</v>
      </c>
      <c r="J87">
        <f t="shared" si="18"/>
        <v>-0.16063308529088205</v>
      </c>
      <c r="K87">
        <f t="shared" si="19"/>
        <v>-0.65442057297601197</v>
      </c>
      <c r="L87">
        <v>1</v>
      </c>
      <c r="M87">
        <f t="shared" si="20"/>
        <v>0.46335386514015398</v>
      </c>
      <c r="N87">
        <f t="shared" si="24"/>
        <v>8.0902425599999994E-2</v>
      </c>
      <c r="O87">
        <f t="shared" si="22"/>
        <v>4.2154421759999998E-2</v>
      </c>
      <c r="P87">
        <f t="shared" si="23"/>
        <v>6.8009860475857997E-2</v>
      </c>
      <c r="V87">
        <v>2.2999999999999701</v>
      </c>
      <c r="W87">
        <f t="shared" si="21"/>
        <v>-0.58047999999999855</v>
      </c>
    </row>
    <row r="88" spans="1:23" x14ac:dyDescent="0.3">
      <c r="A88">
        <v>4.3076107500000003</v>
      </c>
      <c r="B88">
        <v>0.52307000000000003</v>
      </c>
      <c r="C88">
        <f t="shared" si="14"/>
        <v>2.2531819550025003</v>
      </c>
      <c r="D88">
        <v>1.9E-2</v>
      </c>
      <c r="E88">
        <v>9.9000000000000008E-3</v>
      </c>
      <c r="F88">
        <f t="shared" si="15"/>
        <v>861.52215000000001</v>
      </c>
      <c r="G88">
        <f t="shared" si="16"/>
        <v>-0.52307000000000003</v>
      </c>
      <c r="H88">
        <f t="shared" si="17"/>
        <v>-450.63639100050005</v>
      </c>
      <c r="I88">
        <v>1</v>
      </c>
      <c r="J88">
        <f t="shared" si="18"/>
        <v>-0.14905451237543435</v>
      </c>
      <c r="K88">
        <f t="shared" si="19"/>
        <v>-0.65684057297601195</v>
      </c>
      <c r="L88">
        <v>1</v>
      </c>
      <c r="M88">
        <f t="shared" si="20"/>
        <v>0.46390500521092931</v>
      </c>
      <c r="N88">
        <f t="shared" si="24"/>
        <v>8.1844604250000008E-2</v>
      </c>
      <c r="O88">
        <f t="shared" si="22"/>
        <v>4.2645346425000008E-2</v>
      </c>
      <c r="P88">
        <f t="shared" si="23"/>
        <v>6.8445617090082622E-2</v>
      </c>
      <c r="V88">
        <v>2.3999999999999702</v>
      </c>
      <c r="W88">
        <f t="shared" si="21"/>
        <v>-0.58523999999999854</v>
      </c>
    </row>
    <row r="89" spans="1:23" x14ac:dyDescent="0.3">
      <c r="A89">
        <v>4.3571990999999999</v>
      </c>
      <c r="B89">
        <v>0.52022000000000002</v>
      </c>
      <c r="C89">
        <f t="shared" si="14"/>
        <v>2.266702115802</v>
      </c>
      <c r="D89">
        <v>1.9E-2</v>
      </c>
      <c r="E89">
        <v>9.9000000000000008E-3</v>
      </c>
      <c r="F89">
        <f t="shared" si="15"/>
        <v>871.43981999999994</v>
      </c>
      <c r="G89">
        <f t="shared" si="16"/>
        <v>-0.52022000000000002</v>
      </c>
      <c r="H89">
        <f t="shared" si="17"/>
        <v>-453.34042316040001</v>
      </c>
      <c r="I89">
        <v>1</v>
      </c>
      <c r="J89">
        <f t="shared" si="18"/>
        <v>-0.13760846976263652</v>
      </c>
      <c r="K89">
        <f t="shared" si="19"/>
        <v>-0.65969057297601197</v>
      </c>
      <c r="L89">
        <v>1</v>
      </c>
      <c r="M89">
        <f t="shared" si="20"/>
        <v>0.46444983683929847</v>
      </c>
      <c r="N89">
        <f t="shared" si="24"/>
        <v>8.2786782899999994E-2</v>
      </c>
      <c r="O89">
        <f t="shared" si="22"/>
        <v>4.3136271090000004E-2</v>
      </c>
      <c r="P89">
        <f t="shared" si="23"/>
        <v>6.9317682146713494E-2</v>
      </c>
      <c r="V89">
        <v>2.4999999999999698</v>
      </c>
      <c r="W89">
        <f t="shared" si="21"/>
        <v>-0.58999999999999853</v>
      </c>
    </row>
    <row r="90" spans="1:23" x14ac:dyDescent="0.3">
      <c r="A90">
        <v>4.4107943499999998</v>
      </c>
      <c r="B90">
        <v>0.51770000000000005</v>
      </c>
      <c r="C90">
        <f t="shared" si="14"/>
        <v>2.283468234995</v>
      </c>
      <c r="D90">
        <v>1.9E-2</v>
      </c>
      <c r="E90">
        <v>9.9000000000000008E-3</v>
      </c>
      <c r="F90">
        <f t="shared" si="15"/>
        <v>882.15886999999998</v>
      </c>
      <c r="G90">
        <f t="shared" si="16"/>
        <v>-0.51770000000000005</v>
      </c>
      <c r="H90">
        <f t="shared" si="17"/>
        <v>-456.69364699900001</v>
      </c>
      <c r="I90">
        <v>1</v>
      </c>
      <c r="J90">
        <f t="shared" si="18"/>
        <v>-0.12538311447930153</v>
      </c>
      <c r="K90">
        <f t="shared" si="19"/>
        <v>-0.66221057297601194</v>
      </c>
      <c r="L90">
        <v>1</v>
      </c>
      <c r="M90">
        <f t="shared" si="20"/>
        <v>0.4650317637507852</v>
      </c>
      <c r="N90">
        <f t="shared" si="24"/>
        <v>8.3805092649999996E-2</v>
      </c>
      <c r="O90">
        <f t="shared" si="22"/>
        <v>4.3666864064999998E-2</v>
      </c>
      <c r="P90">
        <f t="shared" si="23"/>
        <v>6.9706852510226736E-2</v>
      </c>
      <c r="V90">
        <v>2.5999999999999699</v>
      </c>
      <c r="W90">
        <f t="shared" si="21"/>
        <v>-0.59475999999999851</v>
      </c>
    </row>
    <row r="91" spans="1:23" x14ac:dyDescent="0.3">
      <c r="A91">
        <v>4.4618855999999996</v>
      </c>
      <c r="B91">
        <v>0.51507000000000003</v>
      </c>
      <c r="C91">
        <f t="shared" si="14"/>
        <v>2.2981834159919998</v>
      </c>
      <c r="D91">
        <v>1.9E-2</v>
      </c>
      <c r="E91">
        <v>9.9000000000000008E-3</v>
      </c>
      <c r="F91">
        <f t="shared" si="15"/>
        <v>892.37711999999988</v>
      </c>
      <c r="G91">
        <f t="shared" si="16"/>
        <v>-0.51507000000000003</v>
      </c>
      <c r="H91">
        <f t="shared" si="17"/>
        <v>-459.63668319839996</v>
      </c>
      <c r="I91">
        <v>1</v>
      </c>
      <c r="J91">
        <f t="shared" si="18"/>
        <v>-0.11386645547946572</v>
      </c>
      <c r="K91">
        <f t="shared" si="19"/>
        <v>-0.66484057297601196</v>
      </c>
      <c r="L91">
        <v>1</v>
      </c>
      <c r="M91">
        <f t="shared" si="20"/>
        <v>0.4655799567191774</v>
      </c>
      <c r="N91">
        <f t="shared" si="24"/>
        <v>8.477582639999999E-2</v>
      </c>
      <c r="O91">
        <f t="shared" si="22"/>
        <v>4.4172667440000001E-2</v>
      </c>
      <c r="P91">
        <f t="shared" si="23"/>
        <v>7.0312122416834572E-2</v>
      </c>
      <c r="V91">
        <v>2.69999999999997</v>
      </c>
      <c r="W91">
        <f t="shared" si="21"/>
        <v>-0.5995199999999985</v>
      </c>
    </row>
    <row r="92" spans="1:23" x14ac:dyDescent="0.3">
      <c r="A92">
        <v>4.5134774000000002</v>
      </c>
      <c r="B92">
        <v>0.51227</v>
      </c>
      <c r="C92">
        <f t="shared" si="14"/>
        <v>2.3121190676980001</v>
      </c>
      <c r="D92">
        <v>1.9E-2</v>
      </c>
      <c r="E92">
        <v>9.9000000000000008E-3</v>
      </c>
      <c r="F92">
        <f t="shared" si="15"/>
        <v>902.69548000000009</v>
      </c>
      <c r="G92">
        <f t="shared" si="16"/>
        <v>-0.51227</v>
      </c>
      <c r="H92">
        <f t="shared" si="17"/>
        <v>-462.42381353960002</v>
      </c>
      <c r="I92">
        <v>1</v>
      </c>
      <c r="J92">
        <f t="shared" si="18"/>
        <v>-0.10237001389118414</v>
      </c>
      <c r="K92">
        <f t="shared" si="19"/>
        <v>-0.66764057297601198</v>
      </c>
      <c r="L92">
        <v>1</v>
      </c>
      <c r="M92">
        <f t="shared" si="20"/>
        <v>0.46612718733877961</v>
      </c>
      <c r="N92">
        <f t="shared" si="24"/>
        <v>8.5756070599999998E-2</v>
      </c>
      <c r="O92">
        <f t="shared" si="22"/>
        <v>4.4683426260000006E-2</v>
      </c>
      <c r="P92">
        <f t="shared" si="23"/>
        <v>7.1073888777232364E-2</v>
      </c>
      <c r="V92">
        <v>2.7999999999999701</v>
      </c>
      <c r="W92">
        <f t="shared" si="21"/>
        <v>-0.6042799999999986</v>
      </c>
    </row>
    <row r="93" spans="1:23" x14ac:dyDescent="0.3">
      <c r="A93">
        <v>4.5645682499999998</v>
      </c>
      <c r="B93">
        <v>0.50965000000000005</v>
      </c>
      <c r="C93">
        <f t="shared" si="14"/>
        <v>2.3263322086125</v>
      </c>
      <c r="D93">
        <v>1.9E-2</v>
      </c>
      <c r="E93">
        <v>9.9000000000000008E-3</v>
      </c>
      <c r="F93">
        <f t="shared" si="15"/>
        <v>912.91364999999996</v>
      </c>
      <c r="G93">
        <f t="shared" si="16"/>
        <v>-0.50965000000000005</v>
      </c>
      <c r="H93">
        <f t="shared" si="17"/>
        <v>-465.26644172250002</v>
      </c>
      <c r="I93">
        <v>1</v>
      </c>
      <c r="J93">
        <f t="shared" si="18"/>
        <v>-9.1113981173232383E-2</v>
      </c>
      <c r="K93">
        <f t="shared" si="19"/>
        <v>-0.67026057297601194</v>
      </c>
      <c r="L93">
        <v>1</v>
      </c>
      <c r="M93">
        <f t="shared" si="20"/>
        <v>0.46666297449615413</v>
      </c>
      <c r="N93">
        <f t="shared" si="24"/>
        <v>8.6726796749999988E-2</v>
      </c>
      <c r="O93">
        <f t="shared" si="22"/>
        <v>4.5189225675E-2</v>
      </c>
      <c r="P93">
        <f t="shared" si="23"/>
        <v>7.1681576054857823E-2</v>
      </c>
      <c r="V93">
        <v>2.8999999999999702</v>
      </c>
      <c r="W93">
        <f t="shared" si="21"/>
        <v>-0.60903999999999858</v>
      </c>
    </row>
    <row r="94" spans="1:23" x14ac:dyDescent="0.3">
      <c r="A94">
        <v>4.6151585500000003</v>
      </c>
      <c r="B94">
        <v>0.50702999999999998</v>
      </c>
      <c r="C94">
        <f t="shared" si="14"/>
        <v>2.3400238396064998</v>
      </c>
      <c r="D94">
        <v>1.9E-2</v>
      </c>
      <c r="E94">
        <v>9.9000000000000008E-3</v>
      </c>
      <c r="F94">
        <f t="shared" si="15"/>
        <v>923.03171000000009</v>
      </c>
      <c r="G94">
        <f t="shared" si="16"/>
        <v>-0.50702999999999998</v>
      </c>
      <c r="H94">
        <f t="shared" si="17"/>
        <v>-468.00476792129996</v>
      </c>
      <c r="I94">
        <v>1</v>
      </c>
      <c r="J94">
        <f t="shared" si="18"/>
        <v>-8.0091689706469876E-2</v>
      </c>
      <c r="K94">
        <f t="shared" si="19"/>
        <v>-0.672880572976012</v>
      </c>
      <c r="L94">
        <v>1</v>
      </c>
      <c r="M94">
        <f t="shared" si="20"/>
        <v>0.467187635569972</v>
      </c>
      <c r="N94">
        <f t="shared" si="24"/>
        <v>8.7688012450000005E-2</v>
      </c>
      <c r="O94">
        <f t="shared" si="22"/>
        <v>4.5690069645000005E-2</v>
      </c>
      <c r="P94">
        <f t="shared" si="23"/>
        <v>7.2314855311039983E-2</v>
      </c>
      <c r="V94">
        <v>2.9999999999999698</v>
      </c>
      <c r="W94">
        <f t="shared" si="21"/>
        <v>-0.61379999999999857</v>
      </c>
    </row>
    <row r="95" spans="1:23" x14ac:dyDescent="0.3">
      <c r="A95">
        <v>4.6682527499999997</v>
      </c>
      <c r="B95">
        <v>0.50470999999999999</v>
      </c>
      <c r="C95">
        <f t="shared" si="14"/>
        <v>2.3561138454524997</v>
      </c>
      <c r="D95">
        <v>1.9E-2</v>
      </c>
      <c r="E95">
        <v>9.9000000000000008E-3</v>
      </c>
      <c r="F95">
        <f t="shared" si="15"/>
        <v>933.65054999999995</v>
      </c>
      <c r="G95">
        <f t="shared" si="16"/>
        <v>-0.50470999999999999</v>
      </c>
      <c r="H95">
        <f t="shared" si="17"/>
        <v>-471.22276909049992</v>
      </c>
      <c r="I95">
        <v>1</v>
      </c>
      <c r="J95">
        <f t="shared" si="18"/>
        <v>-6.8653054231375743E-2</v>
      </c>
      <c r="K95">
        <f t="shared" si="19"/>
        <v>-0.67520057297601199</v>
      </c>
      <c r="L95">
        <v>1</v>
      </c>
      <c r="M95">
        <f t="shared" si="20"/>
        <v>0.46773211461858649</v>
      </c>
      <c r="N95">
        <f t="shared" si="24"/>
        <v>8.8696802249999998E-2</v>
      </c>
      <c r="O95">
        <f t="shared" si="22"/>
        <v>4.6215702225000002E-2</v>
      </c>
      <c r="P95">
        <f t="shared" si="23"/>
        <v>7.25559538824255E-2</v>
      </c>
      <c r="V95">
        <v>3.0999999999999699</v>
      </c>
      <c r="W95">
        <f t="shared" si="21"/>
        <v>-0.61855999999999856</v>
      </c>
    </row>
    <row r="96" spans="1:23" x14ac:dyDescent="0.3">
      <c r="A96">
        <v>4.7188431</v>
      </c>
      <c r="B96">
        <v>0.50143000000000004</v>
      </c>
      <c r="C96">
        <f t="shared" si="14"/>
        <v>2.3661694956330002</v>
      </c>
      <c r="D96">
        <v>1.9E-2</v>
      </c>
      <c r="E96">
        <v>9.9000000000000008E-3</v>
      </c>
      <c r="F96">
        <f t="shared" si="15"/>
        <v>943.76861999999994</v>
      </c>
      <c r="G96">
        <f t="shared" si="16"/>
        <v>-0.50143000000000004</v>
      </c>
      <c r="H96">
        <f t="shared" si="17"/>
        <v>-473.23389912660002</v>
      </c>
      <c r="I96">
        <v>1</v>
      </c>
      <c r="J96">
        <f t="shared" si="18"/>
        <v>-5.7874248812208116E-2</v>
      </c>
      <c r="K96">
        <f t="shared" si="19"/>
        <v>-0.67848057297601194</v>
      </c>
      <c r="L96">
        <v>1</v>
      </c>
      <c r="M96">
        <f t="shared" si="20"/>
        <v>0.46824518575653884</v>
      </c>
      <c r="N96">
        <f t="shared" si="24"/>
        <v>8.9658018899999997E-2</v>
      </c>
      <c r="O96">
        <f t="shared" si="22"/>
        <v>4.6716546690000006E-2</v>
      </c>
      <c r="P96">
        <f t="shared" si="23"/>
        <v>7.3860821629473106E-2</v>
      </c>
      <c r="V96">
        <v>3.19999999999997</v>
      </c>
      <c r="W96">
        <f t="shared" si="21"/>
        <v>-0.62331999999999854</v>
      </c>
    </row>
    <row r="97" spans="1:23" x14ac:dyDescent="0.3">
      <c r="A97">
        <v>4.7749427500000001</v>
      </c>
      <c r="B97">
        <v>0.49903999999999998</v>
      </c>
      <c r="C97">
        <f t="shared" si="14"/>
        <v>2.3828874299599998</v>
      </c>
      <c r="D97">
        <v>1.9E-2</v>
      </c>
      <c r="E97">
        <v>9.9000000000000008E-3</v>
      </c>
      <c r="F97">
        <f t="shared" si="15"/>
        <v>954.98855000000003</v>
      </c>
      <c r="G97">
        <f t="shared" si="16"/>
        <v>-0.49903999999999998</v>
      </c>
      <c r="H97">
        <f t="shared" si="17"/>
        <v>-476.57748599199994</v>
      </c>
      <c r="I97">
        <v>1</v>
      </c>
      <c r="J97">
        <f t="shared" si="18"/>
        <v>-4.6055928102077544E-2</v>
      </c>
      <c r="K97">
        <f t="shared" si="19"/>
        <v>-0.68087057297601206</v>
      </c>
      <c r="L97">
        <v>1</v>
      </c>
      <c r="M97">
        <f t="shared" si="20"/>
        <v>0.46880773782234109</v>
      </c>
      <c r="N97">
        <f t="shared" si="24"/>
        <v>9.0723912249999997E-2</v>
      </c>
      <c r="O97">
        <f t="shared" si="22"/>
        <v>4.7271933225000007E-2</v>
      </c>
      <c r="P97">
        <f t="shared" si="23"/>
        <v>7.4066989678670966E-2</v>
      </c>
      <c r="V97">
        <v>3.2999999999999701</v>
      </c>
      <c r="W97">
        <f t="shared" si="21"/>
        <v>-0.62807999999999853</v>
      </c>
    </row>
    <row r="98" spans="1:23" x14ac:dyDescent="0.3">
      <c r="A98">
        <v>4.8245310999999997</v>
      </c>
      <c r="B98">
        <v>0.49608000000000002</v>
      </c>
      <c r="C98">
        <f t="shared" si="14"/>
        <v>2.3933533880879998</v>
      </c>
      <c r="D98">
        <v>1.9E-2</v>
      </c>
      <c r="E98">
        <v>9.9000000000000008E-3</v>
      </c>
      <c r="F98">
        <f t="shared" si="15"/>
        <v>964.90621999999996</v>
      </c>
      <c r="G98">
        <f t="shared" si="16"/>
        <v>-0.49608000000000002</v>
      </c>
      <c r="H98">
        <f t="shared" si="17"/>
        <v>-478.67067761759995</v>
      </c>
      <c r="I98">
        <v>1</v>
      </c>
      <c r="J98">
        <f t="shared" si="18"/>
        <v>-3.5724363712714535E-2</v>
      </c>
      <c r="K98">
        <f t="shared" si="19"/>
        <v>-0.68383057297601191</v>
      </c>
      <c r="L98">
        <v>1</v>
      </c>
      <c r="M98">
        <f t="shared" si="20"/>
        <v>0.46929952028727479</v>
      </c>
      <c r="N98">
        <f t="shared" si="24"/>
        <v>9.1666090899999997E-2</v>
      </c>
      <c r="O98">
        <f t="shared" si="22"/>
        <v>4.7762857890000003E-2</v>
      </c>
      <c r="P98">
        <f t="shared" si="23"/>
        <v>7.5102103898737116E-2</v>
      </c>
      <c r="V98">
        <v>3.3999999999999702</v>
      </c>
      <c r="W98">
        <f t="shared" si="21"/>
        <v>-0.63283999999999851</v>
      </c>
    </row>
    <row r="99" spans="1:23" x14ac:dyDescent="0.3">
      <c r="A99">
        <v>4.87411935</v>
      </c>
      <c r="B99">
        <v>0.49337999999999999</v>
      </c>
      <c r="C99">
        <f t="shared" si="14"/>
        <v>2.404793004903</v>
      </c>
      <c r="D99">
        <v>1.9E-2</v>
      </c>
      <c r="E99">
        <v>9.9000000000000008E-3</v>
      </c>
      <c r="F99">
        <f t="shared" si="15"/>
        <v>974.82386999999994</v>
      </c>
      <c r="G99">
        <f t="shared" si="16"/>
        <v>-0.49337999999999999</v>
      </c>
      <c r="H99">
        <f t="shared" si="17"/>
        <v>-480.95860098060001</v>
      </c>
      <c r="I99">
        <v>1</v>
      </c>
      <c r="J99">
        <f t="shared" si="18"/>
        <v>-2.5498470456617833E-2</v>
      </c>
      <c r="K99">
        <f t="shared" si="19"/>
        <v>-0.68653057297601205</v>
      </c>
      <c r="L99">
        <v>1</v>
      </c>
      <c r="M99">
        <f t="shared" si="20"/>
        <v>0.46978627280626495</v>
      </c>
      <c r="N99">
        <f t="shared" si="24"/>
        <v>9.2608267649999992E-2</v>
      </c>
      <c r="O99">
        <f t="shared" si="22"/>
        <v>4.8253781565000001E-2</v>
      </c>
      <c r="P99">
        <f t="shared" si="23"/>
        <v>7.5882250954747113E-2</v>
      </c>
      <c r="V99">
        <v>3.4999999999999698</v>
      </c>
      <c r="W99">
        <f t="shared" si="21"/>
        <v>-0.63759999999999861</v>
      </c>
    </row>
    <row r="100" spans="1:23" x14ac:dyDescent="0.3">
      <c r="A100">
        <v>4.9257111500000006</v>
      </c>
      <c r="B100">
        <v>0.49098000000000003</v>
      </c>
      <c r="C100">
        <f t="shared" si="14"/>
        <v>2.4184256604270002</v>
      </c>
      <c r="D100">
        <v>1.9E-2</v>
      </c>
      <c r="E100">
        <v>9.9000000000000008E-3</v>
      </c>
      <c r="F100">
        <f t="shared" si="15"/>
        <v>985.14223000000015</v>
      </c>
      <c r="G100">
        <f t="shared" si="16"/>
        <v>-0.49098000000000003</v>
      </c>
      <c r="H100">
        <f t="shared" si="17"/>
        <v>-483.68513208540003</v>
      </c>
      <c r="I100">
        <v>1</v>
      </c>
      <c r="J100">
        <f t="shared" si="18"/>
        <v>-1.4969252295051916E-2</v>
      </c>
      <c r="K100">
        <f t="shared" si="19"/>
        <v>-0.68893057297601201</v>
      </c>
      <c r="L100">
        <v>1</v>
      </c>
      <c r="M100">
        <f t="shared" si="20"/>
        <v>0.47028746359075552</v>
      </c>
      <c r="N100">
        <f t="shared" si="24"/>
        <v>9.3588511850000014E-2</v>
      </c>
      <c r="O100">
        <f t="shared" si="22"/>
        <v>4.8764540385000013E-2</v>
      </c>
      <c r="P100">
        <f t="shared" si="23"/>
        <v>7.6290057150256482E-2</v>
      </c>
      <c r="V100">
        <v>3.5999999999999699</v>
      </c>
      <c r="W100">
        <f t="shared" si="21"/>
        <v>-0.64235999999999849</v>
      </c>
    </row>
    <row r="101" spans="1:23" x14ac:dyDescent="0.3">
      <c r="A101">
        <v>4.9788054499999994</v>
      </c>
      <c r="B101">
        <v>0.48835000000000001</v>
      </c>
      <c r="C101">
        <f t="shared" si="14"/>
        <v>2.4313996415074999</v>
      </c>
      <c r="D101">
        <v>1.9E-2</v>
      </c>
      <c r="E101">
        <v>9.9000000000000008E-3</v>
      </c>
      <c r="F101">
        <f t="shared" si="15"/>
        <v>995.76108999999985</v>
      </c>
      <c r="G101">
        <f t="shared" si="16"/>
        <v>-0.48835000000000001</v>
      </c>
      <c r="H101">
        <f t="shared" si="17"/>
        <v>-486.27992830149998</v>
      </c>
      <c r="I101">
        <v>1</v>
      </c>
      <c r="J101">
        <f t="shared" si="18"/>
        <v>-4.2479196487350919E-3</v>
      </c>
      <c r="K101">
        <f t="shared" si="19"/>
        <v>-0.69156057297601192</v>
      </c>
      <c r="L101">
        <v>1</v>
      </c>
      <c r="M101">
        <f t="shared" si="20"/>
        <v>0.47079779902472019</v>
      </c>
      <c r="N101">
        <f t="shared" si="24"/>
        <v>9.4597303549999984E-2</v>
      </c>
      <c r="O101">
        <f t="shared" si="22"/>
        <v>4.9290173954999995E-2</v>
      </c>
      <c r="P101">
        <f t="shared" si="23"/>
        <v>7.6875296446291763E-2</v>
      </c>
      <c r="V101">
        <v>3.69999999999997</v>
      </c>
      <c r="W101">
        <f t="shared" si="21"/>
        <v>-0.64711999999999859</v>
      </c>
    </row>
    <row r="102" spans="1:23" x14ac:dyDescent="0.3">
      <c r="A102">
        <v>5.0313991499999995</v>
      </c>
      <c r="B102">
        <v>0.48554999999999998</v>
      </c>
      <c r="C102">
        <f t="shared" si="14"/>
        <v>2.4429958572824995</v>
      </c>
      <c r="D102">
        <v>1.9E-2</v>
      </c>
      <c r="E102">
        <v>9.9000000000000008E-3</v>
      </c>
      <c r="F102">
        <f t="shared" si="15"/>
        <v>1006.2798299999999</v>
      </c>
      <c r="G102">
        <f t="shared" si="16"/>
        <v>-0.48554999999999998</v>
      </c>
      <c r="H102">
        <f t="shared" si="17"/>
        <v>-488.5991714564999</v>
      </c>
      <c r="I102">
        <v>1</v>
      </c>
      <c r="J102">
        <f t="shared" si="18"/>
        <v>6.2601940317369119E-3</v>
      </c>
      <c r="K102">
        <f t="shared" si="19"/>
        <v>-0.69436057297601206</v>
      </c>
      <c r="L102">
        <v>1</v>
      </c>
      <c r="M102">
        <f t="shared" si="20"/>
        <v>0.47129798523591065</v>
      </c>
      <c r="N102">
        <f t="shared" si="24"/>
        <v>9.5596583849999986E-2</v>
      </c>
      <c r="O102">
        <f t="shared" si="22"/>
        <v>4.9810851584999996E-2</v>
      </c>
      <c r="P102">
        <f t="shared" si="23"/>
        <v>7.7655152305101435E-2</v>
      </c>
      <c r="V102">
        <v>3.7999999999999701</v>
      </c>
      <c r="W102">
        <f t="shared" si="21"/>
        <v>-0.65187999999999857</v>
      </c>
    </row>
    <row r="103" spans="1:23" x14ac:dyDescent="0.3">
      <c r="A103">
        <v>5.0814884999999999</v>
      </c>
      <c r="B103">
        <v>0.48294999999999999</v>
      </c>
      <c r="C103">
        <f t="shared" si="14"/>
        <v>2.4541048710749997</v>
      </c>
      <c r="D103">
        <v>1.9E-2</v>
      </c>
      <c r="E103">
        <v>9.9000000000000008E-3</v>
      </c>
      <c r="F103">
        <f t="shared" si="15"/>
        <v>1016.2977</v>
      </c>
      <c r="G103">
        <f t="shared" si="16"/>
        <v>-0.48294999999999999</v>
      </c>
      <c r="H103">
        <f t="shared" si="17"/>
        <v>-490.82097421499998</v>
      </c>
      <c r="I103">
        <v>1</v>
      </c>
      <c r="J103">
        <f t="shared" si="18"/>
        <v>1.61663180477368E-2</v>
      </c>
      <c r="K103">
        <f t="shared" si="19"/>
        <v>-0.69696057297601199</v>
      </c>
      <c r="L103">
        <v>1</v>
      </c>
      <c r="M103">
        <f t="shared" si="20"/>
        <v>0.47176951673907225</v>
      </c>
      <c r="N103">
        <f t="shared" si="24"/>
        <v>9.6548281499999999E-2</v>
      </c>
      <c r="O103">
        <f t="shared" si="22"/>
        <v>5.0306736150000003E-2</v>
      </c>
      <c r="P103">
        <f t="shared" si="23"/>
        <v>7.8336038586939744E-2</v>
      </c>
      <c r="V103">
        <v>3.8999999999999599</v>
      </c>
      <c r="W103">
        <f t="shared" si="21"/>
        <v>-0.65663999999999811</v>
      </c>
    </row>
    <row r="104" spans="1:23" x14ac:dyDescent="0.3">
      <c r="A104">
        <v>5.1315778500000002</v>
      </c>
      <c r="B104">
        <v>0.48054000000000002</v>
      </c>
      <c r="C104">
        <f t="shared" si="14"/>
        <v>2.4659284200390004</v>
      </c>
      <c r="D104">
        <v>1.9E-2</v>
      </c>
      <c r="E104">
        <v>9.9000000000000008E-3</v>
      </c>
      <c r="F104">
        <f t="shared" si="15"/>
        <v>1026.31557</v>
      </c>
      <c r="G104">
        <f t="shared" si="16"/>
        <v>-0.48054000000000002</v>
      </c>
      <c r="H104">
        <f t="shared" si="17"/>
        <v>-493.18568400780009</v>
      </c>
      <c r="I104">
        <v>1</v>
      </c>
      <c r="J104">
        <f t="shared" si="18"/>
        <v>2.5975272557083904E-2</v>
      </c>
      <c r="K104">
        <f t="shared" si="19"/>
        <v>-0.69937057297601202</v>
      </c>
      <c r="L104">
        <v>1</v>
      </c>
      <c r="M104">
        <f t="shared" si="20"/>
        <v>0.47223642297371715</v>
      </c>
      <c r="N104">
        <f t="shared" si="24"/>
        <v>9.7499979149999999E-2</v>
      </c>
      <c r="O104">
        <f t="shared" si="22"/>
        <v>5.0802620715000003E-2</v>
      </c>
      <c r="P104">
        <f t="shared" si="23"/>
        <v>7.883155013729487E-2</v>
      </c>
      <c r="V104">
        <v>3.99999999999996</v>
      </c>
      <c r="W104">
        <f t="shared" si="21"/>
        <v>-0.6613999999999981</v>
      </c>
    </row>
    <row r="105" spans="1:23" x14ac:dyDescent="0.3">
      <c r="A105">
        <v>5.1816671499999991</v>
      </c>
      <c r="B105">
        <v>0.47793000000000002</v>
      </c>
      <c r="C105">
        <f t="shared" si="14"/>
        <v>2.4764741809994999</v>
      </c>
      <c r="D105">
        <v>1.9E-2</v>
      </c>
      <c r="E105">
        <v>9.9000000000000008E-3</v>
      </c>
      <c r="F105">
        <f t="shared" si="15"/>
        <v>1036.3334299999999</v>
      </c>
      <c r="G105">
        <f t="shared" si="16"/>
        <v>-0.47793000000000002</v>
      </c>
      <c r="H105">
        <f t="shared" si="17"/>
        <v>-495.29483619989998</v>
      </c>
      <c r="I105">
        <v>1</v>
      </c>
      <c r="J105">
        <f t="shared" si="18"/>
        <v>3.5688935686083931E-2</v>
      </c>
      <c r="K105">
        <f t="shared" si="19"/>
        <v>-0.70198057297601202</v>
      </c>
      <c r="L105">
        <v>1</v>
      </c>
      <c r="M105">
        <f t="shared" si="20"/>
        <v>0.47269879333865755</v>
      </c>
      <c r="N105">
        <f t="shared" si="24"/>
        <v>9.8451675849999976E-2</v>
      </c>
      <c r="O105">
        <f t="shared" si="22"/>
        <v>5.1298504784999997E-2</v>
      </c>
      <c r="P105">
        <f t="shared" si="23"/>
        <v>7.9531599002354486E-2</v>
      </c>
      <c r="V105">
        <v>4.0999999999999996</v>
      </c>
      <c r="W105">
        <f t="shared" si="21"/>
        <v>-0.66615999999999997</v>
      </c>
    </row>
    <row r="106" spans="1:23" x14ac:dyDescent="0.3">
      <c r="A106">
        <v>5.2332583999999995</v>
      </c>
      <c r="B106">
        <v>0.47534999999999999</v>
      </c>
      <c r="C106">
        <f t="shared" si="14"/>
        <v>2.4876293804399996</v>
      </c>
      <c r="D106">
        <v>1.9E-2</v>
      </c>
      <c r="E106">
        <v>9.9000000000000008E-3</v>
      </c>
      <c r="F106">
        <f t="shared" si="15"/>
        <v>1046.6516799999999</v>
      </c>
      <c r="G106">
        <f t="shared" si="16"/>
        <v>-0.47534999999999999</v>
      </c>
      <c r="H106">
        <f t="shared" si="17"/>
        <v>-497.5258760879999</v>
      </c>
      <c r="I106">
        <v>1</v>
      </c>
      <c r="J106">
        <f t="shared" si="18"/>
        <v>4.5596192678204306E-2</v>
      </c>
      <c r="K106">
        <f t="shared" si="19"/>
        <v>-0.70456057297601205</v>
      </c>
      <c r="L106">
        <v>1</v>
      </c>
      <c r="M106">
        <f t="shared" si="20"/>
        <v>0.47317037877148249</v>
      </c>
      <c r="N106">
        <f t="shared" si="24"/>
        <v>9.9431909599999993E-2</v>
      </c>
      <c r="O106">
        <f t="shared" si="22"/>
        <v>5.1809258159999996E-2</v>
      </c>
      <c r="P106">
        <f t="shared" si="23"/>
        <v>8.0149026444529578E-2</v>
      </c>
      <c r="V106">
        <v>4.2</v>
      </c>
      <c r="W106">
        <f t="shared" si="21"/>
        <v>-0.67091999999999996</v>
      </c>
    </row>
    <row r="107" spans="1:23" x14ac:dyDescent="0.3">
      <c r="A107">
        <v>5.2848506999999998</v>
      </c>
      <c r="B107">
        <v>0.47278999999999999</v>
      </c>
      <c r="C107">
        <f t="shared" si="14"/>
        <v>2.4986245624529997</v>
      </c>
      <c r="D107">
        <v>1.9E-2</v>
      </c>
      <c r="E107">
        <v>9.9000000000000008E-3</v>
      </c>
      <c r="F107">
        <f t="shared" si="15"/>
        <v>1056.9701399999999</v>
      </c>
      <c r="G107">
        <f t="shared" si="16"/>
        <v>-0.47278999999999999</v>
      </c>
      <c r="H107">
        <f t="shared" si="17"/>
        <v>-499.72491249059993</v>
      </c>
      <c r="I107">
        <v>1</v>
      </c>
      <c r="J107">
        <f t="shared" si="18"/>
        <v>5.5406456725586951E-2</v>
      </c>
      <c r="K107">
        <f t="shared" si="19"/>
        <v>-0.70712057297601194</v>
      </c>
      <c r="L107">
        <v>1</v>
      </c>
      <c r="M107">
        <f t="shared" si="20"/>
        <v>0.4736373473401379</v>
      </c>
      <c r="N107">
        <f t="shared" si="24"/>
        <v>0.1004121633</v>
      </c>
      <c r="O107">
        <f t="shared" si="22"/>
        <v>5.2320021930000002E-2</v>
      </c>
      <c r="P107">
        <f t="shared" si="23"/>
        <v>8.0751040405874039E-2</v>
      </c>
      <c r="V107">
        <v>4.3</v>
      </c>
      <c r="W107">
        <f t="shared" si="21"/>
        <v>-0.67567999999999995</v>
      </c>
    </row>
    <row r="108" spans="1:23" x14ac:dyDescent="0.3">
      <c r="A108">
        <v>5.3369429999999998</v>
      </c>
      <c r="B108">
        <v>0.46994000000000002</v>
      </c>
      <c r="C108">
        <f t="shared" si="14"/>
        <v>2.5080429934200001</v>
      </c>
      <c r="D108">
        <v>1.9E-2</v>
      </c>
      <c r="E108">
        <v>9.9000000000000008E-3</v>
      </c>
      <c r="F108">
        <f t="shared" si="15"/>
        <v>1067.3886</v>
      </c>
      <c r="G108">
        <f t="shared" si="16"/>
        <v>-0.46994000000000002</v>
      </c>
      <c r="H108">
        <f t="shared" si="17"/>
        <v>-501.60859868400001</v>
      </c>
      <c r="I108">
        <v>1</v>
      </c>
      <c r="J108">
        <f t="shared" si="18"/>
        <v>6.5215104703282248E-2</v>
      </c>
      <c r="K108">
        <f t="shared" si="19"/>
        <v>-0.70997057297601196</v>
      </c>
      <c r="L108">
        <v>1</v>
      </c>
      <c r="M108">
        <f t="shared" si="20"/>
        <v>0.47410423898387621</v>
      </c>
      <c r="N108">
        <f t="shared" si="24"/>
        <v>0.10140191699999999</v>
      </c>
      <c r="O108">
        <f t="shared" si="22"/>
        <v>5.2835735700000004E-2</v>
      </c>
      <c r="P108">
        <f t="shared" si="23"/>
        <v>8.1628681292135741E-2</v>
      </c>
      <c r="V108">
        <v>4.4000000000000004</v>
      </c>
      <c r="W108">
        <f t="shared" si="21"/>
        <v>-0.68044000000000004</v>
      </c>
    </row>
    <row r="109" spans="1:23" x14ac:dyDescent="0.3">
      <c r="A109">
        <v>5.3865318499999999</v>
      </c>
      <c r="B109">
        <v>0.46742</v>
      </c>
      <c r="C109">
        <f t="shared" si="14"/>
        <v>2.5177727173269999</v>
      </c>
      <c r="D109">
        <v>1.9E-2</v>
      </c>
      <c r="E109">
        <v>9.9000000000000008E-3</v>
      </c>
      <c r="F109">
        <f t="shared" si="15"/>
        <v>1077.30637</v>
      </c>
      <c r="G109">
        <f t="shared" si="16"/>
        <v>-0.46742</v>
      </c>
      <c r="H109">
        <f t="shared" si="17"/>
        <v>-503.5545434654</v>
      </c>
      <c r="I109">
        <v>1</v>
      </c>
      <c r="J109">
        <f t="shared" si="18"/>
        <v>7.446382383100289E-2</v>
      </c>
      <c r="K109">
        <f t="shared" si="19"/>
        <v>-0.71249057297601204</v>
      </c>
      <c r="L109">
        <v>1</v>
      </c>
      <c r="M109">
        <f t="shared" si="20"/>
        <v>0.47454447801435573</v>
      </c>
      <c r="N109">
        <f t="shared" si="24"/>
        <v>0.10234410514999999</v>
      </c>
      <c r="O109">
        <f t="shared" si="22"/>
        <v>5.3326665315000001E-2</v>
      </c>
      <c r="P109">
        <f t="shared" si="23"/>
        <v>8.2275324496656338E-2</v>
      </c>
      <c r="V109">
        <v>4.5</v>
      </c>
      <c r="W109">
        <f t="shared" si="21"/>
        <v>-0.68520000000000003</v>
      </c>
    </row>
    <row r="110" spans="1:23" x14ac:dyDescent="0.3">
      <c r="A110">
        <v>5.4361197000000008</v>
      </c>
      <c r="B110">
        <v>0.46489999999999998</v>
      </c>
      <c r="C110">
        <f t="shared" si="14"/>
        <v>2.5272520485300003</v>
      </c>
      <c r="D110">
        <v>1.9E-2</v>
      </c>
      <c r="E110">
        <v>9.9000000000000008E-3</v>
      </c>
      <c r="F110">
        <f t="shared" si="15"/>
        <v>1087.2239400000001</v>
      </c>
      <c r="G110">
        <f t="shared" si="16"/>
        <v>-0.46489999999999998</v>
      </c>
      <c r="H110">
        <f t="shared" si="17"/>
        <v>-505.45040970600007</v>
      </c>
      <c r="I110">
        <v>1</v>
      </c>
      <c r="J110">
        <f t="shared" si="18"/>
        <v>8.3627603479912951E-2</v>
      </c>
      <c r="K110">
        <f t="shared" si="19"/>
        <v>-0.715010572976012</v>
      </c>
      <c r="L110">
        <v>1</v>
      </c>
      <c r="M110">
        <f t="shared" si="20"/>
        <v>0.4749806739256438</v>
      </c>
      <c r="N110">
        <f t="shared" si="24"/>
        <v>0.10328627430000001</v>
      </c>
      <c r="O110">
        <f t="shared" si="22"/>
        <v>5.3817585030000011E-2</v>
      </c>
      <c r="P110">
        <f t="shared" si="23"/>
        <v>8.2926039720368189E-2</v>
      </c>
      <c r="V110">
        <v>4.5999999999999996</v>
      </c>
      <c r="W110">
        <f t="shared" si="21"/>
        <v>-0.68995999999999991</v>
      </c>
    </row>
    <row r="111" spans="1:23" x14ac:dyDescent="0.3">
      <c r="A111">
        <v>5.4857079500000001</v>
      </c>
      <c r="B111">
        <v>0.46242</v>
      </c>
      <c r="C111">
        <f t="shared" si="14"/>
        <v>2.5367010702389998</v>
      </c>
      <c r="D111">
        <v>1.9E-2</v>
      </c>
      <c r="E111">
        <v>9.9000000000000008E-3</v>
      </c>
      <c r="F111">
        <f t="shared" si="15"/>
        <v>1097.14159</v>
      </c>
      <c r="G111">
        <f t="shared" si="16"/>
        <v>-0.46242</v>
      </c>
      <c r="H111">
        <f t="shared" si="17"/>
        <v>-507.34021404779998</v>
      </c>
      <c r="I111">
        <v>1</v>
      </c>
      <c r="J111">
        <f t="shared" si="18"/>
        <v>9.2708243155683767E-2</v>
      </c>
      <c r="K111">
        <f t="shared" si="19"/>
        <v>-0.71749057297601193</v>
      </c>
      <c r="L111">
        <v>1</v>
      </c>
      <c r="M111">
        <f t="shared" si="20"/>
        <v>0.47541291237421052</v>
      </c>
      <c r="N111">
        <f t="shared" si="24"/>
        <v>0.10422845105</v>
      </c>
      <c r="O111">
        <f t="shared" si="22"/>
        <v>5.4308508705000008E-2</v>
      </c>
      <c r="P111">
        <f t="shared" si="23"/>
        <v>8.3540700846801402E-2</v>
      </c>
      <c r="V111">
        <v>4.7</v>
      </c>
      <c r="W111">
        <f t="shared" si="21"/>
        <v>-0.69472</v>
      </c>
    </row>
    <row r="112" spans="1:23" x14ac:dyDescent="0.3">
      <c r="A112">
        <v>5.5362982999999995</v>
      </c>
      <c r="B112">
        <v>0.45989999999999998</v>
      </c>
      <c r="C112">
        <f t="shared" si="14"/>
        <v>2.5461435881699996</v>
      </c>
      <c r="D112">
        <v>1.9E-2</v>
      </c>
      <c r="E112">
        <v>9.9000000000000008E-3</v>
      </c>
      <c r="F112">
        <f t="shared" si="15"/>
        <v>1107.2596599999999</v>
      </c>
      <c r="G112">
        <f t="shared" si="16"/>
        <v>-0.45989999999999998</v>
      </c>
      <c r="H112">
        <f t="shared" si="17"/>
        <v>-509.22871763399991</v>
      </c>
      <c r="I112">
        <v>1</v>
      </c>
      <c r="J112">
        <f t="shared" si="18"/>
        <v>0.10188818810011545</v>
      </c>
      <c r="K112">
        <f t="shared" si="19"/>
        <v>-0.72001057297601201</v>
      </c>
      <c r="L112">
        <v>1</v>
      </c>
      <c r="M112">
        <f t="shared" si="20"/>
        <v>0.47584987775356546</v>
      </c>
      <c r="N112">
        <f t="shared" si="24"/>
        <v>0.10518966769999999</v>
      </c>
      <c r="O112">
        <f t="shared" si="22"/>
        <v>5.4809353169999998E-2</v>
      </c>
      <c r="P112">
        <f t="shared" si="23"/>
        <v>8.4161674352446564E-2</v>
      </c>
      <c r="V112">
        <v>4.8</v>
      </c>
      <c r="W112">
        <f t="shared" si="21"/>
        <v>-0.69947999999999999</v>
      </c>
    </row>
    <row r="113" spans="1:23" x14ac:dyDescent="0.3">
      <c r="A113">
        <v>5.5863875499999995</v>
      </c>
      <c r="B113">
        <v>0.45722000000000002</v>
      </c>
      <c r="C113">
        <f t="shared" si="14"/>
        <v>2.5542081156109999</v>
      </c>
      <c r="D113">
        <v>1.9E-2</v>
      </c>
      <c r="E113">
        <v>9.9000000000000008E-3</v>
      </c>
      <c r="F113">
        <f t="shared" si="15"/>
        <v>1117.2775099999999</v>
      </c>
      <c r="G113">
        <f t="shared" si="16"/>
        <v>-0.45722000000000002</v>
      </c>
      <c r="H113">
        <f t="shared" si="17"/>
        <v>-510.84162312219996</v>
      </c>
      <c r="I113">
        <v>1</v>
      </c>
      <c r="J113">
        <f t="shared" si="18"/>
        <v>0.11089493148643984</v>
      </c>
      <c r="K113">
        <f t="shared" si="19"/>
        <v>-0.72269057297601202</v>
      </c>
      <c r="L113">
        <v>1</v>
      </c>
      <c r="M113">
        <f t="shared" si="20"/>
        <v>0.4762785987387545</v>
      </c>
      <c r="N113">
        <f t="shared" si="24"/>
        <v>0.10614136344999998</v>
      </c>
      <c r="O113">
        <f t="shared" si="22"/>
        <v>5.5305236745E-2</v>
      </c>
      <c r="P113">
        <f t="shared" si="23"/>
        <v>8.4965374042257555E-2</v>
      </c>
      <c r="V113">
        <v>4.9000000000000004</v>
      </c>
      <c r="W113">
        <f t="shared" si="21"/>
        <v>-0.70423999999999998</v>
      </c>
    </row>
    <row r="114" spans="1:23" x14ac:dyDescent="0.3">
      <c r="A114">
        <v>5.6359753999999995</v>
      </c>
      <c r="B114">
        <v>0.45478000000000002</v>
      </c>
      <c r="C114">
        <f t="shared" si="14"/>
        <v>2.5631288924119997</v>
      </c>
      <c r="D114">
        <v>1.9E-2</v>
      </c>
      <c r="E114">
        <v>9.9000000000000008E-3</v>
      </c>
      <c r="F114">
        <f t="shared" si="15"/>
        <v>1127.19508</v>
      </c>
      <c r="G114">
        <f t="shared" si="16"/>
        <v>-0.45478000000000002</v>
      </c>
      <c r="H114">
        <f t="shared" si="17"/>
        <v>-512.62577848239994</v>
      </c>
      <c r="I114">
        <v>1</v>
      </c>
      <c r="J114">
        <f t="shared" si="18"/>
        <v>0.11973231679507867</v>
      </c>
      <c r="K114">
        <f t="shared" si="19"/>
        <v>-0.72513057297601202</v>
      </c>
      <c r="L114">
        <v>1</v>
      </c>
      <c r="M114">
        <f t="shared" si="20"/>
        <v>0.4766992582794457</v>
      </c>
      <c r="N114">
        <f t="shared" si="24"/>
        <v>0.10708353259999999</v>
      </c>
      <c r="O114">
        <f t="shared" si="22"/>
        <v>5.5796156460000003E-2</v>
      </c>
      <c r="P114">
        <f t="shared" si="23"/>
        <v>8.5551625636566347E-2</v>
      </c>
      <c r="V114">
        <v>5</v>
      </c>
      <c r="W114">
        <f t="shared" si="21"/>
        <v>-0.70899999999999996</v>
      </c>
    </row>
    <row r="115" spans="1:23" x14ac:dyDescent="0.3">
      <c r="A115">
        <v>5.6900716500000001</v>
      </c>
      <c r="B115">
        <v>0.45216000000000001</v>
      </c>
      <c r="C115">
        <f t="shared" si="14"/>
        <v>2.5728227972640001</v>
      </c>
      <c r="D115">
        <v>1.9E-2</v>
      </c>
      <c r="E115">
        <v>9.9000000000000008E-3</v>
      </c>
      <c r="F115">
        <f t="shared" si="15"/>
        <v>1138.01433</v>
      </c>
      <c r="G115">
        <f t="shared" si="16"/>
        <v>-0.45216000000000001</v>
      </c>
      <c r="H115">
        <f t="shared" si="17"/>
        <v>-514.56455945280004</v>
      </c>
      <c r="I115">
        <v>1</v>
      </c>
      <c r="J115">
        <f t="shared" si="18"/>
        <v>0.12928492789199264</v>
      </c>
      <c r="K115">
        <f t="shared" si="19"/>
        <v>-0.72775057297601198</v>
      </c>
      <c r="L115">
        <v>1</v>
      </c>
      <c r="M115">
        <f t="shared" si="20"/>
        <v>0.47715396256765885</v>
      </c>
      <c r="N115">
        <f t="shared" si="24"/>
        <v>0.10811136135</v>
      </c>
      <c r="O115">
        <f t="shared" si="22"/>
        <v>5.6331709335000008E-2</v>
      </c>
      <c r="P115">
        <f t="shared" si="23"/>
        <v>8.6153539723353129E-2</v>
      </c>
      <c r="V115">
        <v>5.0999999999999996</v>
      </c>
      <c r="W115">
        <f t="shared" si="21"/>
        <v>-0.71375999999999995</v>
      </c>
    </row>
    <row r="116" spans="1:23" x14ac:dyDescent="0.3">
      <c r="A116">
        <v>5.7396605000000003</v>
      </c>
      <c r="B116">
        <v>0.44913999999999998</v>
      </c>
      <c r="C116">
        <f t="shared" si="14"/>
        <v>2.5779111169700002</v>
      </c>
      <c r="D116">
        <v>1.9E-2</v>
      </c>
      <c r="E116">
        <v>9.9000000000000008E-3</v>
      </c>
      <c r="F116">
        <f t="shared" si="15"/>
        <v>1147.9321</v>
      </c>
      <c r="G116">
        <f t="shared" si="16"/>
        <v>-0.44913999999999998</v>
      </c>
      <c r="H116">
        <f t="shared" si="17"/>
        <v>-515.58222339400004</v>
      </c>
      <c r="I116">
        <v>1</v>
      </c>
      <c r="J116">
        <f t="shared" si="18"/>
        <v>0.13796214980669744</v>
      </c>
      <c r="K116">
        <f t="shared" si="19"/>
        <v>-0.730770572976012</v>
      </c>
      <c r="L116">
        <v>1</v>
      </c>
      <c r="M116">
        <f t="shared" si="20"/>
        <v>0.4775669983307988</v>
      </c>
      <c r="N116">
        <f t="shared" si="24"/>
        <v>0.1090535495</v>
      </c>
      <c r="O116">
        <f t="shared" si="22"/>
        <v>5.6822638950000004E-2</v>
      </c>
      <c r="P116">
        <f t="shared" si="23"/>
        <v>8.7327386195213186E-2</v>
      </c>
      <c r="V116">
        <v>5.2</v>
      </c>
      <c r="W116">
        <f t="shared" si="21"/>
        <v>-0.71852000000000005</v>
      </c>
    </row>
    <row r="117" spans="1:23" x14ac:dyDescent="0.3">
      <c r="A117">
        <v>5.7902507500000002</v>
      </c>
      <c r="B117">
        <v>0.44685000000000002</v>
      </c>
      <c r="C117">
        <f t="shared" si="14"/>
        <v>2.5873735476375002</v>
      </c>
      <c r="D117">
        <v>1.9E-2</v>
      </c>
      <c r="E117">
        <v>9.9000000000000008E-3</v>
      </c>
      <c r="F117">
        <f t="shared" si="15"/>
        <v>1158.05015</v>
      </c>
      <c r="G117">
        <f t="shared" si="16"/>
        <v>-0.44685000000000002</v>
      </c>
      <c r="H117">
        <f t="shared" si="17"/>
        <v>-517.47470952750007</v>
      </c>
      <c r="I117">
        <v>1</v>
      </c>
      <c r="J117">
        <f t="shared" si="18"/>
        <v>0.14673768563966155</v>
      </c>
      <c r="K117">
        <f t="shared" si="19"/>
        <v>-0.73306057297601201</v>
      </c>
      <c r="L117">
        <v>1</v>
      </c>
      <c r="M117">
        <f t="shared" si="20"/>
        <v>0.47798471383644786</v>
      </c>
      <c r="N117">
        <f t="shared" si="24"/>
        <v>0.11001476425000001</v>
      </c>
      <c r="O117">
        <f t="shared" si="22"/>
        <v>5.7323482425000009E-2</v>
      </c>
      <c r="P117">
        <f t="shared" si="23"/>
        <v>8.773761246456413E-2</v>
      </c>
      <c r="V117">
        <v>5.3</v>
      </c>
      <c r="W117">
        <f t="shared" si="21"/>
        <v>-0.72327999999999992</v>
      </c>
    </row>
    <row r="118" spans="1:23" x14ac:dyDescent="0.3">
      <c r="A118">
        <v>5.8463504999999998</v>
      </c>
      <c r="B118">
        <v>0.44390000000000002</v>
      </c>
      <c r="C118">
        <f t="shared" si="14"/>
        <v>2.5951949869500002</v>
      </c>
      <c r="D118">
        <v>1.9E-2</v>
      </c>
      <c r="E118">
        <v>9.9000000000000008E-3</v>
      </c>
      <c r="F118">
        <f t="shared" si="15"/>
        <v>1169.2701</v>
      </c>
      <c r="G118">
        <f t="shared" si="16"/>
        <v>-0.44390000000000002</v>
      </c>
      <c r="H118">
        <f t="shared" si="17"/>
        <v>-519.03899739000008</v>
      </c>
      <c r="I118">
        <v>1</v>
      </c>
      <c r="J118">
        <f t="shared" si="18"/>
        <v>0.15637970798283846</v>
      </c>
      <c r="K118">
        <f t="shared" si="19"/>
        <v>-0.73601057297601202</v>
      </c>
      <c r="L118">
        <v>1</v>
      </c>
      <c r="M118">
        <f t="shared" si="20"/>
        <v>0.47844367409998306</v>
      </c>
      <c r="N118">
        <f t="shared" si="24"/>
        <v>0.1110806595</v>
      </c>
      <c r="O118">
        <f t="shared" si="22"/>
        <v>5.7878869950000002E-2</v>
      </c>
      <c r="P118">
        <f t="shared" si="23"/>
        <v>8.8607369426028953E-2</v>
      </c>
      <c r="V118">
        <v>5.4</v>
      </c>
      <c r="W118">
        <f t="shared" si="21"/>
        <v>-0.72804000000000002</v>
      </c>
    </row>
    <row r="119" spans="1:23" x14ac:dyDescent="0.3">
      <c r="A119">
        <v>5.8974413000000006</v>
      </c>
      <c r="B119">
        <v>0.44122</v>
      </c>
      <c r="C119">
        <f t="shared" si="14"/>
        <v>2.6020690503860004</v>
      </c>
      <c r="D119">
        <v>1.9E-2</v>
      </c>
      <c r="E119">
        <v>9.9000000000000008E-3</v>
      </c>
      <c r="F119">
        <f t="shared" si="15"/>
        <v>1179.4882600000001</v>
      </c>
      <c r="G119">
        <f t="shared" si="16"/>
        <v>-0.44122</v>
      </c>
      <c r="H119">
        <f t="shared" si="17"/>
        <v>-520.41381007720008</v>
      </c>
      <c r="I119">
        <v>1</v>
      </c>
      <c r="J119">
        <f t="shared" si="18"/>
        <v>0.16508066644598554</v>
      </c>
      <c r="K119">
        <f t="shared" si="19"/>
        <v>-0.73869057297601204</v>
      </c>
      <c r="L119">
        <v>1</v>
      </c>
      <c r="M119">
        <f t="shared" si="20"/>
        <v>0.47885783972282892</v>
      </c>
      <c r="N119">
        <f t="shared" si="24"/>
        <v>0.11205138470000001</v>
      </c>
      <c r="O119">
        <f t="shared" si="22"/>
        <v>5.838466887000001E-2</v>
      </c>
      <c r="P119">
        <f t="shared" si="23"/>
        <v>8.93966796831831E-2</v>
      </c>
      <c r="V119">
        <v>5.5</v>
      </c>
      <c r="W119">
        <f t="shared" si="21"/>
        <v>-0.73280000000000001</v>
      </c>
    </row>
    <row r="120" spans="1:23" x14ac:dyDescent="0.3">
      <c r="A120">
        <v>5.9470296499999993</v>
      </c>
      <c r="B120">
        <v>0.43851000000000001</v>
      </c>
      <c r="C120">
        <f t="shared" si="14"/>
        <v>2.6078319718214997</v>
      </c>
      <c r="D120">
        <v>1.9E-2</v>
      </c>
      <c r="E120">
        <v>9.9000000000000008E-3</v>
      </c>
      <c r="F120">
        <f t="shared" si="15"/>
        <v>1189.4059299999999</v>
      </c>
      <c r="G120">
        <f t="shared" si="16"/>
        <v>-0.43851000000000001</v>
      </c>
      <c r="H120">
        <f t="shared" si="17"/>
        <v>-521.56639436429998</v>
      </c>
      <c r="I120">
        <v>1</v>
      </c>
      <c r="J120">
        <f t="shared" si="18"/>
        <v>0.17345396398500681</v>
      </c>
      <c r="K120">
        <f t="shared" si="19"/>
        <v>-0.74140057297601203</v>
      </c>
      <c r="L120">
        <v>1</v>
      </c>
      <c r="M120">
        <f t="shared" si="20"/>
        <v>0.47925640868568631</v>
      </c>
      <c r="N120">
        <f t="shared" si="24"/>
        <v>0.11299356334999998</v>
      </c>
      <c r="O120">
        <f t="shared" si="22"/>
        <v>5.8875593535E-2</v>
      </c>
      <c r="P120">
        <f t="shared" si="23"/>
        <v>9.0275007405325736E-2</v>
      </c>
      <c r="V120">
        <v>5.6</v>
      </c>
      <c r="W120">
        <f t="shared" si="21"/>
        <v>-0.73755999999999999</v>
      </c>
    </row>
    <row r="121" spans="1:23" x14ac:dyDescent="0.3">
      <c r="A121">
        <v>5.99912285</v>
      </c>
      <c r="B121">
        <v>0.43619999999999998</v>
      </c>
      <c r="C121">
        <f t="shared" si="14"/>
        <v>2.6168173871699998</v>
      </c>
      <c r="D121">
        <v>1.9E-2</v>
      </c>
      <c r="E121">
        <v>9.9000000000000008E-3</v>
      </c>
      <c r="F121">
        <f t="shared" si="15"/>
        <v>1199.82457</v>
      </c>
      <c r="G121">
        <f t="shared" si="16"/>
        <v>-0.43619999999999998</v>
      </c>
      <c r="H121">
        <f t="shared" si="17"/>
        <v>-523.36347743399995</v>
      </c>
      <c r="I121">
        <v>1</v>
      </c>
      <c r="J121">
        <f t="shared" si="18"/>
        <v>0.18217535444024474</v>
      </c>
      <c r="K121">
        <f t="shared" si="19"/>
        <v>-0.74371057297601206</v>
      </c>
      <c r="L121">
        <v>1</v>
      </c>
      <c r="M121">
        <f t="shared" si="20"/>
        <v>0.4796715468713556</v>
      </c>
      <c r="N121">
        <f t="shared" si="24"/>
        <v>0.11398333415</v>
      </c>
      <c r="O121">
        <f t="shared" si="22"/>
        <v>5.9391316215000003E-2</v>
      </c>
      <c r="P121">
        <f t="shared" si="23"/>
        <v>9.0664375739656453E-2</v>
      </c>
      <c r="V121">
        <v>5.7</v>
      </c>
      <c r="W121">
        <f t="shared" si="21"/>
        <v>-0.74231999999999998</v>
      </c>
    </row>
    <row r="122" spans="1:23" x14ac:dyDescent="0.3">
      <c r="A122">
        <v>6.0492111999999993</v>
      </c>
      <c r="B122">
        <v>0.43345</v>
      </c>
      <c r="C122">
        <f t="shared" si="14"/>
        <v>2.6220305946399995</v>
      </c>
      <c r="D122">
        <v>1.9E-2</v>
      </c>
      <c r="E122">
        <v>9.9000000000000008E-3</v>
      </c>
      <c r="F122">
        <f t="shared" si="15"/>
        <v>1209.8422399999999</v>
      </c>
      <c r="G122">
        <f t="shared" si="16"/>
        <v>-0.43345</v>
      </c>
      <c r="H122">
        <f t="shared" si="17"/>
        <v>-524.40611892799996</v>
      </c>
      <c r="I122">
        <v>1</v>
      </c>
      <c r="J122">
        <f t="shared" si="18"/>
        <v>0.19048997094312783</v>
      </c>
      <c r="K122">
        <f t="shared" si="19"/>
        <v>-0.74646057297601198</v>
      </c>
      <c r="L122">
        <v>1</v>
      </c>
      <c r="M122">
        <f t="shared" si="20"/>
        <v>0.48006732261689283</v>
      </c>
      <c r="N122">
        <f t="shared" si="24"/>
        <v>0.11493501279999999</v>
      </c>
      <c r="O122">
        <f t="shared" si="22"/>
        <v>5.9887190879999996E-2</v>
      </c>
      <c r="P122">
        <f t="shared" si="23"/>
        <v>9.1571046679119167E-2</v>
      </c>
      <c r="V122">
        <v>5.8</v>
      </c>
      <c r="W122">
        <f t="shared" si="21"/>
        <v>-0.74707999999999997</v>
      </c>
    </row>
    <row r="123" spans="1:23" x14ac:dyDescent="0.3">
      <c r="A123">
        <v>6.1003029500000006</v>
      </c>
      <c r="B123">
        <v>0.43091000000000002</v>
      </c>
      <c r="C123">
        <f t="shared" si="14"/>
        <v>2.6286815441845004</v>
      </c>
      <c r="D123">
        <v>1.9E-2</v>
      </c>
      <c r="E123">
        <v>9.9000000000000008E-3</v>
      </c>
      <c r="F123">
        <f t="shared" si="15"/>
        <v>1220.06059</v>
      </c>
      <c r="G123">
        <f t="shared" si="16"/>
        <v>-0.43091000000000002</v>
      </c>
      <c r="H123">
        <f t="shared" si="17"/>
        <v>-525.73630883690009</v>
      </c>
      <c r="I123">
        <v>1</v>
      </c>
      <c r="J123">
        <f t="shared" si="18"/>
        <v>0.19890052144637915</v>
      </c>
      <c r="K123">
        <f t="shared" si="19"/>
        <v>-0.74900057297601197</v>
      </c>
      <c r="L123">
        <v>1</v>
      </c>
      <c r="M123">
        <f t="shared" si="20"/>
        <v>0.48046766482084763</v>
      </c>
      <c r="N123">
        <f t="shared" si="24"/>
        <v>0.11590575605</v>
      </c>
      <c r="O123">
        <f t="shared" si="22"/>
        <v>6.0392999205000013E-2</v>
      </c>
      <c r="P123">
        <f t="shared" si="23"/>
        <v>9.2234152900164318E-2</v>
      </c>
      <c r="V123">
        <v>5.9</v>
      </c>
      <c r="W123">
        <f t="shared" si="21"/>
        <v>-0.75184000000000006</v>
      </c>
    </row>
    <row r="124" spans="1:23" x14ac:dyDescent="0.3">
      <c r="A124">
        <v>6.1498903499999997</v>
      </c>
      <c r="B124">
        <v>0.42825000000000002</v>
      </c>
      <c r="C124">
        <f t="shared" si="14"/>
        <v>2.6336905423874999</v>
      </c>
      <c r="D124">
        <v>1.9E-2</v>
      </c>
      <c r="E124">
        <v>9.9000000000000008E-3</v>
      </c>
      <c r="F124">
        <f t="shared" si="15"/>
        <v>1229.9780699999999</v>
      </c>
      <c r="G124">
        <f t="shared" si="16"/>
        <v>-0.42825000000000002</v>
      </c>
      <c r="H124">
        <f t="shared" si="17"/>
        <v>-526.73810847749996</v>
      </c>
      <c r="I124">
        <v>1</v>
      </c>
      <c r="J124">
        <f t="shared" si="18"/>
        <v>0.20699633995708999</v>
      </c>
      <c r="K124">
        <f t="shared" si="19"/>
        <v>-0.75166057297601196</v>
      </c>
      <c r="L124">
        <v>1</v>
      </c>
      <c r="M124">
        <f t="shared" si="20"/>
        <v>0.48085302578195743</v>
      </c>
      <c r="N124">
        <f t="shared" si="24"/>
        <v>0.11684791664999999</v>
      </c>
      <c r="O124">
        <f t="shared" si="22"/>
        <v>6.0883914465000001E-2</v>
      </c>
      <c r="P124">
        <f t="shared" si="23"/>
        <v>9.3075716079054543E-2</v>
      </c>
      <c r="V124">
        <v>6</v>
      </c>
      <c r="W124">
        <f t="shared" si="21"/>
        <v>-0.75659999999999994</v>
      </c>
    </row>
    <row r="125" spans="1:23" x14ac:dyDescent="0.3">
      <c r="A125">
        <v>6.19998015</v>
      </c>
      <c r="B125">
        <v>0.42585000000000001</v>
      </c>
      <c r="C125">
        <f t="shared" si="14"/>
        <v>2.6402615468774999</v>
      </c>
      <c r="D125">
        <v>1.9E-2</v>
      </c>
      <c r="E125">
        <v>9.9000000000000008E-3</v>
      </c>
      <c r="F125">
        <f t="shared" si="15"/>
        <v>1239.99603</v>
      </c>
      <c r="G125">
        <f t="shared" si="16"/>
        <v>-0.42585000000000001</v>
      </c>
      <c r="H125">
        <f t="shared" si="17"/>
        <v>-528.05230937549993</v>
      </c>
      <c r="I125">
        <v>1</v>
      </c>
      <c r="J125">
        <f t="shared" si="18"/>
        <v>0.21510817799891702</v>
      </c>
      <c r="K125">
        <f t="shared" si="19"/>
        <v>-0.75406057297601192</v>
      </c>
      <c r="L125">
        <v>1</v>
      </c>
      <c r="M125">
        <f t="shared" si="20"/>
        <v>0.48123914927274841</v>
      </c>
      <c r="N125">
        <f t="shared" si="24"/>
        <v>0.11779962284999999</v>
      </c>
      <c r="O125">
        <f t="shared" si="22"/>
        <v>6.1379803485000002E-2</v>
      </c>
      <c r="P125">
        <f t="shared" si="23"/>
        <v>9.3641997368263508E-2</v>
      </c>
      <c r="V125">
        <v>6.1</v>
      </c>
      <c r="W125">
        <f t="shared" si="21"/>
        <v>-0.76136000000000004</v>
      </c>
    </row>
    <row r="126" spans="1:23" x14ac:dyDescent="0.3">
      <c r="A126">
        <v>6.2520723999999994</v>
      </c>
      <c r="B126">
        <v>0.42293999999999998</v>
      </c>
      <c r="C126">
        <f t="shared" si="14"/>
        <v>2.6442515008559995</v>
      </c>
      <c r="D126">
        <v>1.9E-2</v>
      </c>
      <c r="E126">
        <v>9.9000000000000008E-3</v>
      </c>
      <c r="F126">
        <f t="shared" si="15"/>
        <v>1250.4144799999999</v>
      </c>
      <c r="G126">
        <f t="shared" si="16"/>
        <v>-0.42293999999999998</v>
      </c>
      <c r="H126">
        <f t="shared" si="17"/>
        <v>-528.85030017119993</v>
      </c>
      <c r="I126">
        <v>1</v>
      </c>
      <c r="J126">
        <f t="shared" si="18"/>
        <v>0.22347508035238445</v>
      </c>
      <c r="K126">
        <f t="shared" si="19"/>
        <v>-0.756970572976012</v>
      </c>
      <c r="L126">
        <v>1</v>
      </c>
      <c r="M126">
        <f t="shared" si="20"/>
        <v>0.48163741382477349</v>
      </c>
      <c r="N126">
        <f t="shared" si="24"/>
        <v>0.11878937559999998</v>
      </c>
      <c r="O126">
        <f t="shared" si="22"/>
        <v>6.1895516759999998E-2</v>
      </c>
      <c r="P126">
        <f t="shared" si="23"/>
        <v>9.4648266791238556E-2</v>
      </c>
      <c r="V126">
        <v>6.2</v>
      </c>
      <c r="W126">
        <f t="shared" si="21"/>
        <v>-0.76612000000000002</v>
      </c>
    </row>
    <row r="127" spans="1:23" x14ac:dyDescent="0.3">
      <c r="A127">
        <v>6.3031632499999999</v>
      </c>
      <c r="B127">
        <v>0.42047000000000001</v>
      </c>
      <c r="C127">
        <f t="shared" si="14"/>
        <v>2.6502910517275002</v>
      </c>
      <c r="D127">
        <v>1.9E-2</v>
      </c>
      <c r="E127">
        <v>9.9000000000000008E-3</v>
      </c>
      <c r="F127">
        <f t="shared" si="15"/>
        <v>1260.63265</v>
      </c>
      <c r="G127">
        <f t="shared" si="16"/>
        <v>-0.42047000000000001</v>
      </c>
      <c r="H127">
        <f t="shared" si="17"/>
        <v>-530.05821034550002</v>
      </c>
      <c r="I127">
        <v>1</v>
      </c>
      <c r="J127">
        <f t="shared" si="18"/>
        <v>0.23161369812636964</v>
      </c>
      <c r="K127">
        <f t="shared" si="19"/>
        <v>-0.75944057297601197</v>
      </c>
      <c r="L127">
        <v>1</v>
      </c>
      <c r="M127">
        <f t="shared" si="20"/>
        <v>0.48202481203081515</v>
      </c>
      <c r="N127">
        <f t="shared" si="24"/>
        <v>0.11976010175</v>
      </c>
      <c r="O127">
        <f t="shared" si="22"/>
        <v>6.2401316175000006E-2</v>
      </c>
      <c r="P127">
        <f t="shared" si="23"/>
        <v>9.5254343020196808E-2</v>
      </c>
      <c r="V127">
        <v>6.3</v>
      </c>
      <c r="W127">
        <f t="shared" si="21"/>
        <v>-0.77088000000000001</v>
      </c>
    </row>
    <row r="128" spans="1:23" x14ac:dyDescent="0.3">
      <c r="A128">
        <v>6.3557574499999996</v>
      </c>
      <c r="B128">
        <v>0.41741</v>
      </c>
      <c r="C128">
        <f t="shared" si="14"/>
        <v>2.6529567172044999</v>
      </c>
      <c r="D128">
        <v>1.9E-2</v>
      </c>
      <c r="E128">
        <v>9.9000000000000008E-3</v>
      </c>
      <c r="F128">
        <f t="shared" si="15"/>
        <v>1271.15149</v>
      </c>
      <c r="G128">
        <f t="shared" si="16"/>
        <v>-0.41741</v>
      </c>
      <c r="H128">
        <f t="shared" si="17"/>
        <v>-530.5913434409</v>
      </c>
      <c r="I128">
        <v>1</v>
      </c>
      <c r="J128">
        <f t="shared" si="18"/>
        <v>0.2399231747192761</v>
      </c>
      <c r="K128">
        <f t="shared" si="19"/>
        <v>-0.76250057297601193</v>
      </c>
      <c r="L128">
        <v>1</v>
      </c>
      <c r="M128">
        <f t="shared" si="20"/>
        <v>0.48242034311663751</v>
      </c>
      <c r="N128">
        <f t="shared" si="24"/>
        <v>0.12075939154999998</v>
      </c>
      <c r="O128">
        <f t="shared" si="22"/>
        <v>6.2921998755E-2</v>
      </c>
      <c r="P128">
        <f t="shared" si="23"/>
        <v>9.6398839554374435E-2</v>
      </c>
      <c r="V128">
        <v>6.4</v>
      </c>
      <c r="W128">
        <f t="shared" si="21"/>
        <v>-0.77564</v>
      </c>
    </row>
    <row r="129" spans="1:23" x14ac:dyDescent="0.3">
      <c r="A129">
        <v>6.4078502500000001</v>
      </c>
      <c r="B129">
        <v>0.41526999999999997</v>
      </c>
      <c r="C129">
        <f t="shared" si="14"/>
        <v>2.6609879733174999</v>
      </c>
      <c r="D129">
        <v>1.9E-2</v>
      </c>
      <c r="E129">
        <v>9.9000000000000008E-3</v>
      </c>
      <c r="F129">
        <f t="shared" si="15"/>
        <v>1281.57005</v>
      </c>
      <c r="G129">
        <f t="shared" si="16"/>
        <v>-0.41526999999999997</v>
      </c>
      <c r="H129">
        <f t="shared" si="17"/>
        <v>-532.19759466350001</v>
      </c>
      <c r="I129">
        <v>1</v>
      </c>
      <c r="J129">
        <f t="shared" si="18"/>
        <v>0.24808592783292557</v>
      </c>
      <c r="K129">
        <f t="shared" si="19"/>
        <v>-0.76464057297601196</v>
      </c>
      <c r="L129">
        <v>1</v>
      </c>
      <c r="M129">
        <f t="shared" si="20"/>
        <v>0.48280889016484724</v>
      </c>
      <c r="N129">
        <f t="shared" si="24"/>
        <v>0.12174915475</v>
      </c>
      <c r="O129">
        <f t="shared" si="22"/>
        <v>6.3437717475000002E-2</v>
      </c>
      <c r="P129">
        <f t="shared" si="23"/>
        <v>9.6644810586164712E-2</v>
      </c>
      <c r="V129">
        <v>6.5</v>
      </c>
      <c r="W129">
        <f t="shared" si="21"/>
        <v>-0.78039999999999998</v>
      </c>
    </row>
    <row r="130" spans="1:23" x14ac:dyDescent="0.3">
      <c r="A130">
        <v>6.4604435499999999</v>
      </c>
      <c r="B130">
        <v>0.41233999999999998</v>
      </c>
      <c r="C130">
        <f t="shared" si="14"/>
        <v>2.6638992934069998</v>
      </c>
      <c r="D130">
        <v>1.9E-2</v>
      </c>
      <c r="E130">
        <v>9.9000000000000008E-3</v>
      </c>
      <c r="F130">
        <f t="shared" si="15"/>
        <v>1292.08871</v>
      </c>
      <c r="G130">
        <f t="shared" si="16"/>
        <v>-0.41233999999999998</v>
      </c>
      <c r="H130">
        <f t="shared" si="17"/>
        <v>-532.77985868140001</v>
      </c>
      <c r="I130">
        <v>1</v>
      </c>
      <c r="J130">
        <f t="shared" si="18"/>
        <v>0.25626006399406426</v>
      </c>
      <c r="K130">
        <f t="shared" si="19"/>
        <v>-0.76757057297601206</v>
      </c>
      <c r="L130">
        <v>1</v>
      </c>
      <c r="M130">
        <f t="shared" si="20"/>
        <v>0.48319797904611744</v>
      </c>
      <c r="N130">
        <f t="shared" si="24"/>
        <v>0.12274842744999999</v>
      </c>
      <c r="O130">
        <f t="shared" si="22"/>
        <v>6.3958391145000001E-2</v>
      </c>
      <c r="P130">
        <f t="shared" si="23"/>
        <v>9.7665775334894636E-2</v>
      </c>
      <c r="V130">
        <v>6.6</v>
      </c>
      <c r="W130">
        <f t="shared" si="21"/>
        <v>-0.78515999999999997</v>
      </c>
    </row>
    <row r="131" spans="1:23" x14ac:dyDescent="0.3">
      <c r="A131">
        <v>6.5115353000000002</v>
      </c>
      <c r="B131">
        <v>0.40970000000000001</v>
      </c>
      <c r="C131">
        <f t="shared" si="14"/>
        <v>2.6677760124100001</v>
      </c>
      <c r="D131">
        <v>1.9E-2</v>
      </c>
      <c r="E131">
        <v>9.9000000000000008E-3</v>
      </c>
      <c r="F131">
        <f t="shared" si="15"/>
        <v>1302.3070600000001</v>
      </c>
      <c r="G131">
        <f t="shared" si="16"/>
        <v>-0.40970000000000001</v>
      </c>
      <c r="H131">
        <f t="shared" si="17"/>
        <v>-533.55520248200003</v>
      </c>
      <c r="I131">
        <v>1</v>
      </c>
      <c r="J131">
        <f t="shared" si="18"/>
        <v>0.26413735315474213</v>
      </c>
      <c r="K131">
        <f t="shared" si="19"/>
        <v>-0.77021057297601203</v>
      </c>
      <c r="L131">
        <v>1</v>
      </c>
      <c r="M131">
        <f t="shared" si="20"/>
        <v>0.48357293801016571</v>
      </c>
      <c r="N131">
        <f t="shared" si="24"/>
        <v>0.12371917070000001</v>
      </c>
      <c r="O131">
        <f t="shared" si="22"/>
        <v>6.4464199470000011E-2</v>
      </c>
      <c r="P131">
        <f t="shared" si="23"/>
        <v>9.8454264795846319E-2</v>
      </c>
      <c r="V131">
        <v>6.7</v>
      </c>
      <c r="W131">
        <f t="shared" si="21"/>
        <v>-0.78991999999999996</v>
      </c>
    </row>
    <row r="132" spans="1:23" x14ac:dyDescent="0.3">
      <c r="A132">
        <v>6.5651300500000005</v>
      </c>
      <c r="B132">
        <v>0.40740999999999999</v>
      </c>
      <c r="C132">
        <f t="shared" si="14"/>
        <v>2.6746996336705</v>
      </c>
      <c r="D132">
        <v>1.9E-2</v>
      </c>
      <c r="E132">
        <v>9.9000000000000008E-3</v>
      </c>
      <c r="F132">
        <f t="shared" si="15"/>
        <v>1313.02601</v>
      </c>
      <c r="G132">
        <f t="shared" si="16"/>
        <v>-0.40740999999999999</v>
      </c>
      <c r="H132">
        <f t="shared" si="17"/>
        <v>-534.93992673410003</v>
      </c>
      <c r="I132">
        <v>1</v>
      </c>
      <c r="J132">
        <f t="shared" si="18"/>
        <v>0.2723344047207959</v>
      </c>
      <c r="K132">
        <f t="shared" si="19"/>
        <v>-0.77250057297601193</v>
      </c>
      <c r="L132">
        <v>1</v>
      </c>
      <c r="M132">
        <f t="shared" si="20"/>
        <v>0.48396311766470984</v>
      </c>
      <c r="N132">
        <f t="shared" si="24"/>
        <v>0.12473747095000001</v>
      </c>
      <c r="O132">
        <f t="shared" si="22"/>
        <v>6.4994787495000012E-2</v>
      </c>
      <c r="P132">
        <f t="shared" si="23"/>
        <v>9.880519686630207E-2</v>
      </c>
      <c r="V132">
        <v>6.8</v>
      </c>
      <c r="W132">
        <f t="shared" si="21"/>
        <v>-0.79468000000000005</v>
      </c>
    </row>
    <row r="133" spans="1:23" x14ac:dyDescent="0.3">
      <c r="A133">
        <v>6.6157203000000004</v>
      </c>
      <c r="B133">
        <v>0.40433999999999998</v>
      </c>
      <c r="C133">
        <f t="shared" ref="C133:C196" si="25">A133*B133</f>
        <v>2.6750003461020002</v>
      </c>
      <c r="D133">
        <v>1.9E-2</v>
      </c>
      <c r="E133">
        <v>9.9000000000000008E-3</v>
      </c>
      <c r="F133">
        <f t="shared" ref="F133:F196" si="26">A133*200</f>
        <v>1323.1440600000001</v>
      </c>
      <c r="G133">
        <f t="shared" ref="G133:G144" si="27">-B133</f>
        <v>-0.40433999999999998</v>
      </c>
      <c r="H133">
        <f t="shared" ref="H133:H196" si="28">-C133*200</f>
        <v>-535.00006922040006</v>
      </c>
      <c r="I133">
        <v>1</v>
      </c>
      <c r="J133">
        <f t="shared" ref="J133:J196" si="29">LN(F133/1000)</f>
        <v>0.28001076809374292</v>
      </c>
      <c r="K133">
        <f t="shared" ref="K133:K187" si="30">((-G133)-$N$2)</f>
        <v>-0.77557057297601206</v>
      </c>
      <c r="L133">
        <v>1</v>
      </c>
      <c r="M133">
        <f t="shared" ref="M133:M196" si="31">-1*($S$4+($S$5*J133))</f>
        <v>0.48432851256126214</v>
      </c>
      <c r="N133">
        <f t="shared" si="24"/>
        <v>0.12569868570000001</v>
      </c>
      <c r="O133">
        <f t="shared" si="22"/>
        <v>6.549563097000001E-2</v>
      </c>
      <c r="P133">
        <f t="shared" si="23"/>
        <v>0.10004774374474991</v>
      </c>
      <c r="V133">
        <v>6.9</v>
      </c>
      <c r="W133">
        <f t="shared" ref="W133:W139" si="32">V133*$S$5+$S$4</f>
        <v>-0.79944000000000004</v>
      </c>
    </row>
    <row r="134" spans="1:23" x14ac:dyDescent="0.3">
      <c r="A134">
        <v>6.6683136000000003</v>
      </c>
      <c r="B134">
        <v>0.40175</v>
      </c>
      <c r="C134">
        <f t="shared" si="25"/>
        <v>2.6789949888</v>
      </c>
      <c r="D134">
        <v>1.9E-2</v>
      </c>
      <c r="E134">
        <v>9.9000000000000008E-3</v>
      </c>
      <c r="F134">
        <f t="shared" si="26"/>
        <v>1333.66272</v>
      </c>
      <c r="G134">
        <f t="shared" si="27"/>
        <v>-0.40175</v>
      </c>
      <c r="H134">
        <f t="shared" si="28"/>
        <v>-535.79899776000002</v>
      </c>
      <c r="I134">
        <v>1</v>
      </c>
      <c r="J134">
        <f t="shared" si="29"/>
        <v>0.28792908194242467</v>
      </c>
      <c r="K134">
        <f t="shared" si="30"/>
        <v>-0.77816057297601193</v>
      </c>
      <c r="L134">
        <v>1</v>
      </c>
      <c r="M134">
        <f t="shared" si="31"/>
        <v>0.48470542430045938</v>
      </c>
      <c r="N134">
        <f t="shared" si="24"/>
        <v>0.1266979584</v>
      </c>
      <c r="O134">
        <f t="shared" ref="O134:O144" si="33">E134*A134</f>
        <v>6.6016304640000009E-2</v>
      </c>
      <c r="P134">
        <f t="shared" ref="P134:P144" si="34">-K134-M134-N134-O134</f>
        <v>0.10074088563555254</v>
      </c>
      <c r="V134">
        <v>7</v>
      </c>
      <c r="W134">
        <f t="shared" si="32"/>
        <v>-0.80420000000000003</v>
      </c>
    </row>
    <row r="135" spans="1:23" x14ac:dyDescent="0.3">
      <c r="A135">
        <v>6.7179019500000008</v>
      </c>
      <c r="B135">
        <v>0.39895000000000003</v>
      </c>
      <c r="C135">
        <f t="shared" si="25"/>
        <v>2.6801069829525006</v>
      </c>
      <c r="D135">
        <v>1.9E-2</v>
      </c>
      <c r="E135">
        <v>9.9000000000000008E-3</v>
      </c>
      <c r="F135">
        <f t="shared" si="26"/>
        <v>1343.5803900000001</v>
      </c>
      <c r="G135">
        <f t="shared" si="27"/>
        <v>-0.39895000000000003</v>
      </c>
      <c r="H135">
        <f t="shared" si="28"/>
        <v>-536.0213965905001</v>
      </c>
      <c r="I135">
        <v>1</v>
      </c>
      <c r="J135">
        <f t="shared" si="29"/>
        <v>0.29533798353189639</v>
      </c>
      <c r="K135">
        <f t="shared" si="30"/>
        <v>-0.78096057297601196</v>
      </c>
      <c r="L135">
        <v>1</v>
      </c>
      <c r="M135">
        <f t="shared" si="31"/>
        <v>0.48505808801611827</v>
      </c>
      <c r="N135">
        <f t="shared" ref="N135:N144" si="35">D135*A135</f>
        <v>0.12764013705000002</v>
      </c>
      <c r="O135">
        <f t="shared" si="33"/>
        <v>6.6507229305000012E-2</v>
      </c>
      <c r="P135">
        <f t="shared" si="34"/>
        <v>0.10175511860489365</v>
      </c>
      <c r="V135">
        <v>7.1</v>
      </c>
      <c r="W135">
        <f t="shared" si="32"/>
        <v>-0.8089599999999999</v>
      </c>
    </row>
    <row r="136" spans="1:23" x14ac:dyDescent="0.3">
      <c r="A136">
        <v>6.7674902000000001</v>
      </c>
      <c r="B136">
        <v>0.39646999999999999</v>
      </c>
      <c r="C136">
        <f t="shared" si="25"/>
        <v>2.6831068395940001</v>
      </c>
      <c r="D136">
        <v>1.9E-2</v>
      </c>
      <c r="E136">
        <v>9.9000000000000008E-3</v>
      </c>
      <c r="F136">
        <f t="shared" si="26"/>
        <v>1353.4980399999999</v>
      </c>
      <c r="G136">
        <f t="shared" si="27"/>
        <v>-0.39646999999999999</v>
      </c>
      <c r="H136">
        <f t="shared" si="28"/>
        <v>-536.62136791880005</v>
      </c>
      <c r="I136">
        <v>1</v>
      </c>
      <c r="J136">
        <f t="shared" si="29"/>
        <v>0.30269238197364529</v>
      </c>
      <c r="K136">
        <f t="shared" si="30"/>
        <v>-0.783440572976012</v>
      </c>
      <c r="L136">
        <v>1</v>
      </c>
      <c r="M136">
        <f t="shared" si="31"/>
        <v>0.48540815738194548</v>
      </c>
      <c r="N136">
        <f t="shared" si="35"/>
        <v>0.12858231379999999</v>
      </c>
      <c r="O136">
        <f t="shared" si="33"/>
        <v>6.6998152980000003E-2</v>
      </c>
      <c r="P136">
        <f t="shared" si="34"/>
        <v>0.10245194881406652</v>
      </c>
      <c r="V136">
        <v>7.2</v>
      </c>
      <c r="W136">
        <f t="shared" si="32"/>
        <v>-0.81372</v>
      </c>
    </row>
    <row r="137" spans="1:23" x14ac:dyDescent="0.3">
      <c r="A137">
        <v>6.81808105</v>
      </c>
      <c r="B137">
        <v>0.39417999999999997</v>
      </c>
      <c r="C137">
        <f t="shared" si="25"/>
        <v>2.687551188289</v>
      </c>
      <c r="D137">
        <v>1.9E-2</v>
      </c>
      <c r="E137">
        <v>9.9000000000000008E-3</v>
      </c>
      <c r="F137">
        <f t="shared" si="26"/>
        <v>1363.6162099999999</v>
      </c>
      <c r="G137">
        <f t="shared" si="27"/>
        <v>-0.39417999999999997</v>
      </c>
      <c r="H137">
        <f t="shared" si="28"/>
        <v>-537.51023765779996</v>
      </c>
      <c r="I137">
        <v>1</v>
      </c>
      <c r="J137">
        <f t="shared" si="29"/>
        <v>0.31014014886129077</v>
      </c>
      <c r="K137">
        <f t="shared" si="30"/>
        <v>-0.78573057297601201</v>
      </c>
      <c r="L137">
        <v>1</v>
      </c>
      <c r="M137">
        <f t="shared" si="31"/>
        <v>0.4857626710857974</v>
      </c>
      <c r="N137">
        <f t="shared" si="35"/>
        <v>0.12954353995000001</v>
      </c>
      <c r="O137">
        <f t="shared" si="33"/>
        <v>6.7499002395000007E-2</v>
      </c>
      <c r="P137">
        <f t="shared" si="34"/>
        <v>0.10292535954521459</v>
      </c>
      <c r="V137">
        <v>7.3</v>
      </c>
      <c r="W137">
        <f t="shared" si="32"/>
        <v>-0.81847999999999999</v>
      </c>
    </row>
    <row r="138" spans="1:23" x14ac:dyDescent="0.3">
      <c r="A138">
        <v>6.8676689</v>
      </c>
      <c r="B138">
        <v>0.39112000000000002</v>
      </c>
      <c r="C138">
        <f t="shared" si="25"/>
        <v>2.6860826601680001</v>
      </c>
      <c r="D138">
        <v>1.9E-2</v>
      </c>
      <c r="E138">
        <v>9.9000000000000008E-3</v>
      </c>
      <c r="F138">
        <f t="shared" si="26"/>
        <v>1373.53378</v>
      </c>
      <c r="G138">
        <f t="shared" si="27"/>
        <v>-0.39112000000000002</v>
      </c>
      <c r="H138">
        <f t="shared" si="28"/>
        <v>-537.21653203360006</v>
      </c>
      <c r="I138">
        <v>1</v>
      </c>
      <c r="J138">
        <f t="shared" si="29"/>
        <v>0.31738682035341897</v>
      </c>
      <c r="K138">
        <f t="shared" si="30"/>
        <v>-0.78879057297601196</v>
      </c>
      <c r="L138">
        <v>1</v>
      </c>
      <c r="M138">
        <f t="shared" si="31"/>
        <v>0.48610761264882274</v>
      </c>
      <c r="N138">
        <f t="shared" si="35"/>
        <v>0.13048570909999999</v>
      </c>
      <c r="O138">
        <f t="shared" si="33"/>
        <v>6.7989922110000003E-2</v>
      </c>
      <c r="P138">
        <f t="shared" si="34"/>
        <v>0.10420732911718923</v>
      </c>
      <c r="V138">
        <v>7.4</v>
      </c>
      <c r="W138">
        <f t="shared" si="32"/>
        <v>-0.82323999999999997</v>
      </c>
    </row>
    <row r="139" spans="1:23" x14ac:dyDescent="0.3">
      <c r="A139">
        <v>6.9177576999999992</v>
      </c>
      <c r="B139">
        <v>0.38851000000000002</v>
      </c>
      <c r="C139">
        <f t="shared" si="25"/>
        <v>2.6876180440269999</v>
      </c>
      <c r="D139">
        <v>1.9E-2</v>
      </c>
      <c r="E139">
        <v>9.9000000000000008E-3</v>
      </c>
      <c r="F139">
        <f t="shared" si="26"/>
        <v>1383.5515399999999</v>
      </c>
      <c r="G139">
        <f t="shared" si="27"/>
        <v>-0.38851000000000002</v>
      </c>
      <c r="H139">
        <f t="shared" si="28"/>
        <v>-537.52360880539993</v>
      </c>
      <c r="I139">
        <v>1</v>
      </c>
      <c r="J139">
        <f t="shared" si="29"/>
        <v>0.32465377289392572</v>
      </c>
      <c r="K139">
        <f t="shared" si="30"/>
        <v>-0.79140057297601196</v>
      </c>
      <c r="L139">
        <v>1</v>
      </c>
      <c r="M139">
        <f t="shared" si="31"/>
        <v>0.48645351958975086</v>
      </c>
      <c r="N139">
        <f t="shared" si="35"/>
        <v>0.13143739629999998</v>
      </c>
      <c r="O139">
        <f t="shared" si="33"/>
        <v>6.8485801230000004E-2</v>
      </c>
      <c r="P139">
        <f t="shared" si="34"/>
        <v>0.10502385585626112</v>
      </c>
      <c r="V139">
        <v>7.5</v>
      </c>
      <c r="W139">
        <f t="shared" si="32"/>
        <v>-0.82800000000000007</v>
      </c>
    </row>
    <row r="140" spans="1:23" x14ac:dyDescent="0.3">
      <c r="A140">
        <v>6.9693499499999998</v>
      </c>
      <c r="B140">
        <v>0.38577</v>
      </c>
      <c r="C140">
        <f t="shared" si="25"/>
        <v>2.6885661302115</v>
      </c>
      <c r="D140">
        <v>1.9E-2</v>
      </c>
      <c r="E140">
        <v>9.9000000000000008E-3</v>
      </c>
      <c r="F140">
        <f t="shared" si="26"/>
        <v>1393.8699899999999</v>
      </c>
      <c r="G140">
        <f t="shared" si="27"/>
        <v>-0.38577</v>
      </c>
      <c r="H140">
        <f t="shared" si="28"/>
        <v>-537.71322604229999</v>
      </c>
      <c r="I140">
        <v>1</v>
      </c>
      <c r="J140">
        <f t="shared" si="29"/>
        <v>0.33208404400045372</v>
      </c>
      <c r="K140">
        <f t="shared" si="30"/>
        <v>-0.79414057297601204</v>
      </c>
      <c r="L140">
        <v>1</v>
      </c>
      <c r="M140">
        <f t="shared" si="31"/>
        <v>0.48680720049442155</v>
      </c>
      <c r="N140">
        <f t="shared" si="35"/>
        <v>0.13241764905</v>
      </c>
      <c r="O140">
        <f t="shared" si="33"/>
        <v>6.899656450500001E-2</v>
      </c>
      <c r="P140">
        <f t="shared" si="34"/>
        <v>0.10591915892659047</v>
      </c>
    </row>
    <row r="141" spans="1:23" x14ac:dyDescent="0.3">
      <c r="A141">
        <v>7.0194393000000002</v>
      </c>
      <c r="B141">
        <v>0.38368999999999998</v>
      </c>
      <c r="C141">
        <f t="shared" si="25"/>
        <v>2.693288665017</v>
      </c>
      <c r="D141">
        <v>1.9E-2</v>
      </c>
      <c r="E141">
        <v>9.9000000000000008E-3</v>
      </c>
      <c r="F141">
        <f t="shared" si="26"/>
        <v>1403.88786</v>
      </c>
      <c r="G141">
        <f t="shared" si="27"/>
        <v>-0.38368999999999998</v>
      </c>
      <c r="H141">
        <f t="shared" si="28"/>
        <v>-538.65773300340004</v>
      </c>
      <c r="I141">
        <v>1</v>
      </c>
      <c r="J141">
        <f t="shared" si="29"/>
        <v>0.33924543061882589</v>
      </c>
      <c r="K141">
        <f t="shared" si="30"/>
        <v>-0.79622057297601201</v>
      </c>
      <c r="L141">
        <v>1</v>
      </c>
      <c r="M141">
        <f t="shared" si="31"/>
        <v>0.48714808249745611</v>
      </c>
      <c r="N141">
        <f t="shared" si="35"/>
        <v>0.1333693467</v>
      </c>
      <c r="O141">
        <f t="shared" si="33"/>
        <v>6.9492449070000004E-2</v>
      </c>
      <c r="P141">
        <f t="shared" si="34"/>
        <v>0.10621069470855589</v>
      </c>
    </row>
    <row r="142" spans="1:23" x14ac:dyDescent="0.3">
      <c r="A142">
        <v>7.0690276500000007</v>
      </c>
      <c r="B142">
        <v>0.38070999999999999</v>
      </c>
      <c r="C142">
        <f t="shared" si="25"/>
        <v>2.6912495166315002</v>
      </c>
      <c r="D142">
        <v>1.9E-2</v>
      </c>
      <c r="E142">
        <v>9.9000000000000008E-3</v>
      </c>
      <c r="F142">
        <f t="shared" si="26"/>
        <v>1413.8055300000001</v>
      </c>
      <c r="G142">
        <f t="shared" si="27"/>
        <v>-0.38070999999999999</v>
      </c>
      <c r="H142">
        <f t="shared" si="28"/>
        <v>-538.2499033263</v>
      </c>
      <c r="I142">
        <v>1</v>
      </c>
      <c r="J142">
        <f t="shared" si="29"/>
        <v>0.34628502619140145</v>
      </c>
      <c r="K142">
        <f t="shared" si="30"/>
        <v>-0.79920057297601199</v>
      </c>
      <c r="L142">
        <v>1</v>
      </c>
      <c r="M142">
        <f t="shared" si="31"/>
        <v>0.4874831672467107</v>
      </c>
      <c r="N142">
        <f t="shared" si="35"/>
        <v>0.13431152535000002</v>
      </c>
      <c r="O142">
        <f t="shared" si="33"/>
        <v>6.9983373735000007E-2</v>
      </c>
      <c r="P142">
        <f t="shared" si="34"/>
        <v>0.10742250664430127</v>
      </c>
    </row>
    <row r="143" spans="1:23" x14ac:dyDescent="0.3">
      <c r="A143">
        <v>7.1186153999999995</v>
      </c>
      <c r="B143">
        <v>0.37811</v>
      </c>
      <c r="C143">
        <f t="shared" si="25"/>
        <v>2.691619668894</v>
      </c>
      <c r="D143">
        <v>1.9E-2</v>
      </c>
      <c r="E143">
        <v>9.9000000000000008E-3</v>
      </c>
      <c r="F143">
        <f t="shared" si="26"/>
        <v>1423.72308</v>
      </c>
      <c r="G143">
        <f t="shared" si="27"/>
        <v>-0.37811</v>
      </c>
      <c r="H143">
        <f t="shared" si="28"/>
        <v>-538.32393377879998</v>
      </c>
      <c r="I143">
        <v>1</v>
      </c>
      <c r="J143">
        <f t="shared" si="29"/>
        <v>0.35327532778662807</v>
      </c>
      <c r="K143">
        <f t="shared" si="30"/>
        <v>-0.80180057297601204</v>
      </c>
      <c r="L143">
        <v>1</v>
      </c>
      <c r="M143">
        <f t="shared" si="31"/>
        <v>0.48781590560264348</v>
      </c>
      <c r="N143">
        <f t="shared" si="35"/>
        <v>0.13525369259999998</v>
      </c>
      <c r="O143">
        <f t="shared" si="33"/>
        <v>7.0474292460000004E-2</v>
      </c>
      <c r="P143">
        <f t="shared" si="34"/>
        <v>0.10825668231336857</v>
      </c>
    </row>
    <row r="144" spans="1:23" x14ac:dyDescent="0.3">
      <c r="A144">
        <v>7.1682042499999996</v>
      </c>
      <c r="B144">
        <v>0.37547999999999998</v>
      </c>
      <c r="C144">
        <f t="shared" si="25"/>
        <v>2.6915173317899996</v>
      </c>
      <c r="D144">
        <v>1.9E-2</v>
      </c>
      <c r="E144">
        <v>9.9000000000000008E-3</v>
      </c>
      <c r="F144">
        <f t="shared" si="26"/>
        <v>1433.64085</v>
      </c>
      <c r="G144">
        <f t="shared" si="27"/>
        <v>-0.37547999999999998</v>
      </c>
      <c r="H144">
        <f t="shared" si="28"/>
        <v>-538.30346635799992</v>
      </c>
      <c r="I144">
        <v>1</v>
      </c>
      <c r="J144">
        <f t="shared" si="29"/>
        <v>0.36021725753122347</v>
      </c>
      <c r="K144">
        <f t="shared" si="30"/>
        <v>-0.80443057297601195</v>
      </c>
      <c r="L144">
        <v>1</v>
      </c>
      <c r="M144">
        <f t="shared" si="31"/>
        <v>0.48814634145848623</v>
      </c>
      <c r="N144">
        <f t="shared" si="35"/>
        <v>0.13619588075</v>
      </c>
      <c r="O144">
        <f t="shared" si="33"/>
        <v>7.0965222075000001E-2</v>
      </c>
      <c r="P144">
        <f t="shared" si="34"/>
        <v>0.10912312869252572</v>
      </c>
    </row>
    <row r="145" spans="1:16" x14ac:dyDescent="0.3">
      <c r="A145">
        <v>7.2182930999999995</v>
      </c>
      <c r="B145">
        <v>0.37303999999999998</v>
      </c>
      <c r="C145">
        <f t="shared" si="25"/>
        <v>2.6927120580239996</v>
      </c>
      <c r="D145">
        <v>1.9E-2</v>
      </c>
      <c r="E145">
        <v>9.9000000000000008E-3</v>
      </c>
      <c r="F145">
        <f t="shared" si="26"/>
        <v>1443.6586199999999</v>
      </c>
      <c r="G145">
        <f t="shared" ref="G145:G187" si="36">-B145</f>
        <v>-0.37303999999999998</v>
      </c>
      <c r="H145">
        <f t="shared" si="28"/>
        <v>-538.5424116047999</v>
      </c>
      <c r="I145">
        <v>1</v>
      </c>
      <c r="J145">
        <f t="shared" si="29"/>
        <v>0.36718059977835454</v>
      </c>
      <c r="K145">
        <f t="shared" si="30"/>
        <v>-0.80687057297601195</v>
      </c>
      <c r="L145">
        <v>1</v>
      </c>
      <c r="M145">
        <f t="shared" si="31"/>
        <v>0.48847779654944967</v>
      </c>
      <c r="N145">
        <f t="shared" ref="N145:N187" si="37">D145*A145</f>
        <v>0.13714756889999999</v>
      </c>
      <c r="O145">
        <f t="shared" ref="O145:O187" si="38">E145*A145</f>
        <v>7.1461101690000001E-2</v>
      </c>
      <c r="P145">
        <f t="shared" ref="P145:P187" si="39">-K145-M145-N145-O145</f>
        <v>0.10978410583656228</v>
      </c>
    </row>
    <row r="146" spans="1:16" x14ac:dyDescent="0.3">
      <c r="A146">
        <v>7.267881</v>
      </c>
      <c r="B146">
        <v>0.37037999999999999</v>
      </c>
      <c r="C146">
        <f t="shared" si="25"/>
        <v>2.6918777647800001</v>
      </c>
      <c r="D146">
        <v>1.9E-2</v>
      </c>
      <c r="E146">
        <v>9.9000000000000008E-3</v>
      </c>
      <c r="F146">
        <f t="shared" si="26"/>
        <v>1453.5762</v>
      </c>
      <c r="G146">
        <f t="shared" si="36"/>
        <v>-0.37037999999999999</v>
      </c>
      <c r="H146">
        <f t="shared" si="28"/>
        <v>-538.37555295599998</v>
      </c>
      <c r="I146">
        <v>1</v>
      </c>
      <c r="J146">
        <f t="shared" si="29"/>
        <v>0.37402686482324027</v>
      </c>
      <c r="K146">
        <f t="shared" si="30"/>
        <v>-0.80953057297601205</v>
      </c>
      <c r="L146">
        <v>1</v>
      </c>
      <c r="M146">
        <f t="shared" si="31"/>
        <v>0.48880367876558622</v>
      </c>
      <c r="N146">
        <f t="shared" si="37"/>
        <v>0.13808973899999999</v>
      </c>
      <c r="O146">
        <f t="shared" si="38"/>
        <v>7.195202190000001E-2</v>
      </c>
      <c r="P146">
        <f t="shared" si="39"/>
        <v>0.11068513331042583</v>
      </c>
    </row>
    <row r="147" spans="1:16" x14ac:dyDescent="0.3">
      <c r="A147">
        <v>7.3224785999999993</v>
      </c>
      <c r="B147">
        <v>0.36778</v>
      </c>
      <c r="C147">
        <f t="shared" si="25"/>
        <v>2.6930611795079997</v>
      </c>
      <c r="D147">
        <v>1.9E-2</v>
      </c>
      <c r="E147">
        <v>9.9000000000000008E-3</v>
      </c>
      <c r="F147">
        <f t="shared" si="26"/>
        <v>1464.4957199999999</v>
      </c>
      <c r="G147">
        <f t="shared" si="36"/>
        <v>-0.36778</v>
      </c>
      <c r="H147">
        <f t="shared" si="28"/>
        <v>-538.61223590159989</v>
      </c>
      <c r="I147">
        <v>1</v>
      </c>
      <c r="J147">
        <f t="shared" si="29"/>
        <v>0.38151096478223412</v>
      </c>
      <c r="K147">
        <f t="shared" si="30"/>
        <v>-0.81213057297601199</v>
      </c>
      <c r="L147">
        <v>1</v>
      </c>
      <c r="M147">
        <f t="shared" si="31"/>
        <v>0.48915992192363433</v>
      </c>
      <c r="N147">
        <f t="shared" si="37"/>
        <v>0.13912709339999998</v>
      </c>
      <c r="O147">
        <f t="shared" si="38"/>
        <v>7.2492538139999993E-2</v>
      </c>
      <c r="P147">
        <f t="shared" si="39"/>
        <v>0.11135101951237768</v>
      </c>
    </row>
    <row r="148" spans="1:16" x14ac:dyDescent="0.3">
      <c r="A148">
        <v>7.3725679500000005</v>
      </c>
      <c r="B148">
        <v>0.36491000000000001</v>
      </c>
      <c r="C148">
        <f t="shared" si="25"/>
        <v>2.6903237706345005</v>
      </c>
      <c r="D148">
        <v>1.9E-2</v>
      </c>
      <c r="E148">
        <v>9.9000000000000008E-3</v>
      </c>
      <c r="F148">
        <f t="shared" si="26"/>
        <v>1474.51359</v>
      </c>
      <c r="G148">
        <f t="shared" si="36"/>
        <v>-0.36491000000000001</v>
      </c>
      <c r="H148">
        <f t="shared" si="28"/>
        <v>-538.06475412690008</v>
      </c>
      <c r="I148">
        <v>1</v>
      </c>
      <c r="J148">
        <f t="shared" si="29"/>
        <v>0.38832816591434205</v>
      </c>
      <c r="K148">
        <f t="shared" si="30"/>
        <v>-0.81500057297601192</v>
      </c>
      <c r="L148">
        <v>1</v>
      </c>
      <c r="M148">
        <f t="shared" si="31"/>
        <v>0.48948442069752268</v>
      </c>
      <c r="N148">
        <f t="shared" si="37"/>
        <v>0.14007879105000001</v>
      </c>
      <c r="O148">
        <f t="shared" si="38"/>
        <v>7.2988422705000014E-2</v>
      </c>
      <c r="P148">
        <f t="shared" si="39"/>
        <v>0.11244893852348921</v>
      </c>
    </row>
    <row r="149" spans="1:16" x14ac:dyDescent="0.3">
      <c r="A149">
        <v>7.4221567999999998</v>
      </c>
      <c r="B149">
        <v>0.36210999999999999</v>
      </c>
      <c r="C149">
        <f t="shared" si="25"/>
        <v>2.6876371988479999</v>
      </c>
      <c r="D149">
        <v>1.9E-2</v>
      </c>
      <c r="E149">
        <v>9.9000000000000008E-3</v>
      </c>
      <c r="F149">
        <f t="shared" si="26"/>
        <v>1484.43136</v>
      </c>
      <c r="G149">
        <f t="shared" si="36"/>
        <v>-0.36210999999999999</v>
      </c>
      <c r="H149">
        <f t="shared" si="28"/>
        <v>-537.52743976959994</v>
      </c>
      <c r="I149">
        <v>1</v>
      </c>
      <c r="J149">
        <f t="shared" si="29"/>
        <v>0.39503177636217607</v>
      </c>
      <c r="K149">
        <f t="shared" si="30"/>
        <v>-0.81780057297601205</v>
      </c>
      <c r="L149">
        <v>1</v>
      </c>
      <c r="M149">
        <f t="shared" si="31"/>
        <v>0.48980351255483956</v>
      </c>
      <c r="N149">
        <f t="shared" si="37"/>
        <v>0.14102097919999998</v>
      </c>
      <c r="O149">
        <f t="shared" si="38"/>
        <v>7.347935232000001E-2</v>
      </c>
      <c r="P149">
        <f t="shared" si="39"/>
        <v>0.1134967289011725</v>
      </c>
    </row>
    <row r="150" spans="1:16" x14ac:dyDescent="0.3">
      <c r="A150">
        <v>7.47575155</v>
      </c>
      <c r="B150">
        <v>0.35930000000000001</v>
      </c>
      <c r="C150">
        <f t="shared" si="25"/>
        <v>2.6860375319150003</v>
      </c>
      <c r="D150">
        <v>1.9E-2</v>
      </c>
      <c r="E150">
        <v>9.9000000000000008E-3</v>
      </c>
      <c r="F150">
        <f t="shared" si="26"/>
        <v>1495.15031</v>
      </c>
      <c r="G150">
        <f t="shared" si="36"/>
        <v>-0.35930000000000001</v>
      </c>
      <c r="H150">
        <f t="shared" si="28"/>
        <v>-537.20750638300001</v>
      </c>
      <c r="I150">
        <v>1</v>
      </c>
      <c r="J150">
        <f t="shared" si="29"/>
        <v>0.40222674359468125</v>
      </c>
      <c r="K150">
        <f t="shared" si="30"/>
        <v>-0.82061057297601203</v>
      </c>
      <c r="L150">
        <v>1</v>
      </c>
      <c r="M150">
        <f t="shared" si="31"/>
        <v>0.49014599299510681</v>
      </c>
      <c r="N150">
        <f t="shared" si="37"/>
        <v>0.14203927945</v>
      </c>
      <c r="O150">
        <f t="shared" si="38"/>
        <v>7.4009940345000011E-2</v>
      </c>
      <c r="P150">
        <f t="shared" si="39"/>
        <v>0.11441536018590522</v>
      </c>
    </row>
    <row r="151" spans="1:16" x14ac:dyDescent="0.3">
      <c r="A151">
        <v>7.5253394</v>
      </c>
      <c r="B151">
        <v>0.35683999999999999</v>
      </c>
      <c r="C151">
        <f t="shared" si="25"/>
        <v>2.6853421114959999</v>
      </c>
      <c r="D151">
        <v>1.9E-2</v>
      </c>
      <c r="E151">
        <v>9.9000000000000008E-3</v>
      </c>
      <c r="F151">
        <f t="shared" si="26"/>
        <v>1505.0678800000001</v>
      </c>
      <c r="G151">
        <f t="shared" si="36"/>
        <v>-0.35683999999999999</v>
      </c>
      <c r="H151">
        <f t="shared" si="28"/>
        <v>-537.06842229919994</v>
      </c>
      <c r="I151">
        <v>1</v>
      </c>
      <c r="J151">
        <f t="shared" si="29"/>
        <v>0.40883800017376309</v>
      </c>
      <c r="K151">
        <f t="shared" si="30"/>
        <v>-0.82307057297601194</v>
      </c>
      <c r="L151">
        <v>1</v>
      </c>
      <c r="M151">
        <f t="shared" si="31"/>
        <v>0.49046068880827109</v>
      </c>
      <c r="N151">
        <f t="shared" si="37"/>
        <v>0.14298144860000001</v>
      </c>
      <c r="O151">
        <f t="shared" si="38"/>
        <v>7.4500860060000007E-2</v>
      </c>
      <c r="P151">
        <f t="shared" si="39"/>
        <v>0.11512757550774083</v>
      </c>
    </row>
    <row r="152" spans="1:16" x14ac:dyDescent="0.3">
      <c r="A152">
        <v>7.5769316500000006</v>
      </c>
      <c r="B152">
        <v>0.35415000000000002</v>
      </c>
      <c r="C152">
        <f t="shared" si="25"/>
        <v>2.6833703438475003</v>
      </c>
      <c r="D152">
        <v>1.9E-2</v>
      </c>
      <c r="E152">
        <v>9.9000000000000008E-3</v>
      </c>
      <c r="F152">
        <f t="shared" si="26"/>
        <v>1515.38633</v>
      </c>
      <c r="G152">
        <f t="shared" si="36"/>
        <v>-0.35415000000000002</v>
      </c>
      <c r="H152">
        <f t="shared" si="28"/>
        <v>-536.67406876950008</v>
      </c>
      <c r="I152">
        <v>1</v>
      </c>
      <c r="J152">
        <f t="shared" si="29"/>
        <v>0.41567040975384728</v>
      </c>
      <c r="K152">
        <f t="shared" si="30"/>
        <v>-0.82576057297601202</v>
      </c>
      <c r="L152">
        <v>1</v>
      </c>
      <c r="M152">
        <f t="shared" si="31"/>
        <v>0.49078591150428308</v>
      </c>
      <c r="N152">
        <f t="shared" si="37"/>
        <v>0.14396170135</v>
      </c>
      <c r="O152">
        <f t="shared" si="38"/>
        <v>7.5011623335000013E-2</v>
      </c>
      <c r="P152">
        <f t="shared" si="39"/>
        <v>0.11600133678672893</v>
      </c>
    </row>
    <row r="153" spans="1:16" x14ac:dyDescent="0.3">
      <c r="A153">
        <v>7.6265204000000004</v>
      </c>
      <c r="B153">
        <v>0.35138999999999998</v>
      </c>
      <c r="C153">
        <f t="shared" si="25"/>
        <v>2.6798830033560002</v>
      </c>
      <c r="D153">
        <v>1.9E-2</v>
      </c>
      <c r="E153">
        <v>9.9000000000000008E-3</v>
      </c>
      <c r="F153">
        <f t="shared" si="26"/>
        <v>1525.3040800000001</v>
      </c>
      <c r="G153">
        <f t="shared" si="36"/>
        <v>-0.35138999999999998</v>
      </c>
      <c r="H153">
        <f t="shared" si="28"/>
        <v>-535.9766006712</v>
      </c>
      <c r="I153">
        <v>1</v>
      </c>
      <c r="J153">
        <f t="shared" si="29"/>
        <v>0.42219378690380249</v>
      </c>
      <c r="K153">
        <f t="shared" si="30"/>
        <v>-0.828520572976012</v>
      </c>
      <c r="L153">
        <v>1</v>
      </c>
      <c r="M153">
        <f t="shared" si="31"/>
        <v>0.49109642425662098</v>
      </c>
      <c r="N153">
        <f t="shared" si="37"/>
        <v>0.1449038876</v>
      </c>
      <c r="O153">
        <f t="shared" si="38"/>
        <v>7.5502551960000011E-2</v>
      </c>
      <c r="P153">
        <f t="shared" si="39"/>
        <v>0.11701770915939101</v>
      </c>
    </row>
    <row r="154" spans="1:16" x14ac:dyDescent="0.3">
      <c r="A154">
        <v>7.6771097999999993</v>
      </c>
      <c r="B154">
        <v>0.34870000000000001</v>
      </c>
      <c r="C154">
        <f t="shared" si="25"/>
        <v>2.6770081872599998</v>
      </c>
      <c r="D154">
        <v>1.9E-2</v>
      </c>
      <c r="E154">
        <v>9.9000000000000008E-3</v>
      </c>
      <c r="F154">
        <f t="shared" si="26"/>
        <v>1535.4219599999999</v>
      </c>
      <c r="G154">
        <f t="shared" si="36"/>
        <v>-0.34870000000000001</v>
      </c>
      <c r="H154">
        <f t="shared" si="28"/>
        <v>-535.40163745199993</v>
      </c>
      <c r="I154">
        <v>1</v>
      </c>
      <c r="J154">
        <f t="shared" si="29"/>
        <v>0.42880523577128093</v>
      </c>
      <c r="K154">
        <f t="shared" si="30"/>
        <v>-0.83121057297601197</v>
      </c>
      <c r="L154">
        <v>1</v>
      </c>
      <c r="M154">
        <f t="shared" si="31"/>
        <v>0.49141112922271296</v>
      </c>
      <c r="N154">
        <f t="shared" si="37"/>
        <v>0.14586508619999999</v>
      </c>
      <c r="O154">
        <f t="shared" si="38"/>
        <v>7.6003387019999993E-2</v>
      </c>
      <c r="P154">
        <f t="shared" si="39"/>
        <v>0.11793097053329903</v>
      </c>
    </row>
    <row r="155" spans="1:16" x14ac:dyDescent="0.3">
      <c r="A155">
        <v>7.7322075500000009</v>
      </c>
      <c r="B155">
        <v>0.34578999999999999</v>
      </c>
      <c r="C155">
        <f t="shared" si="25"/>
        <v>2.6737200487145003</v>
      </c>
      <c r="D155">
        <v>1.9E-2</v>
      </c>
      <c r="E155">
        <v>9.9000000000000008E-3</v>
      </c>
      <c r="F155">
        <f t="shared" si="26"/>
        <v>1546.4415100000001</v>
      </c>
      <c r="G155">
        <f t="shared" si="36"/>
        <v>-0.34578999999999999</v>
      </c>
      <c r="H155">
        <f t="shared" si="28"/>
        <v>-534.74400974290006</v>
      </c>
      <c r="I155">
        <v>1</v>
      </c>
      <c r="J155">
        <f t="shared" si="29"/>
        <v>0.43595649154188831</v>
      </c>
      <c r="K155">
        <f t="shared" si="30"/>
        <v>-0.83412057297601194</v>
      </c>
      <c r="L155">
        <v>1</v>
      </c>
      <c r="M155">
        <f t="shared" si="31"/>
        <v>0.49175152899739388</v>
      </c>
      <c r="N155">
        <f t="shared" si="37"/>
        <v>0.14691194345000003</v>
      </c>
      <c r="O155">
        <f t="shared" si="38"/>
        <v>7.654885474500002E-2</v>
      </c>
      <c r="P155">
        <f t="shared" si="39"/>
        <v>0.11890824578361801</v>
      </c>
    </row>
    <row r="156" spans="1:16" x14ac:dyDescent="0.3">
      <c r="A156">
        <v>7.7827982999999996</v>
      </c>
      <c r="B156">
        <v>0.34301999999999999</v>
      </c>
      <c r="C156">
        <f t="shared" si="25"/>
        <v>2.6696554728659998</v>
      </c>
      <c r="D156">
        <v>1.9E-2</v>
      </c>
      <c r="E156">
        <v>9.9000000000000008E-3</v>
      </c>
      <c r="F156">
        <f t="shared" si="26"/>
        <v>1556.5596599999999</v>
      </c>
      <c r="G156">
        <f t="shared" si="36"/>
        <v>-0.34301999999999999</v>
      </c>
      <c r="H156">
        <f t="shared" si="28"/>
        <v>-533.93109457319997</v>
      </c>
      <c r="I156">
        <v>1</v>
      </c>
      <c r="J156">
        <f t="shared" si="29"/>
        <v>0.44247803975057459</v>
      </c>
      <c r="K156">
        <f t="shared" si="30"/>
        <v>-0.83689057297601199</v>
      </c>
      <c r="L156">
        <v>1</v>
      </c>
      <c r="M156">
        <f t="shared" si="31"/>
        <v>0.49206195469212732</v>
      </c>
      <c r="N156">
        <f t="shared" si="37"/>
        <v>0.1478731677</v>
      </c>
      <c r="O156">
        <f t="shared" si="38"/>
        <v>7.7049703169999997E-2</v>
      </c>
      <c r="P156">
        <f t="shared" si="39"/>
        <v>0.11990574741388467</v>
      </c>
    </row>
    <row r="157" spans="1:16" x14ac:dyDescent="0.3">
      <c r="A157">
        <v>7.8323866500000001</v>
      </c>
      <c r="B157">
        <v>0.34023999999999999</v>
      </c>
      <c r="C157">
        <f t="shared" si="25"/>
        <v>2.6648912337959998</v>
      </c>
      <c r="D157">
        <v>1.9E-2</v>
      </c>
      <c r="E157">
        <v>9.9000000000000008E-3</v>
      </c>
      <c r="F157">
        <f t="shared" si="26"/>
        <v>1566.4773299999999</v>
      </c>
      <c r="G157">
        <f t="shared" si="36"/>
        <v>-0.34023999999999999</v>
      </c>
      <c r="H157">
        <f t="shared" si="28"/>
        <v>-532.97824675919992</v>
      </c>
      <c r="I157">
        <v>1</v>
      </c>
      <c r="J157">
        <f t="shared" si="29"/>
        <v>0.4488293595530784</v>
      </c>
      <c r="K157">
        <f t="shared" si="30"/>
        <v>-0.839670572976012</v>
      </c>
      <c r="L157">
        <v>1</v>
      </c>
      <c r="M157">
        <f t="shared" si="31"/>
        <v>0.4923642775147265</v>
      </c>
      <c r="N157">
        <f t="shared" si="37"/>
        <v>0.14881534634999999</v>
      </c>
      <c r="O157">
        <f t="shared" si="38"/>
        <v>7.7540627835000014E-2</v>
      </c>
      <c r="P157">
        <f t="shared" si="39"/>
        <v>0.12095032127628549</v>
      </c>
    </row>
    <row r="158" spans="1:16" x14ac:dyDescent="0.3">
      <c r="A158">
        <v>7.8834774000000003</v>
      </c>
      <c r="B158">
        <v>0.33776</v>
      </c>
      <c r="C158">
        <f t="shared" si="25"/>
        <v>2.662723326624</v>
      </c>
      <c r="D158">
        <v>1.9E-2</v>
      </c>
      <c r="E158">
        <v>9.9000000000000008E-3</v>
      </c>
      <c r="F158">
        <f t="shared" si="26"/>
        <v>1576.6954800000001</v>
      </c>
      <c r="G158">
        <f t="shared" si="36"/>
        <v>-0.33776</v>
      </c>
      <c r="H158">
        <f t="shared" si="28"/>
        <v>-532.54466532480001</v>
      </c>
      <c r="I158">
        <v>1</v>
      </c>
      <c r="J158">
        <f t="shared" si="29"/>
        <v>0.45533118851018678</v>
      </c>
      <c r="K158">
        <f t="shared" si="30"/>
        <v>-0.84215057297601192</v>
      </c>
      <c r="L158">
        <v>1</v>
      </c>
      <c r="M158">
        <f t="shared" si="31"/>
        <v>0.49267376457308487</v>
      </c>
      <c r="N158">
        <f t="shared" si="37"/>
        <v>0.14978607060000002</v>
      </c>
      <c r="O158">
        <f t="shared" si="38"/>
        <v>7.804642626000001E-2</v>
      </c>
      <c r="P158">
        <f t="shared" si="39"/>
        <v>0.12164431154292703</v>
      </c>
    </row>
    <row r="159" spans="1:16" x14ac:dyDescent="0.3">
      <c r="A159">
        <v>7.9335662999999998</v>
      </c>
      <c r="B159">
        <v>0.33499000000000001</v>
      </c>
      <c r="C159">
        <f t="shared" si="25"/>
        <v>2.6576653748369998</v>
      </c>
      <c r="D159">
        <v>1.9E-2</v>
      </c>
      <c r="E159">
        <v>9.9000000000000008E-3</v>
      </c>
      <c r="F159">
        <f t="shared" si="26"/>
        <v>1586.71326</v>
      </c>
      <c r="G159">
        <f t="shared" si="36"/>
        <v>-0.33499000000000001</v>
      </c>
      <c r="H159">
        <f t="shared" si="28"/>
        <v>-531.53307496740001</v>
      </c>
      <c r="I159">
        <v>1</v>
      </c>
      <c r="J159">
        <f t="shared" si="29"/>
        <v>0.46166474469027824</v>
      </c>
      <c r="K159">
        <f t="shared" si="30"/>
        <v>-0.84492057297601197</v>
      </c>
      <c r="L159">
        <v>1</v>
      </c>
      <c r="M159">
        <f t="shared" si="31"/>
        <v>0.49297524184725722</v>
      </c>
      <c r="N159">
        <f t="shared" si="37"/>
        <v>0.1507377597</v>
      </c>
      <c r="O159">
        <f t="shared" si="38"/>
        <v>7.8542306370000009E-2</v>
      </c>
      <c r="P159">
        <f t="shared" si="39"/>
        <v>0.12266526505875475</v>
      </c>
    </row>
    <row r="160" spans="1:16" x14ac:dyDescent="0.3">
      <c r="A160">
        <v>7.9841570500000003</v>
      </c>
      <c r="B160">
        <v>0.33223999999999998</v>
      </c>
      <c r="C160">
        <f t="shared" si="25"/>
        <v>2.6526563382920001</v>
      </c>
      <c r="D160">
        <v>1.9E-2</v>
      </c>
      <c r="E160">
        <v>9.9000000000000008E-3</v>
      </c>
      <c r="F160">
        <f t="shared" si="26"/>
        <v>1596.83141</v>
      </c>
      <c r="G160">
        <f t="shared" si="36"/>
        <v>-0.33223999999999998</v>
      </c>
      <c r="H160">
        <f t="shared" si="28"/>
        <v>-530.5312676584</v>
      </c>
      <c r="I160">
        <v>1</v>
      </c>
      <c r="J160">
        <f t="shared" si="29"/>
        <v>0.46802129697278133</v>
      </c>
      <c r="K160">
        <f t="shared" si="30"/>
        <v>-0.847670572976012</v>
      </c>
      <c r="L160">
        <v>1</v>
      </c>
      <c r="M160">
        <f t="shared" si="31"/>
        <v>0.49327781373590435</v>
      </c>
      <c r="N160">
        <f t="shared" si="37"/>
        <v>0.15169898395</v>
      </c>
      <c r="O160">
        <f t="shared" si="38"/>
        <v>7.9043154795000015E-2</v>
      </c>
      <c r="P160">
        <f t="shared" si="39"/>
        <v>0.12365062049510764</v>
      </c>
    </row>
    <row r="161" spans="1:16" x14ac:dyDescent="0.3">
      <c r="A161">
        <v>8.0347468000000006</v>
      </c>
      <c r="B161">
        <v>0.32948</v>
      </c>
      <c r="C161">
        <f t="shared" si="25"/>
        <v>2.647288375664</v>
      </c>
      <c r="D161">
        <v>1.9E-2</v>
      </c>
      <c r="E161">
        <v>9.9000000000000008E-3</v>
      </c>
      <c r="F161">
        <f t="shared" si="26"/>
        <v>1606.9493600000001</v>
      </c>
      <c r="G161">
        <f t="shared" si="36"/>
        <v>-0.32948</v>
      </c>
      <c r="H161">
        <f t="shared" si="28"/>
        <v>-529.45767513279998</v>
      </c>
      <c r="I161">
        <v>1</v>
      </c>
      <c r="J161">
        <f t="shared" si="29"/>
        <v>0.47433757412444583</v>
      </c>
      <c r="K161">
        <f t="shared" si="30"/>
        <v>-0.85043057297601199</v>
      </c>
      <c r="L161">
        <v>1</v>
      </c>
      <c r="M161">
        <f t="shared" si="31"/>
        <v>0.4935784685283236</v>
      </c>
      <c r="N161">
        <f t="shared" si="37"/>
        <v>0.15266018920000002</v>
      </c>
      <c r="O161">
        <f t="shared" si="38"/>
        <v>7.9543993320000006E-2</v>
      </c>
      <c r="P161">
        <f t="shared" si="39"/>
        <v>0.12464792192768837</v>
      </c>
    </row>
    <row r="162" spans="1:16" x14ac:dyDescent="0.3">
      <c r="A162">
        <v>8.0843356499999999</v>
      </c>
      <c r="B162">
        <v>0.32651000000000002</v>
      </c>
      <c r="C162">
        <f t="shared" si="25"/>
        <v>2.6396164330815002</v>
      </c>
      <c r="D162">
        <v>1.9E-2</v>
      </c>
      <c r="E162">
        <v>9.9000000000000008E-3</v>
      </c>
      <c r="F162">
        <f t="shared" si="26"/>
        <v>1616.8671300000001</v>
      </c>
      <c r="G162">
        <f t="shared" si="36"/>
        <v>-0.32651000000000002</v>
      </c>
      <c r="H162">
        <f t="shared" si="28"/>
        <v>-527.92328661630006</v>
      </c>
      <c r="I162">
        <v>1</v>
      </c>
      <c r="J162">
        <f t="shared" si="29"/>
        <v>0.48049040653231767</v>
      </c>
      <c r="K162">
        <f t="shared" si="30"/>
        <v>-0.85340057297601191</v>
      </c>
      <c r="L162">
        <v>1</v>
      </c>
      <c r="M162">
        <f t="shared" si="31"/>
        <v>0.4938713433509383</v>
      </c>
      <c r="N162">
        <f t="shared" si="37"/>
        <v>0.15360237734999999</v>
      </c>
      <c r="O162">
        <f t="shared" si="38"/>
        <v>8.0034922935000002E-2</v>
      </c>
      <c r="P162">
        <f t="shared" si="39"/>
        <v>0.12589192934007362</v>
      </c>
    </row>
    <row r="163" spans="1:16" x14ac:dyDescent="0.3">
      <c r="A163">
        <v>8.1349249999999991</v>
      </c>
      <c r="B163">
        <v>0.32384000000000002</v>
      </c>
      <c r="C163">
        <f t="shared" si="25"/>
        <v>2.634414112</v>
      </c>
      <c r="D163">
        <v>1.9E-2</v>
      </c>
      <c r="E163">
        <v>9.9000000000000008E-3</v>
      </c>
      <c r="F163">
        <f t="shared" si="26"/>
        <v>1626.9849999999999</v>
      </c>
      <c r="G163">
        <f t="shared" si="36"/>
        <v>-0.32384000000000002</v>
      </c>
      <c r="H163">
        <f t="shared" si="28"/>
        <v>-526.88282240000001</v>
      </c>
      <c r="I163">
        <v>1</v>
      </c>
      <c r="J163">
        <f t="shared" si="29"/>
        <v>0.48672860877215202</v>
      </c>
      <c r="K163">
        <f t="shared" si="30"/>
        <v>-0.85607057297601197</v>
      </c>
      <c r="L163">
        <v>1</v>
      </c>
      <c r="M163">
        <f t="shared" si="31"/>
        <v>0.4941682817775544</v>
      </c>
      <c r="N163">
        <f t="shared" si="37"/>
        <v>0.15456357499999998</v>
      </c>
      <c r="O163">
        <f t="shared" si="38"/>
        <v>8.0535757499999999E-2</v>
      </c>
      <c r="P163">
        <f t="shared" si="39"/>
        <v>0.12680295869845759</v>
      </c>
    </row>
    <row r="164" spans="1:16" x14ac:dyDescent="0.3">
      <c r="A164">
        <v>8.1885212500000009</v>
      </c>
      <c r="B164">
        <v>0.32096999999999998</v>
      </c>
      <c r="C164">
        <f t="shared" si="25"/>
        <v>2.6282696656125002</v>
      </c>
      <c r="D164">
        <v>1.9E-2</v>
      </c>
      <c r="E164">
        <v>9.9000000000000008E-3</v>
      </c>
      <c r="F164">
        <f t="shared" si="26"/>
        <v>1637.7042500000002</v>
      </c>
      <c r="G164">
        <f t="shared" si="36"/>
        <v>-0.32096999999999998</v>
      </c>
      <c r="H164">
        <f t="shared" si="28"/>
        <v>-525.65393312250001</v>
      </c>
      <c r="I164">
        <v>1</v>
      </c>
      <c r="J164">
        <f t="shared" si="29"/>
        <v>0.49329541357320567</v>
      </c>
      <c r="K164">
        <f t="shared" si="30"/>
        <v>-0.85894057297601201</v>
      </c>
      <c r="L164">
        <v>1</v>
      </c>
      <c r="M164">
        <f t="shared" si="31"/>
        <v>0.49448086168608457</v>
      </c>
      <c r="N164">
        <f t="shared" si="37"/>
        <v>0.15558190375</v>
      </c>
      <c r="O164">
        <f t="shared" si="38"/>
        <v>8.1066360375000021E-2</v>
      </c>
      <c r="P164">
        <f t="shared" si="39"/>
        <v>0.12781144716492743</v>
      </c>
    </row>
    <row r="165" spans="1:16" x14ac:dyDescent="0.3">
      <c r="A165">
        <v>8.2386109999999988</v>
      </c>
      <c r="B165">
        <v>0.31841999999999998</v>
      </c>
      <c r="C165">
        <f t="shared" si="25"/>
        <v>2.6233385146199995</v>
      </c>
      <c r="D165">
        <v>1.9E-2</v>
      </c>
      <c r="E165">
        <v>9.9000000000000008E-3</v>
      </c>
      <c r="F165">
        <f t="shared" si="26"/>
        <v>1647.7221999999997</v>
      </c>
      <c r="G165">
        <f t="shared" si="36"/>
        <v>-0.31841999999999998</v>
      </c>
      <c r="H165">
        <f t="shared" si="28"/>
        <v>-524.66770292399985</v>
      </c>
      <c r="I165">
        <v>1</v>
      </c>
      <c r="J165">
        <f t="shared" si="29"/>
        <v>0.4993938493169392</v>
      </c>
      <c r="K165">
        <f t="shared" si="30"/>
        <v>-0.86149057297601206</v>
      </c>
      <c r="L165">
        <v>1</v>
      </c>
      <c r="M165">
        <f t="shared" si="31"/>
        <v>0.49477114722748627</v>
      </c>
      <c r="N165">
        <f t="shared" si="37"/>
        <v>0.15653360899999996</v>
      </c>
      <c r="O165">
        <f t="shared" si="38"/>
        <v>8.1562248899999995E-2</v>
      </c>
      <c r="P165">
        <f t="shared" si="39"/>
        <v>0.12862356784852583</v>
      </c>
    </row>
    <row r="166" spans="1:16" x14ac:dyDescent="0.3">
      <c r="A166">
        <v>8.28819835</v>
      </c>
      <c r="B166">
        <v>0.31545000000000001</v>
      </c>
      <c r="C166">
        <f t="shared" si="25"/>
        <v>2.6145121695075</v>
      </c>
      <c r="D166">
        <v>1.9E-2</v>
      </c>
      <c r="E166">
        <v>9.9000000000000008E-3</v>
      </c>
      <c r="F166">
        <f t="shared" si="26"/>
        <v>1657.63967</v>
      </c>
      <c r="G166">
        <f t="shared" si="36"/>
        <v>-0.31545000000000001</v>
      </c>
      <c r="H166">
        <f t="shared" si="28"/>
        <v>-522.90243390149999</v>
      </c>
      <c r="I166">
        <v>1</v>
      </c>
      <c r="J166">
        <f t="shared" si="29"/>
        <v>0.50539470498777628</v>
      </c>
      <c r="K166">
        <f t="shared" si="30"/>
        <v>-0.86446057297601198</v>
      </c>
      <c r="L166">
        <v>1</v>
      </c>
      <c r="M166">
        <f t="shared" si="31"/>
        <v>0.49505678795741814</v>
      </c>
      <c r="N166">
        <f t="shared" si="37"/>
        <v>0.15747576864999999</v>
      </c>
      <c r="O166">
        <f t="shared" si="38"/>
        <v>8.2053163665000012E-2</v>
      </c>
      <c r="P166">
        <f t="shared" si="39"/>
        <v>0.12987485270359383</v>
      </c>
    </row>
    <row r="167" spans="1:16" x14ac:dyDescent="0.3">
      <c r="A167">
        <v>8.3402911500000005</v>
      </c>
      <c r="B167">
        <v>0.31279000000000001</v>
      </c>
      <c r="C167">
        <f t="shared" si="25"/>
        <v>2.6087596688085002</v>
      </c>
      <c r="D167">
        <v>1.9E-2</v>
      </c>
      <c r="E167">
        <v>9.9000000000000008E-3</v>
      </c>
      <c r="F167">
        <f t="shared" si="26"/>
        <v>1668.0582300000001</v>
      </c>
      <c r="G167">
        <f t="shared" si="36"/>
        <v>-0.31279000000000001</v>
      </c>
      <c r="H167">
        <f t="shared" si="28"/>
        <v>-521.7519337617</v>
      </c>
      <c r="I167">
        <v>1</v>
      </c>
      <c r="J167">
        <f t="shared" si="29"/>
        <v>0.51166021339915524</v>
      </c>
      <c r="K167">
        <f t="shared" si="30"/>
        <v>-0.86712057297601197</v>
      </c>
      <c r="L167">
        <v>1</v>
      </c>
      <c r="M167">
        <f t="shared" si="31"/>
        <v>0.49535502615779975</v>
      </c>
      <c r="N167">
        <f t="shared" si="37"/>
        <v>0.15846553185000001</v>
      </c>
      <c r="O167">
        <f t="shared" si="38"/>
        <v>8.2568882385000014E-2</v>
      </c>
      <c r="P167">
        <f t="shared" si="39"/>
        <v>0.1307311325832122</v>
      </c>
    </row>
    <row r="168" spans="1:16" x14ac:dyDescent="0.3">
      <c r="A168">
        <v>8.3933858499999996</v>
      </c>
      <c r="B168">
        <v>0.30967</v>
      </c>
      <c r="C168">
        <f t="shared" si="25"/>
        <v>2.5991797961695</v>
      </c>
      <c r="D168">
        <v>1.9E-2</v>
      </c>
      <c r="E168">
        <v>9.9000000000000008E-3</v>
      </c>
      <c r="F168">
        <f t="shared" si="26"/>
        <v>1678.6771699999999</v>
      </c>
      <c r="G168">
        <f t="shared" si="36"/>
        <v>-0.30967</v>
      </c>
      <c r="H168">
        <f t="shared" si="28"/>
        <v>-519.83595923389998</v>
      </c>
      <c r="I168">
        <v>1</v>
      </c>
      <c r="J168">
        <f t="shared" si="29"/>
        <v>0.51800608444437657</v>
      </c>
      <c r="K168">
        <f t="shared" si="30"/>
        <v>-0.87024057297601198</v>
      </c>
      <c r="L168">
        <v>1</v>
      </c>
      <c r="M168">
        <f t="shared" si="31"/>
        <v>0.49565708961955229</v>
      </c>
      <c r="N168">
        <f t="shared" si="37"/>
        <v>0.15947433114999998</v>
      </c>
      <c r="O168">
        <f t="shared" si="38"/>
        <v>8.3094519914999998E-2</v>
      </c>
      <c r="P168">
        <f t="shared" si="39"/>
        <v>0.13201463229145971</v>
      </c>
    </row>
    <row r="169" spans="1:16" x14ac:dyDescent="0.3">
      <c r="A169">
        <v>8.4434747000000012</v>
      </c>
      <c r="B169">
        <v>0.30708999999999997</v>
      </c>
      <c r="C169">
        <f t="shared" si="25"/>
        <v>2.5929066456230001</v>
      </c>
      <c r="D169">
        <v>1.9E-2</v>
      </c>
      <c r="E169">
        <v>9.9000000000000008E-3</v>
      </c>
      <c r="F169">
        <f t="shared" si="26"/>
        <v>1688.6949400000003</v>
      </c>
      <c r="G169">
        <f t="shared" si="36"/>
        <v>-0.30708999999999997</v>
      </c>
      <c r="H169">
        <f t="shared" si="28"/>
        <v>-518.58132912460007</v>
      </c>
      <c r="I169">
        <v>1</v>
      </c>
      <c r="J169">
        <f t="shared" si="29"/>
        <v>0.52395600576371071</v>
      </c>
      <c r="K169">
        <f t="shared" si="30"/>
        <v>-0.87282057297601201</v>
      </c>
      <c r="L169">
        <v>1</v>
      </c>
      <c r="M169">
        <f t="shared" si="31"/>
        <v>0.49594030587435262</v>
      </c>
      <c r="N169">
        <f t="shared" si="37"/>
        <v>0.16042601930000003</v>
      </c>
      <c r="O169">
        <f t="shared" si="38"/>
        <v>8.3590399530000026E-2</v>
      </c>
      <c r="P169">
        <f t="shared" si="39"/>
        <v>0.13286384827165934</v>
      </c>
    </row>
    <row r="170" spans="1:16" x14ac:dyDescent="0.3">
      <c r="A170">
        <v>8.4935644500000009</v>
      </c>
      <c r="B170">
        <v>0.30438999999999999</v>
      </c>
      <c r="C170">
        <f t="shared" si="25"/>
        <v>2.5853560829355002</v>
      </c>
      <c r="D170">
        <v>1.9E-2</v>
      </c>
      <c r="E170">
        <v>9.9000000000000008E-3</v>
      </c>
      <c r="F170">
        <f t="shared" si="26"/>
        <v>1698.7128900000002</v>
      </c>
      <c r="G170">
        <f t="shared" si="36"/>
        <v>-0.30438999999999999</v>
      </c>
      <c r="H170">
        <f t="shared" si="28"/>
        <v>-517.07121658710003</v>
      </c>
      <c r="I170">
        <v>1</v>
      </c>
      <c r="J170">
        <f t="shared" si="29"/>
        <v>0.52987084076998692</v>
      </c>
      <c r="K170">
        <f t="shared" si="30"/>
        <v>-0.87552057297601205</v>
      </c>
      <c r="L170">
        <v>1</v>
      </c>
      <c r="M170">
        <f t="shared" si="31"/>
        <v>0.49622185202065133</v>
      </c>
      <c r="N170">
        <f t="shared" si="37"/>
        <v>0.16137772455000002</v>
      </c>
      <c r="O170">
        <f t="shared" si="38"/>
        <v>8.4086288055000014E-2</v>
      </c>
      <c r="P170">
        <f t="shared" si="39"/>
        <v>0.13383470835036068</v>
      </c>
    </row>
    <row r="171" spans="1:16" x14ac:dyDescent="0.3">
      <c r="A171">
        <v>8.5446553500000011</v>
      </c>
      <c r="B171">
        <v>0.30159999999999998</v>
      </c>
      <c r="C171">
        <f t="shared" si="25"/>
        <v>2.5770680535600001</v>
      </c>
      <c r="D171">
        <v>1.9E-2</v>
      </c>
      <c r="E171">
        <v>9.9000000000000008E-3</v>
      </c>
      <c r="F171">
        <f t="shared" si="26"/>
        <v>1708.9310700000003</v>
      </c>
      <c r="G171">
        <f t="shared" si="36"/>
        <v>-0.30159999999999998</v>
      </c>
      <c r="H171">
        <f t="shared" si="28"/>
        <v>-515.41361071200004</v>
      </c>
      <c r="I171">
        <v>1</v>
      </c>
      <c r="J171">
        <f t="shared" si="29"/>
        <v>0.53586806979165613</v>
      </c>
      <c r="K171">
        <f t="shared" si="30"/>
        <v>-0.87831057297601201</v>
      </c>
      <c r="L171">
        <v>1</v>
      </c>
      <c r="M171">
        <f t="shared" si="31"/>
        <v>0.49650732012208282</v>
      </c>
      <c r="N171">
        <f t="shared" si="37"/>
        <v>0.16234845165</v>
      </c>
      <c r="O171">
        <f t="shared" si="38"/>
        <v>8.4592087965000021E-2</v>
      </c>
      <c r="P171">
        <f t="shared" si="39"/>
        <v>0.13486271323892918</v>
      </c>
    </row>
    <row r="172" spans="1:16" x14ac:dyDescent="0.3">
      <c r="A172">
        <v>8.5957460999999995</v>
      </c>
      <c r="B172">
        <v>0.29860999999999999</v>
      </c>
      <c r="C172">
        <f t="shared" si="25"/>
        <v>2.5667757429209996</v>
      </c>
      <c r="D172">
        <v>1.9E-2</v>
      </c>
      <c r="E172">
        <v>9.9000000000000008E-3</v>
      </c>
      <c r="F172">
        <f t="shared" si="26"/>
        <v>1719.1492199999998</v>
      </c>
      <c r="G172">
        <f t="shared" si="36"/>
        <v>-0.29860999999999999</v>
      </c>
      <c r="H172">
        <f t="shared" si="28"/>
        <v>-513.35514858419992</v>
      </c>
      <c r="I172">
        <v>1</v>
      </c>
      <c r="J172">
        <f t="shared" si="29"/>
        <v>0.54182952891598724</v>
      </c>
      <c r="K172">
        <f t="shared" si="30"/>
        <v>-0.88130057297601194</v>
      </c>
      <c r="L172">
        <v>1</v>
      </c>
      <c r="M172">
        <f t="shared" si="31"/>
        <v>0.49679108557640095</v>
      </c>
      <c r="N172">
        <f t="shared" si="37"/>
        <v>0.16331917589999997</v>
      </c>
      <c r="O172">
        <f t="shared" si="38"/>
        <v>8.5097886390000002E-2</v>
      </c>
      <c r="P172">
        <f t="shared" si="39"/>
        <v>0.136092425109611</v>
      </c>
    </row>
    <row r="173" spans="1:16" x14ac:dyDescent="0.3">
      <c r="A173">
        <v>8.6458358499999992</v>
      </c>
      <c r="B173">
        <v>0.29574</v>
      </c>
      <c r="C173">
        <f t="shared" si="25"/>
        <v>2.5569194942789997</v>
      </c>
      <c r="D173">
        <v>1.9E-2</v>
      </c>
      <c r="E173">
        <v>9.9000000000000008E-3</v>
      </c>
      <c r="F173">
        <f t="shared" si="26"/>
        <v>1729.1671699999999</v>
      </c>
      <c r="G173">
        <f t="shared" si="36"/>
        <v>-0.29574</v>
      </c>
      <c r="H173">
        <f t="shared" si="28"/>
        <v>-511.38389885579994</v>
      </c>
      <c r="I173">
        <v>1</v>
      </c>
      <c r="J173">
        <f t="shared" si="29"/>
        <v>0.547639887973002</v>
      </c>
      <c r="K173">
        <f t="shared" si="30"/>
        <v>-0.88417057297601198</v>
      </c>
      <c r="L173">
        <v>1</v>
      </c>
      <c r="M173">
        <f t="shared" si="31"/>
        <v>0.4970676586675149</v>
      </c>
      <c r="N173">
        <f t="shared" si="37"/>
        <v>0.16427088114999999</v>
      </c>
      <c r="O173">
        <f t="shared" si="38"/>
        <v>8.5593774915000004E-2</v>
      </c>
      <c r="P173">
        <f t="shared" si="39"/>
        <v>0.13723825824349709</v>
      </c>
    </row>
    <row r="174" spans="1:16" x14ac:dyDescent="0.3">
      <c r="A174">
        <v>8.696425249999999</v>
      </c>
      <c r="B174">
        <v>0.29292000000000001</v>
      </c>
      <c r="C174">
        <f t="shared" si="25"/>
        <v>2.5473568842299996</v>
      </c>
      <c r="D174">
        <v>1.9E-2</v>
      </c>
      <c r="E174">
        <v>9.9000000000000008E-3</v>
      </c>
      <c r="F174">
        <f t="shared" si="26"/>
        <v>1739.2850499999997</v>
      </c>
      <c r="G174">
        <f t="shared" si="36"/>
        <v>-0.29292000000000001</v>
      </c>
      <c r="H174">
        <f t="shared" si="28"/>
        <v>-509.47137684599994</v>
      </c>
      <c r="I174">
        <v>1</v>
      </c>
      <c r="J174">
        <f t="shared" si="29"/>
        <v>0.5534741379830822</v>
      </c>
      <c r="K174">
        <f t="shared" si="30"/>
        <v>-0.88699057297601192</v>
      </c>
      <c r="L174">
        <v>1</v>
      </c>
      <c r="M174">
        <f t="shared" si="31"/>
        <v>0.49734536896799469</v>
      </c>
      <c r="N174">
        <f t="shared" si="37"/>
        <v>0.16523207974999998</v>
      </c>
      <c r="O174">
        <f t="shared" si="38"/>
        <v>8.6094609975E-2</v>
      </c>
      <c r="P174">
        <f t="shared" si="39"/>
        <v>0.13831851428301722</v>
      </c>
    </row>
    <row r="175" spans="1:16" x14ac:dyDescent="0.3">
      <c r="A175">
        <v>8.7460135999999995</v>
      </c>
      <c r="B175">
        <v>0.28954000000000002</v>
      </c>
      <c r="C175">
        <f t="shared" si="25"/>
        <v>2.5323207777440002</v>
      </c>
      <c r="D175">
        <v>1.9E-2</v>
      </c>
      <c r="E175">
        <v>9.9000000000000008E-3</v>
      </c>
      <c r="F175">
        <f t="shared" si="26"/>
        <v>1749.20272</v>
      </c>
      <c r="G175">
        <f t="shared" si="36"/>
        <v>-0.28954000000000002</v>
      </c>
      <c r="H175">
        <f t="shared" si="28"/>
        <v>-506.46415554880002</v>
      </c>
      <c r="I175">
        <v>1</v>
      </c>
      <c r="J175">
        <f t="shared" si="29"/>
        <v>0.55916009555198931</v>
      </c>
      <c r="K175">
        <f t="shared" si="30"/>
        <v>-0.89037057297601196</v>
      </c>
      <c r="L175">
        <v>1</v>
      </c>
      <c r="M175">
        <f t="shared" si="31"/>
        <v>0.4976160205482747</v>
      </c>
      <c r="N175">
        <f t="shared" si="37"/>
        <v>0.1661742584</v>
      </c>
      <c r="O175">
        <f t="shared" si="38"/>
        <v>8.6585534640000003E-2</v>
      </c>
      <c r="P175">
        <f t="shared" si="39"/>
        <v>0.13999475938773726</v>
      </c>
    </row>
    <row r="176" spans="1:16" x14ac:dyDescent="0.3">
      <c r="A176">
        <v>8.7966038500000003</v>
      </c>
      <c r="B176">
        <v>0.28716999999999998</v>
      </c>
      <c r="C176">
        <f t="shared" si="25"/>
        <v>2.5261207276044999</v>
      </c>
      <c r="D176">
        <v>1.9E-2</v>
      </c>
      <c r="E176">
        <v>9.9000000000000008E-3</v>
      </c>
      <c r="F176">
        <f t="shared" si="26"/>
        <v>1759.32077</v>
      </c>
      <c r="G176">
        <f t="shared" si="36"/>
        <v>-0.28716999999999998</v>
      </c>
      <c r="H176">
        <f t="shared" si="28"/>
        <v>-505.22414552089998</v>
      </c>
      <c r="I176">
        <v>1</v>
      </c>
      <c r="J176">
        <f t="shared" si="29"/>
        <v>0.56492780842504009</v>
      </c>
      <c r="K176">
        <f t="shared" si="30"/>
        <v>-0.89274057297601206</v>
      </c>
      <c r="L176">
        <v>1</v>
      </c>
      <c r="M176">
        <f t="shared" si="31"/>
        <v>0.49789056368103191</v>
      </c>
      <c r="N176">
        <f t="shared" si="37"/>
        <v>0.16713547314999999</v>
      </c>
      <c r="O176">
        <f t="shared" si="38"/>
        <v>8.7086378115000015E-2</v>
      </c>
      <c r="P176">
        <f t="shared" si="39"/>
        <v>0.14062815802998013</v>
      </c>
    </row>
    <row r="177" spans="1:16" x14ac:dyDescent="0.3">
      <c r="A177">
        <v>8.8466927000000002</v>
      </c>
      <c r="B177">
        <v>0.28394000000000003</v>
      </c>
      <c r="C177">
        <f t="shared" si="25"/>
        <v>2.5119299252380003</v>
      </c>
      <c r="D177">
        <v>1.9E-2</v>
      </c>
      <c r="E177">
        <v>9.9000000000000008E-3</v>
      </c>
      <c r="F177">
        <f t="shared" si="26"/>
        <v>1769.33854</v>
      </c>
      <c r="G177">
        <f t="shared" si="36"/>
        <v>-0.28394000000000003</v>
      </c>
      <c r="H177">
        <f t="shared" si="28"/>
        <v>-502.38598504760006</v>
      </c>
      <c r="I177">
        <v>1</v>
      </c>
      <c r="J177">
        <f t="shared" si="29"/>
        <v>0.57060577052547934</v>
      </c>
      <c r="K177">
        <f t="shared" si="30"/>
        <v>-0.8959705729760119</v>
      </c>
      <c r="L177">
        <v>1</v>
      </c>
      <c r="M177">
        <f t="shared" si="31"/>
        <v>0.49816083467701278</v>
      </c>
      <c r="N177">
        <f t="shared" si="37"/>
        <v>0.16808716130000001</v>
      </c>
      <c r="O177">
        <f t="shared" si="38"/>
        <v>8.7582257730000015E-2</v>
      </c>
      <c r="P177">
        <f t="shared" si="39"/>
        <v>0.14214031926899912</v>
      </c>
    </row>
    <row r="178" spans="1:16" x14ac:dyDescent="0.3">
      <c r="A178">
        <v>8.8962809499999995</v>
      </c>
      <c r="B178">
        <v>0.28092</v>
      </c>
      <c r="C178">
        <f t="shared" si="25"/>
        <v>2.4991432444739998</v>
      </c>
      <c r="D178">
        <v>1.9E-2</v>
      </c>
      <c r="E178">
        <v>9.9000000000000008E-3</v>
      </c>
      <c r="F178">
        <f t="shared" si="26"/>
        <v>1779.2561899999998</v>
      </c>
      <c r="G178">
        <f t="shared" si="36"/>
        <v>-0.28092</v>
      </c>
      <c r="H178">
        <f t="shared" si="28"/>
        <v>-499.82864889479998</v>
      </c>
      <c r="I178">
        <v>1</v>
      </c>
      <c r="J178">
        <f t="shared" si="29"/>
        <v>0.57619540618514986</v>
      </c>
      <c r="K178">
        <f t="shared" si="30"/>
        <v>-0.89899057297601193</v>
      </c>
      <c r="L178">
        <v>1</v>
      </c>
      <c r="M178">
        <f t="shared" si="31"/>
        <v>0.49842690133441309</v>
      </c>
      <c r="N178">
        <f t="shared" si="37"/>
        <v>0.16902933804999998</v>
      </c>
      <c r="O178">
        <f t="shared" si="38"/>
        <v>8.8073181405000006E-2</v>
      </c>
      <c r="P178">
        <f t="shared" si="39"/>
        <v>0.14346115218659886</v>
      </c>
    </row>
    <row r="179" spans="1:16" x14ac:dyDescent="0.3">
      <c r="A179">
        <v>8.9473718499999997</v>
      </c>
      <c r="B179">
        <v>0.27843000000000001</v>
      </c>
      <c r="C179">
        <f t="shared" si="25"/>
        <v>2.4912167441955</v>
      </c>
      <c r="D179">
        <v>1.9E-2</v>
      </c>
      <c r="E179">
        <v>9.9000000000000008E-3</v>
      </c>
      <c r="F179">
        <f t="shared" si="26"/>
        <v>1789.4743699999999</v>
      </c>
      <c r="G179">
        <f t="shared" si="36"/>
        <v>-0.27843000000000001</v>
      </c>
      <c r="H179">
        <f t="shared" si="28"/>
        <v>-498.24334883910001</v>
      </c>
      <c r="I179">
        <v>1</v>
      </c>
      <c r="J179">
        <f t="shared" si="29"/>
        <v>0.58192192868494164</v>
      </c>
      <c r="K179">
        <f t="shared" si="30"/>
        <v>-0.90148057297601203</v>
      </c>
      <c r="L179">
        <v>1</v>
      </c>
      <c r="M179">
        <f t="shared" si="31"/>
        <v>0.49869948380540319</v>
      </c>
      <c r="N179">
        <f t="shared" si="37"/>
        <v>0.17000006514999999</v>
      </c>
      <c r="O179">
        <f t="shared" si="38"/>
        <v>8.8578981314999999E-2</v>
      </c>
      <c r="P179">
        <f t="shared" si="39"/>
        <v>0.14420204270560885</v>
      </c>
    </row>
    <row r="180" spans="1:16" x14ac:dyDescent="0.3">
      <c r="A180">
        <v>9.0009670499999999</v>
      </c>
      <c r="B180">
        <v>0.27531</v>
      </c>
      <c r="C180">
        <f t="shared" si="25"/>
        <v>2.4780562385354998</v>
      </c>
      <c r="D180">
        <v>1.9E-2</v>
      </c>
      <c r="E180">
        <v>9.9000000000000008E-3</v>
      </c>
      <c r="F180">
        <f t="shared" si="26"/>
        <v>1800.1934099999999</v>
      </c>
      <c r="G180">
        <f t="shared" si="36"/>
        <v>-0.27531</v>
      </c>
      <c r="H180">
        <f t="shared" si="28"/>
        <v>-495.61124770709995</v>
      </c>
      <c r="I180">
        <v>1</v>
      </c>
      <c r="J180">
        <f t="shared" si="29"/>
        <v>0.58789410912978113</v>
      </c>
      <c r="K180">
        <f t="shared" si="30"/>
        <v>-0.90460057297601204</v>
      </c>
      <c r="L180">
        <v>1</v>
      </c>
      <c r="M180">
        <f t="shared" si="31"/>
        <v>0.49898375959457758</v>
      </c>
      <c r="N180">
        <f t="shared" si="37"/>
        <v>0.17101837395</v>
      </c>
      <c r="O180">
        <f t="shared" si="38"/>
        <v>8.9109573795000008E-2</v>
      </c>
      <c r="P180">
        <f t="shared" si="39"/>
        <v>0.14548886563643446</v>
      </c>
    </row>
    <row r="181" spans="1:16" x14ac:dyDescent="0.3">
      <c r="A181">
        <v>9.0535612499999996</v>
      </c>
      <c r="B181">
        <v>0.27242</v>
      </c>
      <c r="C181">
        <f t="shared" si="25"/>
        <v>2.4663711557249997</v>
      </c>
      <c r="D181">
        <v>1.9E-2</v>
      </c>
      <c r="E181">
        <v>9.9000000000000008E-3</v>
      </c>
      <c r="F181">
        <f t="shared" si="26"/>
        <v>1810.7122499999998</v>
      </c>
      <c r="G181">
        <f t="shared" si="36"/>
        <v>-0.27242</v>
      </c>
      <c r="H181">
        <f t="shared" si="28"/>
        <v>-493.27423114499993</v>
      </c>
      <c r="I181">
        <v>1</v>
      </c>
      <c r="J181">
        <f t="shared" si="29"/>
        <v>0.59372027616094647</v>
      </c>
      <c r="K181">
        <f t="shared" si="30"/>
        <v>-0.90749057297601199</v>
      </c>
      <c r="L181">
        <v>1</v>
      </c>
      <c r="M181">
        <f t="shared" si="31"/>
        <v>0.49926108514526102</v>
      </c>
      <c r="N181">
        <f t="shared" si="37"/>
        <v>0.17201766374999999</v>
      </c>
      <c r="O181">
        <f t="shared" si="38"/>
        <v>8.9630256375000009E-2</v>
      </c>
      <c r="P181">
        <f t="shared" si="39"/>
        <v>0.14658156770575098</v>
      </c>
    </row>
    <row r="182" spans="1:16" x14ac:dyDescent="0.3">
      <c r="A182">
        <v>9.1056540500000001</v>
      </c>
      <c r="B182">
        <v>0.26919999999999999</v>
      </c>
      <c r="C182">
        <f t="shared" si="25"/>
        <v>2.4512420702600002</v>
      </c>
      <c r="D182">
        <v>1.9E-2</v>
      </c>
      <c r="E182">
        <v>9.9000000000000008E-3</v>
      </c>
      <c r="F182">
        <f t="shared" si="26"/>
        <v>1821.1308100000001</v>
      </c>
      <c r="G182">
        <f t="shared" si="36"/>
        <v>-0.26919999999999999</v>
      </c>
      <c r="H182">
        <f t="shared" si="28"/>
        <v>-490.24841405200004</v>
      </c>
      <c r="I182">
        <v>1</v>
      </c>
      <c r="J182">
        <f t="shared" si="29"/>
        <v>0.59945763232257798</v>
      </c>
      <c r="K182">
        <f t="shared" si="30"/>
        <v>-0.91071057297601199</v>
      </c>
      <c r="L182">
        <v>1</v>
      </c>
      <c r="M182">
        <f t="shared" si="31"/>
        <v>0.4995341832985547</v>
      </c>
      <c r="N182">
        <f t="shared" si="37"/>
        <v>0.17300742694999999</v>
      </c>
      <c r="O182">
        <f t="shared" si="38"/>
        <v>9.0145975095000011E-2</v>
      </c>
      <c r="P182">
        <f t="shared" si="39"/>
        <v>0.1480229876324573</v>
      </c>
    </row>
    <row r="183" spans="1:16" x14ac:dyDescent="0.3">
      <c r="A183">
        <v>9.1572453500000002</v>
      </c>
      <c r="B183">
        <v>0.26594000000000001</v>
      </c>
      <c r="C183">
        <f t="shared" si="25"/>
        <v>2.4352778283790002</v>
      </c>
      <c r="D183">
        <v>1.9E-2</v>
      </c>
      <c r="E183">
        <v>9.9000000000000008E-3</v>
      </c>
      <c r="F183">
        <f t="shared" si="26"/>
        <v>1831.4490700000001</v>
      </c>
      <c r="G183">
        <f t="shared" si="36"/>
        <v>-0.26594000000000001</v>
      </c>
      <c r="H183">
        <f t="shared" si="28"/>
        <v>-487.05556567580004</v>
      </c>
      <c r="I183">
        <v>1</v>
      </c>
      <c r="J183">
        <f t="shared" si="29"/>
        <v>0.60510749504228001</v>
      </c>
      <c r="K183">
        <f t="shared" si="30"/>
        <v>-0.91397057297601192</v>
      </c>
      <c r="L183">
        <v>1</v>
      </c>
      <c r="M183">
        <f t="shared" si="31"/>
        <v>0.49980311676401251</v>
      </c>
      <c r="N183">
        <f t="shared" si="37"/>
        <v>0.17398766164999999</v>
      </c>
      <c r="O183">
        <f t="shared" si="38"/>
        <v>9.0656728965000002E-2</v>
      </c>
      <c r="P183">
        <f t="shared" si="39"/>
        <v>0.1495230655969994</v>
      </c>
    </row>
    <row r="184" spans="1:16" x14ac:dyDescent="0.3">
      <c r="A184">
        <v>9.2098396000000005</v>
      </c>
      <c r="B184">
        <v>0.26284000000000002</v>
      </c>
      <c r="C184">
        <f t="shared" si="25"/>
        <v>2.4207142404640001</v>
      </c>
      <c r="D184">
        <v>1.9E-2</v>
      </c>
      <c r="E184">
        <v>9.9000000000000008E-3</v>
      </c>
      <c r="F184">
        <f t="shared" si="26"/>
        <v>1841.96792</v>
      </c>
      <c r="G184">
        <f t="shared" si="36"/>
        <v>-0.26284000000000002</v>
      </c>
      <c r="H184">
        <f t="shared" si="28"/>
        <v>-484.14284809280002</v>
      </c>
      <c r="I184">
        <v>1</v>
      </c>
      <c r="J184">
        <f t="shared" si="29"/>
        <v>0.61083452182912301</v>
      </c>
      <c r="K184">
        <f t="shared" si="30"/>
        <v>-0.91707057297601202</v>
      </c>
      <c r="L184">
        <v>1</v>
      </c>
      <c r="M184">
        <f t="shared" si="31"/>
        <v>0.50007572323906624</v>
      </c>
      <c r="N184">
        <f t="shared" si="37"/>
        <v>0.17498695240000001</v>
      </c>
      <c r="O184">
        <f t="shared" si="38"/>
        <v>9.1177412040000017E-2</v>
      </c>
      <c r="P184">
        <f t="shared" si="39"/>
        <v>0.15083048529694576</v>
      </c>
    </row>
    <row r="185" spans="1:16" x14ac:dyDescent="0.3">
      <c r="A185">
        <v>9.2594278499999998</v>
      </c>
      <c r="B185">
        <v>0.25969999999999999</v>
      </c>
      <c r="C185">
        <f t="shared" si="25"/>
        <v>2.4046734126449998</v>
      </c>
      <c r="D185">
        <v>1.9E-2</v>
      </c>
      <c r="E185">
        <v>9.9000000000000008E-3</v>
      </c>
      <c r="F185">
        <f t="shared" si="26"/>
        <v>1851.8855699999999</v>
      </c>
      <c r="G185">
        <f t="shared" si="36"/>
        <v>-0.25969999999999999</v>
      </c>
      <c r="H185">
        <f t="shared" si="28"/>
        <v>-480.93468252899993</v>
      </c>
      <c r="I185">
        <v>1</v>
      </c>
      <c r="J185">
        <f t="shared" si="29"/>
        <v>0.61620434705805693</v>
      </c>
      <c r="K185">
        <f t="shared" si="30"/>
        <v>-0.92021057297601194</v>
      </c>
      <c r="L185">
        <v>1</v>
      </c>
      <c r="M185">
        <f t="shared" si="31"/>
        <v>0.50033132691996351</v>
      </c>
      <c r="N185">
        <f t="shared" si="37"/>
        <v>0.17592912915</v>
      </c>
      <c r="O185">
        <f t="shared" si="38"/>
        <v>9.1668335715000007E-2</v>
      </c>
      <c r="P185">
        <f t="shared" si="39"/>
        <v>0.1522817811910484</v>
      </c>
    </row>
    <row r="186" spans="1:16" x14ac:dyDescent="0.3">
      <c r="A186">
        <v>9.31051875</v>
      </c>
      <c r="B186">
        <v>0.25662000000000001</v>
      </c>
      <c r="C186">
        <f t="shared" si="25"/>
        <v>2.3892653216249999</v>
      </c>
      <c r="D186">
        <v>1.9E-2</v>
      </c>
      <c r="E186">
        <v>9.9000000000000008E-3</v>
      </c>
      <c r="F186">
        <f t="shared" si="26"/>
        <v>1862.10375</v>
      </c>
      <c r="G186">
        <f t="shared" si="36"/>
        <v>-0.25662000000000001</v>
      </c>
      <c r="H186">
        <f t="shared" si="28"/>
        <v>-477.85306432499999</v>
      </c>
      <c r="I186">
        <v>1</v>
      </c>
      <c r="J186">
        <f t="shared" si="29"/>
        <v>0.62170689695887649</v>
      </c>
      <c r="K186">
        <f t="shared" si="30"/>
        <v>-0.92329057297601191</v>
      </c>
      <c r="L186">
        <v>1</v>
      </c>
      <c r="M186">
        <f t="shared" si="31"/>
        <v>0.50059324829524254</v>
      </c>
      <c r="N186">
        <f t="shared" si="37"/>
        <v>0.17689985624999999</v>
      </c>
      <c r="O186">
        <f t="shared" si="38"/>
        <v>9.2174135625E-2</v>
      </c>
      <c r="P186">
        <f t="shared" si="39"/>
        <v>0.1536233328057694</v>
      </c>
    </row>
    <row r="187" spans="1:16" x14ac:dyDescent="0.3">
      <c r="A187">
        <v>9.3606084999999997</v>
      </c>
      <c r="B187">
        <v>0.25353999999999999</v>
      </c>
      <c r="C187">
        <f t="shared" si="25"/>
        <v>2.3732886790899999</v>
      </c>
      <c r="D187">
        <v>1.9E-2</v>
      </c>
      <c r="E187">
        <v>9.9000000000000008E-3</v>
      </c>
      <c r="F187">
        <f t="shared" si="26"/>
        <v>1872.1216999999999</v>
      </c>
      <c r="G187">
        <f t="shared" si="36"/>
        <v>-0.25353999999999999</v>
      </c>
      <c r="H187">
        <f t="shared" si="28"/>
        <v>-474.65773581799999</v>
      </c>
      <c r="I187">
        <v>1</v>
      </c>
      <c r="J187">
        <f t="shared" si="29"/>
        <v>0.62707238662605802</v>
      </c>
      <c r="K187">
        <f t="shared" si="30"/>
        <v>-0.926370572976012</v>
      </c>
      <c r="L187">
        <v>1</v>
      </c>
      <c r="M187">
        <f t="shared" si="31"/>
        <v>0.50084864560340037</v>
      </c>
      <c r="N187">
        <f t="shared" si="37"/>
        <v>0.17785156149999998</v>
      </c>
      <c r="O187">
        <f t="shared" si="38"/>
        <v>9.2670024150000002E-2</v>
      </c>
      <c r="P187">
        <f t="shared" si="39"/>
        <v>0.15500034172261165</v>
      </c>
    </row>
    <row r="188" spans="1:16" x14ac:dyDescent="0.3">
      <c r="A188">
        <v>9.4121997999999998</v>
      </c>
      <c r="B188">
        <v>0.25086000000000003</v>
      </c>
      <c r="C188">
        <f t="shared" si="25"/>
        <v>2.3611444418280003</v>
      </c>
      <c r="D188">
        <v>1.9E-2</v>
      </c>
      <c r="E188">
        <v>9.9000000000000008E-3</v>
      </c>
      <c r="F188">
        <f t="shared" si="26"/>
        <v>1882.4399599999999</v>
      </c>
      <c r="G188">
        <f t="shared" ref="G188:G211" si="40">-B188</f>
        <v>-0.25086000000000003</v>
      </c>
      <c r="H188">
        <f t="shared" si="28"/>
        <v>-472.22888836560008</v>
      </c>
      <c r="I188">
        <v>1</v>
      </c>
      <c r="J188">
        <f t="shared" si="29"/>
        <v>0.6325687864249947</v>
      </c>
      <c r="K188">
        <f t="shared" ref="K188:K211" si="41">((-G188)-$N$2)</f>
        <v>-0.9290505729760119</v>
      </c>
      <c r="L188">
        <v>1</v>
      </c>
      <c r="M188">
        <f t="shared" si="31"/>
        <v>0.5011102742338297</v>
      </c>
      <c r="N188">
        <f t="shared" ref="N188:N211" si="42">D188*A188</f>
        <v>0.1788317962</v>
      </c>
      <c r="O188">
        <f t="shared" ref="O188:O211" si="43">E188*A188</f>
        <v>9.3180778020000007E-2</v>
      </c>
      <c r="P188">
        <f t="shared" ref="P188:P211" si="44">-K188-M188-N188-O188</f>
        <v>0.15592772452218218</v>
      </c>
    </row>
    <row r="189" spans="1:16" x14ac:dyDescent="0.3">
      <c r="A189">
        <v>9.461789099999999</v>
      </c>
      <c r="B189">
        <v>0.24759</v>
      </c>
      <c r="C189">
        <f t="shared" si="25"/>
        <v>2.3426443632689997</v>
      </c>
      <c r="D189">
        <v>1.9E-2</v>
      </c>
      <c r="E189">
        <v>9.9000000000000008E-3</v>
      </c>
      <c r="F189">
        <f t="shared" si="26"/>
        <v>1892.3578199999997</v>
      </c>
      <c r="G189">
        <f t="shared" si="40"/>
        <v>-0.24759</v>
      </c>
      <c r="H189">
        <f t="shared" si="28"/>
        <v>-468.52887265379997</v>
      </c>
      <c r="I189">
        <v>1</v>
      </c>
      <c r="J189">
        <f t="shared" si="29"/>
        <v>0.63782357536982237</v>
      </c>
      <c r="K189">
        <f t="shared" si="41"/>
        <v>-0.93232057297601201</v>
      </c>
      <c r="L189">
        <v>1</v>
      </c>
      <c r="M189">
        <f t="shared" si="31"/>
        <v>0.50136040218760347</v>
      </c>
      <c r="N189">
        <f t="shared" si="42"/>
        <v>0.17977399289999998</v>
      </c>
      <c r="O189">
        <f t="shared" si="43"/>
        <v>9.3671712089999998E-2</v>
      </c>
      <c r="P189">
        <f t="shared" si="44"/>
        <v>0.15751446579840858</v>
      </c>
    </row>
    <row r="190" spans="1:16" x14ac:dyDescent="0.3">
      <c r="C190">
        <f t="shared" si="25"/>
        <v>0</v>
      </c>
      <c r="D190">
        <v>1.9E-2</v>
      </c>
      <c r="E190">
        <v>9.9000000000000008E-3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1:16" x14ac:dyDescent="0.3">
      <c r="C191">
        <f t="shared" si="25"/>
        <v>0</v>
      </c>
      <c r="D191">
        <v>1.9E-2</v>
      </c>
      <c r="E191">
        <v>9.9000000000000008E-3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1:16" x14ac:dyDescent="0.3">
      <c r="C192">
        <f t="shared" si="25"/>
        <v>0</v>
      </c>
      <c r="D192">
        <v>1.9E-2</v>
      </c>
      <c r="E192">
        <v>9.9000000000000008E-3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1.9E-2</v>
      </c>
      <c r="E193">
        <v>9.9000000000000008E-3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1.9E-2</v>
      </c>
      <c r="E194">
        <v>9.9000000000000008E-3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1.9E-2</v>
      </c>
      <c r="E195">
        <v>9.9000000000000008E-3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1.9E-2</v>
      </c>
      <c r="E196">
        <v>9.9000000000000008E-3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1.9E-2</v>
      </c>
      <c r="E197">
        <v>9.9000000000000008E-3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1.9E-2</v>
      </c>
      <c r="E198">
        <v>9.9000000000000008E-3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1.9E-2</v>
      </c>
      <c r="E199">
        <v>9.9000000000000008E-3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1.9E-2</v>
      </c>
      <c r="E200">
        <v>9.9000000000000008E-3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1.9E-2</v>
      </c>
      <c r="E201">
        <v>9.9000000000000008E-3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1.9E-2</v>
      </c>
      <c r="E202">
        <v>9.9000000000000008E-3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1.9E-2</v>
      </c>
      <c r="E203">
        <v>9.9000000000000008E-3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1.9E-2</v>
      </c>
      <c r="E204">
        <v>9.9000000000000008E-3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1.9E-2</v>
      </c>
      <c r="E205">
        <v>9.9000000000000008E-3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1.9E-2</v>
      </c>
      <c r="E206">
        <v>9.9000000000000008E-3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1.9E-2</v>
      </c>
      <c r="E207">
        <v>9.9000000000000008E-3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1.9E-2</v>
      </c>
      <c r="E208">
        <v>9.9000000000000008E-3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1.9E-2</v>
      </c>
      <c r="E209">
        <v>9.9000000000000008E-3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1.9E-2</v>
      </c>
      <c r="E210">
        <v>9.9000000000000008E-3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1.9E-2</v>
      </c>
      <c r="E211">
        <v>9.9000000000000008E-3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1.9E-2</v>
      </c>
      <c r="E212">
        <v>9.9000000000000008E-3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1.9E-2</v>
      </c>
      <c r="E213">
        <v>9.9000000000000008E-3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1.9E-2</v>
      </c>
      <c r="E214">
        <v>9.9000000000000008E-3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1.9E-2</v>
      </c>
      <c r="E215">
        <v>9.9000000000000008E-3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1.9E-2</v>
      </c>
      <c r="E216">
        <v>9.9000000000000008E-3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1.9E-2</v>
      </c>
      <c r="E217">
        <v>9.9000000000000008E-3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1.9E-2</v>
      </c>
      <c r="E218">
        <v>9.9000000000000008E-3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1.9E-2</v>
      </c>
      <c r="E219">
        <v>9.9000000000000008E-3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1.9E-2</v>
      </c>
      <c r="E220">
        <v>9.9000000000000008E-3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1.9E-2</v>
      </c>
      <c r="E221">
        <v>9.9000000000000008E-3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1.9E-2</v>
      </c>
      <c r="E222">
        <v>9.9000000000000008E-3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1.9E-2</v>
      </c>
      <c r="E223">
        <v>9.9000000000000008E-3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1.9E-2</v>
      </c>
      <c r="E224">
        <v>9.9000000000000008E-3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1.9E-2</v>
      </c>
      <c r="E225">
        <v>9.9000000000000008E-3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1.9E-2</v>
      </c>
      <c r="E226">
        <v>9.9000000000000008E-3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1.9E-2</v>
      </c>
      <c r="E227">
        <v>9.9000000000000008E-3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1.9E-2</v>
      </c>
      <c r="E228">
        <v>9.9000000000000008E-3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1.9E-2</v>
      </c>
      <c r="E229">
        <v>9.9000000000000008E-3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1.9E-2</v>
      </c>
      <c r="E230">
        <v>9.9000000000000008E-3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1.9E-2</v>
      </c>
      <c r="E231">
        <v>9.9000000000000008E-3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1.9E-2</v>
      </c>
      <c r="E232">
        <v>9.9000000000000008E-3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1.9E-2</v>
      </c>
      <c r="E233">
        <v>9.9000000000000008E-3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1.9E-2</v>
      </c>
      <c r="E234">
        <v>9.9000000000000008E-3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1.9E-2</v>
      </c>
      <c r="E235">
        <v>9.9000000000000008E-3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1.9E-2</v>
      </c>
      <c r="E236">
        <v>9.9000000000000008E-3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1.9E-2</v>
      </c>
      <c r="E237">
        <v>9.9000000000000008E-3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1.9E-2</v>
      </c>
      <c r="E238">
        <v>9.9000000000000008E-3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1.9E-2</v>
      </c>
      <c r="E239">
        <v>9.9000000000000008E-3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1.9E-2</v>
      </c>
      <c r="E240">
        <v>9.9000000000000008E-3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1.9E-2</v>
      </c>
      <c r="E241">
        <v>9.9000000000000008E-3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1.9E-2</v>
      </c>
      <c r="E242">
        <v>9.9000000000000008E-3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1.9E-2</v>
      </c>
      <c r="E243">
        <v>9.9000000000000008E-3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1.9E-2</v>
      </c>
      <c r="E244">
        <v>9.9000000000000008E-3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1.9E-2</v>
      </c>
      <c r="E245">
        <v>9.9000000000000008E-3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1.9E-2</v>
      </c>
      <c r="E246">
        <v>9.9000000000000008E-3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1.9E-2</v>
      </c>
      <c r="E247">
        <v>9.9000000000000008E-3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1.9E-2</v>
      </c>
      <c r="E248">
        <v>9.9000000000000008E-3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1.9E-2</v>
      </c>
      <c r="E249">
        <v>9.9000000000000008E-3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1.9E-2</v>
      </c>
      <c r="E250">
        <v>9.9000000000000008E-3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1.9E-2</v>
      </c>
      <c r="E251">
        <v>9.9000000000000008E-3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1.9E-2</v>
      </c>
      <c r="E252">
        <v>9.9000000000000008E-3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1.9E-2</v>
      </c>
      <c r="E253">
        <v>9.9000000000000008E-3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1.9E-2</v>
      </c>
      <c r="E254">
        <v>9.9000000000000008E-3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1.9E-2</v>
      </c>
      <c r="E255">
        <v>9.9000000000000008E-3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1.9E-2</v>
      </c>
      <c r="E256">
        <v>9.9000000000000008E-3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1.9E-2</v>
      </c>
      <c r="E257">
        <v>9.9000000000000008E-3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1.9E-2</v>
      </c>
      <c r="E258">
        <v>9.9000000000000008E-3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1.9E-2</v>
      </c>
      <c r="E259">
        <v>9.9000000000000008E-3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1.9E-2</v>
      </c>
      <c r="E260">
        <v>9.9000000000000008E-3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1.9E-2</v>
      </c>
      <c r="E261">
        <v>9.9000000000000008E-3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1.9E-2</v>
      </c>
      <c r="E262">
        <v>9.9000000000000008E-3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1.9E-2</v>
      </c>
      <c r="E263">
        <v>9.9000000000000008E-3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1.9E-2</v>
      </c>
      <c r="E264">
        <v>9.9000000000000008E-3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1.9E-2</v>
      </c>
      <c r="E265">
        <v>9.9000000000000008E-3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1.9E-2</v>
      </c>
      <c r="E266">
        <v>9.9000000000000008E-3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1.9E-2</v>
      </c>
      <c r="E267">
        <v>9.9000000000000008E-3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1.9E-2</v>
      </c>
      <c r="E268">
        <v>9.9000000000000008E-3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1.9E-2</v>
      </c>
      <c r="E269">
        <v>9.9000000000000008E-3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1.9E-2</v>
      </c>
      <c r="E270">
        <v>9.9000000000000008E-3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1.9E-2</v>
      </c>
      <c r="E271">
        <v>9.9000000000000008E-3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1.9E-2</v>
      </c>
      <c r="E272">
        <v>9.9000000000000008E-3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1.9E-2</v>
      </c>
      <c r="E273">
        <v>9.9000000000000008E-3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1.9E-2</v>
      </c>
      <c r="E274">
        <v>9.9000000000000008E-3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1.9E-2</v>
      </c>
      <c r="E275">
        <v>9.9000000000000008E-3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1.9E-2</v>
      </c>
      <c r="E276">
        <v>9.9000000000000008E-3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1.9E-2</v>
      </c>
      <c r="E277">
        <v>9.9000000000000008E-3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1.9E-2</v>
      </c>
      <c r="E278">
        <v>9.9000000000000008E-3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1.9E-2</v>
      </c>
      <c r="E279">
        <v>9.9000000000000008E-3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1.9E-2</v>
      </c>
      <c r="E280">
        <v>9.9000000000000008E-3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1.9E-2</v>
      </c>
      <c r="E281">
        <v>9.9000000000000008E-3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1.9E-2</v>
      </c>
      <c r="E282">
        <v>9.9000000000000008E-3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1.9E-2</v>
      </c>
      <c r="E283">
        <v>9.9000000000000008E-3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1.9E-2</v>
      </c>
      <c r="E284">
        <v>9.9000000000000008E-3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1.9E-2</v>
      </c>
      <c r="E285">
        <v>9.9000000000000008E-3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1.9E-2</v>
      </c>
      <c r="E286">
        <v>9.9000000000000008E-3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1.9E-2</v>
      </c>
      <c r="E287">
        <v>9.9000000000000008E-3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1.9E-2</v>
      </c>
      <c r="E288">
        <v>9.9000000000000008E-3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1.9E-2</v>
      </c>
      <c r="E289">
        <v>9.9000000000000008E-3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1.9E-2</v>
      </c>
      <c r="E290">
        <v>9.9000000000000008E-3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1.9E-2</v>
      </c>
      <c r="E291">
        <v>9.9000000000000008E-3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1.9E-2</v>
      </c>
      <c r="E292">
        <v>9.9000000000000008E-3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1.9E-2</v>
      </c>
      <c r="E293">
        <v>9.9000000000000008E-3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1.9E-2</v>
      </c>
      <c r="E294">
        <v>9.9000000000000008E-3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1.9E-2</v>
      </c>
      <c r="E295">
        <v>9.9000000000000008E-3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1.9E-2</v>
      </c>
      <c r="E296">
        <v>9.9000000000000008E-3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1.9E-2</v>
      </c>
      <c r="E297">
        <v>9.9000000000000008E-3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1.9E-2</v>
      </c>
      <c r="E298">
        <v>9.9000000000000008E-3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1.9E-2</v>
      </c>
      <c r="E299">
        <v>9.9000000000000008E-3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1.9E-2</v>
      </c>
      <c r="E300">
        <v>9.9000000000000008E-3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1.9E-2</v>
      </c>
      <c r="E301">
        <v>9.9000000000000008E-3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1.9E-2</v>
      </c>
      <c r="E302">
        <v>9.9000000000000008E-3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1.9E-2</v>
      </c>
      <c r="E303">
        <v>9.9000000000000008E-3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-0.50210941456063485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-0.50396947921745872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-0.50203230655460451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-0.50640734815434019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-0.50804671216367581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-0.51205973602570998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-0.51244931741132249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-0.5091586144346486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-0.5117823378683517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-0.51321719919641706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-0.51757198319091302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-0.51759515330781436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-0.51921337115733723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-0.51886376724322536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-0.52063481099422659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-0.51857533221711605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-0.5235943097433039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-0.52522364658059562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-0.52147346837889041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-0.52926385020682598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-0.52576852522577733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-0.52817293787868713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-0.52922176709853497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-0.53010000377172628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-0.53182555027850353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-0.53024474498929475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-0.5346441220892707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-0.53134502799658867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-0.53723053214137639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-0.53406292997818083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-0.53856844003232218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-0.53727791731480146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-0.53942153359400136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-0.53836898454435556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-0.54227679826231701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-0.54155216273166629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-0.54387965298279017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-0.54493852546979882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-0.54740831652041166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-0.54643149112050626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-0.546410741722543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-0.54977761355036892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-0.54730853837292293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-0.54811383455516793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-0.5564104941175172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-0.54942332974268893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-0.54959864582647777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-0.55304122647738851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-0.55220645998475348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-0.55690438823047672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-0.55439231119843224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-0.55473059510194167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-0.55988963998736829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-0.5547697109193841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-0.56047096653087836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-0.55681200967123001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-0.55822325332190481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-0.56457201859416462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-0.56033793175615765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-0.55779725236802191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-0.56470703057890037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-0.5586435056559631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-0.56502985727076627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-0.56690695434432126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-0.56414683321261805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-0.57076494562730584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-0.5675414789996186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-0.56973985840966201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-0.56867395754146977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-0.57142759712176416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-0.56965264655001857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-0.57239621367158389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-0.56976920496859051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-0.57393423416985967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-0.56783052872603035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-0.57772383977915742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-0.57593243574010233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-0.57576620597385264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-0.57846903967811558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-0.5685219289391229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-0.58038117018218727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-0.57645106110354161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-0.58035765980522724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-0.58104078488910593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-0.58043960964754626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-0.57711655827089037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-0.58163554453660937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-0.58139504048745727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-0.58199554384605989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-0.58670284545489049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-0.58408073316915721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-0.58737214665104831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-0.58295318004234531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-0.59098450762112831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-0.5846556829143652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-0.59058966837452742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-0.5873978074785362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-0.59211052766366701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-0.58566725199927783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-0.59321316723911854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-0.58981610628192516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-0.59313547702628766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-0.59284738218309385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-0.59063454252154024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-0.59177062711684802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-0.5989440985726604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-0.59367577938291827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-0.59615275359769559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-0.59618324768002717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-0.59314928930791122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-0.59834350716449713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-0.5999984916643688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-0.59670876868118738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-0.59480336731310579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-0.59543019529198493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-0.59566458515364318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-0.60122443613844001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-0.60469597230874395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-0.60829459105043504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-0.59983176375870795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-0.60343127611352898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-0.60372321337868673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-0.6059701288511643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-0.60458992291571589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-0.61047180304222193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-0.60003083149968484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-0.61009481698282464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-0.61092232841967442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-0.61048678814177604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-0.61777550389211278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-0.6199774649825136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-0.6203014151481876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-0.62258708845319244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-0.62336735335211846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-0.62538156965928171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-0.62490031107508048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-0.6270768080721687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-0.62674174645309544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-0.62866392101820201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-0.62924335561027034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-0.63137175281759006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-0.63108843792082758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-0.63320692326315142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-0.63360501011626813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-0.63570217175536259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-0.6353287023076305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-0.63821354379572359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-0.63807195185377097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-0.64021893557002041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-0.64085577070533128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-0.64278835452501859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-0.64254917419667934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-0.64221116659568644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-0.64516712658013786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-0.64459055307971336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-0.64683452659525364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-0.6469348542211244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2026-04-17T08:10:23Z</dcterms:modified>
</cp:coreProperties>
</file>