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1272387E-B314-469C-BFA7-067DFC902608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C213" i="1"/>
  <c r="H213" i="1" s="1"/>
  <c r="F213" i="1"/>
  <c r="J213" i="1" s="1"/>
  <c r="M213" i="1" s="1"/>
  <c r="G213" i="1"/>
  <c r="C214" i="1"/>
  <c r="H214" i="1" s="1"/>
  <c r="F214" i="1"/>
  <c r="J214" i="1" s="1"/>
  <c r="M214" i="1" s="1"/>
  <c r="G214" i="1"/>
  <c r="C215" i="1"/>
  <c r="H215" i="1" s="1"/>
  <c r="F215" i="1"/>
  <c r="J215" i="1" s="1"/>
  <c r="M215" i="1" s="1"/>
  <c r="G215" i="1"/>
  <c r="C216" i="1"/>
  <c r="H216" i="1" s="1"/>
  <c r="F216" i="1"/>
  <c r="J216" i="1" s="1"/>
  <c r="M216" i="1" s="1"/>
  <c r="G216" i="1"/>
  <c r="C217" i="1"/>
  <c r="H217" i="1" s="1"/>
  <c r="F217" i="1"/>
  <c r="J217" i="1" s="1"/>
  <c r="M217" i="1" s="1"/>
  <c r="G217" i="1"/>
  <c r="C218" i="1"/>
  <c r="H218" i="1" s="1"/>
  <c r="F218" i="1"/>
  <c r="J218" i="1" s="1"/>
  <c r="M218" i="1" s="1"/>
  <c r="G218" i="1"/>
  <c r="C219" i="1"/>
  <c r="H219" i="1" s="1"/>
  <c r="F219" i="1"/>
  <c r="J219" i="1" s="1"/>
  <c r="M219" i="1" s="1"/>
  <c r="G219" i="1"/>
  <c r="C220" i="1"/>
  <c r="H220" i="1" s="1"/>
  <c r="F220" i="1"/>
  <c r="J220" i="1" s="1"/>
  <c r="M220" i="1" s="1"/>
  <c r="G220" i="1"/>
  <c r="C221" i="1"/>
  <c r="H221" i="1" s="1"/>
  <c r="F221" i="1"/>
  <c r="J221" i="1" s="1"/>
  <c r="M221" i="1" s="1"/>
  <c r="G221" i="1"/>
  <c r="C222" i="1"/>
  <c r="H222" i="1" s="1"/>
  <c r="F222" i="1"/>
  <c r="J222" i="1" s="1"/>
  <c r="M222" i="1" s="1"/>
  <c r="G222" i="1"/>
  <c r="C223" i="1"/>
  <c r="H223" i="1" s="1"/>
  <c r="F223" i="1"/>
  <c r="J223" i="1" s="1"/>
  <c r="M223" i="1" s="1"/>
  <c r="G223" i="1"/>
  <c r="C224" i="1"/>
  <c r="H224" i="1" s="1"/>
  <c r="F224" i="1"/>
  <c r="J224" i="1" s="1"/>
  <c r="M224" i="1" s="1"/>
  <c r="G224" i="1"/>
  <c r="C225" i="1"/>
  <c r="H225" i="1" s="1"/>
  <c r="F225" i="1"/>
  <c r="J225" i="1" s="1"/>
  <c r="M225" i="1" s="1"/>
  <c r="G225" i="1"/>
  <c r="C226" i="1"/>
  <c r="H226" i="1" s="1"/>
  <c r="F226" i="1"/>
  <c r="G226" i="1"/>
  <c r="C227" i="1"/>
  <c r="H227" i="1" s="1"/>
  <c r="F227" i="1"/>
  <c r="G227" i="1"/>
  <c r="C228" i="1"/>
  <c r="H228" i="1" s="1"/>
  <c r="F228" i="1"/>
  <c r="G228" i="1"/>
  <c r="C229" i="1"/>
  <c r="H229" i="1" s="1"/>
  <c r="F229" i="1"/>
  <c r="G229" i="1"/>
  <c r="C230" i="1"/>
  <c r="H230" i="1" s="1"/>
  <c r="F230" i="1"/>
  <c r="G230" i="1"/>
  <c r="C231" i="1"/>
  <c r="H231" i="1" s="1"/>
  <c r="F231" i="1"/>
  <c r="G231" i="1"/>
  <c r="C232" i="1"/>
  <c r="H232" i="1" s="1"/>
  <c r="F232" i="1"/>
  <c r="G232" i="1"/>
  <c r="C233" i="1"/>
  <c r="H233" i="1" s="1"/>
  <c r="F233" i="1"/>
  <c r="G233" i="1"/>
  <c r="C234" i="1"/>
  <c r="H234" i="1" s="1"/>
  <c r="F234" i="1"/>
  <c r="G234" i="1"/>
  <c r="C235" i="1"/>
  <c r="H235" i="1" s="1"/>
  <c r="F235" i="1"/>
  <c r="G235" i="1"/>
  <c r="C236" i="1"/>
  <c r="H236" i="1" s="1"/>
  <c r="F236" i="1"/>
  <c r="G236" i="1"/>
  <c r="C237" i="1"/>
  <c r="H237" i="1" s="1"/>
  <c r="F237" i="1"/>
  <c r="G237" i="1"/>
  <c r="C238" i="1"/>
  <c r="H238" i="1" s="1"/>
  <c r="F238" i="1"/>
  <c r="G238" i="1"/>
  <c r="C239" i="1"/>
  <c r="H239" i="1" s="1"/>
  <c r="F239" i="1"/>
  <c r="G239" i="1"/>
  <c r="C240" i="1"/>
  <c r="H240" i="1" s="1"/>
  <c r="F240" i="1"/>
  <c r="G240" i="1"/>
  <c r="C241" i="1"/>
  <c r="H241" i="1" s="1"/>
  <c r="F241" i="1"/>
  <c r="G241" i="1"/>
  <c r="C242" i="1"/>
  <c r="H242" i="1" s="1"/>
  <c r="F242" i="1"/>
  <c r="G242" i="1"/>
  <c r="C243" i="1"/>
  <c r="H243" i="1" s="1"/>
  <c r="F243" i="1"/>
  <c r="G243" i="1"/>
  <c r="C244" i="1"/>
  <c r="H244" i="1" s="1"/>
  <c r="F244" i="1"/>
  <c r="G244" i="1"/>
  <c r="C245" i="1"/>
  <c r="H245" i="1" s="1"/>
  <c r="F245" i="1"/>
  <c r="G245" i="1"/>
  <c r="C246" i="1"/>
  <c r="H246" i="1" s="1"/>
  <c r="F246" i="1"/>
  <c r="G246" i="1"/>
  <c r="C247" i="1"/>
  <c r="H247" i="1" s="1"/>
  <c r="F247" i="1"/>
  <c r="G247" i="1"/>
  <c r="C248" i="1"/>
  <c r="H248" i="1" s="1"/>
  <c r="F248" i="1"/>
  <c r="G248" i="1"/>
  <c r="C249" i="1"/>
  <c r="H249" i="1" s="1"/>
  <c r="F249" i="1"/>
  <c r="G249" i="1"/>
  <c r="C250" i="1"/>
  <c r="H250" i="1" s="1"/>
  <c r="F250" i="1"/>
  <c r="G250" i="1"/>
  <c r="C251" i="1"/>
  <c r="H251" i="1" s="1"/>
  <c r="F251" i="1"/>
  <c r="G251" i="1"/>
  <c r="C252" i="1"/>
  <c r="H252" i="1" s="1"/>
  <c r="F252" i="1"/>
  <c r="G252" i="1"/>
  <c r="C253" i="1"/>
  <c r="H253" i="1" s="1"/>
  <c r="F253" i="1"/>
  <c r="G253" i="1"/>
  <c r="C254" i="1"/>
  <c r="H254" i="1" s="1"/>
  <c r="F254" i="1"/>
  <c r="G254" i="1"/>
  <c r="C255" i="1"/>
  <c r="H255" i="1" s="1"/>
  <c r="F255" i="1"/>
  <c r="G255" i="1"/>
  <c r="C256" i="1"/>
  <c r="H256" i="1" s="1"/>
  <c r="F256" i="1"/>
  <c r="G256" i="1"/>
  <c r="C257" i="1"/>
  <c r="H257" i="1" s="1"/>
  <c r="F257" i="1"/>
  <c r="G257" i="1"/>
  <c r="C258" i="1"/>
  <c r="H258" i="1" s="1"/>
  <c r="F258" i="1"/>
  <c r="G258" i="1"/>
  <c r="C259" i="1"/>
  <c r="H259" i="1" s="1"/>
  <c r="F259" i="1"/>
  <c r="G259" i="1"/>
  <c r="C260" i="1"/>
  <c r="H260" i="1" s="1"/>
  <c r="F260" i="1"/>
  <c r="G260" i="1"/>
  <c r="C261" i="1"/>
  <c r="H261" i="1" s="1"/>
  <c r="F261" i="1"/>
  <c r="G261" i="1"/>
  <c r="C262" i="1"/>
  <c r="H262" i="1" s="1"/>
  <c r="F262" i="1"/>
  <c r="G262" i="1"/>
  <c r="C263" i="1"/>
  <c r="H263" i="1" s="1"/>
  <c r="F263" i="1"/>
  <c r="G263" i="1"/>
  <c r="C264" i="1"/>
  <c r="H264" i="1" s="1"/>
  <c r="F264" i="1"/>
  <c r="G264" i="1"/>
  <c r="C265" i="1"/>
  <c r="H265" i="1" s="1"/>
  <c r="F265" i="1"/>
  <c r="G265" i="1"/>
  <c r="C266" i="1"/>
  <c r="H266" i="1" s="1"/>
  <c r="F266" i="1"/>
  <c r="G266" i="1"/>
  <c r="C267" i="1"/>
  <c r="H267" i="1" s="1"/>
  <c r="F267" i="1"/>
  <c r="G267" i="1"/>
  <c r="C268" i="1"/>
  <c r="H268" i="1" s="1"/>
  <c r="F268" i="1"/>
  <c r="G268" i="1"/>
  <c r="C269" i="1"/>
  <c r="H269" i="1" s="1"/>
  <c r="F269" i="1"/>
  <c r="G269" i="1"/>
  <c r="C270" i="1"/>
  <c r="H270" i="1" s="1"/>
  <c r="F270" i="1"/>
  <c r="G270" i="1"/>
  <c r="C271" i="1"/>
  <c r="H271" i="1" s="1"/>
  <c r="F271" i="1"/>
  <c r="G271" i="1"/>
  <c r="C272" i="1"/>
  <c r="H272" i="1" s="1"/>
  <c r="F272" i="1"/>
  <c r="G272" i="1"/>
  <c r="C273" i="1"/>
  <c r="H273" i="1" s="1"/>
  <c r="F273" i="1"/>
  <c r="G273" i="1"/>
  <c r="C274" i="1"/>
  <c r="H274" i="1" s="1"/>
  <c r="F274" i="1"/>
  <c r="G274" i="1"/>
  <c r="C275" i="1"/>
  <c r="H275" i="1" s="1"/>
  <c r="F275" i="1"/>
  <c r="G275" i="1"/>
  <c r="C276" i="1"/>
  <c r="H276" i="1" s="1"/>
  <c r="F276" i="1"/>
  <c r="G276" i="1"/>
  <c r="C277" i="1"/>
  <c r="H277" i="1" s="1"/>
  <c r="F277" i="1"/>
  <c r="G277" i="1"/>
  <c r="C278" i="1"/>
  <c r="H278" i="1" s="1"/>
  <c r="F278" i="1"/>
  <c r="G278" i="1"/>
  <c r="C279" i="1"/>
  <c r="H279" i="1" s="1"/>
  <c r="F279" i="1"/>
  <c r="G279" i="1"/>
  <c r="C280" i="1"/>
  <c r="H280" i="1" s="1"/>
  <c r="F280" i="1"/>
  <c r="G280" i="1"/>
  <c r="C281" i="1"/>
  <c r="H281" i="1" s="1"/>
  <c r="F281" i="1"/>
  <c r="G281" i="1"/>
  <c r="C282" i="1"/>
  <c r="H282" i="1" s="1"/>
  <c r="F282" i="1"/>
  <c r="G282" i="1"/>
  <c r="C283" i="1"/>
  <c r="H283" i="1" s="1"/>
  <c r="F283" i="1"/>
  <c r="G283" i="1"/>
  <c r="C284" i="1"/>
  <c r="H284" i="1" s="1"/>
  <c r="F284" i="1"/>
  <c r="G284" i="1"/>
  <c r="C285" i="1"/>
  <c r="H285" i="1" s="1"/>
  <c r="F285" i="1"/>
  <c r="G285" i="1"/>
  <c r="C286" i="1"/>
  <c r="H286" i="1" s="1"/>
  <c r="F286" i="1"/>
  <c r="G286" i="1"/>
  <c r="C287" i="1"/>
  <c r="H287" i="1" s="1"/>
  <c r="F287" i="1"/>
  <c r="G287" i="1"/>
  <c r="C288" i="1"/>
  <c r="H288" i="1" s="1"/>
  <c r="F288" i="1"/>
  <c r="G288" i="1"/>
  <c r="C289" i="1"/>
  <c r="H289" i="1" s="1"/>
  <c r="F289" i="1"/>
  <c r="G289" i="1"/>
  <c r="C290" i="1"/>
  <c r="H290" i="1" s="1"/>
  <c r="F290" i="1"/>
  <c r="G290" i="1"/>
  <c r="C291" i="1"/>
  <c r="H291" i="1" s="1"/>
  <c r="F291" i="1"/>
  <c r="G291" i="1"/>
  <c r="C292" i="1"/>
  <c r="H292" i="1" s="1"/>
  <c r="F292" i="1"/>
  <c r="G292" i="1"/>
  <c r="C293" i="1"/>
  <c r="H293" i="1" s="1"/>
  <c r="F293" i="1"/>
  <c r="G293" i="1"/>
  <c r="C294" i="1"/>
  <c r="H294" i="1" s="1"/>
  <c r="F294" i="1"/>
  <c r="G294" i="1"/>
  <c r="C295" i="1"/>
  <c r="H295" i="1" s="1"/>
  <c r="F295" i="1"/>
  <c r="G295" i="1"/>
  <c r="C296" i="1"/>
  <c r="H296" i="1" s="1"/>
  <c r="F296" i="1"/>
  <c r="G296" i="1"/>
  <c r="C297" i="1"/>
  <c r="H297" i="1" s="1"/>
  <c r="F297" i="1"/>
  <c r="G297" i="1"/>
  <c r="C298" i="1"/>
  <c r="H298" i="1" s="1"/>
  <c r="F298" i="1"/>
  <c r="G298" i="1"/>
  <c r="C299" i="1"/>
  <c r="H299" i="1" s="1"/>
  <c r="F299" i="1"/>
  <c r="G299" i="1"/>
  <c r="C300" i="1"/>
  <c r="H300" i="1" s="1"/>
  <c r="F300" i="1"/>
  <c r="G300" i="1"/>
  <c r="C301" i="1"/>
  <c r="H301" i="1" s="1"/>
  <c r="F301" i="1"/>
  <c r="G301" i="1"/>
  <c r="C302" i="1"/>
  <c r="H302" i="1" s="1"/>
  <c r="F302" i="1"/>
  <c r="G302" i="1"/>
  <c r="C303" i="1"/>
  <c r="H303" i="1" s="1"/>
  <c r="F303" i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F189" i="1"/>
  <c r="J189" i="1" s="1"/>
  <c r="M189" i="1" s="1"/>
  <c r="G189" i="1"/>
  <c r="F190" i="1"/>
  <c r="J190" i="1" s="1"/>
  <c r="M190" i="1" s="1"/>
  <c r="G190" i="1"/>
  <c r="F191" i="1"/>
  <c r="J191" i="1" s="1"/>
  <c r="M191" i="1" s="1"/>
  <c r="G191" i="1"/>
  <c r="F192" i="1"/>
  <c r="J192" i="1" s="1"/>
  <c r="M192" i="1" s="1"/>
  <c r="G192" i="1"/>
  <c r="F193" i="1"/>
  <c r="J193" i="1" s="1"/>
  <c r="M193" i="1" s="1"/>
  <c r="G193" i="1"/>
  <c r="F194" i="1"/>
  <c r="J194" i="1" s="1"/>
  <c r="M194" i="1" s="1"/>
  <c r="G194" i="1"/>
  <c r="F195" i="1"/>
  <c r="J195" i="1" s="1"/>
  <c r="M195" i="1" s="1"/>
  <c r="G195" i="1"/>
  <c r="F196" i="1"/>
  <c r="J196" i="1" s="1"/>
  <c r="M196" i="1" s="1"/>
  <c r="G196" i="1"/>
  <c r="F197" i="1"/>
  <c r="J197" i="1" s="1"/>
  <c r="M197" i="1" s="1"/>
  <c r="G197" i="1"/>
  <c r="F198" i="1"/>
  <c r="J198" i="1" s="1"/>
  <c r="M198" i="1" s="1"/>
  <c r="G198" i="1"/>
  <c r="F199" i="1"/>
  <c r="J199" i="1" s="1"/>
  <c r="M199" i="1" s="1"/>
  <c r="G199" i="1"/>
  <c r="F200" i="1"/>
  <c r="J200" i="1" s="1"/>
  <c r="M200" i="1" s="1"/>
  <c r="G200" i="1"/>
  <c r="F201" i="1"/>
  <c r="J201" i="1" s="1"/>
  <c r="M201" i="1" s="1"/>
  <c r="G201" i="1"/>
  <c r="F202" i="1"/>
  <c r="J202" i="1" s="1"/>
  <c r="M202" i="1" s="1"/>
  <c r="G202" i="1"/>
  <c r="F203" i="1"/>
  <c r="J203" i="1" s="1"/>
  <c r="M203" i="1" s="1"/>
  <c r="G203" i="1"/>
  <c r="F204" i="1"/>
  <c r="J204" i="1" s="1"/>
  <c r="M204" i="1" s="1"/>
  <c r="G204" i="1"/>
  <c r="F205" i="1"/>
  <c r="J205" i="1" s="1"/>
  <c r="M205" i="1" s="1"/>
  <c r="G205" i="1"/>
  <c r="F206" i="1"/>
  <c r="J206" i="1" s="1"/>
  <c r="M206" i="1" s="1"/>
  <c r="G206" i="1"/>
  <c r="F207" i="1"/>
  <c r="J207" i="1" s="1"/>
  <c r="M207" i="1" s="1"/>
  <c r="G207" i="1"/>
  <c r="F208" i="1"/>
  <c r="J208" i="1" s="1"/>
  <c r="M208" i="1" s="1"/>
  <c r="G208" i="1"/>
  <c r="F209" i="1"/>
  <c r="J209" i="1" s="1"/>
  <c r="M209" i="1" s="1"/>
  <c r="G209" i="1"/>
  <c r="F210" i="1"/>
  <c r="J210" i="1" s="1"/>
  <c r="M210" i="1" s="1"/>
  <c r="G210" i="1"/>
  <c r="F211" i="1"/>
  <c r="J211" i="1" s="1"/>
  <c r="M211" i="1" s="1"/>
  <c r="G211" i="1"/>
  <c r="F5" i="1"/>
  <c r="J5" i="1" s="1"/>
  <c r="M5" i="1" s="1"/>
  <c r="G5" i="1"/>
  <c r="F6" i="1"/>
  <c r="J6" i="1" s="1"/>
  <c r="M6" i="1" s="1"/>
  <c r="G6" i="1"/>
  <c r="F7" i="1"/>
  <c r="J7" i="1" s="1"/>
  <c r="M7" i="1" s="1"/>
  <c r="G7" i="1"/>
  <c r="F8" i="1"/>
  <c r="J8" i="1" s="1"/>
  <c r="M8" i="1" s="1"/>
  <c r="G8" i="1"/>
  <c r="F9" i="1"/>
  <c r="J9" i="1" s="1"/>
  <c r="M9" i="1" s="1"/>
  <c r="G9" i="1"/>
  <c r="F10" i="1"/>
  <c r="J10" i="1" s="1"/>
  <c r="M10" i="1" s="1"/>
  <c r="G10" i="1"/>
  <c r="F11" i="1"/>
  <c r="J11" i="1" s="1"/>
  <c r="M11" i="1" s="1"/>
  <c r="G11" i="1"/>
  <c r="F12" i="1"/>
  <c r="J12" i="1" s="1"/>
  <c r="M12" i="1" s="1"/>
  <c r="G12" i="1"/>
  <c r="F13" i="1"/>
  <c r="J13" i="1" s="1"/>
  <c r="M13" i="1" s="1"/>
  <c r="G13" i="1"/>
  <c r="F14" i="1"/>
  <c r="J14" i="1" s="1"/>
  <c r="M14" i="1" s="1"/>
  <c r="G14" i="1"/>
  <c r="F15" i="1"/>
  <c r="J15" i="1" s="1"/>
  <c r="M15" i="1" s="1"/>
  <c r="G15" i="1"/>
  <c r="F16" i="1"/>
  <c r="J16" i="1" s="1"/>
  <c r="M16" i="1" s="1"/>
  <c r="G16" i="1"/>
  <c r="F17" i="1"/>
  <c r="J17" i="1" s="1"/>
  <c r="M17" i="1" s="1"/>
  <c r="G17" i="1"/>
  <c r="F18" i="1"/>
  <c r="J18" i="1" s="1"/>
  <c r="M18" i="1" s="1"/>
  <c r="G18" i="1"/>
  <c r="F19" i="1"/>
  <c r="J19" i="1" s="1"/>
  <c r="M19" i="1" s="1"/>
  <c r="G19" i="1"/>
  <c r="F20" i="1"/>
  <c r="J20" i="1" s="1"/>
  <c r="M20" i="1" s="1"/>
  <c r="G20" i="1"/>
  <c r="F21" i="1"/>
  <c r="J21" i="1" s="1"/>
  <c r="M21" i="1" s="1"/>
  <c r="G21" i="1"/>
  <c r="F22" i="1"/>
  <c r="J22" i="1" s="1"/>
  <c r="M22" i="1" s="1"/>
  <c r="G22" i="1"/>
  <c r="F23" i="1"/>
  <c r="J23" i="1" s="1"/>
  <c r="M23" i="1" s="1"/>
  <c r="G23" i="1"/>
  <c r="F24" i="1"/>
  <c r="J24" i="1" s="1"/>
  <c r="M24" i="1" s="1"/>
  <c r="G24" i="1"/>
  <c r="F25" i="1"/>
  <c r="J25" i="1" s="1"/>
  <c r="M25" i="1" s="1"/>
  <c r="G25" i="1"/>
  <c r="F26" i="1"/>
  <c r="J26" i="1" s="1"/>
  <c r="M26" i="1" s="1"/>
  <c r="G26" i="1"/>
  <c r="F27" i="1"/>
  <c r="J27" i="1" s="1"/>
  <c r="M27" i="1" s="1"/>
  <c r="G27" i="1"/>
  <c r="F28" i="1"/>
  <c r="J28" i="1" s="1"/>
  <c r="M28" i="1" s="1"/>
  <c r="G28" i="1"/>
  <c r="F29" i="1"/>
  <c r="J29" i="1" s="1"/>
  <c r="M29" i="1" s="1"/>
  <c r="G29" i="1"/>
  <c r="F30" i="1"/>
  <c r="J30" i="1" s="1"/>
  <c r="M30" i="1" s="1"/>
  <c r="G30" i="1"/>
  <c r="F31" i="1"/>
  <c r="J31" i="1" s="1"/>
  <c r="M31" i="1" s="1"/>
  <c r="G31" i="1"/>
  <c r="F32" i="1"/>
  <c r="J32" i="1" s="1"/>
  <c r="M32" i="1" s="1"/>
  <c r="G32" i="1"/>
  <c r="F33" i="1"/>
  <c r="J33" i="1" s="1"/>
  <c r="M33" i="1" s="1"/>
  <c r="G33" i="1"/>
  <c r="F34" i="1"/>
  <c r="J34" i="1" s="1"/>
  <c r="M34" i="1" s="1"/>
  <c r="G34" i="1"/>
  <c r="F35" i="1"/>
  <c r="J35" i="1" s="1"/>
  <c r="M35" i="1" s="1"/>
  <c r="G35" i="1"/>
  <c r="F36" i="1"/>
  <c r="J36" i="1" s="1"/>
  <c r="M36" i="1" s="1"/>
  <c r="G36" i="1"/>
  <c r="F37" i="1"/>
  <c r="J37" i="1" s="1"/>
  <c r="M37" i="1" s="1"/>
  <c r="G37" i="1"/>
  <c r="F38" i="1"/>
  <c r="J38" i="1" s="1"/>
  <c r="M38" i="1" s="1"/>
  <c r="G38" i="1"/>
  <c r="F39" i="1"/>
  <c r="J39" i="1" s="1"/>
  <c r="M39" i="1" s="1"/>
  <c r="G39" i="1"/>
  <c r="F40" i="1"/>
  <c r="J40" i="1" s="1"/>
  <c r="M40" i="1" s="1"/>
  <c r="G40" i="1"/>
  <c r="F41" i="1"/>
  <c r="J41" i="1" s="1"/>
  <c r="M41" i="1" s="1"/>
  <c r="G41" i="1"/>
  <c r="F42" i="1"/>
  <c r="J42" i="1" s="1"/>
  <c r="M42" i="1" s="1"/>
  <c r="G42" i="1"/>
  <c r="F43" i="1"/>
  <c r="J43" i="1" s="1"/>
  <c r="M43" i="1" s="1"/>
  <c r="G43" i="1"/>
  <c r="F44" i="1"/>
  <c r="J44" i="1" s="1"/>
  <c r="M44" i="1" s="1"/>
  <c r="G44" i="1"/>
  <c r="F45" i="1"/>
  <c r="J45" i="1" s="1"/>
  <c r="M45" i="1" s="1"/>
  <c r="G45" i="1"/>
  <c r="F46" i="1"/>
  <c r="J46" i="1" s="1"/>
  <c r="M46" i="1" s="1"/>
  <c r="G46" i="1"/>
  <c r="F47" i="1"/>
  <c r="J47" i="1" s="1"/>
  <c r="M47" i="1" s="1"/>
  <c r="G47" i="1"/>
  <c r="F48" i="1"/>
  <c r="J48" i="1" s="1"/>
  <c r="M48" i="1" s="1"/>
  <c r="G48" i="1"/>
  <c r="F49" i="1"/>
  <c r="J49" i="1" s="1"/>
  <c r="M49" i="1" s="1"/>
  <c r="G49" i="1"/>
  <c r="F50" i="1"/>
  <c r="J50" i="1" s="1"/>
  <c r="M50" i="1" s="1"/>
  <c r="G50" i="1"/>
  <c r="F51" i="1"/>
  <c r="J51" i="1" s="1"/>
  <c r="M51" i="1" s="1"/>
  <c r="G51" i="1"/>
  <c r="F52" i="1"/>
  <c r="J52" i="1" s="1"/>
  <c r="M52" i="1" s="1"/>
  <c r="G52" i="1"/>
  <c r="F53" i="1"/>
  <c r="J53" i="1" s="1"/>
  <c r="M53" i="1" s="1"/>
  <c r="G53" i="1"/>
  <c r="F54" i="1"/>
  <c r="J54" i="1" s="1"/>
  <c r="M54" i="1" s="1"/>
  <c r="G54" i="1"/>
  <c r="F55" i="1"/>
  <c r="J55" i="1" s="1"/>
  <c r="M55" i="1" s="1"/>
  <c r="G55" i="1"/>
  <c r="F56" i="1"/>
  <c r="J56" i="1" s="1"/>
  <c r="M56" i="1" s="1"/>
  <c r="G56" i="1"/>
  <c r="F57" i="1"/>
  <c r="J57" i="1" s="1"/>
  <c r="M57" i="1" s="1"/>
  <c r="G57" i="1"/>
  <c r="F58" i="1"/>
  <c r="J58" i="1" s="1"/>
  <c r="M58" i="1" s="1"/>
  <c r="G58" i="1"/>
  <c r="F59" i="1"/>
  <c r="J59" i="1" s="1"/>
  <c r="M59" i="1" s="1"/>
  <c r="G59" i="1"/>
  <c r="F60" i="1"/>
  <c r="J60" i="1" s="1"/>
  <c r="M60" i="1" s="1"/>
  <c r="G60" i="1"/>
  <c r="F61" i="1"/>
  <c r="J61" i="1" s="1"/>
  <c r="M61" i="1" s="1"/>
  <c r="G61" i="1"/>
  <c r="F62" i="1"/>
  <c r="J62" i="1" s="1"/>
  <c r="M62" i="1" s="1"/>
  <c r="G62" i="1"/>
  <c r="F63" i="1"/>
  <c r="J63" i="1" s="1"/>
  <c r="M63" i="1" s="1"/>
  <c r="G63" i="1"/>
  <c r="F64" i="1"/>
  <c r="J64" i="1" s="1"/>
  <c r="M64" i="1" s="1"/>
  <c r="G64" i="1"/>
  <c r="F65" i="1"/>
  <c r="J65" i="1" s="1"/>
  <c r="M65" i="1" s="1"/>
  <c r="G65" i="1"/>
  <c r="F66" i="1"/>
  <c r="J66" i="1" s="1"/>
  <c r="M66" i="1" s="1"/>
  <c r="G66" i="1"/>
  <c r="F67" i="1"/>
  <c r="J67" i="1" s="1"/>
  <c r="M67" i="1" s="1"/>
  <c r="G67" i="1"/>
  <c r="F68" i="1"/>
  <c r="J68" i="1" s="1"/>
  <c r="M68" i="1" s="1"/>
  <c r="G68" i="1"/>
  <c r="F69" i="1"/>
  <c r="J69" i="1" s="1"/>
  <c r="M69" i="1" s="1"/>
  <c r="G69" i="1"/>
  <c r="F70" i="1"/>
  <c r="J70" i="1" s="1"/>
  <c r="M70" i="1" s="1"/>
  <c r="G70" i="1"/>
  <c r="F71" i="1"/>
  <c r="J71" i="1" s="1"/>
  <c r="M71" i="1" s="1"/>
  <c r="G71" i="1"/>
  <c r="F72" i="1"/>
  <c r="J72" i="1" s="1"/>
  <c r="M72" i="1" s="1"/>
  <c r="G72" i="1"/>
  <c r="F73" i="1"/>
  <c r="J73" i="1" s="1"/>
  <c r="M73" i="1" s="1"/>
  <c r="G73" i="1"/>
  <c r="F74" i="1"/>
  <c r="J74" i="1" s="1"/>
  <c r="M74" i="1" s="1"/>
  <c r="G74" i="1"/>
  <c r="F75" i="1"/>
  <c r="J75" i="1" s="1"/>
  <c r="M75" i="1" s="1"/>
  <c r="G75" i="1"/>
  <c r="F76" i="1"/>
  <c r="J76" i="1" s="1"/>
  <c r="M76" i="1" s="1"/>
  <c r="G76" i="1"/>
  <c r="F77" i="1"/>
  <c r="J77" i="1" s="1"/>
  <c r="M77" i="1" s="1"/>
  <c r="G77" i="1"/>
  <c r="F78" i="1"/>
  <c r="J78" i="1" s="1"/>
  <c r="M78" i="1" s="1"/>
  <c r="G78" i="1"/>
  <c r="F79" i="1"/>
  <c r="J79" i="1" s="1"/>
  <c r="M79" i="1" s="1"/>
  <c r="G79" i="1"/>
  <c r="F80" i="1"/>
  <c r="J80" i="1" s="1"/>
  <c r="M80" i="1" s="1"/>
  <c r="G80" i="1"/>
  <c r="F81" i="1"/>
  <c r="J81" i="1" s="1"/>
  <c r="M81" i="1" s="1"/>
  <c r="G81" i="1"/>
  <c r="F82" i="1"/>
  <c r="J82" i="1" s="1"/>
  <c r="M82" i="1" s="1"/>
  <c r="G82" i="1"/>
  <c r="F83" i="1"/>
  <c r="J83" i="1" s="1"/>
  <c r="M83" i="1" s="1"/>
  <c r="G83" i="1"/>
  <c r="F84" i="1"/>
  <c r="J84" i="1" s="1"/>
  <c r="M84" i="1" s="1"/>
  <c r="G84" i="1"/>
  <c r="F85" i="1"/>
  <c r="J85" i="1" s="1"/>
  <c r="M85" i="1" s="1"/>
  <c r="G85" i="1"/>
  <c r="F86" i="1"/>
  <c r="J86" i="1" s="1"/>
  <c r="M86" i="1" s="1"/>
  <c r="G86" i="1"/>
  <c r="F87" i="1"/>
  <c r="J87" i="1" s="1"/>
  <c r="M87" i="1" s="1"/>
  <c r="G87" i="1"/>
  <c r="F88" i="1"/>
  <c r="J88" i="1" s="1"/>
  <c r="M88" i="1" s="1"/>
  <c r="G88" i="1"/>
  <c r="F89" i="1"/>
  <c r="J89" i="1" s="1"/>
  <c r="M89" i="1" s="1"/>
  <c r="G89" i="1"/>
  <c r="F90" i="1"/>
  <c r="J90" i="1" s="1"/>
  <c r="M90" i="1" s="1"/>
  <c r="G90" i="1"/>
  <c r="F91" i="1"/>
  <c r="J91" i="1" s="1"/>
  <c r="M91" i="1" s="1"/>
  <c r="G91" i="1"/>
  <c r="F92" i="1"/>
  <c r="J92" i="1" s="1"/>
  <c r="M92" i="1" s="1"/>
  <c r="G92" i="1"/>
  <c r="F93" i="1"/>
  <c r="J93" i="1" s="1"/>
  <c r="M93" i="1" s="1"/>
  <c r="G93" i="1"/>
  <c r="F94" i="1"/>
  <c r="J94" i="1" s="1"/>
  <c r="M94" i="1" s="1"/>
  <c r="G94" i="1"/>
  <c r="F95" i="1"/>
  <c r="J95" i="1" s="1"/>
  <c r="M95" i="1" s="1"/>
  <c r="G95" i="1"/>
  <c r="F96" i="1"/>
  <c r="J96" i="1" s="1"/>
  <c r="M96" i="1" s="1"/>
  <c r="G96" i="1"/>
  <c r="F97" i="1"/>
  <c r="J97" i="1" s="1"/>
  <c r="M97" i="1" s="1"/>
  <c r="G97" i="1"/>
  <c r="F98" i="1"/>
  <c r="J98" i="1" s="1"/>
  <c r="M98" i="1" s="1"/>
  <c r="G98" i="1"/>
  <c r="F99" i="1"/>
  <c r="J99" i="1" s="1"/>
  <c r="M99" i="1" s="1"/>
  <c r="G99" i="1"/>
  <c r="F100" i="1"/>
  <c r="J100" i="1" s="1"/>
  <c r="M100" i="1" s="1"/>
  <c r="G100" i="1"/>
  <c r="F101" i="1"/>
  <c r="J101" i="1" s="1"/>
  <c r="M101" i="1" s="1"/>
  <c r="G101" i="1"/>
  <c r="F102" i="1"/>
  <c r="J102" i="1" s="1"/>
  <c r="M102" i="1" s="1"/>
  <c r="G102" i="1"/>
  <c r="F103" i="1"/>
  <c r="J103" i="1" s="1"/>
  <c r="M103" i="1" s="1"/>
  <c r="G103" i="1"/>
  <c r="F104" i="1"/>
  <c r="J104" i="1" s="1"/>
  <c r="M104" i="1" s="1"/>
  <c r="G104" i="1"/>
  <c r="F105" i="1"/>
  <c r="J105" i="1" s="1"/>
  <c r="M105" i="1" s="1"/>
  <c r="G105" i="1"/>
  <c r="F106" i="1"/>
  <c r="J106" i="1" s="1"/>
  <c r="M106" i="1" s="1"/>
  <c r="G106" i="1"/>
  <c r="F107" i="1"/>
  <c r="J107" i="1" s="1"/>
  <c r="M107" i="1" s="1"/>
  <c r="G107" i="1"/>
  <c r="F108" i="1"/>
  <c r="J108" i="1" s="1"/>
  <c r="M108" i="1" s="1"/>
  <c r="G108" i="1"/>
  <c r="F109" i="1"/>
  <c r="J109" i="1" s="1"/>
  <c r="M109" i="1" s="1"/>
  <c r="G109" i="1"/>
  <c r="F110" i="1"/>
  <c r="J110" i="1" s="1"/>
  <c r="M110" i="1" s="1"/>
  <c r="G110" i="1"/>
  <c r="F111" i="1"/>
  <c r="J111" i="1" s="1"/>
  <c r="M111" i="1" s="1"/>
  <c r="G111" i="1"/>
  <c r="F112" i="1"/>
  <c r="J112" i="1" s="1"/>
  <c r="M112" i="1" s="1"/>
  <c r="G112" i="1"/>
  <c r="F113" i="1"/>
  <c r="J113" i="1" s="1"/>
  <c r="M113" i="1" s="1"/>
  <c r="G113" i="1"/>
  <c r="F114" i="1"/>
  <c r="J114" i="1" s="1"/>
  <c r="M114" i="1" s="1"/>
  <c r="G114" i="1"/>
  <c r="F115" i="1"/>
  <c r="J115" i="1" s="1"/>
  <c r="M115" i="1" s="1"/>
  <c r="G115" i="1"/>
  <c r="F116" i="1"/>
  <c r="J116" i="1" s="1"/>
  <c r="M116" i="1" s="1"/>
  <c r="G116" i="1"/>
  <c r="F117" i="1"/>
  <c r="J117" i="1" s="1"/>
  <c r="M117" i="1" s="1"/>
  <c r="G117" i="1"/>
  <c r="F118" i="1"/>
  <c r="J118" i="1" s="1"/>
  <c r="M118" i="1" s="1"/>
  <c r="G118" i="1"/>
  <c r="F119" i="1"/>
  <c r="J119" i="1" s="1"/>
  <c r="M119" i="1" s="1"/>
  <c r="G119" i="1"/>
  <c r="F120" i="1"/>
  <c r="J120" i="1" s="1"/>
  <c r="M120" i="1" s="1"/>
  <c r="G120" i="1"/>
  <c r="F121" i="1"/>
  <c r="J121" i="1" s="1"/>
  <c r="M121" i="1" s="1"/>
  <c r="G121" i="1"/>
  <c r="F122" i="1"/>
  <c r="J122" i="1" s="1"/>
  <c r="M122" i="1" s="1"/>
  <c r="G122" i="1"/>
  <c r="F123" i="1"/>
  <c r="J123" i="1" s="1"/>
  <c r="M123" i="1" s="1"/>
  <c r="G123" i="1"/>
  <c r="F124" i="1"/>
  <c r="J124" i="1" s="1"/>
  <c r="M124" i="1" s="1"/>
  <c r="G124" i="1"/>
  <c r="F125" i="1"/>
  <c r="J125" i="1" s="1"/>
  <c r="M125" i="1" s="1"/>
  <c r="G125" i="1"/>
  <c r="F126" i="1"/>
  <c r="J126" i="1" s="1"/>
  <c r="M126" i="1" s="1"/>
  <c r="G126" i="1"/>
  <c r="F127" i="1"/>
  <c r="J127" i="1" s="1"/>
  <c r="M127" i="1" s="1"/>
  <c r="G127" i="1"/>
  <c r="F128" i="1"/>
  <c r="J128" i="1" s="1"/>
  <c r="M128" i="1" s="1"/>
  <c r="G128" i="1"/>
  <c r="F129" i="1"/>
  <c r="J129" i="1" s="1"/>
  <c r="M129" i="1" s="1"/>
  <c r="G129" i="1"/>
  <c r="F130" i="1"/>
  <c r="J130" i="1" s="1"/>
  <c r="M130" i="1" s="1"/>
  <c r="G130" i="1"/>
  <c r="F131" i="1"/>
  <c r="J131" i="1" s="1"/>
  <c r="M131" i="1" s="1"/>
  <c r="G131" i="1"/>
  <c r="F132" i="1"/>
  <c r="J132" i="1" s="1"/>
  <c r="M132" i="1" s="1"/>
  <c r="G132" i="1"/>
  <c r="F133" i="1"/>
  <c r="J133" i="1" s="1"/>
  <c r="M133" i="1" s="1"/>
  <c r="G133" i="1"/>
  <c r="F134" i="1"/>
  <c r="J134" i="1" s="1"/>
  <c r="M134" i="1" s="1"/>
  <c r="G134" i="1"/>
  <c r="F135" i="1"/>
  <c r="J135" i="1" s="1"/>
  <c r="M135" i="1" s="1"/>
  <c r="G135" i="1"/>
  <c r="F136" i="1"/>
  <c r="J136" i="1" s="1"/>
  <c r="M136" i="1" s="1"/>
  <c r="G136" i="1"/>
  <c r="F137" i="1"/>
  <c r="J137" i="1" s="1"/>
  <c r="M137" i="1" s="1"/>
  <c r="G137" i="1"/>
  <c r="F138" i="1"/>
  <c r="J138" i="1" s="1"/>
  <c r="M138" i="1" s="1"/>
  <c r="G138" i="1"/>
  <c r="F139" i="1"/>
  <c r="J139" i="1" s="1"/>
  <c r="M139" i="1" s="1"/>
  <c r="G139" i="1"/>
  <c r="F140" i="1"/>
  <c r="J140" i="1" s="1"/>
  <c r="M140" i="1" s="1"/>
  <c r="G140" i="1"/>
  <c r="F141" i="1"/>
  <c r="J141" i="1" s="1"/>
  <c r="M141" i="1" s="1"/>
  <c r="G141" i="1"/>
  <c r="F142" i="1"/>
  <c r="J142" i="1" s="1"/>
  <c r="M142" i="1" s="1"/>
  <c r="G142" i="1"/>
  <c r="F143" i="1"/>
  <c r="J143" i="1" s="1"/>
  <c r="M143" i="1" s="1"/>
  <c r="G143" i="1"/>
  <c r="F144" i="1"/>
  <c r="J144" i="1" s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F146" i="1"/>
  <c r="J146" i="1" s="1"/>
  <c r="M146" i="1" s="1"/>
  <c r="G146" i="1"/>
  <c r="F147" i="1"/>
  <c r="J147" i="1" s="1"/>
  <c r="M147" i="1" s="1"/>
  <c r="G147" i="1"/>
  <c r="F148" i="1"/>
  <c r="J148" i="1" s="1"/>
  <c r="M148" i="1" s="1"/>
  <c r="G148" i="1"/>
  <c r="F149" i="1"/>
  <c r="J149" i="1" s="1"/>
  <c r="M149" i="1" s="1"/>
  <c r="G149" i="1"/>
  <c r="F150" i="1"/>
  <c r="J150" i="1" s="1"/>
  <c r="M150" i="1" s="1"/>
  <c r="G150" i="1"/>
  <c r="F151" i="1"/>
  <c r="J151" i="1" s="1"/>
  <c r="M151" i="1" s="1"/>
  <c r="G151" i="1"/>
  <c r="F152" i="1"/>
  <c r="J152" i="1" s="1"/>
  <c r="M152" i="1" s="1"/>
  <c r="G152" i="1"/>
  <c r="F153" i="1"/>
  <c r="J153" i="1" s="1"/>
  <c r="M153" i="1" s="1"/>
  <c r="G153" i="1"/>
  <c r="F154" i="1"/>
  <c r="J154" i="1" s="1"/>
  <c r="M154" i="1" s="1"/>
  <c r="G154" i="1"/>
  <c r="F155" i="1"/>
  <c r="J155" i="1" s="1"/>
  <c r="M155" i="1" s="1"/>
  <c r="G155" i="1"/>
  <c r="F156" i="1"/>
  <c r="J156" i="1" s="1"/>
  <c r="M156" i="1" s="1"/>
  <c r="G156" i="1"/>
  <c r="F157" i="1"/>
  <c r="J157" i="1" s="1"/>
  <c r="M157" i="1" s="1"/>
  <c r="G157" i="1"/>
  <c r="F158" i="1"/>
  <c r="J158" i="1" s="1"/>
  <c r="M158" i="1" s="1"/>
  <c r="G158" i="1"/>
  <c r="F159" i="1"/>
  <c r="J159" i="1" s="1"/>
  <c r="M159" i="1" s="1"/>
  <c r="G159" i="1"/>
  <c r="F160" i="1"/>
  <c r="J160" i="1" s="1"/>
  <c r="M160" i="1" s="1"/>
  <c r="G160" i="1"/>
  <c r="F161" i="1"/>
  <c r="J161" i="1" s="1"/>
  <c r="M161" i="1" s="1"/>
  <c r="G161" i="1"/>
  <c r="F162" i="1"/>
  <c r="J162" i="1" s="1"/>
  <c r="M162" i="1" s="1"/>
  <c r="G162" i="1"/>
  <c r="F163" i="1"/>
  <c r="J163" i="1" s="1"/>
  <c r="M163" i="1" s="1"/>
  <c r="G163" i="1"/>
  <c r="F164" i="1"/>
  <c r="J164" i="1" s="1"/>
  <c r="M164" i="1" s="1"/>
  <c r="G164" i="1"/>
  <c r="F165" i="1"/>
  <c r="J165" i="1" s="1"/>
  <c r="M165" i="1" s="1"/>
  <c r="G165" i="1"/>
  <c r="F166" i="1"/>
  <c r="J166" i="1" s="1"/>
  <c r="M166" i="1" s="1"/>
  <c r="G166" i="1"/>
  <c r="F167" i="1"/>
  <c r="J167" i="1" s="1"/>
  <c r="M167" i="1" s="1"/>
  <c r="G167" i="1"/>
  <c r="F168" i="1"/>
  <c r="J168" i="1" s="1"/>
  <c r="M168" i="1" s="1"/>
  <c r="G168" i="1"/>
  <c r="F169" i="1"/>
  <c r="J169" i="1" s="1"/>
  <c r="M169" i="1" s="1"/>
  <c r="G169" i="1"/>
  <c r="F170" i="1"/>
  <c r="J170" i="1" s="1"/>
  <c r="M170" i="1" s="1"/>
  <c r="G170" i="1"/>
  <c r="F171" i="1"/>
  <c r="J171" i="1" s="1"/>
  <c r="M171" i="1" s="1"/>
  <c r="G171" i="1"/>
  <c r="F172" i="1"/>
  <c r="J172" i="1" s="1"/>
  <c r="M172" i="1" s="1"/>
  <c r="G172" i="1"/>
  <c r="F173" i="1"/>
  <c r="J173" i="1" s="1"/>
  <c r="M173" i="1" s="1"/>
  <c r="G173" i="1"/>
  <c r="F174" i="1"/>
  <c r="J174" i="1" s="1"/>
  <c r="M174" i="1" s="1"/>
  <c r="G174" i="1"/>
  <c r="F175" i="1"/>
  <c r="J175" i="1" s="1"/>
  <c r="M175" i="1" s="1"/>
  <c r="G175" i="1"/>
  <c r="F176" i="1"/>
  <c r="J176" i="1" s="1"/>
  <c r="M176" i="1" s="1"/>
  <c r="G176" i="1"/>
  <c r="F177" i="1"/>
  <c r="J177" i="1" s="1"/>
  <c r="M177" i="1" s="1"/>
  <c r="G177" i="1"/>
  <c r="F178" i="1"/>
  <c r="J178" i="1" s="1"/>
  <c r="M178" i="1" s="1"/>
  <c r="G178" i="1"/>
  <c r="F179" i="1"/>
  <c r="J179" i="1" s="1"/>
  <c r="M179" i="1" s="1"/>
  <c r="G179" i="1"/>
  <c r="F180" i="1"/>
  <c r="J180" i="1" s="1"/>
  <c r="M180" i="1" s="1"/>
  <c r="G180" i="1"/>
  <c r="F181" i="1"/>
  <c r="J181" i="1" s="1"/>
  <c r="M181" i="1" s="1"/>
  <c r="G181" i="1"/>
  <c r="F182" i="1"/>
  <c r="J182" i="1" s="1"/>
  <c r="M182" i="1" s="1"/>
  <c r="G182" i="1"/>
  <c r="F183" i="1"/>
  <c r="J183" i="1" s="1"/>
  <c r="M183" i="1" s="1"/>
  <c r="G183" i="1"/>
  <c r="F184" i="1"/>
  <c r="J184" i="1" s="1"/>
  <c r="M184" i="1" s="1"/>
  <c r="G184" i="1"/>
  <c r="F185" i="1"/>
  <c r="J185" i="1" s="1"/>
  <c r="M185" i="1" s="1"/>
  <c r="G185" i="1"/>
  <c r="F186" i="1"/>
  <c r="J186" i="1" s="1"/>
  <c r="M186" i="1" s="1"/>
  <c r="G186" i="1"/>
  <c r="F187" i="1"/>
  <c r="J187" i="1" s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95" i="1"/>
  <c r="P295" i="1" s="1"/>
  <c r="K243" i="1"/>
  <c r="P243" i="1" s="1"/>
  <c r="K296" i="1"/>
  <c r="P296" i="1" s="1"/>
  <c r="K276" i="1"/>
  <c r="P276" i="1" s="1"/>
  <c r="K260" i="1"/>
  <c r="P260" i="1" s="1"/>
  <c r="K244" i="1"/>
  <c r="P244" i="1" s="1"/>
  <c r="K228" i="1"/>
  <c r="P228" i="1" s="1"/>
  <c r="K212" i="1"/>
  <c r="P212" i="1" s="1"/>
  <c r="K275" i="1"/>
  <c r="P275" i="1" s="1"/>
  <c r="K235" i="1"/>
  <c r="P235" i="1" s="1"/>
  <c r="K293" i="1"/>
  <c r="P293" i="1" s="1"/>
  <c r="K277" i="1"/>
  <c r="P277" i="1" s="1"/>
  <c r="K261" i="1"/>
  <c r="P261" i="1" s="1"/>
  <c r="K245" i="1"/>
  <c r="P245" i="1" s="1"/>
  <c r="K229" i="1"/>
  <c r="P229" i="1" s="1"/>
  <c r="K213" i="1"/>
  <c r="P213" i="1" s="1"/>
  <c r="K251" i="1"/>
  <c r="P251" i="1" s="1"/>
  <c r="K302" i="1"/>
  <c r="P302" i="1" s="1"/>
  <c r="K286" i="1"/>
  <c r="P286" i="1" s="1"/>
  <c r="K270" i="1"/>
  <c r="P270" i="1" s="1"/>
  <c r="K254" i="1"/>
  <c r="P254" i="1" s="1"/>
  <c r="K238" i="1"/>
  <c r="P238" i="1" s="1"/>
  <c r="K222" i="1"/>
  <c r="P222" i="1" s="1"/>
  <c r="K287" i="1"/>
  <c r="P287" i="1" s="1"/>
  <c r="K231" i="1"/>
  <c r="P231" i="1" s="1"/>
  <c r="K292" i="1"/>
  <c r="P292" i="1" s="1"/>
  <c r="K272" i="1"/>
  <c r="P272" i="1" s="1"/>
  <c r="K256" i="1"/>
  <c r="P256" i="1" s="1"/>
  <c r="K240" i="1"/>
  <c r="P240" i="1" s="1"/>
  <c r="K224" i="1"/>
  <c r="P224" i="1" s="1"/>
  <c r="K303" i="1"/>
  <c r="P303" i="1" s="1"/>
  <c r="K267" i="1"/>
  <c r="P267" i="1" s="1"/>
  <c r="K215" i="1"/>
  <c r="P215" i="1" s="1"/>
  <c r="K289" i="1"/>
  <c r="P289" i="1" s="1"/>
  <c r="K273" i="1"/>
  <c r="P273" i="1" s="1"/>
  <c r="K257" i="1"/>
  <c r="P257" i="1" s="1"/>
  <c r="K241" i="1"/>
  <c r="P241" i="1" s="1"/>
  <c r="K225" i="1"/>
  <c r="P225" i="1" s="1"/>
  <c r="K299" i="1"/>
  <c r="P299" i="1" s="1"/>
  <c r="K239" i="1"/>
  <c r="P239" i="1" s="1"/>
  <c r="K298" i="1"/>
  <c r="P298" i="1" s="1"/>
  <c r="K282" i="1"/>
  <c r="P282" i="1" s="1"/>
  <c r="K266" i="1"/>
  <c r="P266" i="1" s="1"/>
  <c r="K250" i="1"/>
  <c r="P250" i="1" s="1"/>
  <c r="K234" i="1"/>
  <c r="P234" i="1" s="1"/>
  <c r="K218" i="1"/>
  <c r="P218" i="1" s="1"/>
  <c r="K263" i="1"/>
  <c r="P263" i="1" s="1"/>
  <c r="K219" i="1"/>
  <c r="P219" i="1" s="1"/>
  <c r="K284" i="1"/>
  <c r="P284" i="1" s="1"/>
  <c r="K268" i="1"/>
  <c r="P268" i="1" s="1"/>
  <c r="K252" i="1"/>
  <c r="P252" i="1" s="1"/>
  <c r="K236" i="1"/>
  <c r="P236" i="1" s="1"/>
  <c r="K220" i="1"/>
  <c r="P220" i="1" s="1"/>
  <c r="K291" i="1"/>
  <c r="P291" i="1" s="1"/>
  <c r="K259" i="1"/>
  <c r="P259" i="1" s="1"/>
  <c r="K301" i="1"/>
  <c r="P301" i="1" s="1"/>
  <c r="K285" i="1"/>
  <c r="P285" i="1" s="1"/>
  <c r="K269" i="1"/>
  <c r="P269" i="1" s="1"/>
  <c r="K253" i="1"/>
  <c r="P253" i="1" s="1"/>
  <c r="K237" i="1"/>
  <c r="P237" i="1" s="1"/>
  <c r="K221" i="1"/>
  <c r="P221" i="1" s="1"/>
  <c r="K279" i="1"/>
  <c r="P279" i="1" s="1"/>
  <c r="K227" i="1"/>
  <c r="P227" i="1" s="1"/>
  <c r="K294" i="1"/>
  <c r="P294" i="1" s="1"/>
  <c r="K278" i="1"/>
  <c r="P278" i="1" s="1"/>
  <c r="K262" i="1"/>
  <c r="P262" i="1" s="1"/>
  <c r="K246" i="1"/>
  <c r="P246" i="1" s="1"/>
  <c r="K230" i="1"/>
  <c r="P230" i="1" s="1"/>
  <c r="K214" i="1"/>
  <c r="P214" i="1" s="1"/>
  <c r="K255" i="1"/>
  <c r="P255" i="1" s="1"/>
  <c r="K248" i="1"/>
  <c r="P248" i="1" s="1"/>
  <c r="K247" i="1"/>
  <c r="P247" i="1" s="1"/>
  <c r="K249" i="1"/>
  <c r="P249" i="1" s="1"/>
  <c r="K223" i="1"/>
  <c r="P223" i="1" s="1"/>
  <c r="K242" i="1"/>
  <c r="P242" i="1" s="1"/>
  <c r="K283" i="1"/>
  <c r="P283" i="1" s="1"/>
  <c r="K300" i="1"/>
  <c r="P300" i="1" s="1"/>
  <c r="K232" i="1"/>
  <c r="P232" i="1" s="1"/>
  <c r="K297" i="1"/>
  <c r="P297" i="1" s="1"/>
  <c r="K233" i="1"/>
  <c r="P233" i="1" s="1"/>
  <c r="K290" i="1"/>
  <c r="P290" i="1" s="1"/>
  <c r="K226" i="1"/>
  <c r="P226" i="1" s="1"/>
  <c r="K264" i="1"/>
  <c r="P264" i="1" s="1"/>
  <c r="K271" i="1"/>
  <c r="P271" i="1" s="1"/>
  <c r="K258" i="1"/>
  <c r="P258" i="1" s="1"/>
  <c r="K280" i="1"/>
  <c r="P280" i="1" s="1"/>
  <c r="K216" i="1"/>
  <c r="P216" i="1" s="1"/>
  <c r="K281" i="1"/>
  <c r="P281" i="1" s="1"/>
  <c r="K217" i="1"/>
  <c r="P217" i="1" s="1"/>
  <c r="K274" i="1"/>
  <c r="P274" i="1" s="1"/>
  <c r="K265" i="1"/>
  <c r="P265" i="1" s="1"/>
  <c r="K183" i="1"/>
  <c r="K157" i="1"/>
  <c r="K149" i="1"/>
  <c r="P149" i="1" s="1"/>
  <c r="K179" i="1"/>
  <c r="K161" i="1"/>
  <c r="K167" i="1"/>
  <c r="P167" i="1" s="1"/>
  <c r="K126" i="1"/>
  <c r="K116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07" i="1"/>
  <c r="P207" i="1" s="1"/>
  <c r="K199" i="1"/>
  <c r="P199" i="1" s="1"/>
  <c r="K191" i="1"/>
  <c r="P191" i="1" s="1"/>
  <c r="K134" i="1"/>
  <c r="K184" i="1"/>
  <c r="K176" i="1"/>
  <c r="K168" i="1"/>
  <c r="K160" i="1"/>
  <c r="K152" i="1"/>
  <c r="K142" i="1"/>
  <c r="K112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53" i="1"/>
  <c r="K92" i="1"/>
  <c r="K76" i="1"/>
  <c r="K60" i="1"/>
  <c r="K44" i="1"/>
  <c r="K28" i="1"/>
  <c r="K12" i="1"/>
  <c r="K203" i="1"/>
  <c r="P203" i="1" s="1"/>
  <c r="K144" i="1"/>
  <c r="K180" i="1"/>
  <c r="P180" i="1" s="1"/>
  <c r="K164" i="1"/>
  <c r="P164" i="1" s="1"/>
  <c r="K148" i="1"/>
  <c r="K141" i="1"/>
  <c r="K125" i="1"/>
  <c r="K109" i="1"/>
  <c r="K93" i="1"/>
  <c r="K77" i="1"/>
  <c r="K61" i="1"/>
  <c r="K45" i="1"/>
  <c r="K29" i="1"/>
  <c r="K13" i="1"/>
  <c r="K204" i="1"/>
  <c r="P204" i="1" s="1"/>
  <c r="K188" i="1"/>
  <c r="P188" i="1" s="1"/>
  <c r="K175" i="1"/>
  <c r="K155" i="1"/>
  <c r="K147" i="1"/>
  <c r="P147" i="1" s="1"/>
  <c r="K177" i="1"/>
  <c r="K187" i="1"/>
  <c r="K159" i="1"/>
  <c r="K122" i="1"/>
  <c r="K114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28" i="1"/>
  <c r="K182" i="1"/>
  <c r="K174" i="1"/>
  <c r="K166" i="1"/>
  <c r="P166" i="1" s="1"/>
  <c r="K158" i="1"/>
  <c r="K150" i="1"/>
  <c r="K136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69" i="1"/>
  <c r="K145" i="1"/>
  <c r="K171" i="1"/>
  <c r="P171" i="1" s="1"/>
  <c r="K181" i="1"/>
  <c r="P181" i="1" s="1"/>
  <c r="K140" i="1"/>
  <c r="K120" i="1"/>
  <c r="K108" i="1"/>
  <c r="K100" i="1"/>
  <c r="K84" i="1"/>
  <c r="K68" i="1"/>
  <c r="K52" i="1"/>
  <c r="K36" i="1"/>
  <c r="K20" i="1"/>
  <c r="K211" i="1"/>
  <c r="P211" i="1" s="1"/>
  <c r="K195" i="1"/>
  <c r="P195" i="1" s="1"/>
  <c r="K110" i="1"/>
  <c r="K172" i="1"/>
  <c r="K156" i="1"/>
  <c r="K130" i="1"/>
  <c r="K133" i="1"/>
  <c r="K117" i="1"/>
  <c r="K101" i="1"/>
  <c r="K85" i="1"/>
  <c r="K69" i="1"/>
  <c r="K53" i="1"/>
  <c r="K37" i="1"/>
  <c r="K21" i="1"/>
  <c r="K5" i="1"/>
  <c r="K196" i="1"/>
  <c r="P196" i="1" s="1"/>
  <c r="K163" i="1"/>
  <c r="K173" i="1"/>
  <c r="P173" i="1" s="1"/>
  <c r="K98" i="1"/>
  <c r="K66" i="1"/>
  <c r="K34" i="1"/>
  <c r="K209" i="1"/>
  <c r="P209" i="1" s="1"/>
  <c r="K186" i="1"/>
  <c r="P186" i="1" s="1"/>
  <c r="K154" i="1"/>
  <c r="K131" i="1"/>
  <c r="K99" i="1"/>
  <c r="K67" i="1"/>
  <c r="K35" i="1"/>
  <c r="K210" i="1"/>
  <c r="P210" i="1" s="1"/>
  <c r="K151" i="1"/>
  <c r="K132" i="1"/>
  <c r="K90" i="1"/>
  <c r="K58" i="1"/>
  <c r="K26" i="1"/>
  <c r="K201" i="1"/>
  <c r="P201" i="1" s="1"/>
  <c r="K178" i="1"/>
  <c r="K146" i="1"/>
  <c r="K123" i="1"/>
  <c r="K91" i="1"/>
  <c r="K59" i="1"/>
  <c r="K27" i="1"/>
  <c r="K202" i="1"/>
  <c r="P202" i="1" s="1"/>
  <c r="K185" i="1"/>
  <c r="P185" i="1" s="1"/>
  <c r="K118" i="1"/>
  <c r="K82" i="1"/>
  <c r="K18" i="1"/>
  <c r="K193" i="1"/>
  <c r="P193" i="1" s="1"/>
  <c r="K170" i="1"/>
  <c r="K124" i="1"/>
  <c r="K115" i="1"/>
  <c r="K83" i="1"/>
  <c r="K51" i="1"/>
  <c r="K19" i="1"/>
  <c r="K194" i="1"/>
  <c r="P194" i="1" s="1"/>
  <c r="K165" i="1"/>
  <c r="K106" i="1"/>
  <c r="K74" i="1"/>
  <c r="K42" i="1"/>
  <c r="K10" i="1"/>
  <c r="K138" i="1"/>
  <c r="K162" i="1"/>
  <c r="K139" i="1"/>
  <c r="K107" i="1"/>
  <c r="K75" i="1"/>
  <c r="K43" i="1"/>
  <c r="K11" i="1"/>
  <c r="K50" i="1"/>
  <c r="P146" i="1"/>
  <c r="P148" i="1"/>
  <c r="P150" i="1"/>
  <c r="P152" i="1"/>
  <c r="P154" i="1"/>
  <c r="P156" i="1"/>
  <c r="P158" i="1"/>
  <c r="P160" i="1"/>
  <c r="P162" i="1"/>
  <c r="P168" i="1"/>
  <c r="P170" i="1"/>
  <c r="P172" i="1"/>
  <c r="P174" i="1"/>
  <c r="P176" i="1"/>
  <c r="P178" i="1"/>
  <c r="P182" i="1"/>
  <c r="P184" i="1"/>
  <c r="P157" i="1"/>
  <c r="P165" i="1"/>
  <c r="P151" i="1"/>
  <c r="P159" i="1"/>
  <c r="P175" i="1"/>
  <c r="P183" i="1"/>
  <c r="P145" i="1"/>
  <c r="P153" i="1"/>
  <c r="P161" i="1"/>
  <c r="P169" i="1"/>
  <c r="P177" i="1"/>
  <c r="P155" i="1"/>
  <c r="P163" i="1"/>
  <c r="P179" i="1"/>
  <c r="P187" i="1"/>
  <c r="F4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29" i="3"/>
  <c r="L186" i="3"/>
  <c r="L154" i="3"/>
  <c r="L122" i="3"/>
  <c r="L74" i="3"/>
  <c r="L42" i="3"/>
  <c r="L149" i="3"/>
  <c r="L77" i="3"/>
  <c r="L45" i="3"/>
  <c r="L156" i="3"/>
  <c r="L75" i="3"/>
  <c r="L43" i="3"/>
  <c r="L180" i="3"/>
  <c r="L108" i="3"/>
  <c r="L60" i="3"/>
  <c r="L28" i="3"/>
  <c r="L222" i="3"/>
  <c r="L219" i="3"/>
  <c r="L200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06" i="3"/>
  <c r="L26" i="3"/>
  <c r="L93" i="3"/>
  <c r="L29" i="3"/>
  <c r="L176" i="3"/>
  <c r="L91" i="3"/>
  <c r="L27" i="3"/>
  <c r="L124" i="3"/>
  <c r="L76" i="3"/>
  <c r="L12" i="3"/>
  <c r="L220" i="3"/>
  <c r="L205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39" i="3"/>
  <c r="L123" i="3"/>
  <c r="L169" i="3"/>
  <c r="L137" i="3"/>
  <c r="L183" i="3"/>
  <c r="L170" i="3"/>
  <c r="L138" i="3"/>
  <c r="L90" i="3"/>
  <c r="L58" i="3"/>
  <c r="L10" i="3"/>
  <c r="L109" i="3"/>
  <c r="L61" i="3"/>
  <c r="L13" i="3"/>
  <c r="L107" i="3"/>
  <c r="L59" i="3"/>
  <c r="L11" i="3"/>
  <c r="L140" i="3"/>
  <c r="L92" i="3"/>
  <c r="L44" i="3"/>
  <c r="L213" i="3"/>
  <c r="L203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<sst xmlns="http://schemas.openxmlformats.org/spreadsheetml/2006/main" count="40" uniqueCount="36">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</sst>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67" zoomScale="85" zoomScaleNormal="85" workbookViewId="0">
      <selection activeCell="M4" sqref="M4:P303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-0.5292</v>
      </c>
      <c r="AC3" t="s">
        <v>30</v>
      </c>
    </row>
    <row r="4" spans="1:29" x14ac:dyDescent="0.3">
      <c r="A4">
        <v>9.6210450000000003E-2</v>
      </c>
      <c r="B4">
        <v>0.85402999999999996</v>
      </c>
      <c r="C4">
        <f>A4*B4</f>
        <v>8.2166610613500002E-2</v>
      </c>
      <c r="D4">
        <v>1.9099999999999999E-2</v>
      </c>
      <c r="E4" s="1">
        <v>1.2999999999999999E-2</v>
      </c>
      <c r="F4">
        <f>A4*200</f>
        <v>19.242090000000001</v>
      </c>
      <c r="G4">
        <f>-B4</f>
        <v>-0.85402999999999996</v>
      </c>
      <c r="H4">
        <f t="shared" ref="H4" si="0">-C4*200</f>
        <v>-16.433322122700002</v>
      </c>
      <c r="I4">
        <v>1</v>
      </c>
      <c r="J4">
        <f>LN(F4/1000)</f>
        <v>-3.9506552117855276</v>
      </c>
      <c r="K4">
        <f>((-G4)-$N$2)</f>
        <v>-0.32588057297601203</v>
      </c>
      <c r="L4">
        <v>1</v>
      </c>
      <c r="M4">
        <f>-1*($S$4+($S$5*J4))</f>
        <v>0.30192209613410848</v>
      </c>
      <c r="N4">
        <f>D4*A4</f>
        <v>1.837619595E-3</v>
      </c>
      <c r="O4">
        <f>E4*A4</f>
        <v>1.2507358500000001E-3</v>
      </c>
      <c r="P4">
        <f>-K4-M4-N4-O4</f>
        <v>2.0870121396903554E-2</v>
      </c>
      <c r="R4" s="2" t="s">
        <v>16</v>
      </c>
      <c r="S4">
        <v>-0.48222999999999999</v>
      </c>
      <c r="V4">
        <v>-6</v>
      </c>
      <c r="W4">
        <f>V4*$S$5+$S$4</f>
        <v>-0.20839000000000002</v>
      </c>
      <c r="Y4">
        <v>0</v>
      </c>
      <c r="Z4">
        <f>$AB$4*Y4+$AB$3</f>
        <v>-0.5292</v>
      </c>
      <c r="AB4">
        <v>14.477</v>
      </c>
      <c r="AC4" t="s">
        <v>31</v>
      </c>
    </row>
    <row r="5" spans="1:29" x14ac:dyDescent="0.3">
      <c r="A5">
        <v>0.20215454999999999</v>
      </c>
      <c r="B5">
        <v>0.82228999999999997</v>
      </c>
      <c r="C5">
        <f t="shared" ref="C5:C68" si="1">A5*B5</f>
        <v>0.16622966491949998</v>
      </c>
      <c r="D5">
        <v>1.9099999999999999E-2</v>
      </c>
      <c r="E5" s="1">
        <v>1.2999999999999999E-2</v>
      </c>
      <c r="F5">
        <f t="shared" ref="F5:F68" si="2">A5*200</f>
        <v>40.430909999999997</v>
      </c>
      <c r="G5">
        <f t="shared" ref="G5:G68" si="3">-B5</f>
        <v>-0.82228999999999997</v>
      </c>
      <c r="H5">
        <f t="shared" ref="H5:H68" si="4">-C5*200</f>
        <v>-33.245932983899998</v>
      </c>
      <c r="I5">
        <v>1</v>
      </c>
      <c r="J5">
        <f t="shared" ref="J5:J68" si="5">LN(F5/1000)</f>
        <v>-3.2081606875441744</v>
      </c>
      <c r="K5">
        <f t="shared" ref="K5:K68" si="6">((-G5)-$N$2)</f>
        <v>-0.35762057297601202</v>
      </c>
      <c r="L5">
        <v>1</v>
      </c>
      <c r="M5">
        <f t="shared" ref="M5:M68" si="7">-1*($S$4+($S$5*J5))</f>
        <v>0.33580954622048387</v>
      </c>
      <c r="N5">
        <f t="shared" ref="N5:N6" si="8">D5*A5</f>
        <v>3.8611519049999996E-3</v>
      </c>
      <c r="O5">
        <f>E5*A5</f>
        <v>2.6280091499999996E-3</v>
      </c>
      <c r="P5">
        <f>-K5-M5-N5-O5</f>
        <v>1.5321865700528153E-2</v>
      </c>
      <c r="R5" s="2" t="s">
        <v>17</v>
      </c>
      <c r="S5">
        <v>-4.564E-2</v>
      </c>
      <c r="V5">
        <v>-5.9</v>
      </c>
      <c r="W5">
        <f t="shared" ref="W5:W68" si="9">V5*$S$5+$S$4</f>
        <v>-0.21295399999999998</v>
      </c>
      <c r="Y5">
        <v>0.01</v>
      </c>
      <c r="Z5">
        <f t="shared" ref="Z5:Z31" si="10">$AB$4*Y5+$AB$3</f>
        <v>-0.38442999999999999</v>
      </c>
    </row>
    <row r="6" spans="1:29" x14ac:dyDescent="0.3">
      <c r="A6">
        <v>0.30233304999999999</v>
      </c>
      <c r="B6">
        <v>0.80035000000000001</v>
      </c>
      <c r="C6">
        <f t="shared" si="1"/>
        <v>0.24197225656749999</v>
      </c>
      <c r="D6">
        <v>1.9099999999999999E-2</v>
      </c>
      <c r="E6" s="1">
        <v>1.2999999999999999E-2</v>
      </c>
      <c r="F6">
        <f t="shared" si="2"/>
        <v>60.466609999999996</v>
      </c>
      <c r="G6">
        <f t="shared" si="3"/>
        <v>-0.80035000000000001</v>
      </c>
      <c r="H6">
        <f t="shared" si="4"/>
        <v>-48.394451313499999</v>
      </c>
      <c r="I6">
        <v>1</v>
      </c>
      <c r="J6">
        <f t="shared" si="5"/>
        <v>-2.8056639671251071</v>
      </c>
      <c r="K6">
        <f t="shared" si="6"/>
        <v>-0.37956057297601198</v>
      </c>
      <c r="L6">
        <v>1</v>
      </c>
      <c r="M6">
        <f t="shared" si="7"/>
        <v>0.35417949654041014</v>
      </c>
      <c r="N6">
        <f t="shared" si="8"/>
        <v>5.7745612549999995E-3</v>
      </c>
      <c r="O6">
        <f t="shared" ref="O6:O69" si="11">E6*A6</f>
        <v>3.9303296499999998E-3</v>
      </c>
      <c r="P6">
        <f t="shared" ref="P6:P69" si="12">-K6-M6-N6-O6</f>
        <v>1.5676185530601836E-2</v>
      </c>
      <c r="V6">
        <v>-5.8</v>
      </c>
      <c r="W6">
        <f t="shared" si="9"/>
        <v>-0.21751799999999999</v>
      </c>
      <c r="Y6">
        <v>0.02</v>
      </c>
      <c r="Z6">
        <f t="shared" si="10"/>
        <v>-0.23965999999999998</v>
      </c>
      <c r="AB6" t="s">
        <v>32</v>
      </c>
    </row>
    <row r="7" spans="1:29" x14ac:dyDescent="0.3">
      <c r="A7">
        <v>0.40034934999999999</v>
      </c>
      <c r="B7">
        <v>0.78259000000000001</v>
      </c>
      <c r="C7">
        <f t="shared" si="1"/>
        <v>0.31330939781650002</v>
      </c>
      <c r="D7">
        <v>1.9099999999999999E-2</v>
      </c>
      <c r="E7" s="1">
        <v>1.2999999999999999E-2</v>
      </c>
      <c r="F7">
        <f t="shared" si="2"/>
        <v>80.069869999999995</v>
      </c>
      <c r="G7">
        <f t="shared" si="3"/>
        <v>-0.78259000000000001</v>
      </c>
      <c r="H7">
        <f t="shared" si="4"/>
        <v>-62.661879563300005</v>
      </c>
      <c r="I7">
        <v>1</v>
      </c>
      <c r="J7">
        <f t="shared" si="5"/>
        <v>-2.5248556504782806</v>
      </c>
      <c r="K7">
        <f t="shared" si="6"/>
        <v>-0.39732057297601198</v>
      </c>
      <c r="L7">
        <v>1</v>
      </c>
      <c r="M7">
        <f t="shared" si="7"/>
        <v>0.36699558811217126</v>
      </c>
      <c r="N7">
        <f t="shared" ref="N7:N70" si="13">D7*A7</f>
        <v>7.6466725849999992E-3</v>
      </c>
      <c r="O7">
        <f t="shared" si="11"/>
        <v>5.2045415499999996E-3</v>
      </c>
      <c r="P7">
        <f t="shared" si="12"/>
        <v>1.747377072884072E-2</v>
      </c>
      <c r="V7">
        <v>-5.7</v>
      </c>
      <c r="W7">
        <f t="shared" si="9"/>
        <v>-0.222082</v>
      </c>
      <c r="Y7">
        <v>0.03</v>
      </c>
      <c r="Z7">
        <f t="shared" si="10"/>
        <v>-9.489000000000003E-2</v>
      </c>
      <c r="AB7" t="s">
        <v>33</v>
      </c>
      <c r="AC7">
        <f>-AB3/AB4</f>
        <v>3.6554534779305106E-2</v>
      </c>
    </row>
    <row r="8" spans="1:29" x14ac:dyDescent="0.3">
      <c r="A8">
        <v>0.49836570000000002</v>
      </c>
      <c r="B8">
        <v>0.76722000000000001</v>
      </c>
      <c r="C8">
        <f t="shared" si="1"/>
        <v>0.38235613235400001</v>
      </c>
      <c r="D8">
        <v>1.9099999999999999E-2</v>
      </c>
      <c r="E8" s="1">
        <v>1.2999999999999999E-2</v>
      </c>
      <c r="F8">
        <f t="shared" si="2"/>
        <v>99.673140000000004</v>
      </c>
      <c r="G8">
        <f t="shared" si="3"/>
        <v>-0.76722000000000001</v>
      </c>
      <c r="H8">
        <f t="shared" si="4"/>
        <v>-76.471226470800005</v>
      </c>
      <c r="I8">
        <v>1</v>
      </c>
      <c r="J8">
        <f t="shared" si="5"/>
        <v>-2.3058590465359332</v>
      </c>
      <c r="K8">
        <f t="shared" si="6"/>
        <v>-0.41269057297601197</v>
      </c>
      <c r="L8">
        <v>1</v>
      </c>
      <c r="M8">
        <f t="shared" si="7"/>
        <v>0.3769905931161</v>
      </c>
      <c r="N8">
        <f t="shared" si="13"/>
        <v>9.5187848699999997E-3</v>
      </c>
      <c r="O8">
        <f t="shared" si="11"/>
        <v>6.4787541000000002E-3</v>
      </c>
      <c r="P8">
        <f t="shared" si="12"/>
        <v>1.9702440889911969E-2</v>
      </c>
      <c r="V8">
        <v>-5.6</v>
      </c>
      <c r="W8">
        <f t="shared" si="9"/>
        <v>-0.22664600000000001</v>
      </c>
      <c r="Y8">
        <v>0.04</v>
      </c>
      <c r="Z8">
        <f t="shared" si="10"/>
        <v>4.9880000000000035E-2</v>
      </c>
    </row>
    <row r="9" spans="1:29" x14ac:dyDescent="0.3">
      <c r="A9">
        <v>0.60070630000000003</v>
      </c>
      <c r="B9">
        <v>0.75334999999999996</v>
      </c>
      <c r="C9">
        <f t="shared" si="1"/>
        <v>0.45254209110499999</v>
      </c>
      <c r="D9">
        <v>1.9099999999999999E-2</v>
      </c>
      <c r="E9" s="1">
        <v>1.2999999999999999E-2</v>
      </c>
      <c r="F9">
        <f t="shared" si="2"/>
        <v>120.14126</v>
      </c>
      <c r="G9">
        <f t="shared" si="3"/>
        <v>-0.75334999999999996</v>
      </c>
      <c r="H9">
        <f t="shared" si="4"/>
        <v>-90.508418220999999</v>
      </c>
      <c r="I9">
        <v>1</v>
      </c>
      <c r="J9">
        <f t="shared" si="5"/>
        <v>-2.1190870618508431</v>
      </c>
      <c r="K9">
        <f t="shared" si="6"/>
        <v>-0.42656057297601202</v>
      </c>
      <c r="L9">
        <v>1</v>
      </c>
      <c r="M9">
        <f t="shared" si="7"/>
        <v>0.38551486649712752</v>
      </c>
      <c r="N9">
        <f t="shared" si="13"/>
        <v>1.1473490330000001E-2</v>
      </c>
      <c r="O9">
        <f t="shared" si="11"/>
        <v>7.8091819E-3</v>
      </c>
      <c r="P9">
        <f t="shared" si="12"/>
        <v>2.17630342488845E-2</v>
      </c>
      <c r="V9">
        <v>-5.5</v>
      </c>
      <c r="W9">
        <f t="shared" si="9"/>
        <v>-0.23120999999999997</v>
      </c>
      <c r="Y9">
        <v>0.05</v>
      </c>
      <c r="Z9">
        <f t="shared" si="10"/>
        <v>0.1946500000000001</v>
      </c>
      <c r="AB9" t="s">
        <v>35</v>
      </c>
      <c r="AC9">
        <v>3.2222000000000001E-2</v>
      </c>
    </row>
    <row r="10" spans="1:29" x14ac:dyDescent="0.3">
      <c r="A10">
        <v>0.69295689999999999</v>
      </c>
      <c r="B10">
        <v>0.74045000000000005</v>
      </c>
      <c r="C10">
        <f t="shared" si="1"/>
        <v>0.51309993660499997</v>
      </c>
      <c r="D10">
        <v>1.9099999999999999E-2</v>
      </c>
      <c r="E10" s="1">
        <v>1.2999999999999999E-2</v>
      </c>
      <c r="F10">
        <f t="shared" si="2"/>
        <v>138.59137999999999</v>
      </c>
      <c r="G10">
        <f t="shared" si="3"/>
        <v>-0.74045000000000005</v>
      </c>
      <c r="H10">
        <f t="shared" si="4"/>
        <v>-102.619987321</v>
      </c>
      <c r="I10">
        <v>1</v>
      </c>
      <c r="J10">
        <f t="shared" si="5"/>
        <v>-1.976225387522615</v>
      </c>
      <c r="K10">
        <f t="shared" si="6"/>
        <v>-0.43946057297601193</v>
      </c>
      <c r="L10">
        <v>1</v>
      </c>
      <c r="M10">
        <f t="shared" si="7"/>
        <v>0.39203507331346787</v>
      </c>
      <c r="N10">
        <f t="shared" si="13"/>
        <v>1.3235476789999999E-2</v>
      </c>
      <c r="O10">
        <f t="shared" si="11"/>
        <v>9.008439699999999E-3</v>
      </c>
      <c r="P10">
        <f t="shared" si="12"/>
        <v>2.5181583172544059E-2</v>
      </c>
      <c r="V10">
        <v>-5.4</v>
      </c>
      <c r="W10">
        <f t="shared" si="9"/>
        <v>-0.23577399999999998</v>
      </c>
      <c r="Y10">
        <v>0.06</v>
      </c>
      <c r="Z10">
        <f t="shared" si="10"/>
        <v>0.33941999999999994</v>
      </c>
    </row>
    <row r="11" spans="1:29" x14ac:dyDescent="0.3">
      <c r="A11">
        <v>0.79529754999999991</v>
      </c>
      <c r="B11">
        <v>0.72821000000000002</v>
      </c>
      <c r="C11">
        <f t="shared" si="1"/>
        <v>0.57914362888549997</v>
      </c>
      <c r="D11">
        <v>1.9099999999999999E-2</v>
      </c>
      <c r="E11" s="1">
        <v>1.2999999999999999E-2</v>
      </c>
      <c r="F11">
        <f t="shared" si="2"/>
        <v>159.05950999999999</v>
      </c>
      <c r="G11">
        <f t="shared" si="3"/>
        <v>-0.72821000000000002</v>
      </c>
      <c r="H11">
        <f t="shared" si="4"/>
        <v>-115.82872577709999</v>
      </c>
      <c r="I11">
        <v>1</v>
      </c>
      <c r="J11">
        <f t="shared" si="5"/>
        <v>-1.8384768700564094</v>
      </c>
      <c r="K11">
        <f t="shared" si="6"/>
        <v>-0.45170057297601196</v>
      </c>
      <c r="L11">
        <v>1</v>
      </c>
      <c r="M11">
        <f t="shared" si="7"/>
        <v>0.39832191565062547</v>
      </c>
      <c r="N11">
        <f t="shared" si="13"/>
        <v>1.5190183204999997E-2</v>
      </c>
      <c r="O11">
        <f t="shared" si="11"/>
        <v>1.0338868149999998E-2</v>
      </c>
      <c r="P11">
        <f t="shared" si="12"/>
        <v>2.7849605970386493E-2</v>
      </c>
      <c r="V11">
        <v>-5.3</v>
      </c>
      <c r="W11">
        <f t="shared" si="9"/>
        <v>-0.240338</v>
      </c>
      <c r="Y11">
        <v>7.0000000000000007E-2</v>
      </c>
      <c r="Z11">
        <f t="shared" si="10"/>
        <v>0.48419000000000001</v>
      </c>
      <c r="AB11" t="s">
        <v>34</v>
      </c>
      <c r="AC11">
        <f>AC7-AC9</f>
        <v>4.3325347793051056E-3</v>
      </c>
    </row>
    <row r="12" spans="1:29" x14ac:dyDescent="0.3">
      <c r="A12">
        <v>0.89403454999999998</v>
      </c>
      <c r="B12">
        <v>0.71660000000000001</v>
      </c>
      <c r="C12">
        <f t="shared" si="1"/>
        <v>0.64066515853000006</v>
      </c>
      <c r="D12">
        <v>1.9099999999999999E-2</v>
      </c>
      <c r="E12" s="1">
        <v>1.2999999999999999E-2</v>
      </c>
      <c r="F12">
        <f t="shared" si="2"/>
        <v>178.80690999999999</v>
      </c>
      <c r="G12">
        <f t="shared" si="3"/>
        <v>-0.71660000000000001</v>
      </c>
      <c r="H12">
        <f t="shared" si="4"/>
        <v>-128.133031706</v>
      </c>
      <c r="I12">
        <v>1</v>
      </c>
      <c r="J12">
        <f t="shared" si="5"/>
        <v>-1.7214487704570429</v>
      </c>
      <c r="K12">
        <f t="shared" si="6"/>
        <v>-0.46331057297601197</v>
      </c>
      <c r="L12">
        <v>1</v>
      </c>
      <c r="M12">
        <f t="shared" si="7"/>
        <v>0.40366307811634056</v>
      </c>
      <c r="N12">
        <f t="shared" si="13"/>
        <v>1.7076059905E-2</v>
      </c>
      <c r="O12">
        <f t="shared" si="11"/>
        <v>1.1622449149999999E-2</v>
      </c>
      <c r="P12">
        <f t="shared" si="12"/>
        <v>3.0948985804671418E-2</v>
      </c>
      <c r="V12">
        <v>-5.2</v>
      </c>
      <c r="W12">
        <f t="shared" si="9"/>
        <v>-0.24490199999999998</v>
      </c>
      <c r="Y12">
        <v>0.08</v>
      </c>
      <c r="Z12">
        <f t="shared" si="10"/>
        <v>0.62896000000000007</v>
      </c>
      <c r="AC12">
        <f>AC11*3</f>
        <v>1.2997604337915317E-2</v>
      </c>
    </row>
    <row r="13" spans="1:29" x14ac:dyDescent="0.3">
      <c r="A13">
        <v>0.99637514999999999</v>
      </c>
      <c r="B13">
        <v>0.70562000000000002</v>
      </c>
      <c r="C13">
        <f t="shared" si="1"/>
        <v>0.703062233343</v>
      </c>
      <c r="D13">
        <v>1.9099999999999999E-2</v>
      </c>
      <c r="E13" s="1">
        <v>1.2999999999999999E-2</v>
      </c>
      <c r="F13">
        <f t="shared" si="2"/>
        <v>199.27502999999999</v>
      </c>
      <c r="G13">
        <f t="shared" si="3"/>
        <v>-0.70562000000000002</v>
      </c>
      <c r="H13">
        <f t="shared" si="4"/>
        <v>-140.6124466686</v>
      </c>
      <c r="I13">
        <v>1</v>
      </c>
      <c r="J13">
        <f t="shared" si="5"/>
        <v>-1.6130693481224332</v>
      </c>
      <c r="K13">
        <f t="shared" si="6"/>
        <v>-0.47429057297601196</v>
      </c>
      <c r="L13">
        <v>1</v>
      </c>
      <c r="M13">
        <f t="shared" si="7"/>
        <v>0.40860951495169212</v>
      </c>
      <c r="N13">
        <f t="shared" si="13"/>
        <v>1.9030765364999997E-2</v>
      </c>
      <c r="O13">
        <f t="shared" si="11"/>
        <v>1.2952876949999999E-2</v>
      </c>
      <c r="P13">
        <f t="shared" si="12"/>
        <v>3.3697415709319847E-2</v>
      </c>
      <c r="V13">
        <v>-5.0999999999999996</v>
      </c>
      <c r="W13">
        <f t="shared" si="9"/>
        <v>-0.24946600000000002</v>
      </c>
      <c r="Y13">
        <v>0.09</v>
      </c>
      <c r="Z13">
        <f t="shared" si="10"/>
        <v>0.77372999999999992</v>
      </c>
    </row>
    <row r="14" spans="1:29" x14ac:dyDescent="0.3">
      <c r="A14">
        <v>1.0965537000000001</v>
      </c>
      <c r="B14">
        <v>0.69484000000000001</v>
      </c>
      <c r="C14">
        <f t="shared" si="1"/>
        <v>0.76192937290800011</v>
      </c>
      <c r="D14">
        <v>1.9099999999999999E-2</v>
      </c>
      <c r="E14" s="1">
        <v>1.2999999999999999E-2</v>
      </c>
      <c r="F14">
        <f t="shared" si="2"/>
        <v>219.31074000000001</v>
      </c>
      <c r="G14">
        <f t="shared" si="3"/>
        <v>-0.69484000000000001</v>
      </c>
      <c r="H14">
        <f t="shared" si="4"/>
        <v>-152.38587458160004</v>
      </c>
      <c r="I14">
        <v>1</v>
      </c>
      <c r="J14">
        <f t="shared" si="5"/>
        <v>-1.5172656507492741</v>
      </c>
      <c r="K14">
        <f t="shared" si="6"/>
        <v>-0.48507057297601197</v>
      </c>
      <c r="L14">
        <v>1</v>
      </c>
      <c r="M14">
        <f t="shared" si="7"/>
        <v>0.41298199569980309</v>
      </c>
      <c r="N14">
        <f t="shared" si="13"/>
        <v>2.0944175669999999E-2</v>
      </c>
      <c r="O14">
        <f t="shared" si="11"/>
        <v>1.42551981E-2</v>
      </c>
      <c r="P14">
        <f t="shared" si="12"/>
        <v>3.6889203506208883E-2</v>
      </c>
      <c r="V14">
        <v>-5</v>
      </c>
      <c r="W14">
        <f t="shared" si="9"/>
        <v>-0.25402999999999998</v>
      </c>
      <c r="Y14">
        <v>0.1</v>
      </c>
      <c r="Z14">
        <f t="shared" si="10"/>
        <v>0.91850000000000021</v>
      </c>
    </row>
    <row r="15" spans="1:29" x14ac:dyDescent="0.3">
      <c r="A15">
        <v>1.1931286000000001</v>
      </c>
      <c r="B15">
        <v>0.68447000000000002</v>
      </c>
      <c r="C15">
        <f t="shared" si="1"/>
        <v>0.81666073284200014</v>
      </c>
      <c r="D15">
        <v>1.9099999999999999E-2</v>
      </c>
      <c r="E15" s="1">
        <v>1.2999999999999999E-2</v>
      </c>
      <c r="F15">
        <f t="shared" si="2"/>
        <v>238.62572000000003</v>
      </c>
      <c r="G15">
        <f t="shared" si="3"/>
        <v>-0.68447000000000002</v>
      </c>
      <c r="H15">
        <f t="shared" si="4"/>
        <v>-163.33214656840002</v>
      </c>
      <c r="I15">
        <v>1</v>
      </c>
      <c r="J15">
        <f t="shared" si="5"/>
        <v>-1.4328589796542397</v>
      </c>
      <c r="K15">
        <f t="shared" si="6"/>
        <v>-0.49544057297601196</v>
      </c>
      <c r="L15">
        <v>1</v>
      </c>
      <c r="M15">
        <f t="shared" si="7"/>
        <v>0.41683431616858047</v>
      </c>
      <c r="N15">
        <f t="shared" si="13"/>
        <v>2.2788756260000001E-2</v>
      </c>
      <c r="O15">
        <f t="shared" si="11"/>
        <v>1.55106718E-2</v>
      </c>
      <c r="P15">
        <f t="shared" si="12"/>
        <v>4.0306828747431495E-2</v>
      </c>
      <c r="V15">
        <v>-4.9000000000000004</v>
      </c>
      <c r="W15">
        <f t="shared" si="9"/>
        <v>-0.25859399999999999</v>
      </c>
      <c r="Y15">
        <v>0.11</v>
      </c>
      <c r="Z15">
        <f t="shared" si="10"/>
        <v>1.0632700000000002</v>
      </c>
    </row>
    <row r="16" spans="1:29" x14ac:dyDescent="0.3">
      <c r="A16">
        <v>1.2961898999999999</v>
      </c>
      <c r="B16">
        <v>0.67451000000000005</v>
      </c>
      <c r="C16">
        <f t="shared" si="1"/>
        <v>0.87429304944899999</v>
      </c>
      <c r="D16">
        <v>1.9099999999999999E-2</v>
      </c>
      <c r="E16" s="1">
        <v>1.2999999999999999E-2</v>
      </c>
      <c r="F16">
        <f t="shared" si="2"/>
        <v>259.23797999999999</v>
      </c>
      <c r="G16">
        <f t="shared" si="3"/>
        <v>-0.67451000000000005</v>
      </c>
      <c r="H16">
        <f t="shared" si="4"/>
        <v>-174.85860988979999</v>
      </c>
      <c r="I16">
        <v>1</v>
      </c>
      <c r="J16">
        <f t="shared" si="5"/>
        <v>-1.350008797460386</v>
      </c>
      <c r="K16">
        <f t="shared" si="6"/>
        <v>-0.50540057297601193</v>
      </c>
      <c r="L16">
        <v>1</v>
      </c>
      <c r="M16">
        <f t="shared" si="7"/>
        <v>0.42061559848390795</v>
      </c>
      <c r="N16">
        <f t="shared" si="13"/>
        <v>2.4757227089999997E-2</v>
      </c>
      <c r="O16">
        <f t="shared" si="11"/>
        <v>1.6850468699999999E-2</v>
      </c>
      <c r="P16">
        <f t="shared" si="12"/>
        <v>4.3177278702103986E-2</v>
      </c>
      <c r="V16">
        <v>-4.8</v>
      </c>
      <c r="W16">
        <f t="shared" si="9"/>
        <v>-0.263158</v>
      </c>
      <c r="Y16">
        <v>0.12</v>
      </c>
      <c r="Z16">
        <f t="shared" si="10"/>
        <v>1.20804</v>
      </c>
    </row>
    <row r="17" spans="1:26" x14ac:dyDescent="0.3">
      <c r="A17">
        <v>1.397089</v>
      </c>
      <c r="B17">
        <v>0.66471000000000002</v>
      </c>
      <c r="C17">
        <f t="shared" si="1"/>
        <v>0.9286590291900001</v>
      </c>
      <c r="D17">
        <v>1.9099999999999999E-2</v>
      </c>
      <c r="E17" s="1">
        <v>1.2999999999999999E-2</v>
      </c>
      <c r="F17">
        <f t="shared" si="2"/>
        <v>279.4178</v>
      </c>
      <c r="G17">
        <f t="shared" si="3"/>
        <v>-0.66471000000000002</v>
      </c>
      <c r="H17">
        <f t="shared" si="4"/>
        <v>-185.73180583800001</v>
      </c>
      <c r="I17">
        <v>1</v>
      </c>
      <c r="J17">
        <f t="shared" si="5"/>
        <v>-1.2750471262429428</v>
      </c>
      <c r="K17">
        <f t="shared" si="6"/>
        <v>-0.51520057297601196</v>
      </c>
      <c r="L17">
        <v>1</v>
      </c>
      <c r="M17">
        <f t="shared" si="7"/>
        <v>0.42403684915827211</v>
      </c>
      <c r="N17">
        <f t="shared" si="13"/>
        <v>2.6684399899999999E-2</v>
      </c>
      <c r="O17">
        <f t="shared" si="11"/>
        <v>1.8162156999999998E-2</v>
      </c>
      <c r="P17">
        <f t="shared" si="12"/>
        <v>4.6317166917739849E-2</v>
      </c>
      <c r="V17">
        <v>-4.7</v>
      </c>
      <c r="W17">
        <f t="shared" si="9"/>
        <v>-0.26772200000000002</v>
      </c>
      <c r="Y17">
        <v>0.13</v>
      </c>
      <c r="Z17">
        <f t="shared" si="10"/>
        <v>1.3528100000000003</v>
      </c>
    </row>
    <row r="18" spans="1:26" x14ac:dyDescent="0.3">
      <c r="A18">
        <v>1.49438465</v>
      </c>
      <c r="B18">
        <v>0.65517999999999998</v>
      </c>
      <c r="C18">
        <f t="shared" si="1"/>
        <v>0.97909093498699995</v>
      </c>
      <c r="D18">
        <v>1.9099999999999999E-2</v>
      </c>
      <c r="E18" s="1">
        <v>1.2999999999999999E-2</v>
      </c>
      <c r="F18">
        <f t="shared" si="2"/>
        <v>298.87693000000002</v>
      </c>
      <c r="G18">
        <f t="shared" si="3"/>
        <v>-0.65517999999999998</v>
      </c>
      <c r="H18">
        <f t="shared" si="4"/>
        <v>-195.81818699739998</v>
      </c>
      <c r="I18">
        <v>1</v>
      </c>
      <c r="J18">
        <f t="shared" si="5"/>
        <v>-1.2077233956753555</v>
      </c>
      <c r="K18">
        <f t="shared" si="6"/>
        <v>-0.524730572976012</v>
      </c>
      <c r="L18">
        <v>1</v>
      </c>
      <c r="M18">
        <f t="shared" si="7"/>
        <v>0.42710950422137678</v>
      </c>
      <c r="N18">
        <f t="shared" si="13"/>
        <v>2.8542746814999999E-2</v>
      </c>
      <c r="O18">
        <f t="shared" si="11"/>
        <v>1.9427000449999999E-2</v>
      </c>
      <c r="P18">
        <f t="shared" si="12"/>
        <v>4.9651321489635233E-2</v>
      </c>
      <c r="V18">
        <v>-4.5999999999999996</v>
      </c>
      <c r="W18">
        <f t="shared" si="9"/>
        <v>-0.27228600000000003</v>
      </c>
      <c r="Y18">
        <v>0.14000000000000001</v>
      </c>
      <c r="Z18">
        <f t="shared" si="10"/>
        <v>1.4975800000000001</v>
      </c>
    </row>
    <row r="19" spans="1:26" x14ac:dyDescent="0.3">
      <c r="A19">
        <v>1.5945631499999999</v>
      </c>
      <c r="B19">
        <v>0.64598</v>
      </c>
      <c r="C19">
        <f t="shared" si="1"/>
        <v>1.0300559036370001</v>
      </c>
      <c r="D19">
        <v>1.9099999999999999E-2</v>
      </c>
      <c r="E19" s="1">
        <v>1.2999999999999999E-2</v>
      </c>
      <c r="F19">
        <f t="shared" si="2"/>
        <v>318.91262999999998</v>
      </c>
      <c r="G19">
        <f t="shared" si="3"/>
        <v>-0.64598</v>
      </c>
      <c r="H19">
        <f t="shared" si="4"/>
        <v>-206.01118072740002</v>
      </c>
      <c r="I19">
        <v>1</v>
      </c>
      <c r="J19">
        <f t="shared" si="5"/>
        <v>-1.1428381008585626</v>
      </c>
      <c r="K19">
        <f t="shared" si="6"/>
        <v>-0.53393057297601199</v>
      </c>
      <c r="L19">
        <v>1</v>
      </c>
      <c r="M19">
        <f t="shared" si="7"/>
        <v>0.43007086907681519</v>
      </c>
      <c r="N19">
        <f t="shared" si="13"/>
        <v>3.0456156164999998E-2</v>
      </c>
      <c r="O19">
        <f t="shared" si="11"/>
        <v>2.0729320949999998E-2</v>
      </c>
      <c r="P19">
        <f t="shared" si="12"/>
        <v>5.2674226784196802E-2</v>
      </c>
      <c r="V19">
        <v>-4.5000000000000098</v>
      </c>
      <c r="W19">
        <f t="shared" si="9"/>
        <v>-0.27684999999999954</v>
      </c>
      <c r="Y19">
        <v>0.15</v>
      </c>
      <c r="Z19">
        <f t="shared" si="10"/>
        <v>1.64235</v>
      </c>
    </row>
    <row r="20" spans="1:26" x14ac:dyDescent="0.3">
      <c r="A20">
        <v>1.69402085</v>
      </c>
      <c r="B20">
        <v>0.63658999999999999</v>
      </c>
      <c r="C20">
        <f t="shared" si="1"/>
        <v>1.0783967329015001</v>
      </c>
      <c r="D20">
        <v>1.9099999999999999E-2</v>
      </c>
      <c r="E20" s="1">
        <v>1.2999999999999999E-2</v>
      </c>
      <c r="F20">
        <f t="shared" si="2"/>
        <v>338.80417</v>
      </c>
      <c r="G20">
        <f t="shared" si="3"/>
        <v>-0.63658999999999999</v>
      </c>
      <c r="H20">
        <f t="shared" si="4"/>
        <v>-215.67934658030001</v>
      </c>
      <c r="I20">
        <v>1</v>
      </c>
      <c r="J20">
        <f t="shared" si="5"/>
        <v>-1.0823330081335831</v>
      </c>
      <c r="K20">
        <f t="shared" si="6"/>
        <v>-0.543320572976012</v>
      </c>
      <c r="L20">
        <v>1</v>
      </c>
      <c r="M20">
        <f t="shared" si="7"/>
        <v>0.43283232150878326</v>
      </c>
      <c r="N20">
        <f t="shared" si="13"/>
        <v>3.2355798234999997E-2</v>
      </c>
      <c r="O20">
        <f t="shared" si="11"/>
        <v>2.202227105E-2</v>
      </c>
      <c r="P20">
        <f t="shared" si="12"/>
        <v>5.6110182182228741E-2</v>
      </c>
      <c r="V20">
        <v>-4.4000000000000101</v>
      </c>
      <c r="W20">
        <f t="shared" si="9"/>
        <v>-0.2814139999999995</v>
      </c>
      <c r="Y20">
        <v>0.16</v>
      </c>
      <c r="Z20">
        <f t="shared" si="10"/>
        <v>1.7871200000000003</v>
      </c>
    </row>
    <row r="21" spans="1:26" x14ac:dyDescent="0.3">
      <c r="A21">
        <v>1.7941993500000002</v>
      </c>
      <c r="B21">
        <v>0.62761</v>
      </c>
      <c r="C21">
        <f t="shared" si="1"/>
        <v>1.1260574540535002</v>
      </c>
      <c r="D21">
        <v>1.9099999999999999E-2</v>
      </c>
      <c r="E21" s="1">
        <v>1.2999999999999999E-2</v>
      </c>
      <c r="F21">
        <f t="shared" si="2"/>
        <v>358.83987000000002</v>
      </c>
      <c r="G21">
        <f t="shared" si="3"/>
        <v>-0.62761</v>
      </c>
      <c r="H21">
        <f t="shared" si="4"/>
        <v>-225.21149081070004</v>
      </c>
      <c r="I21">
        <v>1</v>
      </c>
      <c r="J21">
        <f t="shared" si="5"/>
        <v>-1.0248790345695726</v>
      </c>
      <c r="K21">
        <f t="shared" si="6"/>
        <v>-0.55230057297601198</v>
      </c>
      <c r="L21">
        <v>1</v>
      </c>
      <c r="M21">
        <f t="shared" si="7"/>
        <v>0.43545452086224468</v>
      </c>
      <c r="N21">
        <f t="shared" si="13"/>
        <v>3.4269207585000003E-2</v>
      </c>
      <c r="O21">
        <f t="shared" si="11"/>
        <v>2.3324591550000003E-2</v>
      </c>
      <c r="P21">
        <f t="shared" si="12"/>
        <v>5.9252252978767302E-2</v>
      </c>
      <c r="V21">
        <v>-4.3000000000000096</v>
      </c>
      <c r="W21">
        <f t="shared" si="9"/>
        <v>-0.28597799999999957</v>
      </c>
      <c r="Y21">
        <v>0.17</v>
      </c>
      <c r="Z21">
        <f t="shared" si="10"/>
        <v>1.9318900000000006</v>
      </c>
    </row>
    <row r="22" spans="1:26" x14ac:dyDescent="0.3">
      <c r="A22">
        <v>1.8936571</v>
      </c>
      <c r="B22">
        <v>0.61863000000000001</v>
      </c>
      <c r="C22">
        <f t="shared" si="1"/>
        <v>1.1714730917730001</v>
      </c>
      <c r="D22">
        <v>1.9099999999999999E-2</v>
      </c>
      <c r="E22" s="1">
        <v>1.2999999999999999E-2</v>
      </c>
      <c r="F22">
        <f t="shared" si="2"/>
        <v>378.73142000000001</v>
      </c>
      <c r="G22">
        <f t="shared" si="3"/>
        <v>-0.61863000000000001</v>
      </c>
      <c r="H22">
        <f t="shared" si="4"/>
        <v>-234.2946183546</v>
      </c>
      <c r="I22">
        <v>1</v>
      </c>
      <c r="J22">
        <f t="shared" si="5"/>
        <v>-0.97092797946745868</v>
      </c>
      <c r="K22">
        <f t="shared" si="6"/>
        <v>-0.56128057297601197</v>
      </c>
      <c r="L22">
        <v>1</v>
      </c>
      <c r="M22">
        <f t="shared" si="7"/>
        <v>0.4379168470171052</v>
      </c>
      <c r="N22">
        <f t="shared" si="13"/>
        <v>3.6168850609999997E-2</v>
      </c>
      <c r="O22">
        <f t="shared" si="11"/>
        <v>2.46175423E-2</v>
      </c>
      <c r="P22">
        <f t="shared" si="12"/>
        <v>6.2577333048906766E-2</v>
      </c>
      <c r="V22">
        <v>-4.2000000000000099</v>
      </c>
      <c r="W22">
        <f t="shared" si="9"/>
        <v>-0.29054199999999952</v>
      </c>
      <c r="Y22">
        <v>0.18</v>
      </c>
      <c r="Z22">
        <f t="shared" si="10"/>
        <v>2.07666</v>
      </c>
    </row>
    <row r="23" spans="1:26" x14ac:dyDescent="0.3">
      <c r="A23">
        <v>1.9916734500000002</v>
      </c>
      <c r="B23">
        <v>0.61</v>
      </c>
      <c r="C23">
        <f t="shared" si="1"/>
        <v>1.2149208045000002</v>
      </c>
      <c r="D23">
        <v>1.9099999999999999E-2</v>
      </c>
      <c r="E23" s="1">
        <v>1.2999999999999999E-2</v>
      </c>
      <c r="F23">
        <f t="shared" si="2"/>
        <v>398.33469000000002</v>
      </c>
      <c r="G23">
        <f t="shared" si="3"/>
        <v>-0.61</v>
      </c>
      <c r="H23">
        <f t="shared" si="4"/>
        <v>-242.98416090000003</v>
      </c>
      <c r="I23">
        <v>1</v>
      </c>
      <c r="J23">
        <f t="shared" si="5"/>
        <v>-0.92046269743269493</v>
      </c>
      <c r="K23">
        <f t="shared" si="6"/>
        <v>-0.569910572976012</v>
      </c>
      <c r="L23">
        <v>1</v>
      </c>
      <c r="M23">
        <f t="shared" si="7"/>
        <v>0.44022008248917177</v>
      </c>
      <c r="N23">
        <f t="shared" si="13"/>
        <v>3.8040962895000002E-2</v>
      </c>
      <c r="O23">
        <f t="shared" si="11"/>
        <v>2.589175485E-2</v>
      </c>
      <c r="P23">
        <f t="shared" si="12"/>
        <v>6.575777274184022E-2</v>
      </c>
      <c r="V23">
        <v>-4.1000000000000103</v>
      </c>
      <c r="W23">
        <f t="shared" si="9"/>
        <v>-0.29510599999999954</v>
      </c>
      <c r="Y23">
        <v>0.19</v>
      </c>
      <c r="Z23">
        <f t="shared" si="10"/>
        <v>2.2214300000000002</v>
      </c>
    </row>
    <row r="24" spans="1:26" x14ac:dyDescent="0.3">
      <c r="A24">
        <v>2.0918519500000001</v>
      </c>
      <c r="B24">
        <v>0.60135000000000005</v>
      </c>
      <c r="C24">
        <f t="shared" si="1"/>
        <v>1.2579351701325001</v>
      </c>
      <c r="D24">
        <v>1.9099999999999999E-2</v>
      </c>
      <c r="E24" s="1">
        <v>1.2999999999999999E-2</v>
      </c>
      <c r="F24">
        <f t="shared" si="2"/>
        <v>418.37039000000004</v>
      </c>
      <c r="G24">
        <f t="shared" si="3"/>
        <v>-0.60135000000000005</v>
      </c>
      <c r="H24">
        <f t="shared" si="4"/>
        <v>-251.58703402650002</v>
      </c>
      <c r="I24">
        <v>1</v>
      </c>
      <c r="J24">
        <f t="shared" si="5"/>
        <v>-0.87138813833418038</v>
      </c>
      <c r="K24">
        <f t="shared" si="6"/>
        <v>-0.57856057297601193</v>
      </c>
      <c r="L24">
        <v>1</v>
      </c>
      <c r="M24">
        <f t="shared" si="7"/>
        <v>0.44245984536642802</v>
      </c>
      <c r="N24">
        <f t="shared" si="13"/>
        <v>3.9954372245000001E-2</v>
      </c>
      <c r="O24">
        <f t="shared" si="11"/>
        <v>2.7194075349999999E-2</v>
      </c>
      <c r="P24">
        <f t="shared" si="12"/>
        <v>6.8952280014583908E-2</v>
      </c>
      <c r="V24">
        <v>-4.0000000000000098</v>
      </c>
      <c r="W24">
        <f t="shared" si="9"/>
        <v>-0.29966999999999955</v>
      </c>
      <c r="Y24">
        <v>0.2</v>
      </c>
      <c r="Z24">
        <f t="shared" si="10"/>
        <v>2.3662000000000005</v>
      </c>
    </row>
    <row r="25" spans="1:26" x14ac:dyDescent="0.3">
      <c r="A25">
        <v>2.1913096999999997</v>
      </c>
      <c r="B25">
        <v>0.59309999999999996</v>
      </c>
      <c r="C25">
        <f t="shared" si="1"/>
        <v>1.2996657830699998</v>
      </c>
      <c r="D25">
        <v>1.9099999999999999E-2</v>
      </c>
      <c r="E25" s="1">
        <v>1.2999999999999999E-2</v>
      </c>
      <c r="F25">
        <f t="shared" si="2"/>
        <v>438.26193999999992</v>
      </c>
      <c r="G25">
        <f t="shared" si="3"/>
        <v>-0.59309999999999996</v>
      </c>
      <c r="H25">
        <f t="shared" si="4"/>
        <v>-259.93315661399998</v>
      </c>
      <c r="I25">
        <v>1</v>
      </c>
      <c r="J25">
        <f t="shared" si="5"/>
        <v>-0.82493851082859271</v>
      </c>
      <c r="K25">
        <f t="shared" si="6"/>
        <v>-0.58681057297601202</v>
      </c>
      <c r="L25">
        <v>1</v>
      </c>
      <c r="M25">
        <f t="shared" si="7"/>
        <v>0.44457980636578304</v>
      </c>
      <c r="N25">
        <f t="shared" si="13"/>
        <v>4.1854015269999989E-2</v>
      </c>
      <c r="O25">
        <f t="shared" si="11"/>
        <v>2.8487026099999993E-2</v>
      </c>
      <c r="P25">
        <f t="shared" si="12"/>
        <v>7.1889725240229005E-2</v>
      </c>
      <c r="V25">
        <v>-3.9000000000000101</v>
      </c>
      <c r="W25">
        <f t="shared" si="9"/>
        <v>-0.30423399999999956</v>
      </c>
      <c r="Y25">
        <v>0.21</v>
      </c>
      <c r="Z25">
        <f t="shared" si="10"/>
        <v>2.5109699999999999</v>
      </c>
    </row>
    <row r="26" spans="1:26" x14ac:dyDescent="0.3">
      <c r="A26">
        <v>2.2914881500000002</v>
      </c>
      <c r="B26">
        <v>0.58442000000000005</v>
      </c>
      <c r="C26">
        <f t="shared" si="1"/>
        <v>1.3391915046230003</v>
      </c>
      <c r="D26">
        <v>1.9099999999999999E-2</v>
      </c>
      <c r="E26" s="1">
        <v>1.2999999999999999E-2</v>
      </c>
      <c r="F26">
        <f t="shared" si="2"/>
        <v>458.29763000000003</v>
      </c>
      <c r="G26">
        <f t="shared" si="3"/>
        <v>-0.58442000000000005</v>
      </c>
      <c r="H26">
        <f t="shared" si="4"/>
        <v>-267.83830092460005</v>
      </c>
      <c r="I26">
        <v>1</v>
      </c>
      <c r="J26">
        <f t="shared" si="5"/>
        <v>-0.7802364587656142</v>
      </c>
      <c r="K26">
        <f t="shared" si="6"/>
        <v>-0.59549057297601193</v>
      </c>
      <c r="L26">
        <v>1</v>
      </c>
      <c r="M26">
        <f t="shared" si="7"/>
        <v>0.44662000802193735</v>
      </c>
      <c r="N26">
        <f t="shared" si="13"/>
        <v>4.3767423664999999E-2</v>
      </c>
      <c r="O26">
        <f t="shared" si="11"/>
        <v>2.9789345950000001E-2</v>
      </c>
      <c r="P26">
        <f t="shared" si="12"/>
        <v>7.5313795339074577E-2</v>
      </c>
      <c r="V26">
        <v>-3.80000000000001</v>
      </c>
      <c r="W26">
        <f t="shared" si="9"/>
        <v>-0.30879799999999957</v>
      </c>
      <c r="Y26">
        <v>0.22</v>
      </c>
      <c r="Z26">
        <f t="shared" si="10"/>
        <v>2.6557400000000002</v>
      </c>
    </row>
    <row r="27" spans="1:26" x14ac:dyDescent="0.3">
      <c r="A27">
        <v>2.3909459000000002</v>
      </c>
      <c r="B27">
        <v>0.57640000000000002</v>
      </c>
      <c r="C27">
        <f t="shared" si="1"/>
        <v>1.3781412167600002</v>
      </c>
      <c r="D27">
        <v>1.9099999999999999E-2</v>
      </c>
      <c r="E27" s="1">
        <v>1.2999999999999999E-2</v>
      </c>
      <c r="F27">
        <f t="shared" si="2"/>
        <v>478.18918000000002</v>
      </c>
      <c r="G27">
        <f t="shared" si="3"/>
        <v>-0.57640000000000002</v>
      </c>
      <c r="H27">
        <f t="shared" si="4"/>
        <v>-275.62824335200003</v>
      </c>
      <c r="I27">
        <v>1</v>
      </c>
      <c r="J27">
        <f t="shared" si="5"/>
        <v>-0.73774885072999807</v>
      </c>
      <c r="K27">
        <f t="shared" si="6"/>
        <v>-0.60351057297601196</v>
      </c>
      <c r="L27">
        <v>1</v>
      </c>
      <c r="M27">
        <f t="shared" si="7"/>
        <v>0.44855914245268286</v>
      </c>
      <c r="N27">
        <f t="shared" si="13"/>
        <v>4.5667066690000001E-2</v>
      </c>
      <c r="O27">
        <f t="shared" si="11"/>
        <v>3.1082296700000001E-2</v>
      </c>
      <c r="P27">
        <f t="shared" si="12"/>
        <v>7.8202067133329098E-2</v>
      </c>
      <c r="V27">
        <v>-3.7000000000000099</v>
      </c>
      <c r="W27">
        <f t="shared" si="9"/>
        <v>-0.31336199999999953</v>
      </c>
      <c r="Y27">
        <v>0.23</v>
      </c>
      <c r="Z27">
        <f t="shared" si="10"/>
        <v>2.8005100000000005</v>
      </c>
    </row>
    <row r="28" spans="1:26" x14ac:dyDescent="0.3">
      <c r="A28">
        <v>2.49256565</v>
      </c>
      <c r="B28">
        <v>0.56801999999999997</v>
      </c>
      <c r="C28">
        <f t="shared" si="1"/>
        <v>1.4158271405129998</v>
      </c>
      <c r="D28">
        <v>1.9099999999999999E-2</v>
      </c>
      <c r="E28" s="1">
        <v>1.2999999999999999E-2</v>
      </c>
      <c r="F28">
        <f t="shared" si="2"/>
        <v>498.51312999999999</v>
      </c>
      <c r="G28">
        <f t="shared" si="3"/>
        <v>-0.56801999999999997</v>
      </c>
      <c r="H28">
        <f t="shared" si="4"/>
        <v>-283.16542810259995</v>
      </c>
      <c r="I28">
        <v>1</v>
      </c>
      <c r="J28">
        <f t="shared" si="5"/>
        <v>-0.69612535091005878</v>
      </c>
      <c r="K28">
        <f t="shared" si="6"/>
        <v>-0.61189057297601201</v>
      </c>
      <c r="L28">
        <v>1</v>
      </c>
      <c r="M28">
        <f t="shared" si="7"/>
        <v>0.45045883898446493</v>
      </c>
      <c r="N28">
        <f t="shared" si="13"/>
        <v>4.7608003914999995E-2</v>
      </c>
      <c r="O28">
        <f t="shared" si="11"/>
        <v>3.2403353449999998E-2</v>
      </c>
      <c r="P28">
        <f t="shared" si="12"/>
        <v>8.1420376626547081E-2</v>
      </c>
      <c r="V28">
        <v>-3.6000000000000099</v>
      </c>
      <c r="W28">
        <f t="shared" si="9"/>
        <v>-0.31792599999999954</v>
      </c>
      <c r="Y28">
        <v>0.24</v>
      </c>
      <c r="Z28">
        <f t="shared" si="10"/>
        <v>2.9452799999999999</v>
      </c>
    </row>
    <row r="29" spans="1:26" x14ac:dyDescent="0.3">
      <c r="A29">
        <v>2.5927441</v>
      </c>
      <c r="B29">
        <v>0.55981000000000003</v>
      </c>
      <c r="C29">
        <f t="shared" si="1"/>
        <v>1.451444074621</v>
      </c>
      <c r="D29">
        <v>1.9099999999999999E-2</v>
      </c>
      <c r="E29" s="1">
        <v>1.2999999999999999E-2</v>
      </c>
      <c r="F29">
        <f t="shared" si="2"/>
        <v>518.54881999999998</v>
      </c>
      <c r="G29">
        <f t="shared" si="3"/>
        <v>-0.55981000000000003</v>
      </c>
      <c r="H29">
        <f t="shared" si="4"/>
        <v>-290.28881492419998</v>
      </c>
      <c r="I29">
        <v>1</v>
      </c>
      <c r="J29">
        <f t="shared" si="5"/>
        <v>-0.6567210995251086</v>
      </c>
      <c r="K29">
        <f t="shared" si="6"/>
        <v>-0.62010057297601195</v>
      </c>
      <c r="L29">
        <v>1</v>
      </c>
      <c r="M29">
        <f t="shared" si="7"/>
        <v>0.45225724901767406</v>
      </c>
      <c r="N29">
        <f t="shared" si="13"/>
        <v>4.9521412309999999E-2</v>
      </c>
      <c r="O29">
        <f t="shared" si="11"/>
        <v>3.3705673299999996E-2</v>
      </c>
      <c r="P29">
        <f t="shared" si="12"/>
        <v>8.4616238348337897E-2</v>
      </c>
      <c r="V29">
        <v>-3.5000000000000102</v>
      </c>
      <c r="W29">
        <f t="shared" si="9"/>
        <v>-0.3224899999999995</v>
      </c>
      <c r="Y29">
        <v>0.25</v>
      </c>
      <c r="Z29">
        <f t="shared" si="10"/>
        <v>3.0900500000000002</v>
      </c>
    </row>
    <row r="30" spans="1:26" x14ac:dyDescent="0.3">
      <c r="A30">
        <v>2.69220185</v>
      </c>
      <c r="B30">
        <v>0.55181000000000002</v>
      </c>
      <c r="C30">
        <f t="shared" si="1"/>
        <v>1.4855839028485001</v>
      </c>
      <c r="D30">
        <v>1.9099999999999999E-2</v>
      </c>
      <c r="E30" s="1">
        <v>1.2999999999999999E-2</v>
      </c>
      <c r="F30">
        <f t="shared" si="2"/>
        <v>538.44037000000003</v>
      </c>
      <c r="G30">
        <f t="shared" si="3"/>
        <v>-0.55181000000000002</v>
      </c>
      <c r="H30">
        <f t="shared" si="4"/>
        <v>-297.11678056970004</v>
      </c>
      <c r="I30">
        <v>1</v>
      </c>
      <c r="J30">
        <f t="shared" si="5"/>
        <v>-0.61907852203613689</v>
      </c>
      <c r="K30">
        <f t="shared" si="6"/>
        <v>-0.62810057297601196</v>
      </c>
      <c r="L30">
        <v>1</v>
      </c>
      <c r="M30">
        <f t="shared" si="7"/>
        <v>0.45397525625427071</v>
      </c>
      <c r="N30">
        <f t="shared" si="13"/>
        <v>5.1421055335E-2</v>
      </c>
      <c r="O30">
        <f t="shared" si="11"/>
        <v>3.4998624049999996E-2</v>
      </c>
      <c r="P30">
        <f t="shared" si="12"/>
        <v>8.7705637336741263E-2</v>
      </c>
      <c r="V30">
        <v>-3.4000000000000101</v>
      </c>
      <c r="W30">
        <f t="shared" si="9"/>
        <v>-0.32705399999999951</v>
      </c>
      <c r="Y30">
        <v>0.26</v>
      </c>
      <c r="Z30">
        <f t="shared" si="10"/>
        <v>3.2348200000000005</v>
      </c>
    </row>
    <row r="31" spans="1:26" x14ac:dyDescent="0.3">
      <c r="A31">
        <v>2.7923803500000002</v>
      </c>
      <c r="B31">
        <v>0.54429000000000005</v>
      </c>
      <c r="C31">
        <f t="shared" si="1"/>
        <v>1.5198647007015003</v>
      </c>
      <c r="D31">
        <v>1.9099999999999999E-2</v>
      </c>
      <c r="E31" s="1">
        <v>1.2999999999999999E-2</v>
      </c>
      <c r="F31">
        <f t="shared" si="2"/>
        <v>558.47607000000005</v>
      </c>
      <c r="G31">
        <f t="shared" si="3"/>
        <v>-0.54429000000000005</v>
      </c>
      <c r="H31">
        <f t="shared" si="4"/>
        <v>-303.97294014030007</v>
      </c>
      <c r="I31">
        <v>1</v>
      </c>
      <c r="J31">
        <f t="shared" si="5"/>
        <v>-0.58254350830220636</v>
      </c>
      <c r="K31">
        <f t="shared" si="6"/>
        <v>-0.63562057297601193</v>
      </c>
      <c r="L31">
        <v>1</v>
      </c>
      <c r="M31">
        <f t="shared" si="7"/>
        <v>0.45564271428108727</v>
      </c>
      <c r="N31">
        <f t="shared" si="13"/>
        <v>5.3334464684999999E-2</v>
      </c>
      <c r="O31">
        <f t="shared" si="11"/>
        <v>3.6300944549999999E-2</v>
      </c>
      <c r="P31">
        <f t="shared" si="12"/>
        <v>9.0342449459924673E-2</v>
      </c>
      <c r="V31">
        <v>-3.30000000000001</v>
      </c>
      <c r="W31">
        <f t="shared" si="9"/>
        <v>-0.33161799999999952</v>
      </c>
      <c r="Y31">
        <v>0.27</v>
      </c>
      <c r="Z31">
        <f t="shared" si="10"/>
        <v>3.3795900000000003</v>
      </c>
    </row>
    <row r="32" spans="1:26" x14ac:dyDescent="0.3">
      <c r="A32">
        <v>2.8903968500000001</v>
      </c>
      <c r="B32">
        <v>0.53600000000000003</v>
      </c>
      <c r="C32">
        <f t="shared" si="1"/>
        <v>1.5492527116000001</v>
      </c>
      <c r="D32">
        <v>1.9099999999999999E-2</v>
      </c>
      <c r="E32" s="1">
        <v>1.2999999999999999E-2</v>
      </c>
      <c r="F32">
        <f t="shared" si="2"/>
        <v>578.07937000000004</v>
      </c>
      <c r="G32">
        <f t="shared" si="3"/>
        <v>-0.53600000000000003</v>
      </c>
      <c r="H32">
        <f t="shared" si="4"/>
        <v>-309.85054232000005</v>
      </c>
      <c r="I32">
        <v>1</v>
      </c>
      <c r="J32">
        <f t="shared" si="5"/>
        <v>-0.54804410139795923</v>
      </c>
      <c r="K32">
        <f t="shared" si="6"/>
        <v>-0.64391057297601195</v>
      </c>
      <c r="L32">
        <v>1</v>
      </c>
      <c r="M32">
        <f t="shared" si="7"/>
        <v>0.45721726721219713</v>
      </c>
      <c r="N32">
        <f t="shared" si="13"/>
        <v>5.5206579834999998E-2</v>
      </c>
      <c r="O32">
        <f t="shared" si="11"/>
        <v>3.7575159050000001E-2</v>
      </c>
      <c r="P32">
        <f t="shared" si="12"/>
        <v>9.3911566878814828E-2</v>
      </c>
      <c r="V32">
        <v>-3.2000000000000099</v>
      </c>
      <c r="W32">
        <f t="shared" si="9"/>
        <v>-0.33618199999999954</v>
      </c>
    </row>
    <row r="33" spans="1:23" x14ac:dyDescent="0.3">
      <c r="A33">
        <v>2.9905752999999997</v>
      </c>
      <c r="B33">
        <v>0.5282</v>
      </c>
      <c r="C33">
        <f t="shared" si="1"/>
        <v>1.5796218734599998</v>
      </c>
      <c r="D33">
        <v>1.9099999999999999E-2</v>
      </c>
      <c r="E33" s="1">
        <v>1.2999999999999999E-2</v>
      </c>
      <c r="F33">
        <f t="shared" si="2"/>
        <v>598.11505999999997</v>
      </c>
      <c r="G33">
        <f t="shared" si="3"/>
        <v>-0.5282</v>
      </c>
      <c r="H33">
        <f t="shared" si="4"/>
        <v>-315.92437469199996</v>
      </c>
      <c r="I33">
        <v>1</v>
      </c>
      <c r="J33">
        <f t="shared" si="5"/>
        <v>-0.51397213551279997</v>
      </c>
      <c r="K33">
        <f t="shared" si="6"/>
        <v>-0.65171057297601198</v>
      </c>
      <c r="L33">
        <v>1</v>
      </c>
      <c r="M33">
        <f t="shared" si="7"/>
        <v>0.45877231173519578</v>
      </c>
      <c r="N33">
        <f t="shared" si="13"/>
        <v>5.7119988229999995E-2</v>
      </c>
      <c r="O33">
        <f t="shared" si="11"/>
        <v>3.8877478899999991E-2</v>
      </c>
      <c r="P33">
        <f t="shared" si="12"/>
        <v>9.6940794110816214E-2</v>
      </c>
      <c r="V33">
        <v>-3.1000000000000099</v>
      </c>
      <c r="W33">
        <f t="shared" si="9"/>
        <v>-0.34074599999999955</v>
      </c>
    </row>
    <row r="34" spans="1:23" x14ac:dyDescent="0.3">
      <c r="A34">
        <v>3.0900330500000002</v>
      </c>
      <c r="B34">
        <v>0.52049000000000001</v>
      </c>
      <c r="C34">
        <f t="shared" si="1"/>
        <v>1.6083313021945</v>
      </c>
      <c r="D34">
        <v>1.9099999999999999E-2</v>
      </c>
      <c r="E34" s="1">
        <v>1.2999999999999999E-2</v>
      </c>
      <c r="F34">
        <f t="shared" si="2"/>
        <v>618.00661000000002</v>
      </c>
      <c r="G34">
        <f t="shared" si="3"/>
        <v>-0.52049000000000001</v>
      </c>
      <c r="H34">
        <f t="shared" si="4"/>
        <v>-321.6662604389</v>
      </c>
      <c r="I34">
        <v>1</v>
      </c>
      <c r="J34">
        <f t="shared" si="5"/>
        <v>-0.48125612578876559</v>
      </c>
      <c r="K34">
        <f t="shared" si="6"/>
        <v>-0.65942057297601198</v>
      </c>
      <c r="L34">
        <v>1</v>
      </c>
      <c r="M34">
        <f t="shared" si="7"/>
        <v>0.46026547041900073</v>
      </c>
      <c r="N34">
        <f t="shared" si="13"/>
        <v>5.9019631255000003E-2</v>
      </c>
      <c r="O34">
        <f t="shared" si="11"/>
        <v>4.0170429649999999E-2</v>
      </c>
      <c r="P34">
        <f t="shared" si="12"/>
        <v>9.9965041652011227E-2</v>
      </c>
      <c r="V34">
        <v>-3.0000000000000102</v>
      </c>
      <c r="W34">
        <f t="shared" si="9"/>
        <v>-0.34530999999999956</v>
      </c>
    </row>
    <row r="35" spans="1:23" x14ac:dyDescent="0.3">
      <c r="A35">
        <v>3.1880493000000003</v>
      </c>
      <c r="B35">
        <v>0.51266</v>
      </c>
      <c r="C35">
        <f t="shared" si="1"/>
        <v>1.6343853541380002</v>
      </c>
      <c r="D35">
        <v>1.9099999999999999E-2</v>
      </c>
      <c r="E35" s="1">
        <v>1.2999999999999999E-2</v>
      </c>
      <c r="F35">
        <f t="shared" si="2"/>
        <v>637.60986000000003</v>
      </c>
      <c r="G35">
        <f t="shared" si="3"/>
        <v>-0.51266</v>
      </c>
      <c r="H35">
        <f t="shared" si="4"/>
        <v>-326.87707082760005</v>
      </c>
      <c r="I35">
        <v>1</v>
      </c>
      <c r="J35">
        <f t="shared" si="5"/>
        <v>-0.45002868738479856</v>
      </c>
      <c r="K35">
        <f t="shared" si="6"/>
        <v>-0.66725057297601198</v>
      </c>
      <c r="L35">
        <v>1</v>
      </c>
      <c r="M35">
        <f t="shared" si="7"/>
        <v>0.46169069070775781</v>
      </c>
      <c r="N35">
        <f t="shared" si="13"/>
        <v>6.0891741630000003E-2</v>
      </c>
      <c r="O35">
        <f t="shared" si="11"/>
        <v>4.1444640900000003E-2</v>
      </c>
      <c r="P35">
        <f t="shared" si="12"/>
        <v>0.10322349973825418</v>
      </c>
      <c r="V35">
        <v>-2.9000000000000101</v>
      </c>
      <c r="W35">
        <f t="shared" si="9"/>
        <v>-0.34987399999999952</v>
      </c>
    </row>
    <row r="36" spans="1:23" x14ac:dyDescent="0.3">
      <c r="A36">
        <v>3.2867863000000002</v>
      </c>
      <c r="B36">
        <v>0.50522999999999996</v>
      </c>
      <c r="C36">
        <f t="shared" si="1"/>
        <v>1.660583042349</v>
      </c>
      <c r="D36">
        <v>1.9099999999999999E-2</v>
      </c>
      <c r="E36" s="1">
        <v>1.2999999999999999E-2</v>
      </c>
      <c r="F36">
        <f t="shared" si="2"/>
        <v>657.35726</v>
      </c>
      <c r="G36">
        <f t="shared" si="3"/>
        <v>-0.50522999999999996</v>
      </c>
      <c r="H36">
        <f t="shared" si="4"/>
        <v>-332.11660846979998</v>
      </c>
      <c r="I36">
        <v>1</v>
      </c>
      <c r="J36">
        <f t="shared" si="5"/>
        <v>-0.41952763355579475</v>
      </c>
      <c r="K36">
        <f t="shared" si="6"/>
        <v>-0.67468057297601203</v>
      </c>
      <c r="L36">
        <v>1</v>
      </c>
      <c r="M36">
        <f t="shared" si="7"/>
        <v>0.46308275880451349</v>
      </c>
      <c r="N36">
        <f t="shared" si="13"/>
        <v>6.2777618329999993E-2</v>
      </c>
      <c r="O36">
        <f t="shared" si="11"/>
        <v>4.2728221900000002E-2</v>
      </c>
      <c r="P36">
        <f t="shared" si="12"/>
        <v>0.10609197394149852</v>
      </c>
      <c r="V36">
        <v>-2.80000000000001</v>
      </c>
      <c r="W36">
        <f t="shared" si="9"/>
        <v>-0.35443799999999953</v>
      </c>
    </row>
    <row r="37" spans="1:23" x14ac:dyDescent="0.3">
      <c r="A37">
        <v>3.3869647999999999</v>
      </c>
      <c r="B37">
        <v>0.49758000000000002</v>
      </c>
      <c r="C37">
        <f t="shared" si="1"/>
        <v>1.6852859451840001</v>
      </c>
      <c r="D37">
        <v>1.9099999999999999E-2</v>
      </c>
      <c r="E37" s="1">
        <v>1.2999999999999999E-2</v>
      </c>
      <c r="F37">
        <f t="shared" si="2"/>
        <v>677.39296000000002</v>
      </c>
      <c r="G37">
        <f t="shared" si="3"/>
        <v>-0.49758000000000002</v>
      </c>
      <c r="H37">
        <f t="shared" si="4"/>
        <v>-337.05718903680003</v>
      </c>
      <c r="I37">
        <v>1</v>
      </c>
      <c r="J37">
        <f t="shared" si="5"/>
        <v>-0.38950373133035593</v>
      </c>
      <c r="K37">
        <f t="shared" si="6"/>
        <v>-0.68233057297601196</v>
      </c>
      <c r="L37">
        <v>1</v>
      </c>
      <c r="M37">
        <f t="shared" si="7"/>
        <v>0.46445304970208257</v>
      </c>
      <c r="N37">
        <f t="shared" si="13"/>
        <v>6.4691027679999999E-2</v>
      </c>
      <c r="O37">
        <f t="shared" si="11"/>
        <v>4.4030542399999997E-2</v>
      </c>
      <c r="P37">
        <f t="shared" si="12"/>
        <v>0.10915595319392939</v>
      </c>
      <c r="V37">
        <v>-2.7000000000000099</v>
      </c>
      <c r="W37">
        <f t="shared" si="9"/>
        <v>-0.35900199999999954</v>
      </c>
    </row>
    <row r="38" spans="1:23" x14ac:dyDescent="0.3">
      <c r="A38">
        <v>3.4871433000000001</v>
      </c>
      <c r="B38">
        <v>0.49038999999999999</v>
      </c>
      <c r="C38">
        <f t="shared" si="1"/>
        <v>1.710060202887</v>
      </c>
      <c r="D38">
        <v>1.9099999999999999E-2</v>
      </c>
      <c r="E38" s="1">
        <v>1.2999999999999999E-2</v>
      </c>
      <c r="F38">
        <f t="shared" si="2"/>
        <v>697.42866000000004</v>
      </c>
      <c r="G38">
        <f t="shared" si="3"/>
        <v>-0.49038999999999999</v>
      </c>
      <c r="H38">
        <f t="shared" si="4"/>
        <v>-342.0120405774</v>
      </c>
      <c r="I38">
        <v>1</v>
      </c>
      <c r="J38">
        <f t="shared" si="5"/>
        <v>-0.36035505008742069</v>
      </c>
      <c r="K38">
        <f t="shared" si="6"/>
        <v>-0.68952057297601199</v>
      </c>
      <c r="L38">
        <v>1</v>
      </c>
      <c r="M38">
        <f t="shared" si="7"/>
        <v>0.4657833955140101</v>
      </c>
      <c r="N38">
        <f t="shared" si="13"/>
        <v>6.6604437029999991E-2</v>
      </c>
      <c r="O38">
        <f t="shared" si="11"/>
        <v>4.53328629E-2</v>
      </c>
      <c r="P38">
        <f t="shared" si="12"/>
        <v>0.11179987753200191</v>
      </c>
      <c r="V38">
        <v>-2.6000000000000099</v>
      </c>
      <c r="W38">
        <f t="shared" si="9"/>
        <v>-0.36356599999999956</v>
      </c>
    </row>
    <row r="39" spans="1:23" x14ac:dyDescent="0.3">
      <c r="A39">
        <v>3.5873217499999996</v>
      </c>
      <c r="B39">
        <v>0.48213</v>
      </c>
      <c r="C39">
        <f t="shared" si="1"/>
        <v>1.7295554353274998</v>
      </c>
      <c r="D39">
        <v>1.9099999999999999E-2</v>
      </c>
      <c r="E39" s="1">
        <v>1.2999999999999999E-2</v>
      </c>
      <c r="F39">
        <f t="shared" si="2"/>
        <v>717.46434999999997</v>
      </c>
      <c r="G39">
        <f t="shared" si="3"/>
        <v>-0.48213</v>
      </c>
      <c r="H39">
        <f t="shared" si="4"/>
        <v>-345.91108706549994</v>
      </c>
      <c r="I39">
        <v>1</v>
      </c>
      <c r="J39">
        <f t="shared" si="5"/>
        <v>-0.33203201899392137</v>
      </c>
      <c r="K39">
        <f t="shared" si="6"/>
        <v>-0.69778057297601204</v>
      </c>
      <c r="L39">
        <v>1</v>
      </c>
      <c r="M39">
        <f t="shared" si="7"/>
        <v>0.46707605865311741</v>
      </c>
      <c r="N39">
        <f t="shared" si="13"/>
        <v>6.8517845424999987E-2</v>
      </c>
      <c r="O39">
        <f t="shared" si="11"/>
        <v>4.663518274999999E-2</v>
      </c>
      <c r="P39">
        <f t="shared" si="12"/>
        <v>0.11555148614789464</v>
      </c>
      <c r="V39">
        <v>-2.5000000000000102</v>
      </c>
      <c r="W39">
        <f t="shared" si="9"/>
        <v>-0.36812999999999951</v>
      </c>
    </row>
    <row r="40" spans="1:23" x14ac:dyDescent="0.3">
      <c r="A40">
        <v>3.688221</v>
      </c>
      <c r="B40">
        <v>0.47454000000000002</v>
      </c>
      <c r="C40">
        <f t="shared" si="1"/>
        <v>1.7502083933400001</v>
      </c>
      <c r="D40">
        <v>1.9099999999999999E-2</v>
      </c>
      <c r="E40" s="1">
        <v>1.2999999999999999E-2</v>
      </c>
      <c r="F40">
        <f t="shared" si="2"/>
        <v>737.64419999999996</v>
      </c>
      <c r="G40">
        <f t="shared" si="3"/>
        <v>-0.47454000000000002</v>
      </c>
      <c r="H40">
        <f t="shared" si="4"/>
        <v>-350.04167866800003</v>
      </c>
      <c r="I40">
        <v>1</v>
      </c>
      <c r="J40">
        <f t="shared" si="5"/>
        <v>-0.30429368445703775</v>
      </c>
      <c r="K40">
        <f t="shared" si="6"/>
        <v>-0.70537057297601202</v>
      </c>
      <c r="L40">
        <v>1</v>
      </c>
      <c r="M40">
        <f t="shared" si="7"/>
        <v>0.46834203624138077</v>
      </c>
      <c r="N40">
        <f t="shared" si="13"/>
        <v>7.0445021099999991E-2</v>
      </c>
      <c r="O40">
        <f t="shared" si="11"/>
        <v>4.7946872999999994E-2</v>
      </c>
      <c r="P40">
        <f t="shared" si="12"/>
        <v>0.11863664263463125</v>
      </c>
      <c r="V40">
        <v>-2.4000000000000101</v>
      </c>
      <c r="W40">
        <f t="shared" si="9"/>
        <v>-0.37269399999999953</v>
      </c>
    </row>
    <row r="41" spans="1:23" x14ac:dyDescent="0.3">
      <c r="A41">
        <v>3.7869580000000003</v>
      </c>
      <c r="B41">
        <v>0.46692</v>
      </c>
      <c r="C41">
        <f t="shared" si="1"/>
        <v>1.7682064293600002</v>
      </c>
      <c r="D41">
        <v>1.9099999999999999E-2</v>
      </c>
      <c r="E41" s="1">
        <v>1.2999999999999999E-2</v>
      </c>
      <c r="F41">
        <f t="shared" si="2"/>
        <v>757.39160000000004</v>
      </c>
      <c r="G41">
        <f t="shared" si="3"/>
        <v>-0.46692</v>
      </c>
      <c r="H41">
        <f t="shared" si="4"/>
        <v>-353.64128587200003</v>
      </c>
      <c r="I41">
        <v>1</v>
      </c>
      <c r="J41">
        <f t="shared" si="5"/>
        <v>-0.27787485414895635</v>
      </c>
      <c r="K41">
        <f t="shared" si="6"/>
        <v>-0.71299057297601198</v>
      </c>
      <c r="L41">
        <v>1</v>
      </c>
      <c r="M41">
        <f t="shared" si="7"/>
        <v>0.46954779165664162</v>
      </c>
      <c r="N41">
        <f t="shared" si="13"/>
        <v>7.2330897800000002E-2</v>
      </c>
      <c r="O41">
        <f t="shared" si="11"/>
        <v>4.9230454E-2</v>
      </c>
      <c r="P41">
        <f t="shared" si="12"/>
        <v>0.12188142951937034</v>
      </c>
      <c r="V41">
        <v>-2.30000000000001</v>
      </c>
      <c r="W41">
        <f t="shared" si="9"/>
        <v>-0.37725799999999954</v>
      </c>
    </row>
    <row r="42" spans="1:23" x14ac:dyDescent="0.3">
      <c r="A42">
        <v>3.8878572000000005</v>
      </c>
      <c r="B42">
        <v>0.45965</v>
      </c>
      <c r="C42">
        <f t="shared" si="1"/>
        <v>1.7870535619800003</v>
      </c>
      <c r="D42">
        <v>1.9099999999999999E-2</v>
      </c>
      <c r="E42" s="1">
        <v>1.2999999999999999E-2</v>
      </c>
      <c r="F42">
        <f t="shared" si="2"/>
        <v>777.57144000000005</v>
      </c>
      <c r="G42">
        <f t="shared" si="3"/>
        <v>-0.45965</v>
      </c>
      <c r="H42">
        <f t="shared" si="4"/>
        <v>-357.41071239600006</v>
      </c>
      <c r="I42">
        <v>1</v>
      </c>
      <c r="J42">
        <f t="shared" si="5"/>
        <v>-0.25157975490547346</v>
      </c>
      <c r="K42">
        <f t="shared" si="6"/>
        <v>-0.72026057297601198</v>
      </c>
      <c r="L42">
        <v>1</v>
      </c>
      <c r="M42">
        <f t="shared" si="7"/>
        <v>0.47074789998611416</v>
      </c>
      <c r="N42">
        <f t="shared" si="13"/>
        <v>7.425807252000001E-2</v>
      </c>
      <c r="O42">
        <f t="shared" si="11"/>
        <v>5.0542143600000006E-2</v>
      </c>
      <c r="P42">
        <f t="shared" si="12"/>
        <v>0.12471245686989782</v>
      </c>
      <c r="V42">
        <v>-2.2000000000000099</v>
      </c>
      <c r="W42">
        <f t="shared" si="9"/>
        <v>-0.38182199999999955</v>
      </c>
    </row>
    <row r="43" spans="1:23" x14ac:dyDescent="0.3">
      <c r="A43">
        <v>3.9880356999999997</v>
      </c>
      <c r="B43">
        <v>0.45166000000000001</v>
      </c>
      <c r="C43">
        <f t="shared" si="1"/>
        <v>1.8012362042619998</v>
      </c>
      <c r="D43">
        <v>1.9099999999999999E-2</v>
      </c>
      <c r="E43" s="1">
        <v>1.2999999999999999E-2</v>
      </c>
      <c r="F43">
        <f t="shared" si="2"/>
        <v>797.60713999999996</v>
      </c>
      <c r="G43">
        <f t="shared" si="3"/>
        <v>-0.45166000000000001</v>
      </c>
      <c r="H43">
        <f t="shared" si="4"/>
        <v>-360.24724085239995</v>
      </c>
      <c r="I43">
        <v>1</v>
      </c>
      <c r="J43">
        <f t="shared" si="5"/>
        <v>-0.2261391085190094</v>
      </c>
      <c r="K43">
        <f t="shared" si="6"/>
        <v>-0.72825057297601203</v>
      </c>
      <c r="L43">
        <v>1</v>
      </c>
      <c r="M43">
        <f t="shared" si="7"/>
        <v>0.47190901108719241</v>
      </c>
      <c r="N43">
        <f t="shared" si="13"/>
        <v>7.6171481869999988E-2</v>
      </c>
      <c r="O43">
        <f t="shared" si="11"/>
        <v>5.1844464099999994E-2</v>
      </c>
      <c r="P43">
        <f t="shared" si="12"/>
        <v>0.12832561591881964</v>
      </c>
      <c r="V43">
        <v>-2.1000000000000099</v>
      </c>
      <c r="W43">
        <f t="shared" si="9"/>
        <v>-0.38638599999999956</v>
      </c>
    </row>
    <row r="44" spans="1:23" x14ac:dyDescent="0.3">
      <c r="A44">
        <v>4.0867724500000007</v>
      </c>
      <c r="B44">
        <v>0.44420999999999999</v>
      </c>
      <c r="C44">
        <f t="shared" si="1"/>
        <v>1.8153851900145002</v>
      </c>
      <c r="D44">
        <v>1.9099999999999999E-2</v>
      </c>
      <c r="E44" s="1">
        <v>1.2999999999999999E-2</v>
      </c>
      <c r="F44">
        <f t="shared" si="2"/>
        <v>817.35449000000017</v>
      </c>
      <c r="G44">
        <f t="shared" si="3"/>
        <v>-0.44420999999999999</v>
      </c>
      <c r="H44">
        <f t="shared" si="4"/>
        <v>-363.07703800290005</v>
      </c>
      <c r="I44">
        <v>1</v>
      </c>
      <c r="J44">
        <f t="shared" si="5"/>
        <v>-0.20168238593731178</v>
      </c>
      <c r="K44">
        <f t="shared" si="6"/>
        <v>-0.73570057297601199</v>
      </c>
      <c r="L44">
        <v>1</v>
      </c>
      <c r="M44">
        <f t="shared" si="7"/>
        <v>0.47302521590582108</v>
      </c>
      <c r="N44">
        <f t="shared" si="13"/>
        <v>7.8057353795000006E-2</v>
      </c>
      <c r="O44">
        <f t="shared" si="11"/>
        <v>5.3128041850000009E-2</v>
      </c>
      <c r="P44">
        <f t="shared" si="12"/>
        <v>0.1314899614251909</v>
      </c>
      <c r="V44">
        <v>-2.0000000000000102</v>
      </c>
      <c r="W44">
        <f t="shared" si="9"/>
        <v>-0.39094999999999952</v>
      </c>
    </row>
    <row r="45" spans="1:23" x14ac:dyDescent="0.3">
      <c r="A45">
        <v>4.1840681999999996</v>
      </c>
      <c r="B45">
        <v>0.43686999999999998</v>
      </c>
      <c r="C45">
        <f t="shared" si="1"/>
        <v>1.8278938745339997</v>
      </c>
      <c r="D45">
        <v>1.9099999999999999E-2</v>
      </c>
      <c r="E45" s="1">
        <v>1.2999999999999999E-2</v>
      </c>
      <c r="F45">
        <f t="shared" si="2"/>
        <v>836.81363999999996</v>
      </c>
      <c r="G45">
        <f t="shared" si="3"/>
        <v>-0.43686999999999998</v>
      </c>
      <c r="H45">
        <f t="shared" si="4"/>
        <v>-365.57877490679994</v>
      </c>
      <c r="I45">
        <v>1</v>
      </c>
      <c r="J45">
        <f t="shared" si="5"/>
        <v>-0.17815388561312079</v>
      </c>
      <c r="K45">
        <f t="shared" si="6"/>
        <v>-0.743040572976012</v>
      </c>
      <c r="L45">
        <v>1</v>
      </c>
      <c r="M45">
        <f t="shared" si="7"/>
        <v>0.47409905666061714</v>
      </c>
      <c r="N45">
        <f t="shared" si="13"/>
        <v>7.9915702619999987E-2</v>
      </c>
      <c r="O45">
        <f t="shared" si="11"/>
        <v>5.4392886599999989E-2</v>
      </c>
      <c r="P45">
        <f t="shared" si="12"/>
        <v>0.1346329270953949</v>
      </c>
      <c r="V45">
        <v>-1.9000000000000099</v>
      </c>
      <c r="W45">
        <f t="shared" si="9"/>
        <v>-0.39551399999999953</v>
      </c>
    </row>
    <row r="46" spans="1:23" x14ac:dyDescent="0.3">
      <c r="A46">
        <v>4.2849674000000002</v>
      </c>
      <c r="B46">
        <v>0.42903999999999998</v>
      </c>
      <c r="C46">
        <f t="shared" si="1"/>
        <v>1.8384224132960001</v>
      </c>
      <c r="D46">
        <v>1.9099999999999999E-2</v>
      </c>
      <c r="E46" s="1">
        <v>1.2999999999999999E-2</v>
      </c>
      <c r="F46">
        <f t="shared" si="2"/>
        <v>856.99348000000009</v>
      </c>
      <c r="G46">
        <f t="shared" si="3"/>
        <v>-0.42903999999999998</v>
      </c>
      <c r="H46">
        <f t="shared" si="4"/>
        <v>-367.6844826592</v>
      </c>
      <c r="I46">
        <v>1</v>
      </c>
      <c r="J46">
        <f t="shared" si="5"/>
        <v>-0.15432496834795342</v>
      </c>
      <c r="K46">
        <f t="shared" si="6"/>
        <v>-0.75087057297601201</v>
      </c>
      <c r="L46">
        <v>1</v>
      </c>
      <c r="M46">
        <f t="shared" si="7"/>
        <v>0.47518660844459942</v>
      </c>
      <c r="N46">
        <f t="shared" si="13"/>
        <v>8.1842877339999995E-2</v>
      </c>
      <c r="O46">
        <f t="shared" si="11"/>
        <v>5.5704576200000001E-2</v>
      </c>
      <c r="P46">
        <f t="shared" si="12"/>
        <v>0.13813651099141258</v>
      </c>
      <c r="V46">
        <v>-1.80000000000001</v>
      </c>
      <c r="W46">
        <f t="shared" si="9"/>
        <v>-0.40007799999999955</v>
      </c>
    </row>
    <row r="47" spans="1:23" x14ac:dyDescent="0.3">
      <c r="A47">
        <v>4.3837046500000003</v>
      </c>
      <c r="B47">
        <v>0.42157</v>
      </c>
      <c r="C47">
        <f t="shared" si="1"/>
        <v>1.8480383693005</v>
      </c>
      <c r="D47">
        <v>1.9099999999999999E-2</v>
      </c>
      <c r="E47" s="1">
        <v>1.2999999999999999E-2</v>
      </c>
      <c r="F47">
        <f t="shared" si="2"/>
        <v>876.74093000000005</v>
      </c>
      <c r="G47">
        <f t="shared" si="3"/>
        <v>-0.42157</v>
      </c>
      <c r="H47">
        <f t="shared" si="4"/>
        <v>-369.60767386010002</v>
      </c>
      <c r="I47">
        <v>1</v>
      </c>
      <c r="J47">
        <f t="shared" si="5"/>
        <v>-0.13154373503959685</v>
      </c>
      <c r="K47">
        <f t="shared" si="6"/>
        <v>-0.75834057297601198</v>
      </c>
      <c r="L47">
        <v>1</v>
      </c>
      <c r="M47">
        <f t="shared" si="7"/>
        <v>0.47622634393279278</v>
      </c>
      <c r="N47">
        <f t="shared" si="13"/>
        <v>8.3728758814999998E-2</v>
      </c>
      <c r="O47">
        <f t="shared" si="11"/>
        <v>5.6988160449999999E-2</v>
      </c>
      <c r="P47">
        <f t="shared" si="12"/>
        <v>0.14139730977821921</v>
      </c>
      <c r="V47">
        <v>-1.7000000000000199</v>
      </c>
      <c r="W47">
        <f t="shared" si="9"/>
        <v>-0.40464199999999906</v>
      </c>
    </row>
    <row r="48" spans="1:23" x14ac:dyDescent="0.3">
      <c r="A48">
        <v>4.4831624000000003</v>
      </c>
      <c r="B48">
        <v>0.41359000000000001</v>
      </c>
      <c r="C48">
        <f t="shared" si="1"/>
        <v>1.8541911370160002</v>
      </c>
      <c r="D48">
        <v>1.9099999999999999E-2</v>
      </c>
      <c r="E48" s="1">
        <v>1.2999999999999999E-2</v>
      </c>
      <c r="F48">
        <f t="shared" si="2"/>
        <v>896.6324800000001</v>
      </c>
      <c r="G48">
        <f t="shared" si="3"/>
        <v>-0.41359000000000001</v>
      </c>
      <c r="H48">
        <f t="shared" si="4"/>
        <v>-370.83822740320005</v>
      </c>
      <c r="I48">
        <v>1</v>
      </c>
      <c r="J48">
        <f t="shared" si="5"/>
        <v>-0.10910922217524337</v>
      </c>
      <c r="K48">
        <f t="shared" si="6"/>
        <v>-0.76632057297601197</v>
      </c>
      <c r="L48">
        <v>1</v>
      </c>
      <c r="M48">
        <f t="shared" si="7"/>
        <v>0.47725025509992186</v>
      </c>
      <c r="N48">
        <f t="shared" si="13"/>
        <v>8.5628401840000007E-2</v>
      </c>
      <c r="O48">
        <f t="shared" si="11"/>
        <v>5.8281111199999999E-2</v>
      </c>
      <c r="P48">
        <f t="shared" si="12"/>
        <v>0.14516080483609012</v>
      </c>
      <c r="V48">
        <v>-1.6000000000000201</v>
      </c>
      <c r="W48">
        <f t="shared" si="9"/>
        <v>-0.40920599999999907</v>
      </c>
    </row>
    <row r="49" spans="1:23" x14ac:dyDescent="0.3">
      <c r="A49">
        <v>4.5847821</v>
      </c>
      <c r="B49">
        <v>0.40616999999999998</v>
      </c>
      <c r="C49">
        <f t="shared" si="1"/>
        <v>1.8622009455569999</v>
      </c>
      <c r="D49">
        <v>1.9099999999999999E-2</v>
      </c>
      <c r="E49" s="1">
        <v>1.2999999999999999E-2</v>
      </c>
      <c r="F49">
        <f t="shared" si="2"/>
        <v>916.95641999999998</v>
      </c>
      <c r="G49">
        <f t="shared" si="3"/>
        <v>-0.40616999999999998</v>
      </c>
      <c r="H49">
        <f t="shared" si="4"/>
        <v>-372.4401891114</v>
      </c>
      <c r="I49">
        <v>1</v>
      </c>
      <c r="J49">
        <f t="shared" si="5"/>
        <v>-8.6695332391530947E-2</v>
      </c>
      <c r="K49">
        <f t="shared" si="6"/>
        <v>-0.77374057297601206</v>
      </c>
      <c r="L49">
        <v>1</v>
      </c>
      <c r="M49">
        <f t="shared" si="7"/>
        <v>0.47827322502965053</v>
      </c>
      <c r="N49">
        <f t="shared" si="13"/>
        <v>8.7569338109999992E-2</v>
      </c>
      <c r="O49">
        <f t="shared" si="11"/>
        <v>5.9602167299999995E-2</v>
      </c>
      <c r="P49">
        <f t="shared" si="12"/>
        <v>0.14829584253636152</v>
      </c>
      <c r="V49">
        <v>-1.50000000000002</v>
      </c>
      <c r="W49">
        <f t="shared" si="9"/>
        <v>-0.41376999999999908</v>
      </c>
    </row>
    <row r="50" spans="1:23" x14ac:dyDescent="0.3">
      <c r="A50">
        <v>4.6835193500000001</v>
      </c>
      <c r="B50">
        <v>0.39863999999999999</v>
      </c>
      <c r="C50">
        <f t="shared" si="1"/>
        <v>1.8670381536839999</v>
      </c>
      <c r="D50">
        <v>1.9099999999999999E-2</v>
      </c>
      <c r="E50" s="1">
        <v>1.2999999999999999E-2</v>
      </c>
      <c r="F50">
        <f t="shared" si="2"/>
        <v>936.70387000000005</v>
      </c>
      <c r="G50">
        <f t="shared" si="3"/>
        <v>-0.39863999999999999</v>
      </c>
      <c r="H50">
        <f t="shared" si="4"/>
        <v>-373.4076307368</v>
      </c>
      <c r="I50">
        <v>1</v>
      </c>
      <c r="J50">
        <f t="shared" si="5"/>
        <v>-6.5388087250018295E-2</v>
      </c>
      <c r="K50">
        <f t="shared" si="6"/>
        <v>-0.78127057297601199</v>
      </c>
      <c r="L50">
        <v>1</v>
      </c>
      <c r="M50">
        <f t="shared" si="7"/>
        <v>0.47924568769790915</v>
      </c>
      <c r="N50">
        <f t="shared" si="13"/>
        <v>8.9455219584999995E-2</v>
      </c>
      <c r="O50">
        <f t="shared" si="11"/>
        <v>6.0885751549999999E-2</v>
      </c>
      <c r="P50">
        <f t="shared" si="12"/>
        <v>0.15168391414310284</v>
      </c>
      <c r="V50">
        <v>-1.4000000000000199</v>
      </c>
      <c r="W50">
        <f t="shared" si="9"/>
        <v>-0.4183339999999991</v>
      </c>
    </row>
    <row r="51" spans="1:23" x14ac:dyDescent="0.3">
      <c r="A51">
        <v>4.7808146499999999</v>
      </c>
      <c r="B51">
        <v>0.39085999999999999</v>
      </c>
      <c r="C51">
        <f t="shared" si="1"/>
        <v>1.868629214099</v>
      </c>
      <c r="D51">
        <v>1.9099999999999999E-2</v>
      </c>
      <c r="E51" s="1">
        <v>1.2999999999999999E-2</v>
      </c>
      <c r="F51">
        <f t="shared" si="2"/>
        <v>956.16292999999996</v>
      </c>
      <c r="G51">
        <f t="shared" si="3"/>
        <v>-0.39085999999999999</v>
      </c>
      <c r="H51">
        <f t="shared" si="4"/>
        <v>-373.72584281979999</v>
      </c>
      <c r="I51">
        <v>1</v>
      </c>
      <c r="J51">
        <f t="shared" si="5"/>
        <v>-4.4826951581792951E-2</v>
      </c>
      <c r="K51">
        <f t="shared" si="6"/>
        <v>-0.789050572976012</v>
      </c>
      <c r="L51">
        <v>1</v>
      </c>
      <c r="M51">
        <f t="shared" si="7"/>
        <v>0.48018409792980699</v>
      </c>
      <c r="N51">
        <f t="shared" si="13"/>
        <v>9.1313559815000001E-2</v>
      </c>
      <c r="O51">
        <f t="shared" si="11"/>
        <v>6.2150590449999994E-2</v>
      </c>
      <c r="P51">
        <f t="shared" si="12"/>
        <v>0.15540232478120503</v>
      </c>
      <c r="V51">
        <v>-1.30000000000002</v>
      </c>
      <c r="W51">
        <f t="shared" si="9"/>
        <v>-0.42289799999999911</v>
      </c>
    </row>
    <row r="52" spans="1:23" x14ac:dyDescent="0.3">
      <c r="A52">
        <v>4.88315535</v>
      </c>
      <c r="B52">
        <v>0.38306000000000001</v>
      </c>
      <c r="C52">
        <f t="shared" si="1"/>
        <v>1.8705414883710001</v>
      </c>
      <c r="D52">
        <v>1.9099999999999999E-2</v>
      </c>
      <c r="E52" s="1">
        <v>1.2999999999999999E-2</v>
      </c>
      <c r="F52">
        <f t="shared" si="2"/>
        <v>976.63107000000002</v>
      </c>
      <c r="G52">
        <f t="shared" si="3"/>
        <v>-0.38306000000000001</v>
      </c>
      <c r="H52">
        <f t="shared" si="4"/>
        <v>-374.1082976742</v>
      </c>
      <c r="I52">
        <v>1</v>
      </c>
      <c r="J52">
        <f t="shared" si="5"/>
        <v>-2.3646313402321466E-2</v>
      </c>
      <c r="K52">
        <f t="shared" si="6"/>
        <v>-0.79685057297601203</v>
      </c>
      <c r="L52">
        <v>1</v>
      </c>
      <c r="M52">
        <f t="shared" si="7"/>
        <v>0.48115078225631802</v>
      </c>
      <c r="N52">
        <f t="shared" si="13"/>
        <v>9.3268267184999989E-2</v>
      </c>
      <c r="O52">
        <f t="shared" si="11"/>
        <v>6.3481019550000004E-2</v>
      </c>
      <c r="P52">
        <f t="shared" si="12"/>
        <v>0.15895050398469401</v>
      </c>
      <c r="V52">
        <v>-1.2000000000000199</v>
      </c>
      <c r="W52">
        <f t="shared" si="9"/>
        <v>-0.42746199999999906</v>
      </c>
    </row>
    <row r="53" spans="1:23" x14ac:dyDescent="0.3">
      <c r="A53">
        <v>4.9840545499999998</v>
      </c>
      <c r="B53">
        <v>0.37546000000000002</v>
      </c>
      <c r="C53">
        <f t="shared" si="1"/>
        <v>1.8713131213430001</v>
      </c>
      <c r="D53">
        <v>1.9099999999999999E-2</v>
      </c>
      <c r="E53" s="1">
        <v>1.2999999999999999E-2</v>
      </c>
      <c r="F53">
        <f t="shared" si="2"/>
        <v>996.81090999999992</v>
      </c>
      <c r="G53">
        <f t="shared" si="3"/>
        <v>-0.37546000000000002</v>
      </c>
      <c r="H53">
        <f t="shared" si="4"/>
        <v>-374.26262426860001</v>
      </c>
      <c r="I53">
        <v>1</v>
      </c>
      <c r="J53">
        <f t="shared" si="5"/>
        <v>-3.1941859847677643E-3</v>
      </c>
      <c r="K53">
        <f t="shared" si="6"/>
        <v>-0.80445057297601197</v>
      </c>
      <c r="L53">
        <v>1</v>
      </c>
      <c r="M53">
        <f t="shared" si="7"/>
        <v>0.48208421735165519</v>
      </c>
      <c r="N53">
        <f t="shared" si="13"/>
        <v>9.5195441904999983E-2</v>
      </c>
      <c r="O53">
        <f t="shared" si="11"/>
        <v>6.4792709149999989E-2</v>
      </c>
      <c r="P53">
        <f t="shared" si="12"/>
        <v>0.16237820456935681</v>
      </c>
      <c r="V53">
        <v>-1.1000000000000201</v>
      </c>
      <c r="W53">
        <f t="shared" si="9"/>
        <v>-0.43202599999999908</v>
      </c>
    </row>
    <row r="54" spans="1:23" x14ac:dyDescent="0.3">
      <c r="A54">
        <v>5.0835122999999998</v>
      </c>
      <c r="B54">
        <v>0.36819000000000002</v>
      </c>
      <c r="C54">
        <f t="shared" si="1"/>
        <v>1.871698393737</v>
      </c>
      <c r="D54">
        <v>1.9099999999999999E-2</v>
      </c>
      <c r="E54" s="1">
        <v>1.2999999999999999E-2</v>
      </c>
      <c r="F54">
        <f t="shared" si="2"/>
        <v>1016.70246</v>
      </c>
      <c r="G54">
        <f t="shared" si="3"/>
        <v>-0.36819000000000002</v>
      </c>
      <c r="H54">
        <f t="shared" si="4"/>
        <v>-374.3396787474</v>
      </c>
      <c r="I54">
        <v>1</v>
      </c>
      <c r="J54">
        <f t="shared" si="5"/>
        <v>1.6564507888851183E-2</v>
      </c>
      <c r="K54">
        <f t="shared" si="6"/>
        <v>-0.81172057297601197</v>
      </c>
      <c r="L54">
        <v>1</v>
      </c>
      <c r="M54">
        <f t="shared" si="7"/>
        <v>0.48298600414004716</v>
      </c>
      <c r="N54">
        <f t="shared" si="13"/>
        <v>9.7095084929999992E-2</v>
      </c>
      <c r="O54">
        <f t="shared" si="11"/>
        <v>6.6085659899999996E-2</v>
      </c>
      <c r="P54">
        <f t="shared" si="12"/>
        <v>0.1655538240059648</v>
      </c>
      <c r="V54">
        <v>-1.00000000000002</v>
      </c>
      <c r="W54">
        <f t="shared" si="9"/>
        <v>-0.43658999999999909</v>
      </c>
    </row>
    <row r="55" spans="1:23" x14ac:dyDescent="0.3">
      <c r="A55">
        <v>5.1829700499999998</v>
      </c>
      <c r="B55">
        <v>0.35963000000000001</v>
      </c>
      <c r="C55">
        <f t="shared" si="1"/>
        <v>1.8639515190814999</v>
      </c>
      <c r="D55">
        <v>1.9099999999999999E-2</v>
      </c>
      <c r="E55" s="1">
        <v>1.2999999999999999E-2</v>
      </c>
      <c r="F55">
        <f t="shared" si="2"/>
        <v>1036.59401</v>
      </c>
      <c r="G55">
        <f t="shared" si="3"/>
        <v>-0.35963000000000001</v>
      </c>
      <c r="H55">
        <f t="shared" si="4"/>
        <v>-372.79030381629997</v>
      </c>
      <c r="I55">
        <v>1</v>
      </c>
      <c r="J55">
        <f t="shared" si="5"/>
        <v>3.594034825011707E-2</v>
      </c>
      <c r="K55">
        <f t="shared" si="6"/>
        <v>-0.82028057297601198</v>
      </c>
      <c r="L55">
        <v>1</v>
      </c>
      <c r="M55">
        <f t="shared" si="7"/>
        <v>0.48387031749413534</v>
      </c>
      <c r="N55">
        <f t="shared" si="13"/>
        <v>9.8994727954999986E-2</v>
      </c>
      <c r="O55">
        <f t="shared" si="11"/>
        <v>6.737861064999999E-2</v>
      </c>
      <c r="P55">
        <f t="shared" si="12"/>
        <v>0.17003691687687666</v>
      </c>
      <c r="V55">
        <v>-0.90000000000002001</v>
      </c>
      <c r="W55">
        <f t="shared" si="9"/>
        <v>-0.4411539999999991</v>
      </c>
    </row>
    <row r="56" spans="1:23" x14ac:dyDescent="0.3">
      <c r="A56">
        <v>5.2824278000000007</v>
      </c>
      <c r="B56">
        <v>0.3523</v>
      </c>
      <c r="C56">
        <f t="shared" si="1"/>
        <v>1.8609993139400003</v>
      </c>
      <c r="D56">
        <v>1.9099999999999999E-2</v>
      </c>
      <c r="E56" s="1">
        <v>1.2999999999999999E-2</v>
      </c>
      <c r="F56">
        <f t="shared" si="2"/>
        <v>1056.4855600000001</v>
      </c>
      <c r="G56">
        <f t="shared" si="3"/>
        <v>-0.3523</v>
      </c>
      <c r="H56">
        <f t="shared" si="4"/>
        <v>-372.19986278800008</v>
      </c>
      <c r="I56">
        <v>1</v>
      </c>
      <c r="J56">
        <f t="shared" si="5"/>
        <v>5.4947890209627759E-2</v>
      </c>
      <c r="K56">
        <f t="shared" si="6"/>
        <v>-0.82761057297601193</v>
      </c>
      <c r="L56">
        <v>1</v>
      </c>
      <c r="M56">
        <f t="shared" si="7"/>
        <v>0.4847378217091674</v>
      </c>
      <c r="N56">
        <f t="shared" si="13"/>
        <v>0.10089437098000001</v>
      </c>
      <c r="O56">
        <f t="shared" si="11"/>
        <v>6.8671561400000011E-2</v>
      </c>
      <c r="P56">
        <f t="shared" si="12"/>
        <v>0.17330681888684452</v>
      </c>
      <c r="V56">
        <v>-0.80000000000002003</v>
      </c>
      <c r="W56">
        <f t="shared" si="9"/>
        <v>-0.44571799999999906</v>
      </c>
    </row>
    <row r="57" spans="1:23" x14ac:dyDescent="0.3">
      <c r="A57">
        <v>5.3826060500000006</v>
      </c>
      <c r="B57">
        <v>0.34388000000000002</v>
      </c>
      <c r="C57">
        <f t="shared" si="1"/>
        <v>1.8509705684740003</v>
      </c>
      <c r="D57">
        <v>1.9099999999999999E-2</v>
      </c>
      <c r="E57" s="1">
        <v>1.2999999999999999E-2</v>
      </c>
      <c r="F57">
        <f t="shared" si="2"/>
        <v>1076.5212100000001</v>
      </c>
      <c r="G57">
        <f t="shared" si="3"/>
        <v>-0.34388000000000002</v>
      </c>
      <c r="H57">
        <f t="shared" si="4"/>
        <v>-370.19411369480008</v>
      </c>
      <c r="I57">
        <v>1</v>
      </c>
      <c r="J57">
        <f t="shared" si="5"/>
        <v>7.3734740368546617E-2</v>
      </c>
      <c r="K57">
        <f t="shared" si="6"/>
        <v>-0.83603057297601202</v>
      </c>
      <c r="L57">
        <v>1</v>
      </c>
      <c r="M57">
        <f t="shared" si="7"/>
        <v>0.48559525355042044</v>
      </c>
      <c r="N57">
        <f t="shared" si="13"/>
        <v>0.10280777555500001</v>
      </c>
      <c r="O57">
        <f t="shared" si="11"/>
        <v>6.9973878650000002E-2</v>
      </c>
      <c r="P57">
        <f t="shared" si="12"/>
        <v>0.17765366522059156</v>
      </c>
      <c r="V57">
        <v>-0.70000000000002005</v>
      </c>
      <c r="W57">
        <f t="shared" si="9"/>
        <v>-0.45028199999999907</v>
      </c>
    </row>
    <row r="58" spans="1:23" x14ac:dyDescent="0.3">
      <c r="A58">
        <v>5.4777398000000002</v>
      </c>
      <c r="B58">
        <v>0.33622000000000002</v>
      </c>
      <c r="C58">
        <f t="shared" si="1"/>
        <v>1.8417256755560001</v>
      </c>
      <c r="D58">
        <v>1.9099999999999999E-2</v>
      </c>
      <c r="E58" s="1">
        <v>1.2999999999999999E-2</v>
      </c>
      <c r="F58">
        <f t="shared" si="2"/>
        <v>1095.5479600000001</v>
      </c>
      <c r="G58">
        <f t="shared" si="3"/>
        <v>-0.33622000000000002</v>
      </c>
      <c r="H58">
        <f t="shared" si="4"/>
        <v>-368.34513511120002</v>
      </c>
      <c r="I58">
        <v>1</v>
      </c>
      <c r="J58">
        <f t="shared" si="5"/>
        <v>9.1254658191410737E-2</v>
      </c>
      <c r="K58">
        <f t="shared" si="6"/>
        <v>-0.84369057297601202</v>
      </c>
      <c r="L58">
        <v>1</v>
      </c>
      <c r="M58">
        <f t="shared" si="7"/>
        <v>0.48639486259985598</v>
      </c>
      <c r="N58">
        <f t="shared" si="13"/>
        <v>0.10462483018</v>
      </c>
      <c r="O58">
        <f t="shared" si="11"/>
        <v>7.1210617399999995E-2</v>
      </c>
      <c r="P58">
        <f t="shared" si="12"/>
        <v>0.18146026279615601</v>
      </c>
      <c r="V58">
        <v>-0.60000000000001996</v>
      </c>
      <c r="W58">
        <f t="shared" si="9"/>
        <v>-0.45484599999999908</v>
      </c>
    </row>
    <row r="59" spans="1:23" x14ac:dyDescent="0.3">
      <c r="A59">
        <v>5.5786390500000005</v>
      </c>
      <c r="B59">
        <v>0.32761000000000001</v>
      </c>
      <c r="C59">
        <f t="shared" si="1"/>
        <v>1.8276179391705003</v>
      </c>
      <c r="D59">
        <v>1.9099999999999999E-2</v>
      </c>
      <c r="E59" s="1">
        <v>1.2999999999999999E-2</v>
      </c>
      <c r="F59">
        <f t="shared" si="2"/>
        <v>1115.7278100000001</v>
      </c>
      <c r="G59">
        <f t="shared" si="3"/>
        <v>-0.32761000000000001</v>
      </c>
      <c r="H59">
        <f t="shared" si="4"/>
        <v>-365.52358783410006</v>
      </c>
      <c r="I59">
        <v>1</v>
      </c>
      <c r="J59">
        <f t="shared" si="5"/>
        <v>0.10950693636173936</v>
      </c>
      <c r="K59">
        <f t="shared" si="6"/>
        <v>-0.85230057297601203</v>
      </c>
      <c r="L59">
        <v>1</v>
      </c>
      <c r="M59">
        <f t="shared" si="7"/>
        <v>0.48722789657554977</v>
      </c>
      <c r="N59">
        <f t="shared" si="13"/>
        <v>0.10655200585500001</v>
      </c>
      <c r="O59">
        <f t="shared" si="11"/>
        <v>7.2522307650000006E-2</v>
      </c>
      <c r="P59">
        <f t="shared" si="12"/>
        <v>0.18599836289546223</v>
      </c>
      <c r="V59">
        <v>-0.50000000000001998</v>
      </c>
      <c r="W59">
        <f t="shared" si="9"/>
        <v>-0.4594099999999991</v>
      </c>
    </row>
    <row r="60" spans="1:23" x14ac:dyDescent="0.3">
      <c r="A60">
        <v>5.6795382500000002</v>
      </c>
      <c r="B60">
        <v>0.31970999999999999</v>
      </c>
      <c r="C60">
        <f t="shared" si="1"/>
        <v>1.8158051739075001</v>
      </c>
      <c r="D60">
        <v>1.9099999999999999E-2</v>
      </c>
      <c r="E60" s="1">
        <v>1.2999999999999999E-2</v>
      </c>
      <c r="F60">
        <f t="shared" si="2"/>
        <v>1135.9076500000001</v>
      </c>
      <c r="G60">
        <f t="shared" si="3"/>
        <v>-0.31970999999999999</v>
      </c>
      <c r="H60">
        <f t="shared" si="4"/>
        <v>-363.16103478150001</v>
      </c>
      <c r="I60">
        <v>1</v>
      </c>
      <c r="J60">
        <f t="shared" si="5"/>
        <v>0.12743202298033768</v>
      </c>
      <c r="K60">
        <f t="shared" si="6"/>
        <v>-0.86020057297601205</v>
      </c>
      <c r="L60">
        <v>1</v>
      </c>
      <c r="M60">
        <f t="shared" si="7"/>
        <v>0.48804599752882261</v>
      </c>
      <c r="N60">
        <f t="shared" si="13"/>
        <v>0.108479180575</v>
      </c>
      <c r="O60">
        <f t="shared" si="11"/>
        <v>7.3833997250000005E-2</v>
      </c>
      <c r="P60">
        <f t="shared" si="12"/>
        <v>0.18984139762218943</v>
      </c>
      <c r="V60">
        <v>-0.40000000000002001</v>
      </c>
      <c r="W60">
        <f t="shared" si="9"/>
        <v>-0.46397399999999905</v>
      </c>
    </row>
    <row r="61" spans="1:23" x14ac:dyDescent="0.3">
      <c r="A61">
        <v>5.7797164999999993</v>
      </c>
      <c r="B61">
        <v>0.31152999999999997</v>
      </c>
      <c r="C61">
        <f t="shared" si="1"/>
        <v>1.8005550812449995</v>
      </c>
      <c r="D61">
        <v>1.9099999999999999E-2</v>
      </c>
      <c r="E61" s="1">
        <v>1.2999999999999999E-2</v>
      </c>
      <c r="F61">
        <f t="shared" si="2"/>
        <v>1155.9432999999999</v>
      </c>
      <c r="G61">
        <f t="shared" si="3"/>
        <v>-0.31152999999999997</v>
      </c>
      <c r="H61">
        <f t="shared" si="4"/>
        <v>-360.11101624899993</v>
      </c>
      <c r="I61">
        <v>1</v>
      </c>
      <c r="J61">
        <f t="shared" si="5"/>
        <v>0.14491672060436486</v>
      </c>
      <c r="K61">
        <f t="shared" si="6"/>
        <v>-0.86838057297601201</v>
      </c>
      <c r="L61">
        <v>1</v>
      </c>
      <c r="M61">
        <f t="shared" si="7"/>
        <v>0.48884399912838322</v>
      </c>
      <c r="N61">
        <f t="shared" si="13"/>
        <v>0.11039258514999999</v>
      </c>
      <c r="O61">
        <f t="shared" si="11"/>
        <v>7.5136314499999982E-2</v>
      </c>
      <c r="P61">
        <f t="shared" si="12"/>
        <v>0.19400767419762882</v>
      </c>
      <c r="V61">
        <v>-0.30000000000001997</v>
      </c>
      <c r="W61">
        <f t="shared" si="9"/>
        <v>-0.46853799999999907</v>
      </c>
    </row>
    <row r="62" spans="1:23" x14ac:dyDescent="0.3">
      <c r="A62">
        <v>5.8791742500000002</v>
      </c>
      <c r="B62">
        <v>0.30341000000000001</v>
      </c>
      <c r="C62">
        <f t="shared" si="1"/>
        <v>1.7838002591925002</v>
      </c>
      <c r="D62">
        <v>1.9099999999999999E-2</v>
      </c>
      <c r="E62" s="1">
        <v>1.2999999999999999E-2</v>
      </c>
      <c r="F62">
        <f t="shared" si="2"/>
        <v>1175.83485</v>
      </c>
      <c r="G62">
        <f t="shared" si="3"/>
        <v>-0.30341000000000001</v>
      </c>
      <c r="H62">
        <f t="shared" si="4"/>
        <v>-356.76005183850003</v>
      </c>
      <c r="I62">
        <v>1</v>
      </c>
      <c r="J62">
        <f t="shared" si="5"/>
        <v>0.16197840594123417</v>
      </c>
      <c r="K62">
        <f t="shared" si="6"/>
        <v>-0.87650057297601203</v>
      </c>
      <c r="L62">
        <v>1</v>
      </c>
      <c r="M62">
        <f t="shared" si="7"/>
        <v>0.48962269444715789</v>
      </c>
      <c r="N62">
        <f t="shared" si="13"/>
        <v>0.11229222817499999</v>
      </c>
      <c r="O62">
        <f t="shared" si="11"/>
        <v>7.6429265250000003E-2</v>
      </c>
      <c r="P62">
        <f t="shared" si="12"/>
        <v>0.19815638510385414</v>
      </c>
      <c r="V62">
        <v>-0.20000000000002</v>
      </c>
      <c r="W62">
        <f t="shared" si="9"/>
        <v>-0.47310199999999908</v>
      </c>
    </row>
    <row r="63" spans="1:23" x14ac:dyDescent="0.3">
      <c r="A63">
        <v>5.97935295</v>
      </c>
      <c r="B63">
        <v>0.29575000000000001</v>
      </c>
      <c r="C63">
        <f t="shared" si="1"/>
        <v>1.7683936349625</v>
      </c>
      <c r="D63">
        <v>1.9099999999999999E-2</v>
      </c>
      <c r="E63" s="1">
        <v>1.2999999999999999E-2</v>
      </c>
      <c r="F63">
        <f t="shared" si="2"/>
        <v>1195.87059</v>
      </c>
      <c r="G63">
        <f t="shared" si="3"/>
        <v>-0.29575000000000001</v>
      </c>
      <c r="H63">
        <f t="shared" si="4"/>
        <v>-353.6787269925</v>
      </c>
      <c r="I63">
        <v>1</v>
      </c>
      <c r="J63">
        <f t="shared" si="5"/>
        <v>0.17887444733300722</v>
      </c>
      <c r="K63">
        <f t="shared" si="6"/>
        <v>-0.88416057297601203</v>
      </c>
      <c r="L63">
        <v>1</v>
      </c>
      <c r="M63">
        <f t="shared" si="7"/>
        <v>0.49039382977627843</v>
      </c>
      <c r="N63">
        <f t="shared" si="13"/>
        <v>0.114205641345</v>
      </c>
      <c r="O63">
        <f t="shared" si="11"/>
        <v>7.7731588349999992E-2</v>
      </c>
      <c r="P63">
        <f t="shared" si="12"/>
        <v>0.2018295135047336</v>
      </c>
      <c r="V63">
        <v>-0.10000000000002</v>
      </c>
      <c r="W63">
        <f t="shared" si="9"/>
        <v>-0.47766599999999909</v>
      </c>
    </row>
    <row r="64" spans="1:23" x14ac:dyDescent="0.3">
      <c r="A64">
        <v>6.0780897000000005</v>
      </c>
      <c r="B64">
        <v>0.28634999999999999</v>
      </c>
      <c r="C64">
        <f t="shared" si="1"/>
        <v>1.7404609855950002</v>
      </c>
      <c r="D64">
        <v>1.9099999999999999E-2</v>
      </c>
      <c r="E64" s="1">
        <v>1.2999999999999999E-2</v>
      </c>
      <c r="F64">
        <f t="shared" si="2"/>
        <v>1215.6179400000001</v>
      </c>
      <c r="G64">
        <f t="shared" si="3"/>
        <v>-0.28634999999999999</v>
      </c>
      <c r="H64">
        <f t="shared" si="4"/>
        <v>-348.09219711900005</v>
      </c>
      <c r="I64">
        <v>1</v>
      </c>
      <c r="J64">
        <f t="shared" si="5"/>
        <v>0.19525254009572698</v>
      </c>
      <c r="K64">
        <f t="shared" si="6"/>
        <v>-0.89356057297601199</v>
      </c>
      <c r="L64">
        <v>1</v>
      </c>
      <c r="M64">
        <f t="shared" si="7"/>
        <v>0.49114132592996895</v>
      </c>
      <c r="N64">
        <f t="shared" si="13"/>
        <v>0.11609151327</v>
      </c>
      <c r="O64">
        <f t="shared" si="11"/>
        <v>7.9015166100000006E-2</v>
      </c>
      <c r="P64">
        <f t="shared" si="12"/>
        <v>0.20731256767604303</v>
      </c>
      <c r="V64">
        <v>-2.0428103653102899E-14</v>
      </c>
      <c r="W64">
        <f t="shared" si="9"/>
        <v>-0.48222999999999905</v>
      </c>
    </row>
    <row r="65" spans="1:23" x14ac:dyDescent="0.3">
      <c r="A65">
        <v>6.1789889500000008</v>
      </c>
      <c r="B65">
        <v>0.27793000000000001</v>
      </c>
      <c r="C65">
        <f t="shared" si="1"/>
        <v>1.7173263988735004</v>
      </c>
      <c r="D65">
        <v>1.9099999999999999E-2</v>
      </c>
      <c r="E65" s="1">
        <v>1.2999999999999999E-2</v>
      </c>
      <c r="F65">
        <f t="shared" si="2"/>
        <v>1235.7977900000001</v>
      </c>
      <c r="G65">
        <f t="shared" si="3"/>
        <v>-0.27793000000000001</v>
      </c>
      <c r="H65">
        <f t="shared" si="4"/>
        <v>-343.46527977470009</v>
      </c>
      <c r="I65">
        <v>1</v>
      </c>
      <c r="J65">
        <f t="shared" si="5"/>
        <v>0.21171674532788182</v>
      </c>
      <c r="K65">
        <f t="shared" si="6"/>
        <v>-0.90198057297601197</v>
      </c>
      <c r="L65">
        <v>1</v>
      </c>
      <c r="M65">
        <f t="shared" si="7"/>
        <v>0.49189275225676454</v>
      </c>
      <c r="N65">
        <f t="shared" si="13"/>
        <v>0.11801868894500001</v>
      </c>
      <c r="O65">
        <f t="shared" si="11"/>
        <v>8.0326856350000003E-2</v>
      </c>
      <c r="P65">
        <f t="shared" si="12"/>
        <v>0.21174227542424742</v>
      </c>
      <c r="V65">
        <v>9.9999999999980105E-2</v>
      </c>
      <c r="W65">
        <f t="shared" si="9"/>
        <v>-0.48679399999999906</v>
      </c>
    </row>
    <row r="66" spans="1:23" x14ac:dyDescent="0.3">
      <c r="A66">
        <v>6.2791676500000007</v>
      </c>
      <c r="B66">
        <v>0.26939000000000002</v>
      </c>
      <c r="C66">
        <f t="shared" si="1"/>
        <v>1.6915449732335004</v>
      </c>
      <c r="D66">
        <v>1.9099999999999999E-2</v>
      </c>
      <c r="E66" s="1">
        <v>1.2999999999999999E-2</v>
      </c>
      <c r="F66">
        <f t="shared" si="2"/>
        <v>1255.8335300000001</v>
      </c>
      <c r="G66">
        <f t="shared" si="3"/>
        <v>-0.26939000000000002</v>
      </c>
      <c r="H66">
        <f t="shared" si="4"/>
        <v>-338.30899464670006</v>
      </c>
      <c r="I66">
        <v>1</v>
      </c>
      <c r="J66">
        <f t="shared" si="5"/>
        <v>0.22779951945291316</v>
      </c>
      <c r="K66">
        <f t="shared" si="6"/>
        <v>-0.91052057297601197</v>
      </c>
      <c r="L66">
        <v>1</v>
      </c>
      <c r="M66">
        <f t="shared" si="7"/>
        <v>0.49262677006783095</v>
      </c>
      <c r="N66">
        <f t="shared" si="13"/>
        <v>0.11993210211500001</v>
      </c>
      <c r="O66">
        <f t="shared" si="11"/>
        <v>8.1629179450000006E-2</v>
      </c>
      <c r="P66">
        <f t="shared" si="12"/>
        <v>0.21633252134318101</v>
      </c>
      <c r="V66">
        <v>0.19999999999998</v>
      </c>
      <c r="W66">
        <f t="shared" si="9"/>
        <v>-0.49135799999999907</v>
      </c>
    </row>
    <row r="67" spans="1:23" x14ac:dyDescent="0.3">
      <c r="A67">
        <v>6.3786253999999998</v>
      </c>
      <c r="B67">
        <v>0.26082</v>
      </c>
      <c r="C67">
        <f t="shared" si="1"/>
        <v>1.6636730768279999</v>
      </c>
      <c r="D67">
        <v>1.9099999999999999E-2</v>
      </c>
      <c r="E67" s="1">
        <v>1.2999999999999999E-2</v>
      </c>
      <c r="F67">
        <f t="shared" si="2"/>
        <v>1275.7250799999999</v>
      </c>
      <c r="G67">
        <f t="shared" si="3"/>
        <v>-0.26082</v>
      </c>
      <c r="H67">
        <f t="shared" si="4"/>
        <v>-332.73461536560001</v>
      </c>
      <c r="I67">
        <v>1</v>
      </c>
      <c r="J67">
        <f t="shared" si="5"/>
        <v>0.24351470716347859</v>
      </c>
      <c r="K67">
        <f t="shared" si="6"/>
        <v>-0.91909057297601193</v>
      </c>
      <c r="L67">
        <v>1</v>
      </c>
      <c r="M67">
        <f t="shared" si="7"/>
        <v>0.49334401123494115</v>
      </c>
      <c r="N67">
        <f t="shared" si="13"/>
        <v>0.12183174513999999</v>
      </c>
      <c r="O67">
        <f t="shared" si="11"/>
        <v>8.2922130199999999E-2</v>
      </c>
      <c r="P67">
        <f t="shared" si="12"/>
        <v>0.22099268640107078</v>
      </c>
      <c r="V67">
        <v>0.29999999999998</v>
      </c>
      <c r="W67">
        <f t="shared" si="9"/>
        <v>-0.49592199999999909</v>
      </c>
    </row>
    <row r="68" spans="1:23" x14ac:dyDescent="0.3">
      <c r="A68">
        <v>6.4780831499999998</v>
      </c>
      <c r="B68">
        <v>0.25202000000000002</v>
      </c>
      <c r="C68">
        <f t="shared" si="1"/>
        <v>1.6326065154630001</v>
      </c>
      <c r="D68">
        <v>1.9099999999999999E-2</v>
      </c>
      <c r="E68" s="1">
        <v>1.2999999999999999E-2</v>
      </c>
      <c r="F68">
        <f t="shared" si="2"/>
        <v>1295.61663</v>
      </c>
      <c r="G68">
        <f t="shared" si="3"/>
        <v>-0.25202000000000002</v>
      </c>
      <c r="H68">
        <f t="shared" si="4"/>
        <v>-326.52130309260002</v>
      </c>
      <c r="I68">
        <v>1</v>
      </c>
      <c r="J68">
        <f t="shared" si="5"/>
        <v>0.25898674398443489</v>
      </c>
      <c r="K68">
        <f t="shared" si="6"/>
        <v>-0.92789057297601196</v>
      </c>
      <c r="L68">
        <v>1</v>
      </c>
      <c r="M68">
        <f t="shared" si="7"/>
        <v>0.49405015499544958</v>
      </c>
      <c r="N68">
        <f t="shared" si="13"/>
        <v>0.12373138816499998</v>
      </c>
      <c r="O68">
        <f t="shared" si="11"/>
        <v>8.4215080949999993E-2</v>
      </c>
      <c r="P68">
        <f t="shared" si="12"/>
        <v>0.22589394886556244</v>
      </c>
      <c r="V68">
        <v>0.39999999999997998</v>
      </c>
      <c r="W68">
        <f t="shared" si="9"/>
        <v>-0.5004859999999991</v>
      </c>
    </row>
    <row r="69" spans="1:23" x14ac:dyDescent="0.3">
      <c r="A69">
        <v>6.5746579000000001</v>
      </c>
      <c r="B69">
        <v>0.24698999999999999</v>
      </c>
      <c r="C69">
        <f t="shared" ref="C69:C132" si="14">A69*B69</f>
        <v>1.623874754721</v>
      </c>
      <c r="D69">
        <v>1.9099999999999999E-2</v>
      </c>
      <c r="E69" s="1">
        <v>1.2999999999999999E-2</v>
      </c>
      <c r="F69">
        <f t="shared" ref="F69:F132" si="15">A69*200</f>
        <v>1314.9315799999999</v>
      </c>
      <c r="G69">
        <f t="shared" ref="G69:G132" si="16">-B69</f>
        <v>-0.24698999999999999</v>
      </c>
      <c r="H69">
        <f t="shared" ref="H69:H132" si="17">-C69*200</f>
        <v>-324.77495094419999</v>
      </c>
      <c r="I69">
        <v>1</v>
      </c>
      <c r="J69">
        <f t="shared" ref="J69:J132" si="18">LN(F69/1000)</f>
        <v>0.27378463385784768</v>
      </c>
      <c r="K69">
        <f t="shared" ref="K69:K132" si="19">((-G69)-$N$2)</f>
        <v>-0.93292057297601194</v>
      </c>
      <c r="L69">
        <v>1</v>
      </c>
      <c r="M69">
        <f t="shared" ref="M69:M132" si="20">-1*($S$4+($S$5*J69))</f>
        <v>0.49472553068927216</v>
      </c>
      <c r="N69">
        <f t="shared" si="13"/>
        <v>0.12557596589</v>
      </c>
      <c r="O69">
        <f t="shared" si="11"/>
        <v>8.5470552699999994E-2</v>
      </c>
      <c r="P69">
        <f t="shared" si="12"/>
        <v>0.22714852369673982</v>
      </c>
      <c r="V69">
        <v>0.49999999999998002</v>
      </c>
      <c r="W69">
        <f t="shared" ref="W69:W132" si="21">V69*$S$5+$S$4</f>
        <v>-0.50504999999999911</v>
      </c>
    </row>
    <row r="70" spans="1:23" x14ac:dyDescent="0.3">
      <c r="C70">
        <f t="shared" si="14"/>
        <v>0</v>
      </c>
      <c r="D70">
        <v>1.9099999999999999E-2</v>
      </c>
      <c r="E70" s="1">
        <v>1.2999999999999999E-2</v>
      </c>
      <c r="F70">
        <f t="shared" si="15"/>
        <v>0</v>
      </c>
      <c r="G70">
        <f t="shared" si="16"/>
        <v>0</v>
      </c>
      <c r="H70">
        <f t="shared" si="17"/>
        <v>0</v>
      </c>
      <c r="I70">
        <v>1</v>
      </c>
      <c r="J70" t="e">
        <f t="shared" si="18"/>
        <v>#NUM!</v>
      </c>
      <c r="K70">
        <f t="shared" si="19"/>
        <v>-1.179910572976012</v>
      </c>
      <c r="L70">
        <v>1</v>
      </c>
      <c r="M70" t="e">
        <f t="shared" si="20"/>
        <v>#NUM!</v>
      </c>
      <c r="N70">
        <f t="shared" si="13"/>
        <v>0</v>
      </c>
      <c r="O70">
        <f t="shared" ref="O70:O133" si="22">E70*A70</f>
        <v>0</v>
      </c>
      <c r="P70" t="e">
        <f t="shared" ref="P70:P133" si="23">-K70-M70-N70-O70</f>
        <v>#NUM!</v>
      </c>
      <c r="V70">
        <v>0.59999999999997999</v>
      </c>
      <c r="W70">
        <f t="shared" si="21"/>
        <v>-0.50961399999999912</v>
      </c>
    </row>
    <row r="71" spans="1:23" x14ac:dyDescent="0.3">
      <c r="C71">
        <f t="shared" si="14"/>
        <v>0</v>
      </c>
      <c r="D71">
        <v>1.9099999999999999E-2</v>
      </c>
      <c r="E71" s="1">
        <v>1.2999999999999999E-2</v>
      </c>
      <c r="F71">
        <f t="shared" si="15"/>
        <v>0</v>
      </c>
      <c r="G71">
        <f t="shared" si="16"/>
        <v>0</v>
      </c>
      <c r="H71">
        <f t="shared" si="17"/>
        <v>0</v>
      </c>
      <c r="I71">
        <v>1</v>
      </c>
      <c r="J71" t="e">
        <f t="shared" si="18"/>
        <v>#NUM!</v>
      </c>
      <c r="K71">
        <f t="shared" si="19"/>
        <v>-1.179910572976012</v>
      </c>
      <c r="L71">
        <v>1</v>
      </c>
      <c r="M71" t="e">
        <f t="shared" si="20"/>
        <v>#NUM!</v>
      </c>
      <c r="N71">
        <f t="shared" ref="N71:N134" si="24">D71*A71</f>
        <v>0</v>
      </c>
      <c r="O71">
        <f t="shared" si="22"/>
        <v>0</v>
      </c>
      <c r="P71" t="e">
        <f t="shared" si="23"/>
        <v>#NUM!</v>
      </c>
      <c r="V71">
        <v>0.69999999999997997</v>
      </c>
      <c r="W71">
        <f t="shared" si="21"/>
        <v>-0.51417799999999914</v>
      </c>
    </row>
    <row r="72" spans="1:23" x14ac:dyDescent="0.3">
      <c r="C72">
        <f t="shared" si="14"/>
        <v>0</v>
      </c>
      <c r="D72">
        <v>1.9099999999999999E-2</v>
      </c>
      <c r="E72" s="1">
        <v>1.2999999999999999E-2</v>
      </c>
      <c r="F72">
        <f t="shared" si="15"/>
        <v>0</v>
      </c>
      <c r="G72">
        <f t="shared" si="16"/>
        <v>0</v>
      </c>
      <c r="H72">
        <f t="shared" si="17"/>
        <v>0</v>
      </c>
      <c r="I72">
        <v>1</v>
      </c>
      <c r="J72" t="e">
        <f t="shared" si="18"/>
        <v>#NUM!</v>
      </c>
      <c r="K72">
        <f t="shared" si="19"/>
        <v>-1.179910572976012</v>
      </c>
      <c r="L72">
        <v>1</v>
      </c>
      <c r="M72" t="e">
        <f t="shared" si="20"/>
        <v>#NUM!</v>
      </c>
      <c r="N72">
        <f t="shared" si="24"/>
        <v>0</v>
      </c>
      <c r="O72">
        <f t="shared" si="22"/>
        <v>0</v>
      </c>
      <c r="P72" t="e">
        <f t="shared" si="23"/>
        <v>#NUM!</v>
      </c>
      <c r="V72">
        <v>0.79999999999997995</v>
      </c>
      <c r="W72">
        <f t="shared" si="21"/>
        <v>-0.51874199999999904</v>
      </c>
    </row>
    <row r="73" spans="1:23" x14ac:dyDescent="0.3">
      <c r="C73">
        <f t="shared" si="14"/>
        <v>0</v>
      </c>
      <c r="D73">
        <v>1.9099999999999999E-2</v>
      </c>
      <c r="E73" s="1">
        <v>1.2999999999999999E-2</v>
      </c>
      <c r="F73">
        <f t="shared" si="15"/>
        <v>0</v>
      </c>
      <c r="G73">
        <f t="shared" si="16"/>
        <v>0</v>
      </c>
      <c r="H73">
        <f t="shared" si="17"/>
        <v>0</v>
      </c>
      <c r="I73">
        <v>1</v>
      </c>
      <c r="J73" t="e">
        <f t="shared" si="18"/>
        <v>#NUM!</v>
      </c>
      <c r="K73">
        <f t="shared" si="19"/>
        <v>-1.179910572976012</v>
      </c>
      <c r="L73">
        <v>1</v>
      </c>
      <c r="M73" t="e">
        <f t="shared" si="20"/>
        <v>#NUM!</v>
      </c>
      <c r="N73">
        <f t="shared" si="24"/>
        <v>0</v>
      </c>
      <c r="O73">
        <f t="shared" si="22"/>
        <v>0</v>
      </c>
      <c r="P73" t="e">
        <f t="shared" si="23"/>
        <v>#NUM!</v>
      </c>
      <c r="V73">
        <v>0.89999999999998004</v>
      </c>
      <c r="W73">
        <f t="shared" si="21"/>
        <v>-0.52330599999999905</v>
      </c>
    </row>
    <row r="74" spans="1:23" x14ac:dyDescent="0.3">
      <c r="C74">
        <f t="shared" si="14"/>
        <v>0</v>
      </c>
      <c r="D74">
        <v>1.9099999999999999E-2</v>
      </c>
      <c r="E74" s="1">
        <v>1.2999999999999999E-2</v>
      </c>
      <c r="F74">
        <f t="shared" si="15"/>
        <v>0</v>
      </c>
      <c r="G74">
        <f t="shared" si="16"/>
        <v>0</v>
      </c>
      <c r="H74">
        <f t="shared" si="17"/>
        <v>0</v>
      </c>
      <c r="I74">
        <v>1</v>
      </c>
      <c r="J74" t="e">
        <f t="shared" si="18"/>
        <v>#NUM!</v>
      </c>
      <c r="K74">
        <f t="shared" si="19"/>
        <v>-1.179910572976012</v>
      </c>
      <c r="L74">
        <v>1</v>
      </c>
      <c r="M74" t="e">
        <f t="shared" si="20"/>
        <v>#NUM!</v>
      </c>
      <c r="N74">
        <f t="shared" si="24"/>
        <v>0</v>
      </c>
      <c r="O74">
        <f t="shared" si="22"/>
        <v>0</v>
      </c>
      <c r="P74" t="e">
        <f t="shared" si="23"/>
        <v>#NUM!</v>
      </c>
      <c r="V74">
        <v>0.99999999999998002</v>
      </c>
      <c r="W74">
        <f t="shared" si="21"/>
        <v>-0.52786999999999906</v>
      </c>
    </row>
    <row r="75" spans="1:23" x14ac:dyDescent="0.3">
      <c r="C75">
        <f t="shared" si="14"/>
        <v>0</v>
      </c>
      <c r="D75">
        <v>1.9099999999999999E-2</v>
      </c>
      <c r="E75" s="1">
        <v>1.2999999999999999E-2</v>
      </c>
      <c r="F75">
        <f t="shared" si="15"/>
        <v>0</v>
      </c>
      <c r="G75">
        <f t="shared" si="16"/>
        <v>0</v>
      </c>
      <c r="H75">
        <f t="shared" si="17"/>
        <v>0</v>
      </c>
      <c r="I75">
        <v>1</v>
      </c>
      <c r="J75" t="e">
        <f t="shared" si="18"/>
        <v>#NUM!</v>
      </c>
      <c r="K75">
        <f t="shared" si="19"/>
        <v>-1.179910572976012</v>
      </c>
      <c r="L75">
        <v>1</v>
      </c>
      <c r="M75" t="e">
        <f t="shared" si="20"/>
        <v>#NUM!</v>
      </c>
      <c r="N75">
        <f t="shared" si="24"/>
        <v>0</v>
      </c>
      <c r="O75">
        <f t="shared" si="22"/>
        <v>0</v>
      </c>
      <c r="P75" t="e">
        <f t="shared" si="23"/>
        <v>#NUM!</v>
      </c>
      <c r="V75">
        <v>1.0999999999999699</v>
      </c>
      <c r="W75">
        <f t="shared" si="21"/>
        <v>-0.53243399999999863</v>
      </c>
    </row>
    <row r="76" spans="1:23" x14ac:dyDescent="0.3">
      <c r="C76">
        <f t="shared" si="14"/>
        <v>0</v>
      </c>
      <c r="D76">
        <v>1.9099999999999999E-2</v>
      </c>
      <c r="E76" s="1">
        <v>1.2999999999999999E-2</v>
      </c>
      <c r="F76">
        <f t="shared" si="15"/>
        <v>0</v>
      </c>
      <c r="G76">
        <f t="shared" si="16"/>
        <v>0</v>
      </c>
      <c r="H76">
        <f t="shared" si="17"/>
        <v>0</v>
      </c>
      <c r="I76">
        <v>1</v>
      </c>
      <c r="J76" t="e">
        <f t="shared" si="18"/>
        <v>#NUM!</v>
      </c>
      <c r="K76">
        <f t="shared" si="19"/>
        <v>-1.179910572976012</v>
      </c>
      <c r="L76">
        <v>1</v>
      </c>
      <c r="M76" t="e">
        <f t="shared" si="20"/>
        <v>#NUM!</v>
      </c>
      <c r="N76">
        <f t="shared" si="24"/>
        <v>0</v>
      </c>
      <c r="O76">
        <f t="shared" si="22"/>
        <v>0</v>
      </c>
      <c r="P76" t="e">
        <f t="shared" si="23"/>
        <v>#NUM!</v>
      </c>
      <c r="V76">
        <v>1.19999999999997</v>
      </c>
      <c r="W76">
        <f t="shared" si="21"/>
        <v>-0.53699799999999864</v>
      </c>
    </row>
    <row r="77" spans="1:23" x14ac:dyDescent="0.3">
      <c r="C77">
        <f t="shared" si="14"/>
        <v>0</v>
      </c>
      <c r="D77">
        <v>1.9099999999999999E-2</v>
      </c>
      <c r="E77" s="1">
        <v>1.2999999999999999E-2</v>
      </c>
      <c r="F77">
        <f t="shared" si="15"/>
        <v>0</v>
      </c>
      <c r="G77">
        <f t="shared" si="16"/>
        <v>0</v>
      </c>
      <c r="H77">
        <f t="shared" si="17"/>
        <v>0</v>
      </c>
      <c r="I77">
        <v>1</v>
      </c>
      <c r="J77" t="e">
        <f t="shared" si="18"/>
        <v>#NUM!</v>
      </c>
      <c r="K77">
        <f t="shared" si="19"/>
        <v>-1.179910572976012</v>
      </c>
      <c r="L77">
        <v>1</v>
      </c>
      <c r="M77" t="e">
        <f t="shared" si="20"/>
        <v>#NUM!</v>
      </c>
      <c r="N77">
        <f t="shared" si="24"/>
        <v>0</v>
      </c>
      <c r="O77">
        <f t="shared" si="22"/>
        <v>0</v>
      </c>
      <c r="P77" t="e">
        <f t="shared" si="23"/>
        <v>#NUM!</v>
      </c>
      <c r="V77">
        <v>1.2999999999999701</v>
      </c>
      <c r="W77">
        <f t="shared" si="21"/>
        <v>-0.54156199999999866</v>
      </c>
    </row>
    <row r="78" spans="1:23" x14ac:dyDescent="0.3">
      <c r="C78">
        <f t="shared" si="14"/>
        <v>0</v>
      </c>
      <c r="D78">
        <v>1.9099999999999999E-2</v>
      </c>
      <c r="E78" s="1">
        <v>1.2999999999999999E-2</v>
      </c>
      <c r="F78">
        <f t="shared" si="15"/>
        <v>0</v>
      </c>
      <c r="G78">
        <f t="shared" si="16"/>
        <v>0</v>
      </c>
      <c r="H78">
        <f t="shared" si="17"/>
        <v>0</v>
      </c>
      <c r="I78">
        <v>1</v>
      </c>
      <c r="J78" t="e">
        <f t="shared" si="18"/>
        <v>#NUM!</v>
      </c>
      <c r="K78">
        <f t="shared" si="19"/>
        <v>-1.179910572976012</v>
      </c>
      <c r="L78">
        <v>1</v>
      </c>
      <c r="M78" t="e">
        <f t="shared" si="20"/>
        <v>#NUM!</v>
      </c>
      <c r="N78">
        <f t="shared" si="24"/>
        <v>0</v>
      </c>
      <c r="O78">
        <f t="shared" si="22"/>
        <v>0</v>
      </c>
      <c r="P78" t="e">
        <f t="shared" si="23"/>
        <v>#NUM!</v>
      </c>
      <c r="V78">
        <v>1.3999999999999699</v>
      </c>
      <c r="W78">
        <f t="shared" si="21"/>
        <v>-0.54612599999999867</v>
      </c>
    </row>
    <row r="79" spans="1:23" x14ac:dyDescent="0.3">
      <c r="C79">
        <f t="shared" si="14"/>
        <v>0</v>
      </c>
      <c r="D79">
        <v>1.9099999999999999E-2</v>
      </c>
      <c r="E79" s="1">
        <v>1.2999999999999999E-2</v>
      </c>
      <c r="F79">
        <f t="shared" si="15"/>
        <v>0</v>
      </c>
      <c r="G79">
        <f t="shared" si="16"/>
        <v>0</v>
      </c>
      <c r="H79">
        <f t="shared" si="17"/>
        <v>0</v>
      </c>
      <c r="I79">
        <v>1</v>
      </c>
      <c r="J79" t="e">
        <f t="shared" si="18"/>
        <v>#NUM!</v>
      </c>
      <c r="K79">
        <f t="shared" si="19"/>
        <v>-1.179910572976012</v>
      </c>
      <c r="L79">
        <v>1</v>
      </c>
      <c r="M79" t="e">
        <f t="shared" si="20"/>
        <v>#NUM!</v>
      </c>
      <c r="N79">
        <f t="shared" si="24"/>
        <v>0</v>
      </c>
      <c r="O79">
        <f t="shared" si="22"/>
        <v>0</v>
      </c>
      <c r="P79" t="e">
        <f t="shared" si="23"/>
        <v>#NUM!</v>
      </c>
      <c r="V79">
        <v>1.49999999999997</v>
      </c>
      <c r="W79">
        <f t="shared" si="21"/>
        <v>-0.55068999999999857</v>
      </c>
    </row>
    <row r="80" spans="1:23" x14ac:dyDescent="0.3">
      <c r="C80">
        <f t="shared" si="14"/>
        <v>0</v>
      </c>
      <c r="D80">
        <v>1.9099999999999999E-2</v>
      </c>
      <c r="E80" s="1">
        <v>1.2999999999999999E-2</v>
      </c>
      <c r="F80">
        <f t="shared" si="15"/>
        <v>0</v>
      </c>
      <c r="G80">
        <f t="shared" si="16"/>
        <v>0</v>
      </c>
      <c r="H80">
        <f t="shared" si="17"/>
        <v>0</v>
      </c>
      <c r="I80">
        <v>1</v>
      </c>
      <c r="J80" t="e">
        <f t="shared" si="18"/>
        <v>#NUM!</v>
      </c>
      <c r="K80">
        <f t="shared" si="19"/>
        <v>-1.179910572976012</v>
      </c>
      <c r="L80">
        <v>1</v>
      </c>
      <c r="M80" t="e">
        <f t="shared" si="20"/>
        <v>#NUM!</v>
      </c>
      <c r="N80">
        <f t="shared" si="24"/>
        <v>0</v>
      </c>
      <c r="O80">
        <f t="shared" si="22"/>
        <v>0</v>
      </c>
      <c r="P80" t="e">
        <f t="shared" si="23"/>
        <v>#NUM!</v>
      </c>
      <c r="V80">
        <v>1.5999999999999699</v>
      </c>
      <c r="W80">
        <f t="shared" si="21"/>
        <v>-0.55525399999999858</v>
      </c>
    </row>
    <row r="81" spans="3:23" x14ac:dyDescent="0.3">
      <c r="C81">
        <f t="shared" si="14"/>
        <v>0</v>
      </c>
      <c r="D81">
        <v>1.9099999999999999E-2</v>
      </c>
      <c r="E81" s="1">
        <v>1.2999999999999999E-2</v>
      </c>
      <c r="F81">
        <f t="shared" si="15"/>
        <v>0</v>
      </c>
      <c r="G81">
        <f t="shared" si="16"/>
        <v>0</v>
      </c>
      <c r="H81">
        <f t="shared" si="17"/>
        <v>0</v>
      </c>
      <c r="I81">
        <v>1</v>
      </c>
      <c r="J81" t="e">
        <f t="shared" si="18"/>
        <v>#NUM!</v>
      </c>
      <c r="K81">
        <f t="shared" si="19"/>
        <v>-1.179910572976012</v>
      </c>
      <c r="L81">
        <v>1</v>
      </c>
      <c r="M81" t="e">
        <f t="shared" si="20"/>
        <v>#NUM!</v>
      </c>
      <c r="N81">
        <f t="shared" si="24"/>
        <v>0</v>
      </c>
      <c r="O81">
        <f t="shared" si="22"/>
        <v>0</v>
      </c>
      <c r="P81" t="e">
        <f t="shared" si="23"/>
        <v>#NUM!</v>
      </c>
      <c r="V81">
        <v>1.69999999999997</v>
      </c>
      <c r="W81">
        <f t="shared" si="21"/>
        <v>-0.55981799999999859</v>
      </c>
    </row>
    <row r="82" spans="3:23" x14ac:dyDescent="0.3">
      <c r="C82">
        <f t="shared" si="14"/>
        <v>0</v>
      </c>
      <c r="D82">
        <v>1.9099999999999999E-2</v>
      </c>
      <c r="E82" s="1">
        <v>1.2999999999999999E-2</v>
      </c>
      <c r="F82">
        <f t="shared" si="15"/>
        <v>0</v>
      </c>
      <c r="G82">
        <f t="shared" si="16"/>
        <v>0</v>
      </c>
      <c r="H82">
        <f t="shared" si="17"/>
        <v>0</v>
      </c>
      <c r="I82">
        <v>1</v>
      </c>
      <c r="J82" t="e">
        <f t="shared" si="18"/>
        <v>#NUM!</v>
      </c>
      <c r="K82">
        <f t="shared" si="19"/>
        <v>-1.179910572976012</v>
      </c>
      <c r="L82">
        <v>1</v>
      </c>
      <c r="M82" t="e">
        <f t="shared" si="20"/>
        <v>#NUM!</v>
      </c>
      <c r="N82">
        <f t="shared" si="24"/>
        <v>0</v>
      </c>
      <c r="O82">
        <f t="shared" si="22"/>
        <v>0</v>
      </c>
      <c r="P82" t="e">
        <f t="shared" si="23"/>
        <v>#NUM!</v>
      </c>
      <c r="V82">
        <v>1.7999999999999701</v>
      </c>
      <c r="W82">
        <f t="shared" si="21"/>
        <v>-0.56438199999999861</v>
      </c>
    </row>
    <row r="83" spans="3:23" x14ac:dyDescent="0.3">
      <c r="C83">
        <f t="shared" si="14"/>
        <v>0</v>
      </c>
      <c r="D83">
        <v>1.9099999999999999E-2</v>
      </c>
      <c r="E83" s="1">
        <v>1.2999999999999999E-2</v>
      </c>
      <c r="F83">
        <f t="shared" si="15"/>
        <v>0</v>
      </c>
      <c r="G83">
        <f t="shared" si="16"/>
        <v>0</v>
      </c>
      <c r="H83">
        <f t="shared" si="17"/>
        <v>0</v>
      </c>
      <c r="I83">
        <v>1</v>
      </c>
      <c r="J83" t="e">
        <f t="shared" si="18"/>
        <v>#NUM!</v>
      </c>
      <c r="K83">
        <f t="shared" si="19"/>
        <v>-1.179910572976012</v>
      </c>
      <c r="L83">
        <v>1</v>
      </c>
      <c r="M83" t="e">
        <f t="shared" si="20"/>
        <v>#NUM!</v>
      </c>
      <c r="N83">
        <f t="shared" si="24"/>
        <v>0</v>
      </c>
      <c r="O83">
        <f t="shared" si="22"/>
        <v>0</v>
      </c>
      <c r="P83" t="e">
        <f t="shared" si="23"/>
        <v>#NUM!</v>
      </c>
      <c r="V83">
        <v>1.8999999999999699</v>
      </c>
      <c r="W83">
        <f t="shared" si="21"/>
        <v>-0.56894599999999862</v>
      </c>
    </row>
    <row r="84" spans="3:23" x14ac:dyDescent="0.3">
      <c r="C84">
        <f t="shared" si="14"/>
        <v>0</v>
      </c>
      <c r="D84">
        <v>1.9099999999999999E-2</v>
      </c>
      <c r="E84" s="1">
        <v>1.2999999999999999E-2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-1.179910572976012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-0.57350999999999863</v>
      </c>
    </row>
    <row r="85" spans="3:23" x14ac:dyDescent="0.3">
      <c r="C85">
        <f t="shared" si="14"/>
        <v>0</v>
      </c>
      <c r="D85">
        <v>1.9099999999999999E-2</v>
      </c>
      <c r="E85" s="1">
        <v>1.2999999999999999E-2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-1.179910572976012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-0.57807399999999864</v>
      </c>
    </row>
    <row r="86" spans="3:23" x14ac:dyDescent="0.3">
      <c r="C86">
        <f t="shared" si="14"/>
        <v>0</v>
      </c>
      <c r="D86">
        <v>1.9099999999999999E-2</v>
      </c>
      <c r="E86" s="1">
        <v>1.2999999999999999E-2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-1.179910572976012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-0.58263799999999866</v>
      </c>
    </row>
    <row r="87" spans="3:23" x14ac:dyDescent="0.3">
      <c r="C87">
        <f t="shared" si="14"/>
        <v>0</v>
      </c>
      <c r="D87">
        <v>1.9099999999999999E-2</v>
      </c>
      <c r="E87" s="1">
        <v>1.2999999999999999E-2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-1.179910572976012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-0.58720199999999867</v>
      </c>
    </row>
    <row r="88" spans="3:23" x14ac:dyDescent="0.3">
      <c r="C88">
        <f t="shared" si="14"/>
        <v>0</v>
      </c>
      <c r="D88">
        <v>1.9099999999999999E-2</v>
      </c>
      <c r="E88" s="1">
        <v>1.2999999999999999E-2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-1.179910572976012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-0.59176599999999868</v>
      </c>
    </row>
    <row r="89" spans="3:23" x14ac:dyDescent="0.3">
      <c r="C89">
        <f t="shared" si="14"/>
        <v>0</v>
      </c>
      <c r="D89">
        <v>1.9099999999999999E-2</v>
      </c>
      <c r="E89" s="1">
        <v>1.2999999999999999E-2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-1.179910572976012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-0.59632999999999858</v>
      </c>
    </row>
    <row r="90" spans="3:23" x14ac:dyDescent="0.3">
      <c r="C90">
        <f t="shared" si="14"/>
        <v>0</v>
      </c>
      <c r="D90">
        <v>1.9099999999999999E-2</v>
      </c>
      <c r="E90" s="1">
        <v>1.2999999999999999E-2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-1.179910572976012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-0.6008939999999986</v>
      </c>
    </row>
    <row r="91" spans="3:23" x14ac:dyDescent="0.3">
      <c r="C91">
        <f t="shared" si="14"/>
        <v>0</v>
      </c>
      <c r="D91">
        <v>1.9099999999999999E-2</v>
      </c>
      <c r="E91" s="1">
        <v>1.2999999999999999E-2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-1.179910572976012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-0.60545799999999861</v>
      </c>
    </row>
    <row r="92" spans="3:23" x14ac:dyDescent="0.3">
      <c r="C92">
        <f t="shared" si="14"/>
        <v>0</v>
      </c>
      <c r="D92">
        <v>1.9099999999999999E-2</v>
      </c>
      <c r="E92" s="1">
        <v>1.2999999999999999E-2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-1.179910572976012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-0.61002199999999862</v>
      </c>
    </row>
    <row r="93" spans="3:23" x14ac:dyDescent="0.3">
      <c r="C93">
        <f t="shared" si="14"/>
        <v>0</v>
      </c>
      <c r="D93">
        <v>1.9099999999999999E-2</v>
      </c>
      <c r="E93" s="1">
        <v>1.2999999999999999E-2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-1.179910572976012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-0.61458599999999863</v>
      </c>
    </row>
    <row r="94" spans="3:23" x14ac:dyDescent="0.3">
      <c r="C94">
        <f t="shared" si="14"/>
        <v>0</v>
      </c>
      <c r="D94">
        <v>1.9099999999999999E-2</v>
      </c>
      <c r="E94" s="1">
        <v>1.2999999999999999E-2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-1.179910572976012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-0.61914999999999865</v>
      </c>
    </row>
    <row r="95" spans="3:23" x14ac:dyDescent="0.3">
      <c r="C95">
        <f t="shared" si="14"/>
        <v>0</v>
      </c>
      <c r="D95">
        <v>1.9099999999999999E-2</v>
      </c>
      <c r="E95" s="1">
        <v>1.2999999999999999E-2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-1.179910572976012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-0.62371399999999866</v>
      </c>
    </row>
    <row r="96" spans="3:23" x14ac:dyDescent="0.3">
      <c r="C96">
        <f t="shared" si="14"/>
        <v>0</v>
      </c>
      <c r="D96">
        <v>1.9099999999999999E-2</v>
      </c>
      <c r="E96" s="1">
        <v>1.2999999999999999E-2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-1.179910572976012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-0.62827799999999856</v>
      </c>
    </row>
    <row r="97" spans="3:23" x14ac:dyDescent="0.3">
      <c r="C97">
        <f t="shared" si="14"/>
        <v>0</v>
      </c>
      <c r="D97">
        <v>1.9099999999999999E-2</v>
      </c>
      <c r="E97" s="1">
        <v>1.2999999999999999E-2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-1.179910572976012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-0.63284199999999857</v>
      </c>
    </row>
    <row r="98" spans="3:23" x14ac:dyDescent="0.3">
      <c r="C98">
        <f t="shared" si="14"/>
        <v>0</v>
      </c>
      <c r="D98">
        <v>1.9099999999999999E-2</v>
      </c>
      <c r="E98" s="1">
        <v>1.2999999999999999E-2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-1.179910572976012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-0.63740599999999858</v>
      </c>
    </row>
    <row r="99" spans="3:23" x14ac:dyDescent="0.3">
      <c r="C99">
        <f t="shared" si="14"/>
        <v>0</v>
      </c>
      <c r="D99">
        <v>1.9099999999999999E-2</v>
      </c>
      <c r="E99" s="1">
        <v>1.2999999999999999E-2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-1.179910572976012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-0.6419699999999986</v>
      </c>
    </row>
    <row r="100" spans="3:23" x14ac:dyDescent="0.3">
      <c r="C100">
        <f t="shared" si="14"/>
        <v>0</v>
      </c>
      <c r="D100">
        <v>1.9099999999999999E-2</v>
      </c>
      <c r="E100" s="1">
        <v>1.2999999999999999E-2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-1.179910572976012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-0.64653399999999861</v>
      </c>
    </row>
    <row r="101" spans="3:23" x14ac:dyDescent="0.3">
      <c r="C101">
        <f t="shared" si="14"/>
        <v>0</v>
      </c>
      <c r="D101">
        <v>1.9099999999999999E-2</v>
      </c>
      <c r="E101" s="1">
        <v>1.2999999999999999E-2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-1.179910572976012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-0.65109799999999862</v>
      </c>
    </row>
    <row r="102" spans="3:23" x14ac:dyDescent="0.3">
      <c r="C102">
        <f t="shared" si="14"/>
        <v>0</v>
      </c>
      <c r="D102">
        <v>1.9099999999999999E-2</v>
      </c>
      <c r="E102" s="1">
        <v>1.2999999999999999E-2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-1.179910572976012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-0.65566199999999863</v>
      </c>
    </row>
    <row r="103" spans="3:23" x14ac:dyDescent="0.3">
      <c r="C103">
        <f t="shared" si="14"/>
        <v>0</v>
      </c>
      <c r="D103">
        <v>1.9099999999999999E-2</v>
      </c>
      <c r="E103" s="1">
        <v>1.2999999999999999E-2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-1.179910572976012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-0.6602259999999982</v>
      </c>
    </row>
    <row r="104" spans="3:23" x14ac:dyDescent="0.3">
      <c r="C104">
        <f t="shared" si="14"/>
        <v>0</v>
      </c>
      <c r="D104">
        <v>1.9099999999999999E-2</v>
      </c>
      <c r="E104" s="1">
        <v>1.2999999999999999E-2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-1.179910572976012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-0.66478999999999822</v>
      </c>
    </row>
    <row r="105" spans="3:23" x14ac:dyDescent="0.3">
      <c r="C105">
        <f t="shared" si="14"/>
        <v>0</v>
      </c>
      <c r="D105">
        <v>1.9099999999999999E-2</v>
      </c>
      <c r="E105" s="1">
        <v>1.2999999999999999E-2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-1.179910572976012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-0.669354</v>
      </c>
    </row>
    <row r="106" spans="3:23" x14ac:dyDescent="0.3">
      <c r="C106">
        <f t="shared" si="14"/>
        <v>0</v>
      </c>
      <c r="D106">
        <v>1.9099999999999999E-2</v>
      </c>
      <c r="E106" s="1">
        <v>1.2999999999999999E-2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-1.179910572976012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-0.67391800000000002</v>
      </c>
    </row>
    <row r="107" spans="3:23" x14ac:dyDescent="0.3">
      <c r="C107">
        <f t="shared" si="14"/>
        <v>0</v>
      </c>
      <c r="D107">
        <v>1.9099999999999999E-2</v>
      </c>
      <c r="E107" s="1">
        <v>1.2999999999999999E-2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-1.179910572976012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-0.67848200000000003</v>
      </c>
    </row>
    <row r="108" spans="3:23" x14ac:dyDescent="0.3">
      <c r="C108">
        <f t="shared" si="14"/>
        <v>0</v>
      </c>
      <c r="D108">
        <v>1.9099999999999999E-2</v>
      </c>
      <c r="E108" s="1">
        <v>1.2999999999999999E-2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-1.179910572976012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-0.68304600000000004</v>
      </c>
    </row>
    <row r="109" spans="3:23" x14ac:dyDescent="0.3">
      <c r="C109">
        <f t="shared" si="14"/>
        <v>0</v>
      </c>
      <c r="D109">
        <v>1.9099999999999999E-2</v>
      </c>
      <c r="E109" s="1">
        <v>1.2999999999999999E-2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-1.179910572976012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-0.68761000000000005</v>
      </c>
    </row>
    <row r="110" spans="3:23" x14ac:dyDescent="0.3">
      <c r="C110">
        <f t="shared" si="14"/>
        <v>0</v>
      </c>
      <c r="D110">
        <v>1.9099999999999999E-2</v>
      </c>
      <c r="E110" s="1">
        <v>1.2999999999999999E-2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-0.69217399999999996</v>
      </c>
    </row>
    <row r="111" spans="3:23" x14ac:dyDescent="0.3">
      <c r="C111">
        <f t="shared" si="14"/>
        <v>0</v>
      </c>
      <c r="D111">
        <v>1.9099999999999999E-2</v>
      </c>
      <c r="E111" s="1">
        <v>1.2999999999999999E-2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-0.69673799999999997</v>
      </c>
    </row>
    <row r="112" spans="3:23" x14ac:dyDescent="0.3">
      <c r="C112">
        <f t="shared" si="14"/>
        <v>0</v>
      </c>
      <c r="D112">
        <v>1.9099999999999999E-2</v>
      </c>
      <c r="E112" s="1">
        <v>1.2999999999999999E-2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-0.70130199999999998</v>
      </c>
    </row>
    <row r="113" spans="3:23" x14ac:dyDescent="0.3">
      <c r="C113">
        <f t="shared" si="14"/>
        <v>0</v>
      </c>
      <c r="D113">
        <v>1.9099999999999999E-2</v>
      </c>
      <c r="E113" s="1">
        <v>1.2999999999999999E-2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-0.70586599999999999</v>
      </c>
    </row>
    <row r="114" spans="3:23" x14ac:dyDescent="0.3">
      <c r="C114">
        <f t="shared" si="14"/>
        <v>0</v>
      </c>
      <c r="D114">
        <v>1.9099999999999999E-2</v>
      </c>
      <c r="E114" s="1">
        <v>1.2999999999999999E-2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-0.71043000000000001</v>
      </c>
    </row>
    <row r="115" spans="3:23" x14ac:dyDescent="0.3">
      <c r="C115">
        <f t="shared" si="14"/>
        <v>0</v>
      </c>
      <c r="D115">
        <v>1.9099999999999999E-2</v>
      </c>
      <c r="E115" s="1">
        <v>1.2999999999999999E-2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-0.71499399999999991</v>
      </c>
    </row>
    <row r="116" spans="3:23" x14ac:dyDescent="0.3">
      <c r="C116">
        <f t="shared" si="14"/>
        <v>0</v>
      </c>
      <c r="D116">
        <v>1.9099999999999999E-2</v>
      </c>
      <c r="E116" s="1">
        <v>1.2999999999999999E-2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-0.71955800000000003</v>
      </c>
    </row>
    <row r="117" spans="3:23" x14ac:dyDescent="0.3">
      <c r="C117">
        <f t="shared" si="14"/>
        <v>0</v>
      </c>
      <c r="D117">
        <v>1.9099999999999999E-2</v>
      </c>
      <c r="E117" s="1">
        <v>1.2999999999999999E-2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-0.72412199999999993</v>
      </c>
    </row>
    <row r="118" spans="3:23" x14ac:dyDescent="0.3">
      <c r="C118">
        <f t="shared" si="14"/>
        <v>0</v>
      </c>
      <c r="D118">
        <v>1.9099999999999999E-2</v>
      </c>
      <c r="E118" s="1">
        <v>1.2999999999999999E-2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-0.72868599999999994</v>
      </c>
    </row>
    <row r="119" spans="3:23" x14ac:dyDescent="0.3">
      <c r="C119">
        <f t="shared" si="14"/>
        <v>0</v>
      </c>
      <c r="D119">
        <v>1.9099999999999999E-2</v>
      </c>
      <c r="E119" s="1">
        <v>1.2999999999999999E-2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-0.73324999999999996</v>
      </c>
    </row>
    <row r="120" spans="3:23" x14ac:dyDescent="0.3">
      <c r="C120">
        <f t="shared" si="14"/>
        <v>0</v>
      </c>
      <c r="D120">
        <v>1.9099999999999999E-2</v>
      </c>
      <c r="E120" s="1">
        <v>1.2999999999999999E-2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-0.73781399999999997</v>
      </c>
    </row>
    <row r="121" spans="3:23" x14ac:dyDescent="0.3">
      <c r="C121">
        <f t="shared" si="14"/>
        <v>0</v>
      </c>
      <c r="D121">
        <v>1.9099999999999999E-2</v>
      </c>
      <c r="E121" s="1">
        <v>1.2999999999999999E-2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-0.74237799999999998</v>
      </c>
    </row>
    <row r="122" spans="3:23" x14ac:dyDescent="0.3">
      <c r="C122">
        <f t="shared" si="14"/>
        <v>0</v>
      </c>
      <c r="D122">
        <v>1.9099999999999999E-2</v>
      </c>
      <c r="E122" s="1">
        <v>1.2999999999999999E-2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-0.74694199999999999</v>
      </c>
    </row>
    <row r="123" spans="3:23" x14ac:dyDescent="0.3">
      <c r="C123">
        <f t="shared" si="14"/>
        <v>0</v>
      </c>
      <c r="D123">
        <v>1.9099999999999999E-2</v>
      </c>
      <c r="E123" s="1">
        <v>1.2999999999999999E-2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-0.75150600000000001</v>
      </c>
    </row>
    <row r="124" spans="3:23" x14ac:dyDescent="0.3">
      <c r="C124">
        <f t="shared" si="14"/>
        <v>0</v>
      </c>
      <c r="D124">
        <v>1.9099999999999999E-2</v>
      </c>
      <c r="E124" s="1">
        <v>1.2999999999999999E-2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-0.75607000000000002</v>
      </c>
    </row>
    <row r="125" spans="3:23" x14ac:dyDescent="0.3">
      <c r="C125">
        <f t="shared" si="14"/>
        <v>0</v>
      </c>
      <c r="D125">
        <v>1.9099999999999999E-2</v>
      </c>
      <c r="E125" s="1">
        <v>1.2999999999999999E-2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-0.76063400000000003</v>
      </c>
    </row>
    <row r="126" spans="3:23" x14ac:dyDescent="0.3">
      <c r="C126">
        <f t="shared" si="14"/>
        <v>0</v>
      </c>
      <c r="D126">
        <v>1.9099999999999999E-2</v>
      </c>
      <c r="E126" s="1">
        <v>1.2999999999999999E-2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-0.76519800000000004</v>
      </c>
    </row>
    <row r="127" spans="3:23" x14ac:dyDescent="0.3">
      <c r="C127">
        <f t="shared" si="14"/>
        <v>0</v>
      </c>
      <c r="D127">
        <v>1.9099999999999999E-2</v>
      </c>
      <c r="E127" s="1">
        <v>1.2999999999999999E-2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-0.76976200000000006</v>
      </c>
    </row>
    <row r="128" spans="3:23" x14ac:dyDescent="0.3">
      <c r="C128">
        <f t="shared" si="14"/>
        <v>0</v>
      </c>
      <c r="D128">
        <v>1.9099999999999999E-2</v>
      </c>
      <c r="E128" s="1">
        <v>1.2999999999999999E-2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-0.77432600000000007</v>
      </c>
    </row>
    <row r="129" spans="3:23" x14ac:dyDescent="0.3">
      <c r="C129">
        <f t="shared" si="14"/>
        <v>0</v>
      </c>
      <c r="D129">
        <v>1.9099999999999999E-2</v>
      </c>
      <c r="E129" s="1">
        <v>1.2999999999999999E-2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-0.77888999999999997</v>
      </c>
    </row>
    <row r="130" spans="3:23" x14ac:dyDescent="0.3">
      <c r="C130">
        <f t="shared" si="14"/>
        <v>0</v>
      </c>
      <c r="D130">
        <v>1.9099999999999999E-2</v>
      </c>
      <c r="E130" s="1">
        <v>1.2999999999999999E-2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-0.78345399999999998</v>
      </c>
    </row>
    <row r="131" spans="3:23" x14ac:dyDescent="0.3">
      <c r="C131">
        <f t="shared" si="14"/>
        <v>0</v>
      </c>
      <c r="D131">
        <v>1.9099999999999999E-2</v>
      </c>
      <c r="E131" s="1">
        <v>1.2999999999999999E-2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-0.788018</v>
      </c>
    </row>
    <row r="132" spans="3:23" x14ac:dyDescent="0.3">
      <c r="C132">
        <f t="shared" si="14"/>
        <v>0</v>
      </c>
      <c r="D132">
        <v>1.9099999999999999E-2</v>
      </c>
      <c r="E132" s="1">
        <v>1.2999999999999999E-2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-0.79258200000000001</v>
      </c>
    </row>
    <row r="133" spans="3:23" x14ac:dyDescent="0.3">
      <c r="C133">
        <f t="shared" ref="C133:C196" si="25">A133*B133</f>
        <v>0</v>
      </c>
      <c r="D133">
        <v>1.9099999999999999E-2</v>
      </c>
      <c r="E133" s="1">
        <v>1.2999999999999999E-2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-0.79714600000000002</v>
      </c>
    </row>
    <row r="134" spans="3:23" x14ac:dyDescent="0.3">
      <c r="C134">
        <f t="shared" si="25"/>
        <v>0</v>
      </c>
      <c r="D134">
        <v>1.9099999999999999E-2</v>
      </c>
      <c r="E134" s="1">
        <v>1.2999999999999999E-2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-0.80170999999999992</v>
      </c>
    </row>
    <row r="135" spans="3:23" x14ac:dyDescent="0.3">
      <c r="C135">
        <f t="shared" si="25"/>
        <v>0</v>
      </c>
      <c r="D135">
        <v>1.9099999999999999E-2</v>
      </c>
      <c r="E135" s="1">
        <v>1.2999999999999999E-2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-0.80627399999999994</v>
      </c>
    </row>
    <row r="136" spans="3:23" x14ac:dyDescent="0.3">
      <c r="C136">
        <f t="shared" si="25"/>
        <v>0</v>
      </c>
      <c r="D136">
        <v>1.9099999999999999E-2</v>
      </c>
      <c r="E136" s="1">
        <v>1.2999999999999999E-2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-0.81083799999999995</v>
      </c>
    </row>
    <row r="137" spans="3:23" x14ac:dyDescent="0.3">
      <c r="C137">
        <f t="shared" si="25"/>
        <v>0</v>
      </c>
      <c r="D137">
        <v>1.9099999999999999E-2</v>
      </c>
      <c r="E137" s="1">
        <v>1.2999999999999999E-2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-0.81540199999999996</v>
      </c>
    </row>
    <row r="138" spans="3:23" x14ac:dyDescent="0.3">
      <c r="C138">
        <f t="shared" si="25"/>
        <v>0</v>
      </c>
      <c r="D138">
        <v>1.9099999999999999E-2</v>
      </c>
      <c r="E138" s="1">
        <v>1.2999999999999999E-2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-0.81996599999999997</v>
      </c>
    </row>
    <row r="139" spans="3:23" x14ac:dyDescent="0.3">
      <c r="C139">
        <f t="shared" si="25"/>
        <v>0</v>
      </c>
      <c r="D139">
        <v>1.9099999999999999E-2</v>
      </c>
      <c r="E139" s="1">
        <v>1.2999999999999999E-2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-0.82452999999999999</v>
      </c>
    </row>
    <row r="140" spans="3:23" x14ac:dyDescent="0.3">
      <c r="C140">
        <f t="shared" si="25"/>
        <v>0</v>
      </c>
      <c r="D140">
        <v>1.9099999999999999E-2</v>
      </c>
      <c r="E140" s="1">
        <v>1.2999999999999999E-2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1.9099999999999999E-2</v>
      </c>
      <c r="E141" s="1">
        <v>1.2999999999999999E-2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1.9099999999999999E-2</v>
      </c>
      <c r="E142" s="1">
        <v>1.2999999999999999E-2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1.9099999999999999E-2</v>
      </c>
      <c r="E143" s="1">
        <v>1.2999999999999999E-2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1.9099999999999999E-2</v>
      </c>
      <c r="E144" s="1">
        <v>1.2999999999999999E-2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1.9099999999999999E-2</v>
      </c>
      <c r="E145" s="1">
        <v>1.2999999999999999E-2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 x14ac:dyDescent="0.3">
      <c r="C146">
        <f t="shared" si="25"/>
        <v>0</v>
      </c>
      <c r="D146">
        <v>1.9099999999999999E-2</v>
      </c>
      <c r="E146" s="1">
        <v>1.2999999999999999E-2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 x14ac:dyDescent="0.3">
      <c r="C147">
        <f t="shared" si="25"/>
        <v>0</v>
      </c>
      <c r="D147">
        <v>1.9099999999999999E-2</v>
      </c>
      <c r="E147" s="1">
        <v>1.2999999999999999E-2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 x14ac:dyDescent="0.3">
      <c r="C148">
        <f t="shared" si="25"/>
        <v>0</v>
      </c>
      <c r="D148">
        <v>1.9099999999999999E-2</v>
      </c>
      <c r="E148" s="1">
        <v>1.2999999999999999E-2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 x14ac:dyDescent="0.3">
      <c r="C149">
        <f t="shared" si="25"/>
        <v>0</v>
      </c>
      <c r="D149">
        <v>1.9099999999999999E-2</v>
      </c>
      <c r="E149" s="1">
        <v>1.2999999999999999E-2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 x14ac:dyDescent="0.3">
      <c r="C150">
        <f t="shared" si="25"/>
        <v>0</v>
      </c>
      <c r="D150">
        <v>1.9099999999999999E-2</v>
      </c>
      <c r="E150" s="1">
        <v>1.2999999999999999E-2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 x14ac:dyDescent="0.3">
      <c r="C151">
        <f t="shared" si="25"/>
        <v>0</v>
      </c>
      <c r="D151">
        <v>1.9099999999999999E-2</v>
      </c>
      <c r="E151" s="1">
        <v>1.2999999999999999E-2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 x14ac:dyDescent="0.3">
      <c r="C152">
        <f t="shared" si="25"/>
        <v>0</v>
      </c>
      <c r="D152">
        <v>1.9099999999999999E-2</v>
      </c>
      <c r="E152" s="1">
        <v>1.2999999999999999E-2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 x14ac:dyDescent="0.3">
      <c r="C153">
        <f t="shared" si="25"/>
        <v>0</v>
      </c>
      <c r="D153">
        <v>1.9099999999999999E-2</v>
      </c>
      <c r="E153" s="1">
        <v>1.2999999999999999E-2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 x14ac:dyDescent="0.3">
      <c r="C154">
        <f t="shared" si="25"/>
        <v>0</v>
      </c>
      <c r="D154">
        <v>1.9099999999999999E-2</v>
      </c>
      <c r="E154" s="1">
        <v>1.2999999999999999E-2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 x14ac:dyDescent="0.3">
      <c r="C155">
        <f t="shared" si="25"/>
        <v>0</v>
      </c>
      <c r="D155">
        <v>1.9099999999999999E-2</v>
      </c>
      <c r="E155" s="1">
        <v>1.2999999999999999E-2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 x14ac:dyDescent="0.3">
      <c r="C156">
        <f t="shared" si="25"/>
        <v>0</v>
      </c>
      <c r="D156">
        <v>1.9099999999999999E-2</v>
      </c>
      <c r="E156" s="1">
        <v>1.2999999999999999E-2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 x14ac:dyDescent="0.3">
      <c r="C157">
        <f t="shared" si="25"/>
        <v>0</v>
      </c>
      <c r="D157">
        <v>1.9099999999999999E-2</v>
      </c>
      <c r="E157" s="1">
        <v>1.2999999999999999E-2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 x14ac:dyDescent="0.3">
      <c r="C158">
        <f t="shared" si="25"/>
        <v>0</v>
      </c>
      <c r="D158">
        <v>1.9099999999999999E-2</v>
      </c>
      <c r="E158" s="1">
        <v>1.2999999999999999E-2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 x14ac:dyDescent="0.3">
      <c r="C159">
        <f t="shared" si="25"/>
        <v>0</v>
      </c>
      <c r="D159">
        <v>1.9099999999999999E-2</v>
      </c>
      <c r="E159" s="1">
        <v>1.2999999999999999E-2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 x14ac:dyDescent="0.3">
      <c r="C160">
        <f t="shared" si="25"/>
        <v>0</v>
      </c>
      <c r="D160">
        <v>1.9099999999999999E-2</v>
      </c>
      <c r="E160" s="1">
        <v>1.2999999999999999E-2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 x14ac:dyDescent="0.3">
      <c r="C161">
        <f t="shared" si="25"/>
        <v>0</v>
      </c>
      <c r="D161">
        <v>1.9099999999999999E-2</v>
      </c>
      <c r="E161" s="1">
        <v>1.2999999999999999E-2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 x14ac:dyDescent="0.3">
      <c r="C162">
        <f t="shared" si="25"/>
        <v>0</v>
      </c>
      <c r="D162">
        <v>1.9099999999999999E-2</v>
      </c>
      <c r="E162" s="1">
        <v>1.2999999999999999E-2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 x14ac:dyDescent="0.3">
      <c r="C163">
        <f t="shared" si="25"/>
        <v>0</v>
      </c>
      <c r="D163">
        <v>1.9099999999999999E-2</v>
      </c>
      <c r="E163" s="1">
        <v>1.2999999999999999E-2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 x14ac:dyDescent="0.3">
      <c r="C164">
        <f t="shared" si="25"/>
        <v>0</v>
      </c>
      <c r="D164">
        <v>1.9099999999999999E-2</v>
      </c>
      <c r="E164" s="1">
        <v>1.2999999999999999E-2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 x14ac:dyDescent="0.3">
      <c r="C165">
        <f t="shared" si="25"/>
        <v>0</v>
      </c>
      <c r="D165">
        <v>1.9099999999999999E-2</v>
      </c>
      <c r="E165" s="1">
        <v>1.2999999999999999E-2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 x14ac:dyDescent="0.3">
      <c r="C166">
        <f t="shared" si="25"/>
        <v>0</v>
      </c>
      <c r="D166">
        <v>1.9099999999999999E-2</v>
      </c>
      <c r="E166" s="1">
        <v>1.2999999999999999E-2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 x14ac:dyDescent="0.3">
      <c r="C167">
        <f t="shared" si="25"/>
        <v>0</v>
      </c>
      <c r="D167">
        <v>1.9099999999999999E-2</v>
      </c>
      <c r="E167" s="1">
        <v>1.2999999999999999E-2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 x14ac:dyDescent="0.3">
      <c r="C168">
        <f t="shared" si="25"/>
        <v>0</v>
      </c>
      <c r="D168">
        <v>1.9099999999999999E-2</v>
      </c>
      <c r="E168" s="1">
        <v>1.2999999999999999E-2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 x14ac:dyDescent="0.3">
      <c r="C169">
        <f t="shared" si="25"/>
        <v>0</v>
      </c>
      <c r="D169">
        <v>1.9099999999999999E-2</v>
      </c>
      <c r="E169" s="1">
        <v>1.2999999999999999E-2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 x14ac:dyDescent="0.3">
      <c r="C170">
        <f t="shared" si="25"/>
        <v>0</v>
      </c>
      <c r="D170">
        <v>1.9099999999999999E-2</v>
      </c>
      <c r="E170" s="1">
        <v>1.2999999999999999E-2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 x14ac:dyDescent="0.3">
      <c r="C171">
        <f t="shared" si="25"/>
        <v>0</v>
      </c>
      <c r="D171">
        <v>1.9099999999999999E-2</v>
      </c>
      <c r="E171" s="1">
        <v>1.2999999999999999E-2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 x14ac:dyDescent="0.3">
      <c r="C172">
        <f t="shared" si="25"/>
        <v>0</v>
      </c>
      <c r="D172">
        <v>1.9099999999999999E-2</v>
      </c>
      <c r="E172" s="1">
        <v>1.2999999999999999E-2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 x14ac:dyDescent="0.3">
      <c r="C173">
        <f t="shared" si="25"/>
        <v>0</v>
      </c>
      <c r="D173">
        <v>1.9099999999999999E-2</v>
      </c>
      <c r="E173" s="1">
        <v>1.2999999999999999E-2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 x14ac:dyDescent="0.3">
      <c r="C174">
        <f t="shared" si="25"/>
        <v>0</v>
      </c>
      <c r="D174">
        <v>1.9099999999999999E-2</v>
      </c>
      <c r="E174" s="1">
        <v>1.2999999999999999E-2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 x14ac:dyDescent="0.3">
      <c r="C175">
        <f t="shared" si="25"/>
        <v>0</v>
      </c>
      <c r="D175">
        <v>1.9099999999999999E-2</v>
      </c>
      <c r="E175" s="1">
        <v>1.2999999999999999E-2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 x14ac:dyDescent="0.3">
      <c r="C176">
        <f t="shared" si="25"/>
        <v>0</v>
      </c>
      <c r="D176">
        <v>1.9099999999999999E-2</v>
      </c>
      <c r="E176" s="1">
        <v>1.2999999999999999E-2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 x14ac:dyDescent="0.3">
      <c r="C177">
        <f t="shared" si="25"/>
        <v>0</v>
      </c>
      <c r="D177">
        <v>1.9099999999999999E-2</v>
      </c>
      <c r="E177" s="1">
        <v>1.2999999999999999E-2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 x14ac:dyDescent="0.3">
      <c r="C178">
        <f t="shared" si="25"/>
        <v>0</v>
      </c>
      <c r="D178">
        <v>1.9099999999999999E-2</v>
      </c>
      <c r="E178" s="1">
        <v>1.2999999999999999E-2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 x14ac:dyDescent="0.3">
      <c r="C179">
        <f t="shared" si="25"/>
        <v>0</v>
      </c>
      <c r="D179">
        <v>1.9099999999999999E-2</v>
      </c>
      <c r="E179" s="1">
        <v>1.2999999999999999E-2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 x14ac:dyDescent="0.3">
      <c r="C180">
        <f t="shared" si="25"/>
        <v>0</v>
      </c>
      <c r="D180">
        <v>1.9099999999999999E-2</v>
      </c>
      <c r="E180" s="1">
        <v>1.2999999999999999E-2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 x14ac:dyDescent="0.3">
      <c r="C181">
        <f t="shared" si="25"/>
        <v>0</v>
      </c>
      <c r="D181">
        <v>1.9099999999999999E-2</v>
      </c>
      <c r="E181" s="1">
        <v>1.2999999999999999E-2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 x14ac:dyDescent="0.3">
      <c r="C182">
        <f t="shared" si="25"/>
        <v>0</v>
      </c>
      <c r="D182">
        <v>1.9099999999999999E-2</v>
      </c>
      <c r="E182" s="1">
        <v>1.2999999999999999E-2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 x14ac:dyDescent="0.3">
      <c r="C183">
        <f t="shared" si="25"/>
        <v>0</v>
      </c>
      <c r="D183">
        <v>1.9099999999999999E-2</v>
      </c>
      <c r="E183" s="1">
        <v>1.2999999999999999E-2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 x14ac:dyDescent="0.3">
      <c r="C184">
        <f t="shared" si="25"/>
        <v>0</v>
      </c>
      <c r="D184">
        <v>1.9099999999999999E-2</v>
      </c>
      <c r="E184" s="1">
        <v>1.2999999999999999E-2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 x14ac:dyDescent="0.3">
      <c r="C185">
        <f t="shared" si="25"/>
        <v>0</v>
      </c>
      <c r="D185">
        <v>1.9099999999999999E-2</v>
      </c>
      <c r="E185" s="1">
        <v>1.2999999999999999E-2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 x14ac:dyDescent="0.3">
      <c r="C186">
        <f t="shared" si="25"/>
        <v>0</v>
      </c>
      <c r="D186">
        <v>1.9099999999999999E-2</v>
      </c>
      <c r="E186" s="1">
        <v>1.2999999999999999E-2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 x14ac:dyDescent="0.3">
      <c r="C187">
        <f t="shared" si="25"/>
        <v>0</v>
      </c>
      <c r="D187">
        <v>1.9099999999999999E-2</v>
      </c>
      <c r="E187" s="1">
        <v>1.2999999999999999E-2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 x14ac:dyDescent="0.3">
      <c r="C188">
        <f t="shared" si="25"/>
        <v>0</v>
      </c>
      <c r="D188">
        <v>1.9099999999999999E-2</v>
      </c>
      <c r="E188" s="1">
        <v>1.2999999999999999E-2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-1.179910572976012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 x14ac:dyDescent="0.3">
      <c r="C189">
        <f t="shared" si="25"/>
        <v>0</v>
      </c>
      <c r="D189">
        <v>1.9099999999999999E-2</v>
      </c>
      <c r="E189" s="1">
        <v>1.2999999999999999E-2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-1.179910572976012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 x14ac:dyDescent="0.3">
      <c r="C190">
        <f t="shared" si="25"/>
        <v>0</v>
      </c>
      <c r="D190">
        <v>1.9099999999999999E-2</v>
      </c>
      <c r="E190" s="1">
        <v>1.2999999999999999E-2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-1.179910572976012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 x14ac:dyDescent="0.3">
      <c r="C191">
        <f t="shared" si="25"/>
        <v>0</v>
      </c>
      <c r="D191">
        <v>1.9099999999999999E-2</v>
      </c>
      <c r="E191" s="1">
        <v>1.2999999999999999E-2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-1.179910572976012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 x14ac:dyDescent="0.3">
      <c r="C192">
        <f t="shared" si="25"/>
        <v>0</v>
      </c>
      <c r="D192">
        <v>1.9099999999999999E-2</v>
      </c>
      <c r="E192" s="1">
        <v>1.2999999999999999E-2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-1.179910572976012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 x14ac:dyDescent="0.3">
      <c r="C193">
        <f t="shared" si="25"/>
        <v>0</v>
      </c>
      <c r="D193">
        <v>1.9099999999999999E-2</v>
      </c>
      <c r="E193" s="1">
        <v>1.2999999999999999E-2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-1.179910572976012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 x14ac:dyDescent="0.3">
      <c r="C194">
        <f t="shared" si="25"/>
        <v>0</v>
      </c>
      <c r="D194">
        <v>1.9099999999999999E-2</v>
      </c>
      <c r="E194" s="1">
        <v>1.2999999999999999E-2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-1.179910572976012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 x14ac:dyDescent="0.3">
      <c r="C195">
        <f t="shared" si="25"/>
        <v>0</v>
      </c>
      <c r="D195">
        <v>1.9099999999999999E-2</v>
      </c>
      <c r="E195" s="1">
        <v>1.2999999999999999E-2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-1.179910572976012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 x14ac:dyDescent="0.3">
      <c r="C196">
        <f t="shared" si="25"/>
        <v>0</v>
      </c>
      <c r="D196">
        <v>1.9099999999999999E-2</v>
      </c>
      <c r="E196" s="1">
        <v>1.2999999999999999E-2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-1.179910572976012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 x14ac:dyDescent="0.3">
      <c r="C197">
        <f t="shared" ref="C197:C211" si="47">A197*B197</f>
        <v>0</v>
      </c>
      <c r="D197">
        <v>1.9099999999999999E-2</v>
      </c>
      <c r="E197" s="1">
        <v>1.2999999999999999E-2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-1.179910572976012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 x14ac:dyDescent="0.3">
      <c r="C198">
        <f t="shared" si="47"/>
        <v>0</v>
      </c>
      <c r="D198">
        <v>1.9099999999999999E-2</v>
      </c>
      <c r="E198" s="1">
        <v>1.2999999999999999E-2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-1.179910572976012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 x14ac:dyDescent="0.3">
      <c r="C199">
        <f t="shared" si="47"/>
        <v>0</v>
      </c>
      <c r="D199">
        <v>1.9099999999999999E-2</v>
      </c>
      <c r="E199" s="1">
        <v>1.2999999999999999E-2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-1.179910572976012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 x14ac:dyDescent="0.3">
      <c r="C200">
        <f t="shared" si="47"/>
        <v>0</v>
      </c>
      <c r="D200">
        <v>1.9099999999999999E-2</v>
      </c>
      <c r="E200" s="1">
        <v>1.2999999999999999E-2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-1.179910572976012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 x14ac:dyDescent="0.3">
      <c r="C201">
        <f t="shared" si="47"/>
        <v>0</v>
      </c>
      <c r="D201">
        <v>1.9099999999999999E-2</v>
      </c>
      <c r="E201" s="1">
        <v>1.2999999999999999E-2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-1.179910572976012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 x14ac:dyDescent="0.3">
      <c r="C202">
        <f t="shared" si="47"/>
        <v>0</v>
      </c>
      <c r="D202">
        <v>1.9099999999999999E-2</v>
      </c>
      <c r="E202" s="1">
        <v>1.2999999999999999E-2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-1.179910572976012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 x14ac:dyDescent="0.3">
      <c r="C203">
        <f t="shared" si="47"/>
        <v>0</v>
      </c>
      <c r="D203">
        <v>1.9099999999999999E-2</v>
      </c>
      <c r="E203" s="1">
        <v>1.2999999999999999E-2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-1.179910572976012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 x14ac:dyDescent="0.3">
      <c r="C204">
        <f t="shared" si="47"/>
        <v>0</v>
      </c>
      <c r="D204">
        <v>1.9099999999999999E-2</v>
      </c>
      <c r="E204" s="1">
        <v>1.2999999999999999E-2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-1.179910572976012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 x14ac:dyDescent="0.3">
      <c r="C205">
        <f t="shared" si="47"/>
        <v>0</v>
      </c>
      <c r="D205">
        <v>1.9099999999999999E-2</v>
      </c>
      <c r="E205" s="1">
        <v>1.2999999999999999E-2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-1.179910572976012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 x14ac:dyDescent="0.3">
      <c r="C206">
        <f t="shared" si="47"/>
        <v>0</v>
      </c>
      <c r="D206">
        <v>1.9099999999999999E-2</v>
      </c>
      <c r="E206" s="1">
        <v>1.2999999999999999E-2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-1.179910572976012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 x14ac:dyDescent="0.3">
      <c r="C207">
        <f t="shared" si="47"/>
        <v>0</v>
      </c>
      <c r="D207">
        <v>1.9099999999999999E-2</v>
      </c>
      <c r="E207" s="1">
        <v>1.2999999999999999E-2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-1.179910572976012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 x14ac:dyDescent="0.3">
      <c r="C208">
        <f t="shared" si="47"/>
        <v>0</v>
      </c>
      <c r="D208">
        <v>1.9099999999999999E-2</v>
      </c>
      <c r="E208" s="1">
        <v>1.2999999999999999E-2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-1.179910572976012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 x14ac:dyDescent="0.3">
      <c r="C209">
        <f t="shared" si="47"/>
        <v>0</v>
      </c>
      <c r="D209">
        <v>1.9099999999999999E-2</v>
      </c>
      <c r="E209" s="1">
        <v>1.2999999999999999E-2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-1.179910572976012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 x14ac:dyDescent="0.3">
      <c r="C210">
        <f t="shared" si="47"/>
        <v>0</v>
      </c>
      <c r="D210">
        <v>1.9099999999999999E-2</v>
      </c>
      <c r="E210" s="1">
        <v>1.2999999999999999E-2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-1.179910572976012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 x14ac:dyDescent="0.3">
      <c r="C211">
        <f t="shared" si="47"/>
        <v>0</v>
      </c>
      <c r="D211">
        <v>1.9099999999999999E-2</v>
      </c>
      <c r="E211" s="1">
        <v>1.2999999999999999E-2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-1.179910572976012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 x14ac:dyDescent="0.3">
      <c r="C212">
        <f t="shared" ref="C212:C275" si="51">A212*B212</f>
        <v>0</v>
      </c>
      <c r="D212">
        <v>1.9099999999999999E-2</v>
      </c>
      <c r="E212" s="1">
        <v>1.2999999999999999E-2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-1.179910572976012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 x14ac:dyDescent="0.3">
      <c r="C213">
        <f t="shared" si="51"/>
        <v>0</v>
      </c>
      <c r="D213">
        <v>1.9099999999999999E-2</v>
      </c>
      <c r="E213" s="1">
        <v>1.2999999999999999E-2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-1.179910572976012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 x14ac:dyDescent="0.3">
      <c r="C214">
        <f t="shared" si="51"/>
        <v>0</v>
      </c>
      <c r="D214">
        <v>1.9099999999999999E-2</v>
      </c>
      <c r="E214" s="1">
        <v>1.2999999999999999E-2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-1.179910572976012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 x14ac:dyDescent="0.3">
      <c r="C215">
        <f t="shared" si="51"/>
        <v>0</v>
      </c>
      <c r="D215">
        <v>1.9099999999999999E-2</v>
      </c>
      <c r="E215" s="1">
        <v>1.2999999999999999E-2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-1.179910572976012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 x14ac:dyDescent="0.3">
      <c r="C216">
        <f t="shared" si="51"/>
        <v>0</v>
      </c>
      <c r="D216">
        <v>1.9099999999999999E-2</v>
      </c>
      <c r="E216" s="1">
        <v>1.2999999999999999E-2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-1.179910572976012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 x14ac:dyDescent="0.3">
      <c r="C217">
        <f t="shared" si="51"/>
        <v>0</v>
      </c>
      <c r="D217">
        <v>1.9099999999999999E-2</v>
      </c>
      <c r="E217" s="1">
        <v>1.2999999999999999E-2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-1.179910572976012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 x14ac:dyDescent="0.3">
      <c r="C218">
        <f t="shared" si="51"/>
        <v>0</v>
      </c>
      <c r="D218">
        <v>1.9099999999999999E-2</v>
      </c>
      <c r="E218" s="1">
        <v>1.2999999999999999E-2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-1.179910572976012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 x14ac:dyDescent="0.3">
      <c r="C219">
        <f t="shared" si="51"/>
        <v>0</v>
      </c>
      <c r="D219">
        <v>1.9099999999999999E-2</v>
      </c>
      <c r="E219" s="1">
        <v>1.2999999999999999E-2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-1.179910572976012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 x14ac:dyDescent="0.3">
      <c r="C220">
        <f t="shared" si="51"/>
        <v>0</v>
      </c>
      <c r="D220">
        <v>1.9099999999999999E-2</v>
      </c>
      <c r="E220" s="1">
        <v>1.2999999999999999E-2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-1.179910572976012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 x14ac:dyDescent="0.3">
      <c r="C221">
        <f t="shared" si="51"/>
        <v>0</v>
      </c>
      <c r="D221">
        <v>1.9099999999999999E-2</v>
      </c>
      <c r="E221" s="1">
        <v>1.2999999999999999E-2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-1.179910572976012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 x14ac:dyDescent="0.3">
      <c r="C222">
        <f t="shared" si="51"/>
        <v>0</v>
      </c>
      <c r="D222">
        <v>1.9099999999999999E-2</v>
      </c>
      <c r="E222" s="1">
        <v>1.2999999999999999E-2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-1.179910572976012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 x14ac:dyDescent="0.3">
      <c r="C223">
        <f t="shared" si="51"/>
        <v>0</v>
      </c>
      <c r="D223">
        <v>1.9099999999999999E-2</v>
      </c>
      <c r="E223" s="1">
        <v>1.2999999999999999E-2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-1.179910572976012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 x14ac:dyDescent="0.3">
      <c r="C224">
        <f t="shared" si="51"/>
        <v>0</v>
      </c>
      <c r="D224">
        <v>1.9099999999999999E-2</v>
      </c>
      <c r="E224" s="1">
        <v>1.2999999999999999E-2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-1.179910572976012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 x14ac:dyDescent="0.3">
      <c r="C225">
        <f t="shared" si="51"/>
        <v>0</v>
      </c>
      <c r="D225">
        <v>1.9099999999999999E-2</v>
      </c>
      <c r="E225" s="1">
        <v>1.2999999999999999E-2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-1.179910572976012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 x14ac:dyDescent="0.3">
      <c r="C226">
        <f t="shared" si="51"/>
        <v>0</v>
      </c>
      <c r="D226">
        <v>1.9099999999999999E-2</v>
      </c>
      <c r="E226" s="1">
        <v>1.2999999999999999E-2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-1.179910572976012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 x14ac:dyDescent="0.3">
      <c r="C227">
        <f t="shared" si="51"/>
        <v>0</v>
      </c>
      <c r="D227">
        <v>1.9099999999999999E-2</v>
      </c>
      <c r="E227" s="1">
        <v>1.2999999999999999E-2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-1.179910572976012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 x14ac:dyDescent="0.3">
      <c r="C228">
        <f t="shared" si="51"/>
        <v>0</v>
      </c>
      <c r="D228">
        <v>1.9099999999999999E-2</v>
      </c>
      <c r="E228" s="1">
        <v>1.2999999999999999E-2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-1.179910572976012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 x14ac:dyDescent="0.3">
      <c r="C229">
        <f t="shared" si="51"/>
        <v>0</v>
      </c>
      <c r="D229">
        <v>1.9099999999999999E-2</v>
      </c>
      <c r="E229" s="1">
        <v>1.2999999999999999E-2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-1.179910572976012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 x14ac:dyDescent="0.3">
      <c r="C230">
        <f t="shared" si="51"/>
        <v>0</v>
      </c>
      <c r="D230">
        <v>1.9099999999999999E-2</v>
      </c>
      <c r="E230" s="1">
        <v>1.2999999999999999E-2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-1.179910572976012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 x14ac:dyDescent="0.3">
      <c r="C231">
        <f t="shared" si="51"/>
        <v>0</v>
      </c>
      <c r="D231">
        <v>1.9099999999999999E-2</v>
      </c>
      <c r="E231" s="1">
        <v>1.2999999999999999E-2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-1.179910572976012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 x14ac:dyDescent="0.3">
      <c r="C232">
        <f t="shared" si="51"/>
        <v>0</v>
      </c>
      <c r="D232">
        <v>1.9099999999999999E-2</v>
      </c>
      <c r="E232" s="1">
        <v>1.2999999999999999E-2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-1.179910572976012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 x14ac:dyDescent="0.3">
      <c r="C233">
        <f t="shared" si="51"/>
        <v>0</v>
      </c>
      <c r="D233">
        <v>1.9099999999999999E-2</v>
      </c>
      <c r="E233" s="1">
        <v>1.2999999999999999E-2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-1.179910572976012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 x14ac:dyDescent="0.3">
      <c r="C234">
        <f t="shared" si="51"/>
        <v>0</v>
      </c>
      <c r="D234">
        <v>1.9099999999999999E-2</v>
      </c>
      <c r="E234" s="1">
        <v>1.2999999999999999E-2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-1.179910572976012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 x14ac:dyDescent="0.3">
      <c r="C235">
        <f t="shared" si="51"/>
        <v>0</v>
      </c>
      <c r="D235">
        <v>1.9099999999999999E-2</v>
      </c>
      <c r="E235" s="1">
        <v>1.2999999999999999E-2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-1.179910572976012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 x14ac:dyDescent="0.3">
      <c r="C236">
        <f t="shared" si="51"/>
        <v>0</v>
      </c>
      <c r="D236">
        <v>1.9099999999999999E-2</v>
      </c>
      <c r="E236" s="1">
        <v>1.2999999999999999E-2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-1.179910572976012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 x14ac:dyDescent="0.3">
      <c r="C237">
        <f t="shared" si="51"/>
        <v>0</v>
      </c>
      <c r="D237">
        <v>1.9099999999999999E-2</v>
      </c>
      <c r="E237" s="1">
        <v>1.2999999999999999E-2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-1.179910572976012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 x14ac:dyDescent="0.3">
      <c r="C238">
        <f t="shared" si="51"/>
        <v>0</v>
      </c>
      <c r="D238">
        <v>1.9099999999999999E-2</v>
      </c>
      <c r="E238" s="1">
        <v>1.2999999999999999E-2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-1.179910572976012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 x14ac:dyDescent="0.3">
      <c r="C239">
        <f t="shared" si="51"/>
        <v>0</v>
      </c>
      <c r="D239">
        <v>1.9099999999999999E-2</v>
      </c>
      <c r="E239" s="1">
        <v>1.2999999999999999E-2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-1.179910572976012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 x14ac:dyDescent="0.3">
      <c r="C240">
        <f t="shared" si="51"/>
        <v>0</v>
      </c>
      <c r="D240">
        <v>1.9099999999999999E-2</v>
      </c>
      <c r="E240" s="1">
        <v>1.2999999999999999E-2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-1.179910572976012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1.9099999999999999E-2</v>
      </c>
      <c r="E241" s="1">
        <v>1.2999999999999999E-2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-1.179910572976012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1.9099999999999999E-2</v>
      </c>
      <c r="E242" s="1">
        <v>1.2999999999999999E-2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-1.179910572976012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1.9099999999999999E-2</v>
      </c>
      <c r="E243" s="1">
        <v>1.2999999999999999E-2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-1.179910572976012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1.9099999999999999E-2</v>
      </c>
      <c r="E244" s="1">
        <v>1.2999999999999999E-2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-1.179910572976012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1.9099999999999999E-2</v>
      </c>
      <c r="E245" s="1">
        <v>1.2999999999999999E-2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-1.179910572976012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1.9099999999999999E-2</v>
      </c>
      <c r="E246" s="1">
        <v>1.2999999999999999E-2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-1.179910572976012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1.9099999999999999E-2</v>
      </c>
      <c r="E247" s="1">
        <v>1.2999999999999999E-2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-1.179910572976012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1.9099999999999999E-2</v>
      </c>
      <c r="E248" s="1">
        <v>1.2999999999999999E-2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-1.179910572976012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1.9099999999999999E-2</v>
      </c>
      <c r="E249" s="1">
        <v>1.2999999999999999E-2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-1.179910572976012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1.9099999999999999E-2</v>
      </c>
      <c r="E250" s="1">
        <v>1.2999999999999999E-2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-1.179910572976012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1.9099999999999999E-2</v>
      </c>
      <c r="E251" s="1">
        <v>1.2999999999999999E-2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-1.179910572976012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1.9099999999999999E-2</v>
      </c>
      <c r="E252" s="1">
        <v>1.2999999999999999E-2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-1.179910572976012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1.9099999999999999E-2</v>
      </c>
      <c r="E253" s="1">
        <v>1.2999999999999999E-2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-1.179910572976012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1.9099999999999999E-2</v>
      </c>
      <c r="E254" s="1">
        <v>1.2999999999999999E-2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-1.179910572976012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1.9099999999999999E-2</v>
      </c>
      <c r="E255" s="1">
        <v>1.2999999999999999E-2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-1.179910572976012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1.9099999999999999E-2</v>
      </c>
      <c r="E256" s="1">
        <v>1.2999999999999999E-2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-1.179910572976012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1.9099999999999999E-2</v>
      </c>
      <c r="E257" s="1">
        <v>1.2999999999999999E-2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-1.179910572976012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1.9099999999999999E-2</v>
      </c>
      <c r="E258" s="1">
        <v>1.2999999999999999E-2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-1.179910572976012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1.9099999999999999E-2</v>
      </c>
      <c r="E259" s="1">
        <v>1.2999999999999999E-2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-1.179910572976012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1.9099999999999999E-2</v>
      </c>
      <c r="E260" s="1">
        <v>1.2999999999999999E-2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-1.179910572976012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1.9099999999999999E-2</v>
      </c>
      <c r="E261" s="1">
        <v>1.2999999999999999E-2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-1.179910572976012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1.9099999999999999E-2</v>
      </c>
      <c r="E262" s="1">
        <v>1.2999999999999999E-2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-1.179910572976012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1.9099999999999999E-2</v>
      </c>
      <c r="E263" s="1">
        <v>1.2999999999999999E-2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-1.179910572976012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1.9099999999999999E-2</v>
      </c>
      <c r="E264" s="1">
        <v>1.2999999999999999E-2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-1.179910572976012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1.9099999999999999E-2</v>
      </c>
      <c r="E265" s="1">
        <v>1.2999999999999999E-2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-1.179910572976012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1.9099999999999999E-2</v>
      </c>
      <c r="E266" s="1">
        <v>1.2999999999999999E-2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-1.179910572976012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1.9099999999999999E-2</v>
      </c>
      <c r="E267" s="1">
        <v>1.2999999999999999E-2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-1.179910572976012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1.9099999999999999E-2</v>
      </c>
      <c r="E268" s="1">
        <v>1.2999999999999999E-2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-1.179910572976012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1.9099999999999999E-2</v>
      </c>
      <c r="E269" s="1">
        <v>1.2999999999999999E-2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-1.179910572976012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1.9099999999999999E-2</v>
      </c>
      <c r="E270" s="1">
        <v>1.2999999999999999E-2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-1.179910572976012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1.9099999999999999E-2</v>
      </c>
      <c r="E271" s="1">
        <v>1.2999999999999999E-2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-1.179910572976012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1.9099999999999999E-2</v>
      </c>
      <c r="E272" s="1">
        <v>1.2999999999999999E-2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-1.179910572976012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1.9099999999999999E-2</v>
      </c>
      <c r="E273" s="1">
        <v>1.2999999999999999E-2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-1.179910572976012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1.9099999999999999E-2</v>
      </c>
      <c r="E274" s="1">
        <v>1.2999999999999999E-2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-1.179910572976012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1.9099999999999999E-2</v>
      </c>
      <c r="E275" s="1">
        <v>1.2999999999999999E-2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-1.179910572976012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1.9099999999999999E-2</v>
      </c>
      <c r="E276" s="1">
        <v>1.2999999999999999E-2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-1.179910572976012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1.9099999999999999E-2</v>
      </c>
      <c r="E277" s="1">
        <v>1.2999999999999999E-2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-1.179910572976012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1.9099999999999999E-2</v>
      </c>
      <c r="E278" s="1">
        <v>1.2999999999999999E-2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-1.179910572976012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1.9099999999999999E-2</v>
      </c>
      <c r="E279" s="1">
        <v>1.2999999999999999E-2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-1.179910572976012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1.9099999999999999E-2</v>
      </c>
      <c r="E280" s="1">
        <v>1.2999999999999999E-2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-1.179910572976012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1.9099999999999999E-2</v>
      </c>
      <c r="E281" s="1">
        <v>1.2999999999999999E-2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-1.179910572976012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1.9099999999999999E-2</v>
      </c>
      <c r="E282" s="1">
        <v>1.2999999999999999E-2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-1.179910572976012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1.9099999999999999E-2</v>
      </c>
      <c r="E283" s="1">
        <v>1.2999999999999999E-2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-1.179910572976012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1.9099999999999999E-2</v>
      </c>
      <c r="E284" s="1">
        <v>1.2999999999999999E-2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-1.179910572976012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1.9099999999999999E-2</v>
      </c>
      <c r="E285" s="1">
        <v>1.2999999999999999E-2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-1.179910572976012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1.9099999999999999E-2</v>
      </c>
      <c r="E286" s="1">
        <v>1.2999999999999999E-2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-1.179910572976012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1.9099999999999999E-2</v>
      </c>
      <c r="E287" s="1">
        <v>1.2999999999999999E-2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-1.179910572976012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1.9099999999999999E-2</v>
      </c>
      <c r="E288" s="1">
        <v>1.2999999999999999E-2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-1.179910572976012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1.9099999999999999E-2</v>
      </c>
      <c r="E289" s="1">
        <v>1.2999999999999999E-2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-1.179910572976012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1.9099999999999999E-2</v>
      </c>
      <c r="E290" s="1">
        <v>1.2999999999999999E-2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-1.179910572976012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1.9099999999999999E-2</v>
      </c>
      <c r="E291" s="1">
        <v>1.2999999999999999E-2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-1.179910572976012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1.9099999999999999E-2</v>
      </c>
      <c r="E292" s="1">
        <v>1.2999999999999999E-2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-1.179910572976012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1.9099999999999999E-2</v>
      </c>
      <c r="E293" s="1">
        <v>1.2999999999999999E-2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-1.179910572976012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1.9099999999999999E-2</v>
      </c>
      <c r="E294" s="1">
        <v>1.2999999999999999E-2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-1.179910572976012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1.9099999999999999E-2</v>
      </c>
      <c r="E295" s="1">
        <v>1.2999999999999999E-2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-1.179910572976012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1.9099999999999999E-2</v>
      </c>
      <c r="E296" s="1">
        <v>1.2999999999999999E-2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-1.179910572976012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1.9099999999999999E-2</v>
      </c>
      <c r="E297" s="1">
        <v>1.2999999999999999E-2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-1.179910572976012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1.9099999999999999E-2</v>
      </c>
      <c r="E298" s="1">
        <v>1.2999999999999999E-2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-1.179910572976012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1.9099999999999999E-2</v>
      </c>
      <c r="E299" s="1">
        <v>1.2999999999999999E-2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-1.179910572976012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1.9099999999999999E-2</v>
      </c>
      <c r="E300" s="1">
        <v>1.2999999999999999E-2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-1.179910572976012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1.9099999999999999E-2</v>
      </c>
      <c r="E301" s="1">
        <v>1.2999999999999999E-2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-1.179910572976012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1.9099999999999999E-2</v>
      </c>
      <c r="E302" s="1">
        <v>1.2999999999999999E-2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-1.179910572976012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1.9099999999999999E-2</v>
      </c>
      <c r="E303" s="1">
        <v>1.2999999999999999E-2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-1.179910572976012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-0.50248032168887946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-0.50210941456063485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-0.50396947921745872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-0.50203230655460451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-0.50640734815434019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-0.50804671216367581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-0.51205973602570998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-0.51244931741132249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-0.5091586144346486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-0.5117823378683517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-0.51321719919641706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-0.51757198319091302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-0.51759515330781436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-0.51921337115733723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-0.51886376724322536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-0.52063481099422659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-0.51857533221711605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-0.5235943097433039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-0.52522364658059562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-0.52147346837889041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-0.52926385020682598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-0.52576852522577733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-0.52817293787868713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-0.52922176709853497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-0.53010000377172628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-0.53182555027850353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-0.53024474498929475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-0.5346441220892707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-0.53134502799658867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-0.53723053214137639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-0.53406292997818083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-0.53856844003232218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-0.53727791731480146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-0.53942153359400136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-0.53836898454435556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-0.54227679826231701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-0.54155216273166629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-0.54387965298279017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-0.54493852546979882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-0.54740831652041166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-0.54643149112050626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-0.546410741722543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-0.54977761355036892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-0.54730853837292293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-0.54811383455516793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-0.5564104941175172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-0.54942332974268893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-0.54959864582647777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-0.55304122647738851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-0.55220645998475348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-0.55690438823047672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-0.55439231119843224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-0.55473059510194167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-0.55988963998736829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-0.5547697109193841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-0.56047096653087836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-0.55681200967123001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-0.55822325332190481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-0.56457201859416462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-0.56033793175615765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-0.55779725236802191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-0.56470703057890037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-0.5586435056559631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-0.56502985727076627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-0.56690695434432126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-0.56414683321261805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-0.57076494562730584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-0.5675414789996186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-0.56973985840966201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-0.56867395754146977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-0.57142759712176416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-0.56965264655001857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-0.57239621367158389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-0.56976920496859051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-0.57393423416985967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-0.56783052872603035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-0.57772383977915742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-0.57593243574010233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-0.57576620597385264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-0.57846903967811558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-0.5685219289391229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-0.58038117018218727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-0.57645106110354161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-0.58035765980522724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-0.58104078488910593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-0.58043960964754626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-0.57711655827089037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-0.58163554453660937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-0.58139504048745727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-0.58199554384605989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-0.58670284545489049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-0.58408073316915721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-0.58737214665104831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-0.58295318004234531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-0.59098450762112831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-0.5846556829143652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-0.59058966837452742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-0.5873978074785362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-0.59211052766366701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-0.58566725199927783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-0.59321316723911854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-0.58981610628192516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-0.59313547702628766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-0.59284738218309385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-0.59063454252154024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-0.59177062711684802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-0.5989440985726604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-0.59367577938291827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-0.59615275359769559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-0.59618324768002717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-0.59314928930791122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-0.59834350716449713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-0.5999984916643688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-0.59670876868118738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-0.59480336731310579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-0.59543019529198493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-0.59566458515364318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-0.60122443613844001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-0.60469597230874395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-0.60829459105043504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-0.59983176375870795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-0.60343127611352898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-0.60372321337868673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-0.6059701288511643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-0.60458992291571589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-0.61047180304222193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-0.60003083149968484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-0.61009481698282464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-0.61092232841967442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-0.61048678814177604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-0.61777550389211278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-0.6199774649825136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-0.6203014151481876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-0.62258708845319244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-0.62336735335211846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-0.62538156965928171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-0.62490031107508048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-0.6270768080721687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-0.62674174645309544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-0.62866392101820201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-0.62924335561027034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-0.63137175281759006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-0.63108843792082758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-0.63320692326315142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-0.63360501011626813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-0.63570217175536259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-0.6353287023076305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-0.63821354379572359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-0.63807195185377097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-0.64021893557002041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-0.64085577070533128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-0.64278835452501859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-0.64254917419667934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-0.64221116659568644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-0.64516712658013786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-0.64459055307971336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-0.64683452659525364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-0.6469348542211244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2026-04-20T04:23:24Z</dcterms:modified>
</cp:coreProperties>
</file>