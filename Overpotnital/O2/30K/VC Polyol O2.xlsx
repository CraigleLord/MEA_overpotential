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O2\"/>
    </mc:Choice>
  </mc:AlternateContent>
  <xr:revisionPtr revIDLastSave="0" documentId="13_ncr:1_{261E34B6-B693-4A8F-BC37-B21CBB8A6B5F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C213" i="1"/>
  <c r="H213" i="1" s="1"/>
  <c r="J213" i="1"/>
  <c r="M213" i="1" s="1"/>
  <c r="G213" i="1"/>
  <c r="C214" i="1"/>
  <c r="H214" i="1" s="1"/>
  <c r="J214" i="1"/>
  <c r="M214" i="1" s="1"/>
  <c r="G214" i="1"/>
  <c r="C215" i="1"/>
  <c r="H215" i="1" s="1"/>
  <c r="J215" i="1"/>
  <c r="M215" i="1" s="1"/>
  <c r="G215" i="1"/>
  <c r="C216" i="1"/>
  <c r="H216" i="1" s="1"/>
  <c r="J216" i="1"/>
  <c r="M216" i="1" s="1"/>
  <c r="G216" i="1"/>
  <c r="C217" i="1"/>
  <c r="H217" i="1" s="1"/>
  <c r="J217" i="1"/>
  <c r="M217" i="1" s="1"/>
  <c r="G217" i="1"/>
  <c r="C218" i="1"/>
  <c r="H218" i="1" s="1"/>
  <c r="J218" i="1"/>
  <c r="M218" i="1" s="1"/>
  <c r="G218" i="1"/>
  <c r="C219" i="1"/>
  <c r="H219" i="1" s="1"/>
  <c r="J219" i="1"/>
  <c r="M219" i="1" s="1"/>
  <c r="G219" i="1"/>
  <c r="C220" i="1"/>
  <c r="H220" i="1" s="1"/>
  <c r="J220" i="1"/>
  <c r="M220" i="1" s="1"/>
  <c r="G220" i="1"/>
  <c r="C221" i="1"/>
  <c r="H221" i="1" s="1"/>
  <c r="J221" i="1"/>
  <c r="M221" i="1" s="1"/>
  <c r="G221" i="1"/>
  <c r="C222" i="1"/>
  <c r="H222" i="1" s="1"/>
  <c r="J222" i="1"/>
  <c r="M222" i="1" s="1"/>
  <c r="G222" i="1"/>
  <c r="C223" i="1"/>
  <c r="H223" i="1" s="1"/>
  <c r="J223" i="1"/>
  <c r="M223" i="1" s="1"/>
  <c r="G223" i="1"/>
  <c r="C224" i="1"/>
  <c r="H224" i="1" s="1"/>
  <c r="J224" i="1"/>
  <c r="M224" i="1" s="1"/>
  <c r="G224" i="1"/>
  <c r="C225" i="1"/>
  <c r="H225" i="1" s="1"/>
  <c r="J225" i="1"/>
  <c r="M225" i="1" s="1"/>
  <c r="G225" i="1"/>
  <c r="C226" i="1"/>
  <c r="H226" i="1" s="1"/>
  <c r="J226" i="1"/>
  <c r="M226" i="1" s="1"/>
  <c r="G226" i="1"/>
  <c r="C227" i="1"/>
  <c r="H227" i="1" s="1"/>
  <c r="J227" i="1"/>
  <c r="M227" i="1" s="1"/>
  <c r="G227" i="1"/>
  <c r="C228" i="1"/>
  <c r="H228" i="1" s="1"/>
  <c r="J228" i="1"/>
  <c r="M228" i="1" s="1"/>
  <c r="G228" i="1"/>
  <c r="C229" i="1"/>
  <c r="H229" i="1" s="1"/>
  <c r="J229" i="1"/>
  <c r="M229" i="1" s="1"/>
  <c r="G229" i="1"/>
  <c r="C230" i="1"/>
  <c r="H230" i="1" s="1"/>
  <c r="J230" i="1"/>
  <c r="M230" i="1" s="1"/>
  <c r="G230" i="1"/>
  <c r="C231" i="1"/>
  <c r="H231" i="1" s="1"/>
  <c r="J231" i="1"/>
  <c r="M231" i="1" s="1"/>
  <c r="G231" i="1"/>
  <c r="C232" i="1"/>
  <c r="H232" i="1" s="1"/>
  <c r="J232" i="1"/>
  <c r="M232" i="1" s="1"/>
  <c r="G232" i="1"/>
  <c r="C233" i="1"/>
  <c r="H233" i="1" s="1"/>
  <c r="J233" i="1"/>
  <c r="M233" i="1" s="1"/>
  <c r="G233" i="1"/>
  <c r="C234" i="1"/>
  <c r="H234" i="1" s="1"/>
  <c r="J234" i="1"/>
  <c r="M234" i="1" s="1"/>
  <c r="G234" i="1"/>
  <c r="C235" i="1"/>
  <c r="H235" i="1" s="1"/>
  <c r="G235" i="1"/>
  <c r="C236" i="1"/>
  <c r="H236" i="1" s="1"/>
  <c r="G236" i="1"/>
  <c r="C237" i="1"/>
  <c r="H237" i="1" s="1"/>
  <c r="G237" i="1"/>
  <c r="C238" i="1"/>
  <c r="H238" i="1" s="1"/>
  <c r="G238" i="1"/>
  <c r="C239" i="1"/>
  <c r="H239" i="1" s="1"/>
  <c r="G239" i="1"/>
  <c r="C240" i="1"/>
  <c r="H240" i="1" s="1"/>
  <c r="G240" i="1"/>
  <c r="C241" i="1"/>
  <c r="H241" i="1" s="1"/>
  <c r="G241" i="1"/>
  <c r="C242" i="1"/>
  <c r="H242" i="1" s="1"/>
  <c r="G242" i="1"/>
  <c r="C243" i="1"/>
  <c r="H243" i="1" s="1"/>
  <c r="G243" i="1"/>
  <c r="C244" i="1"/>
  <c r="H244" i="1" s="1"/>
  <c r="G244" i="1"/>
  <c r="C245" i="1"/>
  <c r="H245" i="1" s="1"/>
  <c r="G245" i="1"/>
  <c r="C246" i="1"/>
  <c r="H246" i="1" s="1"/>
  <c r="G246" i="1"/>
  <c r="C247" i="1"/>
  <c r="H247" i="1" s="1"/>
  <c r="G247" i="1"/>
  <c r="C248" i="1"/>
  <c r="H248" i="1" s="1"/>
  <c r="G248" i="1"/>
  <c r="C249" i="1"/>
  <c r="H249" i="1" s="1"/>
  <c r="G249" i="1"/>
  <c r="C250" i="1"/>
  <c r="H250" i="1" s="1"/>
  <c r="G250" i="1"/>
  <c r="C251" i="1"/>
  <c r="H251" i="1" s="1"/>
  <c r="G251" i="1"/>
  <c r="C252" i="1"/>
  <c r="H252" i="1" s="1"/>
  <c r="G252" i="1"/>
  <c r="C253" i="1"/>
  <c r="H253" i="1" s="1"/>
  <c r="G253" i="1"/>
  <c r="C254" i="1"/>
  <c r="H254" i="1" s="1"/>
  <c r="G254" i="1"/>
  <c r="C255" i="1"/>
  <c r="H255" i="1" s="1"/>
  <c r="G255" i="1"/>
  <c r="C256" i="1"/>
  <c r="H256" i="1" s="1"/>
  <c r="G256" i="1"/>
  <c r="C257" i="1"/>
  <c r="H257" i="1" s="1"/>
  <c r="G257" i="1"/>
  <c r="C258" i="1"/>
  <c r="H258" i="1" s="1"/>
  <c r="G258" i="1"/>
  <c r="C259" i="1"/>
  <c r="H259" i="1" s="1"/>
  <c r="G259" i="1"/>
  <c r="C260" i="1"/>
  <c r="H260" i="1" s="1"/>
  <c r="G260" i="1"/>
  <c r="C261" i="1"/>
  <c r="H261" i="1" s="1"/>
  <c r="G261" i="1"/>
  <c r="C262" i="1"/>
  <c r="H262" i="1" s="1"/>
  <c r="G262" i="1"/>
  <c r="C263" i="1"/>
  <c r="H263" i="1" s="1"/>
  <c r="G263" i="1"/>
  <c r="C264" i="1"/>
  <c r="H264" i="1" s="1"/>
  <c r="G264" i="1"/>
  <c r="C265" i="1"/>
  <c r="H265" i="1" s="1"/>
  <c r="G265" i="1"/>
  <c r="C266" i="1"/>
  <c r="H266" i="1" s="1"/>
  <c r="G266" i="1"/>
  <c r="C267" i="1"/>
  <c r="H267" i="1" s="1"/>
  <c r="G267" i="1"/>
  <c r="C268" i="1"/>
  <c r="H268" i="1" s="1"/>
  <c r="G268" i="1"/>
  <c r="C269" i="1"/>
  <c r="H269" i="1" s="1"/>
  <c r="G269" i="1"/>
  <c r="C270" i="1"/>
  <c r="H270" i="1" s="1"/>
  <c r="G270" i="1"/>
  <c r="C271" i="1"/>
  <c r="H271" i="1" s="1"/>
  <c r="G271" i="1"/>
  <c r="C272" i="1"/>
  <c r="H272" i="1" s="1"/>
  <c r="G272" i="1"/>
  <c r="C273" i="1"/>
  <c r="H273" i="1" s="1"/>
  <c r="G273" i="1"/>
  <c r="C274" i="1"/>
  <c r="H274" i="1" s="1"/>
  <c r="G274" i="1"/>
  <c r="C275" i="1"/>
  <c r="H275" i="1" s="1"/>
  <c r="G275" i="1"/>
  <c r="C276" i="1"/>
  <c r="H276" i="1" s="1"/>
  <c r="G276" i="1"/>
  <c r="C277" i="1"/>
  <c r="H277" i="1" s="1"/>
  <c r="G277" i="1"/>
  <c r="C278" i="1"/>
  <c r="H278" i="1" s="1"/>
  <c r="G278" i="1"/>
  <c r="C279" i="1"/>
  <c r="H279" i="1" s="1"/>
  <c r="G279" i="1"/>
  <c r="C280" i="1"/>
  <c r="H280" i="1" s="1"/>
  <c r="G280" i="1"/>
  <c r="C281" i="1"/>
  <c r="H281" i="1" s="1"/>
  <c r="G281" i="1"/>
  <c r="C282" i="1"/>
  <c r="H282" i="1" s="1"/>
  <c r="G282" i="1"/>
  <c r="C283" i="1"/>
  <c r="H283" i="1" s="1"/>
  <c r="G283" i="1"/>
  <c r="C284" i="1"/>
  <c r="H284" i="1" s="1"/>
  <c r="G284" i="1"/>
  <c r="C285" i="1"/>
  <c r="H285" i="1" s="1"/>
  <c r="G285" i="1"/>
  <c r="C286" i="1"/>
  <c r="H286" i="1" s="1"/>
  <c r="G286" i="1"/>
  <c r="C287" i="1"/>
  <c r="H287" i="1" s="1"/>
  <c r="G287" i="1"/>
  <c r="C288" i="1"/>
  <c r="H288" i="1" s="1"/>
  <c r="G288" i="1"/>
  <c r="C289" i="1"/>
  <c r="H289" i="1" s="1"/>
  <c r="G289" i="1"/>
  <c r="C290" i="1"/>
  <c r="H290" i="1" s="1"/>
  <c r="G290" i="1"/>
  <c r="C291" i="1"/>
  <c r="H291" i="1" s="1"/>
  <c r="G291" i="1"/>
  <c r="C292" i="1"/>
  <c r="H292" i="1" s="1"/>
  <c r="G292" i="1"/>
  <c r="C293" i="1"/>
  <c r="H293" i="1" s="1"/>
  <c r="G293" i="1"/>
  <c r="C294" i="1"/>
  <c r="H294" i="1" s="1"/>
  <c r="G294" i="1"/>
  <c r="C295" i="1"/>
  <c r="H295" i="1" s="1"/>
  <c r="G295" i="1"/>
  <c r="C296" i="1"/>
  <c r="H296" i="1" s="1"/>
  <c r="G296" i="1"/>
  <c r="C297" i="1"/>
  <c r="H297" i="1" s="1"/>
  <c r="G297" i="1"/>
  <c r="C298" i="1"/>
  <c r="H298" i="1" s="1"/>
  <c r="G298" i="1"/>
  <c r="C299" i="1"/>
  <c r="H299" i="1" s="1"/>
  <c r="G299" i="1"/>
  <c r="C300" i="1"/>
  <c r="H300" i="1" s="1"/>
  <c r="G300" i="1"/>
  <c r="C301" i="1"/>
  <c r="H301" i="1" s="1"/>
  <c r="G301" i="1"/>
  <c r="C302" i="1"/>
  <c r="H302" i="1" s="1"/>
  <c r="G302" i="1"/>
  <c r="C303" i="1"/>
  <c r="H303" i="1" s="1"/>
  <c r="G303" i="1"/>
  <c r="R225" i="1" l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J189" i="1"/>
  <c r="M189" i="1" s="1"/>
  <c r="G189" i="1"/>
  <c r="J190" i="1"/>
  <c r="M190" i="1" s="1"/>
  <c r="G190" i="1"/>
  <c r="J191" i="1"/>
  <c r="M191" i="1" s="1"/>
  <c r="G191" i="1"/>
  <c r="J192" i="1"/>
  <c r="M192" i="1" s="1"/>
  <c r="G192" i="1"/>
  <c r="J193" i="1"/>
  <c r="M193" i="1" s="1"/>
  <c r="G193" i="1"/>
  <c r="J194" i="1"/>
  <c r="M194" i="1" s="1"/>
  <c r="G194" i="1"/>
  <c r="J195" i="1"/>
  <c r="M195" i="1" s="1"/>
  <c r="G195" i="1"/>
  <c r="J196" i="1"/>
  <c r="M196" i="1" s="1"/>
  <c r="G196" i="1"/>
  <c r="J197" i="1"/>
  <c r="M197" i="1" s="1"/>
  <c r="G197" i="1"/>
  <c r="J198" i="1"/>
  <c r="M198" i="1" s="1"/>
  <c r="G198" i="1"/>
  <c r="J199" i="1"/>
  <c r="M199" i="1" s="1"/>
  <c r="G199" i="1"/>
  <c r="J200" i="1"/>
  <c r="M200" i="1" s="1"/>
  <c r="G200" i="1"/>
  <c r="J201" i="1"/>
  <c r="M201" i="1" s="1"/>
  <c r="G201" i="1"/>
  <c r="J202" i="1"/>
  <c r="M202" i="1" s="1"/>
  <c r="G202" i="1"/>
  <c r="J203" i="1"/>
  <c r="M203" i="1" s="1"/>
  <c r="G203" i="1"/>
  <c r="J204" i="1"/>
  <c r="M204" i="1" s="1"/>
  <c r="G204" i="1"/>
  <c r="J205" i="1"/>
  <c r="M205" i="1" s="1"/>
  <c r="G205" i="1"/>
  <c r="J206" i="1"/>
  <c r="M206" i="1" s="1"/>
  <c r="G206" i="1"/>
  <c r="J207" i="1"/>
  <c r="M207" i="1" s="1"/>
  <c r="G207" i="1"/>
  <c r="J208" i="1"/>
  <c r="M208" i="1" s="1"/>
  <c r="G208" i="1"/>
  <c r="J209" i="1"/>
  <c r="M209" i="1" s="1"/>
  <c r="G209" i="1"/>
  <c r="J210" i="1"/>
  <c r="M210" i="1" s="1"/>
  <c r="G210" i="1"/>
  <c r="J211" i="1"/>
  <c r="M211" i="1" s="1"/>
  <c r="G211" i="1"/>
  <c r="J5" i="1"/>
  <c r="M5" i="1" s="1"/>
  <c r="G5" i="1"/>
  <c r="J6" i="1"/>
  <c r="M6" i="1" s="1"/>
  <c r="G6" i="1"/>
  <c r="J7" i="1"/>
  <c r="M7" i="1" s="1"/>
  <c r="G7" i="1"/>
  <c r="J8" i="1"/>
  <c r="M8" i="1" s="1"/>
  <c r="G8" i="1"/>
  <c r="J9" i="1"/>
  <c r="M9" i="1" s="1"/>
  <c r="G9" i="1"/>
  <c r="J10" i="1"/>
  <c r="M10" i="1" s="1"/>
  <c r="G10" i="1"/>
  <c r="J11" i="1"/>
  <c r="M11" i="1" s="1"/>
  <c r="G11" i="1"/>
  <c r="J12" i="1"/>
  <c r="M12" i="1" s="1"/>
  <c r="G12" i="1"/>
  <c r="J13" i="1"/>
  <c r="M13" i="1" s="1"/>
  <c r="G13" i="1"/>
  <c r="J14" i="1"/>
  <c r="M14" i="1" s="1"/>
  <c r="G14" i="1"/>
  <c r="J15" i="1"/>
  <c r="M15" i="1" s="1"/>
  <c r="G15" i="1"/>
  <c r="J16" i="1"/>
  <c r="M16" i="1" s="1"/>
  <c r="G16" i="1"/>
  <c r="J17" i="1"/>
  <c r="M17" i="1" s="1"/>
  <c r="G17" i="1"/>
  <c r="J18" i="1"/>
  <c r="M18" i="1" s="1"/>
  <c r="G18" i="1"/>
  <c r="J19" i="1"/>
  <c r="M19" i="1" s="1"/>
  <c r="G19" i="1"/>
  <c r="J20" i="1"/>
  <c r="M20" i="1" s="1"/>
  <c r="G20" i="1"/>
  <c r="J21" i="1"/>
  <c r="M21" i="1" s="1"/>
  <c r="G21" i="1"/>
  <c r="J22" i="1"/>
  <c r="M22" i="1" s="1"/>
  <c r="G22" i="1"/>
  <c r="J23" i="1"/>
  <c r="M23" i="1" s="1"/>
  <c r="G23" i="1"/>
  <c r="J24" i="1"/>
  <c r="M24" i="1" s="1"/>
  <c r="G24" i="1"/>
  <c r="J25" i="1"/>
  <c r="M25" i="1" s="1"/>
  <c r="G25" i="1"/>
  <c r="J26" i="1"/>
  <c r="M26" i="1" s="1"/>
  <c r="G26" i="1"/>
  <c r="J27" i="1"/>
  <c r="M27" i="1" s="1"/>
  <c r="G27" i="1"/>
  <c r="J28" i="1"/>
  <c r="M28" i="1" s="1"/>
  <c r="G28" i="1"/>
  <c r="J29" i="1"/>
  <c r="M29" i="1" s="1"/>
  <c r="G29" i="1"/>
  <c r="J30" i="1"/>
  <c r="M30" i="1" s="1"/>
  <c r="G30" i="1"/>
  <c r="J31" i="1"/>
  <c r="M31" i="1" s="1"/>
  <c r="G31" i="1"/>
  <c r="J32" i="1"/>
  <c r="M32" i="1" s="1"/>
  <c r="G32" i="1"/>
  <c r="J33" i="1"/>
  <c r="M33" i="1" s="1"/>
  <c r="G33" i="1"/>
  <c r="J34" i="1"/>
  <c r="M34" i="1" s="1"/>
  <c r="G34" i="1"/>
  <c r="J35" i="1"/>
  <c r="M35" i="1" s="1"/>
  <c r="G35" i="1"/>
  <c r="J36" i="1"/>
  <c r="M36" i="1" s="1"/>
  <c r="G36" i="1"/>
  <c r="J37" i="1"/>
  <c r="M37" i="1" s="1"/>
  <c r="G37" i="1"/>
  <c r="J38" i="1"/>
  <c r="M38" i="1" s="1"/>
  <c r="G38" i="1"/>
  <c r="J39" i="1"/>
  <c r="M39" i="1" s="1"/>
  <c r="G39" i="1"/>
  <c r="J40" i="1"/>
  <c r="M40" i="1" s="1"/>
  <c r="G40" i="1"/>
  <c r="J41" i="1"/>
  <c r="M41" i="1" s="1"/>
  <c r="G41" i="1"/>
  <c r="J42" i="1"/>
  <c r="M42" i="1" s="1"/>
  <c r="G42" i="1"/>
  <c r="J43" i="1"/>
  <c r="M43" i="1" s="1"/>
  <c r="G43" i="1"/>
  <c r="J44" i="1"/>
  <c r="M44" i="1" s="1"/>
  <c r="G44" i="1"/>
  <c r="J45" i="1"/>
  <c r="M45" i="1" s="1"/>
  <c r="G45" i="1"/>
  <c r="J46" i="1"/>
  <c r="M46" i="1" s="1"/>
  <c r="G46" i="1"/>
  <c r="J47" i="1"/>
  <c r="M47" i="1" s="1"/>
  <c r="G47" i="1"/>
  <c r="J48" i="1"/>
  <c r="M48" i="1" s="1"/>
  <c r="G48" i="1"/>
  <c r="J49" i="1"/>
  <c r="M49" i="1" s="1"/>
  <c r="G49" i="1"/>
  <c r="J50" i="1"/>
  <c r="M50" i="1" s="1"/>
  <c r="G50" i="1"/>
  <c r="J51" i="1"/>
  <c r="M51" i="1" s="1"/>
  <c r="G51" i="1"/>
  <c r="J52" i="1"/>
  <c r="M52" i="1" s="1"/>
  <c r="G52" i="1"/>
  <c r="J53" i="1"/>
  <c r="M53" i="1" s="1"/>
  <c r="G53" i="1"/>
  <c r="J54" i="1"/>
  <c r="M54" i="1" s="1"/>
  <c r="G54" i="1"/>
  <c r="J55" i="1"/>
  <c r="M55" i="1" s="1"/>
  <c r="G55" i="1"/>
  <c r="J56" i="1"/>
  <c r="M56" i="1" s="1"/>
  <c r="G56" i="1"/>
  <c r="J57" i="1"/>
  <c r="M57" i="1" s="1"/>
  <c r="G57" i="1"/>
  <c r="J58" i="1"/>
  <c r="M58" i="1" s="1"/>
  <c r="G58" i="1"/>
  <c r="J59" i="1"/>
  <c r="M59" i="1" s="1"/>
  <c r="G59" i="1"/>
  <c r="J60" i="1"/>
  <c r="M60" i="1" s="1"/>
  <c r="G60" i="1"/>
  <c r="J61" i="1"/>
  <c r="M61" i="1" s="1"/>
  <c r="G61" i="1"/>
  <c r="J62" i="1"/>
  <c r="M62" i="1" s="1"/>
  <c r="G62" i="1"/>
  <c r="J63" i="1"/>
  <c r="M63" i="1" s="1"/>
  <c r="G63" i="1"/>
  <c r="J64" i="1"/>
  <c r="M64" i="1" s="1"/>
  <c r="G64" i="1"/>
  <c r="J65" i="1"/>
  <c r="M65" i="1" s="1"/>
  <c r="G65" i="1"/>
  <c r="J66" i="1"/>
  <c r="M66" i="1" s="1"/>
  <c r="G66" i="1"/>
  <c r="J67" i="1"/>
  <c r="M67" i="1" s="1"/>
  <c r="G67" i="1"/>
  <c r="J68" i="1"/>
  <c r="M68" i="1" s="1"/>
  <c r="G68" i="1"/>
  <c r="J69" i="1"/>
  <c r="M69" i="1" s="1"/>
  <c r="G69" i="1"/>
  <c r="J70" i="1"/>
  <c r="M70" i="1" s="1"/>
  <c r="G70" i="1"/>
  <c r="J71" i="1"/>
  <c r="M71" i="1" s="1"/>
  <c r="G71" i="1"/>
  <c r="J72" i="1"/>
  <c r="M72" i="1" s="1"/>
  <c r="G72" i="1"/>
  <c r="J73" i="1"/>
  <c r="M73" i="1" s="1"/>
  <c r="G73" i="1"/>
  <c r="J74" i="1"/>
  <c r="M74" i="1" s="1"/>
  <c r="G74" i="1"/>
  <c r="J75" i="1"/>
  <c r="M75" i="1" s="1"/>
  <c r="G75" i="1"/>
  <c r="J76" i="1"/>
  <c r="M76" i="1" s="1"/>
  <c r="G76" i="1"/>
  <c r="J77" i="1"/>
  <c r="M77" i="1" s="1"/>
  <c r="G77" i="1"/>
  <c r="J78" i="1"/>
  <c r="M78" i="1" s="1"/>
  <c r="G78" i="1"/>
  <c r="J79" i="1"/>
  <c r="M79" i="1" s="1"/>
  <c r="G79" i="1"/>
  <c r="J80" i="1"/>
  <c r="M80" i="1" s="1"/>
  <c r="G80" i="1"/>
  <c r="J81" i="1"/>
  <c r="M81" i="1" s="1"/>
  <c r="G81" i="1"/>
  <c r="J82" i="1"/>
  <c r="M82" i="1" s="1"/>
  <c r="G82" i="1"/>
  <c r="J83" i="1"/>
  <c r="M83" i="1" s="1"/>
  <c r="G83" i="1"/>
  <c r="J84" i="1"/>
  <c r="M84" i="1" s="1"/>
  <c r="G84" i="1"/>
  <c r="J85" i="1"/>
  <c r="M85" i="1" s="1"/>
  <c r="G85" i="1"/>
  <c r="J86" i="1"/>
  <c r="M86" i="1" s="1"/>
  <c r="G86" i="1"/>
  <c r="J87" i="1"/>
  <c r="M87" i="1" s="1"/>
  <c r="G87" i="1"/>
  <c r="J88" i="1"/>
  <c r="M88" i="1" s="1"/>
  <c r="G88" i="1"/>
  <c r="J89" i="1"/>
  <c r="M89" i="1" s="1"/>
  <c r="G89" i="1"/>
  <c r="J90" i="1"/>
  <c r="M90" i="1" s="1"/>
  <c r="G90" i="1"/>
  <c r="J91" i="1"/>
  <c r="M91" i="1" s="1"/>
  <c r="G91" i="1"/>
  <c r="J92" i="1"/>
  <c r="M92" i="1" s="1"/>
  <c r="G92" i="1"/>
  <c r="J93" i="1"/>
  <c r="M93" i="1" s="1"/>
  <c r="G93" i="1"/>
  <c r="J94" i="1"/>
  <c r="M94" i="1" s="1"/>
  <c r="G94" i="1"/>
  <c r="J95" i="1"/>
  <c r="M95" i="1" s="1"/>
  <c r="G95" i="1"/>
  <c r="J96" i="1"/>
  <c r="M96" i="1" s="1"/>
  <c r="G96" i="1"/>
  <c r="J97" i="1"/>
  <c r="M97" i="1" s="1"/>
  <c r="G97" i="1"/>
  <c r="J98" i="1"/>
  <c r="M98" i="1" s="1"/>
  <c r="G98" i="1"/>
  <c r="J99" i="1"/>
  <c r="M99" i="1" s="1"/>
  <c r="G99" i="1"/>
  <c r="J100" i="1"/>
  <c r="M100" i="1" s="1"/>
  <c r="G100" i="1"/>
  <c r="J101" i="1"/>
  <c r="M101" i="1" s="1"/>
  <c r="G101" i="1"/>
  <c r="J102" i="1"/>
  <c r="M102" i="1" s="1"/>
  <c r="G102" i="1"/>
  <c r="J103" i="1"/>
  <c r="M103" i="1" s="1"/>
  <c r="G103" i="1"/>
  <c r="J104" i="1"/>
  <c r="M104" i="1" s="1"/>
  <c r="G104" i="1"/>
  <c r="J105" i="1"/>
  <c r="M105" i="1" s="1"/>
  <c r="G105" i="1"/>
  <c r="J106" i="1"/>
  <c r="M106" i="1" s="1"/>
  <c r="G106" i="1"/>
  <c r="J107" i="1"/>
  <c r="M107" i="1" s="1"/>
  <c r="G107" i="1"/>
  <c r="J108" i="1"/>
  <c r="M108" i="1" s="1"/>
  <c r="G108" i="1"/>
  <c r="J109" i="1"/>
  <c r="M109" i="1" s="1"/>
  <c r="G109" i="1"/>
  <c r="J110" i="1"/>
  <c r="M110" i="1" s="1"/>
  <c r="G110" i="1"/>
  <c r="J111" i="1"/>
  <c r="M111" i="1" s="1"/>
  <c r="G111" i="1"/>
  <c r="J112" i="1"/>
  <c r="M112" i="1" s="1"/>
  <c r="G112" i="1"/>
  <c r="J113" i="1"/>
  <c r="M113" i="1" s="1"/>
  <c r="G113" i="1"/>
  <c r="J114" i="1"/>
  <c r="M114" i="1" s="1"/>
  <c r="G114" i="1"/>
  <c r="J115" i="1"/>
  <c r="M115" i="1" s="1"/>
  <c r="G115" i="1"/>
  <c r="J116" i="1"/>
  <c r="M116" i="1" s="1"/>
  <c r="G116" i="1"/>
  <c r="J117" i="1"/>
  <c r="M117" i="1" s="1"/>
  <c r="G117" i="1"/>
  <c r="J118" i="1"/>
  <c r="M118" i="1" s="1"/>
  <c r="G118" i="1"/>
  <c r="J119" i="1"/>
  <c r="M119" i="1" s="1"/>
  <c r="G119" i="1"/>
  <c r="J120" i="1"/>
  <c r="M120" i="1" s="1"/>
  <c r="G120" i="1"/>
  <c r="J121" i="1"/>
  <c r="M121" i="1" s="1"/>
  <c r="G121" i="1"/>
  <c r="J122" i="1"/>
  <c r="M122" i="1" s="1"/>
  <c r="G122" i="1"/>
  <c r="J123" i="1"/>
  <c r="M123" i="1" s="1"/>
  <c r="G123" i="1"/>
  <c r="J124" i="1"/>
  <c r="M124" i="1" s="1"/>
  <c r="G124" i="1"/>
  <c r="J125" i="1"/>
  <c r="M125" i="1" s="1"/>
  <c r="G125" i="1"/>
  <c r="J126" i="1"/>
  <c r="M126" i="1" s="1"/>
  <c r="G126" i="1"/>
  <c r="J127" i="1"/>
  <c r="M127" i="1" s="1"/>
  <c r="G127" i="1"/>
  <c r="J128" i="1"/>
  <c r="M128" i="1" s="1"/>
  <c r="G128" i="1"/>
  <c r="J129" i="1"/>
  <c r="M129" i="1" s="1"/>
  <c r="G129" i="1"/>
  <c r="J130" i="1"/>
  <c r="M130" i="1" s="1"/>
  <c r="G130" i="1"/>
  <c r="J131" i="1"/>
  <c r="M131" i="1" s="1"/>
  <c r="G131" i="1"/>
  <c r="J132" i="1"/>
  <c r="M132" i="1" s="1"/>
  <c r="G132" i="1"/>
  <c r="J133" i="1"/>
  <c r="M133" i="1" s="1"/>
  <c r="G133" i="1"/>
  <c r="J134" i="1"/>
  <c r="M134" i="1" s="1"/>
  <c r="G134" i="1"/>
  <c r="J135" i="1"/>
  <c r="M135" i="1" s="1"/>
  <c r="G135" i="1"/>
  <c r="J136" i="1"/>
  <c r="M136" i="1" s="1"/>
  <c r="G136" i="1"/>
  <c r="J137" i="1"/>
  <c r="M137" i="1" s="1"/>
  <c r="G137" i="1"/>
  <c r="J138" i="1"/>
  <c r="M138" i="1" s="1"/>
  <c r="G138" i="1"/>
  <c r="J139" i="1"/>
  <c r="M139" i="1" s="1"/>
  <c r="G139" i="1"/>
  <c r="J140" i="1"/>
  <c r="M140" i="1" s="1"/>
  <c r="G140" i="1"/>
  <c r="J141" i="1"/>
  <c r="M141" i="1" s="1"/>
  <c r="G141" i="1"/>
  <c r="J142" i="1"/>
  <c r="M142" i="1" s="1"/>
  <c r="G142" i="1"/>
  <c r="J143" i="1"/>
  <c r="M143" i="1" s="1"/>
  <c r="G143" i="1"/>
  <c r="J144" i="1"/>
  <c r="M144" i="1" s="1"/>
  <c r="G14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J146" i="1"/>
  <c r="M146" i="1" s="1"/>
  <c r="G146" i="1"/>
  <c r="J147" i="1"/>
  <c r="M147" i="1" s="1"/>
  <c r="G147" i="1"/>
  <c r="J148" i="1"/>
  <c r="M148" i="1" s="1"/>
  <c r="G148" i="1"/>
  <c r="J149" i="1"/>
  <c r="M149" i="1" s="1"/>
  <c r="G149" i="1"/>
  <c r="J150" i="1"/>
  <c r="M150" i="1" s="1"/>
  <c r="G150" i="1"/>
  <c r="J151" i="1"/>
  <c r="M151" i="1" s="1"/>
  <c r="G151" i="1"/>
  <c r="J152" i="1"/>
  <c r="M152" i="1" s="1"/>
  <c r="G152" i="1"/>
  <c r="J153" i="1"/>
  <c r="M153" i="1" s="1"/>
  <c r="G153" i="1"/>
  <c r="J154" i="1"/>
  <c r="M154" i="1" s="1"/>
  <c r="G154" i="1"/>
  <c r="J155" i="1"/>
  <c r="M155" i="1" s="1"/>
  <c r="G155" i="1"/>
  <c r="J156" i="1"/>
  <c r="M156" i="1" s="1"/>
  <c r="G156" i="1"/>
  <c r="J157" i="1"/>
  <c r="M157" i="1" s="1"/>
  <c r="G157" i="1"/>
  <c r="J158" i="1"/>
  <c r="M158" i="1" s="1"/>
  <c r="G158" i="1"/>
  <c r="J159" i="1"/>
  <c r="M159" i="1" s="1"/>
  <c r="G159" i="1"/>
  <c r="J160" i="1"/>
  <c r="M160" i="1" s="1"/>
  <c r="G160" i="1"/>
  <c r="J161" i="1"/>
  <c r="M161" i="1" s="1"/>
  <c r="G161" i="1"/>
  <c r="J162" i="1"/>
  <c r="M162" i="1" s="1"/>
  <c r="G162" i="1"/>
  <c r="J163" i="1"/>
  <c r="M163" i="1" s="1"/>
  <c r="G163" i="1"/>
  <c r="J164" i="1"/>
  <c r="M164" i="1" s="1"/>
  <c r="G164" i="1"/>
  <c r="J165" i="1"/>
  <c r="M165" i="1" s="1"/>
  <c r="G165" i="1"/>
  <c r="J166" i="1"/>
  <c r="M166" i="1" s="1"/>
  <c r="G166" i="1"/>
  <c r="J167" i="1"/>
  <c r="M167" i="1" s="1"/>
  <c r="G167" i="1"/>
  <c r="J168" i="1"/>
  <c r="M168" i="1" s="1"/>
  <c r="G168" i="1"/>
  <c r="J169" i="1"/>
  <c r="M169" i="1" s="1"/>
  <c r="G169" i="1"/>
  <c r="J170" i="1"/>
  <c r="M170" i="1" s="1"/>
  <c r="G170" i="1"/>
  <c r="J171" i="1"/>
  <c r="M171" i="1" s="1"/>
  <c r="G171" i="1"/>
  <c r="J172" i="1"/>
  <c r="M172" i="1" s="1"/>
  <c r="G172" i="1"/>
  <c r="J173" i="1"/>
  <c r="M173" i="1" s="1"/>
  <c r="G173" i="1"/>
  <c r="J174" i="1"/>
  <c r="M174" i="1" s="1"/>
  <c r="G174" i="1"/>
  <c r="J175" i="1"/>
  <c r="M175" i="1" s="1"/>
  <c r="G175" i="1"/>
  <c r="J176" i="1"/>
  <c r="M176" i="1" s="1"/>
  <c r="G176" i="1"/>
  <c r="J177" i="1"/>
  <c r="M177" i="1" s="1"/>
  <c r="G177" i="1"/>
  <c r="J178" i="1"/>
  <c r="M178" i="1" s="1"/>
  <c r="G178" i="1"/>
  <c r="J179" i="1"/>
  <c r="M179" i="1" s="1"/>
  <c r="G179" i="1"/>
  <c r="J180" i="1"/>
  <c r="M180" i="1" s="1"/>
  <c r="G180" i="1"/>
  <c r="J181" i="1"/>
  <c r="M181" i="1" s="1"/>
  <c r="G181" i="1"/>
  <c r="J182" i="1"/>
  <c r="M182" i="1" s="1"/>
  <c r="G182" i="1"/>
  <c r="J183" i="1"/>
  <c r="M183" i="1" s="1"/>
  <c r="G183" i="1"/>
  <c r="J184" i="1"/>
  <c r="M184" i="1" s="1"/>
  <c r="G184" i="1"/>
  <c r="J185" i="1"/>
  <c r="M185" i="1" s="1"/>
  <c r="G185" i="1"/>
  <c r="J186" i="1"/>
  <c r="M186" i="1" s="1"/>
  <c r="G186" i="1"/>
  <c r="J187" i="1"/>
  <c r="M187" i="1" s="1"/>
  <c r="G187" i="1"/>
  <c r="N145" i="1" l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I1" i="3" l="1"/>
  <c r="K288" i="1"/>
  <c r="P288" i="1" s="1"/>
  <c r="K287" i="1"/>
  <c r="P287" i="1" s="1"/>
  <c r="K276" i="1"/>
  <c r="P276" i="1" s="1"/>
  <c r="K265" i="1"/>
  <c r="P265" i="1" s="1"/>
  <c r="K281" i="1"/>
  <c r="P281" i="1" s="1"/>
  <c r="K262" i="1"/>
  <c r="P262" i="1" s="1"/>
  <c r="K220" i="1"/>
  <c r="P220" i="1" s="1"/>
  <c r="K261" i="1"/>
  <c r="P261" i="1" s="1"/>
  <c r="K248" i="1"/>
  <c r="P248" i="1" s="1"/>
  <c r="K238" i="1"/>
  <c r="P238" i="1" s="1"/>
  <c r="K253" i="1"/>
  <c r="P253" i="1" s="1"/>
  <c r="K250" i="1"/>
  <c r="P250" i="1" s="1"/>
  <c r="K294" i="1"/>
  <c r="P294" i="1" s="1"/>
  <c r="K273" i="1"/>
  <c r="P273" i="1" s="1"/>
  <c r="K293" i="1"/>
  <c r="P293" i="1" s="1"/>
  <c r="K286" i="1"/>
  <c r="P286" i="1" s="1"/>
  <c r="K267" i="1"/>
  <c r="P267" i="1" s="1"/>
  <c r="K295" i="1"/>
  <c r="P295" i="1" s="1"/>
  <c r="K284" i="1"/>
  <c r="P284" i="1" s="1"/>
  <c r="K212" i="1"/>
  <c r="P212" i="1" s="1"/>
  <c r="K219" i="1"/>
  <c r="P219" i="1" s="1"/>
  <c r="K226" i="1"/>
  <c r="P226" i="1" s="1"/>
  <c r="K239" i="1"/>
  <c r="P239" i="1" s="1"/>
  <c r="K255" i="1"/>
  <c r="P255" i="1" s="1"/>
  <c r="K280" i="1"/>
  <c r="P280" i="1" s="1"/>
  <c r="K240" i="1"/>
  <c r="P240" i="1" s="1"/>
  <c r="K256" i="1"/>
  <c r="P256" i="1" s="1"/>
  <c r="K243" i="1"/>
  <c r="P243" i="1" s="1"/>
  <c r="K233" i="1"/>
  <c r="P233" i="1" s="1"/>
  <c r="K272" i="1"/>
  <c r="P272" i="1" s="1"/>
  <c r="K257" i="1"/>
  <c r="P257" i="1" s="1"/>
  <c r="K274" i="1"/>
  <c r="P274" i="1" s="1"/>
  <c r="K214" i="1"/>
  <c r="P214" i="1" s="1"/>
  <c r="K260" i="1"/>
  <c r="P260" i="1" s="1"/>
  <c r="K271" i="1"/>
  <c r="P271" i="1" s="1"/>
  <c r="K237" i="1"/>
  <c r="P237" i="1" s="1"/>
  <c r="K258" i="1"/>
  <c r="P258" i="1" s="1"/>
  <c r="K232" i="1"/>
  <c r="P232" i="1" s="1"/>
  <c r="K234" i="1"/>
  <c r="P234" i="1" s="1"/>
  <c r="K230" i="1"/>
  <c r="P230" i="1" s="1"/>
  <c r="K285" i="1"/>
  <c r="P285" i="1" s="1"/>
  <c r="K264" i="1"/>
  <c r="P264" i="1" s="1"/>
  <c r="K224" i="1"/>
  <c r="P224" i="1" s="1"/>
  <c r="K290" i="1"/>
  <c r="P290" i="1" s="1"/>
  <c r="K247" i="1"/>
  <c r="P247" i="1" s="1"/>
  <c r="K283" i="1"/>
  <c r="P283" i="1" s="1"/>
  <c r="K263" i="1"/>
  <c r="P263" i="1" s="1"/>
  <c r="K218" i="1"/>
  <c r="P218" i="1" s="1"/>
  <c r="K241" i="1"/>
  <c r="P241" i="1" s="1"/>
  <c r="K279" i="1"/>
  <c r="P279" i="1" s="1"/>
  <c r="K300" i="1"/>
  <c r="P300" i="1" s="1"/>
  <c r="K222" i="1"/>
  <c r="P222" i="1" s="1"/>
  <c r="K298" i="1"/>
  <c r="P298" i="1" s="1"/>
  <c r="K228" i="1"/>
  <c r="P228" i="1" s="1"/>
  <c r="K249" i="1"/>
  <c r="P249" i="1" s="1"/>
  <c r="K227" i="1"/>
  <c r="P227" i="1" s="1"/>
  <c r="K282" i="1"/>
  <c r="P282" i="1" s="1"/>
  <c r="K216" i="1"/>
  <c r="P216" i="1" s="1"/>
  <c r="K277" i="1"/>
  <c r="P277" i="1" s="1"/>
  <c r="K213" i="1"/>
  <c r="P213" i="1" s="1"/>
  <c r="K269" i="1"/>
  <c r="P269" i="1" s="1"/>
  <c r="K270" i="1"/>
  <c r="P270" i="1" s="1"/>
  <c r="K236" i="1"/>
  <c r="P236" i="1" s="1"/>
  <c r="K229" i="1"/>
  <c r="P229" i="1" s="1"/>
  <c r="K252" i="1"/>
  <c r="P252" i="1" s="1"/>
  <c r="K278" i="1"/>
  <c r="P278" i="1" s="1"/>
  <c r="K231" i="1"/>
  <c r="P231" i="1" s="1"/>
  <c r="K254" i="1"/>
  <c r="P254" i="1" s="1"/>
  <c r="K245" i="1"/>
  <c r="P245" i="1" s="1"/>
  <c r="K296" i="1"/>
  <c r="P296" i="1" s="1"/>
  <c r="K301" i="1"/>
  <c r="P301" i="1" s="1"/>
  <c r="K268" i="1"/>
  <c r="P268" i="1" s="1"/>
  <c r="K289" i="1"/>
  <c r="P289" i="1" s="1"/>
  <c r="K266" i="1"/>
  <c r="P266" i="1" s="1"/>
  <c r="K223" i="1"/>
  <c r="P223" i="1" s="1"/>
  <c r="K244" i="1"/>
  <c r="P244" i="1" s="1"/>
  <c r="K221" i="1"/>
  <c r="P221" i="1" s="1"/>
  <c r="K275" i="1"/>
  <c r="P275" i="1" s="1"/>
  <c r="K297" i="1"/>
  <c r="P297" i="1" s="1"/>
  <c r="K302" i="1"/>
  <c r="P302" i="1" s="1"/>
  <c r="K303" i="1"/>
  <c r="P303" i="1" s="1"/>
  <c r="K242" i="1"/>
  <c r="P242" i="1" s="1"/>
  <c r="K299" i="1"/>
  <c r="P299" i="1" s="1"/>
  <c r="K246" i="1"/>
  <c r="P246" i="1" s="1"/>
  <c r="K292" i="1"/>
  <c r="P292" i="1" s="1"/>
  <c r="K291" i="1"/>
  <c r="P291" i="1" s="1"/>
  <c r="K259" i="1"/>
  <c r="P259" i="1" s="1"/>
  <c r="K215" i="1"/>
  <c r="P215" i="1" s="1"/>
  <c r="K225" i="1"/>
  <c r="P225" i="1" s="1"/>
  <c r="K251" i="1"/>
  <c r="P251" i="1" s="1"/>
  <c r="K217" i="1"/>
  <c r="P217" i="1" s="1"/>
  <c r="K235" i="1"/>
  <c r="P235" i="1" s="1"/>
  <c r="K160" i="1"/>
  <c r="P160" i="1" s="1"/>
  <c r="K198" i="1"/>
  <c r="P198" i="1" s="1"/>
  <c r="K186" i="1"/>
  <c r="P186" i="1" s="1"/>
  <c r="K47" i="1"/>
  <c r="K32" i="1"/>
  <c r="K153" i="1"/>
  <c r="P153" i="1" s="1"/>
  <c r="K169" i="1"/>
  <c r="P169" i="1" s="1"/>
  <c r="K162" i="1"/>
  <c r="P162" i="1" s="1"/>
  <c r="K174" i="1"/>
  <c r="K24" i="1"/>
  <c r="K173" i="1"/>
  <c r="K7" i="1"/>
  <c r="K102" i="1"/>
  <c r="K134" i="1"/>
  <c r="K43" i="1"/>
  <c r="K111" i="1"/>
  <c r="K140" i="1"/>
  <c r="K74" i="1"/>
  <c r="K75" i="1"/>
  <c r="K91" i="1"/>
  <c r="K69" i="1"/>
  <c r="K146" i="1"/>
  <c r="P146" i="1" s="1"/>
  <c r="K133" i="1"/>
  <c r="K185" i="1"/>
  <c r="K93" i="1"/>
  <c r="K63" i="1"/>
  <c r="K127" i="1"/>
  <c r="K154" i="1"/>
  <c r="P154" i="1" s="1"/>
  <c r="K164" i="1"/>
  <c r="K11" i="1"/>
  <c r="K159" i="1"/>
  <c r="K188" i="1"/>
  <c r="P188" i="1" s="1"/>
  <c r="K79" i="1"/>
  <c r="K37" i="1"/>
  <c r="K209" i="1"/>
  <c r="P209" i="1" s="1"/>
  <c r="K116" i="1"/>
  <c r="K82" i="1"/>
  <c r="K152" i="1"/>
  <c r="P152" i="1" s="1"/>
  <c r="K97" i="1"/>
  <c r="K143" i="1"/>
  <c r="K126" i="1"/>
  <c r="K100" i="1"/>
  <c r="K125" i="1"/>
  <c r="K144" i="1"/>
  <c r="K207" i="1"/>
  <c r="P207" i="1" s="1"/>
  <c r="K156" i="1"/>
  <c r="P156" i="1" s="1"/>
  <c r="K105" i="1"/>
  <c r="K104" i="1"/>
  <c r="K205" i="1"/>
  <c r="P205" i="1" s="1"/>
  <c r="K80" i="1"/>
  <c r="K195" i="1"/>
  <c r="P195" i="1" s="1"/>
  <c r="K65" i="1"/>
  <c r="K166" i="1"/>
  <c r="P166" i="1" s="1"/>
  <c r="K39" i="1"/>
  <c r="K123" i="1"/>
  <c r="K142" i="1"/>
  <c r="K120" i="1"/>
  <c r="K15" i="1"/>
  <c r="K150" i="1"/>
  <c r="P150" i="1" s="1"/>
  <c r="K21" i="1"/>
  <c r="K138" i="1"/>
  <c r="K62" i="1"/>
  <c r="K187" i="1"/>
  <c r="P187" i="1" s="1"/>
  <c r="K196" i="1"/>
  <c r="P196" i="1" s="1"/>
  <c r="K27" i="1"/>
  <c r="K168" i="1"/>
  <c r="P168" i="1" s="1"/>
  <c r="K96" i="1"/>
  <c r="K22" i="1"/>
  <c r="K114" i="1"/>
  <c r="K163" i="1"/>
  <c r="K83" i="1"/>
  <c r="K95" i="1"/>
  <c r="K76" i="1"/>
  <c r="K60" i="1"/>
  <c r="K18" i="1"/>
  <c r="K46" i="1"/>
  <c r="K8" i="1"/>
  <c r="K190" i="1"/>
  <c r="P190" i="1" s="1"/>
  <c r="K64" i="1"/>
  <c r="K119" i="1"/>
  <c r="K81" i="1"/>
  <c r="K175" i="1"/>
  <c r="P175" i="1" s="1"/>
  <c r="K73" i="1"/>
  <c r="K84" i="1"/>
  <c r="K41" i="1"/>
  <c r="K78" i="1"/>
  <c r="K42" i="1"/>
  <c r="K87" i="1"/>
  <c r="K137" i="1"/>
  <c r="K158" i="1"/>
  <c r="K177" i="1"/>
  <c r="K155" i="1"/>
  <c r="K17" i="1"/>
  <c r="K130" i="1"/>
  <c r="K86" i="1"/>
  <c r="K178" i="1"/>
  <c r="P178" i="1" s="1"/>
  <c r="K54" i="1"/>
  <c r="K136" i="1"/>
  <c r="K23" i="1"/>
  <c r="K181" i="1"/>
  <c r="P181" i="1" s="1"/>
  <c r="K110" i="1"/>
  <c r="K135" i="1"/>
  <c r="K149" i="1"/>
  <c r="P149" i="1" s="1"/>
  <c r="K171" i="1"/>
  <c r="P171" i="1" s="1"/>
  <c r="K66" i="1"/>
  <c r="K161" i="1"/>
  <c r="P161" i="1" s="1"/>
  <c r="K121" i="1"/>
  <c r="K124" i="1"/>
  <c r="K85" i="1"/>
  <c r="K101" i="1"/>
  <c r="K16" i="1"/>
  <c r="K30" i="1"/>
  <c r="K211" i="1"/>
  <c r="P211" i="1" s="1"/>
  <c r="K180" i="1"/>
  <c r="K109" i="1"/>
  <c r="K61" i="1"/>
  <c r="K197" i="1"/>
  <c r="P197" i="1" s="1"/>
  <c r="K206" i="1"/>
  <c r="P206" i="1" s="1"/>
  <c r="K132" i="1"/>
  <c r="K33" i="1"/>
  <c r="K58" i="1"/>
  <c r="K77" i="1"/>
  <c r="K67" i="1"/>
  <c r="K148" i="1"/>
  <c r="P148" i="1" s="1"/>
  <c r="K167" i="1"/>
  <c r="P167" i="1" s="1"/>
  <c r="K88" i="1"/>
  <c r="K191" i="1"/>
  <c r="P191" i="1" s="1"/>
  <c r="K176" i="1"/>
  <c r="K26" i="1"/>
  <c r="K59" i="1"/>
  <c r="K12" i="1"/>
  <c r="K203" i="1"/>
  <c r="P203" i="1" s="1"/>
  <c r="K40" i="1"/>
  <c r="K108" i="1"/>
  <c r="K89" i="1"/>
  <c r="K29" i="1"/>
  <c r="K210" i="1"/>
  <c r="P210" i="1" s="1"/>
  <c r="K192" i="1"/>
  <c r="P192" i="1" s="1"/>
  <c r="K141" i="1"/>
  <c r="K157" i="1"/>
  <c r="P157" i="1" s="1"/>
  <c r="K38" i="1"/>
  <c r="K204" i="1"/>
  <c r="P204" i="1" s="1"/>
  <c r="K50" i="1"/>
  <c r="K170" i="1"/>
  <c r="P170" i="1" s="1"/>
  <c r="K36" i="1"/>
  <c r="K179" i="1"/>
  <c r="P179" i="1" s="1"/>
  <c r="K122" i="1"/>
  <c r="K14" i="1"/>
  <c r="K45" i="1"/>
  <c r="K128" i="1"/>
  <c r="K25" i="1"/>
  <c r="K98" i="1"/>
  <c r="K5" i="1"/>
  <c r="K145" i="1"/>
  <c r="K112" i="1"/>
  <c r="K131" i="1"/>
  <c r="K147" i="1"/>
  <c r="K28" i="1"/>
  <c r="K194" i="1"/>
  <c r="P194" i="1" s="1"/>
  <c r="K20" i="1"/>
  <c r="K56" i="1"/>
  <c r="K10" i="1"/>
  <c r="K103" i="1"/>
  <c r="K115" i="1"/>
  <c r="K52" i="1"/>
  <c r="K151" i="1"/>
  <c r="P151" i="1" s="1"/>
  <c r="K189" i="1"/>
  <c r="P189" i="1" s="1"/>
  <c r="K129" i="1"/>
  <c r="K99" i="1"/>
  <c r="K44" i="1"/>
  <c r="K55" i="1"/>
  <c r="K19" i="1"/>
  <c r="K35" i="1"/>
  <c r="K13" i="1"/>
  <c r="K92" i="1"/>
  <c r="K202" i="1"/>
  <c r="P202" i="1" s="1"/>
  <c r="K182" i="1"/>
  <c r="K139" i="1"/>
  <c r="K34" i="1"/>
  <c r="K6" i="1"/>
  <c r="K71" i="1"/>
  <c r="K193" i="1"/>
  <c r="P193" i="1" s="1"/>
  <c r="K49" i="1"/>
  <c r="K51" i="1"/>
  <c r="K201" i="1"/>
  <c r="P201" i="1" s="1"/>
  <c r="K165" i="1"/>
  <c r="P165" i="1" s="1"/>
  <c r="K31" i="1"/>
  <c r="K106" i="1"/>
  <c r="K199" i="1"/>
  <c r="P199" i="1" s="1"/>
  <c r="K208" i="1"/>
  <c r="P208" i="1" s="1"/>
  <c r="K70" i="1"/>
  <c r="K57" i="1"/>
  <c r="K72" i="1"/>
  <c r="K183" i="1"/>
  <c r="K200" i="1"/>
  <c r="P200" i="1" s="1"/>
  <c r="K172" i="1"/>
  <c r="P172" i="1" s="1"/>
  <c r="K48" i="1"/>
  <c r="K94" i="1"/>
  <c r="K107" i="1"/>
  <c r="K9" i="1"/>
  <c r="K90" i="1"/>
  <c r="K118" i="1"/>
  <c r="K68" i="1"/>
  <c r="K184" i="1"/>
  <c r="P184" i="1" s="1"/>
  <c r="K117" i="1"/>
  <c r="K113" i="1"/>
  <c r="K53" i="1"/>
  <c r="P158" i="1"/>
  <c r="P164" i="1"/>
  <c r="P174" i="1"/>
  <c r="P176" i="1"/>
  <c r="P180" i="1"/>
  <c r="P182" i="1"/>
  <c r="P173" i="1"/>
  <c r="P159" i="1"/>
  <c r="P183" i="1"/>
  <c r="P145" i="1"/>
  <c r="P177" i="1"/>
  <c r="P185" i="1"/>
  <c r="P147" i="1"/>
  <c r="P155" i="1"/>
  <c r="P163" i="1"/>
  <c r="L177" i="3" l="1"/>
  <c r="L119" i="3"/>
  <c r="L182" i="3"/>
  <c r="L102" i="3"/>
  <c r="L22" i="3"/>
  <c r="L73" i="3"/>
  <c r="L172" i="3"/>
  <c r="L55" i="3"/>
  <c r="L136" i="3"/>
  <c r="L56" i="3"/>
  <c r="L209" i="3"/>
  <c r="L196" i="3"/>
  <c r="L201" i="3"/>
  <c r="L197" i="3"/>
  <c r="L44" i="3"/>
  <c r="L161" i="3"/>
  <c r="L212" i="3"/>
  <c r="L112" i="3"/>
  <c r="L175" i="3"/>
  <c r="L108" i="3"/>
  <c r="L133" i="3"/>
  <c r="L24" i="3"/>
  <c r="L121" i="3"/>
  <c r="L20" i="3"/>
  <c r="L142" i="3"/>
  <c r="L207" i="3"/>
  <c r="L58" i="3"/>
  <c r="L12" i="3"/>
  <c r="L141" i="3"/>
  <c r="L79" i="3"/>
  <c r="L206" i="3"/>
  <c r="L139" i="3"/>
  <c r="L164" i="3"/>
  <c r="L198" i="3"/>
  <c r="L131" i="3"/>
  <c r="L184" i="3"/>
  <c r="L186" i="3"/>
  <c r="L200" i="3"/>
  <c r="L192" i="3"/>
  <c r="L185" i="3"/>
  <c r="L178" i="3"/>
  <c r="L98" i="3"/>
  <c r="L18" i="3"/>
  <c r="L69" i="3"/>
  <c r="L168" i="3"/>
  <c r="L51" i="3"/>
  <c r="L132" i="3"/>
  <c r="L52" i="3"/>
  <c r="L199" i="3"/>
  <c r="L220" i="3"/>
  <c r="L166" i="3"/>
  <c r="L120" i="3"/>
  <c r="L35" i="3"/>
  <c r="L32" i="3"/>
  <c r="L137" i="3"/>
  <c r="L219" i="3"/>
  <c r="L70" i="3"/>
  <c r="L104" i="3"/>
  <c r="L163" i="3"/>
  <c r="L113" i="3"/>
  <c r="L15" i="3"/>
  <c r="L129" i="3"/>
  <c r="L91" i="3"/>
  <c r="L203" i="3"/>
  <c r="L101" i="3"/>
  <c r="L4" i="3"/>
  <c r="L143" i="3"/>
  <c r="L13" i="3"/>
  <c r="L167" i="3"/>
  <c r="L208" i="3"/>
  <c r="L5" i="3"/>
  <c r="L190" i="3"/>
  <c r="L202" i="3"/>
  <c r="L59" i="3"/>
  <c r="L188" i="3"/>
  <c r="L189" i="3"/>
  <c r="L174" i="3"/>
  <c r="L94" i="3"/>
  <c r="L14" i="3"/>
  <c r="L65" i="3"/>
  <c r="L160" i="3"/>
  <c r="L47" i="3"/>
  <c r="L128" i="3"/>
  <c r="L48" i="3"/>
  <c r="L195" i="3"/>
  <c r="L216" i="3"/>
  <c r="L111" i="3"/>
  <c r="L154" i="3"/>
  <c r="L107" i="3"/>
  <c r="L150" i="3"/>
  <c r="L103" i="3"/>
  <c r="L215" i="3"/>
  <c r="L66" i="3"/>
  <c r="L100" i="3"/>
  <c r="L159" i="3"/>
  <c r="L29" i="3"/>
  <c r="L130" i="3"/>
  <c r="L17" i="3"/>
  <c r="L122" i="3"/>
  <c r="L76" i="3"/>
  <c r="L118" i="3"/>
  <c r="L85" i="3"/>
  <c r="L204" i="3"/>
  <c r="L30" i="3"/>
  <c r="L64" i="3"/>
  <c r="L26" i="3"/>
  <c r="L213" i="3"/>
  <c r="L157" i="3"/>
  <c r="L169" i="3"/>
  <c r="L170" i="3"/>
  <c r="L90" i="3"/>
  <c r="L10" i="3"/>
  <c r="L61" i="3"/>
  <c r="L156" i="3"/>
  <c r="L43" i="3"/>
  <c r="L124" i="3"/>
  <c r="L86" i="3"/>
  <c r="L6" i="3"/>
  <c r="L57" i="3"/>
  <c r="L152" i="3"/>
  <c r="L39" i="3"/>
  <c r="L40" i="3"/>
  <c r="L115" i="3"/>
  <c r="L36" i="3"/>
  <c r="L31" i="3"/>
  <c r="L74" i="3"/>
  <c r="L45" i="3"/>
  <c r="L27" i="3"/>
  <c r="L28" i="3"/>
  <c r="L171" i="3"/>
  <c r="L23" i="3"/>
  <c r="L146" i="3"/>
  <c r="L211" i="3"/>
  <c r="L62" i="3"/>
  <c r="L109" i="3"/>
  <c r="L92" i="3"/>
  <c r="L50" i="3"/>
  <c r="L210" i="3"/>
  <c r="L97" i="3"/>
  <c r="L80" i="3"/>
  <c r="L183" i="3"/>
  <c r="L9" i="3"/>
  <c r="L72" i="3"/>
  <c r="L194" i="3"/>
  <c r="L221" i="3"/>
  <c r="L144" i="3"/>
  <c r="L123" i="3"/>
  <c r="L187" i="3"/>
  <c r="L153" i="3"/>
  <c r="L162" i="3"/>
  <c r="L82" i="3"/>
  <c r="L181" i="3"/>
  <c r="L53" i="3"/>
  <c r="L116" i="3"/>
  <c r="L149" i="3"/>
  <c r="L41" i="3"/>
  <c r="L117" i="3"/>
  <c r="L19" i="3"/>
  <c r="L193" i="3"/>
  <c r="L11" i="3"/>
  <c r="L21" i="3"/>
  <c r="L191" i="3"/>
  <c r="L180" i="3"/>
  <c r="L38" i="3"/>
  <c r="L67" i="3"/>
  <c r="L110" i="3"/>
  <c r="L140" i="3"/>
  <c r="L60" i="3"/>
  <c r="L179" i="3"/>
  <c r="L145" i="3"/>
  <c r="L158" i="3"/>
  <c r="L78" i="3"/>
  <c r="L165" i="3"/>
  <c r="L49" i="3"/>
  <c r="L223" i="3"/>
  <c r="L125" i="3"/>
  <c r="L99" i="3"/>
  <c r="L33" i="3"/>
  <c r="L96" i="3"/>
  <c r="L138" i="3"/>
  <c r="L84" i="3"/>
  <c r="L46" i="3"/>
  <c r="L42" i="3"/>
  <c r="L205" i="3"/>
  <c r="L71" i="3"/>
  <c r="L34" i="3"/>
  <c r="L68" i="3"/>
  <c r="L81" i="3"/>
  <c r="L176" i="3"/>
  <c r="L37" i="3"/>
  <c r="L95" i="3"/>
  <c r="L16" i="3"/>
  <c r="L155" i="3"/>
  <c r="L83" i="3"/>
  <c r="L126" i="3"/>
  <c r="L218" i="3"/>
  <c r="L75" i="3"/>
  <c r="L222" i="3"/>
  <c r="L135" i="3"/>
  <c r="L148" i="3"/>
  <c r="L127" i="3"/>
  <c r="L217" i="3"/>
  <c r="L77" i="3"/>
  <c r="L151" i="3"/>
  <c r="L173" i="3"/>
  <c r="L134" i="3"/>
  <c r="L54" i="3"/>
  <c r="L105" i="3"/>
  <c r="L25" i="3"/>
  <c r="L87" i="3"/>
  <c r="L7" i="3"/>
  <c r="L88" i="3"/>
  <c r="L8" i="3"/>
  <c r="L214" i="3"/>
  <c r="L147" i="3"/>
  <c r="L3" i="3"/>
  <c r="L2" i="3"/>
  <c r="L93" i="3"/>
  <c r="L89" i="3"/>
  <c r="L114" i="3"/>
  <c r="L63" i="3"/>
  <c r="L106" i="3"/>
  <c r="J4" i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<sst xmlns="http://schemas.openxmlformats.org/spreadsheetml/2006/main" count="40" uniqueCount="36">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</sst>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E267" zoomScale="85" zoomScaleNormal="85" workbookViewId="0">
      <selection activeCell="M4" sqref="M4:P303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1.179910572976012</v>
      </c>
      <c r="R2" s="4">
        <v>353</v>
      </c>
      <c r="S2" s="4">
        <f>(((T2/101.3)^2)*((U2/101.3)))^2</f>
        <v>0.92542947530148201</v>
      </c>
      <c r="T2" s="4">
        <v>100</v>
      </c>
      <c r="U2" s="4">
        <v>100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-0.33889000000000002</v>
      </c>
      <c r="AC3" t="s">
        <v>30</v>
      </c>
    </row>
    <row r="4" spans="1:29" x14ac:dyDescent="0.3">
      <c r="A4">
        <v>3.0490449999999999E-2</v>
      </c>
      <c r="B4">
        <v>0.91049999999999998</v>
      </c>
      <c r="C4">
        <f>A4*B4</f>
        <v>2.7761554724999998E-2</v>
      </c>
      <c r="D4">
        <v>2.01E-2</v>
      </c>
      <c r="E4">
        <v>3.8158201924077539E-3</v>
      </c>
      <c r="F4">
        <f>A4*200</f>
        <v>6.09809</v>
      </c>
      <c r="G4">
        <f>-B4</f>
        <v>-0.91049999999999998</v>
      </c>
      <c r="H4">
        <f t="shared" ref="H4" si="0">-C4*200</f>
        <v>-5.5523109449999994</v>
      </c>
      <c r="I4">
        <v>1</v>
      </c>
      <c r="J4">
        <f>LN(F4/1000)</f>
        <v>-5.0997796715876298</v>
      </c>
      <c r="K4">
        <f>((-G4)-$N$2)</f>
        <v>-0.26941057297601201</v>
      </c>
      <c r="L4">
        <v>1</v>
      </c>
      <c r="M4">
        <f>-1*($S$4+($S$5*J4))</f>
        <v>0.27751923176047832</v>
      </c>
      <c r="N4">
        <f>D4*A4</f>
        <v>6.1285804500000002E-4</v>
      </c>
      <c r="O4">
        <f>E4*A4</f>
        <v>1.1634607478559899E-4</v>
      </c>
      <c r="P4">
        <f>-K4-M4-N4-O4</f>
        <v>-8.8378629042519148E-3</v>
      </c>
      <c r="R4" s="2" t="s">
        <v>16</v>
      </c>
      <c r="S4">
        <v>-0.49120000000000003</v>
      </c>
      <c r="V4">
        <v>-6</v>
      </c>
      <c r="W4">
        <f>V4*$S$5+$S$4</f>
        <v>-0.23980000000000001</v>
      </c>
      <c r="Y4">
        <v>0</v>
      </c>
      <c r="Z4">
        <f>$AB$4*Y4+$AB$3</f>
        <v>-0.33889000000000002</v>
      </c>
      <c r="AB4">
        <v>8.4570399999999992</v>
      </c>
      <c r="AC4" t="s">
        <v>31</v>
      </c>
    </row>
    <row r="5" spans="1:29" x14ac:dyDescent="0.3">
      <c r="A5">
        <v>8.140879999999999E-2</v>
      </c>
      <c r="B5">
        <v>0.89114000000000004</v>
      </c>
      <c r="C5">
        <f t="shared" ref="C5:C68" si="1">A5*B5</f>
        <v>7.2546638031999996E-2</v>
      </c>
      <c r="D5">
        <v>2.01E-2</v>
      </c>
      <c r="E5">
        <v>3.8158201924077539E-3</v>
      </c>
      <c r="F5">
        <f t="shared" ref="F5:F68" si="2">A5*200</f>
        <v>16.281759999999998</v>
      </c>
      <c r="G5">
        <f t="shared" ref="G5:G68" si="3">-B5</f>
        <v>-0.89114000000000004</v>
      </c>
      <c r="H5">
        <f t="shared" ref="H5:H68" si="4">-C5*200</f>
        <v>-14.509327606399999</v>
      </c>
      <c r="I5">
        <v>1</v>
      </c>
      <c r="J5">
        <f t="shared" ref="J5:J68" si="5">LN(F5/1000)</f>
        <v>-4.1177098161428951</v>
      </c>
      <c r="K5">
        <f t="shared" ref="K5:K68" si="6">((-G5)-$N$2)</f>
        <v>-0.28877057297601194</v>
      </c>
      <c r="L5">
        <v>1</v>
      </c>
      <c r="M5">
        <f t="shared" ref="M5:M68" si="7">-1*($S$4+($S$5*J5))</f>
        <v>0.31866795870361275</v>
      </c>
      <c r="N5">
        <f t="shared" ref="N5:N6" si="8">D5*A5</f>
        <v>1.6363168799999998E-3</v>
      </c>
      <c r="O5">
        <f>E5*A5</f>
        <v>3.1064134287968434E-4</v>
      </c>
      <c r="P5">
        <f>-K5-M5-N5-O5</f>
        <v>-3.1844343950480497E-2</v>
      </c>
      <c r="R5" s="2" t="s">
        <v>17</v>
      </c>
      <c r="S5">
        <v>-4.19E-2</v>
      </c>
      <c r="V5">
        <v>-5.9</v>
      </c>
      <c r="W5">
        <f t="shared" ref="W5:W68" si="9">V5*$S$5+$S$4</f>
        <v>-0.24399000000000001</v>
      </c>
      <c r="Y5">
        <v>0.01</v>
      </c>
      <c r="Z5">
        <f t="shared" ref="Z5:Z31" si="10">$AB$4*Y5+$AB$3</f>
        <v>-0.25431960000000003</v>
      </c>
    </row>
    <row r="6" spans="1:29" x14ac:dyDescent="0.3">
      <c r="A6">
        <v>0.13181794999999999</v>
      </c>
      <c r="B6">
        <v>0.85640000000000005</v>
      </c>
      <c r="C6">
        <f t="shared" si="1"/>
        <v>0.11288889237999999</v>
      </c>
      <c r="D6">
        <v>2.01E-2</v>
      </c>
      <c r="E6">
        <v>3.8158201924077539E-3</v>
      </c>
      <c r="F6">
        <f t="shared" si="2"/>
        <v>26.363589999999999</v>
      </c>
      <c r="G6">
        <f t="shared" si="3"/>
        <v>-0.85640000000000005</v>
      </c>
      <c r="H6">
        <f t="shared" si="4"/>
        <v>-22.577778475999999</v>
      </c>
      <c r="I6">
        <v>1</v>
      </c>
      <c r="J6">
        <f t="shared" si="5"/>
        <v>-3.6357713874222242</v>
      </c>
      <c r="K6">
        <f t="shared" si="6"/>
        <v>-0.32351057297601193</v>
      </c>
      <c r="L6">
        <v>1</v>
      </c>
      <c r="M6">
        <f t="shared" si="7"/>
        <v>0.33886117886700884</v>
      </c>
      <c r="N6">
        <f t="shared" si="8"/>
        <v>2.6495407949999996E-3</v>
      </c>
      <c r="O6">
        <f t="shared" ref="O6:O69" si="11">E6*A6</f>
        <v>5.0299359533179566E-4</v>
      </c>
      <c r="P6">
        <f t="shared" ref="P6:P69" si="12">-K6-M6-N6-O6</f>
        <v>-1.8503140281328698E-2</v>
      </c>
      <c r="V6">
        <v>-5.8</v>
      </c>
      <c r="W6">
        <f t="shared" si="9"/>
        <v>-0.24818000000000004</v>
      </c>
      <c r="Y6">
        <v>0.02</v>
      </c>
      <c r="Z6">
        <f t="shared" si="10"/>
        <v>-0.16974920000000004</v>
      </c>
      <c r="AB6" t="s">
        <v>32</v>
      </c>
    </row>
    <row r="7" spans="1:29" x14ac:dyDescent="0.3">
      <c r="A7">
        <v>0.1822271</v>
      </c>
      <c r="B7">
        <v>0.83906000000000003</v>
      </c>
      <c r="C7">
        <f t="shared" si="1"/>
        <v>0.152899470526</v>
      </c>
      <c r="D7">
        <v>2.01E-2</v>
      </c>
      <c r="E7">
        <v>3.8158201924077539E-3</v>
      </c>
      <c r="F7">
        <f t="shared" si="2"/>
        <v>36.445419999999999</v>
      </c>
      <c r="G7">
        <f t="shared" si="3"/>
        <v>-0.83906000000000003</v>
      </c>
      <c r="H7">
        <f t="shared" si="4"/>
        <v>-30.579894105200001</v>
      </c>
      <c r="I7">
        <v>1</v>
      </c>
      <c r="J7">
        <f t="shared" si="5"/>
        <v>-3.3119394799997943</v>
      </c>
      <c r="K7">
        <f t="shared" si="6"/>
        <v>-0.34085057297601196</v>
      </c>
      <c r="L7">
        <v>1</v>
      </c>
      <c r="M7">
        <f t="shared" si="7"/>
        <v>0.35242973578800862</v>
      </c>
      <c r="N7">
        <f t="shared" ref="N7:N70" si="13">D7*A7</f>
        <v>3.66276471E-3</v>
      </c>
      <c r="O7">
        <f t="shared" si="11"/>
        <v>6.9534584778390698E-4</v>
      </c>
      <c r="P7">
        <f t="shared" si="12"/>
        <v>-1.5937273369780576E-2</v>
      </c>
      <c r="V7">
        <v>-5.7</v>
      </c>
      <c r="W7">
        <f t="shared" si="9"/>
        <v>-0.25236999999999998</v>
      </c>
      <c r="Y7">
        <v>0.03</v>
      </c>
      <c r="Z7">
        <f t="shared" si="10"/>
        <v>-8.5178800000000054E-2</v>
      </c>
      <c r="AB7" t="s">
        <v>33</v>
      </c>
      <c r="AC7">
        <f>-AB3/AB4</f>
        <v>4.0071940064135919E-2</v>
      </c>
    </row>
    <row r="8" spans="1:29" x14ac:dyDescent="0.3">
      <c r="A8">
        <v>0.2367097</v>
      </c>
      <c r="B8">
        <v>0.82577</v>
      </c>
      <c r="C8">
        <f t="shared" si="1"/>
        <v>0.19546776896900001</v>
      </c>
      <c r="D8">
        <v>2.01E-2</v>
      </c>
      <c r="E8">
        <v>3.8158201924077539E-3</v>
      </c>
      <c r="F8">
        <f t="shared" si="2"/>
        <v>47.341940000000001</v>
      </c>
      <c r="G8">
        <f t="shared" si="3"/>
        <v>-0.82577</v>
      </c>
      <c r="H8">
        <f t="shared" si="4"/>
        <v>-39.093553793799998</v>
      </c>
      <c r="I8">
        <v>1</v>
      </c>
      <c r="J8">
        <f t="shared" si="5"/>
        <v>-3.0503586955923208</v>
      </c>
      <c r="K8">
        <f t="shared" si="6"/>
        <v>-0.35414057297601198</v>
      </c>
      <c r="L8">
        <v>1</v>
      </c>
      <c r="M8">
        <f t="shared" si="7"/>
        <v>0.36338997065468182</v>
      </c>
      <c r="N8">
        <f t="shared" si="13"/>
        <v>4.7578649700000001E-3</v>
      </c>
      <c r="O8">
        <f t="shared" si="11"/>
        <v>9.0324165299878172E-4</v>
      </c>
      <c r="P8">
        <f t="shared" si="12"/>
        <v>-1.4910504301668619E-2</v>
      </c>
      <c r="V8">
        <v>-5.6</v>
      </c>
      <c r="W8">
        <f t="shared" si="9"/>
        <v>-0.25656000000000001</v>
      </c>
      <c r="Y8">
        <v>0.04</v>
      </c>
      <c r="Z8">
        <f t="shared" si="10"/>
        <v>-6.0840000000006444E-4</v>
      </c>
    </row>
    <row r="9" spans="1:29" x14ac:dyDescent="0.3">
      <c r="A9">
        <v>0.28864640000000003</v>
      </c>
      <c r="B9">
        <v>0.81581999999999999</v>
      </c>
      <c r="C9">
        <f t="shared" si="1"/>
        <v>0.23548350604800003</v>
      </c>
      <c r="D9">
        <v>2.01E-2</v>
      </c>
      <c r="E9">
        <v>3.8158201924077539E-3</v>
      </c>
      <c r="F9">
        <f t="shared" si="2"/>
        <v>57.729280000000003</v>
      </c>
      <c r="G9">
        <f t="shared" si="3"/>
        <v>-0.81581999999999999</v>
      </c>
      <c r="H9">
        <f t="shared" si="4"/>
        <v>-47.096701209600006</v>
      </c>
      <c r="I9">
        <v>1</v>
      </c>
      <c r="J9">
        <f t="shared" si="5"/>
        <v>-2.8519907818387926</v>
      </c>
      <c r="K9">
        <f t="shared" si="6"/>
        <v>-0.36409057297601199</v>
      </c>
      <c r="L9">
        <v>1</v>
      </c>
      <c r="M9">
        <f t="shared" si="7"/>
        <v>0.37170158624095462</v>
      </c>
      <c r="N9">
        <f t="shared" si="13"/>
        <v>5.8017926400000001E-3</v>
      </c>
      <c r="O9">
        <f t="shared" si="11"/>
        <v>1.1014227615858056E-3</v>
      </c>
      <c r="P9">
        <f t="shared" si="12"/>
        <v>-1.451422866652843E-2</v>
      </c>
      <c r="V9">
        <v>-5.5</v>
      </c>
      <c r="W9">
        <f t="shared" si="9"/>
        <v>-0.26075000000000004</v>
      </c>
      <c r="Y9">
        <v>0.05</v>
      </c>
      <c r="Z9">
        <f t="shared" si="10"/>
        <v>8.3961999999999981E-2</v>
      </c>
      <c r="AB9" t="s">
        <v>35</v>
      </c>
      <c r="AC9">
        <v>3.8800000000000001E-2</v>
      </c>
    </row>
    <row r="10" spans="1:29" x14ac:dyDescent="0.3">
      <c r="A10">
        <v>0.33956474999999997</v>
      </c>
      <c r="B10">
        <v>0.80630999999999997</v>
      </c>
      <c r="C10">
        <f t="shared" si="1"/>
        <v>0.27379445357249999</v>
      </c>
      <c r="D10">
        <v>2.01E-2</v>
      </c>
      <c r="E10">
        <v>3.8158201924077539E-3</v>
      </c>
      <c r="F10">
        <f t="shared" si="2"/>
        <v>67.912949999999995</v>
      </c>
      <c r="G10">
        <f t="shared" si="3"/>
        <v>-0.80630999999999997</v>
      </c>
      <c r="H10">
        <f t="shared" si="4"/>
        <v>-54.758890714499998</v>
      </c>
      <c r="I10">
        <v>1</v>
      </c>
      <c r="J10">
        <f t="shared" si="5"/>
        <v>-2.6895285409530638</v>
      </c>
      <c r="K10">
        <f t="shared" si="6"/>
        <v>-0.37360057297601201</v>
      </c>
      <c r="L10">
        <v>1</v>
      </c>
      <c r="M10">
        <f t="shared" si="7"/>
        <v>0.37850875413406665</v>
      </c>
      <c r="N10">
        <f t="shared" si="13"/>
        <v>6.8252514749999995E-3</v>
      </c>
      <c r="O10">
        <f t="shared" si="11"/>
        <v>1.2957180296798907E-3</v>
      </c>
      <c r="P10">
        <f t="shared" si="12"/>
        <v>-1.3029150662734525E-2</v>
      </c>
      <c r="V10">
        <v>-5.4</v>
      </c>
      <c r="W10">
        <f t="shared" si="9"/>
        <v>-0.26494000000000001</v>
      </c>
      <c r="Y10">
        <v>0.06</v>
      </c>
      <c r="Z10">
        <f t="shared" si="10"/>
        <v>0.16853239999999992</v>
      </c>
    </row>
    <row r="11" spans="1:29" x14ac:dyDescent="0.3">
      <c r="A11">
        <v>0.39251980000000003</v>
      </c>
      <c r="B11">
        <v>0.79849000000000003</v>
      </c>
      <c r="C11">
        <f t="shared" si="1"/>
        <v>0.31342313510200004</v>
      </c>
      <c r="D11">
        <v>2.01E-2</v>
      </c>
      <c r="E11">
        <v>3.8158201924077539E-3</v>
      </c>
      <c r="F11">
        <f t="shared" si="2"/>
        <v>78.503960000000006</v>
      </c>
      <c r="G11">
        <f t="shared" si="3"/>
        <v>-0.79849000000000003</v>
      </c>
      <c r="H11">
        <f t="shared" si="4"/>
        <v>-62.684627020400008</v>
      </c>
      <c r="I11">
        <v>1</v>
      </c>
      <c r="J11">
        <f t="shared" si="5"/>
        <v>-2.5446062096062509</v>
      </c>
      <c r="K11">
        <f t="shared" si="6"/>
        <v>-0.38142057297601195</v>
      </c>
      <c r="L11">
        <v>1</v>
      </c>
      <c r="M11">
        <f t="shared" si="7"/>
        <v>0.3845809998174981</v>
      </c>
      <c r="N11">
        <f t="shared" si="13"/>
        <v>7.8896479800000009E-3</v>
      </c>
      <c r="O11">
        <f t="shared" si="11"/>
        <v>1.4977849787598532E-3</v>
      </c>
      <c r="P11">
        <f t="shared" si="12"/>
        <v>-1.2547859800246006E-2</v>
      </c>
      <c r="V11">
        <v>-5.3</v>
      </c>
      <c r="W11">
        <f t="shared" si="9"/>
        <v>-0.26913000000000004</v>
      </c>
      <c r="Y11">
        <v>7.0000000000000007E-2</v>
      </c>
      <c r="Z11">
        <f t="shared" si="10"/>
        <v>0.25310279999999996</v>
      </c>
      <c r="AB11" t="s">
        <v>34</v>
      </c>
      <c r="AC11">
        <f>AC7-AC9</f>
        <v>1.271940064135918E-3</v>
      </c>
    </row>
    <row r="12" spans="1:29" x14ac:dyDescent="0.3">
      <c r="A12">
        <v>0.44394730000000004</v>
      </c>
      <c r="B12">
        <v>0.79198999999999997</v>
      </c>
      <c r="C12">
        <f t="shared" si="1"/>
        <v>0.35160182212700003</v>
      </c>
      <c r="D12">
        <v>2.01E-2</v>
      </c>
      <c r="E12">
        <v>3.8158201924077539E-3</v>
      </c>
      <c r="F12">
        <f t="shared" si="2"/>
        <v>88.789460000000005</v>
      </c>
      <c r="G12">
        <f t="shared" si="3"/>
        <v>-0.79198999999999997</v>
      </c>
      <c r="H12">
        <f t="shared" si="4"/>
        <v>-70.320364425400001</v>
      </c>
      <c r="I12">
        <v>1</v>
      </c>
      <c r="J12">
        <f t="shared" si="5"/>
        <v>-2.4214873297223605</v>
      </c>
      <c r="K12">
        <f t="shared" si="6"/>
        <v>-0.38792057297601201</v>
      </c>
      <c r="L12">
        <v>1</v>
      </c>
      <c r="M12">
        <f t="shared" si="7"/>
        <v>0.38973968088463312</v>
      </c>
      <c r="N12">
        <f t="shared" si="13"/>
        <v>8.9233407300000015E-3</v>
      </c>
      <c r="O12">
        <f t="shared" si="11"/>
        <v>1.6940230717049031E-3</v>
      </c>
      <c r="P12">
        <f t="shared" si="12"/>
        <v>-1.2436471710326014E-2</v>
      </c>
      <c r="V12">
        <v>-5.2</v>
      </c>
      <c r="W12">
        <f t="shared" si="9"/>
        <v>-0.27332000000000001</v>
      </c>
      <c r="Y12">
        <v>0.08</v>
      </c>
      <c r="Z12">
        <f t="shared" si="10"/>
        <v>0.3376731999999999</v>
      </c>
      <c r="AC12">
        <f>AC11*3</f>
        <v>3.8158201924077539E-3</v>
      </c>
    </row>
    <row r="13" spans="1:29" x14ac:dyDescent="0.3">
      <c r="A13">
        <v>0.49486564999999999</v>
      </c>
      <c r="B13">
        <v>0.78520000000000001</v>
      </c>
      <c r="C13">
        <f t="shared" si="1"/>
        <v>0.38856850838000001</v>
      </c>
      <c r="D13">
        <v>2.01E-2</v>
      </c>
      <c r="E13">
        <v>3.8158201924077539E-3</v>
      </c>
      <c r="F13">
        <f t="shared" si="2"/>
        <v>98.973129999999998</v>
      </c>
      <c r="G13">
        <f t="shared" si="3"/>
        <v>-0.78520000000000001</v>
      </c>
      <c r="H13">
        <f t="shared" si="4"/>
        <v>-77.713701675999999</v>
      </c>
      <c r="I13">
        <v>1</v>
      </c>
      <c r="J13">
        <f t="shared" si="5"/>
        <v>-2.3129068798284456</v>
      </c>
      <c r="K13">
        <f t="shared" si="6"/>
        <v>-0.39471057297601198</v>
      </c>
      <c r="L13">
        <v>1</v>
      </c>
      <c r="M13">
        <f t="shared" si="7"/>
        <v>0.39428920173518817</v>
      </c>
      <c r="N13">
        <f t="shared" si="13"/>
        <v>9.9467995649999991E-3</v>
      </c>
      <c r="O13">
        <f t="shared" si="11"/>
        <v>1.8883183397989882E-3</v>
      </c>
      <c r="P13">
        <f t="shared" si="12"/>
        <v>-1.1413746663975178E-2</v>
      </c>
      <c r="V13">
        <v>-5.0999999999999996</v>
      </c>
      <c r="W13">
        <f t="shared" si="9"/>
        <v>-0.27751000000000003</v>
      </c>
      <c r="Y13">
        <v>0.09</v>
      </c>
      <c r="Z13">
        <f t="shared" si="10"/>
        <v>0.42224359999999983</v>
      </c>
    </row>
    <row r="14" spans="1:29" x14ac:dyDescent="0.3">
      <c r="A14">
        <v>0.54578400000000005</v>
      </c>
      <c r="B14">
        <v>0.77905000000000002</v>
      </c>
      <c r="C14">
        <f t="shared" si="1"/>
        <v>0.42519302520000007</v>
      </c>
      <c r="D14">
        <v>2.01E-2</v>
      </c>
      <c r="E14">
        <v>3.8158201924077539E-3</v>
      </c>
      <c r="F14">
        <f t="shared" si="2"/>
        <v>109.1568</v>
      </c>
      <c r="G14">
        <f t="shared" si="3"/>
        <v>-0.77905000000000002</v>
      </c>
      <c r="H14">
        <f t="shared" si="4"/>
        <v>-85.038605040000022</v>
      </c>
      <c r="I14">
        <v>1</v>
      </c>
      <c r="J14">
        <f t="shared" si="5"/>
        <v>-2.2149698983389996</v>
      </c>
      <c r="K14">
        <f t="shared" si="6"/>
        <v>-0.40086057297601196</v>
      </c>
      <c r="L14">
        <v>1</v>
      </c>
      <c r="M14">
        <f t="shared" si="7"/>
        <v>0.39839276125959594</v>
      </c>
      <c r="N14">
        <f t="shared" si="13"/>
        <v>1.09702584E-2</v>
      </c>
      <c r="O14">
        <f t="shared" si="11"/>
        <v>2.0826136078930736E-3</v>
      </c>
      <c r="P14">
        <f t="shared" si="12"/>
        <v>-1.0585060291477049E-2</v>
      </c>
      <c r="V14">
        <v>-5</v>
      </c>
      <c r="W14">
        <f t="shared" si="9"/>
        <v>-0.28170000000000006</v>
      </c>
      <c r="Y14">
        <v>0.1</v>
      </c>
      <c r="Z14">
        <f t="shared" si="10"/>
        <v>0.50681399999999999</v>
      </c>
    </row>
    <row r="15" spans="1:29" x14ac:dyDescent="0.3">
      <c r="A15">
        <v>0.59619310000000003</v>
      </c>
      <c r="B15">
        <v>0.77332000000000001</v>
      </c>
      <c r="C15">
        <f t="shared" si="1"/>
        <v>0.46104804809200001</v>
      </c>
      <c r="D15">
        <v>2.01E-2</v>
      </c>
      <c r="E15">
        <v>3.8158201924077539E-3</v>
      </c>
      <c r="F15">
        <f t="shared" si="2"/>
        <v>119.23862000000001</v>
      </c>
      <c r="G15">
        <f t="shared" si="3"/>
        <v>-0.77332000000000001</v>
      </c>
      <c r="H15">
        <f t="shared" si="4"/>
        <v>-92.209609618399995</v>
      </c>
      <c r="I15">
        <v>1</v>
      </c>
      <c r="J15">
        <f t="shared" si="5"/>
        <v>-2.1266285835367884</v>
      </c>
      <c r="K15">
        <f t="shared" si="6"/>
        <v>-0.40659057297601198</v>
      </c>
      <c r="L15">
        <v>1</v>
      </c>
      <c r="M15">
        <f t="shared" si="7"/>
        <v>0.40209426234980861</v>
      </c>
      <c r="N15">
        <f t="shared" si="13"/>
        <v>1.198348131E-2</v>
      </c>
      <c r="O15">
        <f t="shared" si="11"/>
        <v>2.2749656695541754E-3</v>
      </c>
      <c r="P15">
        <f t="shared" si="12"/>
        <v>-9.7621363533508046E-3</v>
      </c>
      <c r="V15">
        <v>-4.9000000000000004</v>
      </c>
      <c r="W15">
        <f t="shared" si="9"/>
        <v>-0.28588999999999998</v>
      </c>
      <c r="Y15">
        <v>0.11</v>
      </c>
      <c r="Z15">
        <f t="shared" si="10"/>
        <v>0.59138439999999992</v>
      </c>
    </row>
    <row r="16" spans="1:29" x14ac:dyDescent="0.3">
      <c r="A16">
        <v>0.64812979999999998</v>
      </c>
      <c r="B16">
        <v>0.76824000000000003</v>
      </c>
      <c r="C16">
        <f t="shared" si="1"/>
        <v>0.49791923755200002</v>
      </c>
      <c r="D16">
        <v>2.01E-2</v>
      </c>
      <c r="E16">
        <v>3.8158201924077539E-3</v>
      </c>
      <c r="F16">
        <f t="shared" si="2"/>
        <v>129.62595999999999</v>
      </c>
      <c r="G16">
        <f t="shared" si="3"/>
        <v>-0.76824000000000003</v>
      </c>
      <c r="H16">
        <f t="shared" si="4"/>
        <v>-99.583847510400005</v>
      </c>
      <c r="I16">
        <v>1</v>
      </c>
      <c r="J16">
        <f t="shared" si="5"/>
        <v>-2.0431022064810849</v>
      </c>
      <c r="K16">
        <f t="shared" si="6"/>
        <v>-0.41167057297601195</v>
      </c>
      <c r="L16">
        <v>1</v>
      </c>
      <c r="M16">
        <f t="shared" si="7"/>
        <v>0.4055940175484426</v>
      </c>
      <c r="N16">
        <f t="shared" si="13"/>
        <v>1.302740898E-2</v>
      </c>
      <c r="O16">
        <f t="shared" si="11"/>
        <v>2.4731467781411989E-3</v>
      </c>
      <c r="P16">
        <f t="shared" si="12"/>
        <v>-9.424000330571846E-3</v>
      </c>
      <c r="V16">
        <v>-4.8</v>
      </c>
      <c r="W16">
        <f t="shared" si="9"/>
        <v>-0.29008</v>
      </c>
      <c r="Y16">
        <v>0.12</v>
      </c>
      <c r="Z16">
        <f t="shared" si="10"/>
        <v>0.67595479999999986</v>
      </c>
    </row>
    <row r="17" spans="1:26" x14ac:dyDescent="0.3">
      <c r="A17">
        <v>0.70006645000000001</v>
      </c>
      <c r="B17">
        <v>0.76309000000000005</v>
      </c>
      <c r="C17">
        <f t="shared" si="1"/>
        <v>0.5342137073305</v>
      </c>
      <c r="D17">
        <v>2.01E-2</v>
      </c>
      <c r="E17">
        <v>3.8158201924077539E-3</v>
      </c>
      <c r="F17">
        <f t="shared" si="2"/>
        <v>140.01329000000001</v>
      </c>
      <c r="G17">
        <f t="shared" si="3"/>
        <v>-0.76309000000000005</v>
      </c>
      <c r="H17">
        <f t="shared" si="4"/>
        <v>-106.84274146609999</v>
      </c>
      <c r="I17">
        <v>1</v>
      </c>
      <c r="J17">
        <f t="shared" si="5"/>
        <v>-1.9660179323068359</v>
      </c>
      <c r="K17">
        <f t="shared" si="6"/>
        <v>-0.41682057297601194</v>
      </c>
      <c r="L17">
        <v>1</v>
      </c>
      <c r="M17">
        <f t="shared" si="7"/>
        <v>0.40882384863634358</v>
      </c>
      <c r="N17">
        <f t="shared" si="13"/>
        <v>1.4071335645E-2</v>
      </c>
      <c r="O17">
        <f t="shared" si="11"/>
        <v>2.6713276959372135E-3</v>
      </c>
      <c r="P17">
        <f t="shared" si="12"/>
        <v>-8.7459390012688543E-3</v>
      </c>
      <c r="V17">
        <v>-4.7</v>
      </c>
      <c r="W17">
        <f t="shared" si="9"/>
        <v>-0.29427000000000003</v>
      </c>
      <c r="Y17">
        <v>0.13</v>
      </c>
      <c r="Z17">
        <f t="shared" si="10"/>
        <v>0.7605251999999999</v>
      </c>
    </row>
    <row r="18" spans="1:26" x14ac:dyDescent="0.3">
      <c r="A18">
        <v>0.75047565000000005</v>
      </c>
      <c r="B18">
        <v>0.75829999999999997</v>
      </c>
      <c r="C18">
        <f t="shared" si="1"/>
        <v>0.56908568539500004</v>
      </c>
      <c r="D18">
        <v>2.01E-2</v>
      </c>
      <c r="E18">
        <v>3.8158201924077539E-3</v>
      </c>
      <c r="F18">
        <f t="shared" si="2"/>
        <v>150.09513000000001</v>
      </c>
      <c r="G18">
        <f t="shared" si="3"/>
        <v>-0.75829999999999997</v>
      </c>
      <c r="H18">
        <f t="shared" si="4"/>
        <v>-113.81713707900001</v>
      </c>
      <c r="I18">
        <v>1</v>
      </c>
      <c r="J18">
        <f t="shared" si="5"/>
        <v>-1.8964859859057144</v>
      </c>
      <c r="K18">
        <f t="shared" si="6"/>
        <v>-0.42161057297601201</v>
      </c>
      <c r="L18">
        <v>1</v>
      </c>
      <c r="M18">
        <f t="shared" si="7"/>
        <v>0.41173723719055061</v>
      </c>
      <c r="N18">
        <f t="shared" si="13"/>
        <v>1.5084560565E-2</v>
      </c>
      <c r="O18">
        <f t="shared" si="11"/>
        <v>2.8636801391803343E-3</v>
      </c>
      <c r="P18">
        <f t="shared" si="12"/>
        <v>-8.0749049187189333E-3</v>
      </c>
      <c r="V18">
        <v>-4.5999999999999996</v>
      </c>
      <c r="W18">
        <f t="shared" si="9"/>
        <v>-0.29846000000000006</v>
      </c>
      <c r="Y18">
        <v>0.14000000000000001</v>
      </c>
      <c r="Z18">
        <f t="shared" si="10"/>
        <v>0.84509559999999995</v>
      </c>
    </row>
    <row r="19" spans="1:26" x14ac:dyDescent="0.3">
      <c r="A19">
        <v>0.80190315000000001</v>
      </c>
      <c r="B19">
        <v>0.75407999999999997</v>
      </c>
      <c r="C19">
        <f t="shared" si="1"/>
        <v>0.60469912735199993</v>
      </c>
      <c r="D19">
        <v>2.01E-2</v>
      </c>
      <c r="E19">
        <v>3.8158201924077539E-3</v>
      </c>
      <c r="F19">
        <f t="shared" si="2"/>
        <v>160.38063</v>
      </c>
      <c r="G19">
        <f t="shared" si="3"/>
        <v>-0.75407999999999997</v>
      </c>
      <c r="H19">
        <f t="shared" si="4"/>
        <v>-120.93982547039998</v>
      </c>
      <c r="I19">
        <v>1</v>
      </c>
      <c r="J19">
        <f t="shared" si="5"/>
        <v>-1.8302053514403749</v>
      </c>
      <c r="K19">
        <f t="shared" si="6"/>
        <v>-0.42583057297601201</v>
      </c>
      <c r="L19">
        <v>1</v>
      </c>
      <c r="M19">
        <f t="shared" si="7"/>
        <v>0.41451439577464833</v>
      </c>
      <c r="N19">
        <f t="shared" si="13"/>
        <v>1.6118253315000001E-2</v>
      </c>
      <c r="O19">
        <f t="shared" si="11"/>
        <v>3.059918232125384E-3</v>
      </c>
      <c r="P19">
        <f t="shared" si="12"/>
        <v>-7.8619943457616977E-3</v>
      </c>
      <c r="V19">
        <v>-4.5000000000000098</v>
      </c>
      <c r="W19">
        <f t="shared" si="9"/>
        <v>-0.30264999999999964</v>
      </c>
      <c r="Y19">
        <v>0.15</v>
      </c>
      <c r="Z19">
        <f t="shared" si="10"/>
        <v>0.92966599999999977</v>
      </c>
    </row>
    <row r="20" spans="1:26" x14ac:dyDescent="0.3">
      <c r="A20">
        <v>0.85231224999999999</v>
      </c>
      <c r="B20">
        <v>0.74987999999999999</v>
      </c>
      <c r="C20">
        <f t="shared" si="1"/>
        <v>0.63913191003000003</v>
      </c>
      <c r="D20">
        <v>2.01E-2</v>
      </c>
      <c r="E20">
        <v>3.8158201924077539E-3</v>
      </c>
      <c r="F20">
        <f t="shared" si="2"/>
        <v>170.46244999999999</v>
      </c>
      <c r="G20">
        <f t="shared" si="3"/>
        <v>-0.74987999999999999</v>
      </c>
      <c r="H20">
        <f t="shared" si="4"/>
        <v>-127.826382006</v>
      </c>
      <c r="I20">
        <v>1</v>
      </c>
      <c r="J20">
        <f t="shared" si="5"/>
        <v>-1.7692402411178729</v>
      </c>
      <c r="K20">
        <f t="shared" si="6"/>
        <v>-0.43003057297601199</v>
      </c>
      <c r="L20">
        <v>1</v>
      </c>
      <c r="M20">
        <f t="shared" si="7"/>
        <v>0.41706883389716115</v>
      </c>
      <c r="N20">
        <f t="shared" si="13"/>
        <v>1.7131476225000001E-2</v>
      </c>
      <c r="O20">
        <f t="shared" si="11"/>
        <v>3.2522702937864858E-3</v>
      </c>
      <c r="P20">
        <f t="shared" si="12"/>
        <v>-7.4220074399356448E-3</v>
      </c>
      <c r="V20">
        <v>-4.4000000000000101</v>
      </c>
      <c r="W20">
        <f t="shared" si="9"/>
        <v>-0.30683999999999961</v>
      </c>
      <c r="Y20">
        <v>0.16</v>
      </c>
      <c r="Z20">
        <f t="shared" si="10"/>
        <v>1.0142363999999997</v>
      </c>
    </row>
    <row r="21" spans="1:26" x14ac:dyDescent="0.3">
      <c r="A21">
        <v>0.90323065000000002</v>
      </c>
      <c r="B21">
        <v>0.74546999999999997</v>
      </c>
      <c r="C21">
        <f t="shared" si="1"/>
        <v>0.67333135265550004</v>
      </c>
      <c r="D21">
        <v>2.01E-2</v>
      </c>
      <c r="E21">
        <v>3.8158201924077539E-3</v>
      </c>
      <c r="F21">
        <f t="shared" si="2"/>
        <v>180.64613</v>
      </c>
      <c r="G21">
        <f t="shared" si="3"/>
        <v>-0.74546999999999997</v>
      </c>
      <c r="H21">
        <f t="shared" si="4"/>
        <v>-134.6662705311</v>
      </c>
      <c r="I21">
        <v>1</v>
      </c>
      <c r="J21">
        <f t="shared" si="5"/>
        <v>-1.711215244258421</v>
      </c>
      <c r="K21">
        <f t="shared" si="6"/>
        <v>-0.43444057297601202</v>
      </c>
      <c r="L21">
        <v>1</v>
      </c>
      <c r="M21">
        <f t="shared" si="7"/>
        <v>0.4195000812655722</v>
      </c>
      <c r="N21">
        <f t="shared" si="13"/>
        <v>1.8154936065000002E-2</v>
      </c>
      <c r="O21">
        <f t="shared" si="11"/>
        <v>3.4465657526715808E-3</v>
      </c>
      <c r="P21">
        <f t="shared" si="12"/>
        <v>-6.6610101072317645E-3</v>
      </c>
      <c r="V21">
        <v>-4.3000000000000096</v>
      </c>
      <c r="W21">
        <f t="shared" si="9"/>
        <v>-0.31102999999999958</v>
      </c>
      <c r="Y21">
        <v>0.17</v>
      </c>
      <c r="Z21">
        <f t="shared" si="10"/>
        <v>1.0988067999999998</v>
      </c>
    </row>
    <row r="22" spans="1:26" x14ac:dyDescent="0.3">
      <c r="A22">
        <v>0.95363975000000001</v>
      </c>
      <c r="B22">
        <v>0.74138000000000004</v>
      </c>
      <c r="C22">
        <f t="shared" si="1"/>
        <v>0.70700943785500003</v>
      </c>
      <c r="D22">
        <v>2.01E-2</v>
      </c>
      <c r="E22">
        <v>3.8158201924077539E-3</v>
      </c>
      <c r="F22">
        <f t="shared" si="2"/>
        <v>190.72794999999999</v>
      </c>
      <c r="G22">
        <f t="shared" si="3"/>
        <v>-0.74138000000000004</v>
      </c>
      <c r="H22">
        <f t="shared" si="4"/>
        <v>-141.401887571</v>
      </c>
      <c r="I22">
        <v>1</v>
      </c>
      <c r="J22">
        <f t="shared" si="5"/>
        <v>-1.6569072118296166</v>
      </c>
      <c r="K22">
        <f t="shared" si="6"/>
        <v>-0.43853057297601195</v>
      </c>
      <c r="L22">
        <v>1</v>
      </c>
      <c r="M22">
        <f t="shared" si="7"/>
        <v>0.4217755878243391</v>
      </c>
      <c r="N22">
        <f t="shared" si="13"/>
        <v>1.9168158974999999E-2</v>
      </c>
      <c r="O22">
        <f t="shared" si="11"/>
        <v>3.6389178143326822E-3</v>
      </c>
      <c r="P22">
        <f t="shared" si="12"/>
        <v>-6.0520916376598398E-3</v>
      </c>
      <c r="V22">
        <v>-4.2000000000000099</v>
      </c>
      <c r="W22">
        <f t="shared" si="9"/>
        <v>-0.31521999999999961</v>
      </c>
      <c r="Y22">
        <v>0.18</v>
      </c>
      <c r="Z22">
        <f t="shared" si="10"/>
        <v>1.1833771999999998</v>
      </c>
    </row>
    <row r="23" spans="1:26" x14ac:dyDescent="0.3">
      <c r="A23">
        <v>1.0040488999999999</v>
      </c>
      <c r="B23">
        <v>0.73738999999999999</v>
      </c>
      <c r="C23">
        <f t="shared" si="1"/>
        <v>0.74037561837099997</v>
      </c>
      <c r="D23">
        <v>2.01E-2</v>
      </c>
      <c r="E23">
        <v>3.8158201924077539E-3</v>
      </c>
      <c r="F23">
        <f t="shared" si="2"/>
        <v>200.80977999999999</v>
      </c>
      <c r="G23">
        <f t="shared" si="3"/>
        <v>-0.73738999999999999</v>
      </c>
      <c r="H23">
        <f t="shared" si="4"/>
        <v>-148.0751236742</v>
      </c>
      <c r="I23">
        <v>1</v>
      </c>
      <c r="J23">
        <f t="shared" si="5"/>
        <v>-1.6053971871713388</v>
      </c>
      <c r="K23">
        <f t="shared" si="6"/>
        <v>-0.44252057297601199</v>
      </c>
      <c r="L23">
        <v>1</v>
      </c>
      <c r="M23">
        <f t="shared" si="7"/>
        <v>0.42393385785752091</v>
      </c>
      <c r="N23">
        <f t="shared" si="13"/>
        <v>2.0181382889999998E-2</v>
      </c>
      <c r="O23">
        <f t="shared" si="11"/>
        <v>3.8312700667847933E-3</v>
      </c>
      <c r="P23">
        <f t="shared" si="12"/>
        <v>-5.4259378382937101E-3</v>
      </c>
      <c r="V23">
        <v>-4.1000000000000103</v>
      </c>
      <c r="W23">
        <f t="shared" si="9"/>
        <v>-0.31940999999999958</v>
      </c>
      <c r="Y23">
        <v>0.19</v>
      </c>
      <c r="Z23">
        <f t="shared" si="10"/>
        <v>1.2679475999999998</v>
      </c>
    </row>
    <row r="24" spans="1:26" x14ac:dyDescent="0.3">
      <c r="A24">
        <v>1.0549672999999999</v>
      </c>
      <c r="B24">
        <v>0.73358999999999996</v>
      </c>
      <c r="C24">
        <f t="shared" si="1"/>
        <v>0.77391346160699992</v>
      </c>
      <c r="D24">
        <v>2.01E-2</v>
      </c>
      <c r="E24">
        <v>3.8158201924077539E-3</v>
      </c>
      <c r="F24">
        <f t="shared" si="2"/>
        <v>210.99346</v>
      </c>
      <c r="G24">
        <f t="shared" si="3"/>
        <v>-0.73358999999999996</v>
      </c>
      <c r="H24">
        <f t="shared" si="4"/>
        <v>-154.78269232139999</v>
      </c>
      <c r="I24">
        <v>1</v>
      </c>
      <c r="J24">
        <f t="shared" si="5"/>
        <v>-1.5559281412470971</v>
      </c>
      <c r="K24">
        <f t="shared" si="6"/>
        <v>-0.44632057297601202</v>
      </c>
      <c r="L24">
        <v>1</v>
      </c>
      <c r="M24">
        <f t="shared" si="7"/>
        <v>0.42600661088174663</v>
      </c>
      <c r="N24">
        <f t="shared" si="13"/>
        <v>2.1204842729999999E-2</v>
      </c>
      <c r="O24">
        <f t="shared" si="11"/>
        <v>4.0255655256698887E-3</v>
      </c>
      <c r="P24">
        <f t="shared" si="12"/>
        <v>-4.9164461614044962E-3</v>
      </c>
      <c r="V24">
        <v>-4.0000000000000098</v>
      </c>
      <c r="W24">
        <f t="shared" si="9"/>
        <v>-0.32359999999999961</v>
      </c>
      <c r="Y24">
        <v>0.2</v>
      </c>
      <c r="Z24">
        <f t="shared" si="10"/>
        <v>1.3525179999999999</v>
      </c>
    </row>
    <row r="25" spans="1:26" x14ac:dyDescent="0.3">
      <c r="A25">
        <v>1.1063948000000001</v>
      </c>
      <c r="B25">
        <v>0.72989999999999999</v>
      </c>
      <c r="C25">
        <f t="shared" si="1"/>
        <v>0.80755756452000005</v>
      </c>
      <c r="D25">
        <v>2.01E-2</v>
      </c>
      <c r="E25">
        <v>3.8158201924077539E-3</v>
      </c>
      <c r="F25">
        <f t="shared" si="2"/>
        <v>221.27896000000001</v>
      </c>
      <c r="G25">
        <f t="shared" si="3"/>
        <v>-0.72989999999999999</v>
      </c>
      <c r="H25">
        <f t="shared" si="4"/>
        <v>-161.511512904</v>
      </c>
      <c r="I25">
        <v>1</v>
      </c>
      <c r="J25">
        <f t="shared" si="5"/>
        <v>-1.5083311110044271</v>
      </c>
      <c r="K25">
        <f t="shared" si="6"/>
        <v>-0.45001057297601199</v>
      </c>
      <c r="L25">
        <v>1</v>
      </c>
      <c r="M25">
        <f t="shared" si="7"/>
        <v>0.42800092644891452</v>
      </c>
      <c r="N25">
        <f t="shared" si="13"/>
        <v>2.2238535480000002E-2</v>
      </c>
      <c r="O25">
        <f t="shared" si="11"/>
        <v>4.2218036186149393E-3</v>
      </c>
      <c r="P25">
        <f t="shared" si="12"/>
        <v>-4.4506925715174705E-3</v>
      </c>
      <c r="V25">
        <v>-3.9000000000000101</v>
      </c>
      <c r="W25">
        <f t="shared" si="9"/>
        <v>-0.32778999999999958</v>
      </c>
      <c r="Y25">
        <v>0.21</v>
      </c>
      <c r="Z25">
        <f t="shared" si="10"/>
        <v>1.4370883999999999</v>
      </c>
    </row>
    <row r="26" spans="1:26" x14ac:dyDescent="0.3">
      <c r="A26">
        <v>1.1573130999999999</v>
      </c>
      <c r="B26">
        <v>0.72592999999999996</v>
      </c>
      <c r="C26">
        <f t="shared" si="1"/>
        <v>0.84012829868299987</v>
      </c>
      <c r="D26">
        <v>2.01E-2</v>
      </c>
      <c r="E26">
        <v>3.8158201924077539E-3</v>
      </c>
      <c r="F26">
        <f t="shared" si="2"/>
        <v>231.46261999999999</v>
      </c>
      <c r="G26">
        <f t="shared" si="3"/>
        <v>-0.72592999999999996</v>
      </c>
      <c r="H26">
        <f t="shared" si="4"/>
        <v>-168.02565973659998</v>
      </c>
      <c r="I26">
        <v>1</v>
      </c>
      <c r="J26">
        <f t="shared" si="5"/>
        <v>-1.463336887175825</v>
      </c>
      <c r="K26">
        <f t="shared" si="6"/>
        <v>-0.45398057297601202</v>
      </c>
      <c r="L26">
        <v>1</v>
      </c>
      <c r="M26">
        <f t="shared" si="7"/>
        <v>0.42988618442733295</v>
      </c>
      <c r="N26">
        <f t="shared" si="13"/>
        <v>2.3261993309999996E-2</v>
      </c>
      <c r="O26">
        <f t="shared" si="11"/>
        <v>4.4160986959180136E-3</v>
      </c>
      <c r="P26">
        <f t="shared" si="12"/>
        <v>-3.5837034572389409E-3</v>
      </c>
      <c r="V26">
        <v>-3.80000000000001</v>
      </c>
      <c r="W26">
        <f t="shared" si="9"/>
        <v>-0.33197999999999961</v>
      </c>
      <c r="Y26">
        <v>0.22</v>
      </c>
      <c r="Z26">
        <f t="shared" si="10"/>
        <v>1.5216588</v>
      </c>
    </row>
    <row r="27" spans="1:26" x14ac:dyDescent="0.3">
      <c r="A27">
        <v>1.2082316</v>
      </c>
      <c r="B27">
        <v>0.72184999999999999</v>
      </c>
      <c r="C27">
        <f t="shared" si="1"/>
        <v>0.87216198045999993</v>
      </c>
      <c r="D27">
        <v>2.01E-2</v>
      </c>
      <c r="E27">
        <v>3.8158201924077539E-3</v>
      </c>
      <c r="F27">
        <f t="shared" si="2"/>
        <v>241.64632</v>
      </c>
      <c r="G27">
        <f t="shared" si="3"/>
        <v>-0.72184999999999999</v>
      </c>
      <c r="H27">
        <f t="shared" si="4"/>
        <v>-174.43239609199998</v>
      </c>
      <c r="I27">
        <v>1</v>
      </c>
      <c r="J27">
        <f t="shared" si="5"/>
        <v>-1.4202801094434585</v>
      </c>
      <c r="K27">
        <f t="shared" si="6"/>
        <v>-0.45806057297601199</v>
      </c>
      <c r="L27">
        <v>1</v>
      </c>
      <c r="M27">
        <f t="shared" si="7"/>
        <v>0.4316902634143191</v>
      </c>
      <c r="N27">
        <f t="shared" si="13"/>
        <v>2.428545516E-2</v>
      </c>
      <c r="O27">
        <f t="shared" si="11"/>
        <v>4.6103945363851285E-3</v>
      </c>
      <c r="P27">
        <f t="shared" si="12"/>
        <v>-2.5255401346922337E-3</v>
      </c>
      <c r="V27">
        <v>-3.7000000000000099</v>
      </c>
      <c r="W27">
        <f t="shared" si="9"/>
        <v>-0.33616999999999964</v>
      </c>
      <c r="Y27">
        <v>0.23</v>
      </c>
      <c r="Z27">
        <f t="shared" si="10"/>
        <v>1.6062292</v>
      </c>
    </row>
    <row r="28" spans="1:26" x14ac:dyDescent="0.3">
      <c r="A28">
        <v>1.2627139999999999</v>
      </c>
      <c r="B28">
        <v>0.71858</v>
      </c>
      <c r="C28">
        <f t="shared" si="1"/>
        <v>0.90736102611999991</v>
      </c>
      <c r="D28">
        <v>2.01E-2</v>
      </c>
      <c r="E28">
        <v>3.8158201924077539E-3</v>
      </c>
      <c r="F28">
        <f t="shared" si="2"/>
        <v>252.54279999999997</v>
      </c>
      <c r="G28">
        <f t="shared" si="3"/>
        <v>-0.71858</v>
      </c>
      <c r="H28">
        <f t="shared" si="4"/>
        <v>-181.47220522399999</v>
      </c>
      <c r="I28">
        <v>1</v>
      </c>
      <c r="J28">
        <f t="shared" si="5"/>
        <v>-1.3761745396805687</v>
      </c>
      <c r="K28">
        <f t="shared" si="6"/>
        <v>-0.46133057297601199</v>
      </c>
      <c r="L28">
        <v>1</v>
      </c>
      <c r="M28">
        <f t="shared" si="7"/>
        <v>0.43353828678738421</v>
      </c>
      <c r="N28">
        <f t="shared" si="13"/>
        <v>2.5380551399999996E-2</v>
      </c>
      <c r="O28">
        <f t="shared" si="11"/>
        <v>4.818289578435964E-3</v>
      </c>
      <c r="P28">
        <f t="shared" si="12"/>
        <v>-2.4065547898081806E-3</v>
      </c>
      <c r="V28">
        <v>-3.6000000000000099</v>
      </c>
      <c r="W28">
        <f t="shared" si="9"/>
        <v>-0.34035999999999961</v>
      </c>
      <c r="Y28">
        <v>0.24</v>
      </c>
      <c r="Z28">
        <f t="shared" si="10"/>
        <v>1.6907995999999996</v>
      </c>
    </row>
    <row r="29" spans="1:26" x14ac:dyDescent="0.3">
      <c r="A29">
        <v>1.3136322999999999</v>
      </c>
      <c r="B29">
        <v>0.71445999999999998</v>
      </c>
      <c r="C29">
        <f t="shared" si="1"/>
        <v>0.93853773305799992</v>
      </c>
      <c r="D29">
        <v>2.01E-2</v>
      </c>
      <c r="E29">
        <v>3.8158201924077539E-3</v>
      </c>
      <c r="F29">
        <f t="shared" si="2"/>
        <v>262.72645999999997</v>
      </c>
      <c r="G29">
        <f t="shared" si="3"/>
        <v>-0.71445999999999998</v>
      </c>
      <c r="H29">
        <f t="shared" si="4"/>
        <v>-187.70754661159998</v>
      </c>
      <c r="I29">
        <v>1</v>
      </c>
      <c r="J29">
        <f t="shared" si="5"/>
        <v>-1.33664186410442</v>
      </c>
      <c r="K29">
        <f t="shared" si="6"/>
        <v>-0.465450572976012</v>
      </c>
      <c r="L29">
        <v>1</v>
      </c>
      <c r="M29">
        <f t="shared" si="7"/>
        <v>0.43519470589402481</v>
      </c>
      <c r="N29">
        <f t="shared" si="13"/>
        <v>2.6404009229999997E-2</v>
      </c>
      <c r="O29">
        <f t="shared" si="11"/>
        <v>5.0125846557390399E-3</v>
      </c>
      <c r="P29">
        <f t="shared" si="12"/>
        <v>-1.1607268037518506E-3</v>
      </c>
      <c r="V29">
        <v>-3.5000000000000102</v>
      </c>
      <c r="W29">
        <f t="shared" si="9"/>
        <v>-0.34454999999999958</v>
      </c>
      <c r="Y29">
        <v>0.25</v>
      </c>
      <c r="Z29">
        <f t="shared" si="10"/>
        <v>1.7753699999999997</v>
      </c>
    </row>
    <row r="30" spans="1:26" x14ac:dyDescent="0.3">
      <c r="A30">
        <v>1.3655690999999999</v>
      </c>
      <c r="B30">
        <v>0.71111999999999997</v>
      </c>
      <c r="C30">
        <f t="shared" si="1"/>
        <v>0.97108349839199992</v>
      </c>
      <c r="D30">
        <v>2.01E-2</v>
      </c>
      <c r="E30">
        <v>3.8158201924077539E-3</v>
      </c>
      <c r="F30">
        <f t="shared" si="2"/>
        <v>273.11381999999998</v>
      </c>
      <c r="G30">
        <f t="shared" si="3"/>
        <v>-0.71111999999999997</v>
      </c>
      <c r="H30">
        <f t="shared" si="4"/>
        <v>-194.21669967839998</v>
      </c>
      <c r="I30">
        <v>1</v>
      </c>
      <c r="J30">
        <f t="shared" si="5"/>
        <v>-1.2978666476085308</v>
      </c>
      <c r="K30">
        <f t="shared" si="6"/>
        <v>-0.46879057297601201</v>
      </c>
      <c r="L30">
        <v>1</v>
      </c>
      <c r="M30">
        <f t="shared" si="7"/>
        <v>0.4368193874652026</v>
      </c>
      <c r="N30">
        <f t="shared" si="13"/>
        <v>2.7447938909999997E-2</v>
      </c>
      <c r="O30">
        <f t="shared" si="11"/>
        <v>5.2107661459080828E-3</v>
      </c>
      <c r="P30">
        <f t="shared" si="12"/>
        <v>-6.8751954509867208E-4</v>
      </c>
      <c r="V30">
        <v>-3.4000000000000101</v>
      </c>
      <c r="W30">
        <f t="shared" si="9"/>
        <v>-0.34873999999999961</v>
      </c>
      <c r="Y30">
        <v>0.26</v>
      </c>
      <c r="Z30">
        <f t="shared" si="10"/>
        <v>1.8599403999999997</v>
      </c>
    </row>
    <row r="31" spans="1:26" x14ac:dyDescent="0.3">
      <c r="A31">
        <v>1.4159782999999999</v>
      </c>
      <c r="B31">
        <v>0.70748999999999995</v>
      </c>
      <c r="C31">
        <f t="shared" si="1"/>
        <v>1.0017904874669998</v>
      </c>
      <c r="D31">
        <v>2.01E-2</v>
      </c>
      <c r="E31">
        <v>3.8158201924077539E-3</v>
      </c>
      <c r="F31">
        <f t="shared" si="2"/>
        <v>283.19565999999998</v>
      </c>
      <c r="G31">
        <f t="shared" si="3"/>
        <v>-0.70748999999999995</v>
      </c>
      <c r="H31">
        <f t="shared" si="4"/>
        <v>-200.35809749339995</v>
      </c>
      <c r="I31">
        <v>1</v>
      </c>
      <c r="J31">
        <f t="shared" si="5"/>
        <v>-1.2616172421387564</v>
      </c>
      <c r="K31">
        <f t="shared" si="6"/>
        <v>-0.47242057297601203</v>
      </c>
      <c r="L31">
        <v>1</v>
      </c>
      <c r="M31">
        <f t="shared" si="7"/>
        <v>0.43833823755438611</v>
      </c>
      <c r="N31">
        <f t="shared" si="13"/>
        <v>2.8461163829999997E-2</v>
      </c>
      <c r="O31">
        <f t="shared" si="11"/>
        <v>5.4031185891512037E-3</v>
      </c>
      <c r="P31">
        <f t="shared" si="12"/>
        <v>2.1805300247471938E-4</v>
      </c>
      <c r="V31">
        <v>-3.30000000000001</v>
      </c>
      <c r="W31">
        <f t="shared" si="9"/>
        <v>-0.35292999999999963</v>
      </c>
      <c r="Y31">
        <v>0.27</v>
      </c>
      <c r="Z31">
        <f t="shared" si="10"/>
        <v>1.9445107999999998</v>
      </c>
    </row>
    <row r="32" spans="1:26" x14ac:dyDescent="0.3">
      <c r="A32">
        <v>1.4668966000000001</v>
      </c>
      <c r="B32">
        <v>0.70428000000000002</v>
      </c>
      <c r="C32">
        <f t="shared" si="1"/>
        <v>1.0331059374480001</v>
      </c>
      <c r="D32">
        <v>2.01E-2</v>
      </c>
      <c r="E32">
        <v>3.8158201924077539E-3</v>
      </c>
      <c r="F32">
        <f t="shared" si="2"/>
        <v>293.37932000000001</v>
      </c>
      <c r="G32">
        <f t="shared" si="3"/>
        <v>-0.70428000000000002</v>
      </c>
      <c r="H32">
        <f t="shared" si="4"/>
        <v>-206.6211874896</v>
      </c>
      <c r="I32">
        <v>1</v>
      </c>
      <c r="J32">
        <f t="shared" si="5"/>
        <v>-1.2262888997382817</v>
      </c>
      <c r="K32">
        <f t="shared" si="6"/>
        <v>-0.47563057297601197</v>
      </c>
      <c r="L32">
        <v>1</v>
      </c>
      <c r="M32">
        <f t="shared" si="7"/>
        <v>0.43981849510096604</v>
      </c>
      <c r="N32">
        <f t="shared" si="13"/>
        <v>2.9484621660000002E-2</v>
      </c>
      <c r="O32">
        <f t="shared" si="11"/>
        <v>5.5974136664542805E-3</v>
      </c>
      <c r="P32">
        <f t="shared" si="12"/>
        <v>7.3004254859164019E-4</v>
      </c>
      <c r="V32">
        <v>-3.2000000000000099</v>
      </c>
      <c r="W32">
        <f t="shared" si="9"/>
        <v>-0.3571199999999996</v>
      </c>
    </row>
    <row r="33" spans="1:23" x14ac:dyDescent="0.3">
      <c r="A33">
        <v>1.5188333000000001</v>
      </c>
      <c r="B33">
        <v>0.70071000000000006</v>
      </c>
      <c r="C33">
        <f t="shared" si="1"/>
        <v>1.0642616816430002</v>
      </c>
      <c r="D33">
        <v>2.01E-2</v>
      </c>
      <c r="E33">
        <v>3.8158201924077539E-3</v>
      </c>
      <c r="F33">
        <f t="shared" si="2"/>
        <v>303.76666</v>
      </c>
      <c r="G33">
        <f t="shared" si="3"/>
        <v>-0.70071000000000006</v>
      </c>
      <c r="H33">
        <f t="shared" si="4"/>
        <v>-212.85233632860005</v>
      </c>
      <c r="I33">
        <v>1</v>
      </c>
      <c r="J33">
        <f t="shared" si="5"/>
        <v>-1.1914954380948353</v>
      </c>
      <c r="K33">
        <f t="shared" si="6"/>
        <v>-0.47920057297601193</v>
      </c>
      <c r="L33">
        <v>1</v>
      </c>
      <c r="M33">
        <f t="shared" si="7"/>
        <v>0.44127634114382641</v>
      </c>
      <c r="N33">
        <f t="shared" si="13"/>
        <v>3.0528549330000002E-2</v>
      </c>
      <c r="O33">
        <f t="shared" si="11"/>
        <v>5.795594775041304E-3</v>
      </c>
      <c r="P33">
        <f t="shared" si="12"/>
        <v>1.6000877271442121E-3</v>
      </c>
      <c r="V33">
        <v>-3.1000000000000099</v>
      </c>
      <c r="W33">
        <f t="shared" si="9"/>
        <v>-0.36130999999999958</v>
      </c>
    </row>
    <row r="34" spans="1:23" x14ac:dyDescent="0.3">
      <c r="A34">
        <v>1.5722974999999999</v>
      </c>
      <c r="B34">
        <v>0.69728000000000001</v>
      </c>
      <c r="C34">
        <f t="shared" si="1"/>
        <v>1.0963316007999999</v>
      </c>
      <c r="D34">
        <v>2.01E-2</v>
      </c>
      <c r="E34">
        <v>3.8158201924077539E-3</v>
      </c>
      <c r="F34">
        <f t="shared" si="2"/>
        <v>314.45949999999999</v>
      </c>
      <c r="G34">
        <f t="shared" si="3"/>
        <v>-0.69728000000000001</v>
      </c>
      <c r="H34">
        <f t="shared" si="4"/>
        <v>-219.26632015999999</v>
      </c>
      <c r="I34">
        <v>1</v>
      </c>
      <c r="J34">
        <f t="shared" si="5"/>
        <v>-1.1568999869686196</v>
      </c>
      <c r="K34">
        <f t="shared" si="6"/>
        <v>-0.48263057297601197</v>
      </c>
      <c r="L34">
        <v>1</v>
      </c>
      <c r="M34">
        <f t="shared" si="7"/>
        <v>0.44272589054601486</v>
      </c>
      <c r="N34">
        <f t="shared" si="13"/>
        <v>3.1603179749999995E-2</v>
      </c>
      <c r="O34">
        <f t="shared" si="11"/>
        <v>5.99960454897223E-3</v>
      </c>
      <c r="P34">
        <f t="shared" si="12"/>
        <v>2.3018981310248933E-3</v>
      </c>
      <c r="V34">
        <v>-3.0000000000000102</v>
      </c>
      <c r="W34">
        <f t="shared" si="9"/>
        <v>-0.3654999999999996</v>
      </c>
    </row>
    <row r="35" spans="1:23" x14ac:dyDescent="0.3">
      <c r="A35">
        <v>1.6227066999999999</v>
      </c>
      <c r="B35">
        <v>0.69399</v>
      </c>
      <c r="C35">
        <f t="shared" si="1"/>
        <v>1.126142222733</v>
      </c>
      <c r="D35">
        <v>2.01E-2</v>
      </c>
      <c r="E35">
        <v>3.8158201924077539E-3</v>
      </c>
      <c r="F35">
        <f t="shared" si="2"/>
        <v>324.54133999999999</v>
      </c>
      <c r="G35">
        <f t="shared" si="3"/>
        <v>-0.69399</v>
      </c>
      <c r="H35">
        <f t="shared" si="4"/>
        <v>-225.2284445466</v>
      </c>
      <c r="I35">
        <v>1</v>
      </c>
      <c r="J35">
        <f t="shared" si="5"/>
        <v>-1.1253423549583361</v>
      </c>
      <c r="K35">
        <f t="shared" si="6"/>
        <v>-0.48592057297601199</v>
      </c>
      <c r="L35">
        <v>1</v>
      </c>
      <c r="M35">
        <f t="shared" si="7"/>
        <v>0.44404815532724573</v>
      </c>
      <c r="N35">
        <f t="shared" si="13"/>
        <v>3.2616404670000002E-2</v>
      </c>
      <c r="O35">
        <f t="shared" si="11"/>
        <v>6.1919569922153509E-3</v>
      </c>
      <c r="P35">
        <f t="shared" si="12"/>
        <v>3.0640559865509056E-3</v>
      </c>
      <c r="V35">
        <v>-2.9000000000000101</v>
      </c>
      <c r="W35">
        <f t="shared" si="9"/>
        <v>-0.36968999999999963</v>
      </c>
    </row>
    <row r="36" spans="1:23" x14ac:dyDescent="0.3">
      <c r="A36">
        <v>1.6746432999999998</v>
      </c>
      <c r="B36">
        <v>0.69035999999999997</v>
      </c>
      <c r="C36">
        <f t="shared" si="1"/>
        <v>1.1561067485879999</v>
      </c>
      <c r="D36">
        <v>2.01E-2</v>
      </c>
      <c r="E36">
        <v>3.8158201924077539E-3</v>
      </c>
      <c r="F36">
        <f t="shared" si="2"/>
        <v>334.92865999999998</v>
      </c>
      <c r="G36">
        <f t="shared" si="3"/>
        <v>-0.69035999999999997</v>
      </c>
      <c r="H36">
        <f t="shared" si="4"/>
        <v>-231.22134971759999</v>
      </c>
      <c r="I36">
        <v>1</v>
      </c>
      <c r="J36">
        <f t="shared" si="5"/>
        <v>-1.0938377250591347</v>
      </c>
      <c r="K36">
        <f t="shared" si="6"/>
        <v>-0.48955057297601201</v>
      </c>
      <c r="L36">
        <v>1</v>
      </c>
      <c r="M36">
        <f t="shared" si="7"/>
        <v>0.44536819932002231</v>
      </c>
      <c r="N36">
        <f t="shared" si="13"/>
        <v>3.3660330329999995E-2</v>
      </c>
      <c r="O36">
        <f t="shared" si="11"/>
        <v>6.3901377192203557E-3</v>
      </c>
      <c r="P36">
        <f t="shared" si="12"/>
        <v>4.1319056067693535E-3</v>
      </c>
      <c r="V36">
        <v>-2.80000000000001</v>
      </c>
      <c r="W36">
        <f t="shared" si="9"/>
        <v>-0.3738799999999996</v>
      </c>
    </row>
    <row r="37" spans="1:23" x14ac:dyDescent="0.3">
      <c r="A37">
        <v>1.7255615</v>
      </c>
      <c r="B37">
        <v>0.68720999999999999</v>
      </c>
      <c r="C37">
        <f t="shared" si="1"/>
        <v>1.1858231184149999</v>
      </c>
      <c r="D37">
        <v>2.01E-2</v>
      </c>
      <c r="E37">
        <v>3.8158201924077539E-3</v>
      </c>
      <c r="F37">
        <f t="shared" si="2"/>
        <v>345.1123</v>
      </c>
      <c r="G37">
        <f t="shared" si="3"/>
        <v>-0.68720999999999999</v>
      </c>
      <c r="H37">
        <f t="shared" si="4"/>
        <v>-237.16462368299997</v>
      </c>
      <c r="I37">
        <v>1</v>
      </c>
      <c r="J37">
        <f t="shared" si="5"/>
        <v>-1.0638854076703907</v>
      </c>
      <c r="K37">
        <f t="shared" si="6"/>
        <v>-0.492700572976012</v>
      </c>
      <c r="L37">
        <v>1</v>
      </c>
      <c r="M37">
        <f t="shared" si="7"/>
        <v>0.44662320141861067</v>
      </c>
      <c r="N37">
        <f t="shared" si="13"/>
        <v>3.468378615E-2</v>
      </c>
      <c r="O37">
        <f t="shared" si="11"/>
        <v>6.5844324149414123E-3</v>
      </c>
      <c r="P37">
        <f t="shared" si="12"/>
        <v>4.8091529924599134E-3</v>
      </c>
      <c r="V37">
        <v>-2.7000000000000099</v>
      </c>
      <c r="W37">
        <f t="shared" si="9"/>
        <v>-0.37806999999999963</v>
      </c>
    </row>
    <row r="38" spans="1:23" x14ac:dyDescent="0.3">
      <c r="A38">
        <v>1.7759707</v>
      </c>
      <c r="B38">
        <v>0.68406</v>
      </c>
      <c r="C38">
        <f t="shared" si="1"/>
        <v>1.214870517042</v>
      </c>
      <c r="D38">
        <v>2.01E-2</v>
      </c>
      <c r="E38">
        <v>3.8158201924077539E-3</v>
      </c>
      <c r="F38">
        <f t="shared" si="2"/>
        <v>355.19414</v>
      </c>
      <c r="G38">
        <f t="shared" si="3"/>
        <v>-0.68406</v>
      </c>
      <c r="H38">
        <f t="shared" si="4"/>
        <v>-242.9741034084</v>
      </c>
      <c r="I38">
        <v>1</v>
      </c>
      <c r="J38">
        <f t="shared" si="5"/>
        <v>-1.0350907657479591</v>
      </c>
      <c r="K38">
        <f t="shared" si="6"/>
        <v>-0.49585057297601198</v>
      </c>
      <c r="L38">
        <v>1</v>
      </c>
      <c r="M38">
        <f t="shared" si="7"/>
        <v>0.44782969691516056</v>
      </c>
      <c r="N38">
        <f t="shared" si="13"/>
        <v>3.569701107E-2</v>
      </c>
      <c r="O38">
        <f t="shared" si="11"/>
        <v>6.7767848581845331E-3</v>
      </c>
      <c r="P38">
        <f t="shared" si="12"/>
        <v>5.5470801326668925E-3</v>
      </c>
      <c r="V38">
        <v>-2.6000000000000099</v>
      </c>
      <c r="W38">
        <f t="shared" si="9"/>
        <v>-0.3822599999999996</v>
      </c>
    </row>
    <row r="39" spans="1:23" x14ac:dyDescent="0.3">
      <c r="A39">
        <v>1.8263798</v>
      </c>
      <c r="B39">
        <v>0.68098999999999998</v>
      </c>
      <c r="C39">
        <f t="shared" si="1"/>
        <v>1.2437463800019999</v>
      </c>
      <c r="D39">
        <v>2.01E-2</v>
      </c>
      <c r="E39">
        <v>3.8158201924077539E-3</v>
      </c>
      <c r="F39">
        <f t="shared" si="2"/>
        <v>365.27596</v>
      </c>
      <c r="G39">
        <f t="shared" si="3"/>
        <v>-0.68098999999999998</v>
      </c>
      <c r="H39">
        <f t="shared" si="4"/>
        <v>-248.74927600039999</v>
      </c>
      <c r="I39">
        <v>1</v>
      </c>
      <c r="J39">
        <f t="shared" si="5"/>
        <v>-1.0071021562705744</v>
      </c>
      <c r="K39">
        <f t="shared" si="6"/>
        <v>-0.498920572976012</v>
      </c>
      <c r="L39">
        <v>1</v>
      </c>
      <c r="M39">
        <f t="shared" si="7"/>
        <v>0.44900241965226295</v>
      </c>
      <c r="N39">
        <f t="shared" si="13"/>
        <v>3.671023398E-2</v>
      </c>
      <c r="O39">
        <f t="shared" si="11"/>
        <v>6.9691369198456353E-3</v>
      </c>
      <c r="P39">
        <f t="shared" si="12"/>
        <v>6.2387824239034132E-3</v>
      </c>
      <c r="V39">
        <v>-2.5000000000000102</v>
      </c>
      <c r="W39">
        <f t="shared" si="9"/>
        <v>-0.38644999999999963</v>
      </c>
    </row>
    <row r="40" spans="1:23" x14ac:dyDescent="0.3">
      <c r="A40">
        <v>1.8767889</v>
      </c>
      <c r="B40">
        <v>0.67764999999999997</v>
      </c>
      <c r="C40">
        <f t="shared" si="1"/>
        <v>1.2718059980849998</v>
      </c>
      <c r="D40">
        <v>2.01E-2</v>
      </c>
      <c r="E40">
        <v>3.8158201924077539E-3</v>
      </c>
      <c r="F40">
        <f t="shared" si="2"/>
        <v>375.35777999999999</v>
      </c>
      <c r="G40">
        <f t="shared" si="3"/>
        <v>-0.67764999999999997</v>
      </c>
      <c r="H40">
        <f t="shared" si="4"/>
        <v>-254.36119961699995</v>
      </c>
      <c r="I40">
        <v>1</v>
      </c>
      <c r="J40">
        <f t="shared" si="5"/>
        <v>-0.97987562785676674</v>
      </c>
      <c r="K40">
        <f t="shared" si="6"/>
        <v>-0.50226057297601201</v>
      </c>
      <c r="L40">
        <v>1</v>
      </c>
      <c r="M40">
        <f t="shared" si="7"/>
        <v>0.45014321119280148</v>
      </c>
      <c r="N40">
        <f t="shared" si="13"/>
        <v>3.772345689E-2</v>
      </c>
      <c r="O40">
        <f t="shared" si="11"/>
        <v>7.1614889815067367E-3</v>
      </c>
      <c r="P40">
        <f t="shared" si="12"/>
        <v>7.2324159117037887E-3</v>
      </c>
      <c r="V40">
        <v>-2.4000000000000101</v>
      </c>
      <c r="W40">
        <f t="shared" si="9"/>
        <v>-0.3906399999999996</v>
      </c>
    </row>
    <row r="41" spans="1:23" x14ac:dyDescent="0.3">
      <c r="A41">
        <v>1.9271981</v>
      </c>
      <c r="B41">
        <v>0.67457</v>
      </c>
      <c r="C41">
        <f t="shared" si="1"/>
        <v>1.300030022317</v>
      </c>
      <c r="D41">
        <v>2.01E-2</v>
      </c>
      <c r="E41">
        <v>3.8158201924077539E-3</v>
      </c>
      <c r="F41">
        <f t="shared" si="2"/>
        <v>385.43961999999999</v>
      </c>
      <c r="G41">
        <f t="shared" si="3"/>
        <v>-0.67457</v>
      </c>
      <c r="H41">
        <f t="shared" si="4"/>
        <v>-260.00600446340002</v>
      </c>
      <c r="I41">
        <v>1</v>
      </c>
      <c r="J41">
        <f t="shared" si="5"/>
        <v>-0.95337072600232176</v>
      </c>
      <c r="K41">
        <f t="shared" si="6"/>
        <v>-0.50534057297601198</v>
      </c>
      <c r="L41">
        <v>1</v>
      </c>
      <c r="M41">
        <f t="shared" si="7"/>
        <v>0.45125376658050276</v>
      </c>
      <c r="N41">
        <f t="shared" si="13"/>
        <v>3.873668181E-2</v>
      </c>
      <c r="O41">
        <f t="shared" si="11"/>
        <v>7.3538414247498575E-3</v>
      </c>
      <c r="P41">
        <f t="shared" si="12"/>
        <v>7.9962831607593675E-3</v>
      </c>
      <c r="V41">
        <v>-2.30000000000001</v>
      </c>
      <c r="W41">
        <f t="shared" si="9"/>
        <v>-0.39482999999999963</v>
      </c>
    </row>
    <row r="42" spans="1:23" x14ac:dyDescent="0.3">
      <c r="A42">
        <v>1.9791349</v>
      </c>
      <c r="B42">
        <v>0.67152000000000001</v>
      </c>
      <c r="C42">
        <f t="shared" si="1"/>
        <v>1.3290286680480001</v>
      </c>
      <c r="D42">
        <v>2.01E-2</v>
      </c>
      <c r="E42">
        <v>3.8158201924077539E-3</v>
      </c>
      <c r="F42">
        <f t="shared" si="2"/>
        <v>395.82697999999999</v>
      </c>
      <c r="G42">
        <f t="shared" si="3"/>
        <v>-0.67152000000000001</v>
      </c>
      <c r="H42">
        <f t="shared" si="4"/>
        <v>-265.8057336096</v>
      </c>
      <c r="I42">
        <v>1</v>
      </c>
      <c r="J42">
        <f t="shared" si="5"/>
        <v>-0.92677808239657733</v>
      </c>
      <c r="K42">
        <f t="shared" si="6"/>
        <v>-0.50839057297601198</v>
      </c>
      <c r="L42">
        <v>1</v>
      </c>
      <c r="M42">
        <f t="shared" si="7"/>
        <v>0.45236799834758346</v>
      </c>
      <c r="N42">
        <f t="shared" si="13"/>
        <v>3.9780611489999999E-2</v>
      </c>
      <c r="O42">
        <f t="shared" si="11"/>
        <v>7.5520229149189013E-3</v>
      </c>
      <c r="P42">
        <f t="shared" si="12"/>
        <v>8.6899402235096224E-3</v>
      </c>
      <c r="V42">
        <v>-2.2000000000000099</v>
      </c>
      <c r="W42">
        <f t="shared" si="9"/>
        <v>-0.3990199999999996</v>
      </c>
    </row>
    <row r="43" spans="1:23" x14ac:dyDescent="0.3">
      <c r="A43">
        <v>2.0305625000000003</v>
      </c>
      <c r="B43">
        <v>0.66866999999999999</v>
      </c>
      <c r="C43">
        <f t="shared" si="1"/>
        <v>1.3577762268750002</v>
      </c>
      <c r="D43">
        <v>2.01E-2</v>
      </c>
      <c r="E43">
        <v>3.8158201924077539E-3</v>
      </c>
      <c r="F43">
        <f t="shared" si="2"/>
        <v>406.11250000000007</v>
      </c>
      <c r="G43">
        <f t="shared" si="3"/>
        <v>-0.66866999999999999</v>
      </c>
      <c r="H43">
        <f t="shared" si="4"/>
        <v>-271.55524537500003</v>
      </c>
      <c r="I43">
        <v>1</v>
      </c>
      <c r="J43">
        <f t="shared" si="5"/>
        <v>-0.90112506416768534</v>
      </c>
      <c r="K43">
        <f t="shared" si="6"/>
        <v>-0.511240572976012</v>
      </c>
      <c r="L43">
        <v>1</v>
      </c>
      <c r="M43">
        <f t="shared" si="7"/>
        <v>0.453442859811374</v>
      </c>
      <c r="N43">
        <f t="shared" si="13"/>
        <v>4.0814306250000008E-2</v>
      </c>
      <c r="O43">
        <f t="shared" si="11"/>
        <v>7.7482613894459705E-3</v>
      </c>
      <c r="P43">
        <f t="shared" si="12"/>
        <v>9.2351455251920185E-3</v>
      </c>
      <c r="V43">
        <v>-2.1000000000000099</v>
      </c>
      <c r="W43">
        <f t="shared" si="9"/>
        <v>-0.40320999999999962</v>
      </c>
    </row>
    <row r="44" spans="1:23" x14ac:dyDescent="0.3">
      <c r="A44">
        <v>2.0809717000000001</v>
      </c>
      <c r="B44">
        <v>0.66544999999999999</v>
      </c>
      <c r="C44">
        <f t="shared" si="1"/>
        <v>1.384782617765</v>
      </c>
      <c r="D44">
        <v>2.01E-2</v>
      </c>
      <c r="E44">
        <v>3.8158201924077539E-3</v>
      </c>
      <c r="F44">
        <f t="shared" si="2"/>
        <v>416.19434000000001</v>
      </c>
      <c r="G44">
        <f t="shared" si="3"/>
        <v>-0.66544999999999999</v>
      </c>
      <c r="H44">
        <f t="shared" si="4"/>
        <v>-276.95652355300001</v>
      </c>
      <c r="I44">
        <v>1</v>
      </c>
      <c r="J44">
        <f t="shared" si="5"/>
        <v>-0.87660296434621232</v>
      </c>
      <c r="K44">
        <f t="shared" si="6"/>
        <v>-0.514460572976012</v>
      </c>
      <c r="L44">
        <v>1</v>
      </c>
      <c r="M44">
        <f t="shared" si="7"/>
        <v>0.45447033579389373</v>
      </c>
      <c r="N44">
        <f t="shared" si="13"/>
        <v>4.1827531170000001E-2</v>
      </c>
      <c r="O44">
        <f t="shared" si="11"/>
        <v>7.9406138326890904E-3</v>
      </c>
      <c r="P44">
        <f t="shared" si="12"/>
        <v>1.0222092179429175E-2</v>
      </c>
      <c r="V44">
        <v>-2.0000000000000102</v>
      </c>
      <c r="W44">
        <f t="shared" si="9"/>
        <v>-0.4073999999999996</v>
      </c>
    </row>
    <row r="45" spans="1:23" x14ac:dyDescent="0.3">
      <c r="A45">
        <v>2.1318901000000001</v>
      </c>
      <c r="B45">
        <v>0.66234999999999999</v>
      </c>
      <c r="C45">
        <f t="shared" si="1"/>
        <v>1.4120574077350001</v>
      </c>
      <c r="D45">
        <v>2.01E-2</v>
      </c>
      <c r="E45">
        <v>3.8158201924077539E-3</v>
      </c>
      <c r="F45">
        <f t="shared" si="2"/>
        <v>426.37802000000005</v>
      </c>
      <c r="G45">
        <f t="shared" si="3"/>
        <v>-0.66234999999999999</v>
      </c>
      <c r="H45">
        <f t="shared" si="4"/>
        <v>-282.41148154699999</v>
      </c>
      <c r="I45">
        <v>1</v>
      </c>
      <c r="J45">
        <f t="shared" si="5"/>
        <v>-0.85242895530153939</v>
      </c>
      <c r="K45">
        <f t="shared" si="6"/>
        <v>-0.51756057297601199</v>
      </c>
      <c r="L45">
        <v>1</v>
      </c>
      <c r="M45">
        <f t="shared" si="7"/>
        <v>0.45548322677286551</v>
      </c>
      <c r="N45">
        <f t="shared" si="13"/>
        <v>4.2850991009999999E-2</v>
      </c>
      <c r="O45">
        <f t="shared" si="11"/>
        <v>8.1349092915741859E-3</v>
      </c>
      <c r="P45">
        <f t="shared" si="12"/>
        <v>1.1091445901572293E-2</v>
      </c>
      <c r="V45">
        <v>-1.9000000000000099</v>
      </c>
      <c r="W45">
        <f t="shared" si="9"/>
        <v>-0.41158999999999962</v>
      </c>
    </row>
    <row r="46" spans="1:23" x14ac:dyDescent="0.3">
      <c r="A46">
        <v>2.1833176000000001</v>
      </c>
      <c r="B46">
        <v>0.65947</v>
      </c>
      <c r="C46">
        <f t="shared" si="1"/>
        <v>1.4398324576720001</v>
      </c>
      <c r="D46">
        <v>2.01E-2</v>
      </c>
      <c r="E46">
        <v>3.8158201924077539E-3</v>
      </c>
      <c r="F46">
        <f t="shared" si="2"/>
        <v>436.66352000000001</v>
      </c>
      <c r="G46">
        <f t="shared" si="3"/>
        <v>-0.65947</v>
      </c>
      <c r="H46">
        <f t="shared" si="4"/>
        <v>-287.96649153440001</v>
      </c>
      <c r="I46">
        <v>1</v>
      </c>
      <c r="J46">
        <f t="shared" si="5"/>
        <v>-0.82859235758788374</v>
      </c>
      <c r="K46">
        <f t="shared" si="6"/>
        <v>-0.52044057297601198</v>
      </c>
      <c r="L46">
        <v>1</v>
      </c>
      <c r="M46">
        <f t="shared" si="7"/>
        <v>0.45648198021706771</v>
      </c>
      <c r="N46">
        <f t="shared" si="13"/>
        <v>4.3884683760000001E-2</v>
      </c>
      <c r="O46">
        <f t="shared" si="11"/>
        <v>8.3311473845192364E-3</v>
      </c>
      <c r="P46">
        <f t="shared" si="12"/>
        <v>1.1742761614425039E-2</v>
      </c>
      <c r="V46">
        <v>-1.80000000000001</v>
      </c>
      <c r="W46">
        <f t="shared" si="9"/>
        <v>-0.41577999999999959</v>
      </c>
    </row>
    <row r="47" spans="1:23" x14ac:dyDescent="0.3">
      <c r="A47">
        <v>2.2347451</v>
      </c>
      <c r="B47">
        <v>0.65615000000000001</v>
      </c>
      <c r="C47">
        <f t="shared" si="1"/>
        <v>1.4663279973650001</v>
      </c>
      <c r="D47">
        <v>2.01E-2</v>
      </c>
      <c r="E47">
        <v>3.8158201924077539E-3</v>
      </c>
      <c r="F47">
        <f t="shared" si="2"/>
        <v>446.94902000000002</v>
      </c>
      <c r="G47">
        <f t="shared" si="3"/>
        <v>-0.65615000000000001</v>
      </c>
      <c r="H47">
        <f t="shared" si="4"/>
        <v>-293.26559947300001</v>
      </c>
      <c r="I47">
        <v>1</v>
      </c>
      <c r="J47">
        <f t="shared" si="5"/>
        <v>-0.80531074008967685</v>
      </c>
      <c r="K47">
        <f t="shared" si="6"/>
        <v>-0.52376057297601197</v>
      </c>
      <c r="L47">
        <v>1</v>
      </c>
      <c r="M47">
        <f t="shared" si="7"/>
        <v>0.45745747999024255</v>
      </c>
      <c r="N47">
        <f t="shared" si="13"/>
        <v>4.4918376510000003E-2</v>
      </c>
      <c r="O47">
        <f t="shared" si="11"/>
        <v>8.5273854774642853E-3</v>
      </c>
      <c r="P47">
        <f t="shared" si="12"/>
        <v>1.285733099830513E-2</v>
      </c>
      <c r="V47">
        <v>-1.7000000000000199</v>
      </c>
      <c r="W47">
        <f t="shared" si="9"/>
        <v>-0.41996999999999918</v>
      </c>
    </row>
    <row r="48" spans="1:23" x14ac:dyDescent="0.3">
      <c r="A48">
        <v>2.2866816000000001</v>
      </c>
      <c r="B48">
        <v>0.65356999999999998</v>
      </c>
      <c r="C48">
        <f t="shared" si="1"/>
        <v>1.494506493312</v>
      </c>
      <c r="D48">
        <v>2.01E-2</v>
      </c>
      <c r="E48">
        <v>3.8158201924077539E-3</v>
      </c>
      <c r="F48">
        <f t="shared" si="2"/>
        <v>457.33632</v>
      </c>
      <c r="G48">
        <f t="shared" si="3"/>
        <v>-0.65356999999999998</v>
      </c>
      <c r="H48">
        <f t="shared" si="4"/>
        <v>-298.9012986624</v>
      </c>
      <c r="I48">
        <v>1</v>
      </c>
      <c r="J48">
        <f t="shared" si="5"/>
        <v>-0.78233622877349562</v>
      </c>
      <c r="K48">
        <f t="shared" si="6"/>
        <v>-0.526340572976012</v>
      </c>
      <c r="L48">
        <v>1</v>
      </c>
      <c r="M48">
        <f t="shared" si="7"/>
        <v>0.45842011201439054</v>
      </c>
      <c r="N48">
        <f t="shared" si="13"/>
        <v>4.5962300160000004E-2</v>
      </c>
      <c r="O48">
        <f t="shared" si="11"/>
        <v>8.7255658228872716E-3</v>
      </c>
      <c r="P48">
        <f t="shared" si="12"/>
        <v>1.3232594978734189E-2</v>
      </c>
      <c r="V48">
        <v>-1.6000000000000201</v>
      </c>
      <c r="W48">
        <f t="shared" si="9"/>
        <v>-0.4241599999999992</v>
      </c>
    </row>
    <row r="49" spans="1:23" x14ac:dyDescent="0.3">
      <c r="A49">
        <v>2.3370907999999999</v>
      </c>
      <c r="B49">
        <v>0.65032999999999996</v>
      </c>
      <c r="C49">
        <f t="shared" si="1"/>
        <v>1.5198802599639998</v>
      </c>
      <c r="D49">
        <v>2.01E-2</v>
      </c>
      <c r="E49">
        <v>3.8158201924077539E-3</v>
      </c>
      <c r="F49">
        <f t="shared" si="2"/>
        <v>467.41816</v>
      </c>
      <c r="G49">
        <f t="shared" si="3"/>
        <v>-0.65032999999999996</v>
      </c>
      <c r="H49">
        <f t="shared" si="4"/>
        <v>-303.97605199279997</v>
      </c>
      <c r="I49">
        <v>1</v>
      </c>
      <c r="J49">
        <f t="shared" si="5"/>
        <v>-0.76053100440150911</v>
      </c>
      <c r="K49">
        <f t="shared" si="6"/>
        <v>-0.52958057297601202</v>
      </c>
      <c r="L49">
        <v>1</v>
      </c>
      <c r="M49">
        <f t="shared" si="7"/>
        <v>0.45933375091557682</v>
      </c>
      <c r="N49">
        <f t="shared" si="13"/>
        <v>4.6975525079999997E-2</v>
      </c>
      <c r="O49">
        <f t="shared" si="11"/>
        <v>8.9179182661303907E-3</v>
      </c>
      <c r="P49">
        <f t="shared" si="12"/>
        <v>1.4353378714304811E-2</v>
      </c>
      <c r="V49">
        <v>-1.50000000000002</v>
      </c>
      <c r="W49">
        <f t="shared" si="9"/>
        <v>-0.42834999999999918</v>
      </c>
    </row>
    <row r="50" spans="1:23" x14ac:dyDescent="0.3">
      <c r="A50">
        <v>2.3875000000000002</v>
      </c>
      <c r="B50">
        <v>0.64776999999999996</v>
      </c>
      <c r="C50">
        <f t="shared" si="1"/>
        <v>1.5465508750000001</v>
      </c>
      <c r="D50">
        <v>2.01E-2</v>
      </c>
      <c r="E50">
        <v>3.8158201924077539E-3</v>
      </c>
      <c r="F50">
        <f t="shared" si="2"/>
        <v>477.50000000000006</v>
      </c>
      <c r="G50">
        <f t="shared" si="3"/>
        <v>-0.64776999999999996</v>
      </c>
      <c r="H50">
        <f t="shared" si="4"/>
        <v>-309.31017500000002</v>
      </c>
      <c r="I50">
        <v>1</v>
      </c>
      <c r="J50">
        <f t="shared" si="5"/>
        <v>-0.73919111906135204</v>
      </c>
      <c r="K50">
        <f t="shared" si="6"/>
        <v>-0.53214057297601203</v>
      </c>
      <c r="L50">
        <v>1</v>
      </c>
      <c r="M50">
        <f t="shared" si="7"/>
        <v>0.46022789211132936</v>
      </c>
      <c r="N50">
        <f t="shared" si="13"/>
        <v>4.7988750000000004E-2</v>
      </c>
      <c r="O50">
        <f t="shared" si="11"/>
        <v>9.1102707093735132E-3</v>
      </c>
      <c r="P50">
        <f t="shared" si="12"/>
        <v>1.4813660155309149E-2</v>
      </c>
      <c r="V50">
        <v>-1.4000000000000199</v>
      </c>
      <c r="W50">
        <f t="shared" si="9"/>
        <v>-0.4325399999999992</v>
      </c>
    </row>
    <row r="51" spans="1:23" x14ac:dyDescent="0.3">
      <c r="A51">
        <v>2.4384185</v>
      </c>
      <c r="B51">
        <v>0.64466999999999997</v>
      </c>
      <c r="C51">
        <f t="shared" si="1"/>
        <v>1.5719752543949999</v>
      </c>
      <c r="D51">
        <v>2.01E-2</v>
      </c>
      <c r="E51">
        <v>3.8158201924077539E-3</v>
      </c>
      <c r="F51">
        <f t="shared" si="2"/>
        <v>487.68369999999999</v>
      </c>
      <c r="G51">
        <f t="shared" si="3"/>
        <v>-0.64466999999999997</v>
      </c>
      <c r="H51">
        <f t="shared" si="4"/>
        <v>-314.395050879</v>
      </c>
      <c r="I51">
        <v>1</v>
      </c>
      <c r="J51">
        <f t="shared" si="5"/>
        <v>-0.71808823901043373</v>
      </c>
      <c r="K51">
        <f t="shared" si="6"/>
        <v>-0.53524057297601202</v>
      </c>
      <c r="L51">
        <v>1</v>
      </c>
      <c r="M51">
        <f t="shared" si="7"/>
        <v>0.46111210278546283</v>
      </c>
      <c r="N51">
        <f t="shared" si="13"/>
        <v>4.9012211850000001E-2</v>
      </c>
      <c r="O51">
        <f t="shared" si="11"/>
        <v>9.3045665498406264E-3</v>
      </c>
      <c r="P51">
        <f t="shared" si="12"/>
        <v>1.5811691790708564E-2</v>
      </c>
      <c r="V51">
        <v>-1.30000000000002</v>
      </c>
      <c r="W51">
        <f t="shared" si="9"/>
        <v>-0.43672999999999917</v>
      </c>
    </row>
    <row r="52" spans="1:23" x14ac:dyDescent="0.3">
      <c r="A52">
        <v>2.4898459000000002</v>
      </c>
      <c r="B52">
        <v>0.64204000000000006</v>
      </c>
      <c r="C52">
        <f t="shared" si="1"/>
        <v>1.5985806616360003</v>
      </c>
      <c r="D52">
        <v>2.01E-2</v>
      </c>
      <c r="E52">
        <v>3.8158201924077539E-3</v>
      </c>
      <c r="F52">
        <f t="shared" si="2"/>
        <v>497.96918000000005</v>
      </c>
      <c r="G52">
        <f t="shared" si="3"/>
        <v>-0.64204000000000006</v>
      </c>
      <c r="H52">
        <f t="shared" si="4"/>
        <v>-319.71613232720006</v>
      </c>
      <c r="I52">
        <v>1</v>
      </c>
      <c r="J52">
        <f t="shared" si="5"/>
        <v>-0.6972170914227982</v>
      </c>
      <c r="K52">
        <f t="shared" si="6"/>
        <v>-0.53787057297601193</v>
      </c>
      <c r="L52">
        <v>1</v>
      </c>
      <c r="M52">
        <f t="shared" si="7"/>
        <v>0.46198660386938478</v>
      </c>
      <c r="N52">
        <f t="shared" si="13"/>
        <v>5.0045902590000003E-2</v>
      </c>
      <c r="O52">
        <f t="shared" si="11"/>
        <v>9.5008042612036575E-3</v>
      </c>
      <c r="P52">
        <f t="shared" si="12"/>
        <v>1.6337262255423486E-2</v>
      </c>
      <c r="V52">
        <v>-1.2000000000000199</v>
      </c>
      <c r="W52">
        <f t="shared" si="9"/>
        <v>-0.4409199999999992</v>
      </c>
    </row>
    <row r="53" spans="1:23" x14ac:dyDescent="0.3">
      <c r="A53">
        <v>2.5402551</v>
      </c>
      <c r="B53">
        <v>0.63922999999999996</v>
      </c>
      <c r="C53">
        <f t="shared" si="1"/>
        <v>1.623807267573</v>
      </c>
      <c r="D53">
        <v>2.01E-2</v>
      </c>
      <c r="E53">
        <v>3.8158201924077539E-3</v>
      </c>
      <c r="F53">
        <f t="shared" si="2"/>
        <v>508.05101999999999</v>
      </c>
      <c r="G53">
        <f t="shared" si="3"/>
        <v>-0.63922999999999996</v>
      </c>
      <c r="H53">
        <f t="shared" si="4"/>
        <v>-324.76145351460002</v>
      </c>
      <c r="I53">
        <v>1</v>
      </c>
      <c r="J53">
        <f t="shared" si="5"/>
        <v>-0.67717340337585219</v>
      </c>
      <c r="K53">
        <f t="shared" si="6"/>
        <v>-0.54068057297601202</v>
      </c>
      <c r="L53">
        <v>1</v>
      </c>
      <c r="M53">
        <f t="shared" si="7"/>
        <v>0.46282643439855181</v>
      </c>
      <c r="N53">
        <f t="shared" si="13"/>
        <v>5.1059127509999996E-2</v>
      </c>
      <c r="O53">
        <f t="shared" si="11"/>
        <v>9.6931567044467783E-3</v>
      </c>
      <c r="P53">
        <f t="shared" si="12"/>
        <v>1.7101854363013431E-2</v>
      </c>
      <c r="V53">
        <v>-1.1000000000000201</v>
      </c>
      <c r="W53">
        <f t="shared" si="9"/>
        <v>-0.44510999999999917</v>
      </c>
    </row>
    <row r="54" spans="1:23" x14ac:dyDescent="0.3">
      <c r="A54">
        <v>2.5921913999999999</v>
      </c>
      <c r="B54">
        <v>0.63639000000000001</v>
      </c>
      <c r="C54">
        <f t="shared" si="1"/>
        <v>1.649644685046</v>
      </c>
      <c r="D54">
        <v>2.01E-2</v>
      </c>
      <c r="E54">
        <v>3.8158201924077539E-3</v>
      </c>
      <c r="F54">
        <f t="shared" si="2"/>
        <v>518.43827999999996</v>
      </c>
      <c r="G54">
        <f t="shared" si="3"/>
        <v>-0.63639000000000001</v>
      </c>
      <c r="H54">
        <f t="shared" si="4"/>
        <v>-329.92893700920001</v>
      </c>
      <c r="I54">
        <v>1</v>
      </c>
      <c r="J54">
        <f t="shared" si="5"/>
        <v>-0.65693429407770976</v>
      </c>
      <c r="K54">
        <f t="shared" si="6"/>
        <v>-0.54352057297601197</v>
      </c>
      <c r="L54">
        <v>1</v>
      </c>
      <c r="M54">
        <f t="shared" si="7"/>
        <v>0.46367445307814398</v>
      </c>
      <c r="N54">
        <f t="shared" si="13"/>
        <v>5.2103047139999997E-2</v>
      </c>
      <c r="O54">
        <f t="shared" si="11"/>
        <v>9.891336286705724E-3</v>
      </c>
      <c r="P54">
        <f t="shared" si="12"/>
        <v>1.7851736471162276E-2</v>
      </c>
      <c r="V54">
        <v>-1.00000000000002</v>
      </c>
      <c r="W54">
        <f t="shared" si="9"/>
        <v>-0.4492999999999992</v>
      </c>
    </row>
    <row r="55" spans="1:23" x14ac:dyDescent="0.3">
      <c r="A55">
        <v>2.6456558000000001</v>
      </c>
      <c r="B55">
        <v>0.63383</v>
      </c>
      <c r="C55">
        <f t="shared" si="1"/>
        <v>1.676896015714</v>
      </c>
      <c r="D55">
        <v>2.01E-2</v>
      </c>
      <c r="E55">
        <v>3.8158201924077539E-3</v>
      </c>
      <c r="F55">
        <f t="shared" si="2"/>
        <v>529.13116000000002</v>
      </c>
      <c r="G55">
        <f t="shared" si="3"/>
        <v>-0.63383</v>
      </c>
      <c r="H55">
        <f t="shared" si="4"/>
        <v>-335.37920314280001</v>
      </c>
      <c r="I55">
        <v>1</v>
      </c>
      <c r="J55">
        <f t="shared" si="5"/>
        <v>-0.63651893834725126</v>
      </c>
      <c r="K55">
        <f t="shared" si="6"/>
        <v>-0.54608057297601198</v>
      </c>
      <c r="L55">
        <v>1</v>
      </c>
      <c r="M55">
        <f t="shared" si="7"/>
        <v>0.46452985648325018</v>
      </c>
      <c r="N55">
        <f t="shared" si="13"/>
        <v>5.3177681580000004E-2</v>
      </c>
      <c r="O55">
        <f t="shared" si="11"/>
        <v>1.0095346823800691E-2</v>
      </c>
      <c r="P55">
        <f t="shared" si="12"/>
        <v>1.8277688088961103E-2</v>
      </c>
      <c r="V55">
        <v>-0.90000000000002001</v>
      </c>
      <c r="W55">
        <f t="shared" si="9"/>
        <v>-0.45348999999999917</v>
      </c>
    </row>
    <row r="56" spans="1:23" x14ac:dyDescent="0.3">
      <c r="A56">
        <v>2.6965742000000001</v>
      </c>
      <c r="B56">
        <v>0.63087000000000004</v>
      </c>
      <c r="C56">
        <f t="shared" si="1"/>
        <v>1.7011877655540002</v>
      </c>
      <c r="D56">
        <v>2.01E-2</v>
      </c>
      <c r="E56">
        <v>3.8158201924077539E-3</v>
      </c>
      <c r="F56">
        <f t="shared" si="2"/>
        <v>539.31484</v>
      </c>
      <c r="G56">
        <f t="shared" si="3"/>
        <v>-0.63087000000000004</v>
      </c>
      <c r="H56">
        <f t="shared" si="4"/>
        <v>-340.23755311080004</v>
      </c>
      <c r="I56">
        <v>1</v>
      </c>
      <c r="J56">
        <f t="shared" si="5"/>
        <v>-0.61745575986568213</v>
      </c>
      <c r="K56">
        <f t="shared" si="6"/>
        <v>-0.54904057297601194</v>
      </c>
      <c r="L56">
        <v>1</v>
      </c>
      <c r="M56">
        <f t="shared" si="7"/>
        <v>0.46532860366162793</v>
      </c>
      <c r="N56">
        <f t="shared" si="13"/>
        <v>5.4201141420000001E-2</v>
      </c>
      <c r="O56">
        <f t="shared" si="11"/>
        <v>1.0289642282685786E-2</v>
      </c>
      <c r="P56">
        <f t="shared" si="12"/>
        <v>1.9221185611698229E-2</v>
      </c>
      <c r="V56">
        <v>-0.80000000000002003</v>
      </c>
      <c r="W56">
        <f t="shared" si="9"/>
        <v>-0.4576799999999992</v>
      </c>
    </row>
    <row r="57" spans="1:23" x14ac:dyDescent="0.3">
      <c r="A57">
        <v>2.7480016999999997</v>
      </c>
      <c r="B57">
        <v>0.62814000000000003</v>
      </c>
      <c r="C57">
        <f t="shared" si="1"/>
        <v>1.726129787838</v>
      </c>
      <c r="D57">
        <v>2.01E-2</v>
      </c>
      <c r="E57">
        <v>3.8158201924077539E-3</v>
      </c>
      <c r="F57">
        <f t="shared" si="2"/>
        <v>549.60033999999996</v>
      </c>
      <c r="G57">
        <f t="shared" si="3"/>
        <v>-0.62814000000000003</v>
      </c>
      <c r="H57">
        <f t="shared" si="4"/>
        <v>-345.22595756760001</v>
      </c>
      <c r="I57">
        <v>1</v>
      </c>
      <c r="J57">
        <f t="shared" si="5"/>
        <v>-0.59856391944245679</v>
      </c>
      <c r="K57">
        <f t="shared" si="6"/>
        <v>-0.55177057297601195</v>
      </c>
      <c r="L57">
        <v>1</v>
      </c>
      <c r="M57">
        <f t="shared" si="7"/>
        <v>0.46612017177536108</v>
      </c>
      <c r="N57">
        <f t="shared" si="13"/>
        <v>5.523483416999999E-2</v>
      </c>
      <c r="O57">
        <f t="shared" si="11"/>
        <v>1.0485880375630833E-2</v>
      </c>
      <c r="P57">
        <f t="shared" si="12"/>
        <v>1.9929686655020047E-2</v>
      </c>
      <c r="V57">
        <v>-0.70000000000002005</v>
      </c>
      <c r="W57">
        <f t="shared" si="9"/>
        <v>-0.46186999999999917</v>
      </c>
    </row>
    <row r="58" spans="1:23" x14ac:dyDescent="0.3">
      <c r="A58">
        <v>2.7989202</v>
      </c>
      <c r="B58">
        <v>0.62568000000000001</v>
      </c>
      <c r="C58">
        <f t="shared" si="1"/>
        <v>1.751228390736</v>
      </c>
      <c r="D58">
        <v>2.01E-2</v>
      </c>
      <c r="E58">
        <v>3.8158201924077539E-3</v>
      </c>
      <c r="F58">
        <f t="shared" si="2"/>
        <v>559.78404</v>
      </c>
      <c r="G58">
        <f t="shared" si="3"/>
        <v>-0.62568000000000001</v>
      </c>
      <c r="H58">
        <f t="shared" si="4"/>
        <v>-350.24567814720001</v>
      </c>
      <c r="I58">
        <v>1</v>
      </c>
      <c r="J58">
        <f t="shared" si="5"/>
        <v>-0.58020421248941478</v>
      </c>
      <c r="K58">
        <f t="shared" si="6"/>
        <v>-0.55423057297601197</v>
      </c>
      <c r="L58">
        <v>1</v>
      </c>
      <c r="M58">
        <f t="shared" si="7"/>
        <v>0.46688944349669353</v>
      </c>
      <c r="N58">
        <f t="shared" si="13"/>
        <v>5.6258296020000001E-2</v>
      </c>
      <c r="O58">
        <f t="shared" si="11"/>
        <v>1.068017621609795E-2</v>
      </c>
      <c r="P58">
        <f t="shared" si="12"/>
        <v>2.0402657243220483E-2</v>
      </c>
      <c r="V58">
        <v>-0.60000000000001996</v>
      </c>
      <c r="W58">
        <f t="shared" si="9"/>
        <v>-0.4660599999999992</v>
      </c>
    </row>
    <row r="59" spans="1:23" x14ac:dyDescent="0.3">
      <c r="A59">
        <v>2.8493293</v>
      </c>
      <c r="B59">
        <v>0.62295</v>
      </c>
      <c r="C59">
        <f t="shared" si="1"/>
        <v>1.774989687435</v>
      </c>
      <c r="D59">
        <v>2.01E-2</v>
      </c>
      <c r="E59">
        <v>3.8158201924077539E-3</v>
      </c>
      <c r="F59">
        <f t="shared" si="2"/>
        <v>569.86586</v>
      </c>
      <c r="G59">
        <f t="shared" si="3"/>
        <v>-0.62295</v>
      </c>
      <c r="H59">
        <f t="shared" si="4"/>
        <v>-354.997937487</v>
      </c>
      <c r="I59">
        <v>1</v>
      </c>
      <c r="J59">
        <f t="shared" si="5"/>
        <v>-0.56235427918210867</v>
      </c>
      <c r="K59">
        <f t="shared" si="6"/>
        <v>-0.55696057297601198</v>
      </c>
      <c r="L59">
        <v>1</v>
      </c>
      <c r="M59">
        <f t="shared" si="7"/>
        <v>0.46763735570226966</v>
      </c>
      <c r="N59">
        <f t="shared" si="13"/>
        <v>5.7271518930000001E-2</v>
      </c>
      <c r="O59">
        <f t="shared" si="11"/>
        <v>1.0872528277759051E-2</v>
      </c>
      <c r="P59">
        <f t="shared" si="12"/>
        <v>2.1179170065983265E-2</v>
      </c>
      <c r="V59">
        <v>-0.50000000000001998</v>
      </c>
      <c r="W59">
        <f t="shared" si="9"/>
        <v>-0.47024999999999917</v>
      </c>
    </row>
    <row r="60" spans="1:23" x14ac:dyDescent="0.3">
      <c r="A60">
        <v>2.9002478000000003</v>
      </c>
      <c r="B60">
        <v>0.62048000000000003</v>
      </c>
      <c r="C60">
        <f t="shared" si="1"/>
        <v>1.7995457549440002</v>
      </c>
      <c r="D60">
        <v>2.01E-2</v>
      </c>
      <c r="E60">
        <v>3.8158201924077539E-3</v>
      </c>
      <c r="F60">
        <f t="shared" si="2"/>
        <v>580.04956000000004</v>
      </c>
      <c r="G60">
        <f t="shared" si="3"/>
        <v>-0.62048000000000003</v>
      </c>
      <c r="H60">
        <f t="shared" si="4"/>
        <v>-359.90915098880004</v>
      </c>
      <c r="I60">
        <v>1</v>
      </c>
      <c r="J60">
        <f t="shared" si="5"/>
        <v>-0.54464173081630585</v>
      </c>
      <c r="K60">
        <f t="shared" si="6"/>
        <v>-0.55943057297601195</v>
      </c>
      <c r="L60">
        <v>1</v>
      </c>
      <c r="M60">
        <f t="shared" si="7"/>
        <v>0.46837951147879681</v>
      </c>
      <c r="N60">
        <f t="shared" si="13"/>
        <v>5.8294980780000005E-2</v>
      </c>
      <c r="O60">
        <f t="shared" si="11"/>
        <v>1.1066824118226166E-2</v>
      </c>
      <c r="P60">
        <f t="shared" si="12"/>
        <v>2.1689256598988974E-2</v>
      </c>
      <c r="V60">
        <v>-0.40000000000002001</v>
      </c>
      <c r="W60">
        <f t="shared" si="9"/>
        <v>-0.4744399999999992</v>
      </c>
    </row>
    <row r="61" spans="1:23" x14ac:dyDescent="0.3">
      <c r="A61">
        <v>2.9511658000000001</v>
      </c>
      <c r="B61">
        <v>0.61753999999999998</v>
      </c>
      <c r="C61">
        <f t="shared" si="1"/>
        <v>1.8224629281319999</v>
      </c>
      <c r="D61">
        <v>2.01E-2</v>
      </c>
      <c r="E61">
        <v>3.8158201924077539E-3</v>
      </c>
      <c r="F61">
        <f t="shared" si="2"/>
        <v>590.23316</v>
      </c>
      <c r="G61">
        <f t="shared" si="3"/>
        <v>-0.61753999999999998</v>
      </c>
      <c r="H61">
        <f t="shared" si="4"/>
        <v>-364.4925856264</v>
      </c>
      <c r="I61">
        <v>1</v>
      </c>
      <c r="J61">
        <f t="shared" si="5"/>
        <v>-0.52723763370728904</v>
      </c>
      <c r="K61">
        <f t="shared" si="6"/>
        <v>-0.56237057297601201</v>
      </c>
      <c r="L61">
        <v>1</v>
      </c>
      <c r="M61">
        <f t="shared" si="7"/>
        <v>0.4691087431476646</v>
      </c>
      <c r="N61">
        <f t="shared" si="13"/>
        <v>5.9318432580000004E-2</v>
      </c>
      <c r="O61">
        <f t="shared" si="11"/>
        <v>1.1261118050783184E-2</v>
      </c>
      <c r="P61">
        <f t="shared" si="12"/>
        <v>2.2682279197564222E-2</v>
      </c>
      <c r="V61">
        <v>-0.30000000000001997</v>
      </c>
      <c r="W61">
        <f t="shared" si="9"/>
        <v>-0.47862999999999917</v>
      </c>
    </row>
    <row r="62" spans="1:23" x14ac:dyDescent="0.3">
      <c r="A62">
        <v>3.0015750000000003</v>
      </c>
      <c r="B62">
        <v>0.61524999999999996</v>
      </c>
      <c r="C62">
        <f t="shared" si="1"/>
        <v>1.84671901875</v>
      </c>
      <c r="D62">
        <v>2.01E-2</v>
      </c>
      <c r="E62">
        <v>3.8158201924077539E-3</v>
      </c>
      <c r="F62">
        <f t="shared" si="2"/>
        <v>600.31500000000005</v>
      </c>
      <c r="G62">
        <f t="shared" si="3"/>
        <v>-0.61524999999999996</v>
      </c>
      <c r="H62">
        <f t="shared" si="4"/>
        <v>-369.34380375000001</v>
      </c>
      <c r="I62">
        <v>1</v>
      </c>
      <c r="J62">
        <f t="shared" si="5"/>
        <v>-0.51030076153027526</v>
      </c>
      <c r="K62">
        <f t="shared" si="6"/>
        <v>-0.56466057297601202</v>
      </c>
      <c r="L62">
        <v>1</v>
      </c>
      <c r="M62">
        <f t="shared" si="7"/>
        <v>0.46981839809188147</v>
      </c>
      <c r="N62">
        <f t="shared" si="13"/>
        <v>6.0331657500000004E-2</v>
      </c>
      <c r="O62">
        <f t="shared" si="11"/>
        <v>1.1453470494026305E-2</v>
      </c>
      <c r="P62">
        <f t="shared" si="12"/>
        <v>2.3057046890104238E-2</v>
      </c>
      <c r="V62">
        <v>-0.20000000000002</v>
      </c>
      <c r="W62">
        <f t="shared" si="9"/>
        <v>-0.48281999999999919</v>
      </c>
    </row>
    <row r="63" spans="1:23" x14ac:dyDescent="0.3">
      <c r="A63">
        <v>3.0535115000000004</v>
      </c>
      <c r="B63">
        <v>0.61245000000000005</v>
      </c>
      <c r="C63">
        <f t="shared" si="1"/>
        <v>1.8701231181750004</v>
      </c>
      <c r="D63">
        <v>2.01E-2</v>
      </c>
      <c r="E63">
        <v>3.8158201924077539E-3</v>
      </c>
      <c r="F63">
        <f t="shared" si="2"/>
        <v>610.70230000000004</v>
      </c>
      <c r="G63">
        <f t="shared" si="3"/>
        <v>-0.61245000000000005</v>
      </c>
      <c r="H63">
        <f t="shared" si="4"/>
        <v>-374.02462363500007</v>
      </c>
      <c r="I63">
        <v>1</v>
      </c>
      <c r="J63">
        <f t="shared" si="5"/>
        <v>-0.49314567259017106</v>
      </c>
      <c r="K63">
        <f t="shared" si="6"/>
        <v>-0.56746057297601193</v>
      </c>
      <c r="L63">
        <v>1</v>
      </c>
      <c r="M63">
        <f t="shared" si="7"/>
        <v>0.47053719631847185</v>
      </c>
      <c r="N63">
        <f t="shared" si="13"/>
        <v>6.1375581150000004E-2</v>
      </c>
      <c r="O63">
        <f t="shared" si="11"/>
        <v>1.1651650839449291E-2</v>
      </c>
      <c r="P63">
        <f t="shared" si="12"/>
        <v>2.3896144668090789E-2</v>
      </c>
      <c r="V63">
        <v>-0.10000000000002</v>
      </c>
      <c r="W63">
        <f t="shared" si="9"/>
        <v>-0.48700999999999917</v>
      </c>
    </row>
    <row r="64" spans="1:23" x14ac:dyDescent="0.3">
      <c r="A64">
        <v>3.1039206999999998</v>
      </c>
      <c r="B64">
        <v>0.60992999999999997</v>
      </c>
      <c r="C64">
        <f t="shared" si="1"/>
        <v>1.8931743525509999</v>
      </c>
      <c r="D64">
        <v>2.01E-2</v>
      </c>
      <c r="E64">
        <v>3.8158201924077539E-3</v>
      </c>
      <c r="F64">
        <f t="shared" si="2"/>
        <v>620.78413999999998</v>
      </c>
      <c r="G64">
        <f t="shared" si="3"/>
        <v>-0.60992999999999997</v>
      </c>
      <c r="H64">
        <f t="shared" si="4"/>
        <v>-378.63487051019996</v>
      </c>
      <c r="I64">
        <v>1</v>
      </c>
      <c r="J64">
        <f t="shared" si="5"/>
        <v>-0.47677185811988809</v>
      </c>
      <c r="K64">
        <f t="shared" si="6"/>
        <v>-0.56998057297601201</v>
      </c>
      <c r="L64">
        <v>1</v>
      </c>
      <c r="M64">
        <f t="shared" si="7"/>
        <v>0.4712232591447767</v>
      </c>
      <c r="N64">
        <f t="shared" si="13"/>
        <v>6.2388806069999997E-2</v>
      </c>
      <c r="O64">
        <f t="shared" si="11"/>
        <v>1.184400328269241E-2</v>
      </c>
      <c r="P64">
        <f t="shared" si="12"/>
        <v>2.4524504478542909E-2</v>
      </c>
      <c r="V64">
        <v>-2.0428103653102899E-14</v>
      </c>
      <c r="W64">
        <f t="shared" si="9"/>
        <v>-0.49119999999999919</v>
      </c>
    </row>
    <row r="65" spans="1:23" x14ac:dyDescent="0.3">
      <c r="A65">
        <v>3.1594218999999999</v>
      </c>
      <c r="B65">
        <v>0.60751999999999995</v>
      </c>
      <c r="C65">
        <f t="shared" si="1"/>
        <v>1.9194119926879998</v>
      </c>
      <c r="D65">
        <v>2.01E-2</v>
      </c>
      <c r="E65">
        <v>3.8158201924077539E-3</v>
      </c>
      <c r="F65">
        <f t="shared" si="2"/>
        <v>631.88437999999996</v>
      </c>
      <c r="G65">
        <f t="shared" si="3"/>
        <v>-0.60751999999999995</v>
      </c>
      <c r="H65">
        <f t="shared" si="4"/>
        <v>-383.88239853759995</v>
      </c>
      <c r="I65">
        <v>1</v>
      </c>
      <c r="J65">
        <f t="shared" si="5"/>
        <v>-0.45904884460937323</v>
      </c>
      <c r="K65">
        <f t="shared" si="6"/>
        <v>-0.57239057297601204</v>
      </c>
      <c r="L65">
        <v>1</v>
      </c>
      <c r="M65">
        <f t="shared" si="7"/>
        <v>0.47196585341086728</v>
      </c>
      <c r="N65">
        <f t="shared" si="13"/>
        <v>6.3504380190000001E-2</v>
      </c>
      <c r="O65">
        <f t="shared" si="11"/>
        <v>1.2055785882355272E-2</v>
      </c>
      <c r="P65">
        <f t="shared" si="12"/>
        <v>2.4864553492789487E-2</v>
      </c>
      <c r="V65">
        <v>9.9999999999980105E-2</v>
      </c>
      <c r="W65">
        <f t="shared" si="9"/>
        <v>-0.49538999999999922</v>
      </c>
    </row>
    <row r="66" spans="1:23" x14ac:dyDescent="0.3">
      <c r="A66">
        <v>3.2128859999999997</v>
      </c>
      <c r="B66">
        <v>0.60463999999999996</v>
      </c>
      <c r="C66">
        <f t="shared" si="1"/>
        <v>1.9426393910399997</v>
      </c>
      <c r="D66">
        <v>2.01E-2</v>
      </c>
      <c r="E66">
        <v>3.8158201924077539E-3</v>
      </c>
      <c r="F66">
        <f t="shared" si="2"/>
        <v>642.57719999999995</v>
      </c>
      <c r="G66">
        <f t="shared" si="3"/>
        <v>-0.60463999999999996</v>
      </c>
      <c r="H66">
        <f t="shared" si="4"/>
        <v>-388.52787820799995</v>
      </c>
      <c r="I66">
        <v>1</v>
      </c>
      <c r="J66">
        <f t="shared" si="5"/>
        <v>-0.44226831378884984</v>
      </c>
      <c r="K66">
        <f t="shared" si="6"/>
        <v>-0.57527057297601203</v>
      </c>
      <c r="L66">
        <v>1</v>
      </c>
      <c r="M66">
        <f t="shared" si="7"/>
        <v>0.4726689576522472</v>
      </c>
      <c r="N66">
        <f t="shared" si="13"/>
        <v>6.4579008599999987E-2</v>
      </c>
      <c r="O66">
        <f t="shared" si="11"/>
        <v>1.2259795274704178E-2</v>
      </c>
      <c r="P66">
        <f t="shared" si="12"/>
        <v>2.576281144906066E-2</v>
      </c>
      <c r="V66">
        <v>0.19999999999998</v>
      </c>
      <c r="W66">
        <f t="shared" si="9"/>
        <v>-0.49957999999999919</v>
      </c>
    </row>
    <row r="67" spans="1:23" x14ac:dyDescent="0.3">
      <c r="A67">
        <v>3.2638042</v>
      </c>
      <c r="B67">
        <v>0.60214000000000001</v>
      </c>
      <c r="C67">
        <f t="shared" si="1"/>
        <v>1.9652670609880001</v>
      </c>
      <c r="D67">
        <v>2.01E-2</v>
      </c>
      <c r="E67">
        <v>3.8158201924077539E-3</v>
      </c>
      <c r="F67">
        <f t="shared" si="2"/>
        <v>652.76084000000003</v>
      </c>
      <c r="G67">
        <f t="shared" si="3"/>
        <v>-0.60214000000000001</v>
      </c>
      <c r="H67">
        <f t="shared" si="4"/>
        <v>-393.05341219760004</v>
      </c>
      <c r="I67">
        <v>1</v>
      </c>
      <c r="J67">
        <f t="shared" si="5"/>
        <v>-0.42654446487667458</v>
      </c>
      <c r="K67">
        <f t="shared" si="6"/>
        <v>-0.57777057297601198</v>
      </c>
      <c r="L67">
        <v>1</v>
      </c>
      <c r="M67">
        <f t="shared" si="7"/>
        <v>0.47332778692166738</v>
      </c>
      <c r="N67">
        <f t="shared" si="13"/>
        <v>6.5602464420000006E-2</v>
      </c>
      <c r="O67">
        <f t="shared" si="11"/>
        <v>1.2454089970425235E-2</v>
      </c>
      <c r="P67">
        <f t="shared" si="12"/>
        <v>2.6386231663919353E-2</v>
      </c>
      <c r="V67">
        <v>0.29999999999998</v>
      </c>
      <c r="W67">
        <f t="shared" si="9"/>
        <v>-0.50376999999999916</v>
      </c>
    </row>
    <row r="68" spans="1:23" x14ac:dyDescent="0.3">
      <c r="A68">
        <v>3.3152319000000001</v>
      </c>
      <c r="B68">
        <v>0.59980999999999995</v>
      </c>
      <c r="C68">
        <f t="shared" si="1"/>
        <v>1.9885092459389999</v>
      </c>
      <c r="D68">
        <v>2.01E-2</v>
      </c>
      <c r="E68">
        <v>3.8158201924077539E-3</v>
      </c>
      <c r="F68">
        <f t="shared" si="2"/>
        <v>663.04638</v>
      </c>
      <c r="G68">
        <f t="shared" si="3"/>
        <v>-0.59980999999999995</v>
      </c>
      <c r="H68">
        <f t="shared" si="4"/>
        <v>-397.70184918780001</v>
      </c>
      <c r="I68">
        <v>1</v>
      </c>
      <c r="J68">
        <f t="shared" si="5"/>
        <v>-0.41091033649186276</v>
      </c>
      <c r="K68">
        <f t="shared" si="6"/>
        <v>-0.58010057297601203</v>
      </c>
      <c r="L68">
        <v>1</v>
      </c>
      <c r="M68">
        <f t="shared" si="7"/>
        <v>0.47398285690099096</v>
      </c>
      <c r="N68">
        <f t="shared" si="13"/>
        <v>6.6636161190000001E-2</v>
      </c>
      <c r="O68">
        <f t="shared" si="11"/>
        <v>1.2650328826534324E-2</v>
      </c>
      <c r="P68">
        <f t="shared" si="12"/>
        <v>2.683122605848675E-2</v>
      </c>
      <c r="V68">
        <v>0.39999999999997998</v>
      </c>
      <c r="W68">
        <f t="shared" si="9"/>
        <v>-0.50795999999999919</v>
      </c>
    </row>
    <row r="69" spans="1:23" x14ac:dyDescent="0.3">
      <c r="A69">
        <v>3.3692050999999998</v>
      </c>
      <c r="B69">
        <v>0.59724999999999995</v>
      </c>
      <c r="C69">
        <f t="shared" ref="C69:C132" si="14">A69*B69</f>
        <v>2.0122577459749995</v>
      </c>
      <c r="D69">
        <v>2.01E-2</v>
      </c>
      <c r="E69">
        <v>3.8158201924077539E-3</v>
      </c>
      <c r="F69">
        <f t="shared" ref="F69:F132" si="15">A69*200</f>
        <v>673.84101999999996</v>
      </c>
      <c r="G69">
        <f t="shared" ref="G69:G132" si="16">-B69</f>
        <v>-0.59724999999999995</v>
      </c>
      <c r="H69">
        <f t="shared" ref="H69:H132" si="17">-C69*200</f>
        <v>-402.45154919499993</v>
      </c>
      <c r="I69">
        <v>1</v>
      </c>
      <c r="J69">
        <f t="shared" ref="J69:J132" si="18">LN(F69/1000)</f>
        <v>-0.39476107126372045</v>
      </c>
      <c r="K69">
        <f t="shared" ref="K69:K132" si="19">((-G69)-$N$2)</f>
        <v>-0.58266057297601204</v>
      </c>
      <c r="L69">
        <v>1</v>
      </c>
      <c r="M69">
        <f t="shared" ref="M69:M132" si="20">-1*($S$4+($S$5*J69))</f>
        <v>0.47465951111405014</v>
      </c>
      <c r="N69">
        <f t="shared" si="13"/>
        <v>6.7721022509999992E-2</v>
      </c>
      <c r="O69">
        <f t="shared" si="11"/>
        <v>1.2856280852943186E-2</v>
      </c>
      <c r="P69">
        <f t="shared" si="12"/>
        <v>2.7423758499018722E-2</v>
      </c>
      <c r="V69">
        <v>0.49999999999998002</v>
      </c>
      <c r="W69">
        <f t="shared" ref="W69:W132" si="21">V69*$S$5+$S$4</f>
        <v>-0.51214999999999922</v>
      </c>
    </row>
    <row r="70" spans="1:23" x14ac:dyDescent="0.3">
      <c r="A70">
        <v>3.4201235000000003</v>
      </c>
      <c r="B70">
        <v>0.59472999999999998</v>
      </c>
      <c r="C70">
        <f t="shared" si="14"/>
        <v>2.0340500491550002</v>
      </c>
      <c r="D70">
        <v>2.01E-2</v>
      </c>
      <c r="E70">
        <v>3.8158201924077539E-3</v>
      </c>
      <c r="F70">
        <f t="shared" si="15"/>
        <v>684.02470000000005</v>
      </c>
      <c r="G70">
        <f t="shared" si="16"/>
        <v>-0.59472999999999998</v>
      </c>
      <c r="H70">
        <f t="shared" si="17"/>
        <v>-406.81000983100006</v>
      </c>
      <c r="I70">
        <v>1</v>
      </c>
      <c r="J70">
        <f t="shared" si="18"/>
        <v>-0.37976125090046592</v>
      </c>
      <c r="K70">
        <f t="shared" si="19"/>
        <v>-0.585180572976012</v>
      </c>
      <c r="L70">
        <v>1</v>
      </c>
      <c r="M70">
        <f t="shared" si="20"/>
        <v>0.47528800358727052</v>
      </c>
      <c r="N70">
        <f t="shared" si="13"/>
        <v>6.8744482350000011E-2</v>
      </c>
      <c r="O70">
        <f t="shared" ref="O70:O133" si="22">E70*A70</f>
        <v>1.3050576311828281E-2</v>
      </c>
      <c r="P70">
        <f t="shared" ref="P70:P133" si="23">-K70-M70-N70-O70</f>
        <v>2.8097510726913189E-2</v>
      </c>
      <c r="V70">
        <v>0.59999999999997999</v>
      </c>
      <c r="W70">
        <f t="shared" si="21"/>
        <v>-0.51633999999999913</v>
      </c>
    </row>
    <row r="71" spans="1:23" x14ac:dyDescent="0.3">
      <c r="A71">
        <v>3.4715509999999998</v>
      </c>
      <c r="B71">
        <v>0.59221000000000001</v>
      </c>
      <c r="C71">
        <f t="shared" si="14"/>
        <v>2.05588721771</v>
      </c>
      <c r="D71">
        <v>2.01E-2</v>
      </c>
      <c r="E71">
        <v>3.8158201924077539E-3</v>
      </c>
      <c r="F71">
        <f t="shared" si="15"/>
        <v>694.31020000000001</v>
      </c>
      <c r="G71">
        <f t="shared" si="16"/>
        <v>-0.59221000000000001</v>
      </c>
      <c r="H71">
        <f t="shared" si="17"/>
        <v>-411.17744354199999</v>
      </c>
      <c r="I71">
        <v>1</v>
      </c>
      <c r="J71">
        <f t="shared" si="18"/>
        <v>-0.36483644427508227</v>
      </c>
      <c r="K71">
        <f t="shared" si="19"/>
        <v>-0.58770057297601197</v>
      </c>
      <c r="L71">
        <v>1</v>
      </c>
      <c r="M71">
        <f t="shared" si="20"/>
        <v>0.47591335298487408</v>
      </c>
      <c r="N71">
        <f t="shared" ref="N71:N134" si="24">D71*A71</f>
        <v>6.9778175099999992E-2</v>
      </c>
      <c r="O71">
        <f t="shared" si="22"/>
        <v>1.324681440477333E-2</v>
      </c>
      <c r="P71">
        <f t="shared" si="23"/>
        <v>2.8762230486364566E-2</v>
      </c>
      <c r="V71">
        <v>0.69999999999997997</v>
      </c>
      <c r="W71">
        <f t="shared" si="21"/>
        <v>-0.52052999999999916</v>
      </c>
    </row>
    <row r="72" spans="1:23" x14ac:dyDescent="0.3">
      <c r="A72">
        <v>3.5224691999999997</v>
      </c>
      <c r="B72">
        <v>0.58989999999999998</v>
      </c>
      <c r="C72">
        <f t="shared" si="14"/>
        <v>2.0779045810799999</v>
      </c>
      <c r="D72">
        <v>2.01E-2</v>
      </c>
      <c r="E72">
        <v>3.8158201924077539E-3</v>
      </c>
      <c r="F72">
        <f t="shared" si="15"/>
        <v>704.49383999999998</v>
      </c>
      <c r="G72">
        <f t="shared" si="16"/>
        <v>-0.58989999999999998</v>
      </c>
      <c r="H72">
        <f t="shared" si="17"/>
        <v>-415.58091621599999</v>
      </c>
      <c r="I72">
        <v>1</v>
      </c>
      <c r="J72">
        <f t="shared" si="18"/>
        <v>-0.35027569147155135</v>
      </c>
      <c r="K72">
        <f t="shared" si="19"/>
        <v>-0.590010572976012</v>
      </c>
      <c r="L72">
        <v>1</v>
      </c>
      <c r="M72">
        <f t="shared" si="20"/>
        <v>0.47652344852734202</v>
      </c>
      <c r="N72">
        <f t="shared" si="24"/>
        <v>7.0801630919999997E-2</v>
      </c>
      <c r="O72">
        <f t="shared" si="22"/>
        <v>1.3441109100494387E-2</v>
      </c>
      <c r="P72">
        <f t="shared" si="23"/>
        <v>2.9244384428175601E-2</v>
      </c>
      <c r="V72">
        <v>0.79999999999997995</v>
      </c>
      <c r="W72">
        <f t="shared" si="21"/>
        <v>-0.52471999999999919</v>
      </c>
    </row>
    <row r="73" spans="1:23" x14ac:dyDescent="0.3">
      <c r="A73">
        <v>3.5728784</v>
      </c>
      <c r="B73">
        <v>0.58747000000000005</v>
      </c>
      <c r="C73">
        <f t="shared" si="14"/>
        <v>2.0989588736480003</v>
      </c>
      <c r="D73">
        <v>2.01E-2</v>
      </c>
      <c r="E73">
        <v>3.8158201924077539E-3</v>
      </c>
      <c r="F73">
        <f t="shared" si="15"/>
        <v>714.57568000000003</v>
      </c>
      <c r="G73">
        <f t="shared" si="16"/>
        <v>-0.58747000000000005</v>
      </c>
      <c r="H73">
        <f t="shared" si="17"/>
        <v>-419.79177472960004</v>
      </c>
      <c r="I73">
        <v>1</v>
      </c>
      <c r="J73">
        <f t="shared" si="18"/>
        <v>-0.33606636699743292</v>
      </c>
      <c r="K73">
        <f t="shared" si="19"/>
        <v>-0.59244057297601194</v>
      </c>
      <c r="L73">
        <v>1</v>
      </c>
      <c r="M73">
        <f t="shared" si="20"/>
        <v>0.47711881922280758</v>
      </c>
      <c r="N73">
        <f t="shared" si="24"/>
        <v>7.1814855839999997E-2</v>
      </c>
      <c r="O73">
        <f t="shared" si="22"/>
        <v>1.3633461543737508E-2</v>
      </c>
      <c r="P73">
        <f t="shared" si="23"/>
        <v>2.9873436369466856E-2</v>
      </c>
      <c r="V73">
        <v>0.89999999999998004</v>
      </c>
      <c r="W73">
        <f t="shared" si="21"/>
        <v>-0.52890999999999921</v>
      </c>
    </row>
    <row r="74" spans="1:23" x14ac:dyDescent="0.3">
      <c r="A74">
        <v>3.6237971</v>
      </c>
      <c r="B74">
        <v>0.58523999999999998</v>
      </c>
      <c r="C74">
        <f t="shared" si="14"/>
        <v>2.1207910148039999</v>
      </c>
      <c r="D74">
        <v>2.01E-2</v>
      </c>
      <c r="E74">
        <v>3.8158201924077539E-3</v>
      </c>
      <c r="F74">
        <f t="shared" si="15"/>
        <v>724.75941999999998</v>
      </c>
      <c r="G74">
        <f t="shared" si="16"/>
        <v>-0.58523999999999998</v>
      </c>
      <c r="H74">
        <f t="shared" si="17"/>
        <v>-424.1582029608</v>
      </c>
      <c r="I74">
        <v>1</v>
      </c>
      <c r="J74">
        <f t="shared" si="18"/>
        <v>-0.32191551367946586</v>
      </c>
      <c r="K74">
        <f t="shared" si="19"/>
        <v>-0.594670572976012</v>
      </c>
      <c r="L74">
        <v>1</v>
      </c>
      <c r="M74">
        <f t="shared" si="20"/>
        <v>0.47771173997683042</v>
      </c>
      <c r="N74">
        <f t="shared" si="24"/>
        <v>7.2838321710000001E-2</v>
      </c>
      <c r="O74">
        <f t="shared" si="22"/>
        <v>1.3827758147368661E-2</v>
      </c>
      <c r="P74">
        <f t="shared" si="23"/>
        <v>3.0292753141812921E-2</v>
      </c>
      <c r="V74">
        <v>0.99999999999998002</v>
      </c>
      <c r="W74">
        <f t="shared" si="21"/>
        <v>-0.53309999999999924</v>
      </c>
    </row>
    <row r="75" spans="1:23" x14ac:dyDescent="0.3">
      <c r="A75">
        <v>3.6742063000000003</v>
      </c>
      <c r="B75">
        <v>0.58275999999999994</v>
      </c>
      <c r="C75">
        <f t="shared" si="14"/>
        <v>2.1411804633879998</v>
      </c>
      <c r="D75">
        <v>2.01E-2</v>
      </c>
      <c r="E75">
        <v>3.8158201924077539E-3</v>
      </c>
      <c r="F75">
        <f t="shared" si="15"/>
        <v>734.84126000000003</v>
      </c>
      <c r="G75">
        <f t="shared" si="16"/>
        <v>-0.58275999999999994</v>
      </c>
      <c r="H75">
        <f t="shared" si="17"/>
        <v>-428.23609267759997</v>
      </c>
      <c r="I75">
        <v>1</v>
      </c>
      <c r="J75">
        <f t="shared" si="18"/>
        <v>-0.30810077588389728</v>
      </c>
      <c r="K75">
        <f t="shared" si="19"/>
        <v>-0.59715057297601204</v>
      </c>
      <c r="L75">
        <v>1</v>
      </c>
      <c r="M75">
        <f t="shared" si="20"/>
        <v>0.47829057749046472</v>
      </c>
      <c r="N75">
        <f t="shared" si="24"/>
        <v>7.3851546630000001E-2</v>
      </c>
      <c r="O75">
        <f t="shared" si="22"/>
        <v>1.4020110590611782E-2</v>
      </c>
      <c r="P75">
        <f t="shared" si="23"/>
        <v>3.0988338264935536E-2</v>
      </c>
      <c r="V75">
        <v>1.0999999999999699</v>
      </c>
      <c r="W75">
        <f t="shared" si="21"/>
        <v>-0.53728999999999871</v>
      </c>
    </row>
    <row r="76" spans="1:23" x14ac:dyDescent="0.3">
      <c r="A76">
        <v>3.7246155000000001</v>
      </c>
      <c r="B76">
        <v>0.58043</v>
      </c>
      <c r="C76">
        <f t="shared" si="14"/>
        <v>2.1618785746650002</v>
      </c>
      <c r="D76">
        <v>2.01E-2</v>
      </c>
      <c r="E76">
        <v>3.8158201924077539E-3</v>
      </c>
      <c r="F76">
        <f t="shared" si="15"/>
        <v>744.92309999999998</v>
      </c>
      <c r="G76">
        <f t="shared" si="16"/>
        <v>-0.58043</v>
      </c>
      <c r="H76">
        <f t="shared" si="17"/>
        <v>-432.37571493300004</v>
      </c>
      <c r="I76">
        <v>1</v>
      </c>
      <c r="J76">
        <f t="shared" si="18"/>
        <v>-0.29447428740679088</v>
      </c>
      <c r="K76">
        <f t="shared" si="19"/>
        <v>-0.59948057297601198</v>
      </c>
      <c r="L76">
        <v>1</v>
      </c>
      <c r="M76">
        <f t="shared" si="20"/>
        <v>0.47886152735765547</v>
      </c>
      <c r="N76">
        <f t="shared" si="24"/>
        <v>7.486477155E-2</v>
      </c>
      <c r="O76">
        <f t="shared" si="22"/>
        <v>1.4212463033854903E-2</v>
      </c>
      <c r="P76">
        <f t="shared" si="23"/>
        <v>3.1541811034501613E-2</v>
      </c>
      <c r="V76">
        <v>1.19999999999997</v>
      </c>
      <c r="W76">
        <f t="shared" si="21"/>
        <v>-0.54147999999999874</v>
      </c>
    </row>
    <row r="77" spans="1:23" x14ac:dyDescent="0.3">
      <c r="A77">
        <v>3.7760425</v>
      </c>
      <c r="B77">
        <v>0.57804</v>
      </c>
      <c r="C77">
        <f t="shared" si="14"/>
        <v>2.1827036067000001</v>
      </c>
      <c r="D77">
        <v>2.01E-2</v>
      </c>
      <c r="E77">
        <v>3.8158201924077539E-3</v>
      </c>
      <c r="F77">
        <f t="shared" si="15"/>
        <v>755.20849999999996</v>
      </c>
      <c r="G77">
        <f t="shared" si="16"/>
        <v>-0.57804</v>
      </c>
      <c r="H77">
        <f t="shared" si="17"/>
        <v>-436.54072134</v>
      </c>
      <c r="I77">
        <v>1</v>
      </c>
      <c r="J77">
        <f t="shared" si="18"/>
        <v>-0.28076140891757639</v>
      </c>
      <c r="K77">
        <f t="shared" si="19"/>
        <v>-0.60187057297601199</v>
      </c>
      <c r="L77">
        <v>1</v>
      </c>
      <c r="M77">
        <f t="shared" si="20"/>
        <v>0.47943609696635359</v>
      </c>
      <c r="N77">
        <f t="shared" si="24"/>
        <v>7.5898454249999997E-2</v>
      </c>
      <c r="O77">
        <f t="shared" si="22"/>
        <v>1.4408699218889856E-2</v>
      </c>
      <c r="P77">
        <f t="shared" si="23"/>
        <v>3.2127322540768548E-2</v>
      </c>
      <c r="V77">
        <v>1.2999999999999701</v>
      </c>
      <c r="W77">
        <f t="shared" si="21"/>
        <v>-0.54566999999999877</v>
      </c>
    </row>
    <row r="78" spans="1:23" x14ac:dyDescent="0.3">
      <c r="A78">
        <v>3.8289978000000002</v>
      </c>
      <c r="B78">
        <v>0.57582999999999995</v>
      </c>
      <c r="C78">
        <f t="shared" si="14"/>
        <v>2.2048518031739999</v>
      </c>
      <c r="D78">
        <v>2.01E-2</v>
      </c>
      <c r="E78">
        <v>3.8158201924077539E-3</v>
      </c>
      <c r="F78">
        <f t="shared" si="15"/>
        <v>765.79956000000004</v>
      </c>
      <c r="G78">
        <f t="shared" si="16"/>
        <v>-0.57582999999999995</v>
      </c>
      <c r="H78">
        <f t="shared" si="17"/>
        <v>-440.97036063479999</v>
      </c>
      <c r="I78">
        <v>1</v>
      </c>
      <c r="J78">
        <f t="shared" si="18"/>
        <v>-0.26683481450165686</v>
      </c>
      <c r="K78">
        <f t="shared" si="19"/>
        <v>-0.60408057297601203</v>
      </c>
      <c r="L78">
        <v>1</v>
      </c>
      <c r="M78">
        <f t="shared" si="20"/>
        <v>0.48001962127238063</v>
      </c>
      <c r="N78">
        <f t="shared" si="24"/>
        <v>7.6962855780000006E-2</v>
      </c>
      <c r="O78">
        <f t="shared" si="22"/>
        <v>1.4610767121924868E-2</v>
      </c>
      <c r="P78">
        <f t="shared" si="23"/>
        <v>3.248732880170653E-2</v>
      </c>
      <c r="V78">
        <v>1.3999999999999699</v>
      </c>
      <c r="W78">
        <f t="shared" si="21"/>
        <v>-0.54985999999999879</v>
      </c>
    </row>
    <row r="79" spans="1:23" x14ac:dyDescent="0.3">
      <c r="A79">
        <v>3.8850078000000003</v>
      </c>
      <c r="B79">
        <v>0.57332000000000005</v>
      </c>
      <c r="C79">
        <f t="shared" si="14"/>
        <v>2.2273526718960004</v>
      </c>
      <c r="D79">
        <v>2.01E-2</v>
      </c>
      <c r="E79">
        <v>3.8158201924077539E-3</v>
      </c>
      <c r="F79">
        <f t="shared" si="15"/>
        <v>777.00156000000004</v>
      </c>
      <c r="G79">
        <f t="shared" si="16"/>
        <v>-0.57332000000000005</v>
      </c>
      <c r="H79">
        <f t="shared" si="17"/>
        <v>-445.4705343792001</v>
      </c>
      <c r="I79">
        <v>1</v>
      </c>
      <c r="J79">
        <f t="shared" si="18"/>
        <v>-0.25231292089449725</v>
      </c>
      <c r="K79">
        <f t="shared" si="19"/>
        <v>-0.60659057297601193</v>
      </c>
      <c r="L79">
        <v>1</v>
      </c>
      <c r="M79">
        <f t="shared" si="20"/>
        <v>0.48062808861452061</v>
      </c>
      <c r="N79">
        <f t="shared" si="24"/>
        <v>7.8088656780000001E-2</v>
      </c>
      <c r="O79">
        <f t="shared" si="22"/>
        <v>1.4824491210901626E-2</v>
      </c>
      <c r="P79">
        <f t="shared" si="23"/>
        <v>3.3049336370589696E-2</v>
      </c>
      <c r="V79">
        <v>1.49999999999997</v>
      </c>
      <c r="W79">
        <f t="shared" si="21"/>
        <v>-0.55404999999999882</v>
      </c>
    </row>
    <row r="80" spans="1:23" x14ac:dyDescent="0.3">
      <c r="A80">
        <v>3.9364352999999999</v>
      </c>
      <c r="B80">
        <v>0.57088000000000005</v>
      </c>
      <c r="C80">
        <f t="shared" si="14"/>
        <v>2.2472321840639999</v>
      </c>
      <c r="D80">
        <v>2.01E-2</v>
      </c>
      <c r="E80">
        <v>3.8158201924077539E-3</v>
      </c>
      <c r="F80">
        <f t="shared" si="15"/>
        <v>787.28706</v>
      </c>
      <c r="G80">
        <f t="shared" si="16"/>
        <v>-0.57088000000000005</v>
      </c>
      <c r="H80">
        <f t="shared" si="17"/>
        <v>-449.44643681280002</v>
      </c>
      <c r="I80">
        <v>1</v>
      </c>
      <c r="J80">
        <f t="shared" si="18"/>
        <v>-0.23916234484702042</v>
      </c>
      <c r="K80">
        <f t="shared" si="19"/>
        <v>-0.60903057297601193</v>
      </c>
      <c r="L80">
        <v>1</v>
      </c>
      <c r="M80">
        <f t="shared" si="20"/>
        <v>0.48117909775090989</v>
      </c>
      <c r="N80">
        <f t="shared" si="24"/>
        <v>7.9122349529999997E-2</v>
      </c>
      <c r="O80">
        <f t="shared" si="22"/>
        <v>1.5020729303846674E-2</v>
      </c>
      <c r="P80">
        <f t="shared" si="23"/>
        <v>3.370839639125537E-2</v>
      </c>
      <c r="V80">
        <v>1.5999999999999699</v>
      </c>
      <c r="W80">
        <f t="shared" si="21"/>
        <v>-0.55823999999999874</v>
      </c>
    </row>
    <row r="81" spans="1:23" x14ac:dyDescent="0.3">
      <c r="A81">
        <v>3.9873538000000002</v>
      </c>
      <c r="B81">
        <v>0.56864999999999999</v>
      </c>
      <c r="C81">
        <f t="shared" si="14"/>
        <v>2.2674087383699999</v>
      </c>
      <c r="D81">
        <v>2.01E-2</v>
      </c>
      <c r="E81">
        <v>3.8158201924077539E-3</v>
      </c>
      <c r="F81">
        <f t="shared" si="15"/>
        <v>797.47076000000004</v>
      </c>
      <c r="G81">
        <f t="shared" si="16"/>
        <v>-0.56864999999999999</v>
      </c>
      <c r="H81">
        <f t="shared" si="17"/>
        <v>-453.48174767399996</v>
      </c>
      <c r="I81">
        <v>1</v>
      </c>
      <c r="J81">
        <f t="shared" si="18"/>
        <v>-0.22631010957210188</v>
      </c>
      <c r="K81">
        <f t="shared" si="19"/>
        <v>-0.611260572976012</v>
      </c>
      <c r="L81">
        <v>1</v>
      </c>
      <c r="M81">
        <f t="shared" si="20"/>
        <v>0.48171760640892897</v>
      </c>
      <c r="N81">
        <f t="shared" si="24"/>
        <v>8.0145811380000001E-2</v>
      </c>
      <c r="O81">
        <f t="shared" si="22"/>
        <v>1.521502514431379E-2</v>
      </c>
      <c r="P81">
        <f t="shared" si="23"/>
        <v>3.4182130042769238E-2</v>
      </c>
      <c r="V81">
        <v>1.69999999999997</v>
      </c>
      <c r="W81">
        <f t="shared" si="21"/>
        <v>-0.56242999999999876</v>
      </c>
    </row>
    <row r="82" spans="1:23" x14ac:dyDescent="0.3">
      <c r="A82">
        <v>4.0377629000000006</v>
      </c>
      <c r="B82">
        <v>0.56650999999999996</v>
      </c>
      <c r="C82">
        <f t="shared" si="14"/>
        <v>2.2874330604790001</v>
      </c>
      <c r="D82">
        <v>2.01E-2</v>
      </c>
      <c r="E82">
        <v>3.8158201924077539E-3</v>
      </c>
      <c r="F82">
        <f t="shared" si="15"/>
        <v>807.55258000000015</v>
      </c>
      <c r="G82">
        <f t="shared" si="16"/>
        <v>-0.56650999999999996</v>
      </c>
      <c r="H82">
        <f t="shared" si="17"/>
        <v>-457.48661209580001</v>
      </c>
      <c r="I82">
        <v>1</v>
      </c>
      <c r="J82">
        <f t="shared" si="18"/>
        <v>-0.213747111454102</v>
      </c>
      <c r="K82">
        <f t="shared" si="19"/>
        <v>-0.61340057297601203</v>
      </c>
      <c r="L82">
        <v>1</v>
      </c>
      <c r="M82">
        <f t="shared" si="20"/>
        <v>0.48224399603007317</v>
      </c>
      <c r="N82">
        <f t="shared" si="24"/>
        <v>8.1159034290000015E-2</v>
      </c>
      <c r="O82">
        <f t="shared" si="22"/>
        <v>1.5407377205974893E-2</v>
      </c>
      <c r="P82">
        <f t="shared" si="23"/>
        <v>3.4590165449963947E-2</v>
      </c>
      <c r="V82">
        <v>1.7999999999999701</v>
      </c>
      <c r="W82">
        <f t="shared" si="21"/>
        <v>-0.56661999999999879</v>
      </c>
    </row>
    <row r="83" spans="1:23" x14ac:dyDescent="0.3">
      <c r="A83">
        <v>4.0881720999999995</v>
      </c>
      <c r="B83">
        <v>0.56411999999999995</v>
      </c>
      <c r="C83">
        <f t="shared" si="14"/>
        <v>2.3062196450519994</v>
      </c>
      <c r="D83">
        <v>2.01E-2</v>
      </c>
      <c r="E83">
        <v>3.8158201924077539E-3</v>
      </c>
      <c r="F83">
        <f t="shared" si="15"/>
        <v>817.63441999999986</v>
      </c>
      <c r="G83">
        <f t="shared" si="16"/>
        <v>-0.56411999999999995</v>
      </c>
      <c r="H83">
        <f t="shared" si="17"/>
        <v>-461.24392901039988</v>
      </c>
      <c r="I83">
        <v>1</v>
      </c>
      <c r="J83">
        <f t="shared" si="18"/>
        <v>-0.20133996159299622</v>
      </c>
      <c r="K83">
        <f t="shared" si="19"/>
        <v>-0.61579057297601203</v>
      </c>
      <c r="L83">
        <v>1</v>
      </c>
      <c r="M83">
        <f t="shared" si="20"/>
        <v>0.4827638556092535</v>
      </c>
      <c r="N83">
        <f t="shared" si="24"/>
        <v>8.2172259209999987E-2</v>
      </c>
      <c r="O83">
        <f t="shared" si="22"/>
        <v>1.5599729649218009E-2</v>
      </c>
      <c r="P83">
        <f t="shared" si="23"/>
        <v>3.5254728507540536E-2</v>
      </c>
      <c r="V83">
        <v>1.8999999999999699</v>
      </c>
      <c r="W83">
        <f t="shared" si="21"/>
        <v>-0.57080999999999871</v>
      </c>
    </row>
    <row r="84" spans="1:23" x14ac:dyDescent="0.3">
      <c r="A84">
        <v>4.1390902999999994</v>
      </c>
      <c r="B84">
        <v>0.56183000000000005</v>
      </c>
      <c r="C84">
        <f t="shared" si="14"/>
        <v>2.3254651032489999</v>
      </c>
      <c r="D84">
        <v>2.01E-2</v>
      </c>
      <c r="E84">
        <v>3.8158201924077539E-3</v>
      </c>
      <c r="F84">
        <f t="shared" si="15"/>
        <v>827.81805999999983</v>
      </c>
      <c r="G84">
        <f t="shared" si="16"/>
        <v>-0.56183000000000005</v>
      </c>
      <c r="H84">
        <f t="shared" si="17"/>
        <v>-465.0930206498</v>
      </c>
      <c r="I84">
        <v>1</v>
      </c>
      <c r="J84">
        <f t="shared" si="18"/>
        <v>-0.18896188304151276</v>
      </c>
      <c r="K84">
        <f t="shared" si="19"/>
        <v>-0.61808057297601193</v>
      </c>
      <c r="L84">
        <v>1</v>
      </c>
      <c r="M84">
        <f t="shared" si="20"/>
        <v>0.48328249710056065</v>
      </c>
      <c r="N84">
        <f t="shared" si="24"/>
        <v>8.3195715029999992E-2</v>
      </c>
      <c r="O84">
        <f t="shared" si="22"/>
        <v>1.5794024344939067E-2</v>
      </c>
      <c r="P84">
        <f t="shared" si="23"/>
        <v>3.5808336500512225E-2</v>
      </c>
      <c r="V84">
        <v>1.99999999999997</v>
      </c>
      <c r="W84">
        <f t="shared" si="21"/>
        <v>-0.57499999999999873</v>
      </c>
    </row>
    <row r="85" spans="1:23" x14ac:dyDescent="0.3">
      <c r="A85">
        <v>4.1894995000000002</v>
      </c>
      <c r="B85">
        <v>0.55974999999999997</v>
      </c>
      <c r="C85">
        <f t="shared" si="14"/>
        <v>2.3450723451250002</v>
      </c>
      <c r="D85">
        <v>2.01E-2</v>
      </c>
      <c r="E85">
        <v>3.8158201924077539E-3</v>
      </c>
      <c r="F85">
        <f t="shared" si="15"/>
        <v>837.8999</v>
      </c>
      <c r="G85">
        <f t="shared" si="16"/>
        <v>-0.55974999999999997</v>
      </c>
      <c r="H85">
        <f t="shared" si="17"/>
        <v>-469.01446902500004</v>
      </c>
      <c r="I85">
        <v>1</v>
      </c>
      <c r="J85">
        <f t="shared" si="18"/>
        <v>-0.17685663670888738</v>
      </c>
      <c r="K85">
        <f t="shared" si="19"/>
        <v>-0.62016057297601201</v>
      </c>
      <c r="L85">
        <v>1</v>
      </c>
      <c r="M85">
        <f t="shared" si="20"/>
        <v>0.48378970692189766</v>
      </c>
      <c r="N85">
        <f t="shared" si="24"/>
        <v>8.4208939950000006E-2</v>
      </c>
      <c r="O85">
        <f t="shared" si="22"/>
        <v>1.598637678818219E-2</v>
      </c>
      <c r="P85">
        <f t="shared" si="23"/>
        <v>3.6175549315932164E-2</v>
      </c>
      <c r="V85">
        <v>2.0999999999999699</v>
      </c>
      <c r="W85">
        <f t="shared" si="21"/>
        <v>-0.57918999999999876</v>
      </c>
    </row>
    <row r="86" spans="1:23" x14ac:dyDescent="0.3">
      <c r="A86">
        <v>4.2399087</v>
      </c>
      <c r="B86">
        <v>0.55752999999999997</v>
      </c>
      <c r="C86">
        <f t="shared" si="14"/>
        <v>2.3638762975109997</v>
      </c>
      <c r="D86">
        <v>2.01E-2</v>
      </c>
      <c r="E86">
        <v>3.8158201924077539E-3</v>
      </c>
      <c r="F86">
        <f t="shared" si="15"/>
        <v>847.98173999999995</v>
      </c>
      <c r="G86">
        <f t="shared" si="16"/>
        <v>-0.55752999999999997</v>
      </c>
      <c r="H86">
        <f t="shared" si="17"/>
        <v>-472.77525950219996</v>
      </c>
      <c r="I86">
        <v>1</v>
      </c>
      <c r="J86">
        <f t="shared" si="18"/>
        <v>-0.16489617644094076</v>
      </c>
      <c r="K86">
        <f t="shared" si="19"/>
        <v>-0.62238057297601201</v>
      </c>
      <c r="L86">
        <v>1</v>
      </c>
      <c r="M86">
        <f t="shared" si="20"/>
        <v>0.48429085020712459</v>
      </c>
      <c r="N86">
        <f t="shared" si="24"/>
        <v>8.5222164870000006E-2</v>
      </c>
      <c r="O86">
        <f t="shared" si="22"/>
        <v>1.6178729231425309E-2</v>
      </c>
      <c r="P86">
        <f t="shared" si="23"/>
        <v>3.6688828667462106E-2</v>
      </c>
      <c r="V86">
        <v>2.19999999999997</v>
      </c>
      <c r="W86">
        <f t="shared" si="21"/>
        <v>-0.58337999999999879</v>
      </c>
    </row>
    <row r="87" spans="1:23" x14ac:dyDescent="0.3">
      <c r="A87">
        <v>4.2908276000000001</v>
      </c>
      <c r="B87">
        <v>0.55503000000000002</v>
      </c>
      <c r="C87">
        <f t="shared" si="14"/>
        <v>2.3815380428280002</v>
      </c>
      <c r="D87">
        <v>2.01E-2</v>
      </c>
      <c r="E87">
        <v>3.8158201924077539E-3</v>
      </c>
      <c r="F87">
        <f t="shared" si="15"/>
        <v>858.16552000000001</v>
      </c>
      <c r="G87">
        <f t="shared" si="16"/>
        <v>-0.55503000000000002</v>
      </c>
      <c r="H87">
        <f t="shared" si="17"/>
        <v>-476.30760856560005</v>
      </c>
      <c r="I87">
        <v>1</v>
      </c>
      <c r="J87">
        <f t="shared" si="18"/>
        <v>-0.15295828434672623</v>
      </c>
      <c r="K87">
        <f t="shared" si="19"/>
        <v>-0.62488057297601196</v>
      </c>
      <c r="L87">
        <v>1</v>
      </c>
      <c r="M87">
        <f t="shared" si="20"/>
        <v>0.48479104788587218</v>
      </c>
      <c r="N87">
        <f t="shared" si="24"/>
        <v>8.6245634759999995E-2</v>
      </c>
      <c r="O87">
        <f t="shared" si="22"/>
        <v>1.63730265982205E-2</v>
      </c>
      <c r="P87">
        <f t="shared" si="23"/>
        <v>3.7470863731919282E-2</v>
      </c>
      <c r="V87">
        <v>2.2999999999999701</v>
      </c>
      <c r="W87">
        <f t="shared" si="21"/>
        <v>-0.58756999999999882</v>
      </c>
    </row>
    <row r="88" spans="1:23" x14ac:dyDescent="0.3">
      <c r="A88">
        <v>4.3437821999999997</v>
      </c>
      <c r="B88">
        <v>0.55276000000000003</v>
      </c>
      <c r="C88">
        <f t="shared" si="14"/>
        <v>2.4010690488719999</v>
      </c>
      <c r="D88">
        <v>2.01E-2</v>
      </c>
      <c r="E88">
        <v>3.8158201924077539E-3</v>
      </c>
      <c r="F88">
        <f t="shared" si="15"/>
        <v>868.75643999999988</v>
      </c>
      <c r="G88">
        <f t="shared" si="16"/>
        <v>-0.55276000000000003</v>
      </c>
      <c r="H88">
        <f t="shared" si="17"/>
        <v>-480.21380977439998</v>
      </c>
      <c r="I88">
        <v>1</v>
      </c>
      <c r="J88">
        <f t="shared" si="18"/>
        <v>-0.14069246918097084</v>
      </c>
      <c r="K88">
        <f t="shared" si="19"/>
        <v>-0.62715057297601196</v>
      </c>
      <c r="L88">
        <v>1</v>
      </c>
      <c r="M88">
        <f t="shared" si="20"/>
        <v>0.48530498554131735</v>
      </c>
      <c r="N88">
        <f t="shared" si="24"/>
        <v>8.7310022219999991E-2</v>
      </c>
      <c r="O88">
        <f t="shared" si="22"/>
        <v>1.6575091830181375E-2</v>
      </c>
      <c r="P88">
        <f t="shared" si="23"/>
        <v>3.7960473384513242E-2</v>
      </c>
      <c r="V88">
        <v>2.3999999999999702</v>
      </c>
      <c r="W88">
        <f t="shared" si="21"/>
        <v>-0.59175999999999873</v>
      </c>
    </row>
    <row r="89" spans="1:23" x14ac:dyDescent="0.3">
      <c r="A89">
        <v>4.3941914000000004</v>
      </c>
      <c r="B89">
        <v>0.55057999999999996</v>
      </c>
      <c r="C89">
        <f t="shared" si="14"/>
        <v>2.4193539010120002</v>
      </c>
      <c r="D89">
        <v>2.01E-2</v>
      </c>
      <c r="E89">
        <v>3.8158201924077539E-3</v>
      </c>
      <c r="F89">
        <f t="shared" si="15"/>
        <v>878.83828000000005</v>
      </c>
      <c r="G89">
        <f t="shared" si="16"/>
        <v>-0.55057999999999996</v>
      </c>
      <c r="H89">
        <f t="shared" si="17"/>
        <v>-483.87078020240006</v>
      </c>
      <c r="I89">
        <v>1</v>
      </c>
      <c r="J89">
        <f t="shared" si="18"/>
        <v>-0.12915438002118421</v>
      </c>
      <c r="K89">
        <f t="shared" si="19"/>
        <v>-0.62933057297601203</v>
      </c>
      <c r="L89">
        <v>1</v>
      </c>
      <c r="M89">
        <f t="shared" si="20"/>
        <v>0.48578843147711243</v>
      </c>
      <c r="N89">
        <f t="shared" si="24"/>
        <v>8.8323247140000005E-2</v>
      </c>
      <c r="O89">
        <f t="shared" si="22"/>
        <v>1.6767444273424498E-2</v>
      </c>
      <c r="P89">
        <f t="shared" si="23"/>
        <v>3.8451450085475097E-2</v>
      </c>
      <c r="V89">
        <v>2.4999999999999698</v>
      </c>
      <c r="W89">
        <f t="shared" si="21"/>
        <v>-0.59594999999999876</v>
      </c>
    </row>
    <row r="90" spans="1:23" x14ac:dyDescent="0.3">
      <c r="A90">
        <v>4.4466377000000001</v>
      </c>
      <c r="B90">
        <v>0.54810000000000003</v>
      </c>
      <c r="C90">
        <f t="shared" si="14"/>
        <v>2.4372021233700001</v>
      </c>
      <c r="D90">
        <v>2.01E-2</v>
      </c>
      <c r="E90">
        <v>3.8158201924077539E-3</v>
      </c>
      <c r="F90">
        <f t="shared" si="15"/>
        <v>889.32754</v>
      </c>
      <c r="G90">
        <f t="shared" si="16"/>
        <v>-0.54810000000000003</v>
      </c>
      <c r="H90">
        <f t="shared" si="17"/>
        <v>-487.44042467400004</v>
      </c>
      <c r="I90">
        <v>1</v>
      </c>
      <c r="J90">
        <f t="shared" si="18"/>
        <v>-0.11728967487882871</v>
      </c>
      <c r="K90">
        <f t="shared" si="19"/>
        <v>-0.63181057297601195</v>
      </c>
      <c r="L90">
        <v>1</v>
      </c>
      <c r="M90">
        <f t="shared" si="20"/>
        <v>0.48628556262257711</v>
      </c>
      <c r="N90">
        <f t="shared" si="24"/>
        <v>8.9377417769999995E-2</v>
      </c>
      <c r="O90">
        <f t="shared" si="22"/>
        <v>1.6967569923981574E-2</v>
      </c>
      <c r="P90">
        <f t="shared" si="23"/>
        <v>3.9180022659453279E-2</v>
      </c>
      <c r="V90">
        <v>2.5999999999999699</v>
      </c>
      <c r="W90">
        <f t="shared" si="21"/>
        <v>-0.60013999999999879</v>
      </c>
    </row>
    <row r="91" spans="1:23" x14ac:dyDescent="0.3">
      <c r="A91">
        <v>4.4980649000000001</v>
      </c>
      <c r="B91">
        <v>0.54598000000000002</v>
      </c>
      <c r="C91">
        <f t="shared" si="14"/>
        <v>2.4558534741020002</v>
      </c>
      <c r="D91">
        <v>2.01E-2</v>
      </c>
      <c r="E91">
        <v>3.8158201924077539E-3</v>
      </c>
      <c r="F91">
        <f t="shared" si="15"/>
        <v>899.61297999999999</v>
      </c>
      <c r="G91">
        <f t="shared" si="16"/>
        <v>-0.54598000000000002</v>
      </c>
      <c r="H91">
        <f t="shared" si="17"/>
        <v>-491.17069482040006</v>
      </c>
      <c r="I91">
        <v>1</v>
      </c>
      <c r="J91">
        <f t="shared" si="18"/>
        <v>-0.10579063036611931</v>
      </c>
      <c r="K91">
        <f t="shared" si="19"/>
        <v>-0.63393057297601196</v>
      </c>
      <c r="L91">
        <v>1</v>
      </c>
      <c r="M91">
        <f t="shared" si="20"/>
        <v>0.48676737258765962</v>
      </c>
      <c r="N91">
        <f t="shared" si="24"/>
        <v>9.0411104490000005E-2</v>
      </c>
      <c r="O91">
        <f t="shared" si="22"/>
        <v>1.7163806872180564E-2</v>
      </c>
      <c r="P91">
        <f t="shared" si="23"/>
        <v>3.9588289026171772E-2</v>
      </c>
      <c r="V91">
        <v>2.69999999999997</v>
      </c>
      <c r="W91">
        <f t="shared" si="21"/>
        <v>-0.60432999999999881</v>
      </c>
    </row>
    <row r="92" spans="1:23" x14ac:dyDescent="0.3">
      <c r="A92">
        <v>4.5494922000000004</v>
      </c>
      <c r="B92">
        <v>0.54371000000000003</v>
      </c>
      <c r="C92">
        <f t="shared" si="14"/>
        <v>2.4736044040620002</v>
      </c>
      <c r="D92">
        <v>2.01E-2</v>
      </c>
      <c r="E92">
        <v>3.8158201924077539E-3</v>
      </c>
      <c r="F92">
        <f t="shared" si="15"/>
        <v>909.89844000000005</v>
      </c>
      <c r="G92">
        <f t="shared" si="16"/>
        <v>-0.54371000000000003</v>
      </c>
      <c r="H92">
        <f t="shared" si="17"/>
        <v>-494.72088081240003</v>
      </c>
      <c r="I92">
        <v>1</v>
      </c>
      <c r="J92">
        <f t="shared" si="18"/>
        <v>-9.4422290095079589E-2</v>
      </c>
      <c r="K92">
        <f t="shared" si="19"/>
        <v>-0.63620057297601196</v>
      </c>
      <c r="L92">
        <v>1</v>
      </c>
      <c r="M92">
        <f t="shared" si="20"/>
        <v>0.48724370604501621</v>
      </c>
      <c r="N92">
        <f t="shared" si="24"/>
        <v>9.1444793220000015E-2</v>
      </c>
      <c r="O92">
        <f t="shared" si="22"/>
        <v>1.7360044201961577E-2</v>
      </c>
      <c r="P92">
        <f t="shared" si="23"/>
        <v>4.0152029509034154E-2</v>
      </c>
      <c r="V92">
        <v>2.7999999999999701</v>
      </c>
      <c r="W92">
        <f t="shared" si="21"/>
        <v>-0.60851999999999873</v>
      </c>
    </row>
    <row r="93" spans="1:23" x14ac:dyDescent="0.3">
      <c r="A93">
        <v>4.6014292000000001</v>
      </c>
      <c r="B93">
        <v>0.54130999999999996</v>
      </c>
      <c r="C93">
        <f t="shared" si="14"/>
        <v>2.4907996402519998</v>
      </c>
      <c r="D93">
        <v>2.01E-2</v>
      </c>
      <c r="E93">
        <v>3.8158201924077539E-3</v>
      </c>
      <c r="F93">
        <f t="shared" si="15"/>
        <v>920.28584000000001</v>
      </c>
      <c r="G93">
        <f t="shared" si="16"/>
        <v>-0.54130999999999996</v>
      </c>
      <c r="H93">
        <f t="shared" si="17"/>
        <v>-498.15992805039997</v>
      </c>
      <c r="I93">
        <v>1</v>
      </c>
      <c r="J93">
        <f t="shared" si="18"/>
        <v>-8.3070961542776253E-2</v>
      </c>
      <c r="K93">
        <f t="shared" si="19"/>
        <v>-0.63860057297601203</v>
      </c>
      <c r="L93">
        <v>1</v>
      </c>
      <c r="M93">
        <f t="shared" si="20"/>
        <v>0.4877193267113577</v>
      </c>
      <c r="N93">
        <f t="shared" si="24"/>
        <v>9.248872692E-2</v>
      </c>
      <c r="O93">
        <f t="shared" si="22"/>
        <v>1.7558226455294659E-2</v>
      </c>
      <c r="P93">
        <f t="shared" si="23"/>
        <v>4.0834292889359664E-2</v>
      </c>
      <c r="V93">
        <v>2.8999999999999702</v>
      </c>
      <c r="W93">
        <f t="shared" si="21"/>
        <v>-0.61270999999999876</v>
      </c>
    </row>
    <row r="94" spans="1:23" x14ac:dyDescent="0.3">
      <c r="A94">
        <v>4.6528568999999997</v>
      </c>
      <c r="B94">
        <v>0.53915000000000002</v>
      </c>
      <c r="C94">
        <f t="shared" si="14"/>
        <v>2.5085877976349997</v>
      </c>
      <c r="D94">
        <v>2.01E-2</v>
      </c>
      <c r="E94">
        <v>3.8158201924077539E-3</v>
      </c>
      <c r="F94">
        <f t="shared" si="15"/>
        <v>930.57137999999998</v>
      </c>
      <c r="G94">
        <f t="shared" si="16"/>
        <v>-0.53915000000000002</v>
      </c>
      <c r="H94">
        <f t="shared" si="17"/>
        <v>-501.71755952699993</v>
      </c>
      <c r="I94">
        <v>1</v>
      </c>
      <c r="J94">
        <f t="shared" si="18"/>
        <v>-7.1956494396544696E-2</v>
      </c>
      <c r="K94">
        <f t="shared" si="19"/>
        <v>-0.64076057297601197</v>
      </c>
      <c r="L94">
        <v>1</v>
      </c>
      <c r="M94">
        <f t="shared" si="20"/>
        <v>0.48818502288478482</v>
      </c>
      <c r="N94">
        <f t="shared" si="24"/>
        <v>9.3522423689999995E-2</v>
      </c>
      <c r="O94">
        <f t="shared" si="22"/>
        <v>1.7754465311403744E-2</v>
      </c>
      <c r="P94">
        <f t="shared" si="23"/>
        <v>4.1298661089823399E-2</v>
      </c>
      <c r="V94">
        <v>2.9999999999999698</v>
      </c>
      <c r="W94">
        <f t="shared" si="21"/>
        <v>-0.61689999999999878</v>
      </c>
    </row>
    <row r="95" spans="1:23" x14ac:dyDescent="0.3">
      <c r="A95">
        <v>4.7037749</v>
      </c>
      <c r="B95">
        <v>0.53680000000000005</v>
      </c>
      <c r="C95">
        <f t="shared" si="14"/>
        <v>2.5249863663200003</v>
      </c>
      <c r="D95">
        <v>2.01E-2</v>
      </c>
      <c r="E95">
        <v>3.8158201924077539E-3</v>
      </c>
      <c r="F95">
        <f t="shared" si="15"/>
        <v>940.75498000000005</v>
      </c>
      <c r="G95">
        <f t="shared" si="16"/>
        <v>-0.53680000000000005</v>
      </c>
      <c r="H95">
        <f t="shared" si="17"/>
        <v>-504.99727326400006</v>
      </c>
      <c r="I95">
        <v>1</v>
      </c>
      <c r="J95">
        <f t="shared" si="18"/>
        <v>-6.1072555873917148E-2</v>
      </c>
      <c r="K95">
        <f t="shared" si="19"/>
        <v>-0.64311057297601193</v>
      </c>
      <c r="L95">
        <v>1</v>
      </c>
      <c r="M95">
        <f t="shared" si="20"/>
        <v>0.4886410599088829</v>
      </c>
      <c r="N95">
        <f t="shared" si="24"/>
        <v>9.454587549E-2</v>
      </c>
      <c r="O95">
        <f t="shared" si="22"/>
        <v>1.7948759243960763E-2</v>
      </c>
      <c r="P95">
        <f t="shared" si="23"/>
        <v>4.1974878333168264E-2</v>
      </c>
      <c r="V95">
        <v>3.0999999999999699</v>
      </c>
      <c r="W95">
        <f t="shared" si="21"/>
        <v>-0.62108999999999881</v>
      </c>
    </row>
    <row r="96" spans="1:23" x14ac:dyDescent="0.3">
      <c r="A96">
        <v>4.7552026000000005</v>
      </c>
      <c r="B96">
        <v>0.53466000000000002</v>
      </c>
      <c r="C96">
        <f t="shared" si="14"/>
        <v>2.5424166221160003</v>
      </c>
      <c r="D96">
        <v>2.01E-2</v>
      </c>
      <c r="E96">
        <v>3.8158201924077539E-3</v>
      </c>
      <c r="F96">
        <f t="shared" si="15"/>
        <v>951.04052000000013</v>
      </c>
      <c r="G96">
        <f t="shared" si="16"/>
        <v>-0.53466000000000002</v>
      </c>
      <c r="H96">
        <f t="shared" si="17"/>
        <v>-508.48332442320003</v>
      </c>
      <c r="I96">
        <v>1</v>
      </c>
      <c r="J96">
        <f t="shared" si="18"/>
        <v>-5.0198609563149442E-2</v>
      </c>
      <c r="K96">
        <f t="shared" si="19"/>
        <v>-0.64525057297601196</v>
      </c>
      <c r="L96">
        <v>1</v>
      </c>
      <c r="M96">
        <f t="shared" si="20"/>
        <v>0.48909667825930409</v>
      </c>
      <c r="N96">
        <f t="shared" si="24"/>
        <v>9.5579572260000009E-2</v>
      </c>
      <c r="O96">
        <f t="shared" si="22"/>
        <v>1.8144998100069854E-2</v>
      </c>
      <c r="P96">
        <f t="shared" si="23"/>
        <v>4.2429324356638015E-2</v>
      </c>
      <c r="V96">
        <v>3.19999999999997</v>
      </c>
      <c r="W96">
        <f t="shared" si="21"/>
        <v>-0.62527999999999873</v>
      </c>
    </row>
    <row r="97" spans="1:23" x14ac:dyDescent="0.3">
      <c r="A97">
        <v>4.8061205999999999</v>
      </c>
      <c r="B97">
        <v>0.53251999999999999</v>
      </c>
      <c r="C97">
        <f t="shared" si="14"/>
        <v>2.5593553419120001</v>
      </c>
      <c r="D97">
        <v>2.01E-2</v>
      </c>
      <c r="E97">
        <v>3.8158201924077539E-3</v>
      </c>
      <c r="F97">
        <f t="shared" si="15"/>
        <v>961.22411999999997</v>
      </c>
      <c r="G97">
        <f t="shared" si="16"/>
        <v>-0.53251999999999999</v>
      </c>
      <c r="H97">
        <f t="shared" si="17"/>
        <v>-511.87106838240004</v>
      </c>
      <c r="I97">
        <v>1</v>
      </c>
      <c r="J97">
        <f t="shared" si="18"/>
        <v>-3.9547681801704329E-2</v>
      </c>
      <c r="K97">
        <f t="shared" si="19"/>
        <v>-0.64739057297601199</v>
      </c>
      <c r="L97">
        <v>1</v>
      </c>
      <c r="M97">
        <f t="shared" si="20"/>
        <v>0.48954295213250859</v>
      </c>
      <c r="N97">
        <f t="shared" si="24"/>
        <v>9.6603024060000001E-2</v>
      </c>
      <c r="O97">
        <f t="shared" si="22"/>
        <v>1.833929203262687E-2</v>
      </c>
      <c r="P97">
        <f t="shared" si="23"/>
        <v>4.2905304750876533E-2</v>
      </c>
      <c r="V97">
        <v>3.2999999999999701</v>
      </c>
      <c r="W97">
        <f t="shared" si="21"/>
        <v>-0.62946999999999875</v>
      </c>
    </row>
    <row r="98" spans="1:23" x14ac:dyDescent="0.3">
      <c r="A98">
        <v>4.8570390999999997</v>
      </c>
      <c r="B98">
        <v>0.53034999999999999</v>
      </c>
      <c r="C98">
        <f t="shared" si="14"/>
        <v>2.5759306866849996</v>
      </c>
      <c r="D98">
        <v>2.01E-2</v>
      </c>
      <c r="E98">
        <v>3.8158201924077539E-3</v>
      </c>
      <c r="F98">
        <f t="shared" si="15"/>
        <v>971.4078199999999</v>
      </c>
      <c r="G98">
        <f t="shared" si="16"/>
        <v>-0.53034999999999999</v>
      </c>
      <c r="H98">
        <f t="shared" si="17"/>
        <v>-515.18613733699988</v>
      </c>
      <c r="I98">
        <v>1</v>
      </c>
      <c r="J98">
        <f t="shared" si="18"/>
        <v>-2.9008898866123997E-2</v>
      </c>
      <c r="K98">
        <f t="shared" si="19"/>
        <v>-0.649560572976012</v>
      </c>
      <c r="L98">
        <v>1</v>
      </c>
      <c r="M98">
        <f t="shared" si="20"/>
        <v>0.48998452713750945</v>
      </c>
      <c r="N98">
        <f t="shared" si="24"/>
        <v>9.7626485909999991E-2</v>
      </c>
      <c r="O98">
        <f t="shared" si="22"/>
        <v>1.8533587873093983E-2</v>
      </c>
      <c r="P98">
        <f t="shared" si="23"/>
        <v>4.3415972055408571E-2</v>
      </c>
      <c r="V98">
        <v>3.3999999999999702</v>
      </c>
      <c r="W98">
        <f t="shared" si="21"/>
        <v>-0.63365999999999878</v>
      </c>
    </row>
    <row r="99" spans="1:23" x14ac:dyDescent="0.3">
      <c r="A99">
        <v>4.9084668000000002</v>
      </c>
      <c r="B99">
        <v>0.52817000000000003</v>
      </c>
      <c r="C99">
        <f t="shared" si="14"/>
        <v>2.5925049097560002</v>
      </c>
      <c r="D99">
        <v>2.01E-2</v>
      </c>
      <c r="E99">
        <v>3.8158201924077539E-3</v>
      </c>
      <c r="F99">
        <f t="shared" si="15"/>
        <v>981.6933600000001</v>
      </c>
      <c r="G99">
        <f t="shared" si="16"/>
        <v>-0.52817000000000003</v>
      </c>
      <c r="H99">
        <f t="shared" si="17"/>
        <v>-518.50098195120006</v>
      </c>
      <c r="I99">
        <v>1</v>
      </c>
      <c r="J99">
        <f t="shared" si="18"/>
        <v>-1.847628008365703E-2</v>
      </c>
      <c r="K99">
        <f t="shared" si="19"/>
        <v>-0.65174057297601196</v>
      </c>
      <c r="L99">
        <v>1</v>
      </c>
      <c r="M99">
        <f t="shared" si="20"/>
        <v>0.49042584386449478</v>
      </c>
      <c r="N99">
        <f t="shared" si="24"/>
        <v>9.866018268E-2</v>
      </c>
      <c r="O99">
        <f t="shared" si="22"/>
        <v>1.8729826729203074E-2</v>
      </c>
      <c r="P99">
        <f t="shared" si="23"/>
        <v>4.3924719702314097E-2</v>
      </c>
      <c r="V99">
        <v>3.4999999999999698</v>
      </c>
      <c r="W99">
        <f t="shared" si="21"/>
        <v>-0.6378499999999987</v>
      </c>
    </row>
    <row r="100" spans="1:23" x14ac:dyDescent="0.3">
      <c r="A100">
        <v>4.9593848000000005</v>
      </c>
      <c r="B100">
        <v>0.52598999999999996</v>
      </c>
      <c r="C100">
        <f t="shared" si="14"/>
        <v>2.6085868109520001</v>
      </c>
      <c r="D100">
        <v>2.01E-2</v>
      </c>
      <c r="E100">
        <v>3.8158201924077539E-3</v>
      </c>
      <c r="F100">
        <f t="shared" si="15"/>
        <v>991.87696000000005</v>
      </c>
      <c r="G100">
        <f t="shared" si="16"/>
        <v>-0.52598999999999996</v>
      </c>
      <c r="H100">
        <f t="shared" si="17"/>
        <v>-521.71736219039997</v>
      </c>
      <c r="I100">
        <v>1</v>
      </c>
      <c r="J100">
        <f t="shared" si="18"/>
        <v>-8.1562116479653619E-3</v>
      </c>
      <c r="K100">
        <f t="shared" si="19"/>
        <v>-0.65392057297601203</v>
      </c>
      <c r="L100">
        <v>1</v>
      </c>
      <c r="M100">
        <f t="shared" si="20"/>
        <v>0.49085825473195027</v>
      </c>
      <c r="N100">
        <f t="shared" si="24"/>
        <v>9.9683634480000005E-2</v>
      </c>
      <c r="O100">
        <f t="shared" si="22"/>
        <v>1.8924120661760094E-2</v>
      </c>
      <c r="P100">
        <f t="shared" si="23"/>
        <v>4.4454563102301656E-2</v>
      </c>
      <c r="V100">
        <v>3.5999999999999699</v>
      </c>
      <c r="W100">
        <f t="shared" si="21"/>
        <v>-0.64203999999999872</v>
      </c>
    </row>
    <row r="101" spans="1:23" x14ac:dyDescent="0.3">
      <c r="A101">
        <v>5.0097939</v>
      </c>
      <c r="B101">
        <v>0.52378000000000002</v>
      </c>
      <c r="C101">
        <f t="shared" si="14"/>
        <v>2.624029848942</v>
      </c>
      <c r="D101">
        <v>2.01E-2</v>
      </c>
      <c r="E101">
        <v>3.8158201924077539E-3</v>
      </c>
      <c r="F101">
        <f t="shared" si="15"/>
        <v>1001.95878</v>
      </c>
      <c r="G101">
        <f t="shared" si="16"/>
        <v>-0.52378000000000002</v>
      </c>
      <c r="H101">
        <f t="shared" si="17"/>
        <v>-524.80596978840003</v>
      </c>
      <c r="I101">
        <v>1</v>
      </c>
      <c r="J101">
        <f t="shared" si="18"/>
        <v>1.9568640919428093E-3</v>
      </c>
      <c r="K101">
        <f t="shared" si="19"/>
        <v>-0.65613057297601196</v>
      </c>
      <c r="L101">
        <v>1</v>
      </c>
      <c r="M101">
        <f t="shared" si="20"/>
        <v>0.49128199260545241</v>
      </c>
      <c r="N101">
        <f t="shared" si="24"/>
        <v>0.10069685739000001</v>
      </c>
      <c r="O101">
        <f t="shared" si="22"/>
        <v>1.9116472723421193E-2</v>
      </c>
      <c r="P101">
        <f t="shared" si="23"/>
        <v>4.5035250257138351E-2</v>
      </c>
      <c r="V101">
        <v>3.69999999999997</v>
      </c>
      <c r="W101">
        <f t="shared" si="21"/>
        <v>-0.64622999999999875</v>
      </c>
    </row>
    <row r="102" spans="1:23" x14ac:dyDescent="0.3">
      <c r="A102">
        <v>5.0622401999999997</v>
      </c>
      <c r="B102">
        <v>0.52168000000000003</v>
      </c>
      <c r="C102">
        <f t="shared" si="14"/>
        <v>2.640869467536</v>
      </c>
      <c r="D102">
        <v>2.01E-2</v>
      </c>
      <c r="E102">
        <v>3.8158201924077539E-3</v>
      </c>
      <c r="F102">
        <f t="shared" si="15"/>
        <v>1012.44804</v>
      </c>
      <c r="G102">
        <f t="shared" si="16"/>
        <v>-0.52168000000000003</v>
      </c>
      <c r="H102">
        <f t="shared" si="17"/>
        <v>-528.17389350719998</v>
      </c>
      <c r="I102">
        <v>1</v>
      </c>
      <c r="J102">
        <f t="shared" si="18"/>
        <v>1.2371200163198405E-2</v>
      </c>
      <c r="K102">
        <f t="shared" si="19"/>
        <v>-0.65823057297601195</v>
      </c>
      <c r="L102">
        <v>1</v>
      </c>
      <c r="M102">
        <f t="shared" si="20"/>
        <v>0.49171835328683805</v>
      </c>
      <c r="N102">
        <f t="shared" si="24"/>
        <v>0.10175102802</v>
      </c>
      <c r="O102">
        <f t="shared" si="22"/>
        <v>1.9316598373978266E-2</v>
      </c>
      <c r="P102">
        <f t="shared" si="23"/>
        <v>4.5444593295195637E-2</v>
      </c>
      <c r="V102">
        <v>3.7999999999999701</v>
      </c>
      <c r="W102">
        <f t="shared" si="21"/>
        <v>-0.65041999999999878</v>
      </c>
    </row>
    <row r="103" spans="1:23" x14ac:dyDescent="0.3">
      <c r="A103">
        <v>5.1136669999999995</v>
      </c>
      <c r="B103">
        <v>0.51932999999999996</v>
      </c>
      <c r="C103">
        <f t="shared" si="14"/>
        <v>2.6556806831099995</v>
      </c>
      <c r="D103">
        <v>2.01E-2</v>
      </c>
      <c r="E103">
        <v>3.8158201924077539E-3</v>
      </c>
      <c r="F103">
        <f t="shared" si="15"/>
        <v>1022.7333999999998</v>
      </c>
      <c r="G103">
        <f t="shared" si="16"/>
        <v>-0.51932999999999996</v>
      </c>
      <c r="H103">
        <f t="shared" si="17"/>
        <v>-531.13613662199987</v>
      </c>
      <c r="I103">
        <v>1</v>
      </c>
      <c r="J103">
        <f t="shared" si="18"/>
        <v>2.2478846945222977E-2</v>
      </c>
      <c r="K103">
        <f t="shared" si="19"/>
        <v>-0.66058057297601203</v>
      </c>
      <c r="L103">
        <v>1</v>
      </c>
      <c r="M103">
        <f t="shared" si="20"/>
        <v>0.49214186368700485</v>
      </c>
      <c r="N103">
        <f t="shared" si="24"/>
        <v>0.10278470669999999</v>
      </c>
      <c r="O103">
        <f t="shared" si="22"/>
        <v>1.9512833795849178E-2</v>
      </c>
      <c r="P103">
        <f t="shared" si="23"/>
        <v>4.6141168793158001E-2</v>
      </c>
      <c r="V103">
        <v>3.8999999999999599</v>
      </c>
      <c r="W103">
        <f t="shared" si="21"/>
        <v>-0.65460999999999836</v>
      </c>
    </row>
    <row r="104" spans="1:23" x14ac:dyDescent="0.3">
      <c r="A104">
        <v>5.1645858999999996</v>
      </c>
      <c r="B104">
        <v>0.51704000000000006</v>
      </c>
      <c r="C104">
        <f t="shared" si="14"/>
        <v>2.6702974937360002</v>
      </c>
      <c r="D104">
        <v>2.01E-2</v>
      </c>
      <c r="E104">
        <v>3.8158201924077539E-3</v>
      </c>
      <c r="F104">
        <f t="shared" si="15"/>
        <v>1032.9171799999999</v>
      </c>
      <c r="G104">
        <f t="shared" si="16"/>
        <v>-0.51704000000000006</v>
      </c>
      <c r="H104">
        <f t="shared" si="17"/>
        <v>-534.0594987472</v>
      </c>
      <c r="I104">
        <v>1</v>
      </c>
      <c r="J104">
        <f t="shared" si="18"/>
        <v>3.2387012673616433E-2</v>
      </c>
      <c r="K104">
        <f t="shared" si="19"/>
        <v>-0.66287057297601193</v>
      </c>
      <c r="L104">
        <v>1</v>
      </c>
      <c r="M104">
        <f t="shared" si="20"/>
        <v>0.49255701583102457</v>
      </c>
      <c r="N104">
        <f t="shared" si="24"/>
        <v>0.10380817659</v>
      </c>
      <c r="O104">
        <f t="shared" si="22"/>
        <v>1.9707131162644373E-2</v>
      </c>
      <c r="P104">
        <f t="shared" si="23"/>
        <v>4.6798249392342992E-2</v>
      </c>
      <c r="V104">
        <v>3.99999999999996</v>
      </c>
      <c r="W104">
        <f t="shared" si="21"/>
        <v>-0.65879999999999839</v>
      </c>
    </row>
    <row r="105" spans="1:23" x14ac:dyDescent="0.3">
      <c r="A105">
        <v>5.2165225</v>
      </c>
      <c r="B105">
        <v>0.51490000000000002</v>
      </c>
      <c r="C105">
        <f t="shared" si="14"/>
        <v>2.6859874352499999</v>
      </c>
      <c r="D105">
        <v>2.01E-2</v>
      </c>
      <c r="E105">
        <v>3.8158201924077539E-3</v>
      </c>
      <c r="F105">
        <f t="shared" si="15"/>
        <v>1043.3045</v>
      </c>
      <c r="G105">
        <f t="shared" si="16"/>
        <v>-0.51490000000000002</v>
      </c>
      <c r="H105">
        <f t="shared" si="17"/>
        <v>-537.19748704999995</v>
      </c>
      <c r="I105">
        <v>1</v>
      </c>
      <c r="J105">
        <f t="shared" si="18"/>
        <v>4.2393079719329138E-2</v>
      </c>
      <c r="K105">
        <f t="shared" si="19"/>
        <v>-0.66501057297601196</v>
      </c>
      <c r="L105">
        <v>1</v>
      </c>
      <c r="M105">
        <f t="shared" si="20"/>
        <v>0.49297627004023992</v>
      </c>
      <c r="N105">
        <f t="shared" si="24"/>
        <v>0.10485210225</v>
      </c>
      <c r="O105">
        <f t="shared" si="22"/>
        <v>1.9905311889649377E-2</v>
      </c>
      <c r="P105">
        <f t="shared" si="23"/>
        <v>4.7276888796122671E-2</v>
      </c>
      <c r="V105">
        <v>4.0999999999999996</v>
      </c>
      <c r="W105">
        <f t="shared" si="21"/>
        <v>-0.66298999999999997</v>
      </c>
    </row>
    <row r="106" spans="1:23" x14ac:dyDescent="0.3">
      <c r="A106">
        <v>5.2679497</v>
      </c>
      <c r="B106">
        <v>0.51273999999999997</v>
      </c>
      <c r="C106">
        <f t="shared" si="14"/>
        <v>2.701088529178</v>
      </c>
      <c r="D106">
        <v>2.01E-2</v>
      </c>
      <c r="E106">
        <v>3.8158201924077539E-3</v>
      </c>
      <c r="F106">
        <f t="shared" si="15"/>
        <v>1053.5899400000001</v>
      </c>
      <c r="G106">
        <f t="shared" si="16"/>
        <v>-0.51273999999999997</v>
      </c>
      <c r="H106">
        <f t="shared" si="17"/>
        <v>-540.21770583559999</v>
      </c>
      <c r="I106">
        <v>1</v>
      </c>
      <c r="J106">
        <f t="shared" si="18"/>
        <v>5.2203323185708285E-2</v>
      </c>
      <c r="K106">
        <f t="shared" si="19"/>
        <v>-0.66717057297601201</v>
      </c>
      <c r="L106">
        <v>1</v>
      </c>
      <c r="M106">
        <f t="shared" si="20"/>
        <v>0.49338731924148121</v>
      </c>
      <c r="N106">
        <f t="shared" si="24"/>
        <v>0.10588578896999999</v>
      </c>
      <c r="O106">
        <f t="shared" si="22"/>
        <v>2.0101548837848371E-2</v>
      </c>
      <c r="P106">
        <f t="shared" si="23"/>
        <v>4.7795915926682433E-2</v>
      </c>
      <c r="V106">
        <v>4.2</v>
      </c>
      <c r="W106">
        <f t="shared" si="21"/>
        <v>-0.66718</v>
      </c>
    </row>
    <row r="107" spans="1:23" x14ac:dyDescent="0.3">
      <c r="A107">
        <v>5.3183588999999998</v>
      </c>
      <c r="B107">
        <v>0.51061999999999996</v>
      </c>
      <c r="C107">
        <f t="shared" si="14"/>
        <v>2.7156604215179998</v>
      </c>
      <c r="D107">
        <v>2.01E-2</v>
      </c>
      <c r="E107">
        <v>3.8158201924077539E-3</v>
      </c>
      <c r="F107">
        <f t="shared" si="15"/>
        <v>1063.6717799999999</v>
      </c>
      <c r="G107">
        <f t="shared" si="16"/>
        <v>-0.51061999999999996</v>
      </c>
      <c r="H107">
        <f t="shared" si="17"/>
        <v>-543.13208430359998</v>
      </c>
      <c r="I107">
        <v>1</v>
      </c>
      <c r="J107">
        <f t="shared" si="18"/>
        <v>6.172686588688997E-2</v>
      </c>
      <c r="K107">
        <f t="shared" si="19"/>
        <v>-0.66929057297601202</v>
      </c>
      <c r="L107">
        <v>1</v>
      </c>
      <c r="M107">
        <f t="shared" si="20"/>
        <v>0.4937863556806607</v>
      </c>
      <c r="N107">
        <f t="shared" si="24"/>
        <v>0.10689901388999999</v>
      </c>
      <c r="O107">
        <f t="shared" si="22"/>
        <v>2.029390128109149E-2</v>
      </c>
      <c r="P107">
        <f t="shared" si="23"/>
        <v>4.8311302124259839E-2</v>
      </c>
      <c r="V107">
        <v>4.3</v>
      </c>
      <c r="W107">
        <f t="shared" si="21"/>
        <v>-0.67137000000000002</v>
      </c>
    </row>
    <row r="108" spans="1:23" x14ac:dyDescent="0.3">
      <c r="A108">
        <v>5.3697860999999998</v>
      </c>
      <c r="B108">
        <v>0.50856000000000001</v>
      </c>
      <c r="C108">
        <f t="shared" si="14"/>
        <v>2.7308584190160001</v>
      </c>
      <c r="D108">
        <v>2.01E-2</v>
      </c>
      <c r="E108">
        <v>3.8158201924077539E-3</v>
      </c>
      <c r="F108">
        <f t="shared" si="15"/>
        <v>1073.95722</v>
      </c>
      <c r="G108">
        <f t="shared" si="16"/>
        <v>-0.50856000000000001</v>
      </c>
      <c r="H108">
        <f t="shared" si="17"/>
        <v>-546.17168380320004</v>
      </c>
      <c r="I108">
        <v>1</v>
      </c>
      <c r="J108">
        <f t="shared" si="18"/>
        <v>7.1350162891107155E-2</v>
      </c>
      <c r="K108">
        <f t="shared" si="19"/>
        <v>-0.67135057297601197</v>
      </c>
      <c r="L108">
        <v>1</v>
      </c>
      <c r="M108">
        <f t="shared" si="20"/>
        <v>0.4941895718251374</v>
      </c>
      <c r="N108">
        <f t="shared" si="24"/>
        <v>0.10793270061</v>
      </c>
      <c r="O108">
        <f t="shared" si="22"/>
        <v>2.049013822929048E-2</v>
      </c>
      <c r="P108">
        <f t="shared" si="23"/>
        <v>4.8738162311584093E-2</v>
      </c>
      <c r="V108">
        <v>4.4000000000000004</v>
      </c>
      <c r="W108">
        <f t="shared" si="21"/>
        <v>-0.67556000000000005</v>
      </c>
    </row>
    <row r="109" spans="1:23" x14ac:dyDescent="0.3">
      <c r="A109">
        <v>5.4212144000000002</v>
      </c>
      <c r="B109">
        <v>0.50629000000000002</v>
      </c>
      <c r="C109">
        <f t="shared" si="14"/>
        <v>2.7447066385760004</v>
      </c>
      <c r="D109">
        <v>2.01E-2</v>
      </c>
      <c r="E109">
        <v>3.8158201924077539E-3</v>
      </c>
      <c r="F109">
        <f t="shared" si="15"/>
        <v>1084.24288</v>
      </c>
      <c r="G109">
        <f t="shared" si="16"/>
        <v>-0.50629000000000002</v>
      </c>
      <c r="H109">
        <f t="shared" si="17"/>
        <v>-548.94132771520003</v>
      </c>
      <c r="I109">
        <v>1</v>
      </c>
      <c r="J109">
        <f t="shared" si="18"/>
        <v>8.0881936960566767E-2</v>
      </c>
      <c r="K109">
        <f t="shared" si="19"/>
        <v>-0.67362057297601197</v>
      </c>
      <c r="L109">
        <v>1</v>
      </c>
      <c r="M109">
        <f t="shared" si="20"/>
        <v>0.49458895315864776</v>
      </c>
      <c r="N109">
        <f t="shared" si="24"/>
        <v>0.10896640944000001</v>
      </c>
      <c r="O109">
        <f t="shared" si="22"/>
        <v>2.0686379374891688E-2</v>
      </c>
      <c r="P109">
        <f t="shared" si="23"/>
        <v>4.9378831002472506E-2</v>
      </c>
      <c r="V109">
        <v>4.5</v>
      </c>
      <c r="W109">
        <f t="shared" si="21"/>
        <v>-0.67975000000000008</v>
      </c>
    </row>
    <row r="110" spans="1:23" x14ac:dyDescent="0.3">
      <c r="A110">
        <v>5.4777334</v>
      </c>
      <c r="B110">
        <v>0.50407000000000002</v>
      </c>
      <c r="C110">
        <f t="shared" si="14"/>
        <v>2.7611610749380002</v>
      </c>
      <c r="D110">
        <v>2.01E-2</v>
      </c>
      <c r="E110">
        <v>3.8158201924077539E-3</v>
      </c>
      <c r="F110">
        <f t="shared" si="15"/>
        <v>1095.5466799999999</v>
      </c>
      <c r="G110">
        <f t="shared" si="16"/>
        <v>-0.50407000000000002</v>
      </c>
      <c r="H110">
        <f t="shared" si="17"/>
        <v>-552.23221498760006</v>
      </c>
      <c r="I110">
        <v>1</v>
      </c>
      <c r="J110">
        <f t="shared" si="18"/>
        <v>9.1253489825629683E-2</v>
      </c>
      <c r="K110">
        <f t="shared" si="19"/>
        <v>-0.67584057297601197</v>
      </c>
      <c r="L110">
        <v>1</v>
      </c>
      <c r="M110">
        <f t="shared" si="20"/>
        <v>0.49502352122369392</v>
      </c>
      <c r="N110">
        <f t="shared" si="24"/>
        <v>0.11010244134</v>
      </c>
      <c r="O110">
        <f t="shared" si="22"/>
        <v>2.0902045716346379E-2</v>
      </c>
      <c r="P110">
        <f t="shared" si="23"/>
        <v>4.9812564695971673E-2</v>
      </c>
      <c r="V110">
        <v>4.5999999999999996</v>
      </c>
      <c r="W110">
        <f t="shared" si="21"/>
        <v>-0.68393999999999999</v>
      </c>
    </row>
    <row r="111" spans="1:23" x14ac:dyDescent="0.3">
      <c r="A111">
        <v>5.5306885000000001</v>
      </c>
      <c r="B111">
        <v>0.50182000000000004</v>
      </c>
      <c r="C111">
        <f t="shared" si="14"/>
        <v>2.7754101030700005</v>
      </c>
      <c r="D111">
        <v>2.01E-2</v>
      </c>
      <c r="E111">
        <v>3.8158201924077539E-3</v>
      </c>
      <c r="F111">
        <f t="shared" si="15"/>
        <v>1106.1377</v>
      </c>
      <c r="G111">
        <f t="shared" si="16"/>
        <v>-0.50182000000000004</v>
      </c>
      <c r="H111">
        <f t="shared" si="17"/>
        <v>-555.08202061400004</v>
      </c>
      <c r="I111">
        <v>1</v>
      </c>
      <c r="J111">
        <f t="shared" si="18"/>
        <v>0.10087439806280089</v>
      </c>
      <c r="K111">
        <f t="shared" si="19"/>
        <v>-0.67809057297601194</v>
      </c>
      <c r="L111">
        <v>1</v>
      </c>
      <c r="M111">
        <f t="shared" si="20"/>
        <v>0.49542663727883141</v>
      </c>
      <c r="N111">
        <f t="shared" si="24"/>
        <v>0.11116683885</v>
      </c>
      <c r="O111">
        <f t="shared" si="22"/>
        <v>2.1104112856217352E-2</v>
      </c>
      <c r="P111">
        <f t="shared" si="23"/>
        <v>5.0392983990963175E-2</v>
      </c>
      <c r="V111">
        <v>4.7</v>
      </c>
      <c r="W111">
        <f t="shared" si="21"/>
        <v>-0.68813000000000002</v>
      </c>
    </row>
    <row r="112" spans="1:23" x14ac:dyDescent="0.3">
      <c r="A112">
        <v>5.5810972000000003</v>
      </c>
      <c r="B112">
        <v>0.49941999999999998</v>
      </c>
      <c r="C112">
        <f t="shared" si="14"/>
        <v>2.7873115636240002</v>
      </c>
      <c r="D112">
        <v>2.01E-2</v>
      </c>
      <c r="E112">
        <v>3.8158201924077539E-3</v>
      </c>
      <c r="F112">
        <f t="shared" si="15"/>
        <v>1116.2194400000001</v>
      </c>
      <c r="G112">
        <f t="shared" si="16"/>
        <v>-0.49941999999999998</v>
      </c>
      <c r="H112">
        <f t="shared" si="17"/>
        <v>-557.46231272480009</v>
      </c>
      <c r="I112">
        <v>1</v>
      </c>
      <c r="J112">
        <f t="shared" si="18"/>
        <v>0.10994747545418525</v>
      </c>
      <c r="K112">
        <f t="shared" si="19"/>
        <v>-0.68049057297601201</v>
      </c>
      <c r="L112">
        <v>1</v>
      </c>
      <c r="M112">
        <f t="shared" si="20"/>
        <v>0.49580679922153037</v>
      </c>
      <c r="N112">
        <f t="shared" si="24"/>
        <v>0.11218005372000001</v>
      </c>
      <c r="O112">
        <f t="shared" si="22"/>
        <v>2.1296463391550377E-2</v>
      </c>
      <c r="P112">
        <f t="shared" si="23"/>
        <v>5.1207256642931256E-2</v>
      </c>
      <c r="V112">
        <v>4.8</v>
      </c>
      <c r="W112">
        <f t="shared" si="21"/>
        <v>-0.69232000000000005</v>
      </c>
    </row>
    <row r="113" spans="1:23" x14ac:dyDescent="0.3">
      <c r="A113">
        <v>5.6320160999999995</v>
      </c>
      <c r="B113">
        <v>0.49728</v>
      </c>
      <c r="C113">
        <f t="shared" si="14"/>
        <v>2.8006889662079999</v>
      </c>
      <c r="D113">
        <v>2.01E-2</v>
      </c>
      <c r="E113">
        <v>3.8158201924077539E-3</v>
      </c>
      <c r="F113">
        <f t="shared" si="15"/>
        <v>1126.4032199999999</v>
      </c>
      <c r="G113">
        <f t="shared" si="16"/>
        <v>-0.49728</v>
      </c>
      <c r="H113">
        <f t="shared" si="17"/>
        <v>-560.13779324159998</v>
      </c>
      <c r="I113">
        <v>1</v>
      </c>
      <c r="J113">
        <f t="shared" si="18"/>
        <v>0.1190295650823275</v>
      </c>
      <c r="K113">
        <f t="shared" si="19"/>
        <v>-0.68263057297601204</v>
      </c>
      <c r="L113">
        <v>1</v>
      </c>
      <c r="M113">
        <f t="shared" si="20"/>
        <v>0.49618733877694954</v>
      </c>
      <c r="N113">
        <f t="shared" si="24"/>
        <v>0.11320352361</v>
      </c>
      <c r="O113">
        <f t="shared" si="22"/>
        <v>2.1490760758345565E-2</v>
      </c>
      <c r="P113">
        <f t="shared" si="23"/>
        <v>5.1748949830716942E-2</v>
      </c>
      <c r="V113">
        <v>4.9000000000000004</v>
      </c>
      <c r="W113">
        <f t="shared" si="21"/>
        <v>-0.69651000000000007</v>
      </c>
    </row>
    <row r="114" spans="1:23" x14ac:dyDescent="0.3">
      <c r="A114">
        <v>5.6829340999999998</v>
      </c>
      <c r="B114">
        <v>0.49508000000000002</v>
      </c>
      <c r="C114">
        <f t="shared" si="14"/>
        <v>2.8135070142280001</v>
      </c>
      <c r="D114">
        <v>2.01E-2</v>
      </c>
      <c r="E114">
        <v>3.8158201924077539E-3</v>
      </c>
      <c r="F114">
        <f t="shared" si="15"/>
        <v>1136.58682</v>
      </c>
      <c r="G114">
        <f t="shared" si="16"/>
        <v>-0.49508000000000002</v>
      </c>
      <c r="H114">
        <f t="shared" si="17"/>
        <v>-562.7014028456</v>
      </c>
      <c r="I114">
        <v>1</v>
      </c>
      <c r="J114">
        <f t="shared" si="18"/>
        <v>0.12802975382561557</v>
      </c>
      <c r="K114">
        <f t="shared" si="19"/>
        <v>-0.68483057297601202</v>
      </c>
      <c r="L114">
        <v>1</v>
      </c>
      <c r="M114">
        <f t="shared" si="20"/>
        <v>0.49656444668529331</v>
      </c>
      <c r="N114">
        <f t="shared" si="24"/>
        <v>0.11422697541</v>
      </c>
      <c r="O114">
        <f t="shared" si="22"/>
        <v>2.1685054690902584E-2</v>
      </c>
      <c r="P114">
        <f t="shared" si="23"/>
        <v>5.2354096189816124E-2</v>
      </c>
      <c r="V114">
        <v>5</v>
      </c>
      <c r="W114">
        <f t="shared" si="21"/>
        <v>-0.70069999999999999</v>
      </c>
    </row>
    <row r="115" spans="1:23" x14ac:dyDescent="0.3">
      <c r="A115">
        <v>5.7348706000000007</v>
      </c>
      <c r="B115">
        <v>0.49320999999999998</v>
      </c>
      <c r="C115">
        <f t="shared" si="14"/>
        <v>2.8284955286260001</v>
      </c>
      <c r="D115">
        <v>2.01E-2</v>
      </c>
      <c r="E115">
        <v>3.8158201924077539E-3</v>
      </c>
      <c r="F115">
        <f t="shared" si="15"/>
        <v>1146.9741200000001</v>
      </c>
      <c r="G115">
        <f t="shared" si="16"/>
        <v>-0.49320999999999998</v>
      </c>
      <c r="H115">
        <f t="shared" si="17"/>
        <v>-565.69910572520007</v>
      </c>
      <c r="I115">
        <v>1</v>
      </c>
      <c r="J115">
        <f t="shared" si="18"/>
        <v>0.13712727468431105</v>
      </c>
      <c r="K115">
        <f t="shared" si="19"/>
        <v>-0.68670057297601206</v>
      </c>
      <c r="L115">
        <v>1</v>
      </c>
      <c r="M115">
        <f t="shared" si="20"/>
        <v>0.49694563280927267</v>
      </c>
      <c r="N115">
        <f t="shared" si="24"/>
        <v>0.11527089906000001</v>
      </c>
      <c r="O115">
        <f t="shared" si="22"/>
        <v>2.1883235036325575E-2</v>
      </c>
      <c r="P115">
        <f t="shared" si="23"/>
        <v>5.2600806070413793E-2</v>
      </c>
      <c r="V115">
        <v>5.0999999999999996</v>
      </c>
      <c r="W115">
        <f t="shared" si="21"/>
        <v>-0.70489000000000002</v>
      </c>
    </row>
    <row r="116" spans="1:23" x14ac:dyDescent="0.3">
      <c r="A116">
        <v>5.7857890999999997</v>
      </c>
      <c r="B116">
        <v>0.49076999999999998</v>
      </c>
      <c r="C116">
        <f t="shared" si="14"/>
        <v>2.8394917166069997</v>
      </c>
      <c r="D116">
        <v>2.01E-2</v>
      </c>
      <c r="E116">
        <v>3.8158201924077539E-3</v>
      </c>
      <c r="F116">
        <f t="shared" si="15"/>
        <v>1157.1578199999999</v>
      </c>
      <c r="G116">
        <f t="shared" si="16"/>
        <v>-0.49076999999999998</v>
      </c>
      <c r="H116">
        <f t="shared" si="17"/>
        <v>-567.89834332139992</v>
      </c>
      <c r="I116">
        <v>1</v>
      </c>
      <c r="J116">
        <f t="shared" si="18"/>
        <v>0.1459668434036743</v>
      </c>
      <c r="K116">
        <f t="shared" si="19"/>
        <v>-0.68914057297601206</v>
      </c>
      <c r="L116">
        <v>1</v>
      </c>
      <c r="M116">
        <f t="shared" si="20"/>
        <v>0.49731601073861398</v>
      </c>
      <c r="N116">
        <f t="shared" si="24"/>
        <v>0.11629436090999999</v>
      </c>
      <c r="O116">
        <f t="shared" si="22"/>
        <v>2.2077530876792685E-2</v>
      </c>
      <c r="P116">
        <f t="shared" si="23"/>
        <v>5.3452670450605401E-2</v>
      </c>
      <c r="V116">
        <v>5.2</v>
      </c>
      <c r="W116">
        <f t="shared" si="21"/>
        <v>-0.70908000000000004</v>
      </c>
    </row>
    <row r="117" spans="1:23" x14ac:dyDescent="0.3">
      <c r="A117">
        <v>5.8372168000000002</v>
      </c>
      <c r="B117">
        <v>0.48870000000000002</v>
      </c>
      <c r="C117">
        <f t="shared" si="14"/>
        <v>2.8526478501600003</v>
      </c>
      <c r="D117">
        <v>2.01E-2</v>
      </c>
      <c r="E117">
        <v>3.8158201924077539E-3</v>
      </c>
      <c r="F117">
        <f t="shared" si="15"/>
        <v>1167.44336</v>
      </c>
      <c r="G117">
        <f t="shared" si="16"/>
        <v>-0.48870000000000002</v>
      </c>
      <c r="H117">
        <f t="shared" si="17"/>
        <v>-570.52957003200004</v>
      </c>
      <c r="I117">
        <v>1</v>
      </c>
      <c r="J117">
        <f t="shared" si="18"/>
        <v>0.15481619546544759</v>
      </c>
      <c r="K117">
        <f t="shared" si="19"/>
        <v>-0.69121057297601196</v>
      </c>
      <c r="L117">
        <v>1</v>
      </c>
      <c r="M117">
        <f t="shared" si="20"/>
        <v>0.49768679859000226</v>
      </c>
      <c r="N117">
        <f t="shared" si="24"/>
        <v>0.11732805768</v>
      </c>
      <c r="O117">
        <f t="shared" si="22"/>
        <v>2.2273769732901773E-2</v>
      </c>
      <c r="P117">
        <f t="shared" si="23"/>
        <v>5.3921946973107933E-2</v>
      </c>
      <c r="V117">
        <v>5.3</v>
      </c>
      <c r="W117">
        <f t="shared" si="21"/>
        <v>-0.71327000000000007</v>
      </c>
    </row>
    <row r="118" spans="1:23" x14ac:dyDescent="0.3">
      <c r="A118">
        <v>5.8881353000000001</v>
      </c>
      <c r="B118">
        <v>0.48641000000000001</v>
      </c>
      <c r="C118">
        <f t="shared" si="14"/>
        <v>2.8640478912730001</v>
      </c>
      <c r="D118">
        <v>2.01E-2</v>
      </c>
      <c r="E118">
        <v>3.8158201924077539E-3</v>
      </c>
      <c r="F118">
        <f t="shared" si="15"/>
        <v>1177.62706</v>
      </c>
      <c r="G118">
        <f t="shared" si="16"/>
        <v>-0.48641000000000001</v>
      </c>
      <c r="H118">
        <f t="shared" si="17"/>
        <v>-572.80957825460007</v>
      </c>
      <c r="I118">
        <v>1</v>
      </c>
      <c r="J118">
        <f t="shared" si="18"/>
        <v>0.16350144766868038</v>
      </c>
      <c r="K118">
        <f t="shared" si="19"/>
        <v>-0.69350057297601198</v>
      </c>
      <c r="L118">
        <v>1</v>
      </c>
      <c r="M118">
        <f t="shared" si="20"/>
        <v>0.49805071065731771</v>
      </c>
      <c r="N118">
        <f t="shared" si="24"/>
        <v>0.11835151953</v>
      </c>
      <c r="O118">
        <f t="shared" si="22"/>
        <v>2.2468065573368889E-2</v>
      </c>
      <c r="P118">
        <f t="shared" si="23"/>
        <v>5.4630277215325374E-2</v>
      </c>
      <c r="V118">
        <v>5.4</v>
      </c>
      <c r="W118">
        <f t="shared" si="21"/>
        <v>-0.71745999999999999</v>
      </c>
    </row>
    <row r="119" spans="1:23" x14ac:dyDescent="0.3">
      <c r="A119">
        <v>5.9385439</v>
      </c>
      <c r="B119">
        <v>0.48432999999999998</v>
      </c>
      <c r="C119">
        <f t="shared" si="14"/>
        <v>2.8762149670869999</v>
      </c>
      <c r="D119">
        <v>2.01E-2</v>
      </c>
      <c r="E119">
        <v>3.8158201924077539E-3</v>
      </c>
      <c r="F119">
        <f t="shared" si="15"/>
        <v>1187.7087799999999</v>
      </c>
      <c r="G119">
        <f t="shared" si="16"/>
        <v>-0.48432999999999998</v>
      </c>
      <c r="H119">
        <f t="shared" si="17"/>
        <v>-575.24299341739993</v>
      </c>
      <c r="I119">
        <v>1</v>
      </c>
      <c r="J119">
        <f t="shared" si="18"/>
        <v>0.17202605620990169</v>
      </c>
      <c r="K119">
        <f t="shared" si="19"/>
        <v>-0.69558057297601206</v>
      </c>
      <c r="L119">
        <v>1</v>
      </c>
      <c r="M119">
        <f t="shared" si="20"/>
        <v>0.4984078917551949</v>
      </c>
      <c r="N119">
        <f t="shared" si="24"/>
        <v>0.11936473238999999</v>
      </c>
      <c r="O119">
        <f t="shared" si="22"/>
        <v>2.2660415727119892E-2</v>
      </c>
      <c r="P119">
        <f t="shared" si="23"/>
        <v>5.5147533103697272E-2</v>
      </c>
      <c r="V119">
        <v>5.5</v>
      </c>
      <c r="W119">
        <f t="shared" si="21"/>
        <v>-0.72165000000000001</v>
      </c>
    </row>
    <row r="120" spans="1:23" x14ac:dyDescent="0.3">
      <c r="A120">
        <v>5.9889530999999998</v>
      </c>
      <c r="B120">
        <v>0.48205999999999999</v>
      </c>
      <c r="C120">
        <f t="shared" si="14"/>
        <v>2.8870347313859996</v>
      </c>
      <c r="D120">
        <v>2.01E-2</v>
      </c>
      <c r="E120">
        <v>3.8158201924077539E-3</v>
      </c>
      <c r="F120">
        <f t="shared" si="15"/>
        <v>1197.79062</v>
      </c>
      <c r="G120">
        <f t="shared" si="16"/>
        <v>-0.48205999999999999</v>
      </c>
      <c r="H120">
        <f t="shared" si="17"/>
        <v>-577.40694627719995</v>
      </c>
      <c r="I120">
        <v>1</v>
      </c>
      <c r="J120">
        <f t="shared" si="18"/>
        <v>0.18047870979401912</v>
      </c>
      <c r="K120">
        <f t="shared" si="19"/>
        <v>-0.69785057297601205</v>
      </c>
      <c r="L120">
        <v>1</v>
      </c>
      <c r="M120">
        <f t="shared" si="20"/>
        <v>0.49876205794036943</v>
      </c>
      <c r="N120">
        <f t="shared" si="24"/>
        <v>0.12037795730999999</v>
      </c>
      <c r="O120">
        <f t="shared" si="22"/>
        <v>2.2852768170363014E-2</v>
      </c>
      <c r="P120">
        <f t="shared" si="23"/>
        <v>5.5857789555279619E-2</v>
      </c>
      <c r="V120">
        <v>5.6</v>
      </c>
      <c r="W120">
        <f t="shared" si="21"/>
        <v>-0.72584000000000004</v>
      </c>
    </row>
    <row r="121" spans="1:23" x14ac:dyDescent="0.3">
      <c r="A121">
        <v>6.0398716000000006</v>
      </c>
      <c r="B121">
        <v>0.48</v>
      </c>
      <c r="C121">
        <f t="shared" si="14"/>
        <v>2.899138368</v>
      </c>
      <c r="D121">
        <v>2.01E-2</v>
      </c>
      <c r="E121">
        <v>3.8158201924077539E-3</v>
      </c>
      <c r="F121">
        <f t="shared" si="15"/>
        <v>1207.97432</v>
      </c>
      <c r="G121">
        <f t="shared" si="16"/>
        <v>-0.48</v>
      </c>
      <c r="H121">
        <f t="shared" si="17"/>
        <v>-579.82767360000003</v>
      </c>
      <c r="I121">
        <v>1</v>
      </c>
      <c r="J121">
        <f t="shared" si="18"/>
        <v>0.18894484100851705</v>
      </c>
      <c r="K121">
        <f t="shared" si="19"/>
        <v>-0.699910572976012</v>
      </c>
      <c r="L121">
        <v>1</v>
      </c>
      <c r="M121">
        <f t="shared" si="20"/>
        <v>0.49911678883825689</v>
      </c>
      <c r="N121">
        <f t="shared" si="24"/>
        <v>0.12140141916000001</v>
      </c>
      <c r="O121">
        <f t="shared" si="22"/>
        <v>2.3047064010830131E-2</v>
      </c>
      <c r="P121">
        <f t="shared" si="23"/>
        <v>5.6345300966924972E-2</v>
      </c>
      <c r="V121">
        <v>5.7</v>
      </c>
      <c r="W121">
        <f t="shared" si="21"/>
        <v>-0.73003000000000007</v>
      </c>
    </row>
    <row r="122" spans="1:23" x14ac:dyDescent="0.3">
      <c r="A122">
        <v>6.0907899999999993</v>
      </c>
      <c r="B122">
        <v>0.47792000000000001</v>
      </c>
      <c r="C122">
        <f t="shared" si="14"/>
        <v>2.9109103567999997</v>
      </c>
      <c r="D122">
        <v>2.01E-2</v>
      </c>
      <c r="E122">
        <v>3.8158201924077539E-3</v>
      </c>
      <c r="F122">
        <f t="shared" si="15"/>
        <v>1218.1579999999999</v>
      </c>
      <c r="G122">
        <f t="shared" si="16"/>
        <v>-0.47792000000000001</v>
      </c>
      <c r="H122">
        <f t="shared" si="17"/>
        <v>-582.1820713599999</v>
      </c>
      <c r="I122">
        <v>1</v>
      </c>
      <c r="J122">
        <f t="shared" si="18"/>
        <v>0.19733988172854153</v>
      </c>
      <c r="K122">
        <f t="shared" si="19"/>
        <v>-0.70199057297601197</v>
      </c>
      <c r="L122">
        <v>1</v>
      </c>
      <c r="M122">
        <f t="shared" si="20"/>
        <v>0.4994685410444259</v>
      </c>
      <c r="N122">
        <f t="shared" si="24"/>
        <v>0.12242487899999999</v>
      </c>
      <c r="O122">
        <f t="shared" si="22"/>
        <v>2.3241359469715221E-2</v>
      </c>
      <c r="P122">
        <f t="shared" si="23"/>
        <v>5.685579346187087E-2</v>
      </c>
      <c r="V122">
        <v>5.8</v>
      </c>
      <c r="W122">
        <f t="shared" si="21"/>
        <v>-0.73421999999999998</v>
      </c>
    </row>
    <row r="123" spans="1:23" x14ac:dyDescent="0.3">
      <c r="A123">
        <v>6.1411992</v>
      </c>
      <c r="B123">
        <v>0.47550999999999999</v>
      </c>
      <c r="C123">
        <f t="shared" si="14"/>
        <v>2.9202016315920001</v>
      </c>
      <c r="D123">
        <v>2.01E-2</v>
      </c>
      <c r="E123">
        <v>3.8158201924077539E-3</v>
      </c>
      <c r="F123">
        <f t="shared" si="15"/>
        <v>1228.23984</v>
      </c>
      <c r="G123">
        <f t="shared" si="16"/>
        <v>-0.47550999999999999</v>
      </c>
      <c r="H123">
        <f t="shared" si="17"/>
        <v>-584.04032631840005</v>
      </c>
      <c r="I123">
        <v>1</v>
      </c>
      <c r="J123">
        <f t="shared" si="18"/>
        <v>0.20558212010079782</v>
      </c>
      <c r="K123">
        <f t="shared" si="19"/>
        <v>-0.704400572976012</v>
      </c>
      <c r="L123">
        <v>1</v>
      </c>
      <c r="M123">
        <f t="shared" si="20"/>
        <v>0.49981389083222344</v>
      </c>
      <c r="N123">
        <f t="shared" si="24"/>
        <v>0.12343810392</v>
      </c>
      <c r="O123">
        <f t="shared" si="22"/>
        <v>2.3433711912958344E-2</v>
      </c>
      <c r="P123">
        <f t="shared" si="23"/>
        <v>5.7714866310830212E-2</v>
      </c>
      <c r="V123">
        <v>5.9</v>
      </c>
      <c r="W123">
        <f t="shared" si="21"/>
        <v>-0.73841000000000001</v>
      </c>
    </row>
    <row r="124" spans="1:23" x14ac:dyDescent="0.3">
      <c r="A124">
        <v>6.1936450000000001</v>
      </c>
      <c r="B124">
        <v>0.47361999999999999</v>
      </c>
      <c r="C124">
        <f t="shared" si="14"/>
        <v>2.9334341449000001</v>
      </c>
      <c r="D124">
        <v>2.01E-2</v>
      </c>
      <c r="E124">
        <v>3.8158201924077539E-3</v>
      </c>
      <c r="F124">
        <f t="shared" si="15"/>
        <v>1238.729</v>
      </c>
      <c r="G124">
        <f t="shared" si="16"/>
        <v>-0.47361999999999999</v>
      </c>
      <c r="H124">
        <f t="shared" si="17"/>
        <v>-586.68682897999997</v>
      </c>
      <c r="I124">
        <v>1</v>
      </c>
      <c r="J124">
        <f t="shared" si="18"/>
        <v>0.21408585394520574</v>
      </c>
      <c r="K124">
        <f t="shared" si="19"/>
        <v>-0.70629057297601205</v>
      </c>
      <c r="L124">
        <v>1</v>
      </c>
      <c r="M124">
        <f t="shared" si="20"/>
        <v>0.5001701972803041</v>
      </c>
      <c r="N124">
        <f t="shared" si="24"/>
        <v>0.1244922645</v>
      </c>
      <c r="O124">
        <f t="shared" si="22"/>
        <v>2.3633835655605322E-2</v>
      </c>
      <c r="P124">
        <f t="shared" si="23"/>
        <v>5.7994275540102627E-2</v>
      </c>
      <c r="V124">
        <v>6</v>
      </c>
      <c r="W124">
        <f t="shared" si="21"/>
        <v>-0.74260000000000004</v>
      </c>
    </row>
    <row r="125" spans="1:23" x14ac:dyDescent="0.3">
      <c r="A125">
        <v>6.2455814999999992</v>
      </c>
      <c r="B125">
        <v>0.47117999999999999</v>
      </c>
      <c r="C125">
        <f t="shared" si="14"/>
        <v>2.9427930911699995</v>
      </c>
      <c r="D125">
        <v>2.01E-2</v>
      </c>
      <c r="E125">
        <v>3.8158201924077539E-3</v>
      </c>
      <c r="F125">
        <f t="shared" si="15"/>
        <v>1249.1162999999999</v>
      </c>
      <c r="G125">
        <f t="shared" si="16"/>
        <v>-0.47117999999999999</v>
      </c>
      <c r="H125">
        <f t="shared" si="17"/>
        <v>-588.55861823399994</v>
      </c>
      <c r="I125">
        <v>1</v>
      </c>
      <c r="J125">
        <f t="shared" si="18"/>
        <v>0.22243634130014858</v>
      </c>
      <c r="K125">
        <f t="shared" si="19"/>
        <v>-0.70873057297601205</v>
      </c>
      <c r="L125">
        <v>1</v>
      </c>
      <c r="M125">
        <f t="shared" si="20"/>
        <v>0.50052008270047621</v>
      </c>
      <c r="N125">
        <f t="shared" si="24"/>
        <v>0.12553618814999998</v>
      </c>
      <c r="O125">
        <f t="shared" si="22"/>
        <v>2.3832016001028307E-2</v>
      </c>
      <c r="P125">
        <f t="shared" si="23"/>
        <v>5.8842286124507558E-2</v>
      </c>
      <c r="V125">
        <v>6.1</v>
      </c>
      <c r="W125">
        <f t="shared" si="21"/>
        <v>-0.74679000000000006</v>
      </c>
    </row>
    <row r="126" spans="1:23" x14ac:dyDescent="0.3">
      <c r="A126">
        <v>6.2959906999999999</v>
      </c>
      <c r="B126">
        <v>0.46895999999999999</v>
      </c>
      <c r="C126">
        <f t="shared" si="14"/>
        <v>2.9525677986719998</v>
      </c>
      <c r="D126">
        <v>2.01E-2</v>
      </c>
      <c r="E126">
        <v>3.8158201924077539E-3</v>
      </c>
      <c r="F126">
        <f t="shared" si="15"/>
        <v>1259.19814</v>
      </c>
      <c r="G126">
        <f t="shared" si="16"/>
        <v>-0.46895999999999999</v>
      </c>
      <c r="H126">
        <f t="shared" si="17"/>
        <v>-590.51355973439991</v>
      </c>
      <c r="I126">
        <v>1</v>
      </c>
      <c r="J126">
        <f t="shared" si="18"/>
        <v>0.23047512155157537</v>
      </c>
      <c r="K126">
        <f t="shared" si="19"/>
        <v>-0.71095057297601194</v>
      </c>
      <c r="L126">
        <v>1</v>
      </c>
      <c r="M126">
        <f t="shared" si="20"/>
        <v>0.50085690759301105</v>
      </c>
      <c r="N126">
        <f t="shared" si="24"/>
        <v>0.12654941307000001</v>
      </c>
      <c r="O126">
        <f t="shared" si="22"/>
        <v>2.4024368444271429E-2</v>
      </c>
      <c r="P126">
        <f t="shared" si="23"/>
        <v>5.9519883868729459E-2</v>
      </c>
      <c r="V126">
        <v>6.2</v>
      </c>
      <c r="W126">
        <f t="shared" si="21"/>
        <v>-0.75097999999999998</v>
      </c>
    </row>
    <row r="127" spans="1:23" x14ac:dyDescent="0.3">
      <c r="A127">
        <v>6.3484365</v>
      </c>
      <c r="B127">
        <v>0.46668999999999999</v>
      </c>
      <c r="C127">
        <f t="shared" si="14"/>
        <v>2.9627518301849998</v>
      </c>
      <c r="D127">
        <v>2.01E-2</v>
      </c>
      <c r="E127">
        <v>3.8158201924077539E-3</v>
      </c>
      <c r="F127">
        <f t="shared" si="15"/>
        <v>1269.6873000000001</v>
      </c>
      <c r="G127">
        <f t="shared" si="16"/>
        <v>-0.46668999999999999</v>
      </c>
      <c r="H127">
        <f t="shared" si="17"/>
        <v>-592.550366037</v>
      </c>
      <c r="I127">
        <v>1</v>
      </c>
      <c r="J127">
        <f t="shared" si="18"/>
        <v>0.23877064968082182</v>
      </c>
      <c r="K127">
        <f t="shared" si="19"/>
        <v>-0.71322057297601194</v>
      </c>
      <c r="L127">
        <v>1</v>
      </c>
      <c r="M127">
        <f t="shared" si="20"/>
        <v>0.5012044902216265</v>
      </c>
      <c r="N127">
        <f t="shared" si="24"/>
        <v>0.12760357365</v>
      </c>
      <c r="O127">
        <f t="shared" si="22"/>
        <v>2.4224492186918408E-2</v>
      </c>
      <c r="P127">
        <f t="shared" si="23"/>
        <v>6.018801691746703E-2</v>
      </c>
      <c r="V127">
        <v>6.3</v>
      </c>
      <c r="W127">
        <f t="shared" si="21"/>
        <v>-0.75517000000000001</v>
      </c>
    </row>
    <row r="128" spans="1:23" x14ac:dyDescent="0.3">
      <c r="A128">
        <v>6.4019009000000002</v>
      </c>
      <c r="B128">
        <v>0.46432000000000001</v>
      </c>
      <c r="C128">
        <f t="shared" si="14"/>
        <v>2.972530625888</v>
      </c>
      <c r="D128">
        <v>2.01E-2</v>
      </c>
      <c r="E128">
        <v>3.8158201924077539E-3</v>
      </c>
      <c r="F128">
        <f t="shared" si="15"/>
        <v>1280.3801800000001</v>
      </c>
      <c r="G128">
        <f t="shared" si="16"/>
        <v>-0.46432000000000001</v>
      </c>
      <c r="H128">
        <f t="shared" si="17"/>
        <v>-594.50612517759998</v>
      </c>
      <c r="I128">
        <v>1</v>
      </c>
      <c r="J128">
        <f t="shared" si="18"/>
        <v>0.24715704945611724</v>
      </c>
      <c r="K128">
        <f t="shared" si="19"/>
        <v>-0.71559057297601192</v>
      </c>
      <c r="L128">
        <v>1</v>
      </c>
      <c r="M128">
        <f t="shared" si="20"/>
        <v>0.50155588037221133</v>
      </c>
      <c r="N128">
        <f t="shared" si="24"/>
        <v>0.12867820809</v>
      </c>
      <c r="O128">
        <f t="shared" si="22"/>
        <v>2.4428502724013375E-2</v>
      </c>
      <c r="P128">
        <f t="shared" si="23"/>
        <v>6.0927981789787221E-2</v>
      </c>
      <c r="V128">
        <v>6.4</v>
      </c>
      <c r="W128">
        <f t="shared" si="21"/>
        <v>-0.75936000000000003</v>
      </c>
    </row>
    <row r="129" spans="1:23" x14ac:dyDescent="0.3">
      <c r="A129">
        <v>6.4533285999999999</v>
      </c>
      <c r="B129">
        <v>0.46183999999999997</v>
      </c>
      <c r="C129">
        <f t="shared" si="14"/>
        <v>2.9804052806239998</v>
      </c>
      <c r="D129">
        <v>2.01E-2</v>
      </c>
      <c r="E129">
        <v>3.8158201924077539E-3</v>
      </c>
      <c r="F129">
        <f t="shared" si="15"/>
        <v>1290.66572</v>
      </c>
      <c r="G129">
        <f t="shared" si="16"/>
        <v>-0.46183999999999997</v>
      </c>
      <c r="H129">
        <f t="shared" si="17"/>
        <v>-596.08105612479994</v>
      </c>
      <c r="I129">
        <v>1</v>
      </c>
      <c r="J129">
        <f t="shared" si="18"/>
        <v>0.25515814727487751</v>
      </c>
      <c r="K129">
        <f t="shared" si="19"/>
        <v>-0.71807057297601196</v>
      </c>
      <c r="L129">
        <v>1</v>
      </c>
      <c r="M129">
        <f t="shared" si="20"/>
        <v>0.50189112637081734</v>
      </c>
      <c r="N129">
        <f t="shared" si="24"/>
        <v>0.12971190486</v>
      </c>
      <c r="O129">
        <f t="shared" si="22"/>
        <v>2.4624741580122463E-2</v>
      </c>
      <c r="P129">
        <f t="shared" si="23"/>
        <v>6.1842800165072147E-2</v>
      </c>
      <c r="V129">
        <v>6.5</v>
      </c>
      <c r="W129">
        <f t="shared" si="21"/>
        <v>-0.76354999999999995</v>
      </c>
    </row>
    <row r="130" spans="1:23" x14ac:dyDescent="0.3">
      <c r="A130">
        <v>6.5047559000000001</v>
      </c>
      <c r="B130">
        <v>0.45956999999999998</v>
      </c>
      <c r="C130">
        <f t="shared" si="14"/>
        <v>2.9893906689629999</v>
      </c>
      <c r="D130">
        <v>2.01E-2</v>
      </c>
      <c r="E130">
        <v>3.8158201924077539E-3</v>
      </c>
      <c r="F130">
        <f t="shared" si="15"/>
        <v>1300.95118</v>
      </c>
      <c r="G130">
        <f t="shared" si="16"/>
        <v>-0.45956999999999998</v>
      </c>
      <c r="H130">
        <f t="shared" si="17"/>
        <v>-597.87813379260001</v>
      </c>
      <c r="I130">
        <v>1</v>
      </c>
      <c r="J130">
        <f t="shared" si="18"/>
        <v>0.26309567384550447</v>
      </c>
      <c r="K130">
        <f t="shared" si="19"/>
        <v>-0.72034057297601195</v>
      </c>
      <c r="L130">
        <v>1</v>
      </c>
      <c r="M130">
        <f t="shared" si="20"/>
        <v>0.50222370873412669</v>
      </c>
      <c r="N130">
        <f t="shared" si="24"/>
        <v>0.13074559359000001</v>
      </c>
      <c r="O130">
        <f t="shared" si="22"/>
        <v>2.4820978909903472E-2</v>
      </c>
      <c r="P130">
        <f t="shared" si="23"/>
        <v>6.2550291741981762E-2</v>
      </c>
      <c r="V130">
        <v>6.6</v>
      </c>
      <c r="W130">
        <f t="shared" si="21"/>
        <v>-0.76774000000000009</v>
      </c>
    </row>
    <row r="131" spans="1:23" x14ac:dyDescent="0.3">
      <c r="A131">
        <v>6.5556737999999992</v>
      </c>
      <c r="B131">
        <v>0.45729999999999998</v>
      </c>
      <c r="C131">
        <f t="shared" si="14"/>
        <v>2.9979096287399996</v>
      </c>
      <c r="D131">
        <v>2.01E-2</v>
      </c>
      <c r="E131">
        <v>3.8158201924077539E-3</v>
      </c>
      <c r="F131">
        <f t="shared" si="15"/>
        <v>1311.1347599999999</v>
      </c>
      <c r="G131">
        <f t="shared" si="16"/>
        <v>-0.45729999999999998</v>
      </c>
      <c r="H131">
        <f t="shared" si="17"/>
        <v>-599.58192574799989</v>
      </c>
      <c r="I131">
        <v>1</v>
      </c>
      <c r="J131">
        <f t="shared" si="18"/>
        <v>0.27089299126086525</v>
      </c>
      <c r="K131">
        <f t="shared" si="19"/>
        <v>-0.72261057297601194</v>
      </c>
      <c r="L131">
        <v>1</v>
      </c>
      <c r="M131">
        <f t="shared" si="20"/>
        <v>0.50255041633383024</v>
      </c>
      <c r="N131">
        <f t="shared" si="24"/>
        <v>0.13176904337999998</v>
      </c>
      <c r="O131">
        <f t="shared" si="22"/>
        <v>2.5015272460878469E-2</v>
      </c>
      <c r="P131">
        <f t="shared" si="23"/>
        <v>6.327584080130326E-2</v>
      </c>
      <c r="V131">
        <v>6.7</v>
      </c>
      <c r="W131">
        <f t="shared" si="21"/>
        <v>-0.77193000000000001</v>
      </c>
    </row>
    <row r="132" spans="1:23" x14ac:dyDescent="0.3">
      <c r="A132">
        <v>6.6071016</v>
      </c>
      <c r="B132">
        <v>0.45516000000000001</v>
      </c>
      <c r="C132">
        <f t="shared" si="14"/>
        <v>3.007288364256</v>
      </c>
      <c r="D132">
        <v>2.01E-2</v>
      </c>
      <c r="E132">
        <v>3.8158201924077539E-3</v>
      </c>
      <c r="F132">
        <f t="shared" si="15"/>
        <v>1321.4203199999999</v>
      </c>
      <c r="G132">
        <f t="shared" si="16"/>
        <v>-0.45516000000000001</v>
      </c>
      <c r="H132">
        <f t="shared" si="17"/>
        <v>-601.45767285119996</v>
      </c>
      <c r="I132">
        <v>1</v>
      </c>
      <c r="J132">
        <f t="shared" si="18"/>
        <v>0.27870715812520025</v>
      </c>
      <c r="K132">
        <f t="shared" si="19"/>
        <v>-0.72475057297601198</v>
      </c>
      <c r="L132">
        <v>1</v>
      </c>
      <c r="M132">
        <f t="shared" si="20"/>
        <v>0.50287782992544594</v>
      </c>
      <c r="N132">
        <f t="shared" si="24"/>
        <v>0.13280274215999999</v>
      </c>
      <c r="O132">
        <f t="shared" si="22"/>
        <v>2.521151169856958E-2</v>
      </c>
      <c r="P132">
        <f t="shared" si="23"/>
        <v>6.3858489191996465E-2</v>
      </c>
      <c r="V132">
        <v>6.8</v>
      </c>
      <c r="W132">
        <f t="shared" si="21"/>
        <v>-0.77612000000000003</v>
      </c>
    </row>
    <row r="133" spans="1:23" x14ac:dyDescent="0.3">
      <c r="A133">
        <v>6.6585293000000005</v>
      </c>
      <c r="B133">
        <v>0.4531</v>
      </c>
      <c r="C133">
        <f t="shared" ref="C133:C196" si="25">A133*B133</f>
        <v>3.0169796258300003</v>
      </c>
      <c r="D133">
        <v>2.01E-2</v>
      </c>
      <c r="E133">
        <v>3.8158201924077539E-3</v>
      </c>
      <c r="F133">
        <f t="shared" ref="F133:F196" si="26">A133*200</f>
        <v>1331.70586</v>
      </c>
      <c r="G133">
        <f t="shared" ref="G133:G144" si="27">-B133</f>
        <v>-0.4531</v>
      </c>
      <c r="H133">
        <f t="shared" ref="H133:H196" si="28">-C133*200</f>
        <v>-603.3959251660001</v>
      </c>
      <c r="I133">
        <v>1</v>
      </c>
      <c r="J133">
        <f t="shared" ref="J133:J196" si="29">LN(F133/1000)</f>
        <v>0.28646072190675886</v>
      </c>
      <c r="K133">
        <f t="shared" ref="K133:K187" si="30">((-G133)-$N$2)</f>
        <v>-0.72681057297601193</v>
      </c>
      <c r="L133">
        <v>1</v>
      </c>
      <c r="M133">
        <f t="shared" ref="M133:M196" si="31">-1*($S$4+($S$5*J133))</f>
        <v>0.50320270424789326</v>
      </c>
      <c r="N133">
        <f t="shared" si="24"/>
        <v>0.13383643893000002</v>
      </c>
      <c r="O133">
        <f t="shared" si="22"/>
        <v>2.5407750554678671E-2</v>
      </c>
      <c r="P133">
        <f t="shared" si="23"/>
        <v>6.436367924343997E-2</v>
      </c>
      <c r="V133">
        <v>6.9</v>
      </c>
      <c r="W133">
        <f t="shared" ref="W133:W139" si="32">V133*$S$5+$S$4</f>
        <v>-0.78031000000000006</v>
      </c>
    </row>
    <row r="134" spans="1:23" x14ac:dyDescent="0.3">
      <c r="A134">
        <v>6.7089380000000007</v>
      </c>
      <c r="B134">
        <v>0.45057999999999998</v>
      </c>
      <c r="C134">
        <f t="shared" si="25"/>
        <v>3.0229132840400004</v>
      </c>
      <c r="D134">
        <v>2.01E-2</v>
      </c>
      <c r="E134">
        <v>3.8158201924077539E-3</v>
      </c>
      <c r="F134">
        <f t="shared" si="26"/>
        <v>1341.7876000000001</v>
      </c>
      <c r="G134">
        <f t="shared" si="27"/>
        <v>-0.45057999999999998</v>
      </c>
      <c r="H134">
        <f t="shared" si="28"/>
        <v>-604.58265680800002</v>
      </c>
      <c r="I134">
        <v>1</v>
      </c>
      <c r="J134">
        <f t="shared" si="29"/>
        <v>0.29400275478631649</v>
      </c>
      <c r="K134">
        <f t="shared" si="30"/>
        <v>-0.729330572976012</v>
      </c>
      <c r="L134">
        <v>1</v>
      </c>
      <c r="M134">
        <f t="shared" si="31"/>
        <v>0.50351871542554671</v>
      </c>
      <c r="N134">
        <f t="shared" si="24"/>
        <v>0.13484965380000002</v>
      </c>
      <c r="O134">
        <f t="shared" ref="O134:O144" si="33">E134*A134</f>
        <v>2.5600101090011696E-2</v>
      </c>
      <c r="P134">
        <f t="shared" ref="P134:P144" si="34">-K134-M134-N134-O134</f>
        <v>6.5362102660453572E-2</v>
      </c>
      <c r="V134">
        <v>7</v>
      </c>
      <c r="W134">
        <f t="shared" si="32"/>
        <v>-0.78449999999999998</v>
      </c>
    </row>
    <row r="135" spans="1:23" x14ac:dyDescent="0.3">
      <c r="A135">
        <v>6.7634208999999998</v>
      </c>
      <c r="B135">
        <v>0.44835999999999998</v>
      </c>
      <c r="C135">
        <f t="shared" si="25"/>
        <v>3.0324473947239996</v>
      </c>
      <c r="D135">
        <v>2.01E-2</v>
      </c>
      <c r="E135">
        <v>3.8158201924077539E-3</v>
      </c>
      <c r="F135">
        <f t="shared" si="26"/>
        <v>1352.68418</v>
      </c>
      <c r="G135">
        <f t="shared" si="27"/>
        <v>-0.44835999999999998</v>
      </c>
      <c r="H135">
        <f t="shared" si="28"/>
        <v>-606.48947894479988</v>
      </c>
      <c r="I135">
        <v>1</v>
      </c>
      <c r="J135">
        <f t="shared" si="29"/>
        <v>0.30209089991636062</v>
      </c>
      <c r="K135">
        <f t="shared" si="30"/>
        <v>-0.731550572976012</v>
      </c>
      <c r="L135">
        <v>1</v>
      </c>
      <c r="M135">
        <f t="shared" si="31"/>
        <v>0.50385760870649554</v>
      </c>
      <c r="N135">
        <f t="shared" ref="N135:N144" si="35">D135*A135</f>
        <v>0.13594476009000001</v>
      </c>
      <c r="O135">
        <f t="shared" si="33"/>
        <v>2.5807998039972625E-2</v>
      </c>
      <c r="P135">
        <f t="shared" si="34"/>
        <v>6.5940206139543836E-2</v>
      </c>
      <c r="V135">
        <v>7.1</v>
      </c>
      <c r="W135">
        <f t="shared" si="32"/>
        <v>-0.78869</v>
      </c>
    </row>
    <row r="136" spans="1:23" x14ac:dyDescent="0.3">
      <c r="A136">
        <v>6.8199399000000005</v>
      </c>
      <c r="B136">
        <v>0.44618000000000002</v>
      </c>
      <c r="C136">
        <f t="shared" si="25"/>
        <v>3.0429207845820003</v>
      </c>
      <c r="D136">
        <v>2.01E-2</v>
      </c>
      <c r="E136">
        <v>3.8158201924077539E-3</v>
      </c>
      <c r="F136">
        <f t="shared" si="26"/>
        <v>1363.9879800000001</v>
      </c>
      <c r="G136">
        <f t="shared" si="27"/>
        <v>-0.44618000000000002</v>
      </c>
      <c r="H136">
        <f t="shared" si="28"/>
        <v>-608.58415691640005</v>
      </c>
      <c r="I136">
        <v>1</v>
      </c>
      <c r="J136">
        <f t="shared" si="29"/>
        <v>0.31041274706572619</v>
      </c>
      <c r="K136">
        <f t="shared" si="30"/>
        <v>-0.73373057297601196</v>
      </c>
      <c r="L136">
        <v>1</v>
      </c>
      <c r="M136">
        <f t="shared" si="31"/>
        <v>0.50420629410205398</v>
      </c>
      <c r="N136">
        <f t="shared" si="35"/>
        <v>0.13708079199000001</v>
      </c>
      <c r="O136">
        <f t="shared" si="33"/>
        <v>2.6023664381427319E-2</v>
      </c>
      <c r="P136">
        <f t="shared" si="34"/>
        <v>6.6419822502530659E-2</v>
      </c>
      <c r="V136">
        <v>7.2</v>
      </c>
      <c r="W136">
        <f t="shared" si="32"/>
        <v>-0.79288000000000003</v>
      </c>
    </row>
    <row r="137" spans="1:23" x14ac:dyDescent="0.3">
      <c r="A137">
        <v>6.8718769999999996</v>
      </c>
      <c r="B137">
        <v>0.44363000000000002</v>
      </c>
      <c r="C137">
        <f t="shared" si="25"/>
        <v>3.0485707935100002</v>
      </c>
      <c r="D137">
        <v>2.01E-2</v>
      </c>
      <c r="E137">
        <v>3.8158201924077539E-3</v>
      </c>
      <c r="F137">
        <f t="shared" si="26"/>
        <v>1374.3753999999999</v>
      </c>
      <c r="G137">
        <f t="shared" si="27"/>
        <v>-0.44363000000000002</v>
      </c>
      <c r="H137">
        <f t="shared" si="28"/>
        <v>-609.71415870200008</v>
      </c>
      <c r="I137">
        <v>1</v>
      </c>
      <c r="J137">
        <f t="shared" si="29"/>
        <v>0.31799937336822859</v>
      </c>
      <c r="K137">
        <f t="shared" si="30"/>
        <v>-0.73628057297601202</v>
      </c>
      <c r="L137">
        <v>1</v>
      </c>
      <c r="M137">
        <f t="shared" si="31"/>
        <v>0.50452417374412883</v>
      </c>
      <c r="N137">
        <f t="shared" si="35"/>
        <v>0.13812472769999998</v>
      </c>
      <c r="O137">
        <f t="shared" si="33"/>
        <v>2.6221847016342417E-2</v>
      </c>
      <c r="P137">
        <f t="shared" si="34"/>
        <v>6.7409824515540784E-2</v>
      </c>
      <c r="V137">
        <v>7.3</v>
      </c>
      <c r="W137">
        <f t="shared" si="32"/>
        <v>-0.79706999999999995</v>
      </c>
    </row>
    <row r="138" spans="1:23" x14ac:dyDescent="0.3">
      <c r="A138">
        <v>6.9233051999999997</v>
      </c>
      <c r="B138">
        <v>0.44113000000000002</v>
      </c>
      <c r="C138">
        <f t="shared" si="25"/>
        <v>3.054077622876</v>
      </c>
      <c r="D138">
        <v>2.01E-2</v>
      </c>
      <c r="E138">
        <v>3.8158201924077539E-3</v>
      </c>
      <c r="F138">
        <f t="shared" si="26"/>
        <v>1384.66104</v>
      </c>
      <c r="G138">
        <f t="shared" si="27"/>
        <v>-0.44113000000000002</v>
      </c>
      <c r="H138">
        <f t="shared" si="28"/>
        <v>-610.81552457520002</v>
      </c>
      <c r="I138">
        <v>1</v>
      </c>
      <c r="J138">
        <f t="shared" si="29"/>
        <v>0.32545537322435281</v>
      </c>
      <c r="K138">
        <f t="shared" si="30"/>
        <v>-0.73878057297601196</v>
      </c>
      <c r="L138">
        <v>1</v>
      </c>
      <c r="M138">
        <f t="shared" si="31"/>
        <v>0.5048365801381004</v>
      </c>
      <c r="N138">
        <f t="shared" si="35"/>
        <v>0.13915843451999999</v>
      </c>
      <c r="O138">
        <f t="shared" si="33"/>
        <v>2.6418087780361602E-2</v>
      </c>
      <c r="P138">
        <f t="shared" si="34"/>
        <v>6.8367470537549976E-2</v>
      </c>
      <c r="V138">
        <v>7.4</v>
      </c>
      <c r="W138">
        <f t="shared" si="32"/>
        <v>-0.80126000000000008</v>
      </c>
    </row>
    <row r="139" spans="1:23" x14ac:dyDescent="0.3">
      <c r="A139">
        <v>6.9737138999999999</v>
      </c>
      <c r="B139">
        <v>0.43902999999999998</v>
      </c>
      <c r="C139">
        <f t="shared" si="25"/>
        <v>3.0616696135169996</v>
      </c>
      <c r="D139">
        <v>2.01E-2</v>
      </c>
      <c r="E139">
        <v>3.8158201924077539E-3</v>
      </c>
      <c r="F139">
        <f t="shared" si="26"/>
        <v>1394.74278</v>
      </c>
      <c r="G139">
        <f t="shared" si="27"/>
        <v>-0.43902999999999998</v>
      </c>
      <c r="H139">
        <f t="shared" si="28"/>
        <v>-612.33392270339994</v>
      </c>
      <c r="I139">
        <v>1</v>
      </c>
      <c r="J139">
        <f t="shared" si="29"/>
        <v>0.33271001117516413</v>
      </c>
      <c r="K139">
        <f t="shared" si="30"/>
        <v>-0.74088057297601195</v>
      </c>
      <c r="L139">
        <v>1</v>
      </c>
      <c r="M139">
        <f t="shared" si="31"/>
        <v>0.50514054946823939</v>
      </c>
      <c r="N139">
        <f t="shared" si="35"/>
        <v>0.14017164938999999</v>
      </c>
      <c r="O139">
        <f t="shared" si="33"/>
        <v>2.6610438315694627E-2</v>
      </c>
      <c r="P139">
        <f t="shared" si="34"/>
        <v>6.8957935802077958E-2</v>
      </c>
      <c r="V139">
        <v>7.5</v>
      </c>
      <c r="W139">
        <f t="shared" si="32"/>
        <v>-0.80545</v>
      </c>
    </row>
    <row r="140" spans="1:23" x14ac:dyDescent="0.3">
      <c r="A140">
        <v>7.0261591999999995</v>
      </c>
      <c r="B140">
        <v>0.43676999999999999</v>
      </c>
      <c r="C140">
        <f t="shared" si="25"/>
        <v>3.0688155537839998</v>
      </c>
      <c r="D140">
        <v>2.01E-2</v>
      </c>
      <c r="E140">
        <v>3.8158201924077539E-3</v>
      </c>
      <c r="F140">
        <f t="shared" si="26"/>
        <v>1405.2318399999999</v>
      </c>
      <c r="G140">
        <f t="shared" si="27"/>
        <v>-0.43676999999999999</v>
      </c>
      <c r="H140">
        <f t="shared" si="28"/>
        <v>-613.76311075679996</v>
      </c>
      <c r="I140">
        <v>1</v>
      </c>
      <c r="J140">
        <f t="shared" si="29"/>
        <v>0.34020229984910144</v>
      </c>
      <c r="K140">
        <f t="shared" si="30"/>
        <v>-0.74314057297601199</v>
      </c>
      <c r="L140">
        <v>1</v>
      </c>
      <c r="M140">
        <f t="shared" si="31"/>
        <v>0.50545447636367735</v>
      </c>
      <c r="N140">
        <f t="shared" si="35"/>
        <v>0.14122579991999998</v>
      </c>
      <c r="O140">
        <f t="shared" si="33"/>
        <v>2.6810560150431508E-2</v>
      </c>
      <c r="P140">
        <f t="shared" si="34"/>
        <v>6.9649736541903151E-2</v>
      </c>
    </row>
    <row r="141" spans="1:23" x14ac:dyDescent="0.3">
      <c r="A141">
        <v>7.0791146999999999</v>
      </c>
      <c r="B141">
        <v>0.43415999999999999</v>
      </c>
      <c r="C141">
        <f t="shared" si="25"/>
        <v>3.0734684381519997</v>
      </c>
      <c r="D141">
        <v>2.01E-2</v>
      </c>
      <c r="E141">
        <v>3.8158201924077539E-3</v>
      </c>
      <c r="F141">
        <f t="shared" si="26"/>
        <v>1415.82294</v>
      </c>
      <c r="G141">
        <f t="shared" si="27"/>
        <v>-0.43415999999999999</v>
      </c>
      <c r="H141">
        <f t="shared" si="28"/>
        <v>-614.69368763039995</v>
      </c>
      <c r="I141">
        <v>1</v>
      </c>
      <c r="J141">
        <f t="shared" si="29"/>
        <v>0.3477109450801974</v>
      </c>
      <c r="K141">
        <f t="shared" si="30"/>
        <v>-0.74575057297601199</v>
      </c>
      <c r="L141">
        <v>1</v>
      </c>
      <c r="M141">
        <f t="shared" si="31"/>
        <v>0.50576908859886027</v>
      </c>
      <c r="N141">
        <f t="shared" si="35"/>
        <v>0.14229020546999999</v>
      </c>
      <c r="O141">
        <f t="shared" si="33"/>
        <v>2.7012628816630559E-2</v>
      </c>
      <c r="P141">
        <f t="shared" si="34"/>
        <v>7.0678650090521183E-2</v>
      </c>
    </row>
    <row r="142" spans="1:23" x14ac:dyDescent="0.3">
      <c r="A142">
        <v>7.1325791000000001</v>
      </c>
      <c r="B142">
        <v>0.43190000000000001</v>
      </c>
      <c r="C142">
        <f t="shared" si="25"/>
        <v>3.0805609132900003</v>
      </c>
      <c r="D142">
        <v>2.01E-2</v>
      </c>
      <c r="E142">
        <v>3.8158201924077539E-3</v>
      </c>
      <c r="F142">
        <f t="shared" si="26"/>
        <v>1426.5158200000001</v>
      </c>
      <c r="G142">
        <f t="shared" si="27"/>
        <v>-0.43190000000000001</v>
      </c>
      <c r="H142">
        <f t="shared" si="28"/>
        <v>-616.11218265800005</v>
      </c>
      <c r="I142">
        <v>1</v>
      </c>
      <c r="J142">
        <f t="shared" si="29"/>
        <v>0.35523498169054013</v>
      </c>
      <c r="K142">
        <f t="shared" si="30"/>
        <v>-0.74801057297601203</v>
      </c>
      <c r="L142">
        <v>1</v>
      </c>
      <c r="M142">
        <f t="shared" si="31"/>
        <v>0.50608434573283367</v>
      </c>
      <c r="N142">
        <f t="shared" si="35"/>
        <v>0.14336483991000001</v>
      </c>
      <c r="O142">
        <f t="shared" si="33"/>
        <v>2.7216639353725525E-2</v>
      </c>
      <c r="P142">
        <f t="shared" si="34"/>
        <v>7.1344747979452824E-2</v>
      </c>
    </row>
    <row r="143" spans="1:23" x14ac:dyDescent="0.3">
      <c r="A143">
        <v>7.1870614999999995</v>
      </c>
      <c r="B143">
        <v>0.42957000000000001</v>
      </c>
      <c r="C143">
        <f t="shared" si="25"/>
        <v>3.087346008555</v>
      </c>
      <c r="D143">
        <v>2.01E-2</v>
      </c>
      <c r="E143">
        <v>3.8158201924077539E-3</v>
      </c>
      <c r="F143">
        <f t="shared" si="26"/>
        <v>1437.4123</v>
      </c>
      <c r="G143">
        <f t="shared" si="27"/>
        <v>-0.42957000000000001</v>
      </c>
      <c r="H143">
        <f t="shared" si="28"/>
        <v>-617.46920171099998</v>
      </c>
      <c r="I143">
        <v>1</v>
      </c>
      <c r="J143">
        <f t="shared" si="29"/>
        <v>0.36284448313261003</v>
      </c>
      <c r="K143">
        <f t="shared" si="30"/>
        <v>-0.75034057297601198</v>
      </c>
      <c r="L143">
        <v>1</v>
      </c>
      <c r="M143">
        <f t="shared" si="31"/>
        <v>0.50640318384325633</v>
      </c>
      <c r="N143">
        <f t="shared" si="35"/>
        <v>0.14445993615</v>
      </c>
      <c r="O143">
        <f t="shared" si="33"/>
        <v>2.742453439577636E-2</v>
      </c>
      <c r="P143">
        <f t="shared" si="34"/>
        <v>7.2052918586979292E-2</v>
      </c>
    </row>
    <row r="144" spans="1:23" x14ac:dyDescent="0.3">
      <c r="A144">
        <v>7.2395078000000002</v>
      </c>
      <c r="B144">
        <v>0.42713000000000001</v>
      </c>
      <c r="C144">
        <f t="shared" si="25"/>
        <v>3.0922109666140001</v>
      </c>
      <c r="D144">
        <v>2.01E-2</v>
      </c>
      <c r="E144">
        <v>3.8158201924077539E-3</v>
      </c>
      <c r="F144">
        <f t="shared" si="26"/>
        <v>1447.90156</v>
      </c>
      <c r="G144">
        <f t="shared" si="27"/>
        <v>-0.42713000000000001</v>
      </c>
      <c r="H144">
        <f t="shared" si="28"/>
        <v>-618.44219332279999</v>
      </c>
      <c r="I144">
        <v>1</v>
      </c>
      <c r="J144">
        <f t="shared" si="29"/>
        <v>0.37011530822713246</v>
      </c>
      <c r="K144">
        <f t="shared" si="30"/>
        <v>-0.75278057297601197</v>
      </c>
      <c r="L144">
        <v>1</v>
      </c>
      <c r="M144">
        <f t="shared" si="31"/>
        <v>0.50670783141471687</v>
      </c>
      <c r="N144">
        <f t="shared" si="35"/>
        <v>0.14551410678000001</v>
      </c>
      <c r="O144">
        <f t="shared" si="33"/>
        <v>2.7624660046333436E-2</v>
      </c>
      <c r="P144">
        <f t="shared" si="34"/>
        <v>7.293397473496166E-2</v>
      </c>
    </row>
    <row r="145" spans="1:16" x14ac:dyDescent="0.3">
      <c r="A145">
        <v>7.2909346000000008</v>
      </c>
      <c r="B145">
        <v>0.42492999999999997</v>
      </c>
      <c r="C145">
        <f t="shared" si="25"/>
        <v>3.0981368395780002</v>
      </c>
      <c r="D145">
        <v>2.01E-2</v>
      </c>
      <c r="E145">
        <v>3.8158201924077539E-3</v>
      </c>
      <c r="F145">
        <f t="shared" si="26"/>
        <v>1458.1869200000001</v>
      </c>
      <c r="G145">
        <f t="shared" ref="G145:G187" si="36">-B145</f>
        <v>-0.42492999999999997</v>
      </c>
      <c r="H145">
        <f t="shared" si="28"/>
        <v>-619.62736791560008</v>
      </c>
      <c r="I145">
        <v>1</v>
      </c>
      <c r="J145">
        <f t="shared" si="29"/>
        <v>0.37719382838699461</v>
      </c>
      <c r="K145">
        <f t="shared" si="30"/>
        <v>-0.75498057297601195</v>
      </c>
      <c r="L145">
        <v>1</v>
      </c>
      <c r="M145">
        <f t="shared" si="31"/>
        <v>0.50700442140941515</v>
      </c>
      <c r="N145">
        <f t="shared" ref="N145:N187" si="37">D145*A145</f>
        <v>0.14654778546000002</v>
      </c>
      <c r="O145">
        <f t="shared" ref="O145:O187" si="38">E145*A145</f>
        <v>2.7820895468204352E-2</v>
      </c>
      <c r="P145">
        <f t="shared" ref="P145:P187" si="39">-K145-M145-N145-O145</f>
        <v>7.360747063839243E-2</v>
      </c>
    </row>
    <row r="146" spans="1:16" x14ac:dyDescent="0.3">
      <c r="A146">
        <v>7.3418535</v>
      </c>
      <c r="B146">
        <v>0.42253000000000002</v>
      </c>
      <c r="C146">
        <f t="shared" si="25"/>
        <v>3.1021533593549999</v>
      </c>
      <c r="D146">
        <v>2.01E-2</v>
      </c>
      <c r="E146">
        <v>3.8158201924077539E-3</v>
      </c>
      <c r="F146">
        <f t="shared" si="26"/>
        <v>1468.3706999999999</v>
      </c>
      <c r="G146">
        <f t="shared" si="36"/>
        <v>-0.42253000000000002</v>
      </c>
      <c r="H146">
        <f t="shared" si="28"/>
        <v>-620.43067187099996</v>
      </c>
      <c r="I146">
        <v>1</v>
      </c>
      <c r="J146">
        <f t="shared" si="29"/>
        <v>0.38415341875037223</v>
      </c>
      <c r="K146">
        <f t="shared" si="30"/>
        <v>-0.75738057297601191</v>
      </c>
      <c r="L146">
        <v>1</v>
      </c>
      <c r="M146">
        <f t="shared" si="31"/>
        <v>0.50729602824564057</v>
      </c>
      <c r="N146">
        <f t="shared" si="37"/>
        <v>0.14757125534999999</v>
      </c>
      <c r="O146">
        <f t="shared" si="38"/>
        <v>2.8015192834999543E-2</v>
      </c>
      <c r="P146">
        <f t="shared" si="39"/>
        <v>7.4498096545371817E-2</v>
      </c>
    </row>
    <row r="147" spans="1:16" x14ac:dyDescent="0.3">
      <c r="A147">
        <v>7.3953179000000002</v>
      </c>
      <c r="B147">
        <v>0.42037000000000002</v>
      </c>
      <c r="C147">
        <f t="shared" si="25"/>
        <v>3.1087697856230001</v>
      </c>
      <c r="D147">
        <v>2.01E-2</v>
      </c>
      <c r="E147">
        <v>3.8158201924077539E-3</v>
      </c>
      <c r="F147">
        <f t="shared" si="26"/>
        <v>1479.06358</v>
      </c>
      <c r="G147">
        <f t="shared" si="36"/>
        <v>-0.42037000000000002</v>
      </c>
      <c r="H147">
        <f t="shared" si="28"/>
        <v>-621.75395712459999</v>
      </c>
      <c r="I147">
        <v>1</v>
      </c>
      <c r="J147">
        <f t="shared" si="29"/>
        <v>0.39140917131043057</v>
      </c>
      <c r="K147">
        <f t="shared" si="30"/>
        <v>-0.75954057297601196</v>
      </c>
      <c r="L147">
        <v>1</v>
      </c>
      <c r="M147">
        <f t="shared" si="31"/>
        <v>0.50760004427790706</v>
      </c>
      <c r="N147">
        <f t="shared" si="37"/>
        <v>0.14864588979000001</v>
      </c>
      <c r="O147">
        <f t="shared" si="38"/>
        <v>2.8219203372094506E-2</v>
      </c>
      <c r="P147">
        <f t="shared" si="39"/>
        <v>7.5075435536010385E-2</v>
      </c>
    </row>
    <row r="148" spans="1:16" x14ac:dyDescent="0.3">
      <c r="A148">
        <v>7.4457266000000004</v>
      </c>
      <c r="B148">
        <v>0.41797000000000001</v>
      </c>
      <c r="C148">
        <f t="shared" si="25"/>
        <v>3.1120903470020003</v>
      </c>
      <c r="D148">
        <v>2.01E-2</v>
      </c>
      <c r="E148">
        <v>3.8158201924077539E-3</v>
      </c>
      <c r="F148">
        <f t="shared" si="26"/>
        <v>1489.1453200000001</v>
      </c>
      <c r="G148">
        <f t="shared" si="36"/>
        <v>-0.41797000000000001</v>
      </c>
      <c r="H148">
        <f t="shared" si="28"/>
        <v>-622.4180694004001</v>
      </c>
      <c r="I148">
        <v>1</v>
      </c>
      <c r="J148">
        <f t="shared" si="29"/>
        <v>0.39820234464153459</v>
      </c>
      <c r="K148">
        <f t="shared" si="30"/>
        <v>-0.76194057297601203</v>
      </c>
      <c r="L148">
        <v>1</v>
      </c>
      <c r="M148">
        <f t="shared" si="31"/>
        <v>0.50788467824048034</v>
      </c>
      <c r="N148">
        <f t="shared" si="37"/>
        <v>0.14965910466000001</v>
      </c>
      <c r="O148">
        <f t="shared" si="38"/>
        <v>2.8411553907427532E-2</v>
      </c>
      <c r="P148">
        <f t="shared" si="39"/>
        <v>7.5985236168104153E-2</v>
      </c>
    </row>
    <row r="149" spans="1:16" x14ac:dyDescent="0.3">
      <c r="A149">
        <v>7.5002094999999995</v>
      </c>
      <c r="B149">
        <v>0.41571000000000002</v>
      </c>
      <c r="C149">
        <f t="shared" si="25"/>
        <v>3.117912091245</v>
      </c>
      <c r="D149">
        <v>2.01E-2</v>
      </c>
      <c r="E149">
        <v>3.8158201924077539E-3</v>
      </c>
      <c r="F149">
        <f t="shared" si="26"/>
        <v>1500.0418999999999</v>
      </c>
      <c r="G149">
        <f t="shared" si="36"/>
        <v>-0.41571000000000002</v>
      </c>
      <c r="H149">
        <f t="shared" si="28"/>
        <v>-623.58241824900006</v>
      </c>
      <c r="I149">
        <v>1</v>
      </c>
      <c r="J149">
        <f t="shared" si="29"/>
        <v>0.40549304105136946</v>
      </c>
      <c r="K149">
        <f t="shared" si="30"/>
        <v>-0.76420057297601196</v>
      </c>
      <c r="L149">
        <v>1</v>
      </c>
      <c r="M149">
        <f t="shared" si="31"/>
        <v>0.50819015842005244</v>
      </c>
      <c r="N149">
        <f t="shared" si="37"/>
        <v>0.15075421094999999</v>
      </c>
      <c r="O149">
        <f t="shared" si="38"/>
        <v>2.8619450857388463E-2</v>
      </c>
      <c r="P149">
        <f t="shared" si="39"/>
        <v>7.6636752748571069E-2</v>
      </c>
    </row>
    <row r="150" spans="1:16" x14ac:dyDescent="0.3">
      <c r="A150">
        <v>7.5516362000000008</v>
      </c>
      <c r="B150">
        <v>0.41314000000000001</v>
      </c>
      <c r="C150">
        <f t="shared" si="25"/>
        <v>3.1198829796680005</v>
      </c>
      <c r="D150">
        <v>2.01E-2</v>
      </c>
      <c r="E150">
        <v>3.8158201924077539E-3</v>
      </c>
      <c r="F150">
        <f t="shared" si="26"/>
        <v>1510.3272400000001</v>
      </c>
      <c r="G150">
        <f t="shared" si="36"/>
        <v>-0.41314000000000001</v>
      </c>
      <c r="H150">
        <f t="shared" si="28"/>
        <v>-623.97659593360015</v>
      </c>
      <c r="I150">
        <v>1</v>
      </c>
      <c r="J150">
        <f t="shared" si="29"/>
        <v>0.41232634257926742</v>
      </c>
      <c r="K150">
        <f t="shared" si="30"/>
        <v>-0.76677057297601192</v>
      </c>
      <c r="L150">
        <v>1</v>
      </c>
      <c r="M150">
        <f t="shared" si="31"/>
        <v>0.50847647375407135</v>
      </c>
      <c r="N150">
        <f t="shared" si="37"/>
        <v>0.15178788762000001</v>
      </c>
      <c r="O150">
        <f t="shared" si="38"/>
        <v>2.8815685897677364E-2</v>
      </c>
      <c r="P150">
        <f t="shared" si="39"/>
        <v>7.7690525704263214E-2</v>
      </c>
    </row>
    <row r="151" spans="1:16" x14ac:dyDescent="0.3">
      <c r="A151">
        <v>7.6030645000000003</v>
      </c>
      <c r="B151">
        <v>0.41077000000000002</v>
      </c>
      <c r="C151">
        <f t="shared" si="25"/>
        <v>3.1231108046650005</v>
      </c>
      <c r="D151">
        <v>2.01E-2</v>
      </c>
      <c r="E151">
        <v>3.8158201924077539E-3</v>
      </c>
      <c r="F151">
        <f t="shared" si="26"/>
        <v>1520.6129000000001</v>
      </c>
      <c r="G151">
        <f t="shared" si="36"/>
        <v>-0.41077000000000002</v>
      </c>
      <c r="H151">
        <f t="shared" si="28"/>
        <v>-624.62216093300015</v>
      </c>
      <c r="I151">
        <v>1</v>
      </c>
      <c r="J151">
        <f t="shared" si="29"/>
        <v>0.4191134772695726</v>
      </c>
      <c r="K151">
        <f t="shared" si="30"/>
        <v>-0.7691405729760119</v>
      </c>
      <c r="L151">
        <v>1</v>
      </c>
      <c r="M151">
        <f t="shared" si="31"/>
        <v>0.50876085469759513</v>
      </c>
      <c r="N151">
        <f t="shared" si="37"/>
        <v>0.15282159645000001</v>
      </c>
      <c r="O151">
        <f t="shared" si="38"/>
        <v>2.9011927043278565E-2</v>
      </c>
      <c r="P151">
        <f t="shared" si="39"/>
        <v>7.854619478513819E-2</v>
      </c>
    </row>
    <row r="152" spans="1:16" x14ac:dyDescent="0.3">
      <c r="A152">
        <v>7.6570375999999998</v>
      </c>
      <c r="B152">
        <v>0.40849999999999997</v>
      </c>
      <c r="C152">
        <f t="shared" si="25"/>
        <v>3.1278998595999998</v>
      </c>
      <c r="D152">
        <v>2.01E-2</v>
      </c>
      <c r="E152">
        <v>3.8158201924077539E-3</v>
      </c>
      <c r="F152">
        <f t="shared" si="26"/>
        <v>1531.40752</v>
      </c>
      <c r="G152">
        <f t="shared" si="36"/>
        <v>-0.40849999999999997</v>
      </c>
      <c r="H152">
        <f t="shared" si="28"/>
        <v>-625.57997191999993</v>
      </c>
      <c r="I152">
        <v>1</v>
      </c>
      <c r="J152">
        <f t="shared" si="29"/>
        <v>0.42618726022420506</v>
      </c>
      <c r="K152">
        <f t="shared" si="30"/>
        <v>-0.77141057297601201</v>
      </c>
      <c r="L152">
        <v>1</v>
      </c>
      <c r="M152">
        <f t="shared" si="31"/>
        <v>0.50905724620339421</v>
      </c>
      <c r="N152">
        <f t="shared" si="37"/>
        <v>0.15390645576</v>
      </c>
      <c r="O152">
        <f t="shared" si="38"/>
        <v>2.9217878688105405E-2</v>
      </c>
      <c r="P152">
        <f t="shared" si="39"/>
        <v>7.9228992324512387E-2</v>
      </c>
    </row>
    <row r="153" spans="1:16" x14ac:dyDescent="0.3">
      <c r="A153">
        <v>7.7120293000000002</v>
      </c>
      <c r="B153">
        <v>0.40612999999999999</v>
      </c>
      <c r="C153">
        <f t="shared" si="25"/>
        <v>3.1320864596089999</v>
      </c>
      <c r="D153">
        <v>2.01E-2</v>
      </c>
      <c r="E153">
        <v>3.8158201924077539E-3</v>
      </c>
      <c r="F153">
        <f t="shared" si="26"/>
        <v>1542.4058600000001</v>
      </c>
      <c r="G153">
        <f t="shared" si="36"/>
        <v>-0.40612999999999999</v>
      </c>
      <c r="H153">
        <f t="shared" si="28"/>
        <v>-626.41729192180003</v>
      </c>
      <c r="I153">
        <v>1</v>
      </c>
      <c r="J153">
        <f t="shared" si="29"/>
        <v>0.43334344414078591</v>
      </c>
      <c r="K153">
        <f t="shared" si="30"/>
        <v>-0.77378057297601199</v>
      </c>
      <c r="L153">
        <v>1</v>
      </c>
      <c r="M153">
        <f t="shared" si="31"/>
        <v>0.50935709030949894</v>
      </c>
      <c r="N153">
        <f t="shared" si="37"/>
        <v>0.15501178893000001</v>
      </c>
      <c r="O153">
        <f t="shared" si="38"/>
        <v>2.9427717127380237E-2</v>
      </c>
      <c r="P153">
        <f t="shared" si="39"/>
        <v>7.9983976609132812E-2</v>
      </c>
    </row>
    <row r="154" spans="1:16" x14ac:dyDescent="0.3">
      <c r="A154">
        <v>7.7685483</v>
      </c>
      <c r="B154">
        <v>0.40342</v>
      </c>
      <c r="C154">
        <f t="shared" si="25"/>
        <v>3.1339877551859998</v>
      </c>
      <c r="D154">
        <v>2.01E-2</v>
      </c>
      <c r="E154">
        <v>3.8158201924077539E-3</v>
      </c>
      <c r="F154">
        <f t="shared" si="26"/>
        <v>1553.70966</v>
      </c>
      <c r="G154">
        <f t="shared" si="36"/>
        <v>-0.40342</v>
      </c>
      <c r="H154">
        <f t="shared" si="28"/>
        <v>-626.79755103719992</v>
      </c>
      <c r="I154">
        <v>1</v>
      </c>
      <c r="J154">
        <f t="shared" si="29"/>
        <v>0.44064540051298001</v>
      </c>
      <c r="K154">
        <f t="shared" si="30"/>
        <v>-0.77649057297601198</v>
      </c>
      <c r="L154">
        <v>1</v>
      </c>
      <c r="M154">
        <f t="shared" si="31"/>
        <v>0.50966304228149384</v>
      </c>
      <c r="N154">
        <f t="shared" si="37"/>
        <v>0.15614782083000001</v>
      </c>
      <c r="O154">
        <f t="shared" si="38"/>
        <v>2.9643383468834928E-2</v>
      </c>
      <c r="P154">
        <f t="shared" si="39"/>
        <v>8.1036326395683214E-2</v>
      </c>
    </row>
    <row r="155" spans="1:16" x14ac:dyDescent="0.3">
      <c r="A155">
        <v>7.8194667999999998</v>
      </c>
      <c r="B155">
        <v>0.40111000000000002</v>
      </c>
      <c r="C155">
        <f t="shared" si="25"/>
        <v>3.1364663281480003</v>
      </c>
      <c r="D155">
        <v>2.01E-2</v>
      </c>
      <c r="E155">
        <v>3.8158201924077539E-3</v>
      </c>
      <c r="F155">
        <f t="shared" si="26"/>
        <v>1563.89336</v>
      </c>
      <c r="G155">
        <f t="shared" si="36"/>
        <v>-0.40111000000000002</v>
      </c>
      <c r="H155">
        <f t="shared" si="28"/>
        <v>-627.29326562960011</v>
      </c>
      <c r="I155">
        <v>1</v>
      </c>
      <c r="J155">
        <f t="shared" si="29"/>
        <v>0.44717845565525249</v>
      </c>
      <c r="K155">
        <f t="shared" si="30"/>
        <v>-0.77880057297601191</v>
      </c>
      <c r="L155">
        <v>1</v>
      </c>
      <c r="M155">
        <f t="shared" si="31"/>
        <v>0.50993677729195508</v>
      </c>
      <c r="N155">
        <f t="shared" si="37"/>
        <v>0.15717128268</v>
      </c>
      <c r="O155">
        <f t="shared" si="38"/>
        <v>2.9837679309302045E-2</v>
      </c>
      <c r="P155">
        <f t="shared" si="39"/>
        <v>8.1854833694754783E-2</v>
      </c>
    </row>
    <row r="156" spans="1:16" x14ac:dyDescent="0.3">
      <c r="A156">
        <v>7.8714038000000004</v>
      </c>
      <c r="B156">
        <v>0.39867999999999998</v>
      </c>
      <c r="C156">
        <f t="shared" si="25"/>
        <v>3.1381712669840001</v>
      </c>
      <c r="D156">
        <v>2.01E-2</v>
      </c>
      <c r="E156">
        <v>3.8158201924077539E-3</v>
      </c>
      <c r="F156">
        <f t="shared" si="26"/>
        <v>1574.2807600000001</v>
      </c>
      <c r="G156">
        <f t="shared" si="36"/>
        <v>-0.39867999999999998</v>
      </c>
      <c r="H156">
        <f t="shared" si="28"/>
        <v>-627.63425339679998</v>
      </c>
      <c r="I156">
        <v>1</v>
      </c>
      <c r="J156">
        <f t="shared" si="29"/>
        <v>0.45379850765905877</v>
      </c>
      <c r="K156">
        <f t="shared" si="30"/>
        <v>-0.78123057297601206</v>
      </c>
      <c r="L156">
        <v>1</v>
      </c>
      <c r="M156">
        <f t="shared" si="31"/>
        <v>0.51021415747091459</v>
      </c>
      <c r="N156">
        <f t="shared" si="37"/>
        <v>0.15821521638</v>
      </c>
      <c r="O156">
        <f t="shared" si="38"/>
        <v>3.0035861562635126E-2</v>
      </c>
      <c r="P156">
        <f t="shared" si="39"/>
        <v>8.2765337562462349E-2</v>
      </c>
    </row>
    <row r="157" spans="1:16" x14ac:dyDescent="0.3">
      <c r="A157">
        <v>7.9218129999999993</v>
      </c>
      <c r="B157">
        <v>0.39651999999999998</v>
      </c>
      <c r="C157">
        <f t="shared" si="25"/>
        <v>3.1411572907599994</v>
      </c>
      <c r="D157">
        <v>2.01E-2</v>
      </c>
      <c r="E157">
        <v>3.8158201924077539E-3</v>
      </c>
      <c r="F157">
        <f t="shared" si="26"/>
        <v>1584.3625999999999</v>
      </c>
      <c r="G157">
        <f t="shared" si="36"/>
        <v>-0.39651999999999998</v>
      </c>
      <c r="H157">
        <f t="shared" si="28"/>
        <v>-628.23145815199985</v>
      </c>
      <c r="I157">
        <v>1</v>
      </c>
      <c r="J157">
        <f t="shared" si="29"/>
        <v>0.46018218133680394</v>
      </c>
      <c r="K157">
        <f t="shared" si="30"/>
        <v>-0.783390572976012</v>
      </c>
      <c r="L157">
        <v>1</v>
      </c>
      <c r="M157">
        <f t="shared" si="31"/>
        <v>0.51048163339801211</v>
      </c>
      <c r="N157">
        <f t="shared" si="37"/>
        <v>0.1592284413</v>
      </c>
      <c r="O157">
        <f t="shared" si="38"/>
        <v>3.0228214005878246E-2</v>
      </c>
      <c r="P157">
        <f t="shared" si="39"/>
        <v>8.3452284272121646E-2</v>
      </c>
    </row>
    <row r="158" spans="1:16" x14ac:dyDescent="0.3">
      <c r="A158">
        <v>7.9757866000000002</v>
      </c>
      <c r="B158">
        <v>0.39416000000000001</v>
      </c>
      <c r="C158">
        <f t="shared" si="25"/>
        <v>3.143736046256</v>
      </c>
      <c r="D158">
        <v>2.01E-2</v>
      </c>
      <c r="E158">
        <v>3.8158201924077539E-3</v>
      </c>
      <c r="F158">
        <f t="shared" si="26"/>
        <v>1595.15732</v>
      </c>
      <c r="G158">
        <f t="shared" si="36"/>
        <v>-0.39416000000000001</v>
      </c>
      <c r="H158">
        <f t="shared" si="28"/>
        <v>-628.74720925120005</v>
      </c>
      <c r="I158">
        <v>1</v>
      </c>
      <c r="J158">
        <f t="shared" si="29"/>
        <v>0.46697236460171093</v>
      </c>
      <c r="K158">
        <f t="shared" si="30"/>
        <v>-0.78575057297601192</v>
      </c>
      <c r="L158">
        <v>1</v>
      </c>
      <c r="M158">
        <f t="shared" si="31"/>
        <v>0.5107661420768117</v>
      </c>
      <c r="N158">
        <f t="shared" si="37"/>
        <v>0.16031331066000001</v>
      </c>
      <c r="O158">
        <f t="shared" si="38"/>
        <v>3.0434167558615187E-2</v>
      </c>
      <c r="P158">
        <f t="shared" si="39"/>
        <v>8.4236952680585009E-2</v>
      </c>
    </row>
    <row r="159" spans="1:16" x14ac:dyDescent="0.3">
      <c r="A159">
        <v>8.0261958</v>
      </c>
      <c r="B159">
        <v>0.39179000000000003</v>
      </c>
      <c r="C159">
        <f t="shared" si="25"/>
        <v>3.1445832524820001</v>
      </c>
      <c r="D159">
        <v>2.01E-2</v>
      </c>
      <c r="E159">
        <v>3.8158201924077539E-3</v>
      </c>
      <c r="F159">
        <f t="shared" si="26"/>
        <v>1605.2391600000001</v>
      </c>
      <c r="G159">
        <f t="shared" si="36"/>
        <v>-0.39179000000000003</v>
      </c>
      <c r="H159">
        <f t="shared" si="28"/>
        <v>-628.91665049640005</v>
      </c>
      <c r="I159">
        <v>1</v>
      </c>
      <c r="J159">
        <f t="shared" si="29"/>
        <v>0.47327275482698372</v>
      </c>
      <c r="K159">
        <f t="shared" si="30"/>
        <v>-0.7881205729760119</v>
      </c>
      <c r="L159">
        <v>1</v>
      </c>
      <c r="M159">
        <f t="shared" si="31"/>
        <v>0.5110301284272506</v>
      </c>
      <c r="N159">
        <f t="shared" si="37"/>
        <v>0.16132653557999999</v>
      </c>
      <c r="O159">
        <f t="shared" si="38"/>
        <v>3.0626520001858306E-2</v>
      </c>
      <c r="P159">
        <f t="shared" si="39"/>
        <v>8.513738896690301E-2</v>
      </c>
    </row>
    <row r="160" spans="1:16" x14ac:dyDescent="0.3">
      <c r="A160">
        <v>8.0766049999999989</v>
      </c>
      <c r="B160">
        <v>0.38956000000000002</v>
      </c>
      <c r="C160">
        <f t="shared" si="25"/>
        <v>3.1463222437999998</v>
      </c>
      <c r="D160">
        <v>2.01E-2</v>
      </c>
      <c r="E160">
        <v>3.8158201924077539E-3</v>
      </c>
      <c r="F160">
        <f t="shared" si="26"/>
        <v>1615.3209999999997</v>
      </c>
      <c r="G160">
        <f t="shared" si="36"/>
        <v>-0.38956000000000002</v>
      </c>
      <c r="H160">
        <f t="shared" si="28"/>
        <v>-629.26444875999994</v>
      </c>
      <c r="I160">
        <v>1</v>
      </c>
      <c r="J160">
        <f t="shared" si="29"/>
        <v>0.47953369853405509</v>
      </c>
      <c r="K160">
        <f t="shared" si="30"/>
        <v>-0.79035057297601197</v>
      </c>
      <c r="L160">
        <v>1</v>
      </c>
      <c r="M160">
        <f t="shared" si="31"/>
        <v>0.51129246196857692</v>
      </c>
      <c r="N160">
        <f t="shared" si="37"/>
        <v>0.16233976049999999</v>
      </c>
      <c r="O160">
        <f t="shared" si="38"/>
        <v>3.0818872445101425E-2</v>
      </c>
      <c r="P160">
        <f t="shared" si="39"/>
        <v>8.589947806233364E-2</v>
      </c>
    </row>
    <row r="161" spans="1:16" x14ac:dyDescent="0.3">
      <c r="A161">
        <v>8.1315966999999993</v>
      </c>
      <c r="B161">
        <v>0.38694000000000001</v>
      </c>
      <c r="C161">
        <f t="shared" si="25"/>
        <v>3.146440027098</v>
      </c>
      <c r="D161">
        <v>2.01E-2</v>
      </c>
      <c r="E161">
        <v>3.8158201924077539E-3</v>
      </c>
      <c r="F161">
        <f t="shared" si="26"/>
        <v>1626.3193399999998</v>
      </c>
      <c r="G161">
        <f t="shared" si="36"/>
        <v>-0.38694000000000001</v>
      </c>
      <c r="H161">
        <f t="shared" si="28"/>
        <v>-629.28800541960004</v>
      </c>
      <c r="I161">
        <v>1</v>
      </c>
      <c r="J161">
        <f t="shared" si="29"/>
        <v>0.48631938790639712</v>
      </c>
      <c r="K161">
        <f t="shared" si="30"/>
        <v>-0.79297057297601192</v>
      </c>
      <c r="L161">
        <v>1</v>
      </c>
      <c r="M161">
        <f t="shared" si="31"/>
        <v>0.51157678235327808</v>
      </c>
      <c r="N161">
        <f t="shared" si="37"/>
        <v>0.16344509366999999</v>
      </c>
      <c r="O161">
        <f t="shared" si="38"/>
        <v>3.1028710884376254E-2</v>
      </c>
      <c r="P161">
        <f t="shared" si="39"/>
        <v>8.6919986068357602E-2</v>
      </c>
    </row>
    <row r="162" spans="1:16" x14ac:dyDescent="0.3">
      <c r="A162">
        <v>8.1820063000000012</v>
      </c>
      <c r="B162">
        <v>0.38464999999999999</v>
      </c>
      <c r="C162">
        <f t="shared" si="25"/>
        <v>3.1472087232950003</v>
      </c>
      <c r="D162">
        <v>2.01E-2</v>
      </c>
      <c r="E162">
        <v>3.8158201924077539E-3</v>
      </c>
      <c r="F162">
        <f t="shared" si="26"/>
        <v>1636.4012600000003</v>
      </c>
      <c r="G162">
        <f t="shared" si="36"/>
        <v>-0.38464999999999999</v>
      </c>
      <c r="H162">
        <f t="shared" si="28"/>
        <v>-629.44174465900005</v>
      </c>
      <c r="I162">
        <v>1</v>
      </c>
      <c r="J162">
        <f t="shared" si="29"/>
        <v>0.49249947705569952</v>
      </c>
      <c r="K162">
        <f t="shared" si="30"/>
        <v>-0.79526057297601205</v>
      </c>
      <c r="L162">
        <v>1</v>
      </c>
      <c r="M162">
        <f t="shared" si="31"/>
        <v>0.51183572808863387</v>
      </c>
      <c r="N162">
        <f t="shared" si="37"/>
        <v>0.16445832663000001</v>
      </c>
      <c r="O162">
        <f t="shared" si="38"/>
        <v>3.1221064853947461E-2</v>
      </c>
      <c r="P162">
        <f t="shared" si="39"/>
        <v>8.7745453403430707E-2</v>
      </c>
    </row>
    <row r="163" spans="1:16" x14ac:dyDescent="0.3">
      <c r="A163">
        <v>8.2324149999999996</v>
      </c>
      <c r="B163">
        <v>0.38228000000000001</v>
      </c>
      <c r="C163">
        <f t="shared" si="25"/>
        <v>3.1470876061999999</v>
      </c>
      <c r="D163">
        <v>2.01E-2</v>
      </c>
      <c r="E163">
        <v>3.8158201924077539E-3</v>
      </c>
      <c r="F163">
        <f t="shared" si="26"/>
        <v>1646.4829999999999</v>
      </c>
      <c r="G163">
        <f t="shared" si="36"/>
        <v>-0.38228000000000001</v>
      </c>
      <c r="H163">
        <f t="shared" si="28"/>
        <v>-629.41752124000004</v>
      </c>
      <c r="I163">
        <v>1</v>
      </c>
      <c r="J163">
        <f t="shared" si="29"/>
        <v>0.49864149784930617</v>
      </c>
      <c r="K163">
        <f t="shared" si="30"/>
        <v>-0.79763057297601203</v>
      </c>
      <c r="L163">
        <v>1</v>
      </c>
      <c r="M163">
        <f t="shared" si="31"/>
        <v>0.51209307875988597</v>
      </c>
      <c r="N163">
        <f t="shared" si="37"/>
        <v>0.16547154149999999</v>
      </c>
      <c r="O163">
        <f t="shared" si="38"/>
        <v>3.1413415389280476E-2</v>
      </c>
      <c r="P163">
        <f t="shared" si="39"/>
        <v>8.865253732684561E-2</v>
      </c>
    </row>
    <row r="164" spans="1:16" x14ac:dyDescent="0.3">
      <c r="A164">
        <v>8.2843516000000008</v>
      </c>
      <c r="B164">
        <v>0.38018000000000002</v>
      </c>
      <c r="C164">
        <f t="shared" si="25"/>
        <v>3.1495447912880006</v>
      </c>
      <c r="D164">
        <v>2.01E-2</v>
      </c>
      <c r="E164">
        <v>3.8158201924077539E-3</v>
      </c>
      <c r="F164">
        <f t="shared" si="26"/>
        <v>1656.8703200000002</v>
      </c>
      <c r="G164">
        <f t="shared" si="36"/>
        <v>-0.38018000000000002</v>
      </c>
      <c r="H164">
        <f t="shared" si="28"/>
        <v>-629.90895825760015</v>
      </c>
      <c r="I164">
        <v>1</v>
      </c>
      <c r="J164">
        <f t="shared" si="29"/>
        <v>0.50493047346267117</v>
      </c>
      <c r="K164">
        <f t="shared" si="30"/>
        <v>-0.79973057297601202</v>
      </c>
      <c r="L164">
        <v>1</v>
      </c>
      <c r="M164">
        <f t="shared" si="31"/>
        <v>0.51235658683808594</v>
      </c>
      <c r="N164">
        <f t="shared" si="37"/>
        <v>0.16651546716000001</v>
      </c>
      <c r="O164">
        <f t="shared" si="38"/>
        <v>3.1611596116285487E-2</v>
      </c>
      <c r="P164">
        <f t="shared" si="39"/>
        <v>8.9246922861640585E-2</v>
      </c>
    </row>
    <row r="165" spans="1:16" x14ac:dyDescent="0.3">
      <c r="A165">
        <v>8.3367979000000005</v>
      </c>
      <c r="B165">
        <v>0.37748999999999999</v>
      </c>
      <c r="C165">
        <f t="shared" si="25"/>
        <v>3.147057839271</v>
      </c>
      <c r="D165">
        <v>2.01E-2</v>
      </c>
      <c r="E165">
        <v>3.8158201924077539E-3</v>
      </c>
      <c r="F165">
        <f t="shared" si="26"/>
        <v>1667.3595800000001</v>
      </c>
      <c r="G165">
        <f t="shared" si="36"/>
        <v>-0.37748999999999999</v>
      </c>
      <c r="H165">
        <f t="shared" si="28"/>
        <v>-629.41156785420003</v>
      </c>
      <c r="I165">
        <v>1</v>
      </c>
      <c r="J165">
        <f t="shared" si="29"/>
        <v>0.51124128536673696</v>
      </c>
      <c r="K165">
        <f t="shared" si="30"/>
        <v>-0.80242057297601199</v>
      </c>
      <c r="L165">
        <v>1</v>
      </c>
      <c r="M165">
        <f t="shared" si="31"/>
        <v>0.51262100985686632</v>
      </c>
      <c r="N165">
        <f t="shared" si="37"/>
        <v>0.16756963779</v>
      </c>
      <c r="O165">
        <f t="shared" si="38"/>
        <v>3.1811721766842563E-2</v>
      </c>
      <c r="P165">
        <f t="shared" si="39"/>
        <v>9.0418203562303109E-2</v>
      </c>
    </row>
    <row r="166" spans="1:16" x14ac:dyDescent="0.3">
      <c r="A166">
        <v>8.3922987999999989</v>
      </c>
      <c r="B166">
        <v>0.37508000000000002</v>
      </c>
      <c r="C166">
        <f t="shared" si="25"/>
        <v>3.1477834339039998</v>
      </c>
      <c r="D166">
        <v>2.01E-2</v>
      </c>
      <c r="E166">
        <v>3.8158201924077539E-3</v>
      </c>
      <c r="F166">
        <f t="shared" si="26"/>
        <v>1678.4597599999997</v>
      </c>
      <c r="G166">
        <f t="shared" si="36"/>
        <v>-0.37508000000000002</v>
      </c>
      <c r="H166">
        <f t="shared" si="28"/>
        <v>-629.55668678079996</v>
      </c>
      <c r="I166">
        <v>1</v>
      </c>
      <c r="J166">
        <f t="shared" si="29"/>
        <v>0.51787656336445809</v>
      </c>
      <c r="K166">
        <f t="shared" si="30"/>
        <v>-0.8048305729760119</v>
      </c>
      <c r="L166">
        <v>1</v>
      </c>
      <c r="M166">
        <f t="shared" si="31"/>
        <v>0.51289902800497078</v>
      </c>
      <c r="N166">
        <f t="shared" si="37"/>
        <v>0.16868520587999997</v>
      </c>
      <c r="O166">
        <f t="shared" si="38"/>
        <v>3.2023503221759356E-2</v>
      </c>
      <c r="P166">
        <f t="shared" si="39"/>
        <v>9.1222835869281801E-2</v>
      </c>
    </row>
    <row r="167" spans="1:16" x14ac:dyDescent="0.3">
      <c r="A167">
        <v>8.4432168000000001</v>
      </c>
      <c r="B167">
        <v>0.37285000000000001</v>
      </c>
      <c r="C167">
        <f t="shared" si="25"/>
        <v>3.1480533838800002</v>
      </c>
      <c r="D167">
        <v>2.01E-2</v>
      </c>
      <c r="E167">
        <v>3.8158201924077539E-3</v>
      </c>
      <c r="F167">
        <f t="shared" si="26"/>
        <v>1688.64336</v>
      </c>
      <c r="G167">
        <f t="shared" si="36"/>
        <v>-0.37285000000000001</v>
      </c>
      <c r="H167">
        <f t="shared" si="28"/>
        <v>-629.61067677599999</v>
      </c>
      <c r="I167">
        <v>1</v>
      </c>
      <c r="J167">
        <f t="shared" si="29"/>
        <v>0.5239254610000994</v>
      </c>
      <c r="K167">
        <f t="shared" si="30"/>
        <v>-0.80706057297601197</v>
      </c>
      <c r="L167">
        <v>1</v>
      </c>
      <c r="M167">
        <f t="shared" si="31"/>
        <v>0.51315247681590415</v>
      </c>
      <c r="N167">
        <f t="shared" si="37"/>
        <v>0.16970865768000001</v>
      </c>
      <c r="O167">
        <f t="shared" si="38"/>
        <v>3.2217797154316379E-2</v>
      </c>
      <c r="P167">
        <f t="shared" si="39"/>
        <v>9.1981641325791424E-2</v>
      </c>
    </row>
    <row r="168" spans="1:16" x14ac:dyDescent="0.3">
      <c r="A168">
        <v>8.4941357000000011</v>
      </c>
      <c r="B168">
        <v>0.37042000000000003</v>
      </c>
      <c r="C168">
        <f t="shared" si="25"/>
        <v>3.1463977459940007</v>
      </c>
      <c r="D168">
        <v>2.01E-2</v>
      </c>
      <c r="E168">
        <v>3.8158201924077539E-3</v>
      </c>
      <c r="F168">
        <f t="shared" si="26"/>
        <v>1698.8271400000003</v>
      </c>
      <c r="G168">
        <f t="shared" si="36"/>
        <v>-0.37042000000000003</v>
      </c>
      <c r="H168">
        <f t="shared" si="28"/>
        <v>-629.27954919880017</v>
      </c>
      <c r="I168">
        <v>1</v>
      </c>
      <c r="J168">
        <f t="shared" si="29"/>
        <v>0.52993809531241143</v>
      </c>
      <c r="K168">
        <f t="shared" si="30"/>
        <v>-0.80949057297601201</v>
      </c>
      <c r="L168">
        <v>1</v>
      </c>
      <c r="M168">
        <f t="shared" si="31"/>
        <v>0.51340440619359007</v>
      </c>
      <c r="N168">
        <f t="shared" si="37"/>
        <v>0.17073212757000003</v>
      </c>
      <c r="O168">
        <f t="shared" si="38"/>
        <v>3.2412094521111573E-2</v>
      </c>
      <c r="P168">
        <f t="shared" si="39"/>
        <v>9.2941944691310341E-2</v>
      </c>
    </row>
    <row r="169" spans="1:16" x14ac:dyDescent="0.3">
      <c r="A169">
        <v>8.5450537000000004</v>
      </c>
      <c r="B169">
        <v>0.36799999999999999</v>
      </c>
      <c r="C169">
        <f t="shared" si="25"/>
        <v>3.1445797616000002</v>
      </c>
      <c r="D169">
        <v>2.01E-2</v>
      </c>
      <c r="E169">
        <v>3.8158201924077539E-3</v>
      </c>
      <c r="F169">
        <f t="shared" si="26"/>
        <v>1709.0107400000002</v>
      </c>
      <c r="G169">
        <f t="shared" si="36"/>
        <v>-0.36799999999999999</v>
      </c>
      <c r="H169">
        <f t="shared" si="28"/>
        <v>-628.91595232000009</v>
      </c>
      <c r="I169">
        <v>1</v>
      </c>
      <c r="J169">
        <f t="shared" si="29"/>
        <v>0.53591468849053581</v>
      </c>
      <c r="K169">
        <f t="shared" si="30"/>
        <v>-0.81191057297601199</v>
      </c>
      <c r="L169">
        <v>1</v>
      </c>
      <c r="M169">
        <f t="shared" si="31"/>
        <v>0.51365482544775343</v>
      </c>
      <c r="N169">
        <f t="shared" si="37"/>
        <v>0.17175557936999999</v>
      </c>
      <c r="O169">
        <f t="shared" si="38"/>
        <v>3.2606388453668589E-2</v>
      </c>
      <c r="P169">
        <f t="shared" si="39"/>
        <v>9.389377970458998E-2</v>
      </c>
    </row>
    <row r="170" spans="1:16" x14ac:dyDescent="0.3">
      <c r="A170">
        <v>8.5959716999999998</v>
      </c>
      <c r="B170">
        <v>0.36559000000000003</v>
      </c>
      <c r="C170">
        <f t="shared" si="25"/>
        <v>3.1426012938030001</v>
      </c>
      <c r="D170">
        <v>2.01E-2</v>
      </c>
      <c r="E170">
        <v>3.8158201924077539E-3</v>
      </c>
      <c r="F170">
        <f t="shared" si="26"/>
        <v>1719.19434</v>
      </c>
      <c r="G170">
        <f t="shared" si="36"/>
        <v>-0.36559000000000003</v>
      </c>
      <c r="H170">
        <f t="shared" si="28"/>
        <v>-628.52025876059997</v>
      </c>
      <c r="I170">
        <v>1</v>
      </c>
      <c r="J170">
        <f t="shared" si="29"/>
        <v>0.54185577411180064</v>
      </c>
      <c r="K170">
        <f t="shared" si="30"/>
        <v>-0.8143205729760119</v>
      </c>
      <c r="L170">
        <v>1</v>
      </c>
      <c r="M170">
        <f t="shared" si="31"/>
        <v>0.51390375693528445</v>
      </c>
      <c r="N170">
        <f t="shared" si="37"/>
        <v>0.17277903116999999</v>
      </c>
      <c r="O170">
        <f t="shared" si="38"/>
        <v>3.2800682386225605E-2</v>
      </c>
      <c r="P170">
        <f t="shared" si="39"/>
        <v>9.4837102484501862E-2</v>
      </c>
    </row>
    <row r="171" spans="1:16" x14ac:dyDescent="0.3">
      <c r="A171">
        <v>8.6468906000000008</v>
      </c>
      <c r="B171">
        <v>0.36325000000000002</v>
      </c>
      <c r="C171">
        <f t="shared" si="25"/>
        <v>3.1409830104500003</v>
      </c>
      <c r="D171">
        <v>2.01E-2</v>
      </c>
      <c r="E171">
        <v>3.8158201924077539E-3</v>
      </c>
      <c r="F171">
        <f t="shared" si="26"/>
        <v>1729.3781200000001</v>
      </c>
      <c r="G171">
        <f t="shared" si="36"/>
        <v>-0.36325000000000002</v>
      </c>
      <c r="H171">
        <f t="shared" si="28"/>
        <v>-628.19660209000006</v>
      </c>
      <c r="I171">
        <v>1</v>
      </c>
      <c r="J171">
        <f t="shared" si="29"/>
        <v>0.54776187567741141</v>
      </c>
      <c r="K171">
        <f t="shared" si="30"/>
        <v>-0.81666057297601191</v>
      </c>
      <c r="L171">
        <v>1</v>
      </c>
      <c r="M171">
        <f t="shared" si="31"/>
        <v>0.51415122259088353</v>
      </c>
      <c r="N171">
        <f t="shared" si="37"/>
        <v>0.17380250106</v>
      </c>
      <c r="O171">
        <f t="shared" si="38"/>
        <v>3.2994979753020799E-2</v>
      </c>
      <c r="P171">
        <f t="shared" si="39"/>
        <v>9.5711869572107588E-2</v>
      </c>
    </row>
    <row r="172" spans="1:16" x14ac:dyDescent="0.3">
      <c r="A172">
        <v>8.6972997999999997</v>
      </c>
      <c r="B172">
        <v>0.36080000000000001</v>
      </c>
      <c r="C172">
        <f t="shared" si="25"/>
        <v>3.1379857678400001</v>
      </c>
      <c r="D172">
        <v>2.01E-2</v>
      </c>
      <c r="E172">
        <v>3.8158201924077539E-3</v>
      </c>
      <c r="F172">
        <f t="shared" si="26"/>
        <v>1739.4599599999999</v>
      </c>
      <c r="G172">
        <f t="shared" si="36"/>
        <v>-0.36080000000000001</v>
      </c>
      <c r="H172">
        <f t="shared" si="28"/>
        <v>-627.59715356800007</v>
      </c>
      <c r="I172">
        <v>1</v>
      </c>
      <c r="J172">
        <f t="shared" si="29"/>
        <v>0.55357469723628694</v>
      </c>
      <c r="K172">
        <f t="shared" si="30"/>
        <v>-0.81911057297601197</v>
      </c>
      <c r="L172">
        <v>1</v>
      </c>
      <c r="M172">
        <f t="shared" si="31"/>
        <v>0.51439477981420045</v>
      </c>
      <c r="N172">
        <f t="shared" si="37"/>
        <v>0.17481572598</v>
      </c>
      <c r="O172">
        <f t="shared" si="38"/>
        <v>3.3187332196263922E-2</v>
      </c>
      <c r="P172">
        <f t="shared" si="39"/>
        <v>9.6712734985547597E-2</v>
      </c>
    </row>
    <row r="173" spans="1:16" x14ac:dyDescent="0.3">
      <c r="A173">
        <v>8.7487274999999993</v>
      </c>
      <c r="B173">
        <v>0.35853000000000002</v>
      </c>
      <c r="C173">
        <f t="shared" si="25"/>
        <v>3.136681270575</v>
      </c>
      <c r="D173">
        <v>2.01E-2</v>
      </c>
      <c r="E173">
        <v>3.8158201924077539E-3</v>
      </c>
      <c r="F173">
        <f t="shared" si="26"/>
        <v>1749.7454999999998</v>
      </c>
      <c r="G173">
        <f t="shared" si="36"/>
        <v>-0.35853000000000002</v>
      </c>
      <c r="H173">
        <f t="shared" si="28"/>
        <v>-627.33625411499997</v>
      </c>
      <c r="I173">
        <v>1</v>
      </c>
      <c r="J173">
        <f t="shared" si="29"/>
        <v>0.55947034878823387</v>
      </c>
      <c r="K173">
        <f t="shared" si="30"/>
        <v>-0.82138057297601197</v>
      </c>
      <c r="L173">
        <v>1</v>
      </c>
      <c r="M173">
        <f t="shared" si="31"/>
        <v>0.51464180761422706</v>
      </c>
      <c r="N173">
        <f t="shared" si="37"/>
        <v>0.17584942274999998</v>
      </c>
      <c r="O173">
        <f t="shared" si="38"/>
        <v>3.3383571052373003E-2</v>
      </c>
      <c r="P173">
        <f t="shared" si="39"/>
        <v>9.7505771559411925E-2</v>
      </c>
    </row>
    <row r="174" spans="1:16" x14ac:dyDescent="0.3">
      <c r="A174">
        <v>8.7991357000000008</v>
      </c>
      <c r="B174">
        <v>0.35598999999999997</v>
      </c>
      <c r="C174">
        <f t="shared" si="25"/>
        <v>3.1324043178430001</v>
      </c>
      <c r="D174">
        <v>2.01E-2</v>
      </c>
      <c r="E174">
        <v>3.8158201924077539E-3</v>
      </c>
      <c r="F174">
        <f t="shared" si="26"/>
        <v>1759.8271400000001</v>
      </c>
      <c r="G174">
        <f t="shared" si="36"/>
        <v>-0.35598999999999997</v>
      </c>
      <c r="H174">
        <f t="shared" si="28"/>
        <v>-626.48086356860006</v>
      </c>
      <c r="I174">
        <v>1</v>
      </c>
      <c r="J174">
        <f t="shared" si="29"/>
        <v>0.56521558831747132</v>
      </c>
      <c r="K174">
        <f t="shared" si="30"/>
        <v>-0.82392057297601196</v>
      </c>
      <c r="L174">
        <v>1</v>
      </c>
      <c r="M174">
        <f t="shared" si="31"/>
        <v>0.51488253315050203</v>
      </c>
      <c r="N174">
        <f t="shared" si="37"/>
        <v>0.17686262757000001</v>
      </c>
      <c r="O174">
        <f t="shared" si="38"/>
        <v>3.3575919679795938E-2</v>
      </c>
      <c r="P174">
        <f t="shared" si="39"/>
        <v>9.8599492575713973E-2</v>
      </c>
    </row>
    <row r="175" spans="1:16" x14ac:dyDescent="0.3">
      <c r="A175">
        <v>8.8500546999999994</v>
      </c>
      <c r="B175">
        <v>0.35357</v>
      </c>
      <c r="C175">
        <f t="shared" si="25"/>
        <v>3.1291138402789995</v>
      </c>
      <c r="D175">
        <v>2.01E-2</v>
      </c>
      <c r="E175">
        <v>3.8158201924077539E-3</v>
      </c>
      <c r="F175">
        <f t="shared" si="26"/>
        <v>1770.0109399999999</v>
      </c>
      <c r="G175">
        <f t="shared" si="36"/>
        <v>-0.35357</v>
      </c>
      <c r="H175">
        <f t="shared" si="28"/>
        <v>-625.82276805579988</v>
      </c>
      <c r="I175">
        <v>1</v>
      </c>
      <c r="J175">
        <f t="shared" si="29"/>
        <v>0.57098572735759712</v>
      </c>
      <c r="K175">
        <f t="shared" si="30"/>
        <v>-0.82634057297601204</v>
      </c>
      <c r="L175">
        <v>1</v>
      </c>
      <c r="M175">
        <f t="shared" si="31"/>
        <v>0.51512430197628334</v>
      </c>
      <c r="N175">
        <f t="shared" si="37"/>
        <v>0.17788609946999998</v>
      </c>
      <c r="O175">
        <f t="shared" si="38"/>
        <v>3.3770217428173148E-2</v>
      </c>
      <c r="P175">
        <f t="shared" si="39"/>
        <v>9.9559954101555576E-2</v>
      </c>
    </row>
    <row r="176" spans="1:16" x14ac:dyDescent="0.3">
      <c r="A176">
        <v>8.9004639000000001</v>
      </c>
      <c r="B176">
        <v>0.35164000000000001</v>
      </c>
      <c r="C176">
        <f t="shared" si="25"/>
        <v>3.1297591257960002</v>
      </c>
      <c r="D176">
        <v>2.01E-2</v>
      </c>
      <c r="E176">
        <v>3.8158201924077539E-3</v>
      </c>
      <c r="F176">
        <f t="shared" si="26"/>
        <v>1780.0927799999999</v>
      </c>
      <c r="G176">
        <f t="shared" si="36"/>
        <v>-0.35164000000000001</v>
      </c>
      <c r="H176">
        <f t="shared" si="28"/>
        <v>-625.9518251592001</v>
      </c>
      <c r="I176">
        <v>1</v>
      </c>
      <c r="J176">
        <f t="shared" si="29"/>
        <v>0.57666548654111194</v>
      </c>
      <c r="K176">
        <f t="shared" si="30"/>
        <v>-0.82827057297601203</v>
      </c>
      <c r="L176">
        <v>1</v>
      </c>
      <c r="M176">
        <f t="shared" si="31"/>
        <v>0.51536228388607264</v>
      </c>
      <c r="N176">
        <f t="shared" si="37"/>
        <v>0.17889932439</v>
      </c>
      <c r="O176">
        <f t="shared" si="38"/>
        <v>3.396256987141627E-2</v>
      </c>
      <c r="P176">
        <f t="shared" si="39"/>
        <v>0.10004639482852312</v>
      </c>
    </row>
    <row r="177" spans="1:16" x14ac:dyDescent="0.3">
      <c r="A177">
        <v>8.9508729999999996</v>
      </c>
      <c r="B177">
        <v>0.34878999999999999</v>
      </c>
      <c r="C177">
        <f t="shared" si="25"/>
        <v>3.1219749936699999</v>
      </c>
      <c r="D177">
        <v>2.01E-2</v>
      </c>
      <c r="E177">
        <v>3.8158201924077539E-3</v>
      </c>
      <c r="F177">
        <f t="shared" si="26"/>
        <v>1790.1745999999998</v>
      </c>
      <c r="G177">
        <f t="shared" si="36"/>
        <v>-0.34878999999999999</v>
      </c>
      <c r="H177">
        <f t="shared" si="28"/>
        <v>-624.39499873399996</v>
      </c>
      <c r="I177">
        <v>1</v>
      </c>
      <c r="J177">
        <f t="shared" si="29"/>
        <v>0.58231315699520314</v>
      </c>
      <c r="K177">
        <f t="shared" si="30"/>
        <v>-0.83112057297601205</v>
      </c>
      <c r="L177">
        <v>1</v>
      </c>
      <c r="M177">
        <f t="shared" si="31"/>
        <v>0.51559892127809903</v>
      </c>
      <c r="N177">
        <f t="shared" si="37"/>
        <v>0.1799125473</v>
      </c>
      <c r="O177">
        <f t="shared" si="38"/>
        <v>3.415492193307737E-2</v>
      </c>
      <c r="P177">
        <f t="shared" si="39"/>
        <v>0.10145418246483565</v>
      </c>
    </row>
    <row r="178" spans="1:16" x14ac:dyDescent="0.3">
      <c r="A178">
        <v>9.0023008000000004</v>
      </c>
      <c r="B178">
        <v>0.34642000000000001</v>
      </c>
      <c r="C178">
        <f t="shared" si="25"/>
        <v>3.1185770431360003</v>
      </c>
      <c r="D178">
        <v>2.01E-2</v>
      </c>
      <c r="E178">
        <v>3.8158201924077539E-3</v>
      </c>
      <c r="F178">
        <f t="shared" si="26"/>
        <v>1800.4601600000001</v>
      </c>
      <c r="G178">
        <f t="shared" si="36"/>
        <v>-0.34642000000000001</v>
      </c>
      <c r="H178">
        <f t="shared" si="28"/>
        <v>-623.71540862720008</v>
      </c>
      <c r="I178">
        <v>1</v>
      </c>
      <c r="J178">
        <f t="shared" si="29"/>
        <v>0.58804227667509057</v>
      </c>
      <c r="K178">
        <f t="shared" si="30"/>
        <v>-0.83349057297601203</v>
      </c>
      <c r="L178">
        <v>1</v>
      </c>
      <c r="M178">
        <f t="shared" si="31"/>
        <v>0.51583897139268631</v>
      </c>
      <c r="N178">
        <f t="shared" si="37"/>
        <v>0.18094624608000001</v>
      </c>
      <c r="O178">
        <f t="shared" si="38"/>
        <v>3.4351161170768481E-2</v>
      </c>
      <c r="P178">
        <f t="shared" si="39"/>
        <v>0.10235419433255724</v>
      </c>
    </row>
    <row r="179" spans="1:16" x14ac:dyDescent="0.3">
      <c r="A179">
        <v>9.0527099999999994</v>
      </c>
      <c r="B179">
        <v>0.34387000000000001</v>
      </c>
      <c r="C179">
        <f t="shared" si="25"/>
        <v>3.1129553877</v>
      </c>
      <c r="D179">
        <v>2.01E-2</v>
      </c>
      <c r="E179">
        <v>3.8158201924077539E-3</v>
      </c>
      <c r="F179">
        <f t="shared" si="26"/>
        <v>1810.5419999999999</v>
      </c>
      <c r="G179">
        <f t="shared" si="36"/>
        <v>-0.34387000000000001</v>
      </c>
      <c r="H179">
        <f t="shared" si="28"/>
        <v>-622.59107754000001</v>
      </c>
      <c r="I179">
        <v>1</v>
      </c>
      <c r="J179">
        <f t="shared" si="29"/>
        <v>0.59362624796608809</v>
      </c>
      <c r="K179">
        <f t="shared" si="30"/>
        <v>-0.83604057297601198</v>
      </c>
      <c r="L179">
        <v>1</v>
      </c>
      <c r="M179">
        <f t="shared" si="31"/>
        <v>0.51607293978977908</v>
      </c>
      <c r="N179">
        <f t="shared" si="37"/>
        <v>0.18195947099999998</v>
      </c>
      <c r="O179">
        <f t="shared" si="38"/>
        <v>3.4543513614011596E-2</v>
      </c>
      <c r="P179">
        <f t="shared" si="39"/>
        <v>0.10346464857222132</v>
      </c>
    </row>
    <row r="180" spans="1:16" x14ac:dyDescent="0.3">
      <c r="A180">
        <v>9.1031191000000007</v>
      </c>
      <c r="B180">
        <v>0.34142</v>
      </c>
      <c r="C180">
        <f t="shared" si="25"/>
        <v>3.1079869231220001</v>
      </c>
      <c r="D180">
        <v>2.01E-2</v>
      </c>
      <c r="E180">
        <v>3.8158201924077539E-3</v>
      </c>
      <c r="F180">
        <f t="shared" si="26"/>
        <v>1820.6238200000003</v>
      </c>
      <c r="G180">
        <f t="shared" si="36"/>
        <v>-0.34142</v>
      </c>
      <c r="H180">
        <f t="shared" si="28"/>
        <v>-621.59738462439998</v>
      </c>
      <c r="I180">
        <v>1</v>
      </c>
      <c r="J180">
        <f t="shared" si="29"/>
        <v>0.59917920060227559</v>
      </c>
      <c r="K180">
        <f t="shared" si="30"/>
        <v>-0.83849057297601193</v>
      </c>
      <c r="L180">
        <v>1</v>
      </c>
      <c r="M180">
        <f t="shared" si="31"/>
        <v>0.51630560850523533</v>
      </c>
      <c r="N180">
        <f t="shared" si="37"/>
        <v>0.18297269391000001</v>
      </c>
      <c r="O180">
        <f t="shared" si="38"/>
        <v>3.4735865675672703E-2</v>
      </c>
      <c r="P180">
        <f t="shared" si="39"/>
        <v>0.10447640488510389</v>
      </c>
    </row>
    <row r="181" spans="1:16" x14ac:dyDescent="0.3">
      <c r="A181">
        <v>9.1576006000000003</v>
      </c>
      <c r="B181">
        <v>0.33909</v>
      </c>
      <c r="C181">
        <f t="shared" si="25"/>
        <v>3.1052507874540001</v>
      </c>
      <c r="D181">
        <v>2.01E-2</v>
      </c>
      <c r="E181">
        <v>3.8158201924077539E-3</v>
      </c>
      <c r="F181">
        <f t="shared" si="26"/>
        <v>1831.5201200000001</v>
      </c>
      <c r="G181">
        <f t="shared" si="36"/>
        <v>-0.33909</v>
      </c>
      <c r="H181">
        <f t="shared" si="28"/>
        <v>-621.05015749079996</v>
      </c>
      <c r="I181">
        <v>1</v>
      </c>
      <c r="J181">
        <f t="shared" si="29"/>
        <v>0.60514628870737719</v>
      </c>
      <c r="K181">
        <f t="shared" si="30"/>
        <v>-0.84082057297601198</v>
      </c>
      <c r="L181">
        <v>1</v>
      </c>
      <c r="M181">
        <f t="shared" si="31"/>
        <v>0.51655562949683909</v>
      </c>
      <c r="N181">
        <f t="shared" si="37"/>
        <v>0.18406777206</v>
      </c>
      <c r="O181">
        <f t="shared" si="38"/>
        <v>3.4943757283485366E-2</v>
      </c>
      <c r="P181">
        <f t="shared" si="39"/>
        <v>0.10525341413568753</v>
      </c>
    </row>
    <row r="182" spans="1:16" x14ac:dyDescent="0.3">
      <c r="A182">
        <v>9.2090292999999992</v>
      </c>
      <c r="B182">
        <v>0.33639999999999998</v>
      </c>
      <c r="C182">
        <f t="shared" si="25"/>
        <v>3.0979174565199994</v>
      </c>
      <c r="D182">
        <v>2.01E-2</v>
      </c>
      <c r="E182">
        <v>3.8158201924077539E-3</v>
      </c>
      <c r="F182">
        <f t="shared" si="26"/>
        <v>1841.8058599999999</v>
      </c>
      <c r="G182">
        <f t="shared" si="36"/>
        <v>-0.33639999999999998</v>
      </c>
      <c r="H182">
        <f t="shared" si="28"/>
        <v>-619.58349130399984</v>
      </c>
      <c r="I182">
        <v>1</v>
      </c>
      <c r="J182">
        <f t="shared" si="29"/>
        <v>0.61074653597017348</v>
      </c>
      <c r="K182">
        <f t="shared" si="30"/>
        <v>-0.84351057297601195</v>
      </c>
      <c r="L182">
        <v>1</v>
      </c>
      <c r="M182">
        <f t="shared" si="31"/>
        <v>0.51679027985715031</v>
      </c>
      <c r="N182">
        <f t="shared" si="37"/>
        <v>0.18510148892999997</v>
      </c>
      <c r="O182">
        <f t="shared" si="38"/>
        <v>3.5139999955414641E-2</v>
      </c>
      <c r="P182">
        <f t="shared" si="39"/>
        <v>0.10647880423344702</v>
      </c>
    </row>
    <row r="183" spans="1:16" x14ac:dyDescent="0.3">
      <c r="A183">
        <v>9.2594384999999999</v>
      </c>
      <c r="B183">
        <v>0.33382000000000001</v>
      </c>
      <c r="C183">
        <f t="shared" si="25"/>
        <v>3.0909857600700001</v>
      </c>
      <c r="D183">
        <v>2.01E-2</v>
      </c>
      <c r="E183">
        <v>3.8158201924077539E-3</v>
      </c>
      <c r="F183">
        <f t="shared" si="26"/>
        <v>1851.8877</v>
      </c>
      <c r="G183">
        <f t="shared" si="36"/>
        <v>-0.33382000000000001</v>
      </c>
      <c r="H183">
        <f t="shared" si="28"/>
        <v>-618.19715201400004</v>
      </c>
      <c r="I183">
        <v>1</v>
      </c>
      <c r="J183">
        <f t="shared" si="29"/>
        <v>0.61620549723645335</v>
      </c>
      <c r="K183">
        <f t="shared" si="30"/>
        <v>-0.84609057297601198</v>
      </c>
      <c r="L183">
        <v>1</v>
      </c>
      <c r="M183">
        <f t="shared" si="31"/>
        <v>0.51701901033420739</v>
      </c>
      <c r="N183">
        <f t="shared" si="37"/>
        <v>0.18611471385</v>
      </c>
      <c r="O183">
        <f t="shared" si="38"/>
        <v>3.5332352398657764E-2</v>
      </c>
      <c r="P183">
        <f t="shared" si="39"/>
        <v>0.10762449639314683</v>
      </c>
    </row>
    <row r="184" spans="1:16" x14ac:dyDescent="0.3">
      <c r="A184">
        <v>9.311375</v>
      </c>
      <c r="B184">
        <v>0.33149000000000001</v>
      </c>
      <c r="C184">
        <f t="shared" si="25"/>
        <v>3.0866276987500001</v>
      </c>
      <c r="D184">
        <v>2.01E-2</v>
      </c>
      <c r="E184">
        <v>3.8158201924077539E-3</v>
      </c>
      <c r="F184">
        <f t="shared" si="26"/>
        <v>1862.2750000000001</v>
      </c>
      <c r="G184">
        <f t="shared" si="36"/>
        <v>-0.33149000000000001</v>
      </c>
      <c r="H184">
        <f t="shared" si="28"/>
        <v>-617.32553974999996</v>
      </c>
      <c r="I184">
        <v>1</v>
      </c>
      <c r="J184">
        <f t="shared" si="29"/>
        <v>0.6217988586048937</v>
      </c>
      <c r="K184">
        <f t="shared" si="30"/>
        <v>-0.84842057297601192</v>
      </c>
      <c r="L184">
        <v>1</v>
      </c>
      <c r="M184">
        <f t="shared" si="31"/>
        <v>0.51725337217554512</v>
      </c>
      <c r="N184">
        <f t="shared" si="37"/>
        <v>0.1871586375</v>
      </c>
      <c r="O184">
        <f t="shared" si="38"/>
        <v>3.5530532744080752E-2</v>
      </c>
      <c r="P184">
        <f t="shared" si="39"/>
        <v>0.10847803055638605</v>
      </c>
    </row>
    <row r="185" spans="1:16" x14ac:dyDescent="0.3">
      <c r="A185">
        <v>9.3638203000000004</v>
      </c>
      <c r="B185">
        <v>0.32901000000000002</v>
      </c>
      <c r="C185">
        <f t="shared" si="25"/>
        <v>3.0807905169030003</v>
      </c>
      <c r="D185">
        <v>2.01E-2</v>
      </c>
      <c r="E185">
        <v>3.8158201924077539E-3</v>
      </c>
      <c r="F185">
        <f t="shared" si="26"/>
        <v>1872.76406</v>
      </c>
      <c r="G185">
        <f t="shared" si="36"/>
        <v>-0.32901000000000002</v>
      </c>
      <c r="H185">
        <f t="shared" si="28"/>
        <v>-616.1581033806001</v>
      </c>
      <c r="I185">
        <v>1</v>
      </c>
      <c r="J185">
        <f t="shared" si="29"/>
        <v>0.62741544649355052</v>
      </c>
      <c r="K185">
        <f t="shared" si="30"/>
        <v>-0.85090057297601196</v>
      </c>
      <c r="L185">
        <v>1</v>
      </c>
      <c r="M185">
        <f t="shared" si="31"/>
        <v>0.51748870720807982</v>
      </c>
      <c r="N185">
        <f t="shared" si="37"/>
        <v>0.18821278802999999</v>
      </c>
      <c r="O185">
        <f t="shared" si="38"/>
        <v>3.5730654578817633E-2</v>
      </c>
      <c r="P185">
        <f t="shared" si="39"/>
        <v>0.10946842315911451</v>
      </c>
    </row>
    <row r="186" spans="1:16" x14ac:dyDescent="0.3">
      <c r="A186">
        <v>9.4152480000000001</v>
      </c>
      <c r="B186">
        <v>0.32608999999999999</v>
      </c>
      <c r="C186">
        <f t="shared" si="25"/>
        <v>3.0702182203200001</v>
      </c>
      <c r="D186">
        <v>2.01E-2</v>
      </c>
      <c r="E186">
        <v>3.8158201924077539E-3</v>
      </c>
      <c r="F186">
        <f t="shared" si="26"/>
        <v>1883.0496000000001</v>
      </c>
      <c r="G186">
        <f t="shared" si="36"/>
        <v>-0.32608999999999999</v>
      </c>
      <c r="H186">
        <f t="shared" si="28"/>
        <v>-614.04364406399998</v>
      </c>
      <c r="I186">
        <v>1</v>
      </c>
      <c r="J186">
        <f t="shared" si="29"/>
        <v>0.63289259027339884</v>
      </c>
      <c r="K186">
        <f t="shared" si="30"/>
        <v>-0.85382057297601199</v>
      </c>
      <c r="L186">
        <v>1</v>
      </c>
      <c r="M186">
        <f t="shared" si="31"/>
        <v>0.51771819953245546</v>
      </c>
      <c r="N186">
        <f t="shared" si="37"/>
        <v>0.1892464848</v>
      </c>
      <c r="O186">
        <f t="shared" si="38"/>
        <v>3.5926893434926721E-2</v>
      </c>
      <c r="P186">
        <f t="shared" si="39"/>
        <v>0.11092899520862981</v>
      </c>
    </row>
    <row r="187" spans="1:16" x14ac:dyDescent="0.3">
      <c r="A187">
        <v>9.4666758000000009</v>
      </c>
      <c r="B187">
        <v>0.32355</v>
      </c>
      <c r="C187">
        <f t="shared" si="25"/>
        <v>3.0629429550900005</v>
      </c>
      <c r="D187">
        <v>2.01E-2</v>
      </c>
      <c r="E187">
        <v>3.8158201924077539E-3</v>
      </c>
      <c r="F187">
        <f t="shared" si="26"/>
        <v>1893.3351600000001</v>
      </c>
      <c r="G187">
        <f t="shared" si="36"/>
        <v>-0.32355</v>
      </c>
      <c r="H187">
        <f t="shared" si="28"/>
        <v>-612.5885910180001</v>
      </c>
      <c r="I187">
        <v>1</v>
      </c>
      <c r="J187">
        <f t="shared" si="29"/>
        <v>0.63833990885321734</v>
      </c>
      <c r="K187">
        <f t="shared" si="30"/>
        <v>-0.85636057297601198</v>
      </c>
      <c r="L187">
        <v>1</v>
      </c>
      <c r="M187">
        <f t="shared" si="31"/>
        <v>0.51794644218094987</v>
      </c>
      <c r="N187">
        <f t="shared" si="37"/>
        <v>0.19028018358000001</v>
      </c>
      <c r="O187">
        <f t="shared" si="38"/>
        <v>3.6123132672617832E-2</v>
      </c>
      <c r="P187">
        <f t="shared" si="39"/>
        <v>0.11201081454244427</v>
      </c>
    </row>
    <row r="188" spans="1:16" x14ac:dyDescent="0.3">
      <c r="A188">
        <v>9.5181024999999995</v>
      </c>
      <c r="B188">
        <v>0.32101000000000002</v>
      </c>
      <c r="C188">
        <f t="shared" si="25"/>
        <v>3.0554060835249999</v>
      </c>
      <c r="D188">
        <v>2.01E-2</v>
      </c>
      <c r="E188">
        <v>3.8158201924077539E-3</v>
      </c>
      <c r="F188">
        <f t="shared" si="26"/>
        <v>1903.6205</v>
      </c>
      <c r="G188">
        <f t="shared" ref="G188:G211" si="40">-B188</f>
        <v>-0.32101000000000002</v>
      </c>
      <c r="H188">
        <f t="shared" si="28"/>
        <v>-611.08121670499997</v>
      </c>
      <c r="I188">
        <v>1</v>
      </c>
      <c r="J188">
        <f t="shared" si="29"/>
        <v>0.64375759927596443</v>
      </c>
      <c r="K188">
        <f t="shared" ref="K188:K211" si="41">((-G188)-$N$2)</f>
        <v>-0.85890057297601197</v>
      </c>
      <c r="L188">
        <v>1</v>
      </c>
      <c r="M188">
        <f t="shared" si="31"/>
        <v>0.51817344340966298</v>
      </c>
      <c r="N188">
        <f t="shared" ref="N188:N211" si="42">D188*A188</f>
        <v>0.19131386025</v>
      </c>
      <c r="O188">
        <f t="shared" ref="O188:O211" si="43">E188*A188</f>
        <v>3.6319367712906725E-2</v>
      </c>
      <c r="P188">
        <f t="shared" ref="P188:P211" si="44">-K188-M188-N188-O188</f>
        <v>0.11309390160344227</v>
      </c>
    </row>
    <row r="189" spans="1:16" x14ac:dyDescent="0.3">
      <c r="A189">
        <v>9.570548800000001</v>
      </c>
      <c r="B189">
        <v>0.31835999999999998</v>
      </c>
      <c r="C189">
        <f t="shared" si="25"/>
        <v>3.0468799159680002</v>
      </c>
      <c r="D189">
        <v>2.01E-2</v>
      </c>
      <c r="E189">
        <v>3.8158201924077539E-3</v>
      </c>
      <c r="F189">
        <f t="shared" si="26"/>
        <v>1914.1097600000003</v>
      </c>
      <c r="G189">
        <f t="shared" si="40"/>
        <v>-0.31835999999999998</v>
      </c>
      <c r="H189">
        <f t="shared" si="28"/>
        <v>-609.37598319360006</v>
      </c>
      <c r="I189">
        <v>1</v>
      </c>
      <c r="J189">
        <f t="shared" si="29"/>
        <v>0.64925263725906934</v>
      </c>
      <c r="K189">
        <f t="shared" si="41"/>
        <v>-0.86155057297601201</v>
      </c>
      <c r="L189">
        <v>1</v>
      </c>
      <c r="M189">
        <f t="shared" si="31"/>
        <v>0.51840368550115501</v>
      </c>
      <c r="N189">
        <f t="shared" si="42"/>
        <v>0.19236803088000001</v>
      </c>
      <c r="O189">
        <f t="shared" si="43"/>
        <v>3.6519493363463801E-2</v>
      </c>
      <c r="P189">
        <f t="shared" si="44"/>
        <v>0.11425936323139319</v>
      </c>
    </row>
    <row r="190" spans="1:16" x14ac:dyDescent="0.3">
      <c r="A190">
        <v>9.6209579999999999</v>
      </c>
      <c r="B190">
        <v>0.31563000000000002</v>
      </c>
      <c r="C190">
        <f t="shared" si="25"/>
        <v>3.0366629735400004</v>
      </c>
      <c r="D190">
        <v>2.01E-2</v>
      </c>
      <c r="E190">
        <v>3.8158201924077539E-3</v>
      </c>
      <c r="F190">
        <f t="shared" si="26"/>
        <v>1924.1915999999999</v>
      </c>
      <c r="G190">
        <f t="shared" si="40"/>
        <v>-0.31563000000000002</v>
      </c>
      <c r="H190">
        <f t="shared" si="28"/>
        <v>-607.3325947080001</v>
      </c>
      <c r="I190">
        <v>1</v>
      </c>
      <c r="J190">
        <f t="shared" si="29"/>
        <v>0.65450593148492164</v>
      </c>
      <c r="K190">
        <f t="shared" si="41"/>
        <v>-0.86428057297601191</v>
      </c>
      <c r="L190">
        <v>1</v>
      </c>
      <c r="M190">
        <f t="shared" si="31"/>
        <v>0.51862379852921825</v>
      </c>
      <c r="N190">
        <f t="shared" si="42"/>
        <v>0.19338125579999998</v>
      </c>
      <c r="O190">
        <f t="shared" si="43"/>
        <v>3.6711845806706916E-2</v>
      </c>
      <c r="P190">
        <f t="shared" si="44"/>
        <v>0.11556367284008676</v>
      </c>
    </row>
    <row r="191" spans="1:16" x14ac:dyDescent="0.3">
      <c r="A191">
        <v>9.6718770000000003</v>
      </c>
      <c r="B191">
        <v>0.31317</v>
      </c>
      <c r="C191">
        <f t="shared" si="25"/>
        <v>3.0289417200900002</v>
      </c>
      <c r="D191">
        <v>2.01E-2</v>
      </c>
      <c r="E191">
        <v>3.8158201924077539E-3</v>
      </c>
      <c r="F191">
        <f t="shared" si="26"/>
        <v>1934.3754000000001</v>
      </c>
      <c r="G191">
        <f t="shared" si="40"/>
        <v>-0.31317</v>
      </c>
      <c r="H191">
        <f t="shared" si="28"/>
        <v>-605.78834401800009</v>
      </c>
      <c r="I191">
        <v>1</v>
      </c>
      <c r="J191">
        <f t="shared" si="29"/>
        <v>0.65978448367593989</v>
      </c>
      <c r="K191">
        <f t="shared" si="41"/>
        <v>-0.86674057297601204</v>
      </c>
      <c r="L191">
        <v>1</v>
      </c>
      <c r="M191">
        <f t="shared" si="31"/>
        <v>0.51884496986602191</v>
      </c>
      <c r="N191">
        <f t="shared" si="42"/>
        <v>0.1944047277</v>
      </c>
      <c r="O191">
        <f t="shared" si="43"/>
        <v>3.6906143555084134E-2</v>
      </c>
      <c r="P191">
        <f t="shared" si="44"/>
        <v>0.11658473185490599</v>
      </c>
    </row>
    <row r="192" spans="1:16" x14ac:dyDescent="0.3">
      <c r="A192">
        <v>9.7222860999999998</v>
      </c>
      <c r="B192">
        <v>0.31048999999999999</v>
      </c>
      <c r="C192">
        <f t="shared" si="25"/>
        <v>3.0186726111889999</v>
      </c>
      <c r="D192">
        <v>2.01E-2</v>
      </c>
      <c r="E192">
        <v>3.8158201924077539E-3</v>
      </c>
      <c r="F192">
        <f t="shared" si="26"/>
        <v>1944.45722</v>
      </c>
      <c r="G192">
        <f t="shared" si="40"/>
        <v>-0.31048999999999999</v>
      </c>
      <c r="H192">
        <f t="shared" si="28"/>
        <v>-603.73452223779998</v>
      </c>
      <c r="I192">
        <v>1</v>
      </c>
      <c r="J192">
        <f t="shared" si="29"/>
        <v>0.66498287385737909</v>
      </c>
      <c r="K192">
        <f t="shared" si="41"/>
        <v>-0.86942057297601205</v>
      </c>
      <c r="L192">
        <v>1</v>
      </c>
      <c r="M192">
        <f t="shared" si="31"/>
        <v>0.51906278241462422</v>
      </c>
      <c r="N192">
        <f t="shared" si="42"/>
        <v>0.19541795061</v>
      </c>
      <c r="O192">
        <f t="shared" si="43"/>
        <v>3.7098495616745233E-2</v>
      </c>
      <c r="P192">
        <f t="shared" si="44"/>
        <v>0.11784134433464259</v>
      </c>
    </row>
    <row r="193" spans="1:16" x14ac:dyDescent="0.3">
      <c r="A193">
        <v>9.7732041000000009</v>
      </c>
      <c r="B193">
        <v>0.30775999999999998</v>
      </c>
      <c r="C193">
        <f t="shared" si="25"/>
        <v>3.0078012938160001</v>
      </c>
      <c r="D193">
        <v>2.01E-2</v>
      </c>
      <c r="E193">
        <v>3.8158201924077539E-3</v>
      </c>
      <c r="F193">
        <f t="shared" si="26"/>
        <v>1954.6408200000001</v>
      </c>
      <c r="G193">
        <f t="shared" si="40"/>
        <v>-0.30775999999999998</v>
      </c>
      <c r="H193">
        <f t="shared" si="28"/>
        <v>-601.56025876320007</v>
      </c>
      <c r="I193">
        <v>1</v>
      </c>
      <c r="J193">
        <f t="shared" si="29"/>
        <v>0.67020645277288082</v>
      </c>
      <c r="K193">
        <f t="shared" si="41"/>
        <v>-0.87215057297601195</v>
      </c>
      <c r="L193">
        <v>1</v>
      </c>
      <c r="M193">
        <f t="shared" si="31"/>
        <v>0.51928165037118368</v>
      </c>
      <c r="N193">
        <f t="shared" si="42"/>
        <v>0.19644140241000002</v>
      </c>
      <c r="O193">
        <f t="shared" si="43"/>
        <v>3.7292789549302256E-2</v>
      </c>
      <c r="P193">
        <f t="shared" si="44"/>
        <v>0.11913473064552599</v>
      </c>
    </row>
    <row r="194" spans="1:16" x14ac:dyDescent="0.3">
      <c r="A194">
        <v>9.8246317999999988</v>
      </c>
      <c r="B194">
        <v>0.30534</v>
      </c>
      <c r="C194">
        <f t="shared" si="25"/>
        <v>2.9998530738119995</v>
      </c>
      <c r="D194">
        <v>2.01E-2</v>
      </c>
      <c r="E194">
        <v>3.8158201924077539E-3</v>
      </c>
      <c r="F194">
        <f t="shared" si="26"/>
        <v>1964.9263599999997</v>
      </c>
      <c r="G194">
        <f t="shared" si="40"/>
        <v>-0.30534</v>
      </c>
      <c r="H194">
        <f t="shared" si="28"/>
        <v>-599.97061476239992</v>
      </c>
      <c r="I194">
        <v>1</v>
      </c>
      <c r="J194">
        <f t="shared" si="29"/>
        <v>0.67545476879201605</v>
      </c>
      <c r="K194">
        <f t="shared" si="41"/>
        <v>-0.87457057297601204</v>
      </c>
      <c r="L194">
        <v>1</v>
      </c>
      <c r="M194">
        <f t="shared" si="31"/>
        <v>0.51950155481238547</v>
      </c>
      <c r="N194">
        <f t="shared" si="42"/>
        <v>0.19747509917999997</v>
      </c>
      <c r="O194">
        <f t="shared" si="43"/>
        <v>3.748902840541133E-2</v>
      </c>
      <c r="P194">
        <f t="shared" si="44"/>
        <v>0.12010489057821527</v>
      </c>
    </row>
    <row r="195" spans="1:16" x14ac:dyDescent="0.3">
      <c r="A195">
        <v>9.8760595999999996</v>
      </c>
      <c r="B195">
        <v>0.30231999999999998</v>
      </c>
      <c r="C195">
        <f t="shared" si="25"/>
        <v>2.9857303382719995</v>
      </c>
      <c r="D195">
        <v>2.01E-2</v>
      </c>
      <c r="E195">
        <v>3.8158201924077539E-3</v>
      </c>
      <c r="F195">
        <f t="shared" si="26"/>
        <v>1975.21192</v>
      </c>
      <c r="G195">
        <f t="shared" si="40"/>
        <v>-0.30231999999999998</v>
      </c>
      <c r="H195">
        <f t="shared" si="28"/>
        <v>-597.14606765439987</v>
      </c>
      <c r="I195">
        <v>1</v>
      </c>
      <c r="J195">
        <f t="shared" si="29"/>
        <v>0.6806756938625389</v>
      </c>
      <c r="K195">
        <f t="shared" si="41"/>
        <v>-0.87759057297601206</v>
      </c>
      <c r="L195">
        <v>1</v>
      </c>
      <c r="M195">
        <f t="shared" si="31"/>
        <v>0.51972031157284038</v>
      </c>
      <c r="N195">
        <f t="shared" si="42"/>
        <v>0.19850879795999998</v>
      </c>
      <c r="O195">
        <f t="shared" si="43"/>
        <v>3.7685267643102441E-2</v>
      </c>
      <c r="P195">
        <f t="shared" si="44"/>
        <v>0.12167619580006926</v>
      </c>
    </row>
    <row r="196" spans="1:16" x14ac:dyDescent="0.3">
      <c r="A196">
        <v>9.9264678000000011</v>
      </c>
      <c r="B196">
        <v>0.29977999999999999</v>
      </c>
      <c r="C196">
        <f t="shared" si="25"/>
        <v>2.9757565170840001</v>
      </c>
      <c r="D196">
        <v>2.01E-2</v>
      </c>
      <c r="E196">
        <v>3.8158201924077539E-3</v>
      </c>
      <c r="F196">
        <f t="shared" si="26"/>
        <v>1985.2935600000003</v>
      </c>
      <c r="G196">
        <f t="shared" si="40"/>
        <v>-0.29977999999999999</v>
      </c>
      <c r="H196">
        <f t="shared" si="28"/>
        <v>-595.15130341680003</v>
      </c>
      <c r="I196">
        <v>1</v>
      </c>
      <c r="J196">
        <f t="shared" si="29"/>
        <v>0.68576679237339455</v>
      </c>
      <c r="K196">
        <f t="shared" si="41"/>
        <v>-0.88013057297601205</v>
      </c>
      <c r="L196">
        <v>1</v>
      </c>
      <c r="M196">
        <f t="shared" si="31"/>
        <v>0.51993362860044523</v>
      </c>
      <c r="N196">
        <f t="shared" si="42"/>
        <v>0.19952200278000001</v>
      </c>
      <c r="O196">
        <f t="shared" si="43"/>
        <v>3.7877616270525376E-2</v>
      </c>
      <c r="P196">
        <f t="shared" si="44"/>
        <v>0.12279732532504142</v>
      </c>
    </row>
    <row r="197" spans="1:16" x14ac:dyDescent="0.3">
      <c r="A197">
        <v>9.9784042999999993</v>
      </c>
      <c r="B197">
        <v>0.29713000000000001</v>
      </c>
      <c r="C197">
        <f t="shared" ref="C197:C211" si="45">A197*B197</f>
        <v>2.964883269659</v>
      </c>
      <c r="D197">
        <v>2.01E-2</v>
      </c>
      <c r="E197">
        <v>3.8158201924077539E-3</v>
      </c>
      <c r="F197">
        <f t="shared" ref="F197:F260" si="46">A197*200</f>
        <v>1995.6808599999999</v>
      </c>
      <c r="G197">
        <f t="shared" si="40"/>
        <v>-0.29713000000000001</v>
      </c>
      <c r="H197">
        <f t="shared" ref="H197:H211" si="47">-C197*200</f>
        <v>-592.9766539318</v>
      </c>
      <c r="I197">
        <v>1</v>
      </c>
      <c r="J197">
        <f t="shared" ref="J197:J260" si="48">LN(F197/1000)</f>
        <v>0.69098527532597964</v>
      </c>
      <c r="K197">
        <f t="shared" si="41"/>
        <v>-0.88278057297601198</v>
      </c>
      <c r="L197">
        <v>1</v>
      </c>
      <c r="M197">
        <f t="shared" ref="M197:M260" si="49">-1*($S$4+($S$5*J197))</f>
        <v>0.52015228303615857</v>
      </c>
      <c r="N197">
        <f t="shared" si="42"/>
        <v>0.20056592642999999</v>
      </c>
      <c r="O197">
        <f t="shared" si="43"/>
        <v>3.8075796615948357E-2</v>
      </c>
      <c r="P197">
        <f t="shared" si="44"/>
        <v>0.12398656689390507</v>
      </c>
    </row>
    <row r="198" spans="1:16" x14ac:dyDescent="0.3">
      <c r="A198">
        <v>10.028813</v>
      </c>
      <c r="B198">
        <v>0.29444999999999999</v>
      </c>
      <c r="C198">
        <f t="shared" si="45"/>
        <v>2.9529839878499997</v>
      </c>
      <c r="D198">
        <v>2.01E-2</v>
      </c>
      <c r="E198">
        <v>3.8158201924077539E-3</v>
      </c>
      <c r="F198">
        <f t="shared" si="46"/>
        <v>2005.7626</v>
      </c>
      <c r="G198">
        <f t="shared" si="40"/>
        <v>-0.29444999999999999</v>
      </c>
      <c r="H198">
        <f t="shared" si="47"/>
        <v>-590.59679756999992</v>
      </c>
      <c r="I198">
        <v>1</v>
      </c>
      <c r="J198">
        <f t="shared" si="48"/>
        <v>0.69602433757132132</v>
      </c>
      <c r="K198">
        <f t="shared" si="41"/>
        <v>-0.88546057297601199</v>
      </c>
      <c r="L198">
        <v>1</v>
      </c>
      <c r="M198">
        <f t="shared" si="49"/>
        <v>0.52036341974423839</v>
      </c>
      <c r="N198">
        <f t="shared" si="42"/>
        <v>0.20157914129999999</v>
      </c>
      <c r="O198">
        <f t="shared" si="43"/>
        <v>3.8268147151281386E-2</v>
      </c>
      <c r="P198">
        <f t="shared" si="44"/>
        <v>0.12524986478049224</v>
      </c>
    </row>
    <row r="199" spans="1:16" x14ac:dyDescent="0.3">
      <c r="A199">
        <v>10.085333</v>
      </c>
      <c r="B199">
        <v>0.29177999999999998</v>
      </c>
      <c r="C199">
        <f t="shared" si="45"/>
        <v>2.9426984627400001</v>
      </c>
      <c r="D199">
        <v>2.01E-2</v>
      </c>
      <c r="E199">
        <v>3.8158201924077539E-3</v>
      </c>
      <c r="F199">
        <f t="shared" si="46"/>
        <v>2017.0666000000001</v>
      </c>
      <c r="G199">
        <f t="shared" si="40"/>
        <v>-0.29177999999999998</v>
      </c>
      <c r="H199">
        <f t="shared" si="47"/>
        <v>-588.53969254800006</v>
      </c>
      <c r="I199">
        <v>1</v>
      </c>
      <c r="J199">
        <f t="shared" si="48"/>
        <v>0.70164427776259553</v>
      </c>
      <c r="K199">
        <f t="shared" si="41"/>
        <v>-0.88813057297601206</v>
      </c>
      <c r="L199">
        <v>1</v>
      </c>
      <c r="M199">
        <f t="shared" si="49"/>
        <v>0.52059889523825276</v>
      </c>
      <c r="N199">
        <f t="shared" si="42"/>
        <v>0.20271519330000001</v>
      </c>
      <c r="O199">
        <f t="shared" si="43"/>
        <v>3.8483817308556274E-2</v>
      </c>
      <c r="P199">
        <f t="shared" si="44"/>
        <v>0.12633266712920302</v>
      </c>
    </row>
    <row r="200" spans="1:16" x14ac:dyDescent="0.3">
      <c r="A200">
        <v>10.137779</v>
      </c>
      <c r="B200">
        <v>0.28843999999999997</v>
      </c>
      <c r="C200">
        <f t="shared" si="45"/>
        <v>2.9241409747599998</v>
      </c>
      <c r="D200">
        <v>2.01E-2</v>
      </c>
      <c r="E200">
        <v>3.8158201924077539E-3</v>
      </c>
      <c r="F200">
        <f t="shared" si="46"/>
        <v>2027.5558000000001</v>
      </c>
      <c r="G200">
        <f t="shared" si="40"/>
        <v>-0.28843999999999997</v>
      </c>
      <c r="H200">
        <f t="shared" si="47"/>
        <v>-584.82819495199999</v>
      </c>
      <c r="I200">
        <v>1</v>
      </c>
      <c r="J200">
        <f t="shared" si="48"/>
        <v>0.70683102820701771</v>
      </c>
      <c r="K200">
        <f t="shared" si="41"/>
        <v>-0.89147057297601195</v>
      </c>
      <c r="L200">
        <v>1</v>
      </c>
      <c r="M200">
        <f t="shared" si="49"/>
        <v>0.52081622008187411</v>
      </c>
      <c r="N200">
        <f t="shared" si="42"/>
        <v>0.2037693579</v>
      </c>
      <c r="O200">
        <f t="shared" si="43"/>
        <v>3.8683941814367288E-2</v>
      </c>
      <c r="P200">
        <f t="shared" si="44"/>
        <v>0.12820105317977054</v>
      </c>
    </row>
    <row r="201" spans="1:16" x14ac:dyDescent="0.3">
      <c r="A201">
        <v>10.188696999999999</v>
      </c>
      <c r="B201">
        <v>0.28563</v>
      </c>
      <c r="C201">
        <f t="shared" si="45"/>
        <v>2.91019752411</v>
      </c>
      <c r="D201">
        <v>2.01E-2</v>
      </c>
      <c r="E201">
        <v>3.8158201924077539E-3</v>
      </c>
      <c r="F201">
        <f t="shared" si="46"/>
        <v>2037.7393999999999</v>
      </c>
      <c r="G201">
        <f t="shared" si="40"/>
        <v>-0.28563</v>
      </c>
      <c r="H201">
        <f t="shared" si="47"/>
        <v>-582.03950482200003</v>
      </c>
      <c r="I201">
        <v>1</v>
      </c>
      <c r="J201">
        <f t="shared" si="48"/>
        <v>0.71184105616317217</v>
      </c>
      <c r="K201">
        <f t="shared" si="41"/>
        <v>-0.89428057297601193</v>
      </c>
      <c r="L201">
        <v>1</v>
      </c>
      <c r="M201">
        <f t="shared" si="49"/>
        <v>0.5210261402532369</v>
      </c>
      <c r="N201">
        <f t="shared" si="42"/>
        <v>0.20479280969999999</v>
      </c>
      <c r="O201">
        <f t="shared" si="43"/>
        <v>3.8878235746924304E-2</v>
      </c>
      <c r="P201">
        <f t="shared" si="44"/>
        <v>0.12958338727585073</v>
      </c>
    </row>
    <row r="202" spans="1:16" x14ac:dyDescent="0.3">
      <c r="A202">
        <v>10.240125000000001</v>
      </c>
      <c r="B202">
        <v>0.28275</v>
      </c>
      <c r="C202">
        <f t="shared" si="45"/>
        <v>2.8953953437500002</v>
      </c>
      <c r="D202">
        <v>2.01E-2</v>
      </c>
      <c r="E202">
        <v>3.8158201924077539E-3</v>
      </c>
      <c r="F202">
        <f t="shared" si="46"/>
        <v>2048.0250000000001</v>
      </c>
      <c r="G202">
        <f t="shared" si="40"/>
        <v>-0.28275</v>
      </c>
      <c r="H202">
        <f t="shared" si="47"/>
        <v>-579.07906875000003</v>
      </c>
      <c r="I202">
        <v>1</v>
      </c>
      <c r="J202">
        <f t="shared" si="48"/>
        <v>0.7168759141340062</v>
      </c>
      <c r="K202">
        <f t="shared" si="41"/>
        <v>-0.89716057297601193</v>
      </c>
      <c r="L202">
        <v>1</v>
      </c>
      <c r="M202">
        <f t="shared" si="49"/>
        <v>0.52123710080221486</v>
      </c>
      <c r="N202">
        <f t="shared" si="42"/>
        <v>0.2058265125</v>
      </c>
      <c r="O202">
        <f t="shared" si="43"/>
        <v>3.9074475747779454E-2</v>
      </c>
      <c r="P202">
        <f t="shared" si="44"/>
        <v>0.13102248392601762</v>
      </c>
    </row>
    <row r="203" spans="1:16" x14ac:dyDescent="0.3">
      <c r="A203">
        <v>10.290534000000001</v>
      </c>
      <c r="B203">
        <v>0.28015000000000001</v>
      </c>
      <c r="C203">
        <f t="shared" si="45"/>
        <v>2.8828931001000004</v>
      </c>
      <c r="D203">
        <v>2.01E-2</v>
      </c>
      <c r="E203">
        <v>3.8158201924077539E-3</v>
      </c>
      <c r="F203">
        <f t="shared" si="46"/>
        <v>2058.1068</v>
      </c>
      <c r="G203">
        <f t="shared" si="40"/>
        <v>-0.28015000000000001</v>
      </c>
      <c r="H203">
        <f t="shared" si="47"/>
        <v>-576.57862002000013</v>
      </c>
      <c r="I203">
        <v>1</v>
      </c>
      <c r="J203">
        <f t="shared" si="48"/>
        <v>0.72178653110908841</v>
      </c>
      <c r="K203">
        <f t="shared" si="41"/>
        <v>-0.89976057297601197</v>
      </c>
      <c r="L203">
        <v>1</v>
      </c>
      <c r="M203">
        <f t="shared" si="49"/>
        <v>0.52144285565347082</v>
      </c>
      <c r="N203">
        <f t="shared" si="42"/>
        <v>0.20683973340000003</v>
      </c>
      <c r="O203">
        <f t="shared" si="43"/>
        <v>3.9266827427858537E-2</v>
      </c>
      <c r="P203">
        <f t="shared" si="44"/>
        <v>0.1322111564946826</v>
      </c>
    </row>
    <row r="204" spans="1:16" x14ac:dyDescent="0.3">
      <c r="A204">
        <v>10.346034</v>
      </c>
      <c r="B204">
        <v>0.27721000000000001</v>
      </c>
      <c r="C204">
        <f t="shared" si="45"/>
        <v>2.8680240851400001</v>
      </c>
      <c r="D204">
        <v>2.01E-2</v>
      </c>
      <c r="E204">
        <v>3.8158201924077539E-3</v>
      </c>
      <c r="F204">
        <f t="shared" si="46"/>
        <v>2069.2067999999999</v>
      </c>
      <c r="G204">
        <f t="shared" si="40"/>
        <v>-0.27721000000000001</v>
      </c>
      <c r="H204">
        <f t="shared" si="47"/>
        <v>-573.60481702800007</v>
      </c>
      <c r="I204">
        <v>1</v>
      </c>
      <c r="J204">
        <f t="shared" si="48"/>
        <v>0.72716534543604305</v>
      </c>
      <c r="K204">
        <f t="shared" si="41"/>
        <v>-0.90270057297601203</v>
      </c>
      <c r="L204">
        <v>1</v>
      </c>
      <c r="M204">
        <f t="shared" si="49"/>
        <v>0.52166822797377022</v>
      </c>
      <c r="N204">
        <f t="shared" si="42"/>
        <v>0.2079552834</v>
      </c>
      <c r="O204">
        <f t="shared" si="43"/>
        <v>3.9478605448537166E-2</v>
      </c>
      <c r="P204">
        <f t="shared" si="44"/>
        <v>0.13359845615370464</v>
      </c>
    </row>
    <row r="205" spans="1:16" x14ac:dyDescent="0.3">
      <c r="A205">
        <v>10.39899</v>
      </c>
      <c r="B205">
        <v>0.27363999999999999</v>
      </c>
      <c r="C205">
        <f t="shared" si="45"/>
        <v>2.8455796235999999</v>
      </c>
      <c r="D205">
        <v>2.01E-2</v>
      </c>
      <c r="E205">
        <v>3.8158201924077539E-3</v>
      </c>
      <c r="F205">
        <f t="shared" si="46"/>
        <v>2079.7979999999998</v>
      </c>
      <c r="G205">
        <f t="shared" si="40"/>
        <v>-0.27363999999999999</v>
      </c>
      <c r="H205">
        <f t="shared" si="47"/>
        <v>-569.11592471999995</v>
      </c>
      <c r="I205">
        <v>1</v>
      </c>
      <c r="J205">
        <f t="shared" si="48"/>
        <v>0.73227077361260684</v>
      </c>
      <c r="K205">
        <f t="shared" si="41"/>
        <v>-0.90627057297601199</v>
      </c>
      <c r="L205">
        <v>1</v>
      </c>
      <c r="M205">
        <f t="shared" si="49"/>
        <v>0.52188214541436828</v>
      </c>
      <c r="N205">
        <f t="shared" si="42"/>
        <v>0.20901969899999998</v>
      </c>
      <c r="O205">
        <f t="shared" si="43"/>
        <v>3.9680676022646306E-2</v>
      </c>
      <c r="P205">
        <f t="shared" si="44"/>
        <v>0.13568805253899743</v>
      </c>
    </row>
    <row r="206" spans="1:16" x14ac:dyDescent="0.3">
      <c r="A206">
        <v>10.451436000000001</v>
      </c>
      <c r="B206">
        <v>0.27095000000000002</v>
      </c>
      <c r="C206">
        <f t="shared" si="45"/>
        <v>2.8318165842000007</v>
      </c>
      <c r="D206">
        <v>2.01E-2</v>
      </c>
      <c r="E206">
        <v>3.8158201924077539E-3</v>
      </c>
      <c r="F206">
        <f t="shared" si="46"/>
        <v>2090.2872000000002</v>
      </c>
      <c r="G206">
        <f t="shared" si="40"/>
        <v>-0.27095000000000002</v>
      </c>
      <c r="H206">
        <f t="shared" si="47"/>
        <v>-566.36331684000015</v>
      </c>
      <c r="I206">
        <v>1</v>
      </c>
      <c r="J206">
        <f t="shared" si="48"/>
        <v>0.73730147280391178</v>
      </c>
      <c r="K206">
        <f t="shared" si="41"/>
        <v>-0.90896057297601196</v>
      </c>
      <c r="L206">
        <v>1</v>
      </c>
      <c r="M206">
        <f t="shared" si="49"/>
        <v>0.52209293171048388</v>
      </c>
      <c r="N206">
        <f t="shared" si="42"/>
        <v>0.21007386360000002</v>
      </c>
      <c r="O206">
        <f t="shared" si="43"/>
        <v>3.9880800528457327E-2</v>
      </c>
      <c r="P206">
        <f t="shared" si="44"/>
        <v>0.13691297713707073</v>
      </c>
    </row>
    <row r="207" spans="1:16" x14ac:dyDescent="0.3">
      <c r="A207">
        <v>10.503371999999999</v>
      </c>
      <c r="B207">
        <v>0.26795000000000002</v>
      </c>
      <c r="C207">
        <f t="shared" si="45"/>
        <v>2.8143785273999997</v>
      </c>
      <c r="D207">
        <v>2.01E-2</v>
      </c>
      <c r="E207">
        <v>3.8158201924077539E-3</v>
      </c>
      <c r="F207">
        <f t="shared" si="46"/>
        <v>2100.6743999999999</v>
      </c>
      <c r="G207">
        <f t="shared" si="40"/>
        <v>-0.26795000000000002</v>
      </c>
      <c r="H207">
        <f t="shared" si="47"/>
        <v>-562.87570547999997</v>
      </c>
      <c r="I207">
        <v>1</v>
      </c>
      <c r="J207">
        <f t="shared" si="48"/>
        <v>0.74225843603119024</v>
      </c>
      <c r="K207">
        <f t="shared" si="41"/>
        <v>-0.91196057297601196</v>
      </c>
      <c r="L207">
        <v>1</v>
      </c>
      <c r="M207">
        <f t="shared" si="49"/>
        <v>0.52230062846970693</v>
      </c>
      <c r="N207">
        <f t="shared" si="42"/>
        <v>0.21111777719999997</v>
      </c>
      <c r="O207">
        <f t="shared" si="43"/>
        <v>4.0078978965970208E-2</v>
      </c>
      <c r="P207">
        <f t="shared" si="44"/>
        <v>0.13846318834033486</v>
      </c>
    </row>
    <row r="208" spans="1:16" x14ac:dyDescent="0.3">
      <c r="A208">
        <v>10.556327000000001</v>
      </c>
      <c r="B208">
        <v>0.26485999999999998</v>
      </c>
      <c r="C208">
        <f t="shared" si="45"/>
        <v>2.7959487692200002</v>
      </c>
      <c r="D208">
        <v>2.01E-2</v>
      </c>
      <c r="E208">
        <v>3.8158201924077539E-3</v>
      </c>
      <c r="F208">
        <f t="shared" si="46"/>
        <v>2111.2654000000002</v>
      </c>
      <c r="G208">
        <f t="shared" si="40"/>
        <v>-0.26485999999999998</v>
      </c>
      <c r="H208">
        <f t="shared" si="47"/>
        <v>-559.18975384400005</v>
      </c>
      <c r="I208">
        <v>1</v>
      </c>
      <c r="J208">
        <f t="shared" si="48"/>
        <v>0.74728748337022666</v>
      </c>
      <c r="K208">
        <f t="shared" si="41"/>
        <v>-0.915050572976012</v>
      </c>
      <c r="L208">
        <v>1</v>
      </c>
      <c r="M208">
        <f t="shared" si="49"/>
        <v>0.52251134555321255</v>
      </c>
      <c r="N208">
        <f t="shared" si="42"/>
        <v>0.21218217270000003</v>
      </c>
      <c r="O208">
        <f t="shared" si="43"/>
        <v>4.0281045724259175E-2</v>
      </c>
      <c r="P208">
        <f t="shared" si="44"/>
        <v>0.14007600899854025</v>
      </c>
    </row>
    <row r="209" spans="1:16" x14ac:dyDescent="0.3">
      <c r="A209">
        <v>10.607245000000001</v>
      </c>
      <c r="B209">
        <v>0.26190000000000002</v>
      </c>
      <c r="C209">
        <f t="shared" si="45"/>
        <v>2.7780374655000002</v>
      </c>
      <c r="D209">
        <v>2.01E-2</v>
      </c>
      <c r="E209">
        <v>3.8158201924077539E-3</v>
      </c>
      <c r="F209">
        <f t="shared" si="46"/>
        <v>2121.4490000000001</v>
      </c>
      <c r="G209">
        <f t="shared" si="40"/>
        <v>-0.26190000000000002</v>
      </c>
      <c r="H209">
        <f t="shared" si="47"/>
        <v>-555.60749310000006</v>
      </c>
      <c r="I209">
        <v>1</v>
      </c>
      <c r="J209">
        <f t="shared" si="48"/>
        <v>0.75209934577666038</v>
      </c>
      <c r="K209">
        <f t="shared" si="41"/>
        <v>-0.91801057297601196</v>
      </c>
      <c r="L209">
        <v>1</v>
      </c>
      <c r="M209">
        <f t="shared" si="49"/>
        <v>0.52271296258804212</v>
      </c>
      <c r="N209">
        <f t="shared" si="42"/>
        <v>0.21320562450000002</v>
      </c>
      <c r="O209">
        <f t="shared" si="43"/>
        <v>4.0475339656816191E-2</v>
      </c>
      <c r="P209">
        <f t="shared" si="44"/>
        <v>0.14161664623115364</v>
      </c>
    </row>
    <row r="210" spans="1:16" x14ac:dyDescent="0.3">
      <c r="A210">
        <v>10.658163999999999</v>
      </c>
      <c r="B210">
        <v>0.25879000000000002</v>
      </c>
      <c r="C210">
        <f t="shared" si="45"/>
        <v>2.7582262615599999</v>
      </c>
      <c r="D210">
        <v>2.01E-2</v>
      </c>
      <c r="E210">
        <v>3.8158201924077539E-3</v>
      </c>
      <c r="F210">
        <f t="shared" si="46"/>
        <v>2131.6327999999999</v>
      </c>
      <c r="G210">
        <f t="shared" si="40"/>
        <v>-0.25879000000000002</v>
      </c>
      <c r="H210">
        <f t="shared" si="47"/>
        <v>-551.64525231200003</v>
      </c>
      <c r="I210">
        <v>1</v>
      </c>
      <c r="J210">
        <f t="shared" si="48"/>
        <v>0.75688825882444932</v>
      </c>
      <c r="K210">
        <f t="shared" si="41"/>
        <v>-0.92112057297601191</v>
      </c>
      <c r="L210">
        <v>1</v>
      </c>
      <c r="M210">
        <f t="shared" si="49"/>
        <v>0.52291361804474445</v>
      </c>
      <c r="N210">
        <f t="shared" si="42"/>
        <v>0.21422909639999999</v>
      </c>
      <c r="O210">
        <f t="shared" si="43"/>
        <v>4.0669637405193394E-2</v>
      </c>
      <c r="P210">
        <f t="shared" si="44"/>
        <v>0.14330822112607408</v>
      </c>
    </row>
    <row r="211" spans="1:16" x14ac:dyDescent="0.3">
      <c r="A211">
        <v>10.708572999999999</v>
      </c>
      <c r="B211">
        <v>0.25577</v>
      </c>
      <c r="C211">
        <f t="shared" si="45"/>
        <v>2.7389317162099998</v>
      </c>
      <c r="D211">
        <v>2.01E-2</v>
      </c>
      <c r="E211">
        <v>3.8158201924077539E-3</v>
      </c>
      <c r="F211">
        <f t="shared" si="46"/>
        <v>2141.7145999999998</v>
      </c>
      <c r="G211">
        <f t="shared" si="40"/>
        <v>-0.25577</v>
      </c>
      <c r="H211">
        <f t="shared" si="47"/>
        <v>-547.78634324199993</v>
      </c>
      <c r="I211">
        <v>1</v>
      </c>
      <c r="J211">
        <f t="shared" si="48"/>
        <v>0.7616067231856728</v>
      </c>
      <c r="K211">
        <f t="shared" si="41"/>
        <v>-0.92414057297601193</v>
      </c>
      <c r="L211">
        <v>1</v>
      </c>
      <c r="M211">
        <f t="shared" si="49"/>
        <v>0.52311132170147967</v>
      </c>
      <c r="N211">
        <f t="shared" si="42"/>
        <v>0.21524231729999999</v>
      </c>
      <c r="O211">
        <f t="shared" si="43"/>
        <v>4.0861989085272478E-2</v>
      </c>
      <c r="P211">
        <f t="shared" si="44"/>
        <v>0.1449249448892598</v>
      </c>
    </row>
    <row r="212" spans="1:16" x14ac:dyDescent="0.3">
      <c r="A212">
        <v>10.76</v>
      </c>
      <c r="B212">
        <v>0.25276999999999999</v>
      </c>
      <c r="C212">
        <f t="shared" ref="C212:C275" si="50">A212*B212</f>
        <v>2.7198051999999997</v>
      </c>
      <c r="D212">
        <v>2.01E-2</v>
      </c>
      <c r="E212">
        <v>3.8158201924077539E-3</v>
      </c>
      <c r="F212">
        <f t="shared" si="46"/>
        <v>2152</v>
      </c>
      <c r="G212">
        <f t="shared" ref="G212:G275" si="51">-B212</f>
        <v>-0.25276999999999999</v>
      </c>
      <c r="H212">
        <f t="shared" ref="H212:H275" si="52">-C212*200</f>
        <v>-543.96103999999991</v>
      </c>
      <c r="I212">
        <v>1</v>
      </c>
      <c r="J212">
        <f t="shared" si="48"/>
        <v>0.766397642299538</v>
      </c>
      <c r="K212">
        <f t="shared" ref="K212:K275" si="53">((-G212)-$N$2)</f>
        <v>-0.92714057297601205</v>
      </c>
      <c r="L212">
        <v>1</v>
      </c>
      <c r="M212">
        <f t="shared" si="49"/>
        <v>0.52331206121235063</v>
      </c>
      <c r="N212">
        <f t="shared" ref="N212:N275" si="54">D212*A212</f>
        <v>0.216276</v>
      </c>
      <c r="O212">
        <f t="shared" ref="O212:O275" si="55">E212*A212</f>
        <v>4.1058225270307433E-2</v>
      </c>
      <c r="P212">
        <f t="shared" ref="P212:P275" si="56">-K212-M212-N212-O212</f>
        <v>0.146494286493354</v>
      </c>
    </row>
    <row r="213" spans="1:16" x14ac:dyDescent="0.3">
      <c r="A213">
        <v>10.773239</v>
      </c>
      <c r="B213">
        <v>0.25174000000000002</v>
      </c>
      <c r="C213">
        <f t="shared" si="50"/>
        <v>2.7120551858600002</v>
      </c>
      <c r="D213">
        <v>2.01E-2</v>
      </c>
      <c r="E213">
        <v>3.8158201924077539E-3</v>
      </c>
      <c r="F213">
        <f t="shared" si="46"/>
        <v>2154.6478000000002</v>
      </c>
      <c r="G213">
        <f t="shared" si="51"/>
        <v>-0.25174000000000002</v>
      </c>
      <c r="H213">
        <f t="shared" si="52"/>
        <v>-542.41103717200008</v>
      </c>
      <c r="I213">
        <v>1</v>
      </c>
      <c r="J213">
        <f t="shared" si="48"/>
        <v>0.76762727632423022</v>
      </c>
      <c r="K213">
        <f t="shared" si="53"/>
        <v>-0.92817057297601191</v>
      </c>
      <c r="L213">
        <v>1</v>
      </c>
      <c r="M213">
        <f t="shared" si="49"/>
        <v>0.52336358287798523</v>
      </c>
      <c r="N213">
        <f t="shared" si="54"/>
        <v>0.2165421039</v>
      </c>
      <c r="O213">
        <f t="shared" si="55"/>
        <v>4.110874291383472E-2</v>
      </c>
      <c r="P213">
        <f t="shared" si="56"/>
        <v>0.14715614328419196</v>
      </c>
    </row>
    <row r="214" spans="1:16" x14ac:dyDescent="0.3">
      <c r="C214">
        <f t="shared" si="50"/>
        <v>0</v>
      </c>
      <c r="D214">
        <v>2.01E-2</v>
      </c>
      <c r="E214">
        <v>3.8158201924077539E-3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-1.179910572976012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1:16" x14ac:dyDescent="0.3">
      <c r="C215">
        <f t="shared" si="50"/>
        <v>0</v>
      </c>
      <c r="D215">
        <v>2.01E-2</v>
      </c>
      <c r="E215">
        <v>3.8158201924077539E-3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-1.179910572976012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1:16" x14ac:dyDescent="0.3">
      <c r="C216">
        <f t="shared" si="50"/>
        <v>0</v>
      </c>
      <c r="D216">
        <v>2.01E-2</v>
      </c>
      <c r="E216">
        <v>3.8158201924077539E-3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-1.179910572976012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1:16" x14ac:dyDescent="0.3">
      <c r="C217">
        <f t="shared" si="50"/>
        <v>0</v>
      </c>
      <c r="D217">
        <v>2.01E-2</v>
      </c>
      <c r="E217">
        <v>3.8158201924077539E-3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-1.179910572976012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1:16" x14ac:dyDescent="0.3">
      <c r="C218">
        <f t="shared" si="50"/>
        <v>0</v>
      </c>
      <c r="D218">
        <v>2.01E-2</v>
      </c>
      <c r="E218">
        <v>3.8158201924077539E-3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-1.179910572976012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1:16" x14ac:dyDescent="0.3">
      <c r="C219">
        <f t="shared" si="50"/>
        <v>0</v>
      </c>
      <c r="D219">
        <v>2.01E-2</v>
      </c>
      <c r="E219">
        <v>3.8158201924077539E-3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-1.179910572976012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1:16" x14ac:dyDescent="0.3">
      <c r="C220">
        <f t="shared" si="50"/>
        <v>0</v>
      </c>
      <c r="D220">
        <v>2.01E-2</v>
      </c>
      <c r="E220">
        <v>3.8158201924077539E-3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-1.179910572976012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1:16" x14ac:dyDescent="0.3">
      <c r="C221">
        <f t="shared" si="50"/>
        <v>0</v>
      </c>
      <c r="D221">
        <v>2.01E-2</v>
      </c>
      <c r="E221">
        <v>3.8158201924077539E-3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-1.179910572976012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1:16" x14ac:dyDescent="0.3">
      <c r="C222">
        <f t="shared" si="50"/>
        <v>0</v>
      </c>
      <c r="D222">
        <v>2.01E-2</v>
      </c>
      <c r="E222">
        <v>3.8158201924077539E-3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-1.179910572976012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1:16" x14ac:dyDescent="0.3">
      <c r="C223">
        <f t="shared" si="50"/>
        <v>0</v>
      </c>
      <c r="D223">
        <v>2.01E-2</v>
      </c>
      <c r="E223">
        <v>3.8158201924077539E-3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-1.179910572976012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1:16" x14ac:dyDescent="0.3">
      <c r="C224">
        <f t="shared" si="50"/>
        <v>0</v>
      </c>
      <c r="D224">
        <v>2.01E-2</v>
      </c>
      <c r="E224">
        <v>3.8158201924077539E-3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-1.179910572976012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 x14ac:dyDescent="0.3">
      <c r="C225">
        <f t="shared" si="50"/>
        <v>0</v>
      </c>
      <c r="D225">
        <v>2.01E-2</v>
      </c>
      <c r="E225">
        <v>3.8158201924077539E-3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-1.179910572976012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 x14ac:dyDescent="0.3">
      <c r="C226">
        <f t="shared" si="50"/>
        <v>0</v>
      </c>
      <c r="D226">
        <v>2.01E-2</v>
      </c>
      <c r="E226">
        <v>3.8158201924077539E-3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-1.179910572976012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 x14ac:dyDescent="0.3">
      <c r="C227">
        <f t="shared" si="50"/>
        <v>0</v>
      </c>
      <c r="D227">
        <v>2.01E-2</v>
      </c>
      <c r="E227">
        <v>3.8158201924077539E-3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-1.179910572976012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 x14ac:dyDescent="0.3">
      <c r="C228">
        <f t="shared" si="50"/>
        <v>0</v>
      </c>
      <c r="D228">
        <v>2.01E-2</v>
      </c>
      <c r="E228">
        <v>3.8158201924077539E-3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-1.179910572976012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 x14ac:dyDescent="0.3">
      <c r="C229">
        <f t="shared" si="50"/>
        <v>0</v>
      </c>
      <c r="D229">
        <v>2.01E-2</v>
      </c>
      <c r="E229">
        <v>3.8158201924077539E-3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-1.179910572976012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 x14ac:dyDescent="0.3">
      <c r="C230">
        <f t="shared" si="50"/>
        <v>0</v>
      </c>
      <c r="D230">
        <v>2.01E-2</v>
      </c>
      <c r="E230">
        <v>3.8158201924077539E-3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-1.179910572976012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 x14ac:dyDescent="0.3">
      <c r="C231">
        <f t="shared" si="50"/>
        <v>0</v>
      </c>
      <c r="D231">
        <v>2.01E-2</v>
      </c>
      <c r="E231">
        <v>3.8158201924077539E-3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-1.179910572976012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 x14ac:dyDescent="0.3">
      <c r="C232">
        <f t="shared" si="50"/>
        <v>0</v>
      </c>
      <c r="D232">
        <v>2.01E-2</v>
      </c>
      <c r="E232">
        <v>3.8158201924077539E-3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-1.179910572976012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 x14ac:dyDescent="0.3">
      <c r="C233">
        <f t="shared" si="50"/>
        <v>0</v>
      </c>
      <c r="D233">
        <v>2.01E-2</v>
      </c>
      <c r="E233">
        <v>3.8158201924077539E-3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-1.179910572976012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 x14ac:dyDescent="0.3">
      <c r="C234">
        <f t="shared" si="50"/>
        <v>0</v>
      </c>
      <c r="D234">
        <v>2.01E-2</v>
      </c>
      <c r="E234">
        <v>3.8158201924077539E-3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-1.179910572976012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 x14ac:dyDescent="0.3">
      <c r="C235">
        <f t="shared" si="50"/>
        <v>0</v>
      </c>
      <c r="D235">
        <v>2.01E-2</v>
      </c>
      <c r="E235">
        <v>3.8158201924077539E-3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-1.179910572976012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 x14ac:dyDescent="0.3">
      <c r="C236">
        <f t="shared" si="50"/>
        <v>0</v>
      </c>
      <c r="D236">
        <v>2.01E-2</v>
      </c>
      <c r="E236">
        <v>3.8158201924077539E-3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-1.179910572976012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 x14ac:dyDescent="0.3">
      <c r="C237">
        <f t="shared" si="50"/>
        <v>0</v>
      </c>
      <c r="D237">
        <v>2.01E-2</v>
      </c>
      <c r="E237">
        <v>3.8158201924077539E-3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-1.179910572976012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 x14ac:dyDescent="0.3">
      <c r="C238">
        <f t="shared" si="50"/>
        <v>0</v>
      </c>
      <c r="D238">
        <v>2.01E-2</v>
      </c>
      <c r="E238">
        <v>3.8158201924077539E-3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-1.179910572976012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 x14ac:dyDescent="0.3">
      <c r="C239">
        <f t="shared" si="50"/>
        <v>0</v>
      </c>
      <c r="D239">
        <v>2.01E-2</v>
      </c>
      <c r="E239">
        <v>3.8158201924077539E-3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-1.179910572976012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 x14ac:dyDescent="0.3">
      <c r="C240">
        <f t="shared" si="50"/>
        <v>0</v>
      </c>
      <c r="D240">
        <v>2.01E-2</v>
      </c>
      <c r="E240">
        <v>3.8158201924077539E-3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-1.179910572976012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2.01E-2</v>
      </c>
      <c r="E241">
        <v>3.8158201924077539E-3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-1.179910572976012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2.01E-2</v>
      </c>
      <c r="E242">
        <v>3.8158201924077539E-3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-1.179910572976012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2.01E-2</v>
      </c>
      <c r="E243">
        <v>3.8158201924077539E-3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-1.179910572976012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2.01E-2</v>
      </c>
      <c r="E244">
        <v>3.8158201924077539E-3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-1.179910572976012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2.01E-2</v>
      </c>
      <c r="E245">
        <v>3.8158201924077539E-3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-1.179910572976012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2.01E-2</v>
      </c>
      <c r="E246">
        <v>3.8158201924077539E-3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-1.179910572976012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2.01E-2</v>
      </c>
      <c r="E247">
        <v>3.8158201924077539E-3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-1.179910572976012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2.01E-2</v>
      </c>
      <c r="E248">
        <v>3.8158201924077539E-3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-1.179910572976012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2.01E-2</v>
      </c>
      <c r="E249">
        <v>3.8158201924077539E-3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-1.179910572976012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2.01E-2</v>
      </c>
      <c r="E250">
        <v>3.8158201924077539E-3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-1.179910572976012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2.01E-2</v>
      </c>
      <c r="E251">
        <v>3.8158201924077539E-3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-1.179910572976012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2.01E-2</v>
      </c>
      <c r="E252">
        <v>3.8158201924077539E-3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-1.179910572976012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2.01E-2</v>
      </c>
      <c r="E253">
        <v>3.8158201924077539E-3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-1.179910572976012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2.01E-2</v>
      </c>
      <c r="E254">
        <v>3.8158201924077539E-3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-1.179910572976012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2.01E-2</v>
      </c>
      <c r="E255">
        <v>3.8158201924077539E-3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-1.179910572976012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2.01E-2</v>
      </c>
      <c r="E256">
        <v>3.8158201924077539E-3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-1.179910572976012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2.01E-2</v>
      </c>
      <c r="E257">
        <v>3.8158201924077539E-3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-1.179910572976012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2.01E-2</v>
      </c>
      <c r="E258">
        <v>3.8158201924077539E-3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-1.179910572976012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2.01E-2</v>
      </c>
      <c r="E259">
        <v>3.8158201924077539E-3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-1.179910572976012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2.01E-2</v>
      </c>
      <c r="E260">
        <v>3.8158201924077539E-3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-1.179910572976012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2.01E-2</v>
      </c>
      <c r="E261">
        <v>3.8158201924077539E-3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-1.179910572976012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2.01E-2</v>
      </c>
      <c r="E262">
        <v>3.8158201924077539E-3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-1.179910572976012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2.01E-2</v>
      </c>
      <c r="E263">
        <v>3.8158201924077539E-3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-1.179910572976012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2.01E-2</v>
      </c>
      <c r="E264">
        <v>3.8158201924077539E-3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-1.179910572976012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2.01E-2</v>
      </c>
      <c r="E265">
        <v>3.8158201924077539E-3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-1.179910572976012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2.01E-2</v>
      </c>
      <c r="E266">
        <v>3.8158201924077539E-3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-1.179910572976012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2.01E-2</v>
      </c>
      <c r="E267">
        <v>3.8158201924077539E-3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-1.179910572976012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2.01E-2</v>
      </c>
      <c r="E268">
        <v>3.8158201924077539E-3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-1.179910572976012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2.01E-2</v>
      </c>
      <c r="E269">
        <v>3.8158201924077539E-3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-1.179910572976012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2.01E-2</v>
      </c>
      <c r="E270">
        <v>3.8158201924077539E-3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-1.179910572976012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2.01E-2</v>
      </c>
      <c r="E271">
        <v>3.8158201924077539E-3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-1.179910572976012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2.01E-2</v>
      </c>
      <c r="E272">
        <v>3.8158201924077539E-3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-1.179910572976012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2.01E-2</v>
      </c>
      <c r="E273">
        <v>3.8158201924077539E-3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-1.179910572976012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2.01E-2</v>
      </c>
      <c r="E274">
        <v>3.8158201924077539E-3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-1.179910572976012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2.01E-2</v>
      </c>
      <c r="E275">
        <v>3.8158201924077539E-3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-1.179910572976012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2.01E-2</v>
      </c>
      <c r="E276">
        <v>3.8158201924077539E-3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-1.179910572976012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2.01E-2</v>
      </c>
      <c r="E277">
        <v>3.8158201924077539E-3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-1.179910572976012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2.01E-2</v>
      </c>
      <c r="E278">
        <v>3.8158201924077539E-3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-1.179910572976012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2.01E-2</v>
      </c>
      <c r="E279">
        <v>3.8158201924077539E-3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-1.179910572976012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2.01E-2</v>
      </c>
      <c r="E280">
        <v>3.8158201924077539E-3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-1.179910572976012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2.01E-2</v>
      </c>
      <c r="E281">
        <v>3.8158201924077539E-3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-1.179910572976012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2.01E-2</v>
      </c>
      <c r="E282">
        <v>3.8158201924077539E-3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-1.179910572976012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2.01E-2</v>
      </c>
      <c r="E283">
        <v>3.8158201924077539E-3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-1.179910572976012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2.01E-2</v>
      </c>
      <c r="E284">
        <v>3.8158201924077539E-3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-1.179910572976012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2.01E-2</v>
      </c>
      <c r="E285">
        <v>3.8158201924077539E-3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-1.179910572976012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2.01E-2</v>
      </c>
      <c r="E286">
        <v>3.8158201924077539E-3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-1.179910572976012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2.01E-2</v>
      </c>
      <c r="E287">
        <v>3.8158201924077539E-3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-1.179910572976012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2.01E-2</v>
      </c>
      <c r="E288">
        <v>3.8158201924077539E-3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-1.179910572976012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2.01E-2</v>
      </c>
      <c r="E289">
        <v>3.8158201924077539E-3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-1.179910572976012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2.01E-2</v>
      </c>
      <c r="E290">
        <v>3.8158201924077539E-3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-1.179910572976012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2.01E-2</v>
      </c>
      <c r="E291">
        <v>3.8158201924077539E-3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-1.179910572976012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2.01E-2</v>
      </c>
      <c r="E292">
        <v>3.8158201924077539E-3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-1.179910572976012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2.01E-2</v>
      </c>
      <c r="E293">
        <v>3.8158201924077539E-3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-1.179910572976012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2.01E-2</v>
      </c>
      <c r="E294">
        <v>3.8158201924077539E-3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-1.179910572976012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2.01E-2</v>
      </c>
      <c r="E295">
        <v>3.8158201924077539E-3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-1.179910572976012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2.01E-2</v>
      </c>
      <c r="E296">
        <v>3.8158201924077539E-3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-1.179910572976012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2.01E-2</v>
      </c>
      <c r="E297">
        <v>3.8158201924077539E-3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-1.179910572976012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2.01E-2</v>
      </c>
      <c r="E298">
        <v>3.8158201924077539E-3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-1.179910572976012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2.01E-2</v>
      </c>
      <c r="E299">
        <v>3.8158201924077539E-3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-1.179910572976012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2.01E-2</v>
      </c>
      <c r="E300">
        <v>3.8158201924077539E-3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-1.179910572976012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2.01E-2</v>
      </c>
      <c r="E301">
        <v>3.8158201924077539E-3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-1.179910572976012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2.01E-2</v>
      </c>
      <c r="E302">
        <v>3.8158201924077539E-3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-1.179910572976012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2.01E-2</v>
      </c>
      <c r="E303">
        <v>3.8158201924077539E-3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-1.179910572976012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1.179910572976012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-0.31775649707346809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-0.32755694601335028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-0.33547398075868595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-0.34631824823682411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-0.34771106025840737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-0.35791743224223349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-0.36302915267266722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-0.36737433428380284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-0.37126499784125777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-0.3771984742993304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-0.3791141905199179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-0.38635584264983625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-0.38799567548098068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-0.39301701211931195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-0.39557758404405807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-0.39895319816111419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-0.40173044283251858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-0.40379981562726597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-0.40807027207822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-0.41058256117497771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-0.41512207126596967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-0.4152430154300818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-0.41865723577358227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-0.42020708752562497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-0.42566361695962052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-0.42540201099779107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-0.43208486360237397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-0.4315008944110762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-0.43448400066043835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-0.43603636181272964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-0.44122560042934522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-0.43979555125150482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-0.44557747531220704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-0.4455289144128749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-0.4499314018839935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-0.44846920116354916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-0.4537519083866367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-0.45263708583631013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-0.45767645103978005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-0.4569680449130723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-0.46159475842495645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-0.46221935475378129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-0.46465039846375977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-0.46597961075620742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-0.46667160196374746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-0.46891890668024505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-0.47210834185268369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-0.47254712513451669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-0.47522493514909236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-0.47794249136805933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-0.47996368926020361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-0.47945188178997145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-0.48306794009448972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-0.48655057781781652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-0.48540458812912202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-0.48532693353417911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-0.49044909742166498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-0.49108584776713338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-0.49277137140338523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-0.492621743093271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-0.49249600155522322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-0.49752484004012143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-0.50048345700425301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-0.50046776850609875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-0.50248032168887946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-0.50210941456063485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-0.50396947921745872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-0.50203230655460451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-0.50640734815434019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-0.50804671216367581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-0.51205973602570998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-0.51244931741132249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-0.5091586144346486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-0.5117823378683517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-0.51321719919641706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-0.51757198319091302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-0.51759515330781436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-0.51921337115733723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-0.51886376724322536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-0.52063481099422659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-0.51857533221711605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-0.5235943097433039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-0.52522364658059562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-0.52147346837889041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-0.52926385020682598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-0.52576852522577733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-0.52817293787868713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-0.52922176709853497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-0.53010000377172628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-0.53182555027850353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-0.53024474498929475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-0.5346441220892707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-0.53134502799658867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-0.53723053214137639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-0.53406292997818083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-0.53856844003232218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-0.53727791731480146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-0.53942153359400136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-0.53836898454435556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-0.54227679826231701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-0.54155216273166629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-0.54387965298279017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-0.54493852546979882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-0.54740831652041166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-0.54643149112050626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-0.546410741722543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-0.54977761355036892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-0.54730853837292293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-0.54811383455516793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-0.5564104941175172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-0.54942332974268893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-0.54959864582647777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-0.55304122647738851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-0.55220645998475348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-0.55690438823047672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-0.55439231119843224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-0.55473059510194167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-0.55988963998736829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-0.5547697109193841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-0.56047096653087836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-0.55681200967123001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-0.55822325332190481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-0.56457201859416462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-0.56033793175615765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-0.55779725236802191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-0.56470703057890037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-0.5586435056559631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-0.56502985727076627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-0.56690695434432126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-0.56414683321261805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-0.57076494562730584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-0.5675414789996186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-0.56973985840966201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-0.56867395754146977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-0.57142759712176416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-0.56965264655001857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-0.57239621367158389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-0.56976920496859051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-0.57393423416985967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-0.56783052872603035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-0.57772383977915742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-0.57593243574010233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-0.57576620597385264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-0.57846903967811558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-0.5685219289391229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-0.58038117018218727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-0.57645106110354161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-0.58035765980522724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-0.58104078488910593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-0.58043960964754626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-0.57711655827089037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-0.58163554453660937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-0.58139504048745727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-0.58199554384605989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-0.58670284545489049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-0.58408073316915721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-0.58737214665104831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-0.58295318004234531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-0.59098450762112831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-0.5846556829143652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-0.59058966837452742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-0.5873978074785362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-0.59211052766366701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-0.58566725199927783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-0.59321316723911854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-0.58981610628192516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-0.59313547702628766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-0.59284738218309385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-0.59063454252154024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-0.59177062711684802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-0.5989440985726604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-0.59367577938291827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-0.59615275359769559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-0.59618324768002717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-0.59314928930791122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-0.59834350716449713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-0.5999984916643688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-0.59670876868118738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-0.59480336731310579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-0.59543019529198493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-0.59566458515364318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-0.60122443613844001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-0.60469597230874395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-0.60829459105043504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-0.59983176375870795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-0.60343127611352898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-0.60372321337868673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-0.6059701288511643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-0.60458992291571589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-0.61047180304222193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-0.60003083149968484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-0.61009481698282464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-0.61092232841967442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-0.61048678814177604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-0.61777550389211278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-0.6199774649825136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-0.6203014151481876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-0.62258708845319244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-0.62336735335211846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-0.62538156965928171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-0.62490031107508048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-0.6270768080721687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-0.62674174645309544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-0.62866392101820201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-0.62924335561027034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-0.63137175281759006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-0.63108843792082758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-0.63320692326315142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-0.63360501011626813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-0.63570217175536259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-0.6353287023076305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-0.63821354379572359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-0.63807195185377097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-0.64021893557002041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-0.64085577070533128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-0.64278835452501859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-0.64254917419667934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-0.64221116659568644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-0.64516712658013786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-0.64459055307971336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-0.64683452659525364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-0.6469348542211244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2026-04-20T00:37:16Z</dcterms:modified>
</cp:coreProperties>
</file>