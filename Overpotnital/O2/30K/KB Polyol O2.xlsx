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O2\"/>
    </mc:Choice>
  </mc:AlternateContent>
  <xr:revisionPtr revIDLastSave="0" documentId="13_ncr:1_{3672F485-C042-46B0-BEA0-CF612042E686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3" l="1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2" i="3"/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4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" i="3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35" i="1" l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J212" i="1"/>
  <c r="M212" i="1" s="1"/>
  <c r="G212" i="1"/>
  <c r="C213" i="1"/>
  <c r="H213" i="1" s="1"/>
  <c r="J213" i="1"/>
  <c r="M213" i="1" s="1"/>
  <c r="G213" i="1"/>
  <c r="C214" i="1"/>
  <c r="H214" i="1" s="1"/>
  <c r="J214" i="1"/>
  <c r="M214" i="1" s="1"/>
  <c r="G214" i="1"/>
  <c r="C215" i="1"/>
  <c r="H215" i="1" s="1"/>
  <c r="J215" i="1"/>
  <c r="M215" i="1" s="1"/>
  <c r="G215" i="1"/>
  <c r="C216" i="1"/>
  <c r="H216" i="1" s="1"/>
  <c r="J216" i="1"/>
  <c r="M216" i="1" s="1"/>
  <c r="G216" i="1"/>
  <c r="C217" i="1"/>
  <c r="H217" i="1" s="1"/>
  <c r="J217" i="1"/>
  <c r="M217" i="1" s="1"/>
  <c r="G217" i="1"/>
  <c r="C218" i="1"/>
  <c r="H218" i="1" s="1"/>
  <c r="J218" i="1"/>
  <c r="M218" i="1" s="1"/>
  <c r="G218" i="1"/>
  <c r="C219" i="1"/>
  <c r="H219" i="1" s="1"/>
  <c r="J219" i="1"/>
  <c r="M219" i="1" s="1"/>
  <c r="G219" i="1"/>
  <c r="C220" i="1"/>
  <c r="H220" i="1" s="1"/>
  <c r="J220" i="1"/>
  <c r="M220" i="1" s="1"/>
  <c r="G220" i="1"/>
  <c r="C221" i="1"/>
  <c r="H221" i="1" s="1"/>
  <c r="J221" i="1"/>
  <c r="M221" i="1" s="1"/>
  <c r="G221" i="1"/>
  <c r="C222" i="1"/>
  <c r="H222" i="1" s="1"/>
  <c r="J222" i="1"/>
  <c r="M222" i="1" s="1"/>
  <c r="G222" i="1"/>
  <c r="C223" i="1"/>
  <c r="H223" i="1" s="1"/>
  <c r="J223" i="1"/>
  <c r="M223" i="1" s="1"/>
  <c r="G223" i="1"/>
  <c r="C224" i="1"/>
  <c r="H224" i="1" s="1"/>
  <c r="J224" i="1"/>
  <c r="M224" i="1" s="1"/>
  <c r="G224" i="1"/>
  <c r="C225" i="1"/>
  <c r="H225" i="1" s="1"/>
  <c r="J225" i="1"/>
  <c r="M225" i="1" s="1"/>
  <c r="G225" i="1"/>
  <c r="C226" i="1"/>
  <c r="H226" i="1" s="1"/>
  <c r="J226" i="1"/>
  <c r="M226" i="1" s="1"/>
  <c r="G226" i="1"/>
  <c r="C227" i="1"/>
  <c r="H227" i="1" s="1"/>
  <c r="J227" i="1"/>
  <c r="M227" i="1" s="1"/>
  <c r="G227" i="1"/>
  <c r="C228" i="1"/>
  <c r="H228" i="1" s="1"/>
  <c r="J228" i="1"/>
  <c r="M228" i="1" s="1"/>
  <c r="G228" i="1"/>
  <c r="C229" i="1"/>
  <c r="H229" i="1" s="1"/>
  <c r="J229" i="1"/>
  <c r="M229" i="1" s="1"/>
  <c r="G229" i="1"/>
  <c r="C230" i="1"/>
  <c r="H230" i="1" s="1"/>
  <c r="J230" i="1"/>
  <c r="M230" i="1" s="1"/>
  <c r="G230" i="1"/>
  <c r="C231" i="1"/>
  <c r="H231" i="1" s="1"/>
  <c r="J231" i="1"/>
  <c r="M231" i="1" s="1"/>
  <c r="G231" i="1"/>
  <c r="C232" i="1"/>
  <c r="H232" i="1" s="1"/>
  <c r="J232" i="1"/>
  <c r="M232" i="1" s="1"/>
  <c r="G232" i="1"/>
  <c r="C233" i="1"/>
  <c r="H233" i="1" s="1"/>
  <c r="J233" i="1"/>
  <c r="M233" i="1" s="1"/>
  <c r="G233" i="1"/>
  <c r="C234" i="1"/>
  <c r="H234" i="1" s="1"/>
  <c r="J234" i="1"/>
  <c r="M234" i="1" s="1"/>
  <c r="G234" i="1"/>
  <c r="C235" i="1"/>
  <c r="H235" i="1" s="1"/>
  <c r="G235" i="1"/>
  <c r="C236" i="1"/>
  <c r="H236" i="1" s="1"/>
  <c r="G236" i="1"/>
  <c r="C237" i="1"/>
  <c r="H237" i="1" s="1"/>
  <c r="G237" i="1"/>
  <c r="C238" i="1"/>
  <c r="H238" i="1" s="1"/>
  <c r="G238" i="1"/>
  <c r="C239" i="1"/>
  <c r="H239" i="1" s="1"/>
  <c r="G239" i="1"/>
  <c r="C240" i="1"/>
  <c r="H240" i="1" s="1"/>
  <c r="G240" i="1"/>
  <c r="C241" i="1"/>
  <c r="H241" i="1" s="1"/>
  <c r="G241" i="1"/>
  <c r="C242" i="1"/>
  <c r="H242" i="1" s="1"/>
  <c r="G242" i="1"/>
  <c r="C243" i="1"/>
  <c r="H243" i="1" s="1"/>
  <c r="G243" i="1"/>
  <c r="C244" i="1"/>
  <c r="H244" i="1" s="1"/>
  <c r="G244" i="1"/>
  <c r="C245" i="1"/>
  <c r="H245" i="1" s="1"/>
  <c r="G245" i="1"/>
  <c r="C246" i="1"/>
  <c r="H246" i="1" s="1"/>
  <c r="G246" i="1"/>
  <c r="C247" i="1"/>
  <c r="H247" i="1" s="1"/>
  <c r="G247" i="1"/>
  <c r="C248" i="1"/>
  <c r="H248" i="1" s="1"/>
  <c r="G248" i="1"/>
  <c r="C249" i="1"/>
  <c r="H249" i="1" s="1"/>
  <c r="G249" i="1"/>
  <c r="C250" i="1"/>
  <c r="H250" i="1" s="1"/>
  <c r="G250" i="1"/>
  <c r="C251" i="1"/>
  <c r="H251" i="1" s="1"/>
  <c r="G251" i="1"/>
  <c r="C252" i="1"/>
  <c r="H252" i="1" s="1"/>
  <c r="G252" i="1"/>
  <c r="C253" i="1"/>
  <c r="H253" i="1" s="1"/>
  <c r="G253" i="1"/>
  <c r="C254" i="1"/>
  <c r="H254" i="1" s="1"/>
  <c r="G254" i="1"/>
  <c r="C255" i="1"/>
  <c r="H255" i="1" s="1"/>
  <c r="G255" i="1"/>
  <c r="C256" i="1"/>
  <c r="H256" i="1" s="1"/>
  <c r="G256" i="1"/>
  <c r="C257" i="1"/>
  <c r="H257" i="1" s="1"/>
  <c r="G257" i="1"/>
  <c r="C258" i="1"/>
  <c r="H258" i="1" s="1"/>
  <c r="G258" i="1"/>
  <c r="C259" i="1"/>
  <c r="H259" i="1" s="1"/>
  <c r="G259" i="1"/>
  <c r="C260" i="1"/>
  <c r="H260" i="1" s="1"/>
  <c r="G260" i="1"/>
  <c r="C261" i="1"/>
  <c r="H261" i="1" s="1"/>
  <c r="G261" i="1"/>
  <c r="C262" i="1"/>
  <c r="H262" i="1" s="1"/>
  <c r="G262" i="1"/>
  <c r="C263" i="1"/>
  <c r="H263" i="1" s="1"/>
  <c r="G263" i="1"/>
  <c r="C264" i="1"/>
  <c r="H264" i="1" s="1"/>
  <c r="G264" i="1"/>
  <c r="C265" i="1"/>
  <c r="H265" i="1" s="1"/>
  <c r="G265" i="1"/>
  <c r="C266" i="1"/>
  <c r="H266" i="1" s="1"/>
  <c r="G266" i="1"/>
  <c r="C267" i="1"/>
  <c r="H267" i="1" s="1"/>
  <c r="G267" i="1"/>
  <c r="C268" i="1"/>
  <c r="H268" i="1" s="1"/>
  <c r="G268" i="1"/>
  <c r="C269" i="1"/>
  <c r="H269" i="1" s="1"/>
  <c r="G269" i="1"/>
  <c r="C270" i="1"/>
  <c r="H270" i="1" s="1"/>
  <c r="G270" i="1"/>
  <c r="C271" i="1"/>
  <c r="H271" i="1" s="1"/>
  <c r="G271" i="1"/>
  <c r="C272" i="1"/>
  <c r="H272" i="1" s="1"/>
  <c r="G272" i="1"/>
  <c r="C273" i="1"/>
  <c r="H273" i="1" s="1"/>
  <c r="G273" i="1"/>
  <c r="C274" i="1"/>
  <c r="H274" i="1" s="1"/>
  <c r="G274" i="1"/>
  <c r="C275" i="1"/>
  <c r="H275" i="1" s="1"/>
  <c r="G275" i="1"/>
  <c r="C276" i="1"/>
  <c r="H276" i="1" s="1"/>
  <c r="G276" i="1"/>
  <c r="C277" i="1"/>
  <c r="H277" i="1" s="1"/>
  <c r="G277" i="1"/>
  <c r="C278" i="1"/>
  <c r="H278" i="1" s="1"/>
  <c r="G278" i="1"/>
  <c r="C279" i="1"/>
  <c r="H279" i="1" s="1"/>
  <c r="G279" i="1"/>
  <c r="C280" i="1"/>
  <c r="H280" i="1" s="1"/>
  <c r="G280" i="1"/>
  <c r="C281" i="1"/>
  <c r="H281" i="1" s="1"/>
  <c r="G281" i="1"/>
  <c r="C282" i="1"/>
  <c r="H282" i="1" s="1"/>
  <c r="G282" i="1"/>
  <c r="C283" i="1"/>
  <c r="H283" i="1" s="1"/>
  <c r="G283" i="1"/>
  <c r="C284" i="1"/>
  <c r="H284" i="1" s="1"/>
  <c r="G284" i="1"/>
  <c r="C285" i="1"/>
  <c r="H285" i="1" s="1"/>
  <c r="G285" i="1"/>
  <c r="C286" i="1"/>
  <c r="H286" i="1" s="1"/>
  <c r="G286" i="1"/>
  <c r="C287" i="1"/>
  <c r="H287" i="1" s="1"/>
  <c r="G287" i="1"/>
  <c r="C288" i="1"/>
  <c r="H288" i="1" s="1"/>
  <c r="G288" i="1"/>
  <c r="C289" i="1"/>
  <c r="H289" i="1" s="1"/>
  <c r="G289" i="1"/>
  <c r="C290" i="1"/>
  <c r="H290" i="1" s="1"/>
  <c r="G290" i="1"/>
  <c r="C291" i="1"/>
  <c r="H291" i="1" s="1"/>
  <c r="G291" i="1"/>
  <c r="C292" i="1"/>
  <c r="H292" i="1" s="1"/>
  <c r="G292" i="1"/>
  <c r="C293" i="1"/>
  <c r="H293" i="1" s="1"/>
  <c r="G293" i="1"/>
  <c r="C294" i="1"/>
  <c r="H294" i="1" s="1"/>
  <c r="G294" i="1"/>
  <c r="C295" i="1"/>
  <c r="H295" i="1" s="1"/>
  <c r="G295" i="1"/>
  <c r="C296" i="1"/>
  <c r="H296" i="1" s="1"/>
  <c r="G296" i="1"/>
  <c r="C297" i="1"/>
  <c r="H297" i="1" s="1"/>
  <c r="G297" i="1"/>
  <c r="C298" i="1"/>
  <c r="H298" i="1" s="1"/>
  <c r="G298" i="1"/>
  <c r="C299" i="1"/>
  <c r="H299" i="1" s="1"/>
  <c r="G299" i="1"/>
  <c r="C300" i="1"/>
  <c r="H300" i="1" s="1"/>
  <c r="G300" i="1"/>
  <c r="C301" i="1"/>
  <c r="H301" i="1" s="1"/>
  <c r="G301" i="1"/>
  <c r="C302" i="1"/>
  <c r="H302" i="1" s="1"/>
  <c r="G302" i="1"/>
  <c r="C303" i="1"/>
  <c r="H303" i="1" s="1"/>
  <c r="G303" i="1"/>
  <c r="R225" i="1" l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J188" i="1"/>
  <c r="M188" i="1" s="1"/>
  <c r="G188" i="1"/>
  <c r="J189" i="1"/>
  <c r="M189" i="1" s="1"/>
  <c r="G189" i="1"/>
  <c r="J190" i="1"/>
  <c r="M190" i="1" s="1"/>
  <c r="G190" i="1"/>
  <c r="J191" i="1"/>
  <c r="M191" i="1" s="1"/>
  <c r="G191" i="1"/>
  <c r="J192" i="1"/>
  <c r="M192" i="1" s="1"/>
  <c r="G192" i="1"/>
  <c r="J193" i="1"/>
  <c r="M193" i="1" s="1"/>
  <c r="G193" i="1"/>
  <c r="J194" i="1"/>
  <c r="M194" i="1" s="1"/>
  <c r="G194" i="1"/>
  <c r="J195" i="1"/>
  <c r="M195" i="1" s="1"/>
  <c r="G195" i="1"/>
  <c r="J196" i="1"/>
  <c r="M196" i="1" s="1"/>
  <c r="G196" i="1"/>
  <c r="J197" i="1"/>
  <c r="M197" i="1" s="1"/>
  <c r="G197" i="1"/>
  <c r="J198" i="1"/>
  <c r="M198" i="1" s="1"/>
  <c r="G198" i="1"/>
  <c r="J199" i="1"/>
  <c r="M199" i="1" s="1"/>
  <c r="G199" i="1"/>
  <c r="J200" i="1"/>
  <c r="M200" i="1" s="1"/>
  <c r="G200" i="1"/>
  <c r="J201" i="1"/>
  <c r="M201" i="1" s="1"/>
  <c r="G201" i="1"/>
  <c r="J202" i="1"/>
  <c r="M202" i="1" s="1"/>
  <c r="G202" i="1"/>
  <c r="J203" i="1"/>
  <c r="M203" i="1" s="1"/>
  <c r="G203" i="1"/>
  <c r="J204" i="1"/>
  <c r="M204" i="1" s="1"/>
  <c r="G204" i="1"/>
  <c r="J205" i="1"/>
  <c r="M205" i="1" s="1"/>
  <c r="G205" i="1"/>
  <c r="J206" i="1"/>
  <c r="M206" i="1" s="1"/>
  <c r="G206" i="1"/>
  <c r="J207" i="1"/>
  <c r="M207" i="1" s="1"/>
  <c r="G207" i="1"/>
  <c r="J208" i="1"/>
  <c r="M208" i="1" s="1"/>
  <c r="G208" i="1"/>
  <c r="J209" i="1"/>
  <c r="M209" i="1" s="1"/>
  <c r="G209" i="1"/>
  <c r="J210" i="1"/>
  <c r="M210" i="1" s="1"/>
  <c r="G210" i="1"/>
  <c r="J211" i="1"/>
  <c r="M211" i="1" s="1"/>
  <c r="G211" i="1"/>
  <c r="J5" i="1"/>
  <c r="M5" i="1" s="1"/>
  <c r="G5" i="1"/>
  <c r="J6" i="1"/>
  <c r="M6" i="1" s="1"/>
  <c r="G6" i="1"/>
  <c r="J7" i="1"/>
  <c r="M7" i="1" s="1"/>
  <c r="G7" i="1"/>
  <c r="J8" i="1"/>
  <c r="M8" i="1" s="1"/>
  <c r="G8" i="1"/>
  <c r="J9" i="1"/>
  <c r="M9" i="1" s="1"/>
  <c r="G9" i="1"/>
  <c r="J10" i="1"/>
  <c r="M10" i="1" s="1"/>
  <c r="G10" i="1"/>
  <c r="J11" i="1"/>
  <c r="M11" i="1" s="1"/>
  <c r="G11" i="1"/>
  <c r="J12" i="1"/>
  <c r="M12" i="1" s="1"/>
  <c r="G12" i="1"/>
  <c r="J13" i="1"/>
  <c r="M13" i="1" s="1"/>
  <c r="G13" i="1"/>
  <c r="J14" i="1"/>
  <c r="M14" i="1" s="1"/>
  <c r="G14" i="1"/>
  <c r="J15" i="1"/>
  <c r="M15" i="1" s="1"/>
  <c r="G15" i="1"/>
  <c r="J16" i="1"/>
  <c r="M16" i="1" s="1"/>
  <c r="G16" i="1"/>
  <c r="J17" i="1"/>
  <c r="M17" i="1" s="1"/>
  <c r="G17" i="1"/>
  <c r="J18" i="1"/>
  <c r="M18" i="1" s="1"/>
  <c r="G18" i="1"/>
  <c r="J19" i="1"/>
  <c r="M19" i="1" s="1"/>
  <c r="G19" i="1"/>
  <c r="J20" i="1"/>
  <c r="M20" i="1" s="1"/>
  <c r="G20" i="1"/>
  <c r="J21" i="1"/>
  <c r="M21" i="1" s="1"/>
  <c r="G21" i="1"/>
  <c r="J22" i="1"/>
  <c r="M22" i="1" s="1"/>
  <c r="G22" i="1"/>
  <c r="J23" i="1"/>
  <c r="M23" i="1" s="1"/>
  <c r="G23" i="1"/>
  <c r="J24" i="1"/>
  <c r="M24" i="1" s="1"/>
  <c r="G24" i="1"/>
  <c r="J25" i="1"/>
  <c r="M25" i="1" s="1"/>
  <c r="G25" i="1"/>
  <c r="J26" i="1"/>
  <c r="M26" i="1" s="1"/>
  <c r="G26" i="1"/>
  <c r="J27" i="1"/>
  <c r="M27" i="1" s="1"/>
  <c r="G27" i="1"/>
  <c r="J28" i="1"/>
  <c r="M28" i="1" s="1"/>
  <c r="G28" i="1"/>
  <c r="J29" i="1"/>
  <c r="M29" i="1" s="1"/>
  <c r="G29" i="1"/>
  <c r="J30" i="1"/>
  <c r="M30" i="1" s="1"/>
  <c r="G30" i="1"/>
  <c r="J31" i="1"/>
  <c r="M31" i="1" s="1"/>
  <c r="G31" i="1"/>
  <c r="J32" i="1"/>
  <c r="M32" i="1" s="1"/>
  <c r="G32" i="1"/>
  <c r="J33" i="1"/>
  <c r="M33" i="1" s="1"/>
  <c r="G33" i="1"/>
  <c r="J34" i="1"/>
  <c r="M34" i="1" s="1"/>
  <c r="G34" i="1"/>
  <c r="J35" i="1"/>
  <c r="M35" i="1" s="1"/>
  <c r="G35" i="1"/>
  <c r="J36" i="1"/>
  <c r="M36" i="1" s="1"/>
  <c r="G36" i="1"/>
  <c r="J37" i="1"/>
  <c r="M37" i="1" s="1"/>
  <c r="G37" i="1"/>
  <c r="J38" i="1"/>
  <c r="M38" i="1" s="1"/>
  <c r="G38" i="1"/>
  <c r="J39" i="1"/>
  <c r="M39" i="1" s="1"/>
  <c r="G39" i="1"/>
  <c r="J40" i="1"/>
  <c r="M40" i="1" s="1"/>
  <c r="G40" i="1"/>
  <c r="J41" i="1"/>
  <c r="M41" i="1" s="1"/>
  <c r="G41" i="1"/>
  <c r="J42" i="1"/>
  <c r="M42" i="1" s="1"/>
  <c r="G42" i="1"/>
  <c r="J43" i="1"/>
  <c r="M43" i="1" s="1"/>
  <c r="G43" i="1"/>
  <c r="J44" i="1"/>
  <c r="M44" i="1" s="1"/>
  <c r="G44" i="1"/>
  <c r="J45" i="1"/>
  <c r="M45" i="1" s="1"/>
  <c r="G45" i="1"/>
  <c r="J46" i="1"/>
  <c r="M46" i="1" s="1"/>
  <c r="G46" i="1"/>
  <c r="J47" i="1"/>
  <c r="M47" i="1" s="1"/>
  <c r="G47" i="1"/>
  <c r="J48" i="1"/>
  <c r="M48" i="1" s="1"/>
  <c r="G48" i="1"/>
  <c r="J49" i="1"/>
  <c r="M49" i="1" s="1"/>
  <c r="G49" i="1"/>
  <c r="J50" i="1"/>
  <c r="M50" i="1" s="1"/>
  <c r="G50" i="1"/>
  <c r="J51" i="1"/>
  <c r="M51" i="1" s="1"/>
  <c r="G51" i="1"/>
  <c r="J52" i="1"/>
  <c r="M52" i="1" s="1"/>
  <c r="G52" i="1"/>
  <c r="J53" i="1"/>
  <c r="M53" i="1" s="1"/>
  <c r="G53" i="1"/>
  <c r="J54" i="1"/>
  <c r="M54" i="1" s="1"/>
  <c r="G54" i="1"/>
  <c r="J55" i="1"/>
  <c r="M55" i="1" s="1"/>
  <c r="G55" i="1"/>
  <c r="J56" i="1"/>
  <c r="M56" i="1" s="1"/>
  <c r="G56" i="1"/>
  <c r="J57" i="1"/>
  <c r="M57" i="1" s="1"/>
  <c r="G57" i="1"/>
  <c r="J58" i="1"/>
  <c r="M58" i="1" s="1"/>
  <c r="G58" i="1"/>
  <c r="J59" i="1"/>
  <c r="M59" i="1" s="1"/>
  <c r="G59" i="1"/>
  <c r="J60" i="1"/>
  <c r="M60" i="1" s="1"/>
  <c r="G60" i="1"/>
  <c r="J61" i="1"/>
  <c r="M61" i="1" s="1"/>
  <c r="G61" i="1"/>
  <c r="J62" i="1"/>
  <c r="M62" i="1" s="1"/>
  <c r="G62" i="1"/>
  <c r="J63" i="1"/>
  <c r="M63" i="1" s="1"/>
  <c r="G63" i="1"/>
  <c r="J64" i="1"/>
  <c r="M64" i="1" s="1"/>
  <c r="G64" i="1"/>
  <c r="J65" i="1"/>
  <c r="M65" i="1" s="1"/>
  <c r="G65" i="1"/>
  <c r="J66" i="1"/>
  <c r="M66" i="1" s="1"/>
  <c r="G66" i="1"/>
  <c r="J67" i="1"/>
  <c r="M67" i="1" s="1"/>
  <c r="G67" i="1"/>
  <c r="J68" i="1"/>
  <c r="M68" i="1" s="1"/>
  <c r="G68" i="1"/>
  <c r="J69" i="1"/>
  <c r="M69" i="1" s="1"/>
  <c r="G69" i="1"/>
  <c r="J70" i="1"/>
  <c r="M70" i="1" s="1"/>
  <c r="G70" i="1"/>
  <c r="J71" i="1"/>
  <c r="M71" i="1" s="1"/>
  <c r="G71" i="1"/>
  <c r="J72" i="1"/>
  <c r="M72" i="1" s="1"/>
  <c r="G72" i="1"/>
  <c r="J73" i="1"/>
  <c r="M73" i="1" s="1"/>
  <c r="G73" i="1"/>
  <c r="J74" i="1"/>
  <c r="M74" i="1" s="1"/>
  <c r="G74" i="1"/>
  <c r="J75" i="1"/>
  <c r="M75" i="1" s="1"/>
  <c r="G75" i="1"/>
  <c r="J76" i="1"/>
  <c r="M76" i="1" s="1"/>
  <c r="G76" i="1"/>
  <c r="J77" i="1"/>
  <c r="M77" i="1" s="1"/>
  <c r="G77" i="1"/>
  <c r="J78" i="1"/>
  <c r="M78" i="1" s="1"/>
  <c r="G78" i="1"/>
  <c r="J79" i="1"/>
  <c r="M79" i="1" s="1"/>
  <c r="G79" i="1"/>
  <c r="J80" i="1"/>
  <c r="M80" i="1" s="1"/>
  <c r="G80" i="1"/>
  <c r="J81" i="1"/>
  <c r="M81" i="1" s="1"/>
  <c r="G81" i="1"/>
  <c r="J82" i="1"/>
  <c r="M82" i="1" s="1"/>
  <c r="G82" i="1"/>
  <c r="J83" i="1"/>
  <c r="M83" i="1" s="1"/>
  <c r="G83" i="1"/>
  <c r="J84" i="1"/>
  <c r="M84" i="1" s="1"/>
  <c r="G84" i="1"/>
  <c r="J85" i="1"/>
  <c r="M85" i="1" s="1"/>
  <c r="G85" i="1"/>
  <c r="J86" i="1"/>
  <c r="M86" i="1" s="1"/>
  <c r="G86" i="1"/>
  <c r="J87" i="1"/>
  <c r="M87" i="1" s="1"/>
  <c r="G87" i="1"/>
  <c r="J88" i="1"/>
  <c r="M88" i="1" s="1"/>
  <c r="G88" i="1"/>
  <c r="J89" i="1"/>
  <c r="M89" i="1" s="1"/>
  <c r="G89" i="1"/>
  <c r="J90" i="1"/>
  <c r="M90" i="1" s="1"/>
  <c r="G90" i="1"/>
  <c r="J91" i="1"/>
  <c r="M91" i="1" s="1"/>
  <c r="G91" i="1"/>
  <c r="J92" i="1"/>
  <c r="M92" i="1" s="1"/>
  <c r="G92" i="1"/>
  <c r="J93" i="1"/>
  <c r="M93" i="1" s="1"/>
  <c r="G93" i="1"/>
  <c r="J94" i="1"/>
  <c r="M94" i="1" s="1"/>
  <c r="G94" i="1"/>
  <c r="J95" i="1"/>
  <c r="M95" i="1" s="1"/>
  <c r="G95" i="1"/>
  <c r="J96" i="1"/>
  <c r="M96" i="1" s="1"/>
  <c r="G96" i="1"/>
  <c r="J97" i="1"/>
  <c r="M97" i="1" s="1"/>
  <c r="G97" i="1"/>
  <c r="J98" i="1"/>
  <c r="M98" i="1" s="1"/>
  <c r="G98" i="1"/>
  <c r="J99" i="1"/>
  <c r="M99" i="1" s="1"/>
  <c r="G99" i="1"/>
  <c r="J100" i="1"/>
  <c r="M100" i="1" s="1"/>
  <c r="G100" i="1"/>
  <c r="J101" i="1"/>
  <c r="M101" i="1" s="1"/>
  <c r="G101" i="1"/>
  <c r="J102" i="1"/>
  <c r="M102" i="1" s="1"/>
  <c r="G102" i="1"/>
  <c r="J103" i="1"/>
  <c r="M103" i="1" s="1"/>
  <c r="G103" i="1"/>
  <c r="J104" i="1"/>
  <c r="M104" i="1" s="1"/>
  <c r="G104" i="1"/>
  <c r="J105" i="1"/>
  <c r="M105" i="1" s="1"/>
  <c r="G105" i="1"/>
  <c r="J106" i="1"/>
  <c r="M106" i="1" s="1"/>
  <c r="G106" i="1"/>
  <c r="J107" i="1"/>
  <c r="M107" i="1" s="1"/>
  <c r="G107" i="1"/>
  <c r="J108" i="1"/>
  <c r="M108" i="1" s="1"/>
  <c r="G108" i="1"/>
  <c r="J109" i="1"/>
  <c r="M109" i="1" s="1"/>
  <c r="G109" i="1"/>
  <c r="J110" i="1"/>
  <c r="M110" i="1" s="1"/>
  <c r="G110" i="1"/>
  <c r="J111" i="1"/>
  <c r="M111" i="1" s="1"/>
  <c r="G111" i="1"/>
  <c r="J112" i="1"/>
  <c r="M112" i="1" s="1"/>
  <c r="G112" i="1"/>
  <c r="J113" i="1"/>
  <c r="M113" i="1" s="1"/>
  <c r="G113" i="1"/>
  <c r="J114" i="1"/>
  <c r="M114" i="1" s="1"/>
  <c r="G114" i="1"/>
  <c r="J115" i="1"/>
  <c r="M115" i="1" s="1"/>
  <c r="G115" i="1"/>
  <c r="J116" i="1"/>
  <c r="M116" i="1" s="1"/>
  <c r="G116" i="1"/>
  <c r="J117" i="1"/>
  <c r="M117" i="1" s="1"/>
  <c r="G117" i="1"/>
  <c r="J118" i="1"/>
  <c r="M118" i="1" s="1"/>
  <c r="G118" i="1"/>
  <c r="J119" i="1"/>
  <c r="M119" i="1" s="1"/>
  <c r="G119" i="1"/>
  <c r="J120" i="1"/>
  <c r="M120" i="1" s="1"/>
  <c r="G120" i="1"/>
  <c r="J121" i="1"/>
  <c r="M121" i="1" s="1"/>
  <c r="G121" i="1"/>
  <c r="J122" i="1"/>
  <c r="M122" i="1" s="1"/>
  <c r="G122" i="1"/>
  <c r="J123" i="1"/>
  <c r="M123" i="1" s="1"/>
  <c r="G123" i="1"/>
  <c r="J124" i="1"/>
  <c r="M124" i="1" s="1"/>
  <c r="G124" i="1"/>
  <c r="J125" i="1"/>
  <c r="M125" i="1" s="1"/>
  <c r="G125" i="1"/>
  <c r="J126" i="1"/>
  <c r="M126" i="1" s="1"/>
  <c r="G126" i="1"/>
  <c r="J127" i="1"/>
  <c r="M127" i="1" s="1"/>
  <c r="G127" i="1"/>
  <c r="J128" i="1"/>
  <c r="M128" i="1" s="1"/>
  <c r="G128" i="1"/>
  <c r="J129" i="1"/>
  <c r="M129" i="1" s="1"/>
  <c r="G129" i="1"/>
  <c r="J130" i="1"/>
  <c r="M130" i="1" s="1"/>
  <c r="G130" i="1"/>
  <c r="J131" i="1"/>
  <c r="M131" i="1" s="1"/>
  <c r="G131" i="1"/>
  <c r="J132" i="1"/>
  <c r="M132" i="1" s="1"/>
  <c r="G132" i="1"/>
  <c r="J133" i="1"/>
  <c r="M133" i="1" s="1"/>
  <c r="G133" i="1"/>
  <c r="J134" i="1"/>
  <c r="M134" i="1" s="1"/>
  <c r="G134" i="1"/>
  <c r="J135" i="1"/>
  <c r="M135" i="1" s="1"/>
  <c r="G135" i="1"/>
  <c r="J136" i="1"/>
  <c r="M136" i="1" s="1"/>
  <c r="G136" i="1"/>
  <c r="J137" i="1"/>
  <c r="M137" i="1" s="1"/>
  <c r="G137" i="1"/>
  <c r="J138" i="1"/>
  <c r="M138" i="1" s="1"/>
  <c r="G138" i="1"/>
  <c r="J139" i="1"/>
  <c r="M139" i="1" s="1"/>
  <c r="G139" i="1"/>
  <c r="J140" i="1"/>
  <c r="M140" i="1" s="1"/>
  <c r="G140" i="1"/>
  <c r="J141" i="1"/>
  <c r="M141" i="1" s="1"/>
  <c r="G141" i="1"/>
  <c r="J142" i="1"/>
  <c r="M142" i="1" s="1"/>
  <c r="G142" i="1"/>
  <c r="J143" i="1"/>
  <c r="M143" i="1" s="1"/>
  <c r="G143" i="1"/>
  <c r="J144" i="1"/>
  <c r="M144" i="1" s="1"/>
  <c r="G14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J145" i="1"/>
  <c r="M145" i="1" s="1"/>
  <c r="G145" i="1"/>
  <c r="J146" i="1"/>
  <c r="M146" i="1" s="1"/>
  <c r="G146" i="1"/>
  <c r="J147" i="1"/>
  <c r="M147" i="1" s="1"/>
  <c r="G147" i="1"/>
  <c r="J148" i="1"/>
  <c r="M148" i="1" s="1"/>
  <c r="G148" i="1"/>
  <c r="J149" i="1"/>
  <c r="M149" i="1" s="1"/>
  <c r="G149" i="1"/>
  <c r="J150" i="1"/>
  <c r="M150" i="1" s="1"/>
  <c r="G150" i="1"/>
  <c r="J151" i="1"/>
  <c r="M151" i="1" s="1"/>
  <c r="G151" i="1"/>
  <c r="J152" i="1"/>
  <c r="M152" i="1" s="1"/>
  <c r="G152" i="1"/>
  <c r="J153" i="1"/>
  <c r="M153" i="1" s="1"/>
  <c r="G153" i="1"/>
  <c r="J154" i="1"/>
  <c r="M154" i="1" s="1"/>
  <c r="G154" i="1"/>
  <c r="J155" i="1"/>
  <c r="M155" i="1" s="1"/>
  <c r="G155" i="1"/>
  <c r="J156" i="1"/>
  <c r="M156" i="1" s="1"/>
  <c r="G156" i="1"/>
  <c r="J157" i="1"/>
  <c r="M157" i="1" s="1"/>
  <c r="G157" i="1"/>
  <c r="J158" i="1"/>
  <c r="M158" i="1" s="1"/>
  <c r="G158" i="1"/>
  <c r="J159" i="1"/>
  <c r="M159" i="1" s="1"/>
  <c r="G159" i="1"/>
  <c r="J160" i="1"/>
  <c r="M160" i="1" s="1"/>
  <c r="G160" i="1"/>
  <c r="J161" i="1"/>
  <c r="M161" i="1" s="1"/>
  <c r="G161" i="1"/>
  <c r="J162" i="1"/>
  <c r="M162" i="1" s="1"/>
  <c r="G162" i="1"/>
  <c r="J163" i="1"/>
  <c r="M163" i="1" s="1"/>
  <c r="G163" i="1"/>
  <c r="J164" i="1"/>
  <c r="M164" i="1" s="1"/>
  <c r="G164" i="1"/>
  <c r="J165" i="1"/>
  <c r="M165" i="1" s="1"/>
  <c r="G165" i="1"/>
  <c r="J166" i="1"/>
  <c r="M166" i="1" s="1"/>
  <c r="G166" i="1"/>
  <c r="J167" i="1"/>
  <c r="M167" i="1" s="1"/>
  <c r="G167" i="1"/>
  <c r="J168" i="1"/>
  <c r="M168" i="1" s="1"/>
  <c r="G168" i="1"/>
  <c r="J169" i="1"/>
  <c r="M169" i="1" s="1"/>
  <c r="G169" i="1"/>
  <c r="J170" i="1"/>
  <c r="M170" i="1" s="1"/>
  <c r="G170" i="1"/>
  <c r="J171" i="1"/>
  <c r="M171" i="1" s="1"/>
  <c r="G171" i="1"/>
  <c r="J172" i="1"/>
  <c r="M172" i="1" s="1"/>
  <c r="G172" i="1"/>
  <c r="J173" i="1"/>
  <c r="M173" i="1" s="1"/>
  <c r="G173" i="1"/>
  <c r="J174" i="1"/>
  <c r="M174" i="1" s="1"/>
  <c r="G174" i="1"/>
  <c r="J175" i="1"/>
  <c r="M175" i="1" s="1"/>
  <c r="G175" i="1"/>
  <c r="J176" i="1"/>
  <c r="M176" i="1" s="1"/>
  <c r="G176" i="1"/>
  <c r="J177" i="1"/>
  <c r="M177" i="1" s="1"/>
  <c r="G177" i="1"/>
  <c r="J178" i="1"/>
  <c r="M178" i="1" s="1"/>
  <c r="G178" i="1"/>
  <c r="J179" i="1"/>
  <c r="M179" i="1" s="1"/>
  <c r="G179" i="1"/>
  <c r="J180" i="1"/>
  <c r="M180" i="1" s="1"/>
  <c r="G180" i="1"/>
  <c r="J181" i="1"/>
  <c r="M181" i="1" s="1"/>
  <c r="G181" i="1"/>
  <c r="J182" i="1"/>
  <c r="M182" i="1" s="1"/>
  <c r="G182" i="1"/>
  <c r="J183" i="1"/>
  <c r="M183" i="1" s="1"/>
  <c r="G183" i="1"/>
  <c r="J184" i="1"/>
  <c r="M184" i="1" s="1"/>
  <c r="G184" i="1"/>
  <c r="J185" i="1"/>
  <c r="M185" i="1" s="1"/>
  <c r="G185" i="1"/>
  <c r="J186" i="1"/>
  <c r="M186" i="1" s="1"/>
  <c r="G186" i="1"/>
  <c r="J187" i="1"/>
  <c r="M187" i="1" s="1"/>
  <c r="G187" i="1"/>
  <c r="N145" i="1" l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I1" i="3" l="1"/>
  <c r="K288" i="1"/>
  <c r="P288" i="1" s="1"/>
  <c r="K299" i="1"/>
  <c r="P299" i="1" s="1"/>
  <c r="K273" i="1"/>
  <c r="P273" i="1" s="1"/>
  <c r="K247" i="1"/>
  <c r="P247" i="1" s="1"/>
  <c r="K228" i="1"/>
  <c r="P228" i="1" s="1"/>
  <c r="K212" i="1"/>
  <c r="P212" i="1" s="1"/>
  <c r="K221" i="1"/>
  <c r="P221" i="1" s="1"/>
  <c r="K297" i="1"/>
  <c r="P297" i="1" s="1"/>
  <c r="K277" i="1"/>
  <c r="P277" i="1" s="1"/>
  <c r="K253" i="1"/>
  <c r="P253" i="1" s="1"/>
  <c r="K300" i="1"/>
  <c r="P300" i="1" s="1"/>
  <c r="K280" i="1"/>
  <c r="P280" i="1" s="1"/>
  <c r="K266" i="1"/>
  <c r="P266" i="1" s="1"/>
  <c r="K258" i="1"/>
  <c r="P258" i="1" s="1"/>
  <c r="K250" i="1"/>
  <c r="P250" i="1" s="1"/>
  <c r="K242" i="1"/>
  <c r="P242" i="1" s="1"/>
  <c r="K234" i="1"/>
  <c r="P234" i="1" s="1"/>
  <c r="K218" i="1"/>
  <c r="P218" i="1" s="1"/>
  <c r="K287" i="1"/>
  <c r="P287" i="1" s="1"/>
  <c r="K263" i="1"/>
  <c r="P263" i="1" s="1"/>
  <c r="K237" i="1"/>
  <c r="P237" i="1" s="1"/>
  <c r="K290" i="1"/>
  <c r="P290" i="1" s="1"/>
  <c r="K274" i="1"/>
  <c r="P274" i="1" s="1"/>
  <c r="K223" i="1"/>
  <c r="P223" i="1" s="1"/>
  <c r="K291" i="1"/>
  <c r="P291" i="1" s="1"/>
  <c r="K267" i="1"/>
  <c r="P267" i="1" s="1"/>
  <c r="K241" i="1"/>
  <c r="P241" i="1" s="1"/>
  <c r="K224" i="1"/>
  <c r="P224" i="1" s="1"/>
  <c r="K233" i="1"/>
  <c r="P233" i="1" s="1"/>
  <c r="K217" i="1"/>
  <c r="P217" i="1" s="1"/>
  <c r="K293" i="1"/>
  <c r="P293" i="1" s="1"/>
  <c r="K271" i="1"/>
  <c r="P271" i="1" s="1"/>
  <c r="K249" i="1"/>
  <c r="P249" i="1" s="1"/>
  <c r="K296" i="1"/>
  <c r="P296" i="1" s="1"/>
  <c r="K276" i="1"/>
  <c r="P276" i="1" s="1"/>
  <c r="K264" i="1"/>
  <c r="P264" i="1" s="1"/>
  <c r="K256" i="1"/>
  <c r="P256" i="1" s="1"/>
  <c r="K248" i="1"/>
  <c r="P248" i="1" s="1"/>
  <c r="K240" i="1"/>
  <c r="P240" i="1" s="1"/>
  <c r="K230" i="1"/>
  <c r="P230" i="1" s="1"/>
  <c r="K214" i="1"/>
  <c r="P214" i="1" s="1"/>
  <c r="K281" i="1"/>
  <c r="P281" i="1" s="1"/>
  <c r="K257" i="1"/>
  <c r="P257" i="1" s="1"/>
  <c r="K302" i="1"/>
  <c r="P302" i="1" s="1"/>
  <c r="K286" i="1"/>
  <c r="P286" i="1" s="1"/>
  <c r="K268" i="1"/>
  <c r="P268" i="1" s="1"/>
  <c r="K219" i="1"/>
  <c r="P219" i="1" s="1"/>
  <c r="K285" i="1"/>
  <c r="P285" i="1" s="1"/>
  <c r="K261" i="1"/>
  <c r="P261" i="1" s="1"/>
  <c r="K235" i="1"/>
  <c r="P235" i="1" s="1"/>
  <c r="K220" i="1"/>
  <c r="P220" i="1" s="1"/>
  <c r="K229" i="1"/>
  <c r="P229" i="1" s="1"/>
  <c r="K213" i="1"/>
  <c r="P213" i="1" s="1"/>
  <c r="K289" i="1"/>
  <c r="P289" i="1" s="1"/>
  <c r="K265" i="1"/>
  <c r="P265" i="1" s="1"/>
  <c r="K243" i="1"/>
  <c r="P243" i="1" s="1"/>
  <c r="K292" i="1"/>
  <c r="P292" i="1" s="1"/>
  <c r="K272" i="1"/>
  <c r="P272" i="1" s="1"/>
  <c r="K262" i="1"/>
  <c r="P262" i="1" s="1"/>
  <c r="K254" i="1"/>
  <c r="P254" i="1" s="1"/>
  <c r="K246" i="1"/>
  <c r="P246" i="1" s="1"/>
  <c r="K238" i="1"/>
  <c r="P238" i="1" s="1"/>
  <c r="K226" i="1"/>
  <c r="P226" i="1" s="1"/>
  <c r="K301" i="1"/>
  <c r="P301" i="1" s="1"/>
  <c r="K275" i="1"/>
  <c r="P275" i="1" s="1"/>
  <c r="K251" i="1"/>
  <c r="P251" i="1" s="1"/>
  <c r="K298" i="1"/>
  <c r="P298" i="1" s="1"/>
  <c r="K282" i="1"/>
  <c r="P282" i="1" s="1"/>
  <c r="K231" i="1"/>
  <c r="P231" i="1" s="1"/>
  <c r="K215" i="1"/>
  <c r="P215" i="1" s="1"/>
  <c r="K279" i="1"/>
  <c r="P279" i="1" s="1"/>
  <c r="K225" i="1"/>
  <c r="P225" i="1" s="1"/>
  <c r="K239" i="1"/>
  <c r="P239" i="1" s="1"/>
  <c r="K252" i="1"/>
  <c r="P252" i="1" s="1"/>
  <c r="K295" i="1"/>
  <c r="P295" i="1" s="1"/>
  <c r="K278" i="1"/>
  <c r="P278" i="1" s="1"/>
  <c r="K255" i="1"/>
  <c r="P255" i="1" s="1"/>
  <c r="K303" i="1"/>
  <c r="P303" i="1" s="1"/>
  <c r="K284" i="1"/>
  <c r="P284" i="1" s="1"/>
  <c r="K244" i="1"/>
  <c r="P244" i="1" s="1"/>
  <c r="K269" i="1"/>
  <c r="P269" i="1" s="1"/>
  <c r="K227" i="1"/>
  <c r="P227" i="1" s="1"/>
  <c r="K232" i="1"/>
  <c r="P232" i="1" s="1"/>
  <c r="K283" i="1"/>
  <c r="P283" i="1" s="1"/>
  <c r="K270" i="1"/>
  <c r="P270" i="1" s="1"/>
  <c r="K236" i="1"/>
  <c r="P236" i="1" s="1"/>
  <c r="K245" i="1"/>
  <c r="P245" i="1" s="1"/>
  <c r="K216" i="1"/>
  <c r="P216" i="1" s="1"/>
  <c r="K294" i="1"/>
  <c r="P294" i="1" s="1"/>
  <c r="K259" i="1"/>
  <c r="P259" i="1" s="1"/>
  <c r="K222" i="1"/>
  <c r="P222" i="1" s="1"/>
  <c r="K260" i="1"/>
  <c r="P260" i="1" s="1"/>
  <c r="K187" i="1"/>
  <c r="K165" i="1"/>
  <c r="K144" i="1"/>
  <c r="K136" i="1"/>
  <c r="K128" i="1"/>
  <c r="K161" i="1"/>
  <c r="K182" i="1"/>
  <c r="P182" i="1" s="1"/>
  <c r="K174" i="1"/>
  <c r="K169" i="1"/>
  <c r="K145" i="1"/>
  <c r="P145" i="1" s="1"/>
  <c r="K122" i="1"/>
  <c r="K114" i="1"/>
  <c r="K106" i="1"/>
  <c r="K98" i="1"/>
  <c r="K90" i="1"/>
  <c r="K82" i="1"/>
  <c r="K74" i="1"/>
  <c r="K66" i="1"/>
  <c r="K58" i="1"/>
  <c r="K50" i="1"/>
  <c r="K42" i="1"/>
  <c r="K34" i="1"/>
  <c r="K26" i="1"/>
  <c r="K18" i="1"/>
  <c r="K10" i="1"/>
  <c r="K209" i="1"/>
  <c r="P209" i="1" s="1"/>
  <c r="K201" i="1"/>
  <c r="P201" i="1" s="1"/>
  <c r="K193" i="1"/>
  <c r="P193" i="1" s="1"/>
  <c r="K170" i="1"/>
  <c r="K162" i="1"/>
  <c r="P162" i="1" s="1"/>
  <c r="K154" i="1"/>
  <c r="P154" i="1" s="1"/>
  <c r="K146" i="1"/>
  <c r="K137" i="1"/>
  <c r="K129" i="1"/>
  <c r="K121" i="1"/>
  <c r="K113" i="1"/>
  <c r="K105" i="1"/>
  <c r="K97" i="1"/>
  <c r="K89" i="1"/>
  <c r="K81" i="1"/>
  <c r="K73" i="1"/>
  <c r="K65" i="1"/>
  <c r="K57" i="1"/>
  <c r="K49" i="1"/>
  <c r="K41" i="1"/>
  <c r="K33" i="1"/>
  <c r="K25" i="1"/>
  <c r="K17" i="1"/>
  <c r="K9" i="1"/>
  <c r="K208" i="1"/>
  <c r="P208" i="1" s="1"/>
  <c r="K200" i="1"/>
  <c r="P200" i="1" s="1"/>
  <c r="K192" i="1"/>
  <c r="P192" i="1" s="1"/>
  <c r="K149" i="1"/>
  <c r="K92" i="1"/>
  <c r="K60" i="1"/>
  <c r="K28" i="1"/>
  <c r="K211" i="1"/>
  <c r="P211" i="1" s="1"/>
  <c r="K195" i="1"/>
  <c r="P195" i="1" s="1"/>
  <c r="K156" i="1"/>
  <c r="P156" i="1" s="1"/>
  <c r="K131" i="1"/>
  <c r="K107" i="1"/>
  <c r="K83" i="1"/>
  <c r="K59" i="1"/>
  <c r="K35" i="1"/>
  <c r="K210" i="1"/>
  <c r="P210" i="1" s="1"/>
  <c r="K183" i="1"/>
  <c r="P183" i="1" s="1"/>
  <c r="K159" i="1"/>
  <c r="P159" i="1" s="1"/>
  <c r="K142" i="1"/>
  <c r="K134" i="1"/>
  <c r="K181" i="1"/>
  <c r="P181" i="1" s="1"/>
  <c r="K153" i="1"/>
  <c r="P153" i="1" s="1"/>
  <c r="K180" i="1"/>
  <c r="K185" i="1"/>
  <c r="K163" i="1"/>
  <c r="P163" i="1" s="1"/>
  <c r="K186" i="1"/>
  <c r="P186" i="1" s="1"/>
  <c r="K120" i="1"/>
  <c r="K112" i="1"/>
  <c r="K104" i="1"/>
  <c r="K96" i="1"/>
  <c r="K88" i="1"/>
  <c r="K80" i="1"/>
  <c r="K72" i="1"/>
  <c r="K64" i="1"/>
  <c r="K56" i="1"/>
  <c r="K48" i="1"/>
  <c r="K40" i="1"/>
  <c r="K32" i="1"/>
  <c r="K24" i="1"/>
  <c r="K16" i="1"/>
  <c r="K8" i="1"/>
  <c r="K207" i="1"/>
  <c r="P207" i="1" s="1"/>
  <c r="K199" i="1"/>
  <c r="P199" i="1" s="1"/>
  <c r="K191" i="1"/>
  <c r="P191" i="1" s="1"/>
  <c r="K168" i="1"/>
  <c r="K160" i="1"/>
  <c r="P160" i="1" s="1"/>
  <c r="K152" i="1"/>
  <c r="K143" i="1"/>
  <c r="K135" i="1"/>
  <c r="K127" i="1"/>
  <c r="K119" i="1"/>
  <c r="K111" i="1"/>
  <c r="K103" i="1"/>
  <c r="K95" i="1"/>
  <c r="K87" i="1"/>
  <c r="K79" i="1"/>
  <c r="K71" i="1"/>
  <c r="K63" i="1"/>
  <c r="K55" i="1"/>
  <c r="K47" i="1"/>
  <c r="K39" i="1"/>
  <c r="K31" i="1"/>
  <c r="K23" i="1"/>
  <c r="K15" i="1"/>
  <c r="K7" i="1"/>
  <c r="K206" i="1"/>
  <c r="P206" i="1" s="1"/>
  <c r="K198" i="1"/>
  <c r="P198" i="1" s="1"/>
  <c r="K190" i="1"/>
  <c r="P190" i="1" s="1"/>
  <c r="K173" i="1"/>
  <c r="K171" i="1"/>
  <c r="P171" i="1" s="1"/>
  <c r="K124" i="1"/>
  <c r="K108" i="1"/>
  <c r="K84" i="1"/>
  <c r="K68" i="1"/>
  <c r="K52" i="1"/>
  <c r="K36" i="1"/>
  <c r="K20" i="1"/>
  <c r="K203" i="1"/>
  <c r="P203" i="1" s="1"/>
  <c r="K164" i="1"/>
  <c r="K139" i="1"/>
  <c r="K123" i="1"/>
  <c r="K99" i="1"/>
  <c r="K67" i="1"/>
  <c r="K43" i="1"/>
  <c r="K27" i="1"/>
  <c r="K11" i="1"/>
  <c r="K194" i="1"/>
  <c r="P194" i="1" s="1"/>
  <c r="K177" i="1"/>
  <c r="K155" i="1"/>
  <c r="K140" i="1"/>
  <c r="K132" i="1"/>
  <c r="K175" i="1"/>
  <c r="K147" i="1"/>
  <c r="K178" i="1"/>
  <c r="P178" i="1" s="1"/>
  <c r="K179" i="1"/>
  <c r="K157" i="1"/>
  <c r="P157" i="1" s="1"/>
  <c r="K126" i="1"/>
  <c r="K118" i="1"/>
  <c r="K110" i="1"/>
  <c r="K102" i="1"/>
  <c r="K94" i="1"/>
  <c r="K86" i="1"/>
  <c r="K78" i="1"/>
  <c r="K70" i="1"/>
  <c r="K62" i="1"/>
  <c r="K54" i="1"/>
  <c r="K46" i="1"/>
  <c r="K38" i="1"/>
  <c r="K30" i="1"/>
  <c r="K22" i="1"/>
  <c r="K14" i="1"/>
  <c r="K6" i="1"/>
  <c r="K205" i="1"/>
  <c r="P205" i="1" s="1"/>
  <c r="K197" i="1"/>
  <c r="P197" i="1" s="1"/>
  <c r="K189" i="1"/>
  <c r="P189" i="1" s="1"/>
  <c r="K166" i="1"/>
  <c r="P166" i="1" s="1"/>
  <c r="K158" i="1"/>
  <c r="K150" i="1"/>
  <c r="P150" i="1" s="1"/>
  <c r="K141" i="1"/>
  <c r="K133" i="1"/>
  <c r="K125" i="1"/>
  <c r="K117" i="1"/>
  <c r="K109" i="1"/>
  <c r="K101" i="1"/>
  <c r="K93" i="1"/>
  <c r="K85" i="1"/>
  <c r="K77" i="1"/>
  <c r="K69" i="1"/>
  <c r="K61" i="1"/>
  <c r="K53" i="1"/>
  <c r="K45" i="1"/>
  <c r="K37" i="1"/>
  <c r="K29" i="1"/>
  <c r="K21" i="1"/>
  <c r="K13" i="1"/>
  <c r="K5" i="1"/>
  <c r="K204" i="1"/>
  <c r="P204" i="1" s="1"/>
  <c r="K196" i="1"/>
  <c r="P196" i="1" s="1"/>
  <c r="K188" i="1"/>
  <c r="P188" i="1" s="1"/>
  <c r="K138" i="1"/>
  <c r="K130" i="1"/>
  <c r="K167" i="1"/>
  <c r="P167" i="1" s="1"/>
  <c r="K184" i="1"/>
  <c r="K176" i="1"/>
  <c r="K151" i="1"/>
  <c r="P151" i="1" s="1"/>
  <c r="K116" i="1"/>
  <c r="K100" i="1"/>
  <c r="K76" i="1"/>
  <c r="K44" i="1"/>
  <c r="K12" i="1"/>
  <c r="K172" i="1"/>
  <c r="K148" i="1"/>
  <c r="K115" i="1"/>
  <c r="K91" i="1"/>
  <c r="K75" i="1"/>
  <c r="K51" i="1"/>
  <c r="K19" i="1"/>
  <c r="K202" i="1"/>
  <c r="P202" i="1" s="1"/>
  <c r="P146" i="1"/>
  <c r="P148" i="1"/>
  <c r="P152" i="1"/>
  <c r="P158" i="1"/>
  <c r="P164" i="1"/>
  <c r="P168" i="1"/>
  <c r="P170" i="1"/>
  <c r="P172" i="1"/>
  <c r="P174" i="1"/>
  <c r="P176" i="1"/>
  <c r="P180" i="1"/>
  <c r="P184" i="1"/>
  <c r="P149" i="1"/>
  <c r="P165" i="1"/>
  <c r="P173" i="1"/>
  <c r="P175" i="1"/>
  <c r="P161" i="1"/>
  <c r="P169" i="1"/>
  <c r="P177" i="1"/>
  <c r="P185" i="1"/>
  <c r="P147" i="1"/>
  <c r="P155" i="1"/>
  <c r="P179" i="1"/>
  <c r="P187" i="1"/>
  <c r="L177" i="3" l="1"/>
  <c r="L195" i="3"/>
  <c r="L171" i="3"/>
  <c r="L151" i="3"/>
  <c r="L135" i="3"/>
  <c r="L119" i="3"/>
  <c r="L161" i="3"/>
  <c r="L125" i="3"/>
  <c r="L173" i="3"/>
  <c r="L167" i="3"/>
  <c r="L182" i="3"/>
  <c r="L166" i="3"/>
  <c r="L150" i="3"/>
  <c r="L134" i="3"/>
  <c r="L118" i="3"/>
  <c r="L102" i="3"/>
  <c r="L86" i="3"/>
  <c r="L70" i="3"/>
  <c r="L54" i="3"/>
  <c r="L38" i="3"/>
  <c r="L22" i="3"/>
  <c r="L6" i="3"/>
  <c r="L133" i="3"/>
  <c r="L105" i="3"/>
  <c r="L89" i="3"/>
  <c r="L73" i="3"/>
  <c r="L57" i="3"/>
  <c r="L41" i="3"/>
  <c r="L25" i="3"/>
  <c r="L9" i="3"/>
  <c r="L172" i="3"/>
  <c r="L152" i="3"/>
  <c r="L103" i="3"/>
  <c r="L87" i="3"/>
  <c r="L71" i="3"/>
  <c r="L55" i="3"/>
  <c r="L39" i="3"/>
  <c r="L23" i="3"/>
  <c r="L7" i="3"/>
  <c r="L164" i="3"/>
  <c r="L136" i="3"/>
  <c r="L120" i="3"/>
  <c r="L104" i="3"/>
  <c r="L88" i="3"/>
  <c r="L72" i="3"/>
  <c r="L56" i="3"/>
  <c r="L40" i="3"/>
  <c r="L24" i="3"/>
  <c r="L8" i="3"/>
  <c r="L198" i="3"/>
  <c r="L209" i="3"/>
  <c r="L216" i="3"/>
  <c r="L215" i="3"/>
  <c r="L214" i="3"/>
  <c r="L208" i="3"/>
  <c r="L196" i="3"/>
  <c r="L155" i="3"/>
  <c r="L183" i="3"/>
  <c r="L154" i="3"/>
  <c r="L106" i="3"/>
  <c r="L42" i="3"/>
  <c r="L10" i="3"/>
  <c r="L93" i="3"/>
  <c r="L45" i="3"/>
  <c r="L176" i="3"/>
  <c r="L91" i="3"/>
  <c r="L43" i="3"/>
  <c r="L11" i="3"/>
  <c r="L124" i="3"/>
  <c r="L60" i="3"/>
  <c r="L28" i="3"/>
  <c r="L213" i="3"/>
  <c r="L203" i="3"/>
  <c r="L200" i="3"/>
  <c r="L192" i="3"/>
  <c r="L187" i="3"/>
  <c r="L163" i="3"/>
  <c r="L147" i="3"/>
  <c r="L131" i="3"/>
  <c r="L185" i="3"/>
  <c r="L153" i="3"/>
  <c r="L121" i="3"/>
  <c r="L141" i="3"/>
  <c r="L194" i="3"/>
  <c r="L178" i="3"/>
  <c r="L162" i="3"/>
  <c r="L146" i="3"/>
  <c r="L130" i="3"/>
  <c r="L114" i="3"/>
  <c r="L98" i="3"/>
  <c r="L82" i="3"/>
  <c r="L66" i="3"/>
  <c r="L50" i="3"/>
  <c r="L34" i="3"/>
  <c r="L18" i="3"/>
  <c r="L181" i="3"/>
  <c r="L117" i="3"/>
  <c r="L101" i="3"/>
  <c r="L85" i="3"/>
  <c r="L69" i="3"/>
  <c r="L53" i="3"/>
  <c r="L37" i="3"/>
  <c r="L21" i="3"/>
  <c r="L5" i="3"/>
  <c r="L168" i="3"/>
  <c r="L115" i="3"/>
  <c r="L99" i="3"/>
  <c r="L83" i="3"/>
  <c r="L67" i="3"/>
  <c r="L51" i="3"/>
  <c r="L35" i="3"/>
  <c r="L19" i="3"/>
  <c r="L3" i="3"/>
  <c r="L148" i="3"/>
  <c r="L132" i="3"/>
  <c r="L116" i="3"/>
  <c r="L100" i="3"/>
  <c r="L84" i="3"/>
  <c r="L68" i="3"/>
  <c r="L52" i="3"/>
  <c r="L36" i="3"/>
  <c r="L20" i="3"/>
  <c r="L4" i="3"/>
  <c r="L221" i="3"/>
  <c r="L201" i="3"/>
  <c r="L212" i="3"/>
  <c r="L211" i="3"/>
  <c r="L210" i="3"/>
  <c r="L204" i="3"/>
  <c r="L199" i="3"/>
  <c r="L175" i="3"/>
  <c r="L129" i="3"/>
  <c r="L170" i="3"/>
  <c r="L122" i="3"/>
  <c r="L74" i="3"/>
  <c r="L26" i="3"/>
  <c r="L109" i="3"/>
  <c r="L61" i="3"/>
  <c r="L13" i="3"/>
  <c r="L107" i="3"/>
  <c r="L59" i="3"/>
  <c r="L180" i="3"/>
  <c r="L108" i="3"/>
  <c r="L76" i="3"/>
  <c r="L12" i="3"/>
  <c r="L220" i="3"/>
  <c r="L205" i="3"/>
  <c r="L188" i="3"/>
  <c r="L179" i="3"/>
  <c r="L159" i="3"/>
  <c r="L143" i="3"/>
  <c r="L127" i="3"/>
  <c r="L189" i="3"/>
  <c r="L145" i="3"/>
  <c r="L193" i="3"/>
  <c r="L191" i="3"/>
  <c r="L190" i="3"/>
  <c r="L174" i="3"/>
  <c r="L158" i="3"/>
  <c r="L142" i="3"/>
  <c r="L126" i="3"/>
  <c r="L110" i="3"/>
  <c r="L94" i="3"/>
  <c r="L78" i="3"/>
  <c r="L62" i="3"/>
  <c r="L46" i="3"/>
  <c r="L30" i="3"/>
  <c r="L14" i="3"/>
  <c r="L165" i="3"/>
  <c r="L113" i="3"/>
  <c r="L97" i="3"/>
  <c r="L81" i="3"/>
  <c r="L65" i="3"/>
  <c r="L49" i="3"/>
  <c r="L33" i="3"/>
  <c r="L17" i="3"/>
  <c r="L184" i="3"/>
  <c r="L160" i="3"/>
  <c r="L111" i="3"/>
  <c r="L95" i="3"/>
  <c r="L79" i="3"/>
  <c r="L63" i="3"/>
  <c r="L47" i="3"/>
  <c r="L31" i="3"/>
  <c r="L15" i="3"/>
  <c r="L2" i="3"/>
  <c r="L144" i="3"/>
  <c r="L128" i="3"/>
  <c r="L112" i="3"/>
  <c r="L96" i="3"/>
  <c r="L80" i="3"/>
  <c r="L64" i="3"/>
  <c r="L48" i="3"/>
  <c r="L32" i="3"/>
  <c r="L16" i="3"/>
  <c r="L218" i="3"/>
  <c r="L217" i="3"/>
  <c r="L197" i="3"/>
  <c r="L223" i="3"/>
  <c r="L207" i="3"/>
  <c r="L206" i="3"/>
  <c r="L202" i="3"/>
  <c r="L157" i="3"/>
  <c r="L139" i="3"/>
  <c r="L123" i="3"/>
  <c r="L169" i="3"/>
  <c r="L137" i="3"/>
  <c r="L186" i="3"/>
  <c r="L138" i="3"/>
  <c r="L90" i="3"/>
  <c r="L58" i="3"/>
  <c r="L149" i="3"/>
  <c r="L77" i="3"/>
  <c r="L29" i="3"/>
  <c r="L156" i="3"/>
  <c r="L75" i="3"/>
  <c r="L27" i="3"/>
  <c r="L140" i="3"/>
  <c r="L92" i="3"/>
  <c r="L44" i="3"/>
  <c r="L222" i="3"/>
  <c r="L219" i="3"/>
  <c r="J4" i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<sst xmlns="http://schemas.openxmlformats.org/spreadsheetml/2006/main" count="40" uniqueCount="36">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</sst>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G1" zoomScaleNormal="100" workbookViewId="0">
      <selection activeCell="Q10" sqref="Q10"/>
    </sheetView>
  </sheetViews>
  <sheetFormatPr defaultRowHeight="16.5" x14ac:dyDescent="0.3"/>
  <cols>
    <col min="10" max="10" width="12.25" customWidth="1"/>
    <col min="11" max="11" width="13.625" bestFit="1" customWidth="1"/>
    <col min="28" max="28" width="14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1.179910572976012</v>
      </c>
      <c r="R2" s="4">
        <v>353</v>
      </c>
      <c r="S2" s="4">
        <f>(((T2/101.3)^2)*((U2/101.3)))^2</f>
        <v>0.92542947530148201</v>
      </c>
      <c r="T2" s="4">
        <v>100</v>
      </c>
      <c r="U2" s="4">
        <v>100</v>
      </c>
      <c r="Y2" t="s">
        <v>27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-0.63371999999999995</v>
      </c>
      <c r="AC3" t="s">
        <v>30</v>
      </c>
    </row>
    <row r="4" spans="1:29" x14ac:dyDescent="0.3">
      <c r="A4">
        <v>1.9424300000000002E-2</v>
      </c>
      <c r="B4">
        <v>0.80101</v>
      </c>
      <c r="C4">
        <f>A4*B4</f>
        <v>1.5559058543000001E-2</v>
      </c>
      <c r="D4">
        <v>1.8499999999999999E-2</v>
      </c>
      <c r="E4">
        <v>9.1900000000000003E-3</v>
      </c>
      <c r="F4">
        <f>A4*200</f>
        <v>3.8848600000000002</v>
      </c>
      <c r="G4">
        <f>-B4</f>
        <v>-0.80101</v>
      </c>
      <c r="H4">
        <f t="shared" ref="H4" si="0">-C4*200</f>
        <v>-3.1118117086000003</v>
      </c>
      <c r="I4">
        <v>1</v>
      </c>
      <c r="J4">
        <f>LN(F4/1000)</f>
        <v>-5.5506683318478753</v>
      </c>
      <c r="K4">
        <f>((-G4)-$N$2)</f>
        <v>-0.37890057297601198</v>
      </c>
      <c r="L4">
        <v>1</v>
      </c>
      <c r="M4">
        <f>-1*($S$4+($S$5*J4))</f>
        <v>0.2124577864049324</v>
      </c>
      <c r="N4">
        <f>D4*A4</f>
        <v>3.5934955000000004E-4</v>
      </c>
      <c r="O4">
        <f>E4*A4</f>
        <v>1.7850931700000002E-4</v>
      </c>
      <c r="P4">
        <f>-K4-M4-N4-O4</f>
        <v>0.16590492770407958</v>
      </c>
      <c r="R4" s="2" t="s">
        <v>16</v>
      </c>
      <c r="S4">
        <v>-0.48</v>
      </c>
      <c r="V4">
        <v>-6</v>
      </c>
      <c r="W4">
        <f>V4*$S$5+$S$4</f>
        <v>-0.19079999999999997</v>
      </c>
      <c r="Y4">
        <v>0</v>
      </c>
      <c r="Z4">
        <f>$AB$4*Y4+$AB$3</f>
        <v>-0.63371999999999995</v>
      </c>
      <c r="AB4">
        <v>18.104559999999999</v>
      </c>
      <c r="AC4" t="s">
        <v>31</v>
      </c>
    </row>
    <row r="5" spans="1:29" x14ac:dyDescent="0.3">
      <c r="A5">
        <v>7.0078050000000003E-2</v>
      </c>
      <c r="B5">
        <v>0.80005999999999999</v>
      </c>
      <c r="C5">
        <f t="shared" ref="C5:C68" si="1">A5*B5</f>
        <v>5.6066644683000003E-2</v>
      </c>
      <c r="D5">
        <v>1.8499999999999999E-2</v>
      </c>
      <c r="E5">
        <v>9.1900000000000003E-3</v>
      </c>
      <c r="F5">
        <f t="shared" ref="F5:F68" si="2">A5*200</f>
        <v>14.015610000000001</v>
      </c>
      <c r="G5">
        <f t="shared" ref="G5:G68" si="3">-B5</f>
        <v>-0.80005999999999999</v>
      </c>
      <c r="H5">
        <f t="shared" ref="H5:H68" si="4">-C5*200</f>
        <v>-11.2133289366</v>
      </c>
      <c r="I5">
        <v>1</v>
      </c>
      <c r="J5">
        <f t="shared" ref="J5:J68" si="5">LN(F5/1000)</f>
        <v>-4.267583570517699</v>
      </c>
      <c r="K5">
        <f t="shared" ref="K5:K68" si="6">((-G5)-$N$2)</f>
        <v>-0.37985057297601199</v>
      </c>
      <c r="L5">
        <v>1</v>
      </c>
      <c r="M5">
        <f t="shared" ref="M5:M68" si="7">-1*($S$4+($S$5*J5))</f>
        <v>0.2743024719010469</v>
      </c>
      <c r="N5">
        <f t="shared" ref="N5:N6" si="8">D5*A5</f>
        <v>1.296443925E-3</v>
      </c>
      <c r="O5">
        <f>E5*A5</f>
        <v>6.4401727950000006E-4</v>
      </c>
      <c r="P5">
        <f>-K5-M5-N5-O5</f>
        <v>0.10360763987046509</v>
      </c>
      <c r="R5" s="2" t="s">
        <v>17</v>
      </c>
      <c r="S5">
        <v>-4.82E-2</v>
      </c>
      <c r="V5">
        <v>-5.9</v>
      </c>
      <c r="W5">
        <f t="shared" ref="W5:W68" si="9">V5*$S$5+$S$4</f>
        <v>-0.19561999999999996</v>
      </c>
      <c r="Y5">
        <v>0.01</v>
      </c>
      <c r="Z5">
        <f t="shared" ref="Z5:Z31" si="10">$AB$4*Y5+$AB$3</f>
        <v>-0.45267439999999992</v>
      </c>
    </row>
    <row r="6" spans="1:29" x14ac:dyDescent="0.3">
      <c r="A6">
        <v>0.11927065000000001</v>
      </c>
      <c r="B6">
        <v>0.79174</v>
      </c>
      <c r="C6">
        <f t="shared" si="1"/>
        <v>9.4431344431E-2</v>
      </c>
      <c r="D6">
        <v>1.8499999999999999E-2</v>
      </c>
      <c r="E6">
        <v>9.1900000000000003E-3</v>
      </c>
      <c r="F6">
        <f t="shared" si="2"/>
        <v>23.854130000000001</v>
      </c>
      <c r="G6">
        <f t="shared" si="3"/>
        <v>-0.79174</v>
      </c>
      <c r="H6">
        <f t="shared" si="4"/>
        <v>-18.8862688862</v>
      </c>
      <c r="I6">
        <v>1</v>
      </c>
      <c r="J6">
        <f t="shared" si="5"/>
        <v>-3.7357979110207733</v>
      </c>
      <c r="K6">
        <f t="shared" si="6"/>
        <v>-0.38817057297601198</v>
      </c>
      <c r="L6">
        <v>1</v>
      </c>
      <c r="M6">
        <f t="shared" si="7"/>
        <v>0.29993454068879871</v>
      </c>
      <c r="N6">
        <f t="shared" si="8"/>
        <v>2.2065070249999998E-3</v>
      </c>
      <c r="O6">
        <f t="shared" ref="O6:O69" si="11">E6*A6</f>
        <v>1.0960972735000001E-3</v>
      </c>
      <c r="P6">
        <f t="shared" ref="P6:P69" si="12">-K6-M6-N6-O6</f>
        <v>8.493342798871327E-2</v>
      </c>
      <c r="V6">
        <v>-5.8</v>
      </c>
      <c r="W6">
        <f t="shared" si="9"/>
        <v>-0.20044000000000001</v>
      </c>
      <c r="Y6">
        <v>0.02</v>
      </c>
      <c r="Z6">
        <f t="shared" si="10"/>
        <v>-0.27162879999999995</v>
      </c>
      <c r="AB6" t="s">
        <v>32</v>
      </c>
    </row>
    <row r="7" spans="1:29" x14ac:dyDescent="0.3">
      <c r="A7">
        <v>0.16748915</v>
      </c>
      <c r="B7">
        <v>0.78364</v>
      </c>
      <c r="C7">
        <f t="shared" si="1"/>
        <v>0.13125119750600001</v>
      </c>
      <c r="D7">
        <v>1.8499999999999999E-2</v>
      </c>
      <c r="E7">
        <v>9.1900000000000003E-3</v>
      </c>
      <c r="F7">
        <f t="shared" si="2"/>
        <v>33.49783</v>
      </c>
      <c r="G7">
        <f t="shared" si="3"/>
        <v>-0.78364</v>
      </c>
      <c r="H7">
        <f t="shared" si="4"/>
        <v>-26.250239501199999</v>
      </c>
      <c r="I7">
        <v>1</v>
      </c>
      <c r="J7">
        <f t="shared" si="5"/>
        <v>-3.3962746183685826</v>
      </c>
      <c r="K7">
        <f t="shared" si="6"/>
        <v>-0.39627057297601198</v>
      </c>
      <c r="L7">
        <v>1</v>
      </c>
      <c r="M7">
        <f t="shared" si="7"/>
        <v>0.31629956339463428</v>
      </c>
      <c r="N7">
        <f t="shared" ref="N7:N70" si="13">D7*A7</f>
        <v>3.0985492750000001E-3</v>
      </c>
      <c r="O7">
        <f t="shared" si="11"/>
        <v>1.5392252885000001E-3</v>
      </c>
      <c r="P7">
        <f t="shared" si="12"/>
        <v>7.5333235017877698E-2</v>
      </c>
      <c r="V7">
        <v>-5.7</v>
      </c>
      <c r="W7">
        <f t="shared" si="9"/>
        <v>-0.20526</v>
      </c>
      <c r="Y7">
        <v>0.03</v>
      </c>
      <c r="Z7">
        <f t="shared" si="10"/>
        <v>-9.0583199999999975E-2</v>
      </c>
      <c r="AB7" t="s">
        <v>33</v>
      </c>
      <c r="AC7">
        <f>-AB3/AB4</f>
        <v>3.5003336176079397E-2</v>
      </c>
    </row>
    <row r="8" spans="1:29" x14ac:dyDescent="0.3">
      <c r="A8">
        <v>0.21619465000000002</v>
      </c>
      <c r="B8">
        <v>0.77671000000000001</v>
      </c>
      <c r="C8">
        <f t="shared" si="1"/>
        <v>0.16792054660150002</v>
      </c>
      <c r="D8">
        <v>1.8499999999999999E-2</v>
      </c>
      <c r="E8">
        <v>9.1900000000000003E-3</v>
      </c>
      <c r="F8">
        <f t="shared" si="2"/>
        <v>43.238930000000003</v>
      </c>
      <c r="G8">
        <f t="shared" si="3"/>
        <v>-0.77671000000000001</v>
      </c>
      <c r="H8">
        <f t="shared" si="4"/>
        <v>-33.584109320300001</v>
      </c>
      <c r="I8">
        <v>1</v>
      </c>
      <c r="J8">
        <f t="shared" si="5"/>
        <v>-3.1410140321232274</v>
      </c>
      <c r="K8">
        <f t="shared" si="6"/>
        <v>-0.40320057297601197</v>
      </c>
      <c r="L8">
        <v>1</v>
      </c>
      <c r="M8">
        <f t="shared" si="7"/>
        <v>0.32860312365166044</v>
      </c>
      <c r="N8">
        <f t="shared" si="13"/>
        <v>3.9996010249999997E-3</v>
      </c>
      <c r="O8">
        <f t="shared" si="11"/>
        <v>1.9868288335000003E-3</v>
      </c>
      <c r="P8">
        <f t="shared" si="12"/>
        <v>6.8611019465851533E-2</v>
      </c>
      <c r="V8">
        <v>-5.6</v>
      </c>
      <c r="W8">
        <f t="shared" si="9"/>
        <v>-0.21007999999999999</v>
      </c>
      <c r="Y8">
        <v>0.04</v>
      </c>
      <c r="Z8">
        <f t="shared" si="10"/>
        <v>9.0462400000000054E-2</v>
      </c>
    </row>
    <row r="9" spans="1:29" x14ac:dyDescent="0.3">
      <c r="A9">
        <v>0.26782254999999999</v>
      </c>
      <c r="B9">
        <v>0.77049999999999996</v>
      </c>
      <c r="C9">
        <f t="shared" si="1"/>
        <v>0.20635727477499999</v>
      </c>
      <c r="D9">
        <v>1.8499999999999999E-2</v>
      </c>
      <c r="E9">
        <v>9.1900000000000003E-3</v>
      </c>
      <c r="F9">
        <f t="shared" si="2"/>
        <v>53.564509999999999</v>
      </c>
      <c r="G9">
        <f t="shared" si="3"/>
        <v>-0.77049999999999996</v>
      </c>
      <c r="H9">
        <f t="shared" si="4"/>
        <v>-41.271454954999996</v>
      </c>
      <c r="I9">
        <v>1</v>
      </c>
      <c r="J9">
        <f t="shared" si="5"/>
        <v>-2.9268685570738553</v>
      </c>
      <c r="K9">
        <f t="shared" si="6"/>
        <v>-0.40941057297601202</v>
      </c>
      <c r="L9">
        <v>1</v>
      </c>
      <c r="M9">
        <f t="shared" si="7"/>
        <v>0.33892493554904013</v>
      </c>
      <c r="N9">
        <f t="shared" si="13"/>
        <v>4.9547171749999997E-3</v>
      </c>
      <c r="O9">
        <f t="shared" si="11"/>
        <v>2.4612892344999999E-3</v>
      </c>
      <c r="P9">
        <f t="shared" si="12"/>
        <v>6.30696310174719E-2</v>
      </c>
      <c r="V9">
        <v>-5.5</v>
      </c>
      <c r="W9">
        <f t="shared" si="9"/>
        <v>-0.21489999999999998</v>
      </c>
      <c r="Y9">
        <v>0.05</v>
      </c>
      <c r="Z9">
        <f t="shared" si="10"/>
        <v>0.27150800000000008</v>
      </c>
      <c r="AB9" t="s">
        <v>35</v>
      </c>
      <c r="AC9">
        <v>3.1940000000000003E-2</v>
      </c>
    </row>
    <row r="10" spans="1:29" x14ac:dyDescent="0.3">
      <c r="A10">
        <v>0.31798919999999997</v>
      </c>
      <c r="B10">
        <v>0.76395999999999997</v>
      </c>
      <c r="C10">
        <f t="shared" si="1"/>
        <v>0.24293102923199997</v>
      </c>
      <c r="D10">
        <v>1.8499999999999999E-2</v>
      </c>
      <c r="E10">
        <v>9.1900000000000003E-3</v>
      </c>
      <c r="F10">
        <f t="shared" si="2"/>
        <v>63.597839999999991</v>
      </c>
      <c r="G10">
        <f t="shared" si="3"/>
        <v>-0.76395999999999997</v>
      </c>
      <c r="H10">
        <f t="shared" si="4"/>
        <v>-48.586205846399992</v>
      </c>
      <c r="I10">
        <v>1</v>
      </c>
      <c r="J10">
        <f t="shared" si="5"/>
        <v>-2.7551757714769423</v>
      </c>
      <c r="K10">
        <f t="shared" si="6"/>
        <v>-0.41595057297601201</v>
      </c>
      <c r="L10">
        <v>1</v>
      </c>
      <c r="M10">
        <f t="shared" si="7"/>
        <v>0.34720052781481137</v>
      </c>
      <c r="N10">
        <f t="shared" si="13"/>
        <v>5.8828001999999989E-3</v>
      </c>
      <c r="O10">
        <f t="shared" si="11"/>
        <v>2.922320748E-3</v>
      </c>
      <c r="P10">
        <f t="shared" si="12"/>
        <v>5.9944924213200648E-2</v>
      </c>
      <c r="V10">
        <v>-5.4</v>
      </c>
      <c r="W10">
        <f t="shared" si="9"/>
        <v>-0.21971999999999997</v>
      </c>
      <c r="Y10">
        <v>0.06</v>
      </c>
      <c r="Z10">
        <f t="shared" si="10"/>
        <v>0.4525536</v>
      </c>
    </row>
    <row r="11" spans="1:29" x14ac:dyDescent="0.3">
      <c r="A11">
        <v>0.36669474999999996</v>
      </c>
      <c r="B11">
        <v>0.75839999999999996</v>
      </c>
      <c r="C11">
        <f t="shared" si="1"/>
        <v>0.27810129839999997</v>
      </c>
      <c r="D11">
        <v>1.8499999999999999E-2</v>
      </c>
      <c r="E11">
        <v>9.1900000000000003E-3</v>
      </c>
      <c r="F11">
        <f t="shared" si="2"/>
        <v>73.338949999999997</v>
      </c>
      <c r="G11">
        <f t="shared" si="3"/>
        <v>-0.75839999999999996</v>
      </c>
      <c r="H11">
        <f t="shared" si="4"/>
        <v>-55.620259679999997</v>
      </c>
      <c r="I11">
        <v>1</v>
      </c>
      <c r="J11">
        <f t="shared" si="5"/>
        <v>-2.6126634333217282</v>
      </c>
      <c r="K11">
        <f t="shared" si="6"/>
        <v>-0.42151057297601202</v>
      </c>
      <c r="L11">
        <v>1</v>
      </c>
      <c r="M11">
        <f t="shared" si="7"/>
        <v>0.35406962251389268</v>
      </c>
      <c r="N11">
        <f t="shared" si="13"/>
        <v>6.7838528749999986E-3</v>
      </c>
      <c r="O11">
        <f t="shared" si="11"/>
        <v>3.3699247524999996E-3</v>
      </c>
      <c r="P11">
        <f t="shared" si="12"/>
        <v>5.7287172834619343E-2</v>
      </c>
      <c r="V11">
        <v>-5.3</v>
      </c>
      <c r="W11">
        <f t="shared" si="9"/>
        <v>-0.22454000000000002</v>
      </c>
      <c r="Y11">
        <v>7.0000000000000007E-2</v>
      </c>
      <c r="Z11">
        <f t="shared" si="10"/>
        <v>0.63359920000000003</v>
      </c>
      <c r="AB11" t="s">
        <v>34</v>
      </c>
      <c r="AC11">
        <f>AC7-AC9</f>
        <v>3.063336176079394E-3</v>
      </c>
    </row>
    <row r="12" spans="1:29" x14ac:dyDescent="0.3">
      <c r="A12">
        <v>0.41929675000000005</v>
      </c>
      <c r="B12">
        <v>0.75294000000000005</v>
      </c>
      <c r="C12">
        <f t="shared" si="1"/>
        <v>0.31570529494500005</v>
      </c>
      <c r="D12">
        <v>1.8499999999999999E-2</v>
      </c>
      <c r="E12">
        <v>9.1900000000000003E-3</v>
      </c>
      <c r="F12">
        <f t="shared" si="2"/>
        <v>83.859350000000006</v>
      </c>
      <c r="G12">
        <f t="shared" si="3"/>
        <v>-0.75294000000000005</v>
      </c>
      <c r="H12">
        <f t="shared" si="4"/>
        <v>-63.141058989000008</v>
      </c>
      <c r="I12">
        <v>1</v>
      </c>
      <c r="J12">
        <f t="shared" si="5"/>
        <v>-2.4786142882831537</v>
      </c>
      <c r="K12">
        <f t="shared" si="6"/>
        <v>-0.42697057297601193</v>
      </c>
      <c r="L12">
        <v>1</v>
      </c>
      <c r="M12">
        <f t="shared" si="7"/>
        <v>0.36053079130475196</v>
      </c>
      <c r="N12">
        <f t="shared" si="13"/>
        <v>7.756989875000001E-3</v>
      </c>
      <c r="O12">
        <f t="shared" si="11"/>
        <v>3.8533371325000006E-3</v>
      </c>
      <c r="P12">
        <f t="shared" si="12"/>
        <v>5.4829454663759963E-2</v>
      </c>
      <c r="V12">
        <v>-5.2</v>
      </c>
      <c r="W12">
        <f t="shared" si="9"/>
        <v>-0.22935999999999995</v>
      </c>
      <c r="Y12">
        <v>0.08</v>
      </c>
      <c r="Z12">
        <f t="shared" si="10"/>
        <v>0.81464480000000006</v>
      </c>
      <c r="AC12">
        <f>AC11*3</f>
        <v>9.1900085282381819E-3</v>
      </c>
    </row>
    <row r="13" spans="1:29" x14ac:dyDescent="0.3">
      <c r="A13">
        <v>0.46800224999999995</v>
      </c>
      <c r="B13">
        <v>0.74790999999999996</v>
      </c>
      <c r="C13">
        <f t="shared" si="1"/>
        <v>0.35002356279749997</v>
      </c>
      <c r="D13">
        <v>1.8499999999999999E-2</v>
      </c>
      <c r="E13">
        <v>9.1900000000000003E-3</v>
      </c>
      <c r="F13">
        <f t="shared" si="2"/>
        <v>93.600449999999995</v>
      </c>
      <c r="G13">
        <f t="shared" si="3"/>
        <v>-0.74790999999999996</v>
      </c>
      <c r="H13">
        <f t="shared" si="4"/>
        <v>-70.004712559499993</v>
      </c>
      <c r="I13">
        <v>1</v>
      </c>
      <c r="J13">
        <f t="shared" si="5"/>
        <v>-2.3687200878178398</v>
      </c>
      <c r="K13">
        <f t="shared" si="6"/>
        <v>-0.43200057297601202</v>
      </c>
      <c r="L13">
        <v>1</v>
      </c>
      <c r="M13">
        <f t="shared" si="7"/>
        <v>0.36582769176718011</v>
      </c>
      <c r="N13">
        <f t="shared" si="13"/>
        <v>8.6580416249999979E-3</v>
      </c>
      <c r="O13">
        <f t="shared" si="11"/>
        <v>4.3009406774999993E-3</v>
      </c>
      <c r="P13">
        <f t="shared" si="12"/>
        <v>5.3213898906331915E-2</v>
      </c>
      <c r="V13">
        <v>-5.0999999999999996</v>
      </c>
      <c r="W13">
        <f t="shared" si="9"/>
        <v>-0.23418</v>
      </c>
      <c r="Y13">
        <v>0.09</v>
      </c>
      <c r="Z13">
        <f t="shared" si="10"/>
        <v>0.99569039999999986</v>
      </c>
    </row>
    <row r="14" spans="1:29" x14ac:dyDescent="0.3">
      <c r="A14">
        <v>0.51670784999999997</v>
      </c>
      <c r="B14">
        <v>0.74314999999999998</v>
      </c>
      <c r="C14">
        <f t="shared" si="1"/>
        <v>0.38399143872749997</v>
      </c>
      <c r="D14">
        <v>1.8499999999999999E-2</v>
      </c>
      <c r="E14">
        <v>9.1900000000000003E-3</v>
      </c>
      <c r="F14">
        <f t="shared" si="2"/>
        <v>103.34156999999999</v>
      </c>
      <c r="G14">
        <f t="shared" si="3"/>
        <v>-0.74314999999999998</v>
      </c>
      <c r="H14">
        <f t="shared" si="4"/>
        <v>-76.798287745499991</v>
      </c>
      <c r="I14">
        <v>1</v>
      </c>
      <c r="J14">
        <f t="shared" si="5"/>
        <v>-2.269715563670283</v>
      </c>
      <c r="K14">
        <f t="shared" si="6"/>
        <v>-0.43676057297601201</v>
      </c>
      <c r="L14">
        <v>1</v>
      </c>
      <c r="M14">
        <f t="shared" si="7"/>
        <v>0.37059970983109236</v>
      </c>
      <c r="N14">
        <f t="shared" si="13"/>
        <v>9.5590952249999996E-3</v>
      </c>
      <c r="O14">
        <f t="shared" si="11"/>
        <v>4.7485451414999999E-3</v>
      </c>
      <c r="P14">
        <f t="shared" si="12"/>
        <v>5.1853222778419646E-2</v>
      </c>
      <c r="V14">
        <v>-5</v>
      </c>
      <c r="W14">
        <f t="shared" si="9"/>
        <v>-0.23899999999999999</v>
      </c>
      <c r="Y14">
        <v>0.1</v>
      </c>
      <c r="Z14">
        <f t="shared" si="10"/>
        <v>1.176736</v>
      </c>
    </row>
    <row r="15" spans="1:29" x14ac:dyDescent="0.3">
      <c r="A15">
        <v>0.56492624999999996</v>
      </c>
      <c r="B15">
        <v>0.73833000000000004</v>
      </c>
      <c r="C15">
        <f t="shared" si="1"/>
        <v>0.41710199816249999</v>
      </c>
      <c r="D15">
        <v>1.8499999999999999E-2</v>
      </c>
      <c r="E15">
        <v>9.1900000000000003E-3</v>
      </c>
      <c r="F15">
        <f t="shared" si="2"/>
        <v>112.98524999999999</v>
      </c>
      <c r="G15">
        <f t="shared" si="3"/>
        <v>-0.73833000000000004</v>
      </c>
      <c r="H15">
        <f t="shared" si="4"/>
        <v>-83.420399632499993</v>
      </c>
      <c r="I15">
        <v>1</v>
      </c>
      <c r="J15">
        <f t="shared" si="5"/>
        <v>-2.1804979997631566</v>
      </c>
      <c r="K15">
        <f t="shared" si="6"/>
        <v>-0.44158057297601194</v>
      </c>
      <c r="L15">
        <v>1</v>
      </c>
      <c r="M15">
        <f t="shared" si="7"/>
        <v>0.3748999964114158</v>
      </c>
      <c r="N15">
        <f t="shared" si="13"/>
        <v>1.0451135624999998E-2</v>
      </c>
      <c r="O15">
        <f t="shared" si="11"/>
        <v>5.1916722375000002E-3</v>
      </c>
      <c r="P15">
        <f t="shared" si="12"/>
        <v>5.1037768702096142E-2</v>
      </c>
      <c r="V15">
        <v>-4.9000000000000004</v>
      </c>
      <c r="W15">
        <f t="shared" si="9"/>
        <v>-0.24381999999999995</v>
      </c>
      <c r="Y15">
        <v>0.11</v>
      </c>
      <c r="Z15">
        <f t="shared" si="10"/>
        <v>1.3577816</v>
      </c>
    </row>
    <row r="16" spans="1:29" x14ac:dyDescent="0.3">
      <c r="A16">
        <v>0.61363179999999995</v>
      </c>
      <c r="B16">
        <v>0.73406000000000005</v>
      </c>
      <c r="C16">
        <f t="shared" si="1"/>
        <v>0.45044255910800002</v>
      </c>
      <c r="D16">
        <v>1.8499999999999999E-2</v>
      </c>
      <c r="E16">
        <v>9.1900000000000003E-3</v>
      </c>
      <c r="F16">
        <f t="shared" si="2"/>
        <v>122.72635999999999</v>
      </c>
      <c r="G16">
        <f t="shared" si="3"/>
        <v>-0.73406000000000005</v>
      </c>
      <c r="H16">
        <f t="shared" si="4"/>
        <v>-90.088511821600008</v>
      </c>
      <c r="I16">
        <v>1</v>
      </c>
      <c r="J16">
        <f t="shared" si="5"/>
        <v>-2.0977981174127245</v>
      </c>
      <c r="K16">
        <f t="shared" si="6"/>
        <v>-0.44585057297601194</v>
      </c>
      <c r="L16">
        <v>1</v>
      </c>
      <c r="M16">
        <f t="shared" si="7"/>
        <v>0.37888613074070665</v>
      </c>
      <c r="N16">
        <f t="shared" si="13"/>
        <v>1.1352188299999998E-2</v>
      </c>
      <c r="O16">
        <f t="shared" si="11"/>
        <v>5.6392762419999994E-3</v>
      </c>
      <c r="P16">
        <f t="shared" si="12"/>
        <v>4.997297769330529E-2</v>
      </c>
      <c r="V16">
        <v>-4.8</v>
      </c>
      <c r="W16">
        <f t="shared" si="9"/>
        <v>-0.24864</v>
      </c>
      <c r="Y16">
        <v>0.12</v>
      </c>
      <c r="Z16">
        <f t="shared" si="10"/>
        <v>1.5388272000000001</v>
      </c>
    </row>
    <row r="17" spans="1:26" x14ac:dyDescent="0.3">
      <c r="A17">
        <v>0.66282439999999998</v>
      </c>
      <c r="B17">
        <v>0.73006000000000004</v>
      </c>
      <c r="C17">
        <f t="shared" si="1"/>
        <v>0.48390158146400003</v>
      </c>
      <c r="D17">
        <v>1.8499999999999999E-2</v>
      </c>
      <c r="E17">
        <v>9.1900000000000003E-3</v>
      </c>
      <c r="F17">
        <f t="shared" si="2"/>
        <v>132.56487999999999</v>
      </c>
      <c r="G17">
        <f t="shared" si="3"/>
        <v>-0.73006000000000004</v>
      </c>
      <c r="H17">
        <f t="shared" si="4"/>
        <v>-96.780316292800009</v>
      </c>
      <c r="I17">
        <v>1</v>
      </c>
      <c r="J17">
        <f t="shared" si="5"/>
        <v>-2.020683093023024</v>
      </c>
      <c r="K17">
        <f t="shared" si="6"/>
        <v>-0.44985057297601194</v>
      </c>
      <c r="L17">
        <v>1</v>
      </c>
      <c r="M17">
        <f t="shared" si="7"/>
        <v>0.3826030749162902</v>
      </c>
      <c r="N17">
        <f t="shared" si="13"/>
        <v>1.2262251399999998E-2</v>
      </c>
      <c r="O17">
        <f t="shared" si="11"/>
        <v>6.091356236E-3</v>
      </c>
      <c r="P17">
        <f t="shared" si="12"/>
        <v>4.8893890423721748E-2</v>
      </c>
      <c r="V17">
        <v>-4.7</v>
      </c>
      <c r="W17">
        <f t="shared" si="9"/>
        <v>-0.25345999999999996</v>
      </c>
      <c r="Y17">
        <v>0.13</v>
      </c>
      <c r="Z17">
        <f t="shared" si="10"/>
        <v>1.7198728000000001</v>
      </c>
    </row>
    <row r="18" spans="1:26" x14ac:dyDescent="0.3">
      <c r="A18">
        <v>0.71250400000000003</v>
      </c>
      <c r="B18">
        <v>0.72553999999999996</v>
      </c>
      <c r="C18">
        <f t="shared" si="1"/>
        <v>0.51695015215999995</v>
      </c>
      <c r="D18">
        <v>1.8499999999999999E-2</v>
      </c>
      <c r="E18">
        <v>9.1900000000000003E-3</v>
      </c>
      <c r="F18">
        <f t="shared" si="2"/>
        <v>142.5008</v>
      </c>
      <c r="G18">
        <f t="shared" si="3"/>
        <v>-0.72553999999999996</v>
      </c>
      <c r="H18">
        <f t="shared" si="4"/>
        <v>-103.39003043199999</v>
      </c>
      <c r="I18">
        <v>1</v>
      </c>
      <c r="J18">
        <f t="shared" si="5"/>
        <v>-1.9484076652541027</v>
      </c>
      <c r="K18">
        <f t="shared" si="6"/>
        <v>-0.45437057297601202</v>
      </c>
      <c r="L18">
        <v>1</v>
      </c>
      <c r="M18">
        <f t="shared" si="7"/>
        <v>0.38608675053475222</v>
      </c>
      <c r="N18">
        <f t="shared" si="13"/>
        <v>1.3181323999999999E-2</v>
      </c>
      <c r="O18">
        <f t="shared" si="11"/>
        <v>6.5479117600000004E-3</v>
      </c>
      <c r="P18">
        <f t="shared" si="12"/>
        <v>4.8554586681259795E-2</v>
      </c>
      <c r="V18">
        <v>-4.5999999999999996</v>
      </c>
      <c r="W18">
        <f t="shared" si="9"/>
        <v>-0.25828000000000001</v>
      </c>
      <c r="Y18">
        <v>0.14000000000000001</v>
      </c>
      <c r="Z18">
        <f t="shared" si="10"/>
        <v>1.9009184000000001</v>
      </c>
    </row>
    <row r="19" spans="1:26" x14ac:dyDescent="0.3">
      <c r="A19">
        <v>0.76120949999999998</v>
      </c>
      <c r="B19">
        <v>0.72145999999999999</v>
      </c>
      <c r="C19">
        <f t="shared" si="1"/>
        <v>0.54918220587</v>
      </c>
      <c r="D19">
        <v>1.8499999999999999E-2</v>
      </c>
      <c r="E19">
        <v>9.1900000000000003E-3</v>
      </c>
      <c r="F19">
        <f t="shared" si="2"/>
        <v>152.24189999999999</v>
      </c>
      <c r="G19">
        <f t="shared" si="3"/>
        <v>-0.72145999999999999</v>
      </c>
      <c r="H19">
        <f t="shared" si="4"/>
        <v>-109.836441174</v>
      </c>
      <c r="I19">
        <v>1</v>
      </c>
      <c r="J19">
        <f t="shared" si="5"/>
        <v>-1.882284575777849</v>
      </c>
      <c r="K19">
        <f t="shared" si="6"/>
        <v>-0.45845057297601199</v>
      </c>
      <c r="L19">
        <v>1</v>
      </c>
      <c r="M19">
        <f t="shared" si="7"/>
        <v>0.38927388344750768</v>
      </c>
      <c r="N19">
        <f t="shared" si="13"/>
        <v>1.4082375749999999E-2</v>
      </c>
      <c r="O19">
        <f t="shared" si="11"/>
        <v>6.995515305E-3</v>
      </c>
      <c r="P19">
        <f t="shared" si="12"/>
        <v>4.809879847350431E-2</v>
      </c>
      <c r="V19">
        <v>-4.5000000000000098</v>
      </c>
      <c r="W19">
        <f t="shared" si="9"/>
        <v>-0.2630999999999995</v>
      </c>
      <c r="Y19">
        <v>0.15</v>
      </c>
      <c r="Z19">
        <f t="shared" si="10"/>
        <v>2.0819640000000001</v>
      </c>
    </row>
    <row r="20" spans="1:26" x14ac:dyDescent="0.3">
      <c r="A20">
        <v>0.80991505000000008</v>
      </c>
      <c r="B20">
        <v>0.71787999999999996</v>
      </c>
      <c r="C20">
        <f t="shared" si="1"/>
        <v>0.58142181609400001</v>
      </c>
      <c r="D20">
        <v>1.8499999999999999E-2</v>
      </c>
      <c r="E20">
        <v>9.1900000000000003E-3</v>
      </c>
      <c r="F20">
        <f t="shared" si="2"/>
        <v>161.98301000000001</v>
      </c>
      <c r="G20">
        <f t="shared" si="3"/>
        <v>-0.71787999999999996</v>
      </c>
      <c r="H20">
        <f t="shared" si="4"/>
        <v>-116.2843632188</v>
      </c>
      <c r="I20">
        <v>1</v>
      </c>
      <c r="J20">
        <f t="shared" si="5"/>
        <v>-1.820263825792892</v>
      </c>
      <c r="K20">
        <f t="shared" si="6"/>
        <v>-0.46203057297601202</v>
      </c>
      <c r="L20">
        <v>1</v>
      </c>
      <c r="M20">
        <f t="shared" si="7"/>
        <v>0.39226328359678259</v>
      </c>
      <c r="N20">
        <f t="shared" si="13"/>
        <v>1.4983428425E-2</v>
      </c>
      <c r="O20">
        <f t="shared" si="11"/>
        <v>7.4431193095000009E-3</v>
      </c>
      <c r="P20">
        <f t="shared" si="12"/>
        <v>4.7340741644729435E-2</v>
      </c>
      <c r="V20">
        <v>-4.4000000000000101</v>
      </c>
      <c r="W20">
        <f t="shared" si="9"/>
        <v>-0.26791999999999949</v>
      </c>
      <c r="Y20">
        <v>0.16</v>
      </c>
      <c r="Z20">
        <f t="shared" si="10"/>
        <v>2.2630096000000002</v>
      </c>
    </row>
    <row r="21" spans="1:26" x14ac:dyDescent="0.3">
      <c r="A21">
        <v>0.85862059999999996</v>
      </c>
      <c r="B21">
        <v>0.71409</v>
      </c>
      <c r="C21">
        <f t="shared" si="1"/>
        <v>0.61313238425399996</v>
      </c>
      <c r="D21">
        <v>1.8499999999999999E-2</v>
      </c>
      <c r="E21">
        <v>9.1900000000000003E-3</v>
      </c>
      <c r="F21">
        <f t="shared" si="2"/>
        <v>171.72412</v>
      </c>
      <c r="G21">
        <f t="shared" si="3"/>
        <v>-0.71409</v>
      </c>
      <c r="H21">
        <f t="shared" si="4"/>
        <v>-122.62647685079999</v>
      </c>
      <c r="I21">
        <v>1</v>
      </c>
      <c r="J21">
        <f t="shared" si="5"/>
        <v>-1.7618660433675886</v>
      </c>
      <c r="K21">
        <f t="shared" si="6"/>
        <v>-0.46582057297601198</v>
      </c>
      <c r="L21">
        <v>1</v>
      </c>
      <c r="M21">
        <f t="shared" si="7"/>
        <v>0.39507805670968221</v>
      </c>
      <c r="N21">
        <f t="shared" si="13"/>
        <v>1.5884481099999997E-2</v>
      </c>
      <c r="O21">
        <f t="shared" si="11"/>
        <v>7.8907233140000001E-3</v>
      </c>
      <c r="P21">
        <f t="shared" si="12"/>
        <v>4.6967311852329767E-2</v>
      </c>
      <c r="V21">
        <v>-4.3000000000000096</v>
      </c>
      <c r="W21">
        <f t="shared" si="9"/>
        <v>-0.27273999999999954</v>
      </c>
      <c r="Y21">
        <v>0.17</v>
      </c>
      <c r="Z21">
        <f t="shared" si="10"/>
        <v>2.4440552000000002</v>
      </c>
    </row>
    <row r="22" spans="1:26" x14ac:dyDescent="0.3">
      <c r="A22">
        <v>0.90732609999999991</v>
      </c>
      <c r="B22">
        <v>0.71052000000000004</v>
      </c>
      <c r="C22">
        <f t="shared" si="1"/>
        <v>0.64467334057199999</v>
      </c>
      <c r="D22">
        <v>1.8499999999999999E-2</v>
      </c>
      <c r="E22">
        <v>9.1900000000000003E-3</v>
      </c>
      <c r="F22">
        <f t="shared" si="2"/>
        <v>181.46521999999999</v>
      </c>
      <c r="G22">
        <f t="shared" si="3"/>
        <v>-0.71052000000000004</v>
      </c>
      <c r="H22">
        <f t="shared" si="4"/>
        <v>-128.93466811439998</v>
      </c>
      <c r="I22">
        <v>1</v>
      </c>
      <c r="J22">
        <f t="shared" si="5"/>
        <v>-1.7066912689840665</v>
      </c>
      <c r="K22">
        <f t="shared" si="6"/>
        <v>-0.46939057297601194</v>
      </c>
      <c r="L22">
        <v>1</v>
      </c>
      <c r="M22">
        <f t="shared" si="7"/>
        <v>0.39773748083496796</v>
      </c>
      <c r="N22">
        <f t="shared" si="13"/>
        <v>1.6785532849999996E-2</v>
      </c>
      <c r="O22">
        <f t="shared" si="11"/>
        <v>8.3383268589999997E-3</v>
      </c>
      <c r="P22">
        <f t="shared" si="12"/>
        <v>4.6529232432043988E-2</v>
      </c>
      <c r="V22">
        <v>-4.2000000000000099</v>
      </c>
      <c r="W22">
        <f t="shared" si="9"/>
        <v>-0.27755999999999947</v>
      </c>
      <c r="Y22">
        <v>0.18</v>
      </c>
      <c r="Z22">
        <f t="shared" si="10"/>
        <v>2.6251007999999998</v>
      </c>
    </row>
    <row r="23" spans="1:26" x14ac:dyDescent="0.3">
      <c r="A23">
        <v>0.95944109999999994</v>
      </c>
      <c r="B23">
        <v>0.70635999999999999</v>
      </c>
      <c r="C23">
        <f t="shared" si="1"/>
        <v>0.67771081539599998</v>
      </c>
      <c r="D23">
        <v>1.8499999999999999E-2</v>
      </c>
      <c r="E23">
        <v>9.1900000000000003E-3</v>
      </c>
      <c r="F23">
        <f t="shared" si="2"/>
        <v>191.88821999999999</v>
      </c>
      <c r="G23">
        <f t="shared" si="3"/>
        <v>-0.70635999999999999</v>
      </c>
      <c r="H23">
        <f t="shared" si="4"/>
        <v>-135.54216307920001</v>
      </c>
      <c r="I23">
        <v>1</v>
      </c>
      <c r="J23">
        <f t="shared" si="5"/>
        <v>-1.6508422639913027</v>
      </c>
      <c r="K23">
        <f t="shared" si="6"/>
        <v>-0.473550572976012</v>
      </c>
      <c r="L23">
        <v>1</v>
      </c>
      <c r="M23">
        <f t="shared" si="7"/>
        <v>0.40042940287561918</v>
      </c>
      <c r="N23">
        <f t="shared" si="13"/>
        <v>1.7749660349999998E-2</v>
      </c>
      <c r="O23">
        <f t="shared" si="11"/>
        <v>8.8172637089999999E-3</v>
      </c>
      <c r="P23">
        <f t="shared" si="12"/>
        <v>4.6554246041392813E-2</v>
      </c>
      <c r="V23">
        <v>-4.1000000000000103</v>
      </c>
      <c r="W23">
        <f t="shared" si="9"/>
        <v>-0.28237999999999952</v>
      </c>
      <c r="Y23">
        <v>0.19</v>
      </c>
      <c r="Z23">
        <f t="shared" si="10"/>
        <v>2.8061464000000003</v>
      </c>
    </row>
    <row r="24" spans="1:26" x14ac:dyDescent="0.3">
      <c r="A24">
        <v>1.0086336499999999</v>
      </c>
      <c r="B24">
        <v>0.70304999999999995</v>
      </c>
      <c r="C24">
        <f t="shared" si="1"/>
        <v>0.70911988763249989</v>
      </c>
      <c r="D24">
        <v>1.8499999999999999E-2</v>
      </c>
      <c r="E24">
        <v>9.1900000000000003E-3</v>
      </c>
      <c r="F24">
        <f t="shared" si="2"/>
        <v>201.72672999999998</v>
      </c>
      <c r="G24">
        <f t="shared" si="3"/>
        <v>-0.70304999999999995</v>
      </c>
      <c r="H24">
        <f t="shared" si="4"/>
        <v>-141.82397752649999</v>
      </c>
      <c r="I24">
        <v>1</v>
      </c>
      <c r="J24">
        <f t="shared" si="5"/>
        <v>-1.6008413192526145</v>
      </c>
      <c r="K24">
        <f t="shared" si="6"/>
        <v>-0.47686057297601203</v>
      </c>
      <c r="L24">
        <v>1</v>
      </c>
      <c r="M24">
        <f t="shared" si="7"/>
        <v>0.40283944841202396</v>
      </c>
      <c r="N24">
        <f t="shared" si="13"/>
        <v>1.8659722524999998E-2</v>
      </c>
      <c r="O24">
        <f t="shared" si="11"/>
        <v>9.269343243499999E-3</v>
      </c>
      <c r="P24">
        <f t="shared" si="12"/>
        <v>4.6092058795488076E-2</v>
      </c>
      <c r="V24">
        <v>-4.0000000000000098</v>
      </c>
      <c r="W24">
        <f t="shared" si="9"/>
        <v>-0.28719999999999951</v>
      </c>
      <c r="Y24">
        <v>0.2</v>
      </c>
      <c r="Z24">
        <f t="shared" si="10"/>
        <v>2.9871920000000003</v>
      </c>
    </row>
    <row r="25" spans="1:26" x14ac:dyDescent="0.3">
      <c r="A25">
        <v>1.05880025</v>
      </c>
      <c r="B25">
        <v>0.69933999999999996</v>
      </c>
      <c r="C25">
        <f t="shared" si="1"/>
        <v>0.74046136683499997</v>
      </c>
      <c r="D25">
        <v>1.8499999999999999E-2</v>
      </c>
      <c r="E25">
        <v>9.1900000000000003E-3</v>
      </c>
      <c r="F25">
        <f t="shared" si="2"/>
        <v>211.76005000000001</v>
      </c>
      <c r="G25">
        <f t="shared" si="3"/>
        <v>-0.69933999999999996</v>
      </c>
      <c r="H25">
        <f t="shared" si="4"/>
        <v>-148.09227336699999</v>
      </c>
      <c r="I25">
        <v>1</v>
      </c>
      <c r="J25">
        <f t="shared" si="5"/>
        <v>-1.552301484946961</v>
      </c>
      <c r="K25">
        <f t="shared" si="6"/>
        <v>-0.48057057297601202</v>
      </c>
      <c r="L25">
        <v>1</v>
      </c>
      <c r="M25">
        <f t="shared" si="7"/>
        <v>0.40517906842555645</v>
      </c>
      <c r="N25">
        <f t="shared" si="13"/>
        <v>1.9587804625E-2</v>
      </c>
      <c r="O25">
        <f t="shared" si="11"/>
        <v>9.7303742975000003E-3</v>
      </c>
      <c r="P25">
        <f t="shared" si="12"/>
        <v>4.6073325627955575E-2</v>
      </c>
      <c r="V25">
        <v>-3.9000000000000101</v>
      </c>
      <c r="W25">
        <f t="shared" si="9"/>
        <v>-0.2920199999999995</v>
      </c>
      <c r="Y25">
        <v>0.21</v>
      </c>
      <c r="Z25">
        <f t="shared" si="10"/>
        <v>3.1682375999999999</v>
      </c>
    </row>
    <row r="26" spans="1:26" x14ac:dyDescent="0.3">
      <c r="A26">
        <v>1.1070188000000001</v>
      </c>
      <c r="B26">
        <v>0.69554000000000005</v>
      </c>
      <c r="C26">
        <f t="shared" si="1"/>
        <v>0.76997585615200015</v>
      </c>
      <c r="D26">
        <v>1.8499999999999999E-2</v>
      </c>
      <c r="E26">
        <v>9.1900000000000003E-3</v>
      </c>
      <c r="F26">
        <f t="shared" si="2"/>
        <v>221.40376000000001</v>
      </c>
      <c r="G26">
        <f t="shared" si="3"/>
        <v>-0.69554000000000005</v>
      </c>
      <c r="H26">
        <f t="shared" si="4"/>
        <v>-153.99517123040002</v>
      </c>
      <c r="I26">
        <v>1</v>
      </c>
      <c r="J26">
        <f t="shared" si="5"/>
        <v>-1.5077672760153122</v>
      </c>
      <c r="K26">
        <f t="shared" si="6"/>
        <v>-0.48437057297601194</v>
      </c>
      <c r="L26">
        <v>1</v>
      </c>
      <c r="M26">
        <f t="shared" si="7"/>
        <v>0.40732561729606193</v>
      </c>
      <c r="N26">
        <f t="shared" si="13"/>
        <v>2.0479847799999999E-2</v>
      </c>
      <c r="O26">
        <f t="shared" si="11"/>
        <v>1.0173502772000001E-2</v>
      </c>
      <c r="P26">
        <f t="shared" si="12"/>
        <v>4.6391605107950012E-2</v>
      </c>
      <c r="V26">
        <v>-3.80000000000001</v>
      </c>
      <c r="W26">
        <f t="shared" si="9"/>
        <v>-0.29683999999999949</v>
      </c>
      <c r="Y26">
        <v>0.22</v>
      </c>
      <c r="Z26">
        <f t="shared" si="10"/>
        <v>3.3492831999999999</v>
      </c>
    </row>
    <row r="27" spans="1:26" x14ac:dyDescent="0.3">
      <c r="A27">
        <v>1.15621145</v>
      </c>
      <c r="B27">
        <v>0.69194999999999995</v>
      </c>
      <c r="C27">
        <f t="shared" si="1"/>
        <v>0.80004051282749999</v>
      </c>
      <c r="D27">
        <v>1.8499999999999999E-2</v>
      </c>
      <c r="E27">
        <v>9.1900000000000003E-3</v>
      </c>
      <c r="F27">
        <f t="shared" si="2"/>
        <v>231.24229</v>
      </c>
      <c r="G27">
        <f t="shared" si="3"/>
        <v>-0.69194999999999995</v>
      </c>
      <c r="H27">
        <f t="shared" si="4"/>
        <v>-160.0081025655</v>
      </c>
      <c r="I27">
        <v>1</v>
      </c>
      <c r="J27">
        <f t="shared" si="5"/>
        <v>-1.4642892436859511</v>
      </c>
      <c r="K27">
        <f t="shared" si="6"/>
        <v>-0.48796057297601203</v>
      </c>
      <c r="L27">
        <v>1</v>
      </c>
      <c r="M27">
        <f t="shared" si="7"/>
        <v>0.40942125845433713</v>
      </c>
      <c r="N27">
        <f t="shared" si="13"/>
        <v>2.1389911825E-2</v>
      </c>
      <c r="O27">
        <f t="shared" si="11"/>
        <v>1.06255832255E-2</v>
      </c>
      <c r="P27">
        <f t="shared" si="12"/>
        <v>4.6523819471174899E-2</v>
      </c>
      <c r="V27">
        <v>-3.7000000000000099</v>
      </c>
      <c r="W27">
        <f t="shared" si="9"/>
        <v>-0.30165999999999948</v>
      </c>
      <c r="Y27">
        <v>0.23</v>
      </c>
      <c r="Z27">
        <f t="shared" si="10"/>
        <v>3.5303287999999999</v>
      </c>
    </row>
    <row r="28" spans="1:26" x14ac:dyDescent="0.3">
      <c r="A28">
        <v>1.2044299000000001</v>
      </c>
      <c r="B28">
        <v>0.68879000000000001</v>
      </c>
      <c r="C28">
        <f t="shared" si="1"/>
        <v>0.82959927082100005</v>
      </c>
      <c r="D28">
        <v>1.8499999999999999E-2</v>
      </c>
      <c r="E28">
        <v>9.1900000000000003E-3</v>
      </c>
      <c r="F28">
        <f t="shared" si="2"/>
        <v>240.88598000000002</v>
      </c>
      <c r="G28">
        <f t="shared" si="3"/>
        <v>-0.68879000000000001</v>
      </c>
      <c r="H28">
        <f t="shared" si="4"/>
        <v>-165.91985416420002</v>
      </c>
      <c r="I28">
        <v>1</v>
      </c>
      <c r="J28">
        <f t="shared" si="5"/>
        <v>-1.4234315694774871</v>
      </c>
      <c r="K28">
        <f t="shared" si="6"/>
        <v>-0.49112057297601197</v>
      </c>
      <c r="L28">
        <v>1</v>
      </c>
      <c r="M28">
        <f t="shared" si="7"/>
        <v>0.41139059835118508</v>
      </c>
      <c r="N28">
        <f t="shared" si="13"/>
        <v>2.2281953149999999E-2</v>
      </c>
      <c r="O28">
        <f t="shared" si="11"/>
        <v>1.1068710781000001E-2</v>
      </c>
      <c r="P28">
        <f t="shared" si="12"/>
        <v>4.6379310693826892E-2</v>
      </c>
      <c r="V28">
        <v>-3.6000000000000099</v>
      </c>
      <c r="W28">
        <f t="shared" si="9"/>
        <v>-0.30647999999999953</v>
      </c>
      <c r="Y28">
        <v>0.24</v>
      </c>
      <c r="Z28">
        <f t="shared" si="10"/>
        <v>3.7113744</v>
      </c>
    </row>
    <row r="29" spans="1:26" x14ac:dyDescent="0.3">
      <c r="A29">
        <v>1.2560577499999999</v>
      </c>
      <c r="B29">
        <v>0.68515000000000004</v>
      </c>
      <c r="C29">
        <f t="shared" si="1"/>
        <v>0.86058796741249999</v>
      </c>
      <c r="D29">
        <v>1.8499999999999999E-2</v>
      </c>
      <c r="E29">
        <v>9.1900000000000003E-3</v>
      </c>
      <c r="F29">
        <f t="shared" si="2"/>
        <v>251.21154999999996</v>
      </c>
      <c r="G29">
        <f t="shared" si="3"/>
        <v>-0.68515000000000004</v>
      </c>
      <c r="H29">
        <f t="shared" si="4"/>
        <v>-172.11759348249998</v>
      </c>
      <c r="I29">
        <v>1</v>
      </c>
      <c r="J29">
        <f t="shared" si="5"/>
        <v>-1.3814598661457462</v>
      </c>
      <c r="K29">
        <f t="shared" si="6"/>
        <v>-0.49476057297601195</v>
      </c>
      <c r="L29">
        <v>1</v>
      </c>
      <c r="M29">
        <f t="shared" si="7"/>
        <v>0.41341363445177504</v>
      </c>
      <c r="N29">
        <f t="shared" si="13"/>
        <v>2.3237068374999996E-2</v>
      </c>
      <c r="O29">
        <f t="shared" si="11"/>
        <v>1.1543170722499999E-2</v>
      </c>
      <c r="P29">
        <f t="shared" si="12"/>
        <v>4.6566699426736913E-2</v>
      </c>
      <c r="V29">
        <v>-3.5000000000000102</v>
      </c>
      <c r="W29">
        <f t="shared" si="9"/>
        <v>-0.31129999999999947</v>
      </c>
      <c r="Y29">
        <v>0.25</v>
      </c>
      <c r="Z29">
        <f t="shared" si="10"/>
        <v>3.89242</v>
      </c>
    </row>
    <row r="30" spans="1:26" x14ac:dyDescent="0.3">
      <c r="A30">
        <v>1.30427615</v>
      </c>
      <c r="B30">
        <v>0.68198999999999999</v>
      </c>
      <c r="C30">
        <f t="shared" si="1"/>
        <v>0.88950329153849994</v>
      </c>
      <c r="D30">
        <v>1.8499999999999999E-2</v>
      </c>
      <c r="E30">
        <v>9.1900000000000003E-3</v>
      </c>
      <c r="F30">
        <f t="shared" si="2"/>
        <v>260.85523000000001</v>
      </c>
      <c r="G30">
        <f t="shared" si="3"/>
        <v>-0.68198999999999999</v>
      </c>
      <c r="H30">
        <f t="shared" si="4"/>
        <v>-177.90065830769998</v>
      </c>
      <c r="I30">
        <v>1</v>
      </c>
      <c r="J30">
        <f t="shared" si="5"/>
        <v>-1.3437896998776595</v>
      </c>
      <c r="K30">
        <f t="shared" si="6"/>
        <v>-0.497920572976012</v>
      </c>
      <c r="L30">
        <v>1</v>
      </c>
      <c r="M30">
        <f t="shared" si="7"/>
        <v>0.41522933646589677</v>
      </c>
      <c r="N30">
        <f t="shared" si="13"/>
        <v>2.4129108774999998E-2</v>
      </c>
      <c r="O30">
        <f t="shared" si="11"/>
        <v>1.19862978185E-2</v>
      </c>
      <c r="P30">
        <f t="shared" si="12"/>
        <v>4.6575829916615227E-2</v>
      </c>
      <c r="V30">
        <v>-3.4000000000000101</v>
      </c>
      <c r="W30">
        <f t="shared" si="9"/>
        <v>-0.31611999999999951</v>
      </c>
      <c r="Y30">
        <v>0.26</v>
      </c>
      <c r="Z30">
        <f t="shared" si="10"/>
        <v>4.0734655999999996</v>
      </c>
    </row>
    <row r="31" spans="1:26" x14ac:dyDescent="0.3">
      <c r="A31">
        <v>1.3524946</v>
      </c>
      <c r="B31">
        <v>0.67876000000000003</v>
      </c>
      <c r="C31">
        <f t="shared" si="1"/>
        <v>0.918019234696</v>
      </c>
      <c r="D31">
        <v>1.8499999999999999E-2</v>
      </c>
      <c r="E31">
        <v>9.1900000000000003E-3</v>
      </c>
      <c r="F31">
        <f t="shared" si="2"/>
        <v>270.49892</v>
      </c>
      <c r="G31">
        <f t="shared" si="3"/>
        <v>-0.67876000000000003</v>
      </c>
      <c r="H31">
        <f t="shared" si="4"/>
        <v>-183.6038469392</v>
      </c>
      <c r="I31">
        <v>1</v>
      </c>
      <c r="J31">
        <f t="shared" si="5"/>
        <v>-1.3074871733098561</v>
      </c>
      <c r="K31">
        <f t="shared" si="6"/>
        <v>-0.50115057297601195</v>
      </c>
      <c r="L31">
        <v>1</v>
      </c>
      <c r="M31">
        <f t="shared" si="7"/>
        <v>0.41697911824646494</v>
      </c>
      <c r="N31">
        <f t="shared" si="13"/>
        <v>2.50211501E-2</v>
      </c>
      <c r="O31">
        <f t="shared" si="11"/>
        <v>1.2429425374E-2</v>
      </c>
      <c r="P31">
        <f t="shared" si="12"/>
        <v>4.6720879255547014E-2</v>
      </c>
      <c r="V31">
        <v>-3.30000000000001</v>
      </c>
      <c r="W31">
        <f t="shared" si="9"/>
        <v>-0.3209399999999995</v>
      </c>
      <c r="Y31">
        <v>0.27</v>
      </c>
      <c r="Z31">
        <f t="shared" si="10"/>
        <v>4.2545111999999996</v>
      </c>
    </row>
    <row r="32" spans="1:26" x14ac:dyDescent="0.3">
      <c r="A32">
        <v>1.4041224999999999</v>
      </c>
      <c r="B32">
        <v>0.67518</v>
      </c>
      <c r="C32">
        <f t="shared" si="1"/>
        <v>0.94803542954999998</v>
      </c>
      <c r="D32">
        <v>1.8499999999999999E-2</v>
      </c>
      <c r="E32">
        <v>9.1900000000000003E-3</v>
      </c>
      <c r="F32">
        <f t="shared" si="2"/>
        <v>280.8245</v>
      </c>
      <c r="G32">
        <f t="shared" si="3"/>
        <v>-0.67518</v>
      </c>
      <c r="H32">
        <f t="shared" si="4"/>
        <v>-189.60708591</v>
      </c>
      <c r="I32">
        <v>1</v>
      </c>
      <c r="J32">
        <f t="shared" si="5"/>
        <v>-1.2700253599243523</v>
      </c>
      <c r="K32">
        <f t="shared" si="6"/>
        <v>-0.50473057297601198</v>
      </c>
      <c r="L32">
        <v>1</v>
      </c>
      <c r="M32">
        <f t="shared" si="7"/>
        <v>0.41878477765164618</v>
      </c>
      <c r="N32">
        <f t="shared" si="13"/>
        <v>2.5976266249999998E-2</v>
      </c>
      <c r="O32">
        <f t="shared" si="11"/>
        <v>1.2903885775E-2</v>
      </c>
      <c r="P32">
        <f t="shared" si="12"/>
        <v>4.7065643299365807E-2</v>
      </c>
      <c r="V32">
        <v>-3.2000000000000099</v>
      </c>
      <c r="W32">
        <f t="shared" si="9"/>
        <v>-0.32575999999999949</v>
      </c>
    </row>
    <row r="33" spans="1:23" x14ac:dyDescent="0.3">
      <c r="A33">
        <v>1.45234105</v>
      </c>
      <c r="B33">
        <v>0.67200000000000004</v>
      </c>
      <c r="C33">
        <f t="shared" si="1"/>
        <v>0.97597318560000013</v>
      </c>
      <c r="D33">
        <v>1.8499999999999999E-2</v>
      </c>
      <c r="E33">
        <v>9.1900000000000003E-3</v>
      </c>
      <c r="F33">
        <f t="shared" si="2"/>
        <v>290.46821</v>
      </c>
      <c r="G33">
        <f t="shared" si="3"/>
        <v>-0.67200000000000004</v>
      </c>
      <c r="H33">
        <f t="shared" si="4"/>
        <v>-195.19463712000004</v>
      </c>
      <c r="I33">
        <v>1</v>
      </c>
      <c r="J33">
        <f t="shared" si="5"/>
        <v>-1.2362611406920601</v>
      </c>
      <c r="K33">
        <f t="shared" si="6"/>
        <v>-0.50791057297601194</v>
      </c>
      <c r="L33">
        <v>1</v>
      </c>
      <c r="M33">
        <f t="shared" si="7"/>
        <v>0.42041221301864268</v>
      </c>
      <c r="N33">
        <f t="shared" si="13"/>
        <v>2.6868309425E-2</v>
      </c>
      <c r="O33">
        <f t="shared" si="11"/>
        <v>1.3347014249500001E-2</v>
      </c>
      <c r="P33">
        <f t="shared" si="12"/>
        <v>4.7283036282869263E-2</v>
      </c>
      <c r="V33">
        <v>-3.1000000000000099</v>
      </c>
      <c r="W33">
        <f t="shared" si="9"/>
        <v>-0.33057999999999954</v>
      </c>
    </row>
    <row r="34" spans="1:23" x14ac:dyDescent="0.3">
      <c r="A34">
        <v>1.5015334999999999</v>
      </c>
      <c r="B34">
        <v>0.66883999999999999</v>
      </c>
      <c r="C34">
        <f t="shared" si="1"/>
        <v>1.0042856661399999</v>
      </c>
      <c r="D34">
        <v>1.8499999999999999E-2</v>
      </c>
      <c r="E34">
        <v>9.1900000000000003E-3</v>
      </c>
      <c r="F34">
        <f t="shared" si="2"/>
        <v>300.30669999999998</v>
      </c>
      <c r="G34">
        <f t="shared" si="3"/>
        <v>-0.66883999999999999</v>
      </c>
      <c r="H34">
        <f t="shared" si="4"/>
        <v>-200.85713322799998</v>
      </c>
      <c r="I34">
        <v>1</v>
      </c>
      <c r="J34">
        <f t="shared" si="5"/>
        <v>-1.2029509932194287</v>
      </c>
      <c r="K34">
        <f t="shared" si="6"/>
        <v>-0.51107057297601199</v>
      </c>
      <c r="L34">
        <v>1</v>
      </c>
      <c r="M34">
        <f t="shared" si="7"/>
        <v>0.42201776212682351</v>
      </c>
      <c r="N34">
        <f t="shared" si="13"/>
        <v>2.7778369749999997E-2</v>
      </c>
      <c r="O34">
        <f t="shared" si="11"/>
        <v>1.3799092864999999E-2</v>
      </c>
      <c r="P34">
        <f t="shared" si="12"/>
        <v>4.7475348234188482E-2</v>
      </c>
      <c r="V34">
        <v>-3.0000000000000102</v>
      </c>
      <c r="W34">
        <f t="shared" si="9"/>
        <v>-0.33539999999999948</v>
      </c>
    </row>
    <row r="35" spans="1:23" x14ac:dyDescent="0.3">
      <c r="A35">
        <v>1.54975185</v>
      </c>
      <c r="B35">
        <v>0.66566999999999998</v>
      </c>
      <c r="C35">
        <f t="shared" si="1"/>
        <v>1.0316233139894999</v>
      </c>
      <c r="D35">
        <v>1.8499999999999999E-2</v>
      </c>
      <c r="E35">
        <v>9.1900000000000003E-3</v>
      </c>
      <c r="F35">
        <f t="shared" si="2"/>
        <v>309.95037000000002</v>
      </c>
      <c r="G35">
        <f t="shared" si="3"/>
        <v>-0.66566999999999998</v>
      </c>
      <c r="H35">
        <f t="shared" si="4"/>
        <v>-206.32466279789998</v>
      </c>
      <c r="I35">
        <v>1</v>
      </c>
      <c r="J35">
        <f t="shared" si="5"/>
        <v>-1.171343091093995</v>
      </c>
      <c r="K35">
        <f t="shared" si="6"/>
        <v>-0.514240572976012</v>
      </c>
      <c r="L35">
        <v>1</v>
      </c>
      <c r="M35">
        <f t="shared" si="7"/>
        <v>0.42354126300926942</v>
      </c>
      <c r="N35">
        <f t="shared" si="13"/>
        <v>2.8670409224999999E-2</v>
      </c>
      <c r="O35">
        <f t="shared" si="11"/>
        <v>1.42422195015E-2</v>
      </c>
      <c r="P35">
        <f t="shared" si="12"/>
        <v>4.778668124024258E-2</v>
      </c>
      <c r="V35">
        <v>-2.9000000000000101</v>
      </c>
      <c r="W35">
        <f t="shared" si="9"/>
        <v>-0.34021999999999952</v>
      </c>
    </row>
    <row r="36" spans="1:23" x14ac:dyDescent="0.3">
      <c r="A36">
        <v>1.5999187499999998</v>
      </c>
      <c r="B36">
        <v>0.66276999999999997</v>
      </c>
      <c r="C36">
        <f t="shared" si="1"/>
        <v>1.0603781499374998</v>
      </c>
      <c r="D36">
        <v>1.8499999999999999E-2</v>
      </c>
      <c r="E36">
        <v>9.1900000000000003E-3</v>
      </c>
      <c r="F36">
        <f t="shared" si="2"/>
        <v>319.98374999999999</v>
      </c>
      <c r="G36">
        <f t="shared" si="3"/>
        <v>-0.66276999999999997</v>
      </c>
      <c r="H36">
        <f t="shared" si="4"/>
        <v>-212.07562998749995</v>
      </c>
      <c r="I36">
        <v>1</v>
      </c>
      <c r="J36">
        <f t="shared" si="5"/>
        <v>-1.1394850657277762</v>
      </c>
      <c r="K36">
        <f t="shared" si="6"/>
        <v>-0.51714057297601201</v>
      </c>
      <c r="L36">
        <v>1</v>
      </c>
      <c r="M36">
        <f t="shared" si="7"/>
        <v>0.42507681983192119</v>
      </c>
      <c r="N36">
        <f t="shared" si="13"/>
        <v>2.9598496874999995E-2</v>
      </c>
      <c r="O36">
        <f t="shared" si="11"/>
        <v>1.4703253312499999E-2</v>
      </c>
      <c r="P36">
        <f t="shared" si="12"/>
        <v>4.7762002956590832E-2</v>
      </c>
      <c r="V36">
        <v>-2.80000000000001</v>
      </c>
      <c r="W36">
        <f t="shared" si="9"/>
        <v>-0.34503999999999946</v>
      </c>
    </row>
    <row r="37" spans="1:23" x14ac:dyDescent="0.3">
      <c r="A37">
        <v>1.6481370999999998</v>
      </c>
      <c r="B37">
        <v>0.65956999999999999</v>
      </c>
      <c r="C37">
        <f t="shared" si="1"/>
        <v>1.0870617870469999</v>
      </c>
      <c r="D37">
        <v>1.8499999999999999E-2</v>
      </c>
      <c r="E37">
        <v>9.1900000000000003E-3</v>
      </c>
      <c r="F37">
        <f t="shared" si="2"/>
        <v>329.62741999999997</v>
      </c>
      <c r="G37">
        <f t="shared" si="3"/>
        <v>-0.65956999999999999</v>
      </c>
      <c r="H37">
        <f t="shared" si="4"/>
        <v>-217.41235740939996</v>
      </c>
      <c r="I37">
        <v>1</v>
      </c>
      <c r="J37">
        <f t="shared" si="5"/>
        <v>-1.1097922926594892</v>
      </c>
      <c r="K37">
        <f t="shared" si="6"/>
        <v>-0.52034057297601199</v>
      </c>
      <c r="L37">
        <v>1</v>
      </c>
      <c r="M37">
        <f t="shared" si="7"/>
        <v>0.42650801149381262</v>
      </c>
      <c r="N37">
        <f t="shared" si="13"/>
        <v>3.0490536349999996E-2</v>
      </c>
      <c r="O37">
        <f t="shared" si="11"/>
        <v>1.5146379948999998E-2</v>
      </c>
      <c r="P37">
        <f t="shared" si="12"/>
        <v>4.8195645183199375E-2</v>
      </c>
      <c r="V37">
        <v>-2.7000000000000099</v>
      </c>
      <c r="W37">
        <f t="shared" si="9"/>
        <v>-0.3498599999999995</v>
      </c>
    </row>
    <row r="38" spans="1:23" x14ac:dyDescent="0.3">
      <c r="A38">
        <v>1.6987908999999999</v>
      </c>
      <c r="B38">
        <v>0.65637999999999996</v>
      </c>
      <c r="C38">
        <f t="shared" si="1"/>
        <v>1.1150523709419999</v>
      </c>
      <c r="D38">
        <v>1.8499999999999999E-2</v>
      </c>
      <c r="E38">
        <v>9.1900000000000003E-3</v>
      </c>
      <c r="F38">
        <f t="shared" si="2"/>
        <v>339.75817999999998</v>
      </c>
      <c r="G38">
        <f t="shared" si="3"/>
        <v>-0.65637999999999996</v>
      </c>
      <c r="H38">
        <f t="shared" si="4"/>
        <v>-223.0104741884</v>
      </c>
      <c r="I38">
        <v>1</v>
      </c>
      <c r="J38">
        <f t="shared" si="5"/>
        <v>-1.079521149713861</v>
      </c>
      <c r="K38">
        <f t="shared" si="6"/>
        <v>-0.52353057297601202</v>
      </c>
      <c r="L38">
        <v>1</v>
      </c>
      <c r="M38">
        <f t="shared" si="7"/>
        <v>0.4279670805837919</v>
      </c>
      <c r="N38">
        <f t="shared" si="13"/>
        <v>3.1427631649999996E-2</v>
      </c>
      <c r="O38">
        <f t="shared" si="11"/>
        <v>1.5611888370999999E-2</v>
      </c>
      <c r="P38">
        <f t="shared" si="12"/>
        <v>4.8523972371220123E-2</v>
      </c>
      <c r="V38">
        <v>-2.6000000000000099</v>
      </c>
      <c r="W38">
        <f t="shared" si="9"/>
        <v>-0.3546799999999995</v>
      </c>
    </row>
    <row r="39" spans="1:23" x14ac:dyDescent="0.3">
      <c r="A39">
        <v>1.7470093</v>
      </c>
      <c r="B39">
        <v>0.65329999999999999</v>
      </c>
      <c r="C39">
        <f t="shared" si="1"/>
        <v>1.1413211756899999</v>
      </c>
      <c r="D39">
        <v>1.8499999999999999E-2</v>
      </c>
      <c r="E39">
        <v>9.1900000000000003E-3</v>
      </c>
      <c r="F39">
        <f t="shared" si="2"/>
        <v>349.40186</v>
      </c>
      <c r="G39">
        <f t="shared" si="3"/>
        <v>-0.65329999999999999</v>
      </c>
      <c r="H39">
        <f t="shared" si="4"/>
        <v>-228.26423513799998</v>
      </c>
      <c r="I39">
        <v>1</v>
      </c>
      <c r="J39">
        <f t="shared" si="5"/>
        <v>-1.0515325578847874</v>
      </c>
      <c r="K39">
        <f t="shared" si="6"/>
        <v>-0.52661057297601199</v>
      </c>
      <c r="L39">
        <v>1</v>
      </c>
      <c r="M39">
        <f t="shared" si="7"/>
        <v>0.42931613070995323</v>
      </c>
      <c r="N39">
        <f t="shared" si="13"/>
        <v>3.2319672049999998E-2</v>
      </c>
      <c r="O39">
        <f t="shared" si="11"/>
        <v>1.6055015467E-2</v>
      </c>
      <c r="P39">
        <f t="shared" si="12"/>
        <v>4.8919754749058769E-2</v>
      </c>
      <c r="V39">
        <v>-2.5000000000000102</v>
      </c>
      <c r="W39">
        <f t="shared" si="9"/>
        <v>-0.35949999999999949</v>
      </c>
    </row>
    <row r="40" spans="1:23" x14ac:dyDescent="0.3">
      <c r="A40">
        <v>1.7962020999999999</v>
      </c>
      <c r="B40">
        <v>0.65047999999999995</v>
      </c>
      <c r="C40">
        <f t="shared" si="1"/>
        <v>1.1683935420079998</v>
      </c>
      <c r="D40">
        <v>1.8499999999999999E-2</v>
      </c>
      <c r="E40">
        <v>9.1900000000000003E-3</v>
      </c>
      <c r="F40">
        <f t="shared" si="2"/>
        <v>359.24041999999997</v>
      </c>
      <c r="G40">
        <f t="shared" si="3"/>
        <v>-0.65047999999999995</v>
      </c>
      <c r="H40">
        <f t="shared" si="4"/>
        <v>-233.67870840159998</v>
      </c>
      <c r="I40">
        <v>1</v>
      </c>
      <c r="J40">
        <f t="shared" si="5"/>
        <v>-1.0237634210452313</v>
      </c>
      <c r="K40">
        <f t="shared" si="6"/>
        <v>-0.52943057297601204</v>
      </c>
      <c r="L40">
        <v>1</v>
      </c>
      <c r="M40">
        <f t="shared" si="7"/>
        <v>0.43065460310561982</v>
      </c>
      <c r="N40">
        <f t="shared" si="13"/>
        <v>3.3229738849999996E-2</v>
      </c>
      <c r="O40">
        <f t="shared" si="11"/>
        <v>1.6507097299E-2</v>
      </c>
      <c r="P40">
        <f t="shared" si="12"/>
        <v>4.9039133721392222E-2</v>
      </c>
      <c r="V40">
        <v>-2.4000000000000101</v>
      </c>
      <c r="W40">
        <f t="shared" si="9"/>
        <v>-0.36431999999999948</v>
      </c>
    </row>
    <row r="41" spans="1:23" x14ac:dyDescent="0.3">
      <c r="A41">
        <v>1.8449074999999999</v>
      </c>
      <c r="B41">
        <v>0.64754</v>
      </c>
      <c r="C41">
        <f t="shared" si="1"/>
        <v>1.1946514025499999</v>
      </c>
      <c r="D41">
        <v>1.8499999999999999E-2</v>
      </c>
      <c r="E41">
        <v>9.1900000000000003E-3</v>
      </c>
      <c r="F41">
        <f t="shared" si="2"/>
        <v>368.98149999999998</v>
      </c>
      <c r="G41">
        <f t="shared" si="3"/>
        <v>-0.64754</v>
      </c>
      <c r="H41">
        <f t="shared" si="4"/>
        <v>-238.93028050999999</v>
      </c>
      <c r="I41">
        <v>1</v>
      </c>
      <c r="J41">
        <f t="shared" si="5"/>
        <v>-0.99700877169979119</v>
      </c>
      <c r="K41">
        <f t="shared" si="6"/>
        <v>-0.53237057297601198</v>
      </c>
      <c r="L41">
        <v>1</v>
      </c>
      <c r="M41">
        <f t="shared" si="7"/>
        <v>0.43194417720407002</v>
      </c>
      <c r="N41">
        <f t="shared" si="13"/>
        <v>3.4130788749999995E-2</v>
      </c>
      <c r="O41">
        <f t="shared" si="11"/>
        <v>1.6954699925E-2</v>
      </c>
      <c r="P41">
        <f t="shared" si="12"/>
        <v>4.9340907096941958E-2</v>
      </c>
      <c r="V41">
        <v>-2.30000000000001</v>
      </c>
      <c r="W41">
        <f t="shared" si="9"/>
        <v>-0.36913999999999947</v>
      </c>
    </row>
    <row r="42" spans="1:23" x14ac:dyDescent="0.3">
      <c r="A42">
        <v>1.8970224999999998</v>
      </c>
      <c r="B42">
        <v>0.64444000000000001</v>
      </c>
      <c r="C42">
        <f t="shared" si="1"/>
        <v>1.2225171798999999</v>
      </c>
      <c r="D42">
        <v>1.8499999999999999E-2</v>
      </c>
      <c r="E42">
        <v>9.1900000000000003E-3</v>
      </c>
      <c r="F42">
        <f t="shared" si="2"/>
        <v>379.40449999999998</v>
      </c>
      <c r="G42">
        <f t="shared" si="3"/>
        <v>-0.64444000000000001</v>
      </c>
      <c r="H42">
        <f t="shared" si="4"/>
        <v>-244.50343597999998</v>
      </c>
      <c r="I42">
        <v>1</v>
      </c>
      <c r="J42">
        <f t="shared" si="5"/>
        <v>-0.96915236071866839</v>
      </c>
      <c r="K42">
        <f t="shared" si="6"/>
        <v>-0.53547057297601197</v>
      </c>
      <c r="L42">
        <v>1</v>
      </c>
      <c r="M42">
        <f t="shared" si="7"/>
        <v>0.43328685621336016</v>
      </c>
      <c r="N42">
        <f t="shared" si="13"/>
        <v>3.5094916249999997E-2</v>
      </c>
      <c r="O42">
        <f t="shared" si="11"/>
        <v>1.7433636775000001E-2</v>
      </c>
      <c r="P42">
        <f t="shared" si="12"/>
        <v>4.9655163737651817E-2</v>
      </c>
      <c r="V42">
        <v>-2.2000000000000099</v>
      </c>
      <c r="W42">
        <f t="shared" si="9"/>
        <v>-0.37395999999999952</v>
      </c>
    </row>
    <row r="43" spans="1:23" x14ac:dyDescent="0.3">
      <c r="A43">
        <v>1.9467020500000001</v>
      </c>
      <c r="B43">
        <v>0.64153000000000004</v>
      </c>
      <c r="C43">
        <f t="shared" si="1"/>
        <v>1.2488677661365002</v>
      </c>
      <c r="D43">
        <v>1.8499999999999999E-2</v>
      </c>
      <c r="E43">
        <v>9.1900000000000003E-3</v>
      </c>
      <c r="F43">
        <f t="shared" si="2"/>
        <v>389.34041000000002</v>
      </c>
      <c r="G43">
        <f t="shared" si="3"/>
        <v>-0.64153000000000004</v>
      </c>
      <c r="H43">
        <f t="shared" si="4"/>
        <v>-249.77355322730003</v>
      </c>
      <c r="I43">
        <v>1</v>
      </c>
      <c r="J43">
        <f t="shared" si="5"/>
        <v>-0.94330122805739947</v>
      </c>
      <c r="K43">
        <f t="shared" si="6"/>
        <v>-0.53838057297601194</v>
      </c>
      <c r="L43">
        <v>1</v>
      </c>
      <c r="M43">
        <f t="shared" si="7"/>
        <v>0.4345328808076333</v>
      </c>
      <c r="N43">
        <f t="shared" si="13"/>
        <v>3.6013987924999998E-2</v>
      </c>
      <c r="O43">
        <f t="shared" si="11"/>
        <v>1.78901918395E-2</v>
      </c>
      <c r="P43">
        <f t="shared" si="12"/>
        <v>4.9943512403878648E-2</v>
      </c>
      <c r="V43">
        <v>-2.1000000000000099</v>
      </c>
      <c r="W43">
        <f t="shared" si="9"/>
        <v>-0.37877999999999951</v>
      </c>
    </row>
    <row r="44" spans="1:23" x14ac:dyDescent="0.3">
      <c r="A44">
        <v>1.9958946</v>
      </c>
      <c r="B44">
        <v>0.63824000000000003</v>
      </c>
      <c r="C44">
        <f t="shared" si="1"/>
        <v>1.2738597695039999</v>
      </c>
      <c r="D44">
        <v>1.8499999999999999E-2</v>
      </c>
      <c r="E44">
        <v>9.1900000000000003E-3</v>
      </c>
      <c r="F44">
        <f t="shared" si="2"/>
        <v>399.17892000000001</v>
      </c>
      <c r="G44">
        <f t="shared" si="3"/>
        <v>-0.63824000000000003</v>
      </c>
      <c r="H44">
        <f t="shared" si="4"/>
        <v>-254.77195390079999</v>
      </c>
      <c r="I44">
        <v>1</v>
      </c>
      <c r="J44">
        <f t="shared" si="5"/>
        <v>-0.918345541550316</v>
      </c>
      <c r="K44">
        <f t="shared" si="6"/>
        <v>-0.54167057297601195</v>
      </c>
      <c r="L44">
        <v>1</v>
      </c>
      <c r="M44">
        <f t="shared" si="7"/>
        <v>0.43573574489727473</v>
      </c>
      <c r="N44">
        <f t="shared" si="13"/>
        <v>3.6924050099999994E-2</v>
      </c>
      <c r="O44">
        <f t="shared" si="11"/>
        <v>1.8342271374000001E-2</v>
      </c>
      <c r="P44">
        <f t="shared" si="12"/>
        <v>5.0668506604737221E-2</v>
      </c>
      <c r="V44">
        <v>-2.0000000000000102</v>
      </c>
      <c r="W44">
        <f t="shared" si="9"/>
        <v>-0.3835999999999995</v>
      </c>
    </row>
    <row r="45" spans="1:23" x14ac:dyDescent="0.3">
      <c r="A45">
        <v>2.0470355499999999</v>
      </c>
      <c r="B45">
        <v>0.63529999999999998</v>
      </c>
      <c r="C45">
        <f t="shared" si="1"/>
        <v>1.3004816849149998</v>
      </c>
      <c r="D45">
        <v>1.8499999999999999E-2</v>
      </c>
      <c r="E45">
        <v>9.1900000000000003E-3</v>
      </c>
      <c r="F45">
        <f t="shared" si="2"/>
        <v>409.40710999999999</v>
      </c>
      <c r="G45">
        <f t="shared" si="3"/>
        <v>-0.63529999999999998</v>
      </c>
      <c r="H45">
        <f t="shared" si="4"/>
        <v>-260.09633698299996</v>
      </c>
      <c r="I45">
        <v>1</v>
      </c>
      <c r="J45">
        <f t="shared" si="5"/>
        <v>-0.89304523902739186</v>
      </c>
      <c r="K45">
        <f t="shared" si="6"/>
        <v>-0.54461057297601201</v>
      </c>
      <c r="L45">
        <v>1</v>
      </c>
      <c r="M45">
        <f t="shared" si="7"/>
        <v>0.43695521947887972</v>
      </c>
      <c r="N45">
        <f t="shared" si="13"/>
        <v>3.7870157674999995E-2</v>
      </c>
      <c r="O45">
        <f t="shared" si="11"/>
        <v>1.8812256704499999E-2</v>
      </c>
      <c r="P45">
        <f t="shared" si="12"/>
        <v>5.0972939117632302E-2</v>
      </c>
      <c r="V45">
        <v>-1.9000000000000099</v>
      </c>
      <c r="W45">
        <f t="shared" si="9"/>
        <v>-0.38841999999999949</v>
      </c>
    </row>
    <row r="46" spans="1:23" x14ac:dyDescent="0.3">
      <c r="A46">
        <v>2.1040209999999999</v>
      </c>
      <c r="B46">
        <v>0.63217999999999996</v>
      </c>
      <c r="C46">
        <f t="shared" si="1"/>
        <v>1.3301199957799998</v>
      </c>
      <c r="D46">
        <v>1.8499999999999999E-2</v>
      </c>
      <c r="E46">
        <v>9.1900000000000003E-3</v>
      </c>
      <c r="F46">
        <f t="shared" si="2"/>
        <v>420.80419999999998</v>
      </c>
      <c r="G46">
        <f t="shared" si="3"/>
        <v>-0.63217999999999996</v>
      </c>
      <c r="H46">
        <f t="shared" si="4"/>
        <v>-266.02399915599995</v>
      </c>
      <c r="I46">
        <v>1</v>
      </c>
      <c r="J46">
        <f t="shared" si="5"/>
        <v>-0.86558763661985361</v>
      </c>
      <c r="K46">
        <f t="shared" si="6"/>
        <v>-0.54773057297601202</v>
      </c>
      <c r="L46">
        <v>1</v>
      </c>
      <c r="M46">
        <f t="shared" si="7"/>
        <v>0.43827867591492303</v>
      </c>
      <c r="N46">
        <f t="shared" si="13"/>
        <v>3.8924388499999997E-2</v>
      </c>
      <c r="O46">
        <f t="shared" si="11"/>
        <v>1.9335952989999999E-2</v>
      </c>
      <c r="P46">
        <f t="shared" si="12"/>
        <v>5.1191555571088995E-2</v>
      </c>
      <c r="V46">
        <v>-1.80000000000001</v>
      </c>
      <c r="W46">
        <f t="shared" si="9"/>
        <v>-0.39323999999999948</v>
      </c>
    </row>
    <row r="47" spans="1:23" x14ac:dyDescent="0.3">
      <c r="A47">
        <v>2.1527264000000002</v>
      </c>
      <c r="B47">
        <v>0.62895000000000001</v>
      </c>
      <c r="C47">
        <f t="shared" si="1"/>
        <v>1.3539572692800002</v>
      </c>
      <c r="D47">
        <v>1.8499999999999999E-2</v>
      </c>
      <c r="E47">
        <v>9.1900000000000003E-3</v>
      </c>
      <c r="F47">
        <f t="shared" si="2"/>
        <v>430.54528000000005</v>
      </c>
      <c r="G47">
        <f t="shared" si="3"/>
        <v>-0.62895000000000001</v>
      </c>
      <c r="H47">
        <f t="shared" si="4"/>
        <v>-270.79145385600003</v>
      </c>
      <c r="I47">
        <v>1</v>
      </c>
      <c r="J47">
        <f t="shared" si="5"/>
        <v>-0.84270278062215354</v>
      </c>
      <c r="K47">
        <f t="shared" si="6"/>
        <v>-0.55096057297601198</v>
      </c>
      <c r="L47">
        <v>1</v>
      </c>
      <c r="M47">
        <f t="shared" si="7"/>
        <v>0.4393817259740122</v>
      </c>
      <c r="N47">
        <f t="shared" si="13"/>
        <v>3.9825438400000003E-2</v>
      </c>
      <c r="O47">
        <f t="shared" si="11"/>
        <v>1.9783555616000002E-2</v>
      </c>
      <c r="P47">
        <f t="shared" si="12"/>
        <v>5.1969852985999772E-2</v>
      </c>
      <c r="V47">
        <v>-1.7000000000000199</v>
      </c>
      <c r="W47">
        <f t="shared" si="9"/>
        <v>-0.39805999999999903</v>
      </c>
    </row>
    <row r="48" spans="1:23" x14ac:dyDescent="0.3">
      <c r="A48">
        <v>2.20191895</v>
      </c>
      <c r="B48">
        <v>0.62622</v>
      </c>
      <c r="C48">
        <f t="shared" si="1"/>
        <v>1.3788856848690001</v>
      </c>
      <c r="D48">
        <v>1.8499999999999999E-2</v>
      </c>
      <c r="E48">
        <v>9.1900000000000003E-3</v>
      </c>
      <c r="F48">
        <f t="shared" si="2"/>
        <v>440.38379000000003</v>
      </c>
      <c r="G48">
        <f t="shared" si="3"/>
        <v>-0.62622</v>
      </c>
      <c r="H48">
        <f t="shared" si="4"/>
        <v>-275.7771369738</v>
      </c>
      <c r="I48">
        <v>1</v>
      </c>
      <c r="J48">
        <f t="shared" si="5"/>
        <v>-0.82010868225879752</v>
      </c>
      <c r="K48">
        <f t="shared" si="6"/>
        <v>-0.55369057297601199</v>
      </c>
      <c r="L48">
        <v>1</v>
      </c>
      <c r="M48">
        <f t="shared" si="7"/>
        <v>0.44047076151512593</v>
      </c>
      <c r="N48">
        <f t="shared" si="13"/>
        <v>4.0735500575E-2</v>
      </c>
      <c r="O48">
        <f t="shared" si="11"/>
        <v>2.02356351505E-2</v>
      </c>
      <c r="P48">
        <f t="shared" si="12"/>
        <v>5.2248675735386052E-2</v>
      </c>
      <c r="V48">
        <v>-1.6000000000000201</v>
      </c>
      <c r="W48">
        <f t="shared" si="9"/>
        <v>-0.40287999999999902</v>
      </c>
    </row>
    <row r="49" spans="1:23" x14ac:dyDescent="0.3">
      <c r="A49">
        <v>2.2515987000000002</v>
      </c>
      <c r="B49">
        <v>0.62329000000000001</v>
      </c>
      <c r="C49">
        <f t="shared" si="1"/>
        <v>1.4033989537230001</v>
      </c>
      <c r="D49">
        <v>1.8499999999999999E-2</v>
      </c>
      <c r="E49">
        <v>9.1900000000000003E-3</v>
      </c>
      <c r="F49">
        <f t="shared" si="2"/>
        <v>450.31974000000002</v>
      </c>
      <c r="G49">
        <f t="shared" si="3"/>
        <v>-0.62329000000000001</v>
      </c>
      <c r="H49">
        <f t="shared" si="4"/>
        <v>-280.67979074459998</v>
      </c>
      <c r="I49">
        <v>1</v>
      </c>
      <c r="J49">
        <f t="shared" si="5"/>
        <v>-0.79779741519373804</v>
      </c>
      <c r="K49">
        <f t="shared" si="6"/>
        <v>-0.55662057297601197</v>
      </c>
      <c r="L49">
        <v>1</v>
      </c>
      <c r="M49">
        <f t="shared" si="7"/>
        <v>0.44154616458766183</v>
      </c>
      <c r="N49">
        <f t="shared" si="13"/>
        <v>4.1654575950000002E-2</v>
      </c>
      <c r="O49">
        <f t="shared" si="11"/>
        <v>2.0692192053000002E-2</v>
      </c>
      <c r="P49">
        <f t="shared" si="12"/>
        <v>5.2727640385350147E-2</v>
      </c>
      <c r="V49">
        <v>-1.50000000000002</v>
      </c>
      <c r="W49">
        <f t="shared" si="9"/>
        <v>-0.40769999999999901</v>
      </c>
    </row>
    <row r="50" spans="1:23" x14ac:dyDescent="0.3">
      <c r="A50">
        <v>2.3003043999999999</v>
      </c>
      <c r="B50">
        <v>0.62043999999999999</v>
      </c>
      <c r="C50">
        <f t="shared" si="1"/>
        <v>1.4272008619359999</v>
      </c>
      <c r="D50">
        <v>1.8499999999999999E-2</v>
      </c>
      <c r="E50">
        <v>9.1900000000000003E-3</v>
      </c>
      <c r="F50">
        <f t="shared" si="2"/>
        <v>460.06088</v>
      </c>
      <c r="G50">
        <f t="shared" si="3"/>
        <v>-0.62043999999999999</v>
      </c>
      <c r="H50">
        <f t="shared" si="4"/>
        <v>-285.44017238719999</v>
      </c>
      <c r="I50">
        <v>1</v>
      </c>
      <c r="J50">
        <f t="shared" si="5"/>
        <v>-0.7763964504301103</v>
      </c>
      <c r="K50">
        <f t="shared" si="6"/>
        <v>-0.55947057297601199</v>
      </c>
      <c r="L50">
        <v>1</v>
      </c>
      <c r="M50">
        <f t="shared" si="7"/>
        <v>0.44257769108926864</v>
      </c>
      <c r="N50">
        <f t="shared" si="13"/>
        <v>4.2555631399999995E-2</v>
      </c>
      <c r="O50">
        <f t="shared" si="11"/>
        <v>2.1139797435999998E-2</v>
      </c>
      <c r="P50">
        <f t="shared" si="12"/>
        <v>5.319745305074336E-2</v>
      </c>
      <c r="V50">
        <v>-1.4000000000000199</v>
      </c>
      <c r="W50">
        <f t="shared" si="9"/>
        <v>-0.412519999999999</v>
      </c>
    </row>
    <row r="51" spans="1:23" x14ac:dyDescent="0.3">
      <c r="A51">
        <v>2.3514452499999998</v>
      </c>
      <c r="B51">
        <v>0.61763999999999997</v>
      </c>
      <c r="C51">
        <f t="shared" si="1"/>
        <v>1.4523466442099997</v>
      </c>
      <c r="D51">
        <v>1.8499999999999999E-2</v>
      </c>
      <c r="E51">
        <v>9.1900000000000003E-3</v>
      </c>
      <c r="F51">
        <f t="shared" si="2"/>
        <v>470.28904999999997</v>
      </c>
      <c r="G51">
        <f t="shared" si="3"/>
        <v>-0.61763999999999997</v>
      </c>
      <c r="H51">
        <f t="shared" si="4"/>
        <v>-290.46932884199992</v>
      </c>
      <c r="I51">
        <v>1</v>
      </c>
      <c r="J51">
        <f t="shared" si="5"/>
        <v>-0.75440777331303244</v>
      </c>
      <c r="K51">
        <f t="shared" si="6"/>
        <v>-0.56227057297601202</v>
      </c>
      <c r="L51">
        <v>1</v>
      </c>
      <c r="M51">
        <f t="shared" si="7"/>
        <v>0.44363754532631183</v>
      </c>
      <c r="N51">
        <f t="shared" si="13"/>
        <v>4.3501737124999995E-2</v>
      </c>
      <c r="O51">
        <f t="shared" si="11"/>
        <v>2.1609781847499999E-2</v>
      </c>
      <c r="P51">
        <f t="shared" si="12"/>
        <v>5.3521508677200194E-2</v>
      </c>
      <c r="V51">
        <v>-1.30000000000002</v>
      </c>
      <c r="W51">
        <f t="shared" si="9"/>
        <v>-0.41733999999999905</v>
      </c>
    </row>
    <row r="52" spans="1:23" x14ac:dyDescent="0.3">
      <c r="A52">
        <v>2.3996637999999999</v>
      </c>
      <c r="B52">
        <v>0.61463000000000001</v>
      </c>
      <c r="C52">
        <f t="shared" si="1"/>
        <v>1.474905361394</v>
      </c>
      <c r="D52">
        <v>1.8499999999999999E-2</v>
      </c>
      <c r="E52">
        <v>9.1900000000000003E-3</v>
      </c>
      <c r="F52">
        <f t="shared" si="2"/>
        <v>479.93275999999997</v>
      </c>
      <c r="G52">
        <f t="shared" si="3"/>
        <v>-0.61463000000000001</v>
      </c>
      <c r="H52">
        <f t="shared" si="4"/>
        <v>-294.98107227880001</v>
      </c>
      <c r="I52">
        <v>1</v>
      </c>
      <c r="J52">
        <f t="shared" si="5"/>
        <v>-0.73410926822612044</v>
      </c>
      <c r="K52">
        <f t="shared" si="6"/>
        <v>-0.56528057297601197</v>
      </c>
      <c r="L52">
        <v>1</v>
      </c>
      <c r="M52">
        <f t="shared" si="7"/>
        <v>0.44461593327150095</v>
      </c>
      <c r="N52">
        <f t="shared" si="13"/>
        <v>4.4393780299999998E-2</v>
      </c>
      <c r="O52">
        <f t="shared" si="11"/>
        <v>2.2052910321999998E-2</v>
      </c>
      <c r="P52">
        <f t="shared" si="12"/>
        <v>5.4217949082511034E-2</v>
      </c>
      <c r="V52">
        <v>-1.2000000000000199</v>
      </c>
      <c r="W52">
        <f t="shared" si="9"/>
        <v>-0.42215999999999904</v>
      </c>
    </row>
    <row r="53" spans="1:23" x14ac:dyDescent="0.3">
      <c r="A53">
        <v>2.448369</v>
      </c>
      <c r="B53">
        <v>0.61209999999999998</v>
      </c>
      <c r="C53">
        <f t="shared" si="1"/>
        <v>1.4986466648999999</v>
      </c>
      <c r="D53">
        <v>1.8499999999999999E-2</v>
      </c>
      <c r="E53">
        <v>9.1900000000000003E-3</v>
      </c>
      <c r="F53">
        <f t="shared" si="2"/>
        <v>489.67380000000003</v>
      </c>
      <c r="G53">
        <f t="shared" si="3"/>
        <v>-0.61209999999999998</v>
      </c>
      <c r="H53">
        <f t="shared" si="4"/>
        <v>-299.72933297999998</v>
      </c>
      <c r="I53">
        <v>1</v>
      </c>
      <c r="J53">
        <f t="shared" si="5"/>
        <v>-0.71401582384932594</v>
      </c>
      <c r="K53">
        <f t="shared" si="6"/>
        <v>-0.56781057297601201</v>
      </c>
      <c r="L53">
        <v>1</v>
      </c>
      <c r="M53">
        <f t="shared" si="7"/>
        <v>0.44558443729046249</v>
      </c>
      <c r="N53">
        <f t="shared" si="13"/>
        <v>4.5294826499999996E-2</v>
      </c>
      <c r="O53">
        <f t="shared" si="11"/>
        <v>2.250051111E-2</v>
      </c>
      <c r="P53">
        <f t="shared" si="12"/>
        <v>5.4430798075549527E-2</v>
      </c>
      <c r="V53">
        <v>-1.1000000000000201</v>
      </c>
      <c r="W53">
        <f t="shared" si="9"/>
        <v>-0.42697999999999903</v>
      </c>
    </row>
    <row r="54" spans="1:23" x14ac:dyDescent="0.3">
      <c r="A54">
        <v>2.4970743999999998</v>
      </c>
      <c r="B54">
        <v>0.60904000000000003</v>
      </c>
      <c r="C54">
        <f t="shared" si="1"/>
        <v>1.520818192576</v>
      </c>
      <c r="D54">
        <v>1.8499999999999999E-2</v>
      </c>
      <c r="E54">
        <v>9.1900000000000003E-3</v>
      </c>
      <c r="F54">
        <f t="shared" si="2"/>
        <v>499.41487999999998</v>
      </c>
      <c r="G54">
        <f t="shared" si="3"/>
        <v>-0.60904000000000003</v>
      </c>
      <c r="H54">
        <f t="shared" si="4"/>
        <v>-304.16363851520003</v>
      </c>
      <c r="I54">
        <v>1</v>
      </c>
      <c r="J54">
        <f t="shared" si="5"/>
        <v>-0.69431810582544295</v>
      </c>
      <c r="K54">
        <f t="shared" si="6"/>
        <v>-0.57087057297601196</v>
      </c>
      <c r="L54">
        <v>1</v>
      </c>
      <c r="M54">
        <f t="shared" si="7"/>
        <v>0.44653386729921363</v>
      </c>
      <c r="N54">
        <f t="shared" si="13"/>
        <v>4.6195876399999995E-2</v>
      </c>
      <c r="O54">
        <f t="shared" si="11"/>
        <v>2.2948113736E-2</v>
      </c>
      <c r="P54">
        <f t="shared" si="12"/>
        <v>5.5192715540798326E-2</v>
      </c>
      <c r="V54">
        <v>-1.00000000000002</v>
      </c>
      <c r="W54">
        <f t="shared" si="9"/>
        <v>-0.43179999999999902</v>
      </c>
    </row>
    <row r="55" spans="1:23" x14ac:dyDescent="0.3">
      <c r="A55">
        <v>2.55016365</v>
      </c>
      <c r="B55">
        <v>0.60626999999999998</v>
      </c>
      <c r="C55">
        <f t="shared" si="1"/>
        <v>1.5460877160855</v>
      </c>
      <c r="D55">
        <v>1.8499999999999999E-2</v>
      </c>
      <c r="E55">
        <v>9.1900000000000003E-3</v>
      </c>
      <c r="F55">
        <f t="shared" si="2"/>
        <v>510.03273000000002</v>
      </c>
      <c r="G55">
        <f t="shared" si="3"/>
        <v>-0.60626999999999998</v>
      </c>
      <c r="H55">
        <f t="shared" si="4"/>
        <v>-309.2175432171</v>
      </c>
      <c r="I55">
        <v>1</v>
      </c>
      <c r="J55">
        <f t="shared" si="5"/>
        <v>-0.67328037885239889</v>
      </c>
      <c r="K55">
        <f t="shared" si="6"/>
        <v>-0.57364057297601201</v>
      </c>
      <c r="L55">
        <v>1</v>
      </c>
      <c r="M55">
        <f t="shared" si="7"/>
        <v>0.44754788573931437</v>
      </c>
      <c r="N55">
        <f t="shared" si="13"/>
        <v>4.7178027524999999E-2</v>
      </c>
      <c r="O55">
        <f t="shared" si="11"/>
        <v>2.3436003943500001E-2</v>
      </c>
      <c r="P55">
        <f t="shared" si="12"/>
        <v>5.5478655768197646E-2</v>
      </c>
      <c r="V55">
        <v>-0.90000000000002001</v>
      </c>
      <c r="W55">
        <f t="shared" si="9"/>
        <v>-0.43661999999999901</v>
      </c>
    </row>
    <row r="56" spans="1:23" x14ac:dyDescent="0.3">
      <c r="A56">
        <v>2.5983821499999999</v>
      </c>
      <c r="B56">
        <v>0.60355999999999999</v>
      </c>
      <c r="C56">
        <f t="shared" si="1"/>
        <v>1.568279530454</v>
      </c>
      <c r="D56">
        <v>1.8499999999999999E-2</v>
      </c>
      <c r="E56">
        <v>9.1900000000000003E-3</v>
      </c>
      <c r="F56">
        <f t="shared" si="2"/>
        <v>519.67642999999998</v>
      </c>
      <c r="G56">
        <f t="shared" si="3"/>
        <v>-0.60355999999999999</v>
      </c>
      <c r="H56">
        <f t="shared" si="4"/>
        <v>-313.65590609079999</v>
      </c>
      <c r="I56">
        <v>1</v>
      </c>
      <c r="J56">
        <f t="shared" si="5"/>
        <v>-0.65454891108454349</v>
      </c>
      <c r="K56">
        <f t="shared" si="6"/>
        <v>-0.576350572976012</v>
      </c>
      <c r="L56">
        <v>1</v>
      </c>
      <c r="M56">
        <f t="shared" si="7"/>
        <v>0.44845074248572497</v>
      </c>
      <c r="N56">
        <f t="shared" si="13"/>
        <v>4.8070069774999995E-2</v>
      </c>
      <c r="O56">
        <f t="shared" si="11"/>
        <v>2.3879131958499999E-2</v>
      </c>
      <c r="P56">
        <f t="shared" si="12"/>
        <v>5.5950628756787024E-2</v>
      </c>
      <c r="V56">
        <v>-0.80000000000002003</v>
      </c>
      <c r="W56">
        <f t="shared" si="9"/>
        <v>-0.441439999999999</v>
      </c>
    </row>
    <row r="57" spans="1:23" x14ac:dyDescent="0.3">
      <c r="A57">
        <v>2.6470877499999999</v>
      </c>
      <c r="B57">
        <v>0.60041999999999995</v>
      </c>
      <c r="C57">
        <f t="shared" si="1"/>
        <v>1.5893644268549998</v>
      </c>
      <c r="D57">
        <v>1.8499999999999999E-2</v>
      </c>
      <c r="E57">
        <v>9.1900000000000003E-3</v>
      </c>
      <c r="F57">
        <f t="shared" si="2"/>
        <v>529.41755000000001</v>
      </c>
      <c r="G57">
        <f t="shared" si="3"/>
        <v>-0.60041999999999995</v>
      </c>
      <c r="H57">
        <f t="shared" si="4"/>
        <v>-317.87288537099994</v>
      </c>
      <c r="I57">
        <v>1</v>
      </c>
      <c r="J57">
        <f t="shared" si="5"/>
        <v>-0.63597783900192661</v>
      </c>
      <c r="K57">
        <f t="shared" si="6"/>
        <v>-0.57949057297601203</v>
      </c>
      <c r="L57">
        <v>1</v>
      </c>
      <c r="M57">
        <f t="shared" si="7"/>
        <v>0.44934586816010713</v>
      </c>
      <c r="N57">
        <f t="shared" si="13"/>
        <v>4.8971123374999995E-2</v>
      </c>
      <c r="O57">
        <f t="shared" si="11"/>
        <v>2.4326736422499998E-2</v>
      </c>
      <c r="P57">
        <f t="shared" si="12"/>
        <v>5.684684501840491E-2</v>
      </c>
      <c r="V57">
        <v>-0.70000000000002005</v>
      </c>
      <c r="W57">
        <f t="shared" si="9"/>
        <v>-0.44625999999999899</v>
      </c>
    </row>
    <row r="58" spans="1:23" x14ac:dyDescent="0.3">
      <c r="A58">
        <v>2.6977413499999998</v>
      </c>
      <c r="B58">
        <v>0.59770000000000001</v>
      </c>
      <c r="C58">
        <f t="shared" si="1"/>
        <v>1.6124400048949998</v>
      </c>
      <c r="D58">
        <v>1.8499999999999999E-2</v>
      </c>
      <c r="E58">
        <v>9.1900000000000003E-3</v>
      </c>
      <c r="F58">
        <f t="shared" si="2"/>
        <v>539.54827</v>
      </c>
      <c r="G58">
        <f t="shared" si="3"/>
        <v>-0.59770000000000001</v>
      </c>
      <c r="H58">
        <f t="shared" si="4"/>
        <v>-322.48800097899999</v>
      </c>
      <c r="I58">
        <v>1</v>
      </c>
      <c r="J58">
        <f t="shared" si="5"/>
        <v>-0.61702302655321817</v>
      </c>
      <c r="K58">
        <f t="shared" si="6"/>
        <v>-0.58221057297601198</v>
      </c>
      <c r="L58">
        <v>1</v>
      </c>
      <c r="M58">
        <f t="shared" si="7"/>
        <v>0.45025949012013489</v>
      </c>
      <c r="N58">
        <f t="shared" si="13"/>
        <v>4.9908214974999997E-2</v>
      </c>
      <c r="O58">
        <f t="shared" si="11"/>
        <v>2.47922430065E-2</v>
      </c>
      <c r="P58">
        <f t="shared" si="12"/>
        <v>5.7250624874377085E-2</v>
      </c>
      <c r="V58">
        <v>-0.60000000000001996</v>
      </c>
      <c r="W58">
        <f t="shared" si="9"/>
        <v>-0.45107999999999904</v>
      </c>
    </row>
    <row r="59" spans="1:23" x14ac:dyDescent="0.3">
      <c r="A59">
        <v>2.7498561000000001</v>
      </c>
      <c r="B59">
        <v>0.59484000000000004</v>
      </c>
      <c r="C59">
        <f t="shared" si="1"/>
        <v>1.6357244025240001</v>
      </c>
      <c r="D59">
        <v>1.8499999999999999E-2</v>
      </c>
      <c r="E59">
        <v>9.1900000000000003E-3</v>
      </c>
      <c r="F59">
        <f t="shared" si="2"/>
        <v>549.97122000000002</v>
      </c>
      <c r="G59">
        <f t="shared" si="3"/>
        <v>-0.59484000000000004</v>
      </c>
      <c r="H59">
        <f t="shared" si="4"/>
        <v>-327.14488050480003</v>
      </c>
      <c r="I59">
        <v>1</v>
      </c>
      <c r="J59">
        <f t="shared" si="5"/>
        <v>-0.5978893293974672</v>
      </c>
      <c r="K59">
        <f t="shared" si="6"/>
        <v>-0.58507057297601195</v>
      </c>
      <c r="L59">
        <v>1</v>
      </c>
      <c r="M59">
        <f t="shared" si="7"/>
        <v>0.45118173432304204</v>
      </c>
      <c r="N59">
        <f t="shared" si="13"/>
        <v>5.0872337849999998E-2</v>
      </c>
      <c r="O59">
        <f t="shared" si="11"/>
        <v>2.5271177559000001E-2</v>
      </c>
      <c r="P59">
        <f t="shared" si="12"/>
        <v>5.7745323243969901E-2</v>
      </c>
      <c r="V59">
        <v>-0.50000000000001998</v>
      </c>
      <c r="W59">
        <f t="shared" si="9"/>
        <v>-0.45589999999999903</v>
      </c>
    </row>
    <row r="60" spans="1:23" x14ac:dyDescent="0.3">
      <c r="A60">
        <v>2.7985617</v>
      </c>
      <c r="B60">
        <v>0.59199999999999997</v>
      </c>
      <c r="C60">
        <f t="shared" si="1"/>
        <v>1.6567485263999999</v>
      </c>
      <c r="D60">
        <v>1.8499999999999999E-2</v>
      </c>
      <c r="E60">
        <v>9.1900000000000003E-3</v>
      </c>
      <c r="F60">
        <f t="shared" si="2"/>
        <v>559.71234000000004</v>
      </c>
      <c r="G60">
        <f t="shared" si="3"/>
        <v>-0.59199999999999997</v>
      </c>
      <c r="H60">
        <f t="shared" si="4"/>
        <v>-331.34970527999997</v>
      </c>
      <c r="I60">
        <v>1</v>
      </c>
      <c r="J60">
        <f t="shared" si="5"/>
        <v>-0.58033230580240613</v>
      </c>
      <c r="K60">
        <f t="shared" si="6"/>
        <v>-0.58791057297601201</v>
      </c>
      <c r="L60">
        <v>1</v>
      </c>
      <c r="M60">
        <f t="shared" si="7"/>
        <v>0.45202798286032403</v>
      </c>
      <c r="N60">
        <f t="shared" si="13"/>
        <v>5.1773391449999998E-2</v>
      </c>
      <c r="O60">
        <f t="shared" si="11"/>
        <v>2.5718782023E-2</v>
      </c>
      <c r="P60">
        <f t="shared" si="12"/>
        <v>5.8390416642687987E-2</v>
      </c>
      <c r="V60">
        <v>-0.40000000000002001</v>
      </c>
      <c r="W60">
        <f t="shared" si="9"/>
        <v>-0.46071999999999902</v>
      </c>
    </row>
    <row r="61" spans="1:23" x14ac:dyDescent="0.3">
      <c r="A61">
        <v>2.8467802</v>
      </c>
      <c r="B61">
        <v>0.58935000000000004</v>
      </c>
      <c r="C61">
        <f t="shared" si="1"/>
        <v>1.67774991087</v>
      </c>
      <c r="D61">
        <v>1.8499999999999999E-2</v>
      </c>
      <c r="E61">
        <v>9.1900000000000003E-3</v>
      </c>
      <c r="F61">
        <f t="shared" si="2"/>
        <v>569.35604000000001</v>
      </c>
      <c r="G61">
        <f t="shared" si="3"/>
        <v>-0.58935000000000004</v>
      </c>
      <c r="H61">
        <f t="shared" si="4"/>
        <v>-335.54998217399998</v>
      </c>
      <c r="I61">
        <v>1</v>
      </c>
      <c r="J61">
        <f t="shared" si="5"/>
        <v>-0.56324931119305222</v>
      </c>
      <c r="K61">
        <f t="shared" si="6"/>
        <v>-0.59056057297601194</v>
      </c>
      <c r="L61">
        <v>1</v>
      </c>
      <c r="M61">
        <f t="shared" si="7"/>
        <v>0.45285138320049489</v>
      </c>
      <c r="N61">
        <f t="shared" si="13"/>
        <v>5.26654337E-2</v>
      </c>
      <c r="O61">
        <f t="shared" si="11"/>
        <v>2.6161910037999999E-2</v>
      </c>
      <c r="P61">
        <f t="shared" si="12"/>
        <v>5.8881846037517047E-2</v>
      </c>
      <c r="V61">
        <v>-0.30000000000001997</v>
      </c>
      <c r="W61">
        <f t="shared" si="9"/>
        <v>-0.46553999999999901</v>
      </c>
    </row>
    <row r="62" spans="1:23" x14ac:dyDescent="0.3">
      <c r="A62">
        <v>2.8964599500000001</v>
      </c>
      <c r="B62">
        <v>0.58669000000000004</v>
      </c>
      <c r="C62">
        <f t="shared" si="1"/>
        <v>1.6993240880655003</v>
      </c>
      <c r="D62">
        <v>1.8499999999999999E-2</v>
      </c>
      <c r="E62">
        <v>9.1900000000000003E-3</v>
      </c>
      <c r="F62">
        <f t="shared" si="2"/>
        <v>579.29199000000006</v>
      </c>
      <c r="G62">
        <f t="shared" si="3"/>
        <v>-0.58669000000000004</v>
      </c>
      <c r="H62">
        <f t="shared" si="4"/>
        <v>-339.86481761310006</v>
      </c>
      <c r="I62">
        <v>1</v>
      </c>
      <c r="J62">
        <f t="shared" si="5"/>
        <v>-0.54594862800777832</v>
      </c>
      <c r="K62">
        <f t="shared" si="6"/>
        <v>-0.59322057297601194</v>
      </c>
      <c r="L62">
        <v>1</v>
      </c>
      <c r="M62">
        <f t="shared" si="7"/>
        <v>0.45368527613002507</v>
      </c>
      <c r="N62">
        <f t="shared" si="13"/>
        <v>5.3584509075000002E-2</v>
      </c>
      <c r="O62">
        <f t="shared" si="11"/>
        <v>2.6618466940500001E-2</v>
      </c>
      <c r="P62">
        <f t="shared" si="12"/>
        <v>5.9332320830486854E-2</v>
      </c>
      <c r="V62">
        <v>-0.20000000000002</v>
      </c>
      <c r="W62">
        <f t="shared" si="9"/>
        <v>-0.470359999999999</v>
      </c>
    </row>
    <row r="63" spans="1:23" x14ac:dyDescent="0.3">
      <c r="A63">
        <v>2.9446784500000001</v>
      </c>
      <c r="B63">
        <v>0.58408000000000004</v>
      </c>
      <c r="C63">
        <f t="shared" si="1"/>
        <v>1.7199277890760001</v>
      </c>
      <c r="D63">
        <v>1.8499999999999999E-2</v>
      </c>
      <c r="E63">
        <v>9.1900000000000003E-3</v>
      </c>
      <c r="F63">
        <f t="shared" si="2"/>
        <v>588.93569000000002</v>
      </c>
      <c r="G63">
        <f t="shared" si="3"/>
        <v>-0.58408000000000004</v>
      </c>
      <c r="H63">
        <f t="shared" si="4"/>
        <v>-343.98555781520002</v>
      </c>
      <c r="I63">
        <v>1</v>
      </c>
      <c r="J63">
        <f t="shared" si="5"/>
        <v>-0.52943828635109558</v>
      </c>
      <c r="K63">
        <f t="shared" si="6"/>
        <v>-0.59583057297601194</v>
      </c>
      <c r="L63">
        <v>1</v>
      </c>
      <c r="M63">
        <f t="shared" si="7"/>
        <v>0.45448107459787718</v>
      </c>
      <c r="N63">
        <f t="shared" si="13"/>
        <v>5.4476551324999997E-2</v>
      </c>
      <c r="O63">
        <f t="shared" si="11"/>
        <v>2.70615949555E-2</v>
      </c>
      <c r="P63">
        <f t="shared" si="12"/>
        <v>5.9811352097634767E-2</v>
      </c>
      <c r="V63">
        <v>-0.10000000000002</v>
      </c>
      <c r="W63">
        <f t="shared" si="9"/>
        <v>-0.47517999999999899</v>
      </c>
    </row>
    <row r="64" spans="1:23" x14ac:dyDescent="0.3">
      <c r="A64">
        <v>2.9938707499999997</v>
      </c>
      <c r="B64">
        <v>0.58150000000000002</v>
      </c>
      <c r="C64">
        <f t="shared" si="1"/>
        <v>1.7409358411249998</v>
      </c>
      <c r="D64">
        <v>1.8499999999999999E-2</v>
      </c>
      <c r="E64">
        <v>9.1900000000000003E-3</v>
      </c>
      <c r="F64">
        <f t="shared" si="2"/>
        <v>598.77414999999996</v>
      </c>
      <c r="G64">
        <f t="shared" si="3"/>
        <v>-0.58150000000000002</v>
      </c>
      <c r="H64">
        <f t="shared" si="4"/>
        <v>-348.18716822499994</v>
      </c>
      <c r="I64">
        <v>1</v>
      </c>
      <c r="J64">
        <f t="shared" si="5"/>
        <v>-0.51287079704117955</v>
      </c>
      <c r="K64">
        <f t="shared" si="6"/>
        <v>-0.59841057297601197</v>
      </c>
      <c r="L64">
        <v>1</v>
      </c>
      <c r="M64">
        <f t="shared" si="7"/>
        <v>0.45527962758261514</v>
      </c>
      <c r="N64">
        <f t="shared" si="13"/>
        <v>5.5386608874999993E-2</v>
      </c>
      <c r="O64">
        <f t="shared" si="11"/>
        <v>2.7513672192499998E-2</v>
      </c>
      <c r="P64">
        <f t="shared" si="12"/>
        <v>6.0230664325896834E-2</v>
      </c>
      <c r="V64">
        <v>-2.0428103653102899E-14</v>
      </c>
      <c r="W64">
        <f t="shared" si="9"/>
        <v>-0.47999999999999898</v>
      </c>
    </row>
    <row r="65" spans="1:23" x14ac:dyDescent="0.3">
      <c r="A65">
        <v>3.0445245499999998</v>
      </c>
      <c r="B65">
        <v>0.57847999999999999</v>
      </c>
      <c r="C65">
        <f t="shared" si="1"/>
        <v>1.761196561684</v>
      </c>
      <c r="D65">
        <v>1.8499999999999999E-2</v>
      </c>
      <c r="E65">
        <v>9.1900000000000003E-3</v>
      </c>
      <c r="F65">
        <f t="shared" si="2"/>
        <v>608.90490999999997</v>
      </c>
      <c r="G65">
        <f t="shared" si="3"/>
        <v>-0.57847999999999999</v>
      </c>
      <c r="H65">
        <f t="shared" si="4"/>
        <v>-352.23931233679997</v>
      </c>
      <c r="I65">
        <v>1</v>
      </c>
      <c r="J65">
        <f t="shared" si="5"/>
        <v>-0.49609316467865533</v>
      </c>
      <c r="K65">
        <f t="shared" si="6"/>
        <v>-0.60143057297601199</v>
      </c>
      <c r="L65">
        <v>1</v>
      </c>
      <c r="M65">
        <f t="shared" si="7"/>
        <v>0.45608830946248879</v>
      </c>
      <c r="N65">
        <f t="shared" si="13"/>
        <v>5.6323704174999996E-2</v>
      </c>
      <c r="O65">
        <f t="shared" si="11"/>
        <v>2.7979180614499999E-2</v>
      </c>
      <c r="P65">
        <f t="shared" si="12"/>
        <v>6.1039378724023208E-2</v>
      </c>
      <c r="V65">
        <v>9.9999999999980105E-2</v>
      </c>
      <c r="W65">
        <f t="shared" si="9"/>
        <v>-0.48481999999999903</v>
      </c>
    </row>
    <row r="66" spans="1:23" x14ac:dyDescent="0.3">
      <c r="A66">
        <v>3.0927430500000002</v>
      </c>
      <c r="B66">
        <v>0.57576000000000005</v>
      </c>
      <c r="C66">
        <f t="shared" si="1"/>
        <v>1.7806777384680001</v>
      </c>
      <c r="D66">
        <v>1.8499999999999999E-2</v>
      </c>
      <c r="E66">
        <v>9.1900000000000003E-3</v>
      </c>
      <c r="F66">
        <f t="shared" si="2"/>
        <v>618.54861000000005</v>
      </c>
      <c r="G66">
        <f t="shared" si="3"/>
        <v>-0.57576000000000005</v>
      </c>
      <c r="H66">
        <f t="shared" si="4"/>
        <v>-356.13554769360002</v>
      </c>
      <c r="I66">
        <v>1</v>
      </c>
      <c r="J66">
        <f t="shared" si="5"/>
        <v>-0.48037949686683251</v>
      </c>
      <c r="K66">
        <f t="shared" si="6"/>
        <v>-0.60415057297601193</v>
      </c>
      <c r="L66">
        <v>1</v>
      </c>
      <c r="M66">
        <f t="shared" si="7"/>
        <v>0.45684570825101867</v>
      </c>
      <c r="N66">
        <f t="shared" si="13"/>
        <v>5.7215746424999998E-2</v>
      </c>
      <c r="O66">
        <f t="shared" si="11"/>
        <v>2.8422308629500001E-2</v>
      </c>
      <c r="P66">
        <f t="shared" si="12"/>
        <v>6.1666809670493275E-2</v>
      </c>
      <c r="V66">
        <v>0.19999999999998</v>
      </c>
      <c r="W66">
        <f t="shared" si="9"/>
        <v>-0.48963999999999902</v>
      </c>
    </row>
    <row r="67" spans="1:23" x14ac:dyDescent="0.3">
      <c r="A67">
        <v>3.1409615999999998</v>
      </c>
      <c r="B67">
        <v>0.57296999999999998</v>
      </c>
      <c r="C67">
        <f t="shared" si="1"/>
        <v>1.7996767679519998</v>
      </c>
      <c r="D67">
        <v>1.8499999999999999E-2</v>
      </c>
      <c r="E67">
        <v>9.1900000000000003E-3</v>
      </c>
      <c r="F67">
        <f t="shared" si="2"/>
        <v>628.19232</v>
      </c>
      <c r="G67">
        <f t="shared" si="3"/>
        <v>-0.57296999999999998</v>
      </c>
      <c r="H67">
        <f t="shared" si="4"/>
        <v>-359.93535359039998</v>
      </c>
      <c r="I67">
        <v>1</v>
      </c>
      <c r="J67">
        <f t="shared" si="5"/>
        <v>-0.46490891735824341</v>
      </c>
      <c r="K67">
        <f t="shared" si="6"/>
        <v>-0.606940572976012</v>
      </c>
      <c r="L67">
        <v>1</v>
      </c>
      <c r="M67">
        <f t="shared" si="7"/>
        <v>0.45759139018333267</v>
      </c>
      <c r="N67">
        <f t="shared" si="13"/>
        <v>5.8107789599999994E-2</v>
      </c>
      <c r="O67">
        <f t="shared" si="11"/>
        <v>2.8865437104E-2</v>
      </c>
      <c r="P67">
        <f t="shared" si="12"/>
        <v>6.2375956088679352E-2</v>
      </c>
      <c r="V67">
        <v>0.29999999999998</v>
      </c>
      <c r="W67">
        <f t="shared" si="9"/>
        <v>-0.49445999999999901</v>
      </c>
    </row>
    <row r="68" spans="1:23" x14ac:dyDescent="0.3">
      <c r="A68">
        <v>3.1891799999999999</v>
      </c>
      <c r="B68">
        <v>0.57047999999999999</v>
      </c>
      <c r="C68">
        <f t="shared" si="1"/>
        <v>1.8193634063999999</v>
      </c>
      <c r="D68">
        <v>1.8499999999999999E-2</v>
      </c>
      <c r="E68">
        <v>9.1900000000000003E-3</v>
      </c>
      <c r="F68">
        <f t="shared" si="2"/>
        <v>637.83600000000001</v>
      </c>
      <c r="G68">
        <f t="shared" si="3"/>
        <v>-0.57047999999999999</v>
      </c>
      <c r="H68">
        <f t="shared" si="4"/>
        <v>-363.87268127999999</v>
      </c>
      <c r="I68">
        <v>1</v>
      </c>
      <c r="J68">
        <f t="shared" si="5"/>
        <v>-0.44967408197274344</v>
      </c>
      <c r="K68">
        <f t="shared" si="6"/>
        <v>-0.609430572976012</v>
      </c>
      <c r="L68">
        <v>1</v>
      </c>
      <c r="M68">
        <f t="shared" si="7"/>
        <v>0.45832570924891375</v>
      </c>
      <c r="N68">
        <f t="shared" si="13"/>
        <v>5.8999829999999996E-2</v>
      </c>
      <c r="O68">
        <f t="shared" si="11"/>
        <v>2.9308564200000001E-2</v>
      </c>
      <c r="P68">
        <f t="shared" si="12"/>
        <v>6.2796469527098248E-2</v>
      </c>
      <c r="V68">
        <v>0.39999999999997998</v>
      </c>
      <c r="W68">
        <f t="shared" si="9"/>
        <v>-0.499279999999999</v>
      </c>
    </row>
    <row r="69" spans="1:23" x14ac:dyDescent="0.3">
      <c r="A69">
        <v>3.23739855</v>
      </c>
      <c r="B69">
        <v>0.56811999999999996</v>
      </c>
      <c r="C69">
        <f t="shared" ref="C69:C132" si="14">A69*B69</f>
        <v>1.8392308642259998</v>
      </c>
      <c r="D69">
        <v>1.8499999999999999E-2</v>
      </c>
      <c r="E69">
        <v>9.1900000000000003E-3</v>
      </c>
      <c r="F69">
        <f t="shared" ref="F69:F132" si="15">A69*200</f>
        <v>647.47970999999995</v>
      </c>
      <c r="G69">
        <f t="shared" ref="G69:G132" si="16">-B69</f>
        <v>-0.56811999999999996</v>
      </c>
      <c r="H69">
        <f t="shared" ref="H69:H132" si="17">-C69*200</f>
        <v>-367.84617284519993</v>
      </c>
      <c r="I69">
        <v>1</v>
      </c>
      <c r="J69">
        <f t="shared" ref="J69:J132" si="18">LN(F69/1000)</f>
        <v>-0.43466782180676006</v>
      </c>
      <c r="K69">
        <f t="shared" ref="K69:K132" si="19">((-G69)-$N$2)</f>
        <v>-0.61179057297601203</v>
      </c>
      <c r="L69">
        <v>1</v>
      </c>
      <c r="M69">
        <f t="shared" ref="M69:M132" si="20">-1*($S$4+($S$5*J69))</f>
        <v>0.45904901098891415</v>
      </c>
      <c r="N69">
        <f t="shared" si="13"/>
        <v>5.9891873174999999E-2</v>
      </c>
      <c r="O69">
        <f t="shared" si="11"/>
        <v>2.9751692674500001E-2</v>
      </c>
      <c r="P69">
        <f t="shared" si="12"/>
        <v>6.3097996137597867E-2</v>
      </c>
      <c r="V69">
        <v>0.49999999999998002</v>
      </c>
      <c r="W69">
        <f t="shared" ref="W69:W132" si="21">V69*$S$5+$S$4</f>
        <v>-0.50409999999999899</v>
      </c>
    </row>
    <row r="70" spans="1:23" x14ac:dyDescent="0.3">
      <c r="A70">
        <v>3.2870783000000001</v>
      </c>
      <c r="B70">
        <v>0.56537000000000004</v>
      </c>
      <c r="C70">
        <f t="shared" si="14"/>
        <v>1.8584154584710002</v>
      </c>
      <c r="D70">
        <v>1.8499999999999999E-2</v>
      </c>
      <c r="E70">
        <v>9.1900000000000003E-3</v>
      </c>
      <c r="F70">
        <f t="shared" si="15"/>
        <v>657.41566</v>
      </c>
      <c r="G70">
        <f t="shared" si="16"/>
        <v>-0.56537000000000004</v>
      </c>
      <c r="H70">
        <f t="shared" si="17"/>
        <v>-371.68309169420002</v>
      </c>
      <c r="I70">
        <v>1</v>
      </c>
      <c r="J70">
        <f t="shared" si="18"/>
        <v>-0.41943879692225899</v>
      </c>
      <c r="K70">
        <f t="shared" si="19"/>
        <v>-0.61454057297601195</v>
      </c>
      <c r="L70">
        <v>1</v>
      </c>
      <c r="M70">
        <f t="shared" si="20"/>
        <v>0.45978304998834707</v>
      </c>
      <c r="N70">
        <f t="shared" si="13"/>
        <v>6.081094855E-2</v>
      </c>
      <c r="O70">
        <f t="shared" ref="O70:O133" si="22">E70*A70</f>
        <v>3.0208249577000003E-2</v>
      </c>
      <c r="P70">
        <f t="shared" ref="P70:P133" si="23">-K70-M70-N70-O70</f>
        <v>6.3738324860664886E-2</v>
      </c>
      <c r="V70">
        <v>0.59999999999997999</v>
      </c>
      <c r="W70">
        <f t="shared" si="21"/>
        <v>-0.50891999999999904</v>
      </c>
    </row>
    <row r="71" spans="1:23" x14ac:dyDescent="0.3">
      <c r="A71">
        <v>3.3411416000000003</v>
      </c>
      <c r="B71">
        <v>0.56230999999999998</v>
      </c>
      <c r="C71">
        <f t="shared" si="14"/>
        <v>1.8787573330960001</v>
      </c>
      <c r="D71">
        <v>1.8499999999999999E-2</v>
      </c>
      <c r="E71">
        <v>9.1900000000000003E-3</v>
      </c>
      <c r="F71">
        <f t="shared" si="15"/>
        <v>668.22832000000005</v>
      </c>
      <c r="G71">
        <f t="shared" si="16"/>
        <v>-0.56230999999999998</v>
      </c>
      <c r="H71">
        <f t="shared" si="17"/>
        <v>-375.75146661920002</v>
      </c>
      <c r="I71">
        <v>1</v>
      </c>
      <c r="J71">
        <f t="shared" si="18"/>
        <v>-0.40312536743739086</v>
      </c>
      <c r="K71">
        <f t="shared" si="19"/>
        <v>-0.61760057297601201</v>
      </c>
      <c r="L71">
        <v>1</v>
      </c>
      <c r="M71">
        <f t="shared" si="20"/>
        <v>0.46056935728951776</v>
      </c>
      <c r="N71">
        <f t="shared" ref="N71:N134" si="24">D71*A71</f>
        <v>6.1811119599999999E-2</v>
      </c>
      <c r="O71">
        <f t="shared" si="22"/>
        <v>3.0705091304000003E-2</v>
      </c>
      <c r="P71">
        <f t="shared" si="23"/>
        <v>6.4515004782494251E-2</v>
      </c>
      <c r="V71">
        <v>0.69999999999997997</v>
      </c>
      <c r="W71">
        <f t="shared" si="21"/>
        <v>-0.51373999999999898</v>
      </c>
    </row>
    <row r="72" spans="1:23" x14ac:dyDescent="0.3">
      <c r="A72">
        <v>3.3898468000000004</v>
      </c>
      <c r="B72">
        <v>0.55989</v>
      </c>
      <c r="C72">
        <f t="shared" si="14"/>
        <v>1.8979413248520003</v>
      </c>
      <c r="D72">
        <v>1.8499999999999999E-2</v>
      </c>
      <c r="E72">
        <v>9.1900000000000003E-3</v>
      </c>
      <c r="F72">
        <f t="shared" si="15"/>
        <v>677.96936000000005</v>
      </c>
      <c r="G72">
        <f t="shared" si="16"/>
        <v>-0.55989</v>
      </c>
      <c r="H72">
        <f t="shared" si="17"/>
        <v>-379.58826497040008</v>
      </c>
      <c r="I72">
        <v>1</v>
      </c>
      <c r="J72">
        <f t="shared" si="18"/>
        <v>-0.3886531838033318</v>
      </c>
      <c r="K72">
        <f t="shared" si="19"/>
        <v>-0.62002057297601199</v>
      </c>
      <c r="L72">
        <v>1</v>
      </c>
      <c r="M72">
        <f t="shared" si="20"/>
        <v>0.46126691654067942</v>
      </c>
      <c r="N72">
        <f t="shared" si="24"/>
        <v>6.2712165799999997E-2</v>
      </c>
      <c r="O72">
        <f t="shared" si="22"/>
        <v>3.1152692092000004E-2</v>
      </c>
      <c r="P72">
        <f t="shared" si="23"/>
        <v>6.4888798543332571E-2</v>
      </c>
      <c r="V72">
        <v>0.79999999999997995</v>
      </c>
      <c r="W72">
        <f t="shared" si="21"/>
        <v>-0.51855999999999902</v>
      </c>
    </row>
    <row r="73" spans="1:23" x14ac:dyDescent="0.3">
      <c r="A73">
        <v>3.4414747999999999</v>
      </c>
      <c r="B73">
        <v>0.55696999999999997</v>
      </c>
      <c r="C73">
        <f t="shared" si="14"/>
        <v>1.9167982193559998</v>
      </c>
      <c r="D73">
        <v>1.8499999999999999E-2</v>
      </c>
      <c r="E73">
        <v>9.1900000000000003E-3</v>
      </c>
      <c r="F73">
        <f t="shared" si="15"/>
        <v>688.29495999999995</v>
      </c>
      <c r="G73">
        <f t="shared" si="16"/>
        <v>-0.55696999999999997</v>
      </c>
      <c r="H73">
        <f t="shared" si="17"/>
        <v>-383.35964387119998</v>
      </c>
      <c r="I73">
        <v>1</v>
      </c>
      <c r="J73">
        <f t="shared" si="18"/>
        <v>-0.37353781199312092</v>
      </c>
      <c r="K73">
        <f t="shared" si="19"/>
        <v>-0.62294057297601202</v>
      </c>
      <c r="L73">
        <v>1</v>
      </c>
      <c r="M73">
        <f t="shared" si="20"/>
        <v>0.46199547746193154</v>
      </c>
      <c r="N73">
        <f t="shared" si="24"/>
        <v>6.3667283800000002E-2</v>
      </c>
      <c r="O73">
        <f t="shared" si="22"/>
        <v>3.1627153412000002E-2</v>
      </c>
      <c r="P73">
        <f t="shared" si="23"/>
        <v>6.5650658302080472E-2</v>
      </c>
      <c r="V73">
        <v>0.89999999999998004</v>
      </c>
      <c r="W73">
        <f t="shared" si="21"/>
        <v>-0.52337999999999907</v>
      </c>
    </row>
    <row r="74" spans="1:23" x14ac:dyDescent="0.3">
      <c r="A74">
        <v>3.4901801999999997</v>
      </c>
      <c r="B74">
        <v>0.55410000000000004</v>
      </c>
      <c r="C74">
        <f t="shared" si="14"/>
        <v>1.93390884882</v>
      </c>
      <c r="D74">
        <v>1.8499999999999999E-2</v>
      </c>
      <c r="E74">
        <v>9.1900000000000003E-3</v>
      </c>
      <c r="F74">
        <f t="shared" si="15"/>
        <v>698.03603999999996</v>
      </c>
      <c r="G74">
        <f t="shared" si="16"/>
        <v>-0.55410000000000004</v>
      </c>
      <c r="H74">
        <f t="shared" si="17"/>
        <v>-386.78176976399999</v>
      </c>
      <c r="I74">
        <v>1</v>
      </c>
      <c r="J74">
        <f t="shared" si="18"/>
        <v>-0.35948454431489202</v>
      </c>
      <c r="K74">
        <f t="shared" si="19"/>
        <v>-0.62581057297601195</v>
      </c>
      <c r="L74">
        <v>1</v>
      </c>
      <c r="M74">
        <f t="shared" si="20"/>
        <v>0.46267284496402217</v>
      </c>
      <c r="N74">
        <f t="shared" si="24"/>
        <v>6.4568333699999994E-2</v>
      </c>
      <c r="O74">
        <f t="shared" si="22"/>
        <v>3.2074756038000002E-2</v>
      </c>
      <c r="P74">
        <f t="shared" si="23"/>
        <v>6.6494638273989784E-2</v>
      </c>
      <c r="V74">
        <v>0.99999999999998002</v>
      </c>
      <c r="W74">
        <f t="shared" si="21"/>
        <v>-0.528199999999999</v>
      </c>
    </row>
    <row r="75" spans="1:23" x14ac:dyDescent="0.3">
      <c r="A75">
        <v>3.5437566500000002</v>
      </c>
      <c r="B75">
        <v>0.55144000000000004</v>
      </c>
      <c r="C75">
        <f t="shared" si="14"/>
        <v>1.9541691670760002</v>
      </c>
      <c r="D75">
        <v>1.8499999999999999E-2</v>
      </c>
      <c r="E75">
        <v>9.1900000000000003E-3</v>
      </c>
      <c r="F75">
        <f t="shared" si="15"/>
        <v>708.75133000000005</v>
      </c>
      <c r="G75">
        <f t="shared" si="16"/>
        <v>-0.55144000000000004</v>
      </c>
      <c r="H75">
        <f t="shared" si="17"/>
        <v>-390.83383341520005</v>
      </c>
      <c r="I75">
        <v>1</v>
      </c>
      <c r="J75">
        <f t="shared" si="18"/>
        <v>-0.34425054739872601</v>
      </c>
      <c r="K75">
        <f t="shared" si="19"/>
        <v>-0.62847057297601194</v>
      </c>
      <c r="L75">
        <v>1</v>
      </c>
      <c r="M75">
        <f t="shared" si="20"/>
        <v>0.46340712361538139</v>
      </c>
      <c r="N75">
        <f t="shared" si="24"/>
        <v>6.5559498024999996E-2</v>
      </c>
      <c r="O75">
        <f t="shared" si="22"/>
        <v>3.2567123613500004E-2</v>
      </c>
      <c r="P75">
        <f t="shared" si="23"/>
        <v>6.6936827722130554E-2</v>
      </c>
      <c r="V75">
        <v>1.0999999999999699</v>
      </c>
      <c r="W75">
        <f t="shared" si="21"/>
        <v>-0.53301999999999849</v>
      </c>
    </row>
    <row r="76" spans="1:23" x14ac:dyDescent="0.3">
      <c r="A76">
        <v>3.5929487</v>
      </c>
      <c r="B76">
        <v>0.54854999999999998</v>
      </c>
      <c r="C76">
        <f t="shared" si="14"/>
        <v>1.9709120093849999</v>
      </c>
      <c r="D76">
        <v>1.8499999999999999E-2</v>
      </c>
      <c r="E76">
        <v>9.1900000000000003E-3</v>
      </c>
      <c r="F76">
        <f t="shared" si="15"/>
        <v>718.58974000000001</v>
      </c>
      <c r="G76">
        <f t="shared" si="16"/>
        <v>-0.54854999999999998</v>
      </c>
      <c r="H76">
        <f t="shared" si="17"/>
        <v>-394.18240187699996</v>
      </c>
      <c r="I76">
        <v>1</v>
      </c>
      <c r="J76">
        <f t="shared" si="18"/>
        <v>-0.33046468216696256</v>
      </c>
      <c r="K76">
        <f t="shared" si="19"/>
        <v>-0.631360572976012</v>
      </c>
      <c r="L76">
        <v>1</v>
      </c>
      <c r="M76">
        <f t="shared" si="20"/>
        <v>0.46407160231955241</v>
      </c>
      <c r="N76">
        <f t="shared" si="24"/>
        <v>6.6469550949999998E-2</v>
      </c>
      <c r="O76">
        <f t="shared" si="22"/>
        <v>3.3019198553E-2</v>
      </c>
      <c r="P76">
        <f t="shared" si="23"/>
        <v>6.78002211534596E-2</v>
      </c>
      <c r="V76">
        <v>1.19999999999997</v>
      </c>
      <c r="W76">
        <f t="shared" si="21"/>
        <v>-0.53783999999999854</v>
      </c>
    </row>
    <row r="77" spans="1:23" x14ac:dyDescent="0.3">
      <c r="A77">
        <v>3.6416543999999997</v>
      </c>
      <c r="B77">
        <v>0.54635</v>
      </c>
      <c r="C77">
        <f t="shared" si="14"/>
        <v>1.9896178814399998</v>
      </c>
      <c r="D77">
        <v>1.8499999999999999E-2</v>
      </c>
      <c r="E77">
        <v>9.1900000000000003E-3</v>
      </c>
      <c r="F77">
        <f t="shared" si="15"/>
        <v>728.33087999999998</v>
      </c>
      <c r="G77">
        <f t="shared" si="16"/>
        <v>-0.54635</v>
      </c>
      <c r="H77">
        <f t="shared" si="17"/>
        <v>-397.92357628799999</v>
      </c>
      <c r="I77">
        <v>1</v>
      </c>
      <c r="J77">
        <f t="shared" si="18"/>
        <v>-0.31699982854728198</v>
      </c>
      <c r="K77">
        <f t="shared" si="19"/>
        <v>-0.63356057297601198</v>
      </c>
      <c r="L77">
        <v>1</v>
      </c>
      <c r="M77">
        <f t="shared" si="20"/>
        <v>0.46472060826402101</v>
      </c>
      <c r="N77">
        <f t="shared" si="24"/>
        <v>6.7370606399999991E-2</v>
      </c>
      <c r="O77">
        <f t="shared" si="22"/>
        <v>3.3466803935999996E-2</v>
      </c>
      <c r="P77">
        <f t="shared" si="23"/>
        <v>6.8002554375990981E-2</v>
      </c>
      <c r="V77">
        <v>1.2999999999999701</v>
      </c>
      <c r="W77">
        <f t="shared" si="21"/>
        <v>-0.54265999999999859</v>
      </c>
    </row>
    <row r="78" spans="1:23" x14ac:dyDescent="0.3">
      <c r="A78">
        <v>3.6942565000000003</v>
      </c>
      <c r="B78">
        <v>0.54347000000000001</v>
      </c>
      <c r="C78">
        <f t="shared" si="14"/>
        <v>2.007717580055</v>
      </c>
      <c r="D78">
        <v>1.8499999999999999E-2</v>
      </c>
      <c r="E78">
        <v>9.1900000000000003E-3</v>
      </c>
      <c r="F78">
        <f t="shared" si="15"/>
        <v>738.85130000000004</v>
      </c>
      <c r="G78">
        <f t="shared" si="16"/>
        <v>-0.54347000000000001</v>
      </c>
      <c r="H78">
        <f t="shared" si="17"/>
        <v>-401.54351601100001</v>
      </c>
      <c r="I78">
        <v>1</v>
      </c>
      <c r="J78">
        <f t="shared" si="18"/>
        <v>-0.30265859614294099</v>
      </c>
      <c r="K78">
        <f t="shared" si="19"/>
        <v>-0.63644057297601198</v>
      </c>
      <c r="L78">
        <v>1</v>
      </c>
      <c r="M78">
        <f t="shared" si="20"/>
        <v>0.4654118556659102</v>
      </c>
      <c r="N78">
        <f t="shared" si="24"/>
        <v>6.8343745250000004E-2</v>
      </c>
      <c r="O78">
        <f t="shared" si="22"/>
        <v>3.3950217235000003E-2</v>
      </c>
      <c r="P78">
        <f t="shared" si="23"/>
        <v>6.8734754825101774E-2</v>
      </c>
      <c r="V78">
        <v>1.3999999999999699</v>
      </c>
      <c r="W78">
        <f t="shared" si="21"/>
        <v>-0.54747999999999852</v>
      </c>
    </row>
    <row r="79" spans="1:23" x14ac:dyDescent="0.3">
      <c r="A79">
        <v>3.7434490499999997</v>
      </c>
      <c r="B79">
        <v>0.54074999999999995</v>
      </c>
      <c r="C79">
        <f t="shared" si="14"/>
        <v>2.0242700737874997</v>
      </c>
      <c r="D79">
        <v>1.8499999999999999E-2</v>
      </c>
      <c r="E79">
        <v>9.1900000000000003E-3</v>
      </c>
      <c r="F79">
        <f t="shared" si="15"/>
        <v>748.68980999999997</v>
      </c>
      <c r="G79">
        <f t="shared" si="16"/>
        <v>-0.54074999999999995</v>
      </c>
      <c r="H79">
        <f t="shared" si="17"/>
        <v>-404.85401475749995</v>
      </c>
      <c r="I79">
        <v>1</v>
      </c>
      <c r="J79">
        <f t="shared" si="18"/>
        <v>-0.28943052009589804</v>
      </c>
      <c r="K79">
        <f t="shared" si="19"/>
        <v>-0.63916057297601203</v>
      </c>
      <c r="L79">
        <v>1</v>
      </c>
      <c r="M79">
        <f t="shared" si="20"/>
        <v>0.46604944893137767</v>
      </c>
      <c r="N79">
        <f t="shared" si="24"/>
        <v>6.9253807424999994E-2</v>
      </c>
      <c r="O79">
        <f t="shared" si="22"/>
        <v>3.4402296769499997E-2</v>
      </c>
      <c r="P79">
        <f t="shared" si="23"/>
        <v>6.9455019850134359E-2</v>
      </c>
      <c r="V79">
        <v>1.49999999999997</v>
      </c>
      <c r="W79">
        <f t="shared" si="21"/>
        <v>-0.55229999999999857</v>
      </c>
    </row>
    <row r="80" spans="1:23" x14ac:dyDescent="0.3">
      <c r="A80">
        <v>3.7916676000000002</v>
      </c>
      <c r="B80">
        <v>0.53803999999999996</v>
      </c>
      <c r="C80">
        <f t="shared" si="14"/>
        <v>2.040068835504</v>
      </c>
      <c r="D80">
        <v>1.8499999999999999E-2</v>
      </c>
      <c r="E80">
        <v>9.1900000000000003E-3</v>
      </c>
      <c r="F80">
        <f t="shared" si="15"/>
        <v>758.33352000000002</v>
      </c>
      <c r="G80">
        <f t="shared" si="16"/>
        <v>-0.53803999999999996</v>
      </c>
      <c r="H80">
        <f t="shared" si="17"/>
        <v>-408.01376710080001</v>
      </c>
      <c r="I80">
        <v>1</v>
      </c>
      <c r="J80">
        <f t="shared" si="18"/>
        <v>-0.27663199011138012</v>
      </c>
      <c r="K80">
        <f t="shared" si="19"/>
        <v>-0.64187057297601202</v>
      </c>
      <c r="L80">
        <v>1</v>
      </c>
      <c r="M80">
        <f t="shared" si="20"/>
        <v>0.46666633807663144</v>
      </c>
      <c r="N80">
        <f t="shared" si="24"/>
        <v>7.0145850600000004E-2</v>
      </c>
      <c r="O80">
        <f t="shared" si="22"/>
        <v>3.4845425244E-2</v>
      </c>
      <c r="P80">
        <f t="shared" si="23"/>
        <v>7.021295905538058E-2</v>
      </c>
      <c r="V80">
        <v>1.5999999999999699</v>
      </c>
      <c r="W80">
        <f t="shared" si="21"/>
        <v>-0.55711999999999851</v>
      </c>
    </row>
    <row r="81" spans="1:23" x14ac:dyDescent="0.3">
      <c r="A81">
        <v>3.8398860999999997</v>
      </c>
      <c r="B81">
        <v>0.53551000000000004</v>
      </c>
      <c r="C81">
        <f t="shared" si="14"/>
        <v>2.0562974054110001</v>
      </c>
      <c r="D81">
        <v>1.8499999999999999E-2</v>
      </c>
      <c r="E81">
        <v>9.1900000000000003E-3</v>
      </c>
      <c r="F81">
        <f t="shared" si="15"/>
        <v>767.97721999999999</v>
      </c>
      <c r="G81">
        <f t="shared" si="16"/>
        <v>-0.53551000000000004</v>
      </c>
      <c r="H81">
        <f t="shared" si="17"/>
        <v>-411.25948108220001</v>
      </c>
      <c r="I81">
        <v>1</v>
      </c>
      <c r="J81">
        <f t="shared" si="18"/>
        <v>-0.26399520773270796</v>
      </c>
      <c r="K81">
        <f t="shared" si="19"/>
        <v>-0.64440057297601194</v>
      </c>
      <c r="L81">
        <v>1</v>
      </c>
      <c r="M81">
        <f t="shared" si="20"/>
        <v>0.46727543098728347</v>
      </c>
      <c r="N81">
        <f t="shared" si="24"/>
        <v>7.1037892849999992E-2</v>
      </c>
      <c r="O81">
        <f t="shared" si="22"/>
        <v>3.5288553258999995E-2</v>
      </c>
      <c r="P81">
        <f t="shared" si="23"/>
        <v>7.0798695879728479E-2</v>
      </c>
      <c r="V81">
        <v>1.69999999999997</v>
      </c>
      <c r="W81">
        <f t="shared" si="21"/>
        <v>-0.56193999999999855</v>
      </c>
    </row>
    <row r="82" spans="1:23" x14ac:dyDescent="0.3">
      <c r="A82">
        <v>3.8881043499999999</v>
      </c>
      <c r="B82">
        <v>0.53297000000000005</v>
      </c>
      <c r="C82">
        <f t="shared" si="14"/>
        <v>2.0722429754195</v>
      </c>
      <c r="D82">
        <v>1.8499999999999999E-2</v>
      </c>
      <c r="E82">
        <v>9.1900000000000003E-3</v>
      </c>
      <c r="F82">
        <f t="shared" si="15"/>
        <v>777.62086999999997</v>
      </c>
      <c r="G82">
        <f t="shared" si="16"/>
        <v>-0.53297000000000005</v>
      </c>
      <c r="H82">
        <f t="shared" si="17"/>
        <v>-414.44859508389999</v>
      </c>
      <c r="I82">
        <v>1</v>
      </c>
      <c r="J82">
        <f t="shared" si="18"/>
        <v>-0.25151618720429747</v>
      </c>
      <c r="K82">
        <f t="shared" si="19"/>
        <v>-0.64694057297601193</v>
      </c>
      <c r="L82">
        <v>1</v>
      </c>
      <c r="M82">
        <f t="shared" si="20"/>
        <v>0.46787691977675283</v>
      </c>
      <c r="N82">
        <f t="shared" si="24"/>
        <v>7.1929930475000001E-2</v>
      </c>
      <c r="O82">
        <f t="shared" si="22"/>
        <v>3.5731678976500002E-2</v>
      </c>
      <c r="P82">
        <f t="shared" si="23"/>
        <v>7.1402043747759103E-2</v>
      </c>
      <c r="V82">
        <v>1.7999999999999701</v>
      </c>
      <c r="W82">
        <f t="shared" si="21"/>
        <v>-0.5667599999999986</v>
      </c>
    </row>
    <row r="83" spans="1:23" x14ac:dyDescent="0.3">
      <c r="A83">
        <v>3.9382714499999998</v>
      </c>
      <c r="B83">
        <v>0.53054999999999997</v>
      </c>
      <c r="C83">
        <f t="shared" si="14"/>
        <v>2.0894499177974999</v>
      </c>
      <c r="D83">
        <v>1.8499999999999999E-2</v>
      </c>
      <c r="E83">
        <v>9.1900000000000003E-3</v>
      </c>
      <c r="F83">
        <f t="shared" si="15"/>
        <v>787.65428999999995</v>
      </c>
      <c r="G83">
        <f t="shared" si="16"/>
        <v>-0.53054999999999997</v>
      </c>
      <c r="H83">
        <f t="shared" si="17"/>
        <v>-417.88998355949997</v>
      </c>
      <c r="I83">
        <v>1</v>
      </c>
      <c r="J83">
        <f t="shared" si="18"/>
        <v>-0.23869600366338817</v>
      </c>
      <c r="K83">
        <f t="shared" si="19"/>
        <v>-0.64936057297601202</v>
      </c>
      <c r="L83">
        <v>1</v>
      </c>
      <c r="M83">
        <f t="shared" si="20"/>
        <v>0.46849485262342466</v>
      </c>
      <c r="N83">
        <f t="shared" si="24"/>
        <v>7.2858021824999994E-2</v>
      </c>
      <c r="O83">
        <f t="shared" si="22"/>
        <v>3.61927146255E-2</v>
      </c>
      <c r="P83">
        <f t="shared" si="23"/>
        <v>7.1814983902087362E-2</v>
      </c>
      <c r="V83">
        <v>1.8999999999999699</v>
      </c>
      <c r="W83">
        <f t="shared" si="21"/>
        <v>-0.57157999999999853</v>
      </c>
    </row>
    <row r="84" spans="1:23" x14ac:dyDescent="0.3">
      <c r="A84">
        <v>3.9864899999999999</v>
      </c>
      <c r="B84">
        <v>0.52788999999999997</v>
      </c>
      <c r="C84">
        <f t="shared" si="14"/>
        <v>2.1044282060999997</v>
      </c>
      <c r="D84">
        <v>1.8499999999999999E-2</v>
      </c>
      <c r="E84">
        <v>9.1900000000000003E-3</v>
      </c>
      <c r="F84">
        <f t="shared" si="15"/>
        <v>797.298</v>
      </c>
      <c r="G84">
        <f t="shared" si="16"/>
        <v>-0.52788999999999997</v>
      </c>
      <c r="H84">
        <f t="shared" si="17"/>
        <v>-420.88564121999991</v>
      </c>
      <c r="I84">
        <v>1</v>
      </c>
      <c r="J84">
        <f t="shared" si="18"/>
        <v>-0.22652676794290655</v>
      </c>
      <c r="K84">
        <f t="shared" si="19"/>
        <v>-0.65202057297601201</v>
      </c>
      <c r="L84">
        <v>1</v>
      </c>
      <c r="M84">
        <f t="shared" si="20"/>
        <v>0.46908140978515189</v>
      </c>
      <c r="N84">
        <f t="shared" si="24"/>
        <v>7.375006499999999E-2</v>
      </c>
      <c r="O84">
        <f t="shared" si="22"/>
        <v>3.6635843100000003E-2</v>
      </c>
      <c r="P84">
        <f t="shared" si="23"/>
        <v>7.2553255090860136E-2</v>
      </c>
      <c r="V84">
        <v>1.99999999999997</v>
      </c>
      <c r="W84">
        <f t="shared" si="21"/>
        <v>-0.57639999999999858</v>
      </c>
    </row>
    <row r="85" spans="1:23" x14ac:dyDescent="0.3">
      <c r="A85">
        <v>4.0376308500000002</v>
      </c>
      <c r="B85">
        <v>0.52539000000000002</v>
      </c>
      <c r="C85">
        <f t="shared" si="14"/>
        <v>2.1213308722815003</v>
      </c>
      <c r="D85">
        <v>1.8499999999999999E-2</v>
      </c>
      <c r="E85">
        <v>9.1900000000000003E-3</v>
      </c>
      <c r="F85">
        <f t="shared" si="15"/>
        <v>807.52617000000009</v>
      </c>
      <c r="G85">
        <f t="shared" si="16"/>
        <v>-0.52539000000000002</v>
      </c>
      <c r="H85">
        <f t="shared" si="17"/>
        <v>-424.26617445630006</v>
      </c>
      <c r="I85">
        <v>1</v>
      </c>
      <c r="J85">
        <f t="shared" si="18"/>
        <v>-0.21377981574174429</v>
      </c>
      <c r="K85">
        <f t="shared" si="19"/>
        <v>-0.65452057297601196</v>
      </c>
      <c r="L85">
        <v>1</v>
      </c>
      <c r="M85">
        <f t="shared" si="20"/>
        <v>0.4696958128812479</v>
      </c>
      <c r="N85">
        <f t="shared" si="24"/>
        <v>7.4696170724999997E-2</v>
      </c>
      <c r="O85">
        <f t="shared" si="22"/>
        <v>3.7105827511500003E-2</v>
      </c>
      <c r="P85">
        <f t="shared" si="23"/>
        <v>7.3022761858264063E-2</v>
      </c>
      <c r="V85">
        <v>2.0999999999999699</v>
      </c>
      <c r="W85">
        <f t="shared" si="21"/>
        <v>-0.58121999999999852</v>
      </c>
    </row>
    <row r="86" spans="1:23" x14ac:dyDescent="0.3">
      <c r="A86">
        <v>4.0892585000000006</v>
      </c>
      <c r="B86">
        <v>0.52249000000000001</v>
      </c>
      <c r="C86">
        <f t="shared" si="14"/>
        <v>2.1365966736650002</v>
      </c>
      <c r="D86">
        <v>1.8499999999999999E-2</v>
      </c>
      <c r="E86">
        <v>9.1900000000000003E-3</v>
      </c>
      <c r="F86">
        <f t="shared" si="15"/>
        <v>817.85170000000016</v>
      </c>
      <c r="G86">
        <f t="shared" si="16"/>
        <v>-0.52249000000000001</v>
      </c>
      <c r="H86">
        <f t="shared" si="17"/>
        <v>-427.31933473300001</v>
      </c>
      <c r="I86">
        <v>1</v>
      </c>
      <c r="J86">
        <f t="shared" si="18"/>
        <v>-0.20107425465898857</v>
      </c>
      <c r="K86">
        <f t="shared" si="19"/>
        <v>-0.65742057297601197</v>
      </c>
      <c r="L86">
        <v>1</v>
      </c>
      <c r="M86">
        <f t="shared" si="20"/>
        <v>0.47030822092543673</v>
      </c>
      <c r="N86">
        <f t="shared" si="24"/>
        <v>7.5651282250000007E-2</v>
      </c>
      <c r="O86">
        <f t="shared" si="22"/>
        <v>3.7580285615000007E-2</v>
      </c>
      <c r="P86">
        <f t="shared" si="23"/>
        <v>7.3880784185575227E-2</v>
      </c>
      <c r="V86">
        <v>2.19999999999997</v>
      </c>
      <c r="W86">
        <f t="shared" si="21"/>
        <v>-0.58603999999999856</v>
      </c>
    </row>
    <row r="87" spans="1:23" x14ac:dyDescent="0.3">
      <c r="A87">
        <v>4.14039935</v>
      </c>
      <c r="B87">
        <v>0.51978000000000002</v>
      </c>
      <c r="C87">
        <f t="shared" si="14"/>
        <v>2.1520967741430002</v>
      </c>
      <c r="D87">
        <v>1.8499999999999999E-2</v>
      </c>
      <c r="E87">
        <v>9.1900000000000003E-3</v>
      </c>
      <c r="F87">
        <f t="shared" si="15"/>
        <v>828.07987000000003</v>
      </c>
      <c r="G87">
        <f t="shared" si="16"/>
        <v>-0.51978000000000002</v>
      </c>
      <c r="H87">
        <f t="shared" si="17"/>
        <v>-430.41935482860004</v>
      </c>
      <c r="I87">
        <v>1</v>
      </c>
      <c r="J87">
        <f t="shared" si="18"/>
        <v>-0.1886456678963174</v>
      </c>
      <c r="K87">
        <f t="shared" si="19"/>
        <v>-0.66013057297601196</v>
      </c>
      <c r="L87">
        <v>1</v>
      </c>
      <c r="M87">
        <f t="shared" si="20"/>
        <v>0.47090727880739747</v>
      </c>
      <c r="N87">
        <f t="shared" si="24"/>
        <v>7.6597387975E-2</v>
      </c>
      <c r="O87">
        <f t="shared" si="22"/>
        <v>3.8050270026500001E-2</v>
      </c>
      <c r="P87">
        <f t="shared" si="23"/>
        <v>7.457563616711449E-2</v>
      </c>
      <c r="V87">
        <v>2.2999999999999701</v>
      </c>
      <c r="W87">
        <f t="shared" si="21"/>
        <v>-0.5908599999999985</v>
      </c>
    </row>
    <row r="88" spans="1:23" x14ac:dyDescent="0.3">
      <c r="A88">
        <v>4.18861785</v>
      </c>
      <c r="B88">
        <v>0.51737999999999995</v>
      </c>
      <c r="C88">
        <f t="shared" si="14"/>
        <v>2.1671071032329996</v>
      </c>
      <c r="D88">
        <v>1.8499999999999999E-2</v>
      </c>
      <c r="E88">
        <v>9.1900000000000003E-3</v>
      </c>
      <c r="F88">
        <f t="shared" si="15"/>
        <v>837.72357</v>
      </c>
      <c r="G88">
        <f t="shared" si="16"/>
        <v>-0.51737999999999995</v>
      </c>
      <c r="H88">
        <f t="shared" si="17"/>
        <v>-433.42142064659993</v>
      </c>
      <c r="I88">
        <v>1</v>
      </c>
      <c r="J88">
        <f t="shared" si="18"/>
        <v>-0.17706710165379644</v>
      </c>
      <c r="K88">
        <f t="shared" si="19"/>
        <v>-0.66253057297601203</v>
      </c>
      <c r="L88">
        <v>1</v>
      </c>
      <c r="M88">
        <f t="shared" si="20"/>
        <v>0.47146536570028702</v>
      </c>
      <c r="N88">
        <f t="shared" si="24"/>
        <v>7.7489430224999989E-2</v>
      </c>
      <c r="O88">
        <f t="shared" si="22"/>
        <v>3.8493398041500003E-2</v>
      </c>
      <c r="P88">
        <f t="shared" si="23"/>
        <v>7.5082379009225014E-2</v>
      </c>
      <c r="V88">
        <v>2.3999999999999702</v>
      </c>
      <c r="W88">
        <f t="shared" si="21"/>
        <v>-0.59567999999999854</v>
      </c>
    </row>
    <row r="89" spans="1:23" x14ac:dyDescent="0.3">
      <c r="A89">
        <v>4.2368364000000005</v>
      </c>
      <c r="B89">
        <v>0.51456000000000002</v>
      </c>
      <c r="C89">
        <f t="shared" si="14"/>
        <v>2.1801065379840003</v>
      </c>
      <c r="D89">
        <v>1.8499999999999999E-2</v>
      </c>
      <c r="E89">
        <v>9.1900000000000003E-3</v>
      </c>
      <c r="F89">
        <f t="shared" si="15"/>
        <v>847.36728000000005</v>
      </c>
      <c r="G89">
        <f t="shared" si="16"/>
        <v>-0.51456000000000002</v>
      </c>
      <c r="H89">
        <f t="shared" si="17"/>
        <v>-436.02130759680006</v>
      </c>
      <c r="I89">
        <v>1</v>
      </c>
      <c r="J89">
        <f t="shared" si="18"/>
        <v>-0.16562105376078065</v>
      </c>
      <c r="K89">
        <f t="shared" si="19"/>
        <v>-0.66535057297601197</v>
      </c>
      <c r="L89">
        <v>1</v>
      </c>
      <c r="M89">
        <f t="shared" si="20"/>
        <v>0.47201706520873038</v>
      </c>
      <c r="N89">
        <f t="shared" si="24"/>
        <v>7.8381473399999999E-2</v>
      </c>
      <c r="O89">
        <f t="shared" si="22"/>
        <v>3.8936526516000006E-2</v>
      </c>
      <c r="P89">
        <f t="shared" si="23"/>
        <v>7.6015507851281583E-2</v>
      </c>
      <c r="V89">
        <v>2.4999999999999698</v>
      </c>
      <c r="W89">
        <f t="shared" si="21"/>
        <v>-0.60049999999999848</v>
      </c>
    </row>
    <row r="90" spans="1:23" x14ac:dyDescent="0.3">
      <c r="A90">
        <v>4.2889511000000002</v>
      </c>
      <c r="B90">
        <v>0.51207000000000003</v>
      </c>
      <c r="C90">
        <f t="shared" si="14"/>
        <v>2.1962431897770003</v>
      </c>
      <c r="D90">
        <v>1.8499999999999999E-2</v>
      </c>
      <c r="E90">
        <v>9.1900000000000003E-3</v>
      </c>
      <c r="F90">
        <f t="shared" si="15"/>
        <v>857.79022000000009</v>
      </c>
      <c r="G90">
        <f t="shared" si="16"/>
        <v>-0.51207000000000003</v>
      </c>
      <c r="H90">
        <f t="shared" si="17"/>
        <v>-439.24863795540006</v>
      </c>
      <c r="I90">
        <v>1</v>
      </c>
      <c r="J90">
        <f t="shared" si="18"/>
        <v>-0.1533957082233865</v>
      </c>
      <c r="K90">
        <f t="shared" si="19"/>
        <v>-0.66784057297601196</v>
      </c>
      <c r="L90">
        <v>1</v>
      </c>
      <c r="M90">
        <f t="shared" si="20"/>
        <v>0.47260632686363274</v>
      </c>
      <c r="N90">
        <f t="shared" si="24"/>
        <v>7.9345595350000006E-2</v>
      </c>
      <c r="O90">
        <f t="shared" si="22"/>
        <v>3.9415460609000003E-2</v>
      </c>
      <c r="P90">
        <f t="shared" si="23"/>
        <v>7.6473190153379209E-2</v>
      </c>
      <c r="V90">
        <v>2.5999999999999699</v>
      </c>
      <c r="W90">
        <f t="shared" si="21"/>
        <v>-0.60531999999999853</v>
      </c>
    </row>
    <row r="91" spans="1:23" x14ac:dyDescent="0.3">
      <c r="A91">
        <v>4.33863105</v>
      </c>
      <c r="B91">
        <v>0.50946999999999998</v>
      </c>
      <c r="C91">
        <f t="shared" si="14"/>
        <v>2.2104023610434997</v>
      </c>
      <c r="D91">
        <v>1.8499999999999999E-2</v>
      </c>
      <c r="E91">
        <v>9.1900000000000003E-3</v>
      </c>
      <c r="F91">
        <f t="shared" si="15"/>
        <v>867.72621000000004</v>
      </c>
      <c r="G91">
        <f t="shared" si="16"/>
        <v>-0.50946999999999998</v>
      </c>
      <c r="H91">
        <f t="shared" si="17"/>
        <v>-442.08047220869997</v>
      </c>
      <c r="I91">
        <v>1</v>
      </c>
      <c r="J91">
        <f t="shared" si="18"/>
        <v>-0.14187904034639642</v>
      </c>
      <c r="K91">
        <f t="shared" si="19"/>
        <v>-0.67044057297601201</v>
      </c>
      <c r="L91">
        <v>1</v>
      </c>
      <c r="M91">
        <f t="shared" si="20"/>
        <v>0.47316143025530366</v>
      </c>
      <c r="N91">
        <f t="shared" si="24"/>
        <v>8.0264674425000002E-2</v>
      </c>
      <c r="O91">
        <f t="shared" si="22"/>
        <v>3.98720193495E-2</v>
      </c>
      <c r="P91">
        <f t="shared" si="23"/>
        <v>7.7142448946208336E-2</v>
      </c>
      <c r="V91">
        <v>2.69999999999997</v>
      </c>
      <c r="W91">
        <f t="shared" si="21"/>
        <v>-0.61013999999999857</v>
      </c>
    </row>
    <row r="92" spans="1:23" x14ac:dyDescent="0.3">
      <c r="A92">
        <v>4.3887976499999999</v>
      </c>
      <c r="B92">
        <v>0.50670000000000004</v>
      </c>
      <c r="C92">
        <f t="shared" si="14"/>
        <v>2.2238037692549999</v>
      </c>
      <c r="D92">
        <v>1.8499999999999999E-2</v>
      </c>
      <c r="E92">
        <v>9.1900000000000003E-3</v>
      </c>
      <c r="F92">
        <f t="shared" si="15"/>
        <v>877.75952999999993</v>
      </c>
      <c r="G92">
        <f t="shared" si="16"/>
        <v>-0.50670000000000004</v>
      </c>
      <c r="H92">
        <f t="shared" si="17"/>
        <v>-444.760753851</v>
      </c>
      <c r="I92">
        <v>1</v>
      </c>
      <c r="J92">
        <f t="shared" si="18"/>
        <v>-0.13038260668692467</v>
      </c>
      <c r="K92">
        <f t="shared" si="19"/>
        <v>-0.67321057297601195</v>
      </c>
      <c r="L92">
        <v>1</v>
      </c>
      <c r="M92">
        <f t="shared" si="20"/>
        <v>0.47371555835769019</v>
      </c>
      <c r="N92">
        <f t="shared" si="24"/>
        <v>8.1192756524999993E-2</v>
      </c>
      <c r="O92">
        <f t="shared" si="22"/>
        <v>4.03330504035E-2</v>
      </c>
      <c r="P92">
        <f t="shared" si="23"/>
        <v>7.7969207689821768E-2</v>
      </c>
      <c r="V92">
        <v>2.7999999999999701</v>
      </c>
      <c r="W92">
        <f t="shared" si="21"/>
        <v>-0.61495999999999851</v>
      </c>
    </row>
    <row r="93" spans="1:23" x14ac:dyDescent="0.3">
      <c r="A93">
        <v>4.4384771999999995</v>
      </c>
      <c r="B93">
        <v>0.50410999999999995</v>
      </c>
      <c r="C93">
        <f t="shared" si="14"/>
        <v>2.2374807412919995</v>
      </c>
      <c r="D93">
        <v>1.8499999999999999E-2</v>
      </c>
      <c r="E93">
        <v>9.1900000000000003E-3</v>
      </c>
      <c r="F93">
        <f t="shared" si="15"/>
        <v>887.69543999999985</v>
      </c>
      <c r="G93">
        <f t="shared" si="16"/>
        <v>-0.50410999999999995</v>
      </c>
      <c r="H93">
        <f t="shared" si="17"/>
        <v>-447.4961482583999</v>
      </c>
      <c r="I93">
        <v>1</v>
      </c>
      <c r="J93">
        <f t="shared" si="18"/>
        <v>-0.11912656779162166</v>
      </c>
      <c r="K93">
        <f t="shared" si="19"/>
        <v>-0.67580057297601204</v>
      </c>
      <c r="L93">
        <v>1</v>
      </c>
      <c r="M93">
        <f t="shared" si="20"/>
        <v>0.47425809943244379</v>
      </c>
      <c r="N93">
        <f t="shared" si="24"/>
        <v>8.2111828199999987E-2</v>
      </c>
      <c r="O93">
        <f t="shared" si="22"/>
        <v>4.0789605467999999E-2</v>
      </c>
      <c r="P93">
        <f t="shared" si="23"/>
        <v>7.8641039875568253E-2</v>
      </c>
      <c r="V93">
        <v>2.8999999999999702</v>
      </c>
      <c r="W93">
        <f t="shared" si="21"/>
        <v>-0.61977999999999855</v>
      </c>
    </row>
    <row r="94" spans="1:23" x14ac:dyDescent="0.3">
      <c r="A94">
        <v>4.4876699499999999</v>
      </c>
      <c r="B94">
        <v>0.50151999999999997</v>
      </c>
      <c r="C94">
        <f t="shared" si="14"/>
        <v>2.2506562333239999</v>
      </c>
      <c r="D94">
        <v>1.8499999999999999E-2</v>
      </c>
      <c r="E94">
        <v>9.1900000000000003E-3</v>
      </c>
      <c r="F94">
        <f t="shared" si="15"/>
        <v>897.53399000000002</v>
      </c>
      <c r="G94">
        <f t="shared" si="16"/>
        <v>-0.50151999999999997</v>
      </c>
      <c r="H94">
        <f t="shared" si="17"/>
        <v>-450.13124666479996</v>
      </c>
      <c r="I94">
        <v>1</v>
      </c>
      <c r="J94">
        <f t="shared" si="18"/>
        <v>-0.10810428747052887</v>
      </c>
      <c r="K94">
        <f t="shared" si="19"/>
        <v>-0.67839057297601202</v>
      </c>
      <c r="L94">
        <v>1</v>
      </c>
      <c r="M94">
        <f t="shared" si="20"/>
        <v>0.47478937334392052</v>
      </c>
      <c r="N94">
        <f t="shared" si="24"/>
        <v>8.3021894074999991E-2</v>
      </c>
      <c r="O94">
        <f t="shared" si="22"/>
        <v>4.1241686840500003E-2</v>
      </c>
      <c r="P94">
        <f t="shared" si="23"/>
        <v>7.9337618716591507E-2</v>
      </c>
      <c r="V94">
        <v>2.9999999999999698</v>
      </c>
      <c r="W94">
        <f t="shared" si="21"/>
        <v>-0.62459999999999849</v>
      </c>
    </row>
    <row r="95" spans="1:23" x14ac:dyDescent="0.3">
      <c r="A95">
        <v>4.5392975</v>
      </c>
      <c r="B95">
        <v>0.49922</v>
      </c>
      <c r="C95">
        <f t="shared" si="14"/>
        <v>2.2661080979500001</v>
      </c>
      <c r="D95">
        <v>1.8499999999999999E-2</v>
      </c>
      <c r="E95">
        <v>9.1900000000000003E-3</v>
      </c>
      <c r="F95">
        <f t="shared" si="15"/>
        <v>907.85950000000003</v>
      </c>
      <c r="G95">
        <f t="shared" si="16"/>
        <v>-0.49922</v>
      </c>
      <c r="H95">
        <f t="shared" si="17"/>
        <v>-453.22161959000005</v>
      </c>
      <c r="I95">
        <v>1</v>
      </c>
      <c r="J95">
        <f t="shared" si="18"/>
        <v>-9.6665648036463964E-2</v>
      </c>
      <c r="K95">
        <f t="shared" si="19"/>
        <v>-0.68069057297601199</v>
      </c>
      <c r="L95">
        <v>1</v>
      </c>
      <c r="M95">
        <f t="shared" si="20"/>
        <v>0.47534071576464243</v>
      </c>
      <c r="N95">
        <f t="shared" si="24"/>
        <v>8.3977003750000001E-2</v>
      </c>
      <c r="O95">
        <f t="shared" si="22"/>
        <v>4.1716144024999999E-2</v>
      </c>
      <c r="P95">
        <f t="shared" si="23"/>
        <v>7.9656709436369558E-2</v>
      </c>
      <c r="V95">
        <v>3.0999999999999699</v>
      </c>
      <c r="W95">
        <f t="shared" si="21"/>
        <v>-0.62941999999999854</v>
      </c>
    </row>
    <row r="96" spans="1:23" x14ac:dyDescent="0.3">
      <c r="A96">
        <v>4.5884903499999998</v>
      </c>
      <c r="B96">
        <v>0.49597999999999998</v>
      </c>
      <c r="C96">
        <f t="shared" si="14"/>
        <v>2.2757994437929998</v>
      </c>
      <c r="D96">
        <v>1.8499999999999999E-2</v>
      </c>
      <c r="E96">
        <v>9.1900000000000003E-3</v>
      </c>
      <c r="F96">
        <f t="shared" si="15"/>
        <v>917.69806999999992</v>
      </c>
      <c r="G96">
        <f t="shared" si="16"/>
        <v>-0.49597999999999998</v>
      </c>
      <c r="H96">
        <f t="shared" si="17"/>
        <v>-455.15988875859995</v>
      </c>
      <c r="I96">
        <v>1</v>
      </c>
      <c r="J96">
        <f t="shared" si="18"/>
        <v>-8.5886842243177608E-2</v>
      </c>
      <c r="K96">
        <f t="shared" si="19"/>
        <v>-0.68393057297601201</v>
      </c>
      <c r="L96">
        <v>1</v>
      </c>
      <c r="M96">
        <f t="shared" si="20"/>
        <v>0.47586025420387884</v>
      </c>
      <c r="N96">
        <f t="shared" si="24"/>
        <v>8.4887071474999992E-2</v>
      </c>
      <c r="O96">
        <f t="shared" si="22"/>
        <v>4.2168226316500003E-2</v>
      </c>
      <c r="P96">
        <f t="shared" si="23"/>
        <v>8.1015020980633179E-2</v>
      </c>
      <c r="V96">
        <v>3.19999999999997</v>
      </c>
      <c r="W96">
        <f t="shared" si="21"/>
        <v>-0.63423999999999858</v>
      </c>
    </row>
    <row r="97" spans="1:23" x14ac:dyDescent="0.3">
      <c r="A97">
        <v>4.6430403499999997</v>
      </c>
      <c r="B97">
        <v>0.49360999999999999</v>
      </c>
      <c r="C97">
        <f t="shared" si="14"/>
        <v>2.2918511471634999</v>
      </c>
      <c r="D97">
        <v>1.8499999999999999E-2</v>
      </c>
      <c r="E97">
        <v>9.1900000000000003E-3</v>
      </c>
      <c r="F97">
        <f t="shared" si="15"/>
        <v>928.60807</v>
      </c>
      <c r="G97">
        <f t="shared" si="16"/>
        <v>-0.49360999999999999</v>
      </c>
      <c r="H97">
        <f t="shared" si="17"/>
        <v>-458.3702294327</v>
      </c>
      <c r="I97">
        <v>1</v>
      </c>
      <c r="J97">
        <f t="shared" si="18"/>
        <v>-7.4068512932247185E-2</v>
      </c>
      <c r="K97">
        <f t="shared" si="19"/>
        <v>-0.68630057297601199</v>
      </c>
      <c r="L97">
        <v>1</v>
      </c>
      <c r="M97">
        <f t="shared" si="20"/>
        <v>0.47642989767666566</v>
      </c>
      <c r="N97">
        <f t="shared" si="24"/>
        <v>8.5896246474999993E-2</v>
      </c>
      <c r="O97">
        <f t="shared" si="22"/>
        <v>4.2669540816499998E-2</v>
      </c>
      <c r="P97">
        <f t="shared" si="23"/>
        <v>8.130488800784634E-2</v>
      </c>
      <c r="V97">
        <v>3.2999999999999701</v>
      </c>
      <c r="W97">
        <f t="shared" si="21"/>
        <v>-0.63905999999999852</v>
      </c>
    </row>
    <row r="98" spans="1:23" x14ac:dyDescent="0.3">
      <c r="A98">
        <v>4.6912588499999996</v>
      </c>
      <c r="B98">
        <v>0.49069000000000002</v>
      </c>
      <c r="C98">
        <f t="shared" si="14"/>
        <v>2.3019538051064998</v>
      </c>
      <c r="D98">
        <v>1.8499999999999999E-2</v>
      </c>
      <c r="E98">
        <v>9.1900000000000003E-3</v>
      </c>
      <c r="F98">
        <f t="shared" si="15"/>
        <v>938.25176999999996</v>
      </c>
      <c r="G98">
        <f t="shared" si="16"/>
        <v>-0.49069000000000002</v>
      </c>
      <c r="H98">
        <f t="shared" si="17"/>
        <v>-460.39076102129997</v>
      </c>
      <c r="I98">
        <v>1</v>
      </c>
      <c r="J98">
        <f t="shared" si="18"/>
        <v>-6.3736954477978988E-2</v>
      </c>
      <c r="K98">
        <f t="shared" si="19"/>
        <v>-0.68922057297601191</v>
      </c>
      <c r="L98">
        <v>1</v>
      </c>
      <c r="M98">
        <f t="shared" si="20"/>
        <v>0.47692787879416138</v>
      </c>
      <c r="N98">
        <f t="shared" si="24"/>
        <v>8.6788288724999996E-2</v>
      </c>
      <c r="O98">
        <f t="shared" si="22"/>
        <v>4.3112668831500001E-2</v>
      </c>
      <c r="P98">
        <f t="shared" si="23"/>
        <v>8.2391736625350542E-2</v>
      </c>
      <c r="V98">
        <v>3.3999999999999702</v>
      </c>
      <c r="W98">
        <f t="shared" si="21"/>
        <v>-0.64387999999999856</v>
      </c>
    </row>
    <row r="99" spans="1:23" x14ac:dyDescent="0.3">
      <c r="A99">
        <v>4.7394772999999999</v>
      </c>
      <c r="B99">
        <v>0.48802000000000001</v>
      </c>
      <c r="C99">
        <f t="shared" si="14"/>
        <v>2.3129597119460001</v>
      </c>
      <c r="D99">
        <v>1.8499999999999999E-2</v>
      </c>
      <c r="E99">
        <v>9.1900000000000003E-3</v>
      </c>
      <c r="F99">
        <f t="shared" si="15"/>
        <v>947.89545999999996</v>
      </c>
      <c r="G99">
        <f t="shared" si="16"/>
        <v>-0.48802000000000001</v>
      </c>
      <c r="H99">
        <f t="shared" si="17"/>
        <v>-462.59194238920003</v>
      </c>
      <c r="I99">
        <v>1</v>
      </c>
      <c r="J99">
        <f t="shared" si="18"/>
        <v>-5.3511057069372134E-2</v>
      </c>
      <c r="K99">
        <f t="shared" si="19"/>
        <v>-0.69189057297601197</v>
      </c>
      <c r="L99">
        <v>1</v>
      </c>
      <c r="M99">
        <f t="shared" si="20"/>
        <v>0.47742076704925623</v>
      </c>
      <c r="N99">
        <f t="shared" si="24"/>
        <v>8.7680330049999991E-2</v>
      </c>
      <c r="O99">
        <f t="shared" si="22"/>
        <v>4.3555796387000002E-2</v>
      </c>
      <c r="P99">
        <f t="shared" si="23"/>
        <v>8.3233679489755769E-2</v>
      </c>
      <c r="V99">
        <v>3.4999999999999698</v>
      </c>
      <c r="W99">
        <f t="shared" si="21"/>
        <v>-0.6486999999999985</v>
      </c>
    </row>
    <row r="100" spans="1:23" x14ac:dyDescent="0.3">
      <c r="A100">
        <v>4.7896438999999997</v>
      </c>
      <c r="B100">
        <v>0.48564000000000002</v>
      </c>
      <c r="C100">
        <f t="shared" si="14"/>
        <v>2.3260426635960001</v>
      </c>
      <c r="D100">
        <v>1.8499999999999999E-2</v>
      </c>
      <c r="E100">
        <v>9.1900000000000003E-3</v>
      </c>
      <c r="F100">
        <f t="shared" si="15"/>
        <v>957.92877999999996</v>
      </c>
      <c r="G100">
        <f t="shared" si="16"/>
        <v>-0.48564000000000002</v>
      </c>
      <c r="H100">
        <f t="shared" si="17"/>
        <v>-465.20853271920004</v>
      </c>
      <c r="I100">
        <v>1</v>
      </c>
      <c r="J100">
        <f t="shared" si="18"/>
        <v>-4.298184615476653E-2</v>
      </c>
      <c r="K100">
        <f t="shared" si="19"/>
        <v>-0.69427057297601191</v>
      </c>
      <c r="L100">
        <v>1</v>
      </c>
      <c r="M100">
        <f t="shared" si="20"/>
        <v>0.47792827501534024</v>
      </c>
      <c r="N100">
        <f t="shared" si="24"/>
        <v>8.8608412149999996E-2</v>
      </c>
      <c r="O100">
        <f t="shared" si="22"/>
        <v>4.4016827441000002E-2</v>
      </c>
      <c r="P100">
        <f t="shared" si="23"/>
        <v>8.3717058369671693E-2</v>
      </c>
      <c r="V100">
        <v>3.5999999999999699</v>
      </c>
      <c r="W100">
        <f t="shared" si="21"/>
        <v>-0.65351999999999855</v>
      </c>
    </row>
    <row r="101" spans="1:23" x14ac:dyDescent="0.3">
      <c r="A101">
        <v>4.8412715500000001</v>
      </c>
      <c r="B101">
        <v>0.48304000000000002</v>
      </c>
      <c r="C101">
        <f t="shared" si="14"/>
        <v>2.3385278095120001</v>
      </c>
      <c r="D101">
        <v>1.8499999999999999E-2</v>
      </c>
      <c r="E101">
        <v>9.1900000000000003E-3</v>
      </c>
      <c r="F101">
        <f t="shared" si="15"/>
        <v>968.25431000000003</v>
      </c>
      <c r="G101">
        <f t="shared" si="16"/>
        <v>-0.48304000000000002</v>
      </c>
      <c r="H101">
        <f t="shared" si="17"/>
        <v>-467.70556190240001</v>
      </c>
      <c r="I101">
        <v>1</v>
      </c>
      <c r="J101">
        <f t="shared" si="18"/>
        <v>-3.2260509267463988E-2</v>
      </c>
      <c r="K101">
        <f t="shared" si="19"/>
        <v>-0.69687057297601196</v>
      </c>
      <c r="L101">
        <v>1</v>
      </c>
      <c r="M101">
        <f t="shared" si="20"/>
        <v>0.47844504345330824</v>
      </c>
      <c r="N101">
        <f t="shared" si="24"/>
        <v>8.9563523674999992E-2</v>
      </c>
      <c r="O101">
        <f t="shared" si="22"/>
        <v>4.4491285544499999E-2</v>
      </c>
      <c r="P101">
        <f t="shared" si="23"/>
        <v>8.437072030320375E-2</v>
      </c>
      <c r="V101">
        <v>3.69999999999997</v>
      </c>
      <c r="W101">
        <f t="shared" si="21"/>
        <v>-0.65833999999999859</v>
      </c>
    </row>
    <row r="102" spans="1:23" x14ac:dyDescent="0.3">
      <c r="A102">
        <v>4.8924124000000004</v>
      </c>
      <c r="B102">
        <v>0.48026999999999997</v>
      </c>
      <c r="C102">
        <f t="shared" si="14"/>
        <v>2.3496789033479999</v>
      </c>
      <c r="D102">
        <v>1.8499999999999999E-2</v>
      </c>
      <c r="E102">
        <v>9.1900000000000003E-3</v>
      </c>
      <c r="F102">
        <f t="shared" si="15"/>
        <v>978.48248000000012</v>
      </c>
      <c r="G102">
        <f t="shared" si="16"/>
        <v>-0.48026999999999997</v>
      </c>
      <c r="H102">
        <f t="shared" si="17"/>
        <v>-469.93578066959998</v>
      </c>
      <c r="I102">
        <v>1</v>
      </c>
      <c r="J102">
        <f t="shared" si="18"/>
        <v>-2.1752397262867793E-2</v>
      </c>
      <c r="K102">
        <f t="shared" si="19"/>
        <v>-0.69964057297601201</v>
      </c>
      <c r="L102">
        <v>1</v>
      </c>
      <c r="M102">
        <f t="shared" si="20"/>
        <v>0.47895153445192973</v>
      </c>
      <c r="N102">
        <f t="shared" si="24"/>
        <v>9.05096294E-2</v>
      </c>
      <c r="O102">
        <f t="shared" si="22"/>
        <v>4.4961269956000006E-2</v>
      </c>
      <c r="P102">
        <f t="shared" si="23"/>
        <v>8.5218139168082269E-2</v>
      </c>
      <c r="V102">
        <v>3.7999999999999701</v>
      </c>
      <c r="W102">
        <f t="shared" si="21"/>
        <v>-0.66315999999999853</v>
      </c>
    </row>
    <row r="103" spans="1:23" x14ac:dyDescent="0.3">
      <c r="A103">
        <v>4.9411180999999997</v>
      </c>
      <c r="B103">
        <v>0.47769</v>
      </c>
      <c r="C103">
        <f t="shared" si="14"/>
        <v>2.3603227051889997</v>
      </c>
      <c r="D103">
        <v>1.8499999999999999E-2</v>
      </c>
      <c r="E103">
        <v>9.1900000000000003E-3</v>
      </c>
      <c r="F103">
        <f t="shared" si="15"/>
        <v>988.22361999999998</v>
      </c>
      <c r="G103">
        <f t="shared" si="16"/>
        <v>-0.47769</v>
      </c>
      <c r="H103">
        <f t="shared" si="17"/>
        <v>-472.06454103779993</v>
      </c>
      <c r="I103">
        <v>1</v>
      </c>
      <c r="J103">
        <f t="shared" si="18"/>
        <v>-1.1846270812016125E-2</v>
      </c>
      <c r="K103">
        <f t="shared" si="19"/>
        <v>-0.70222057297601204</v>
      </c>
      <c r="L103">
        <v>1</v>
      </c>
      <c r="M103">
        <f t="shared" si="20"/>
        <v>0.47942900974686081</v>
      </c>
      <c r="N103">
        <f t="shared" si="24"/>
        <v>9.1410684849999993E-2</v>
      </c>
      <c r="O103">
        <f t="shared" si="22"/>
        <v>4.5408875338999996E-2</v>
      </c>
      <c r="P103">
        <f t="shared" si="23"/>
        <v>8.5972003040151249E-2</v>
      </c>
      <c r="V103">
        <v>3.8999999999999599</v>
      </c>
      <c r="W103">
        <f t="shared" si="21"/>
        <v>-0.66797999999999802</v>
      </c>
    </row>
    <row r="104" spans="1:23" x14ac:dyDescent="0.3">
      <c r="A104">
        <v>4.9898237999999999</v>
      </c>
      <c r="B104">
        <v>0.47531000000000001</v>
      </c>
      <c r="C104">
        <f t="shared" si="14"/>
        <v>2.371713150378</v>
      </c>
      <c r="D104">
        <v>1.8499999999999999E-2</v>
      </c>
      <c r="E104">
        <v>9.1900000000000003E-3</v>
      </c>
      <c r="F104">
        <f t="shared" si="15"/>
        <v>997.96475999999996</v>
      </c>
      <c r="G104">
        <f t="shared" si="16"/>
        <v>-0.47531000000000001</v>
      </c>
      <c r="H104">
        <f t="shared" si="17"/>
        <v>-474.34263007560003</v>
      </c>
      <c r="I104">
        <v>1</v>
      </c>
      <c r="J104">
        <f t="shared" si="18"/>
        <v>-2.0373139153502182E-3</v>
      </c>
      <c r="K104">
        <f t="shared" si="19"/>
        <v>-0.70460057297601197</v>
      </c>
      <c r="L104">
        <v>1</v>
      </c>
      <c r="M104">
        <f t="shared" si="20"/>
        <v>0.47990180146928008</v>
      </c>
      <c r="N104">
        <f t="shared" si="24"/>
        <v>9.23117403E-2</v>
      </c>
      <c r="O104">
        <f t="shared" si="22"/>
        <v>4.5856480722E-2</v>
      </c>
      <c r="P104">
        <f t="shared" si="23"/>
        <v>8.6530550484731905E-2</v>
      </c>
      <c r="V104">
        <v>3.99999999999996</v>
      </c>
      <c r="W104">
        <f t="shared" si="21"/>
        <v>-0.67279999999999807</v>
      </c>
    </row>
    <row r="105" spans="1:23" x14ac:dyDescent="0.3">
      <c r="A105">
        <v>5.0385293999999998</v>
      </c>
      <c r="B105">
        <v>0.47272999999999998</v>
      </c>
      <c r="C105">
        <f t="shared" si="14"/>
        <v>2.3818640032619998</v>
      </c>
      <c r="D105">
        <v>1.8499999999999999E-2</v>
      </c>
      <c r="E105">
        <v>9.1900000000000003E-3</v>
      </c>
      <c r="F105">
        <f t="shared" si="15"/>
        <v>1007.70588</v>
      </c>
      <c r="G105">
        <f t="shared" si="16"/>
        <v>-0.47272999999999998</v>
      </c>
      <c r="H105">
        <f t="shared" si="17"/>
        <v>-476.37280065239997</v>
      </c>
      <c r="I105">
        <v>1</v>
      </c>
      <c r="J105">
        <f t="shared" si="18"/>
        <v>7.6763413571570979E-3</v>
      </c>
      <c r="K105">
        <f t="shared" si="19"/>
        <v>-0.707180572976012</v>
      </c>
      <c r="L105">
        <v>1</v>
      </c>
      <c r="M105">
        <f t="shared" si="20"/>
        <v>0.48036999965341498</v>
      </c>
      <c r="N105">
        <f t="shared" si="24"/>
        <v>9.3212793899999993E-2</v>
      </c>
      <c r="O105">
        <f t="shared" si="22"/>
        <v>4.6304085186000002E-2</v>
      </c>
      <c r="P105">
        <f t="shared" si="23"/>
        <v>8.7293694236597039E-2</v>
      </c>
      <c r="V105">
        <v>4.0999999999999996</v>
      </c>
      <c r="W105">
        <f t="shared" si="21"/>
        <v>-0.67762</v>
      </c>
    </row>
    <row r="106" spans="1:23" x14ac:dyDescent="0.3">
      <c r="A106">
        <v>5.0886955499999997</v>
      </c>
      <c r="B106">
        <v>0.47017999999999999</v>
      </c>
      <c r="C106">
        <f t="shared" si="14"/>
        <v>2.3926028736989999</v>
      </c>
      <c r="D106">
        <v>1.8499999999999999E-2</v>
      </c>
      <c r="E106">
        <v>9.1900000000000003E-3</v>
      </c>
      <c r="F106">
        <f t="shared" si="15"/>
        <v>1017.73911</v>
      </c>
      <c r="G106">
        <f t="shared" si="16"/>
        <v>-0.47017999999999999</v>
      </c>
      <c r="H106">
        <f t="shared" si="17"/>
        <v>-478.5205747398</v>
      </c>
      <c r="I106">
        <v>1</v>
      </c>
      <c r="J106">
        <f t="shared" si="18"/>
        <v>1.7583608270012947E-2</v>
      </c>
      <c r="K106">
        <f t="shared" si="19"/>
        <v>-0.70973057297601194</v>
      </c>
      <c r="L106">
        <v>1</v>
      </c>
      <c r="M106">
        <f t="shared" si="20"/>
        <v>0.48084752991861462</v>
      </c>
      <c r="N106">
        <f t="shared" si="24"/>
        <v>9.414086767499999E-2</v>
      </c>
      <c r="O106">
        <f t="shared" si="22"/>
        <v>4.6765112104499997E-2</v>
      </c>
      <c r="P106">
        <f t="shared" si="23"/>
        <v>8.7977063277897338E-2</v>
      </c>
      <c r="V106">
        <v>4.2</v>
      </c>
      <c r="W106">
        <f t="shared" si="21"/>
        <v>-0.68243999999999994</v>
      </c>
    </row>
    <row r="107" spans="1:23" x14ac:dyDescent="0.3">
      <c r="A107">
        <v>5.1388626500000001</v>
      </c>
      <c r="B107">
        <v>0.46765000000000001</v>
      </c>
      <c r="C107">
        <f t="shared" si="14"/>
        <v>2.4031891182725</v>
      </c>
      <c r="D107">
        <v>1.8499999999999999E-2</v>
      </c>
      <c r="E107">
        <v>9.1900000000000003E-3</v>
      </c>
      <c r="F107">
        <f t="shared" si="15"/>
        <v>1027.77253</v>
      </c>
      <c r="G107">
        <f t="shared" si="16"/>
        <v>-0.46765000000000001</v>
      </c>
      <c r="H107">
        <f t="shared" si="17"/>
        <v>-480.63782365449998</v>
      </c>
      <c r="I107">
        <v>1</v>
      </c>
      <c r="J107">
        <f t="shared" si="18"/>
        <v>2.7393868229133127E-2</v>
      </c>
      <c r="K107">
        <f t="shared" si="19"/>
        <v>-0.71226057297601197</v>
      </c>
      <c r="L107">
        <v>1</v>
      </c>
      <c r="M107">
        <f t="shared" si="20"/>
        <v>0.48132038444864422</v>
      </c>
      <c r="N107">
        <f t="shared" si="24"/>
        <v>9.5068959024999997E-2</v>
      </c>
      <c r="O107">
        <f t="shared" si="22"/>
        <v>4.7226147753500002E-2</v>
      </c>
      <c r="P107">
        <f t="shared" si="23"/>
        <v>8.8645081748867732E-2</v>
      </c>
      <c r="V107">
        <v>4.3</v>
      </c>
      <c r="W107">
        <f t="shared" si="21"/>
        <v>-0.68725999999999998</v>
      </c>
    </row>
    <row r="108" spans="1:23" x14ac:dyDescent="0.3">
      <c r="A108">
        <v>5.1895159499999997</v>
      </c>
      <c r="B108">
        <v>0.46483000000000002</v>
      </c>
      <c r="C108">
        <f t="shared" si="14"/>
        <v>2.4122426990385</v>
      </c>
      <c r="D108">
        <v>1.8499999999999999E-2</v>
      </c>
      <c r="E108">
        <v>9.1900000000000003E-3</v>
      </c>
      <c r="F108">
        <f t="shared" si="15"/>
        <v>1037.90319</v>
      </c>
      <c r="G108">
        <f t="shared" si="16"/>
        <v>-0.46483000000000002</v>
      </c>
      <c r="H108">
        <f t="shared" si="17"/>
        <v>-482.4485398077</v>
      </c>
      <c r="I108">
        <v>1</v>
      </c>
      <c r="J108">
        <f t="shared" si="18"/>
        <v>3.7202514498208994E-2</v>
      </c>
      <c r="K108">
        <f t="shared" si="19"/>
        <v>-0.71508057297601191</v>
      </c>
      <c r="L108">
        <v>1</v>
      </c>
      <c r="M108">
        <f t="shared" si="20"/>
        <v>0.48179316119881366</v>
      </c>
      <c r="N108">
        <f t="shared" si="24"/>
        <v>9.6006045074999991E-2</v>
      </c>
      <c r="O108">
        <f t="shared" si="22"/>
        <v>4.7691651580499997E-2</v>
      </c>
      <c r="P108">
        <f t="shared" si="23"/>
        <v>8.9589715121698263E-2</v>
      </c>
      <c r="V108">
        <v>4.4000000000000004</v>
      </c>
      <c r="W108">
        <f t="shared" si="21"/>
        <v>-0.69208000000000003</v>
      </c>
    </row>
    <row r="109" spans="1:23" x14ac:dyDescent="0.3">
      <c r="A109">
        <v>5.2377349500000001</v>
      </c>
      <c r="B109">
        <v>0.46233000000000002</v>
      </c>
      <c r="C109">
        <f t="shared" si="14"/>
        <v>2.4215619994335</v>
      </c>
      <c r="D109">
        <v>1.8499999999999999E-2</v>
      </c>
      <c r="E109">
        <v>9.1900000000000003E-3</v>
      </c>
      <c r="F109">
        <f t="shared" si="15"/>
        <v>1047.5469900000001</v>
      </c>
      <c r="G109">
        <f t="shared" si="16"/>
        <v>-0.46233000000000002</v>
      </c>
      <c r="H109">
        <f t="shared" si="17"/>
        <v>-484.31239988670001</v>
      </c>
      <c r="I109">
        <v>1</v>
      </c>
      <c r="J109">
        <f t="shared" si="18"/>
        <v>4.6451230996556653E-2</v>
      </c>
      <c r="K109">
        <f t="shared" si="19"/>
        <v>-0.71758057297601197</v>
      </c>
      <c r="L109">
        <v>1</v>
      </c>
      <c r="M109">
        <f t="shared" si="20"/>
        <v>0.48223894933403399</v>
      </c>
      <c r="N109">
        <f t="shared" si="24"/>
        <v>9.6898096574999995E-2</v>
      </c>
      <c r="O109">
        <f t="shared" si="22"/>
        <v>4.8134784190500005E-2</v>
      </c>
      <c r="P109">
        <f t="shared" si="23"/>
        <v>9.0308742876477985E-2</v>
      </c>
      <c r="V109">
        <v>4.5</v>
      </c>
      <c r="W109">
        <f t="shared" si="21"/>
        <v>-0.69689999999999996</v>
      </c>
    </row>
    <row r="110" spans="1:23" x14ac:dyDescent="0.3">
      <c r="A110">
        <v>5.2859529999999992</v>
      </c>
      <c r="B110">
        <v>0.45984000000000003</v>
      </c>
      <c r="C110">
        <f t="shared" si="14"/>
        <v>2.4306926275199996</v>
      </c>
      <c r="D110">
        <v>1.8499999999999999E-2</v>
      </c>
      <c r="E110">
        <v>9.1900000000000003E-3</v>
      </c>
      <c r="F110">
        <f t="shared" si="15"/>
        <v>1057.1905999999999</v>
      </c>
      <c r="G110">
        <f t="shared" si="16"/>
        <v>-0.45984000000000003</v>
      </c>
      <c r="H110">
        <f t="shared" si="17"/>
        <v>-486.13852550399992</v>
      </c>
      <c r="I110">
        <v>1</v>
      </c>
      <c r="J110">
        <f t="shared" si="18"/>
        <v>5.5615012297193164E-2</v>
      </c>
      <c r="K110">
        <f t="shared" si="19"/>
        <v>-0.72007057297601196</v>
      </c>
      <c r="L110">
        <v>1</v>
      </c>
      <c r="M110">
        <f t="shared" si="20"/>
        <v>0.48268064359272467</v>
      </c>
      <c r="N110">
        <f t="shared" si="24"/>
        <v>9.7790130499999975E-2</v>
      </c>
      <c r="O110">
        <f t="shared" si="22"/>
        <v>4.8577908069999995E-2</v>
      </c>
      <c r="P110">
        <f t="shared" si="23"/>
        <v>9.1021890813287334E-2</v>
      </c>
      <c r="V110">
        <v>4.5999999999999996</v>
      </c>
      <c r="W110">
        <f t="shared" si="21"/>
        <v>-0.7017199999999999</v>
      </c>
    </row>
    <row r="111" spans="1:23" x14ac:dyDescent="0.3">
      <c r="A111">
        <v>5.3341714500000004</v>
      </c>
      <c r="B111">
        <v>0.45739000000000002</v>
      </c>
      <c r="C111">
        <f t="shared" si="14"/>
        <v>2.4397966795155002</v>
      </c>
      <c r="D111">
        <v>1.8499999999999999E-2</v>
      </c>
      <c r="E111">
        <v>9.1900000000000003E-3</v>
      </c>
      <c r="F111">
        <f t="shared" si="15"/>
        <v>1066.83429</v>
      </c>
      <c r="G111">
        <f t="shared" si="16"/>
        <v>-0.45739000000000002</v>
      </c>
      <c r="H111">
        <f t="shared" si="17"/>
        <v>-487.95933590310005</v>
      </c>
      <c r="I111">
        <v>1</v>
      </c>
      <c r="J111">
        <f t="shared" si="18"/>
        <v>6.469565566629451E-2</v>
      </c>
      <c r="K111">
        <f t="shared" si="19"/>
        <v>-0.72252057297601202</v>
      </c>
      <c r="L111">
        <v>1</v>
      </c>
      <c r="M111">
        <f t="shared" si="20"/>
        <v>0.48311833060311538</v>
      </c>
      <c r="N111">
        <f t="shared" si="24"/>
        <v>9.8682171824999998E-2</v>
      </c>
      <c r="O111">
        <f t="shared" si="22"/>
        <v>4.9021035625500003E-2</v>
      </c>
      <c r="P111">
        <f t="shared" si="23"/>
        <v>9.1699034922396644E-2</v>
      </c>
      <c r="V111">
        <v>4.7</v>
      </c>
      <c r="W111">
        <f t="shared" si="21"/>
        <v>-0.70653999999999995</v>
      </c>
    </row>
    <row r="112" spans="1:23" x14ac:dyDescent="0.3">
      <c r="A112">
        <v>5.3833642999999993</v>
      </c>
      <c r="B112">
        <v>0.45490000000000003</v>
      </c>
      <c r="C112">
        <f t="shared" si="14"/>
        <v>2.44889242007</v>
      </c>
      <c r="D112">
        <v>1.8499999999999999E-2</v>
      </c>
      <c r="E112">
        <v>9.1900000000000003E-3</v>
      </c>
      <c r="F112">
        <f t="shared" si="15"/>
        <v>1076.6728599999999</v>
      </c>
      <c r="G112">
        <f t="shared" si="16"/>
        <v>-0.45490000000000003</v>
      </c>
      <c r="H112">
        <f t="shared" si="17"/>
        <v>-489.77848401400001</v>
      </c>
      <c r="I112">
        <v>1</v>
      </c>
      <c r="J112">
        <f t="shared" si="18"/>
        <v>7.3875600871892322E-2</v>
      </c>
      <c r="K112">
        <f t="shared" si="19"/>
        <v>-0.7250105729760119</v>
      </c>
      <c r="L112">
        <v>1</v>
      </c>
      <c r="M112">
        <f t="shared" si="20"/>
        <v>0.48356080396202517</v>
      </c>
      <c r="N112">
        <f t="shared" si="24"/>
        <v>9.9592239549999989E-2</v>
      </c>
      <c r="O112">
        <f t="shared" si="22"/>
        <v>4.9473117916999994E-2</v>
      </c>
      <c r="P112">
        <f t="shared" si="23"/>
        <v>9.2384411546986761E-2</v>
      </c>
      <c r="V112">
        <v>4.8</v>
      </c>
      <c r="W112">
        <f t="shared" si="21"/>
        <v>-0.71135999999999999</v>
      </c>
    </row>
    <row r="113" spans="1:23" x14ac:dyDescent="0.3">
      <c r="A113">
        <v>5.4320699000000001</v>
      </c>
      <c r="B113">
        <v>0.45224999999999999</v>
      </c>
      <c r="C113">
        <f t="shared" si="14"/>
        <v>2.4566536122749998</v>
      </c>
      <c r="D113">
        <v>1.8499999999999999E-2</v>
      </c>
      <c r="E113">
        <v>9.1900000000000003E-3</v>
      </c>
      <c r="F113">
        <f t="shared" si="15"/>
        <v>1086.41398</v>
      </c>
      <c r="G113">
        <f t="shared" si="16"/>
        <v>-0.45224999999999999</v>
      </c>
      <c r="H113">
        <f t="shared" si="17"/>
        <v>-491.33072245499994</v>
      </c>
      <c r="I113">
        <v>1</v>
      </c>
      <c r="J113">
        <f t="shared" si="18"/>
        <v>8.2882345928012829E-2</v>
      </c>
      <c r="K113">
        <f t="shared" si="19"/>
        <v>-0.72766057297601194</v>
      </c>
      <c r="L113">
        <v>1</v>
      </c>
      <c r="M113">
        <f t="shared" si="20"/>
        <v>0.48399492907373021</v>
      </c>
      <c r="N113">
        <f t="shared" si="24"/>
        <v>0.10049329315</v>
      </c>
      <c r="O113">
        <f t="shared" si="22"/>
        <v>4.9920722381000003E-2</v>
      </c>
      <c r="P113">
        <f t="shared" si="23"/>
        <v>9.3251628371281731E-2</v>
      </c>
      <c r="V113">
        <v>4.9000000000000004</v>
      </c>
      <c r="W113">
        <f t="shared" si="21"/>
        <v>-0.71618000000000004</v>
      </c>
    </row>
    <row r="114" spans="1:23" x14ac:dyDescent="0.3">
      <c r="A114">
        <v>5.4802879499999992</v>
      </c>
      <c r="B114">
        <v>0.44983000000000001</v>
      </c>
      <c r="C114">
        <f t="shared" si="14"/>
        <v>2.4651979285484997</v>
      </c>
      <c r="D114">
        <v>1.8499999999999999E-2</v>
      </c>
      <c r="E114">
        <v>9.1900000000000003E-3</v>
      </c>
      <c r="F114">
        <f t="shared" si="15"/>
        <v>1096.0575899999999</v>
      </c>
      <c r="G114">
        <f t="shared" si="16"/>
        <v>-0.44983000000000001</v>
      </c>
      <c r="H114">
        <f t="shared" si="17"/>
        <v>-493.03958570969996</v>
      </c>
      <c r="I114">
        <v>1</v>
      </c>
      <c r="J114">
        <f t="shared" si="18"/>
        <v>9.171973276578882E-2</v>
      </c>
      <c r="K114">
        <f t="shared" si="19"/>
        <v>-0.73008057297601203</v>
      </c>
      <c r="L114">
        <v>1</v>
      </c>
      <c r="M114">
        <f t="shared" si="20"/>
        <v>0.48442089111931103</v>
      </c>
      <c r="N114">
        <f t="shared" si="24"/>
        <v>0.10138532707499998</v>
      </c>
      <c r="O114">
        <f t="shared" si="22"/>
        <v>5.0363846260499993E-2</v>
      </c>
      <c r="P114">
        <f t="shared" si="23"/>
        <v>9.391050852120103E-2</v>
      </c>
      <c r="V114">
        <v>5</v>
      </c>
      <c r="W114">
        <f t="shared" si="21"/>
        <v>-0.72099999999999997</v>
      </c>
    </row>
    <row r="115" spans="1:23" x14ac:dyDescent="0.3">
      <c r="A115">
        <v>5.5328898000000004</v>
      </c>
      <c r="B115">
        <v>0.44724999999999998</v>
      </c>
      <c r="C115">
        <f t="shared" si="14"/>
        <v>2.4745849630499999</v>
      </c>
      <c r="D115">
        <v>1.8499999999999999E-2</v>
      </c>
      <c r="E115">
        <v>9.1900000000000003E-3</v>
      </c>
      <c r="F115">
        <f t="shared" si="15"/>
        <v>1106.5779600000001</v>
      </c>
      <c r="G115">
        <f t="shared" si="16"/>
        <v>-0.44724999999999998</v>
      </c>
      <c r="H115">
        <f t="shared" si="17"/>
        <v>-494.91699260999997</v>
      </c>
      <c r="I115">
        <v>1</v>
      </c>
      <c r="J115">
        <f t="shared" si="18"/>
        <v>0.10127233442106746</v>
      </c>
      <c r="K115">
        <f t="shared" si="19"/>
        <v>-0.73266057297601206</v>
      </c>
      <c r="L115">
        <v>1</v>
      </c>
      <c r="M115">
        <f t="shared" si="20"/>
        <v>0.48488132651909543</v>
      </c>
      <c r="N115">
        <f t="shared" si="24"/>
        <v>0.10235846130000001</v>
      </c>
      <c r="O115">
        <f t="shared" si="22"/>
        <v>5.0847257262000005E-2</v>
      </c>
      <c r="P115">
        <f t="shared" si="23"/>
        <v>9.4573527894916604E-2</v>
      </c>
      <c r="V115">
        <v>5.0999999999999996</v>
      </c>
      <c r="W115">
        <f t="shared" si="21"/>
        <v>-0.72581999999999991</v>
      </c>
    </row>
    <row r="116" spans="1:23" x14ac:dyDescent="0.3">
      <c r="A116">
        <v>5.5811088500000006</v>
      </c>
      <c r="B116">
        <v>0.44425999999999999</v>
      </c>
      <c r="C116">
        <f t="shared" si="14"/>
        <v>2.479463417701</v>
      </c>
      <c r="D116">
        <v>1.8499999999999999E-2</v>
      </c>
      <c r="E116">
        <v>9.1900000000000003E-3</v>
      </c>
      <c r="F116">
        <f t="shared" si="15"/>
        <v>1116.2217700000001</v>
      </c>
      <c r="G116">
        <f t="shared" si="16"/>
        <v>-0.44425999999999999</v>
      </c>
      <c r="H116">
        <f t="shared" si="17"/>
        <v>-495.89268354019998</v>
      </c>
      <c r="I116">
        <v>1</v>
      </c>
      <c r="J116">
        <f t="shared" si="18"/>
        <v>0.10994956285517894</v>
      </c>
      <c r="K116">
        <f t="shared" si="19"/>
        <v>-0.735650572976012</v>
      </c>
      <c r="L116">
        <v>1</v>
      </c>
      <c r="M116">
        <f t="shared" si="20"/>
        <v>0.48529956892961962</v>
      </c>
      <c r="N116">
        <f t="shared" si="24"/>
        <v>0.10325051372500001</v>
      </c>
      <c r="O116">
        <f t="shared" si="22"/>
        <v>5.1290390331500006E-2</v>
      </c>
      <c r="P116">
        <f t="shared" si="23"/>
        <v>9.5810099989892372E-2</v>
      </c>
      <c r="V116">
        <v>5.2</v>
      </c>
      <c r="W116">
        <f t="shared" si="21"/>
        <v>-0.73063999999999996</v>
      </c>
    </row>
    <row r="117" spans="1:23" x14ac:dyDescent="0.3">
      <c r="A117">
        <v>5.6303016000000001</v>
      </c>
      <c r="B117">
        <v>0.44198999999999999</v>
      </c>
      <c r="C117">
        <f t="shared" si="14"/>
        <v>2.4885370041839998</v>
      </c>
      <c r="D117">
        <v>1.8499999999999999E-2</v>
      </c>
      <c r="E117">
        <v>9.1900000000000003E-3</v>
      </c>
      <c r="F117">
        <f t="shared" si="15"/>
        <v>1126.06032</v>
      </c>
      <c r="G117">
        <f t="shared" si="16"/>
        <v>-0.44198999999999999</v>
      </c>
      <c r="H117">
        <f t="shared" si="17"/>
        <v>-497.70740083679993</v>
      </c>
      <c r="I117">
        <v>1</v>
      </c>
      <c r="J117">
        <f t="shared" si="18"/>
        <v>0.11872509844252688</v>
      </c>
      <c r="K117">
        <f t="shared" si="19"/>
        <v>-0.73792057297601199</v>
      </c>
      <c r="L117">
        <v>1</v>
      </c>
      <c r="M117">
        <f t="shared" si="20"/>
        <v>0.48572254974492979</v>
      </c>
      <c r="N117">
        <f t="shared" si="24"/>
        <v>0.1041605796</v>
      </c>
      <c r="O117">
        <f t="shared" si="22"/>
        <v>5.1742471704000002E-2</v>
      </c>
      <c r="P117">
        <f t="shared" si="23"/>
        <v>9.6294971927082196E-2</v>
      </c>
      <c r="V117">
        <v>5.3</v>
      </c>
      <c r="W117">
        <f t="shared" si="21"/>
        <v>-0.73546</v>
      </c>
    </row>
    <row r="118" spans="1:23" x14ac:dyDescent="0.3">
      <c r="A118">
        <v>5.6848516500000006</v>
      </c>
      <c r="B118">
        <v>0.43908000000000003</v>
      </c>
      <c r="C118">
        <f t="shared" si="14"/>
        <v>2.4961046624820002</v>
      </c>
      <c r="D118">
        <v>1.8499999999999999E-2</v>
      </c>
      <c r="E118">
        <v>9.1900000000000003E-3</v>
      </c>
      <c r="F118">
        <f t="shared" si="15"/>
        <v>1136.9703300000001</v>
      </c>
      <c r="G118">
        <f t="shared" si="16"/>
        <v>-0.43908000000000003</v>
      </c>
      <c r="H118">
        <f t="shared" si="17"/>
        <v>-499.22093249640005</v>
      </c>
      <c r="I118">
        <v>1</v>
      </c>
      <c r="J118">
        <f t="shared" si="18"/>
        <v>0.12836711944111154</v>
      </c>
      <c r="K118">
        <f t="shared" si="19"/>
        <v>-0.74083057297601196</v>
      </c>
      <c r="L118">
        <v>1</v>
      </c>
      <c r="M118">
        <f t="shared" si="20"/>
        <v>0.48618729515706155</v>
      </c>
      <c r="N118">
        <f t="shared" si="24"/>
        <v>0.10516975552500001</v>
      </c>
      <c r="O118">
        <f t="shared" si="22"/>
        <v>5.2243786663500005E-2</v>
      </c>
      <c r="P118">
        <f t="shared" si="23"/>
        <v>9.7229735630450384E-2</v>
      </c>
      <c r="V118">
        <v>5.4</v>
      </c>
      <c r="W118">
        <f t="shared" si="21"/>
        <v>-0.74028000000000005</v>
      </c>
    </row>
    <row r="119" spans="1:23" x14ac:dyDescent="0.3">
      <c r="A119">
        <v>5.7345311000000008</v>
      </c>
      <c r="B119">
        <v>0.43641999999999997</v>
      </c>
      <c r="C119">
        <f t="shared" si="14"/>
        <v>2.5026640626620003</v>
      </c>
      <c r="D119">
        <v>1.8499999999999999E-2</v>
      </c>
      <c r="E119">
        <v>9.1900000000000003E-3</v>
      </c>
      <c r="F119">
        <f t="shared" si="15"/>
        <v>1146.9062200000001</v>
      </c>
      <c r="G119">
        <f t="shared" si="16"/>
        <v>-0.43641999999999997</v>
      </c>
      <c r="H119">
        <f t="shared" si="17"/>
        <v>-500.53281253240004</v>
      </c>
      <c r="I119">
        <v>1</v>
      </c>
      <c r="J119">
        <f t="shared" si="18"/>
        <v>0.1370680736886567</v>
      </c>
      <c r="K119">
        <f t="shared" si="19"/>
        <v>-0.74349057297601195</v>
      </c>
      <c r="L119">
        <v>1</v>
      </c>
      <c r="M119">
        <f t="shared" si="20"/>
        <v>0.48660668115179323</v>
      </c>
      <c r="N119">
        <f t="shared" si="24"/>
        <v>0.10608882535000001</v>
      </c>
      <c r="O119">
        <f t="shared" si="22"/>
        <v>5.2700340809000011E-2</v>
      </c>
      <c r="P119">
        <f t="shared" si="23"/>
        <v>9.8094725665218679E-2</v>
      </c>
      <c r="V119">
        <v>5.5</v>
      </c>
      <c r="W119">
        <f t="shared" si="21"/>
        <v>-0.74509999999999998</v>
      </c>
    </row>
    <row r="120" spans="1:23" x14ac:dyDescent="0.3">
      <c r="A120">
        <v>5.7827496499999995</v>
      </c>
      <c r="B120">
        <v>0.43375000000000002</v>
      </c>
      <c r="C120">
        <f t="shared" si="14"/>
        <v>2.5082676606874998</v>
      </c>
      <c r="D120">
        <v>1.8499999999999999E-2</v>
      </c>
      <c r="E120">
        <v>9.1900000000000003E-3</v>
      </c>
      <c r="F120">
        <f t="shared" si="15"/>
        <v>1156.5499299999999</v>
      </c>
      <c r="G120">
        <f t="shared" si="16"/>
        <v>-0.43375000000000002</v>
      </c>
      <c r="H120">
        <f t="shared" si="17"/>
        <v>-501.65353213749995</v>
      </c>
      <c r="I120">
        <v>1</v>
      </c>
      <c r="J120">
        <f t="shared" si="18"/>
        <v>0.1454413751253342</v>
      </c>
      <c r="K120">
        <f t="shared" si="19"/>
        <v>-0.7461605729760119</v>
      </c>
      <c r="L120">
        <v>1</v>
      </c>
      <c r="M120">
        <f t="shared" si="20"/>
        <v>0.4870102742810411</v>
      </c>
      <c r="N120">
        <f t="shared" si="24"/>
        <v>0.10698086852499998</v>
      </c>
      <c r="O120">
        <f t="shared" si="22"/>
        <v>5.31434692835E-2</v>
      </c>
      <c r="P120">
        <f t="shared" si="23"/>
        <v>9.902596088647081E-2</v>
      </c>
      <c r="V120">
        <v>5.6</v>
      </c>
      <c r="W120">
        <f t="shared" si="21"/>
        <v>-0.74991999999999992</v>
      </c>
    </row>
    <row r="121" spans="1:23" x14ac:dyDescent="0.3">
      <c r="A121">
        <v>5.8334038000000001</v>
      </c>
      <c r="B121">
        <v>0.43146000000000001</v>
      </c>
      <c r="C121">
        <f t="shared" si="14"/>
        <v>2.5168804035479999</v>
      </c>
      <c r="D121">
        <v>1.8499999999999999E-2</v>
      </c>
      <c r="E121">
        <v>9.1900000000000003E-3</v>
      </c>
      <c r="F121">
        <f t="shared" si="15"/>
        <v>1166.68076</v>
      </c>
      <c r="G121">
        <f t="shared" si="16"/>
        <v>-0.43146000000000001</v>
      </c>
      <c r="H121">
        <f t="shared" si="17"/>
        <v>-503.37608070959999</v>
      </c>
      <c r="I121">
        <v>1</v>
      </c>
      <c r="J121">
        <f t="shared" si="18"/>
        <v>0.15416275975429566</v>
      </c>
      <c r="K121">
        <f t="shared" si="19"/>
        <v>-0.74845057297601203</v>
      </c>
      <c r="L121">
        <v>1</v>
      </c>
      <c r="M121">
        <f t="shared" si="20"/>
        <v>0.48743064502015704</v>
      </c>
      <c r="N121">
        <f t="shared" si="24"/>
        <v>0.1079179703</v>
      </c>
      <c r="O121">
        <f t="shared" si="22"/>
        <v>5.3608980922000005E-2</v>
      </c>
      <c r="P121">
        <f t="shared" si="23"/>
        <v>9.9492976733854988E-2</v>
      </c>
      <c r="V121">
        <v>5.7</v>
      </c>
      <c r="W121">
        <f t="shared" si="21"/>
        <v>-0.75473999999999997</v>
      </c>
    </row>
    <row r="122" spans="1:23" x14ac:dyDescent="0.3">
      <c r="A122">
        <v>5.8821085500000008</v>
      </c>
      <c r="B122">
        <v>0.42874000000000001</v>
      </c>
      <c r="C122">
        <f t="shared" si="14"/>
        <v>2.5218952197270004</v>
      </c>
      <c r="D122">
        <v>1.8499999999999999E-2</v>
      </c>
      <c r="E122">
        <v>9.1900000000000003E-3</v>
      </c>
      <c r="F122">
        <f t="shared" si="15"/>
        <v>1176.4217100000001</v>
      </c>
      <c r="G122">
        <f t="shared" si="16"/>
        <v>-0.42874000000000001</v>
      </c>
      <c r="H122">
        <f t="shared" si="17"/>
        <v>-504.3790439454001</v>
      </c>
      <c r="I122">
        <v>1</v>
      </c>
      <c r="J122">
        <f t="shared" si="18"/>
        <v>0.16247738213469523</v>
      </c>
      <c r="K122">
        <f t="shared" si="19"/>
        <v>-0.75117057297601197</v>
      </c>
      <c r="L122">
        <v>1</v>
      </c>
      <c r="M122">
        <f t="shared" si="20"/>
        <v>0.48783140981889228</v>
      </c>
      <c r="N122">
        <f t="shared" si="24"/>
        <v>0.10881900817500001</v>
      </c>
      <c r="O122">
        <f t="shared" si="22"/>
        <v>5.4056577574500012E-2</v>
      </c>
      <c r="P122">
        <f t="shared" si="23"/>
        <v>0.10046357740761967</v>
      </c>
      <c r="V122">
        <v>5.8</v>
      </c>
      <c r="W122">
        <f t="shared" si="21"/>
        <v>-0.75956000000000001</v>
      </c>
    </row>
    <row r="123" spans="1:23" x14ac:dyDescent="0.3">
      <c r="A123">
        <v>5.9317889500000005</v>
      </c>
      <c r="B123">
        <v>0.42623</v>
      </c>
      <c r="C123">
        <f t="shared" si="14"/>
        <v>2.5283064041585002</v>
      </c>
      <c r="D123">
        <v>1.8499999999999999E-2</v>
      </c>
      <c r="E123">
        <v>9.1900000000000003E-3</v>
      </c>
      <c r="F123">
        <f t="shared" si="15"/>
        <v>1186.35779</v>
      </c>
      <c r="G123">
        <f t="shared" si="16"/>
        <v>-0.42623</v>
      </c>
      <c r="H123">
        <f t="shared" si="17"/>
        <v>-505.66128083170003</v>
      </c>
      <c r="I123">
        <v>1</v>
      </c>
      <c r="J123">
        <f t="shared" si="18"/>
        <v>0.1708879329888407</v>
      </c>
      <c r="K123">
        <f t="shared" si="19"/>
        <v>-0.75368057297601199</v>
      </c>
      <c r="L123">
        <v>1</v>
      </c>
      <c r="M123">
        <f t="shared" si="20"/>
        <v>0.48823679837006212</v>
      </c>
      <c r="N123">
        <f t="shared" si="24"/>
        <v>0.109738095575</v>
      </c>
      <c r="O123">
        <f t="shared" si="22"/>
        <v>5.4513140450500007E-2</v>
      </c>
      <c r="P123">
        <f t="shared" si="23"/>
        <v>0.10119253858044985</v>
      </c>
      <c r="V123">
        <v>5.9</v>
      </c>
      <c r="W123">
        <f t="shared" si="21"/>
        <v>-0.76438000000000006</v>
      </c>
    </row>
    <row r="124" spans="1:23" x14ac:dyDescent="0.3">
      <c r="A124">
        <v>5.9800065500000006</v>
      </c>
      <c r="B124">
        <v>0.42359000000000002</v>
      </c>
      <c r="C124">
        <f t="shared" si="14"/>
        <v>2.5330709745145006</v>
      </c>
      <c r="D124">
        <v>1.8499999999999999E-2</v>
      </c>
      <c r="E124">
        <v>9.1900000000000003E-3</v>
      </c>
      <c r="F124">
        <f t="shared" si="15"/>
        <v>1196.0013100000001</v>
      </c>
      <c r="G124">
        <f t="shared" si="16"/>
        <v>-0.42359000000000002</v>
      </c>
      <c r="H124">
        <f t="shared" si="17"/>
        <v>-506.61419490290012</v>
      </c>
      <c r="I124">
        <v>1</v>
      </c>
      <c r="J124">
        <f t="shared" si="18"/>
        <v>0.17898375084556606</v>
      </c>
      <c r="K124">
        <f t="shared" si="19"/>
        <v>-0.75632057297601196</v>
      </c>
      <c r="L124">
        <v>1</v>
      </c>
      <c r="M124">
        <f t="shared" si="20"/>
        <v>0.48862701679075626</v>
      </c>
      <c r="N124">
        <f t="shared" si="24"/>
        <v>0.110630121175</v>
      </c>
      <c r="O124">
        <f t="shared" si="22"/>
        <v>5.4956260194500006E-2</v>
      </c>
      <c r="P124">
        <f t="shared" si="23"/>
        <v>0.10210717481575571</v>
      </c>
      <c r="V124">
        <v>6</v>
      </c>
      <c r="W124">
        <f t="shared" si="21"/>
        <v>-0.76919999999999999</v>
      </c>
    </row>
    <row r="125" spans="1:23" x14ac:dyDescent="0.3">
      <c r="A125">
        <v>6.0287126999999998</v>
      </c>
      <c r="B125">
        <v>0.42121999999999998</v>
      </c>
      <c r="C125">
        <f t="shared" si="14"/>
        <v>2.5394143634939996</v>
      </c>
      <c r="D125">
        <v>1.8499999999999999E-2</v>
      </c>
      <c r="E125">
        <v>9.1900000000000003E-3</v>
      </c>
      <c r="F125">
        <f t="shared" si="15"/>
        <v>1205.74254</v>
      </c>
      <c r="G125">
        <f t="shared" si="16"/>
        <v>-0.42121999999999998</v>
      </c>
      <c r="H125">
        <f t="shared" si="17"/>
        <v>-507.88287269879993</v>
      </c>
      <c r="I125">
        <v>1</v>
      </c>
      <c r="J125">
        <f t="shared" si="18"/>
        <v>0.18709559292727782</v>
      </c>
      <c r="K125">
        <f t="shared" si="19"/>
        <v>-0.75869057297601206</v>
      </c>
      <c r="L125">
        <v>1</v>
      </c>
      <c r="M125">
        <f t="shared" si="20"/>
        <v>0.48901800757909475</v>
      </c>
      <c r="N125">
        <f t="shared" si="24"/>
        <v>0.11153118494999999</v>
      </c>
      <c r="O125">
        <f t="shared" si="22"/>
        <v>5.5403869713000001E-2</v>
      </c>
      <c r="P125">
        <f t="shared" si="23"/>
        <v>0.10273751073391733</v>
      </c>
      <c r="V125">
        <v>6.1</v>
      </c>
      <c r="W125">
        <f t="shared" si="21"/>
        <v>-0.77401999999999993</v>
      </c>
    </row>
    <row r="126" spans="1:23" x14ac:dyDescent="0.3">
      <c r="A126">
        <v>6.0793659</v>
      </c>
      <c r="B126">
        <v>0.41833999999999999</v>
      </c>
      <c r="C126">
        <f t="shared" si="14"/>
        <v>2.5432419306059999</v>
      </c>
      <c r="D126">
        <v>1.8499999999999999E-2</v>
      </c>
      <c r="E126">
        <v>9.1900000000000003E-3</v>
      </c>
      <c r="F126">
        <f t="shared" si="15"/>
        <v>1215.87318</v>
      </c>
      <c r="G126">
        <f t="shared" si="16"/>
        <v>-0.41833999999999999</v>
      </c>
      <c r="H126">
        <f t="shared" si="17"/>
        <v>-508.64838612119996</v>
      </c>
      <c r="I126">
        <v>1</v>
      </c>
      <c r="J126">
        <f t="shared" si="18"/>
        <v>0.19546248534194899</v>
      </c>
      <c r="K126">
        <f t="shared" si="19"/>
        <v>-0.76157057297601205</v>
      </c>
      <c r="L126">
        <v>1</v>
      </c>
      <c r="M126">
        <f t="shared" si="20"/>
        <v>0.48942129179348193</v>
      </c>
      <c r="N126">
        <f t="shared" si="24"/>
        <v>0.11246826914999999</v>
      </c>
      <c r="O126">
        <f t="shared" si="22"/>
        <v>5.5869372621000002E-2</v>
      </c>
      <c r="P126">
        <f t="shared" si="23"/>
        <v>0.10381163941153013</v>
      </c>
      <c r="V126">
        <v>6.2</v>
      </c>
      <c r="W126">
        <f t="shared" si="21"/>
        <v>-0.77883999999999998</v>
      </c>
    </row>
    <row r="127" spans="1:23" x14ac:dyDescent="0.3">
      <c r="A127">
        <v>6.1290454499999996</v>
      </c>
      <c r="B127">
        <v>0.41589999999999999</v>
      </c>
      <c r="C127">
        <f t="shared" si="14"/>
        <v>2.5490700026549997</v>
      </c>
      <c r="D127">
        <v>1.8499999999999999E-2</v>
      </c>
      <c r="E127">
        <v>9.1900000000000003E-3</v>
      </c>
      <c r="F127">
        <f t="shared" si="15"/>
        <v>1225.80909</v>
      </c>
      <c r="G127">
        <f t="shared" si="16"/>
        <v>-0.41589999999999999</v>
      </c>
      <c r="H127">
        <f t="shared" si="17"/>
        <v>-509.81400053099992</v>
      </c>
      <c r="I127">
        <v>1</v>
      </c>
      <c r="J127">
        <f t="shared" si="18"/>
        <v>0.20360110760734426</v>
      </c>
      <c r="K127">
        <f t="shared" si="19"/>
        <v>-0.76401057297601205</v>
      </c>
      <c r="L127">
        <v>1</v>
      </c>
      <c r="M127">
        <f t="shared" si="20"/>
        <v>0.48981357338667397</v>
      </c>
      <c r="N127">
        <f t="shared" si="24"/>
        <v>0.11338734082499999</v>
      </c>
      <c r="O127">
        <f t="shared" si="22"/>
        <v>5.6325927685499995E-2</v>
      </c>
      <c r="P127">
        <f t="shared" si="23"/>
        <v>0.1044837310788381</v>
      </c>
      <c r="V127">
        <v>6.3</v>
      </c>
      <c r="W127">
        <f t="shared" si="21"/>
        <v>-0.78366000000000002</v>
      </c>
    </row>
    <row r="128" spans="1:23" x14ac:dyDescent="0.3">
      <c r="A128">
        <v>6.1801868000000004</v>
      </c>
      <c r="B128">
        <v>0.41287000000000001</v>
      </c>
      <c r="C128">
        <f t="shared" si="14"/>
        <v>2.5516137241160002</v>
      </c>
      <c r="D128">
        <v>1.8499999999999999E-2</v>
      </c>
      <c r="E128">
        <v>9.1900000000000003E-3</v>
      </c>
      <c r="F128">
        <f t="shared" si="15"/>
        <v>1236.03736</v>
      </c>
      <c r="G128">
        <f t="shared" si="16"/>
        <v>-0.41287000000000001</v>
      </c>
      <c r="H128">
        <f t="shared" si="17"/>
        <v>-510.32274482320003</v>
      </c>
      <c r="I128">
        <v>1</v>
      </c>
      <c r="J128">
        <f t="shared" si="18"/>
        <v>0.21191058511590335</v>
      </c>
      <c r="K128">
        <f t="shared" si="19"/>
        <v>-0.76704057297601191</v>
      </c>
      <c r="L128">
        <v>1</v>
      </c>
      <c r="M128">
        <f t="shared" si="20"/>
        <v>0.49021409020258655</v>
      </c>
      <c r="N128">
        <f t="shared" si="24"/>
        <v>0.1143334558</v>
      </c>
      <c r="O128">
        <f t="shared" si="22"/>
        <v>5.6795916692000008E-2</v>
      </c>
      <c r="P128">
        <f t="shared" si="23"/>
        <v>0.10569711028142537</v>
      </c>
      <c r="V128">
        <v>6.4</v>
      </c>
      <c r="W128">
        <f t="shared" si="21"/>
        <v>-0.78848000000000007</v>
      </c>
    </row>
    <row r="129" spans="1:23" x14ac:dyDescent="0.3">
      <c r="A129">
        <v>6.2308406000000005</v>
      </c>
      <c r="B129">
        <v>0.41076000000000001</v>
      </c>
      <c r="C129">
        <f t="shared" si="14"/>
        <v>2.5593800848560004</v>
      </c>
      <c r="D129">
        <v>1.8499999999999999E-2</v>
      </c>
      <c r="E129">
        <v>9.1900000000000003E-3</v>
      </c>
      <c r="F129">
        <f t="shared" si="15"/>
        <v>1246.16812</v>
      </c>
      <c r="G129">
        <f t="shared" si="16"/>
        <v>-0.41076000000000001</v>
      </c>
      <c r="H129">
        <f t="shared" si="17"/>
        <v>-511.8760169712001</v>
      </c>
      <c r="I129">
        <v>1</v>
      </c>
      <c r="J129">
        <f t="shared" si="18"/>
        <v>0.22007333903218915</v>
      </c>
      <c r="K129">
        <f t="shared" si="19"/>
        <v>-0.76915057297601197</v>
      </c>
      <c r="L129">
        <v>1</v>
      </c>
      <c r="M129">
        <f t="shared" si="20"/>
        <v>0.49060753494135151</v>
      </c>
      <c r="N129">
        <f t="shared" si="24"/>
        <v>0.11527055110000001</v>
      </c>
      <c r="O129">
        <f t="shared" si="22"/>
        <v>5.7261425114000009E-2</v>
      </c>
      <c r="P129">
        <f t="shared" si="23"/>
        <v>0.10601106182066045</v>
      </c>
      <c r="V129">
        <v>6.5</v>
      </c>
      <c r="W129">
        <f t="shared" si="21"/>
        <v>-0.79330000000000001</v>
      </c>
    </row>
    <row r="130" spans="1:23" x14ac:dyDescent="0.3">
      <c r="A130">
        <v>6.2819810500000006</v>
      </c>
      <c r="B130">
        <v>0.40786</v>
      </c>
      <c r="C130">
        <f t="shared" si="14"/>
        <v>2.5621687910530002</v>
      </c>
      <c r="D130">
        <v>1.8499999999999999E-2</v>
      </c>
      <c r="E130">
        <v>9.1900000000000003E-3</v>
      </c>
      <c r="F130">
        <f t="shared" si="15"/>
        <v>1256.3962100000001</v>
      </c>
      <c r="G130">
        <f t="shared" si="16"/>
        <v>-0.40786</v>
      </c>
      <c r="H130">
        <f t="shared" si="17"/>
        <v>-512.43375821059999</v>
      </c>
      <c r="I130">
        <v>1</v>
      </c>
      <c r="J130">
        <f t="shared" si="18"/>
        <v>0.22824747212256752</v>
      </c>
      <c r="K130">
        <f t="shared" si="19"/>
        <v>-0.77205057297601198</v>
      </c>
      <c r="L130">
        <v>1</v>
      </c>
      <c r="M130">
        <f t="shared" si="20"/>
        <v>0.49100152815630771</v>
      </c>
      <c r="N130">
        <f t="shared" si="24"/>
        <v>0.11621664942500001</v>
      </c>
      <c r="O130">
        <f t="shared" si="22"/>
        <v>5.7731405849500005E-2</v>
      </c>
      <c r="P130">
        <f t="shared" si="23"/>
        <v>0.10710098954520425</v>
      </c>
      <c r="V130">
        <v>6.6</v>
      </c>
      <c r="W130">
        <f t="shared" si="21"/>
        <v>-0.79811999999999994</v>
      </c>
    </row>
    <row r="131" spans="1:23" x14ac:dyDescent="0.3">
      <c r="A131">
        <v>6.3316614500000004</v>
      </c>
      <c r="B131">
        <v>0.40523999999999999</v>
      </c>
      <c r="C131">
        <f t="shared" si="14"/>
        <v>2.565842485998</v>
      </c>
      <c r="D131">
        <v>1.8499999999999999E-2</v>
      </c>
      <c r="E131">
        <v>9.1900000000000003E-3</v>
      </c>
      <c r="F131">
        <f t="shared" si="15"/>
        <v>1266.3322900000001</v>
      </c>
      <c r="G131">
        <f t="shared" si="16"/>
        <v>-0.40523999999999999</v>
      </c>
      <c r="H131">
        <f t="shared" si="17"/>
        <v>-513.16849719959998</v>
      </c>
      <c r="I131">
        <v>1</v>
      </c>
      <c r="J131">
        <f t="shared" si="18"/>
        <v>0.23612476163601287</v>
      </c>
      <c r="K131">
        <f t="shared" si="19"/>
        <v>-0.77467057297601194</v>
      </c>
      <c r="L131">
        <v>1</v>
      </c>
      <c r="M131">
        <f t="shared" si="20"/>
        <v>0.49138121351085579</v>
      </c>
      <c r="N131">
        <f t="shared" si="24"/>
        <v>0.117135736825</v>
      </c>
      <c r="O131">
        <f t="shared" si="22"/>
        <v>5.8187968725500007E-2</v>
      </c>
      <c r="P131">
        <f t="shared" si="23"/>
        <v>0.10796565391465615</v>
      </c>
      <c r="V131">
        <v>6.7</v>
      </c>
      <c r="W131">
        <f t="shared" si="21"/>
        <v>-0.80293999999999999</v>
      </c>
    </row>
    <row r="132" spans="1:23" x14ac:dyDescent="0.3">
      <c r="A132">
        <v>6.3837757000000002</v>
      </c>
      <c r="B132">
        <v>0.40298</v>
      </c>
      <c r="C132">
        <f t="shared" si="14"/>
        <v>2.5725339315860003</v>
      </c>
      <c r="D132">
        <v>1.8499999999999999E-2</v>
      </c>
      <c r="E132">
        <v>9.1900000000000003E-3</v>
      </c>
      <c r="F132">
        <f t="shared" si="15"/>
        <v>1276.75514</v>
      </c>
      <c r="G132">
        <f t="shared" si="16"/>
        <v>-0.40298</v>
      </c>
      <c r="H132">
        <f t="shared" si="17"/>
        <v>-514.50678631720007</v>
      </c>
      <c r="I132">
        <v>1</v>
      </c>
      <c r="J132">
        <f t="shared" si="18"/>
        <v>0.2443218123843893</v>
      </c>
      <c r="K132">
        <f t="shared" si="19"/>
        <v>-0.77693057297601198</v>
      </c>
      <c r="L132">
        <v>1</v>
      </c>
      <c r="M132">
        <f t="shared" si="20"/>
        <v>0.49177631135692756</v>
      </c>
      <c r="N132">
        <f t="shared" si="24"/>
        <v>0.11809985045</v>
      </c>
      <c r="O132">
        <f t="shared" si="22"/>
        <v>5.8666898683000006E-2</v>
      </c>
      <c r="P132">
        <f t="shared" si="23"/>
        <v>0.10838751248608441</v>
      </c>
      <c r="V132">
        <v>6.8</v>
      </c>
      <c r="W132">
        <f t="shared" si="21"/>
        <v>-0.80776000000000003</v>
      </c>
    </row>
    <row r="133" spans="1:23" x14ac:dyDescent="0.3">
      <c r="A133">
        <v>6.4329684499999997</v>
      </c>
      <c r="B133">
        <v>0.39994000000000002</v>
      </c>
      <c r="C133">
        <f t="shared" ref="C133:C196" si="25">A133*B133</f>
        <v>2.5728014018929999</v>
      </c>
      <c r="D133">
        <v>1.8499999999999999E-2</v>
      </c>
      <c r="E133">
        <v>9.1900000000000003E-3</v>
      </c>
      <c r="F133">
        <f t="shared" ref="F133:F196" si="26">A133*200</f>
        <v>1286.5936899999999</v>
      </c>
      <c r="G133">
        <f t="shared" ref="G133:G144" si="27">-B133</f>
        <v>-0.39994000000000002</v>
      </c>
      <c r="H133">
        <f t="shared" ref="H133:H196" si="28">-C133*200</f>
        <v>-514.56028037859994</v>
      </c>
      <c r="I133">
        <v>1</v>
      </c>
      <c r="J133">
        <f t="shared" ref="J133:J196" si="29">LN(F133/1000)</f>
        <v>0.25199817558354459</v>
      </c>
      <c r="K133">
        <f t="shared" ref="K133:K187" si="30">((-G133)-$N$2)</f>
        <v>-0.77997057297601202</v>
      </c>
      <c r="L133">
        <v>1</v>
      </c>
      <c r="M133">
        <f t="shared" ref="M133:M196" si="31">-1*($S$4+($S$5*J133))</f>
        <v>0.49214631206312681</v>
      </c>
      <c r="N133">
        <f t="shared" si="24"/>
        <v>0.11900991632499999</v>
      </c>
      <c r="O133">
        <f t="shared" si="22"/>
        <v>5.9118980055500002E-2</v>
      </c>
      <c r="P133">
        <f t="shared" si="23"/>
        <v>0.10969536453238521</v>
      </c>
      <c r="V133">
        <v>6.9</v>
      </c>
      <c r="W133">
        <f t="shared" ref="W133:W139" si="32">V133*$S$5+$S$4</f>
        <v>-0.81258000000000008</v>
      </c>
    </row>
    <row r="134" spans="1:23" x14ac:dyDescent="0.3">
      <c r="A134">
        <v>6.4841089499999995</v>
      </c>
      <c r="B134">
        <v>0.39738000000000001</v>
      </c>
      <c r="C134">
        <f t="shared" si="25"/>
        <v>2.5766552145509998</v>
      </c>
      <c r="D134">
        <v>1.8499999999999999E-2</v>
      </c>
      <c r="E134">
        <v>9.1900000000000003E-3</v>
      </c>
      <c r="F134">
        <f t="shared" si="26"/>
        <v>1296.82179</v>
      </c>
      <c r="G134">
        <f t="shared" si="27"/>
        <v>-0.39738000000000001</v>
      </c>
      <c r="H134">
        <f t="shared" si="28"/>
        <v>-515.33104291019993</v>
      </c>
      <c r="I134">
        <v>1</v>
      </c>
      <c r="J134">
        <f t="shared" si="29"/>
        <v>0.25991649419760682</v>
      </c>
      <c r="K134">
        <f t="shared" si="30"/>
        <v>-0.78253057297601192</v>
      </c>
      <c r="L134">
        <v>1</v>
      </c>
      <c r="M134">
        <f t="shared" si="31"/>
        <v>0.49252797502032464</v>
      </c>
      <c r="N134">
        <f t="shared" si="24"/>
        <v>0.11995601557499999</v>
      </c>
      <c r="O134">
        <f t="shared" ref="O134:O144" si="33">E134*A134</f>
        <v>5.9588961250499999E-2</v>
      </c>
      <c r="P134">
        <f t="shared" ref="P134:P144" si="34">-K134-M134-N134-O134</f>
        <v>0.11045762113018728</v>
      </c>
      <c r="V134">
        <v>7</v>
      </c>
      <c r="W134">
        <f t="shared" si="32"/>
        <v>-0.8173999999999999</v>
      </c>
    </row>
    <row r="135" spans="1:23" x14ac:dyDescent="0.3">
      <c r="A135">
        <v>6.5323274500000004</v>
      </c>
      <c r="B135">
        <v>0.39461000000000002</v>
      </c>
      <c r="C135">
        <f t="shared" si="25"/>
        <v>2.5777217350445003</v>
      </c>
      <c r="D135">
        <v>1.8499999999999999E-2</v>
      </c>
      <c r="E135">
        <v>9.1900000000000003E-3</v>
      </c>
      <c r="F135">
        <f t="shared" si="26"/>
        <v>1306.46549</v>
      </c>
      <c r="G135">
        <f t="shared" si="27"/>
        <v>-0.39461000000000002</v>
      </c>
      <c r="H135">
        <f t="shared" si="28"/>
        <v>-515.5443470089001</v>
      </c>
      <c r="I135">
        <v>1</v>
      </c>
      <c r="J135">
        <f t="shared" si="29"/>
        <v>0.26732539154624319</v>
      </c>
      <c r="K135">
        <f t="shared" si="30"/>
        <v>-0.78530057297601197</v>
      </c>
      <c r="L135">
        <v>1</v>
      </c>
      <c r="M135">
        <f t="shared" si="31"/>
        <v>0.49288508387252888</v>
      </c>
      <c r="N135">
        <f t="shared" ref="N135:N144" si="35">D135*A135</f>
        <v>0.12084805782500001</v>
      </c>
      <c r="O135">
        <f t="shared" si="33"/>
        <v>6.0032089265500008E-2</v>
      </c>
      <c r="P135">
        <f t="shared" si="34"/>
        <v>0.11153534201298305</v>
      </c>
      <c r="V135">
        <v>7.1</v>
      </c>
      <c r="W135">
        <f t="shared" si="32"/>
        <v>-0.82221999999999995</v>
      </c>
    </row>
    <row r="136" spans="1:23" x14ac:dyDescent="0.3">
      <c r="A136">
        <v>6.5805458999999997</v>
      </c>
      <c r="B136">
        <v>0.39216000000000001</v>
      </c>
      <c r="C136">
        <f t="shared" si="25"/>
        <v>2.580626880144</v>
      </c>
      <c r="D136">
        <v>1.8499999999999999E-2</v>
      </c>
      <c r="E136">
        <v>9.1900000000000003E-3</v>
      </c>
      <c r="F136">
        <f t="shared" si="26"/>
        <v>1316.1091799999999</v>
      </c>
      <c r="G136">
        <f t="shared" si="27"/>
        <v>-0.39216000000000001</v>
      </c>
      <c r="H136">
        <f t="shared" si="28"/>
        <v>-516.12537602880002</v>
      </c>
      <c r="I136">
        <v>1</v>
      </c>
      <c r="J136">
        <f t="shared" si="29"/>
        <v>0.27467979298767836</v>
      </c>
      <c r="K136">
        <f t="shared" si="30"/>
        <v>-0.78775057297601192</v>
      </c>
      <c r="L136">
        <v>1</v>
      </c>
      <c r="M136">
        <f t="shared" si="31"/>
        <v>0.49323956602200608</v>
      </c>
      <c r="N136">
        <f t="shared" si="35"/>
        <v>0.12174009914999999</v>
      </c>
      <c r="O136">
        <f t="shared" si="33"/>
        <v>6.0475216821000002E-2</v>
      </c>
      <c r="P136">
        <f t="shared" si="34"/>
        <v>0.11229569098300583</v>
      </c>
      <c r="V136">
        <v>7.2</v>
      </c>
      <c r="W136">
        <f t="shared" si="32"/>
        <v>-0.82704</v>
      </c>
    </row>
    <row r="137" spans="1:23" x14ac:dyDescent="0.3">
      <c r="A137">
        <v>6.6297392500000001</v>
      </c>
      <c r="B137">
        <v>0.38989000000000001</v>
      </c>
      <c r="C137">
        <f t="shared" si="25"/>
        <v>2.5848690361825</v>
      </c>
      <c r="D137">
        <v>1.8499999999999999E-2</v>
      </c>
      <c r="E137">
        <v>9.1900000000000003E-3</v>
      </c>
      <c r="F137">
        <f t="shared" si="26"/>
        <v>1325.94785</v>
      </c>
      <c r="G137">
        <f t="shared" si="27"/>
        <v>-0.38989000000000001</v>
      </c>
      <c r="H137">
        <f t="shared" si="28"/>
        <v>-516.97380723649997</v>
      </c>
      <c r="I137">
        <v>1</v>
      </c>
      <c r="J137">
        <f t="shared" si="29"/>
        <v>0.28212756218182639</v>
      </c>
      <c r="K137">
        <f t="shared" si="30"/>
        <v>-0.79002057297601191</v>
      </c>
      <c r="L137">
        <v>1</v>
      </c>
      <c r="M137">
        <f t="shared" si="31"/>
        <v>0.493598548497164</v>
      </c>
      <c r="N137">
        <f t="shared" si="35"/>
        <v>0.122650176125</v>
      </c>
      <c r="O137">
        <f t="shared" si="33"/>
        <v>6.0927303707500005E-2</v>
      </c>
      <c r="P137">
        <f t="shared" si="34"/>
        <v>0.1128445446463479</v>
      </c>
      <c r="V137">
        <v>7.3</v>
      </c>
      <c r="W137">
        <f t="shared" si="32"/>
        <v>-0.83186000000000004</v>
      </c>
    </row>
    <row r="138" spans="1:23" x14ac:dyDescent="0.3">
      <c r="A138">
        <v>6.6779573000000001</v>
      </c>
      <c r="B138">
        <v>0.38686999999999999</v>
      </c>
      <c r="C138">
        <f t="shared" si="25"/>
        <v>2.5835013406509999</v>
      </c>
      <c r="D138">
        <v>1.8499999999999999E-2</v>
      </c>
      <c r="E138">
        <v>9.1900000000000003E-3</v>
      </c>
      <c r="F138">
        <f t="shared" si="26"/>
        <v>1335.5914600000001</v>
      </c>
      <c r="G138">
        <f t="shared" si="27"/>
        <v>-0.38686999999999999</v>
      </c>
      <c r="H138">
        <f t="shared" si="28"/>
        <v>-516.70026813020002</v>
      </c>
      <c r="I138">
        <v>1</v>
      </c>
      <c r="J138">
        <f t="shared" si="29"/>
        <v>0.28937423493694087</v>
      </c>
      <c r="K138">
        <f t="shared" si="30"/>
        <v>-0.79304057297601194</v>
      </c>
      <c r="L138">
        <v>1</v>
      </c>
      <c r="M138">
        <f t="shared" si="31"/>
        <v>0.49394783812396054</v>
      </c>
      <c r="N138">
        <f t="shared" si="35"/>
        <v>0.12354221004999999</v>
      </c>
      <c r="O138">
        <f t="shared" si="33"/>
        <v>6.1370427587000002E-2</v>
      </c>
      <c r="P138">
        <f t="shared" si="34"/>
        <v>0.1141800972150514</v>
      </c>
      <c r="V138">
        <v>7.4</v>
      </c>
      <c r="W138">
        <f t="shared" si="32"/>
        <v>-0.83667999999999998</v>
      </c>
    </row>
    <row r="139" spans="1:23" x14ac:dyDescent="0.3">
      <c r="A139">
        <v>6.7266624000000004</v>
      </c>
      <c r="B139">
        <v>0.38429000000000002</v>
      </c>
      <c r="C139">
        <f t="shared" si="25"/>
        <v>2.5849890936960005</v>
      </c>
      <c r="D139">
        <v>1.8499999999999999E-2</v>
      </c>
      <c r="E139">
        <v>9.1900000000000003E-3</v>
      </c>
      <c r="F139">
        <f t="shared" si="26"/>
        <v>1345.33248</v>
      </c>
      <c r="G139">
        <f t="shared" si="27"/>
        <v>-0.38429000000000002</v>
      </c>
      <c r="H139">
        <f t="shared" si="28"/>
        <v>-516.99781873920006</v>
      </c>
      <c r="I139">
        <v>1</v>
      </c>
      <c r="J139">
        <f t="shared" si="29"/>
        <v>0.29664117953167402</v>
      </c>
      <c r="K139">
        <f t="shared" si="30"/>
        <v>-0.79562057297601196</v>
      </c>
      <c r="L139">
        <v>1</v>
      </c>
      <c r="M139">
        <f t="shared" si="31"/>
        <v>0.49429810485342668</v>
      </c>
      <c r="N139">
        <f t="shared" si="35"/>
        <v>0.12444325439999999</v>
      </c>
      <c r="O139">
        <f t="shared" si="33"/>
        <v>6.1818027456000006E-2</v>
      </c>
      <c r="P139">
        <f t="shared" si="34"/>
        <v>0.11506118626658529</v>
      </c>
      <c r="V139">
        <v>7.5</v>
      </c>
      <c r="W139">
        <f t="shared" si="32"/>
        <v>-0.84149999999999991</v>
      </c>
    </row>
    <row r="140" spans="1:23" x14ac:dyDescent="0.3">
      <c r="A140">
        <v>6.7768294999999998</v>
      </c>
      <c r="B140">
        <v>0.38157999999999997</v>
      </c>
      <c r="C140">
        <f t="shared" si="25"/>
        <v>2.5859026006099999</v>
      </c>
      <c r="D140">
        <v>1.8499999999999999E-2</v>
      </c>
      <c r="E140">
        <v>9.1900000000000003E-3</v>
      </c>
      <c r="F140">
        <f t="shared" si="26"/>
        <v>1355.3659</v>
      </c>
      <c r="G140">
        <f t="shared" si="27"/>
        <v>-0.38157999999999997</v>
      </c>
      <c r="H140">
        <f t="shared" si="28"/>
        <v>-517.18052012199996</v>
      </c>
      <c r="I140">
        <v>1</v>
      </c>
      <c r="J140">
        <f t="shared" si="29"/>
        <v>0.30407145477863179</v>
      </c>
      <c r="K140">
        <f t="shared" si="30"/>
        <v>-0.79833057297601195</v>
      </c>
      <c r="L140">
        <v>1</v>
      </c>
      <c r="M140">
        <f t="shared" si="31"/>
        <v>0.49465624412033005</v>
      </c>
      <c r="N140">
        <f t="shared" si="35"/>
        <v>0.12537134575</v>
      </c>
      <c r="O140">
        <f t="shared" si="33"/>
        <v>6.2279063104999997E-2</v>
      </c>
      <c r="P140">
        <f t="shared" si="34"/>
        <v>0.1160239200006819</v>
      </c>
    </row>
    <row r="141" spans="1:23" x14ac:dyDescent="0.3">
      <c r="A141">
        <v>6.8255352000000009</v>
      </c>
      <c r="B141">
        <v>0.37951000000000001</v>
      </c>
      <c r="C141">
        <f t="shared" si="25"/>
        <v>2.5903588637520003</v>
      </c>
      <c r="D141">
        <v>1.8499999999999999E-2</v>
      </c>
      <c r="E141">
        <v>9.1900000000000003E-3</v>
      </c>
      <c r="F141">
        <f t="shared" si="26"/>
        <v>1365.1070400000001</v>
      </c>
      <c r="G141">
        <f t="shared" si="27"/>
        <v>-0.37951000000000001</v>
      </c>
      <c r="H141">
        <f t="shared" si="28"/>
        <v>-518.0717727504001</v>
      </c>
      <c r="I141">
        <v>1</v>
      </c>
      <c r="J141">
        <f t="shared" si="29"/>
        <v>0.31123284314484279</v>
      </c>
      <c r="K141">
        <f t="shared" si="30"/>
        <v>-0.80040057297601197</v>
      </c>
      <c r="L141">
        <v>1</v>
      </c>
      <c r="M141">
        <f t="shared" si="31"/>
        <v>0.49500142303958139</v>
      </c>
      <c r="N141">
        <f t="shared" si="35"/>
        <v>0.12627240120000002</v>
      </c>
      <c r="O141">
        <f t="shared" si="33"/>
        <v>6.2726668488000015E-2</v>
      </c>
      <c r="P141">
        <f t="shared" si="34"/>
        <v>0.11640008024843054</v>
      </c>
    </row>
    <row r="142" spans="1:23" x14ac:dyDescent="0.3">
      <c r="A142">
        <v>6.8737537</v>
      </c>
      <c r="B142">
        <v>0.37657000000000002</v>
      </c>
      <c r="C142">
        <f t="shared" si="25"/>
        <v>2.5884494308090003</v>
      </c>
      <c r="D142">
        <v>1.8499999999999999E-2</v>
      </c>
      <c r="E142">
        <v>9.1900000000000003E-3</v>
      </c>
      <c r="F142">
        <f t="shared" si="26"/>
        <v>1374.75074</v>
      </c>
      <c r="G142">
        <f t="shared" si="27"/>
        <v>-0.37657000000000002</v>
      </c>
      <c r="H142">
        <f t="shared" si="28"/>
        <v>-517.68988616180002</v>
      </c>
      <c r="I142">
        <v>1</v>
      </c>
      <c r="J142">
        <f t="shared" si="29"/>
        <v>0.31827243468532929</v>
      </c>
      <c r="K142">
        <f t="shared" si="30"/>
        <v>-0.80334057297601191</v>
      </c>
      <c r="L142">
        <v>1</v>
      </c>
      <c r="M142">
        <f t="shared" si="31"/>
        <v>0.49534073135183287</v>
      </c>
      <c r="N142">
        <f t="shared" si="35"/>
        <v>0.12716444345</v>
      </c>
      <c r="O142">
        <f t="shared" si="33"/>
        <v>6.3169796503000003E-2</v>
      </c>
      <c r="P142">
        <f t="shared" si="34"/>
        <v>0.11766560167117904</v>
      </c>
    </row>
    <row r="143" spans="1:23" x14ac:dyDescent="0.3">
      <c r="A143">
        <v>6.9219717000000003</v>
      </c>
      <c r="B143">
        <v>0.374</v>
      </c>
      <c r="C143">
        <f t="shared" si="25"/>
        <v>2.5888174157999999</v>
      </c>
      <c r="D143">
        <v>1.8499999999999999E-2</v>
      </c>
      <c r="E143">
        <v>9.1900000000000003E-3</v>
      </c>
      <c r="F143">
        <f t="shared" si="26"/>
        <v>1384.3943400000001</v>
      </c>
      <c r="G143">
        <f t="shared" si="27"/>
        <v>-0.374</v>
      </c>
      <c r="H143">
        <f t="shared" si="28"/>
        <v>-517.76348315999996</v>
      </c>
      <c r="I143">
        <v>1</v>
      </c>
      <c r="J143">
        <f t="shared" si="29"/>
        <v>0.32526274435694136</v>
      </c>
      <c r="K143">
        <f t="shared" si="30"/>
        <v>-0.80591057297601199</v>
      </c>
      <c r="L143">
        <v>1</v>
      </c>
      <c r="M143">
        <f t="shared" si="31"/>
        <v>0.49567766427800458</v>
      </c>
      <c r="N143">
        <f t="shared" si="35"/>
        <v>0.12805647645000001</v>
      </c>
      <c r="O143">
        <f t="shared" si="33"/>
        <v>6.3612919923E-2</v>
      </c>
      <c r="P143">
        <f t="shared" si="34"/>
        <v>0.11856351232500739</v>
      </c>
    </row>
    <row r="144" spans="1:23" x14ac:dyDescent="0.3">
      <c r="A144">
        <v>6.9701907000000007</v>
      </c>
      <c r="B144">
        <v>0.37140000000000001</v>
      </c>
      <c r="C144">
        <f t="shared" si="25"/>
        <v>2.5887288259800005</v>
      </c>
      <c r="D144">
        <v>1.8499999999999999E-2</v>
      </c>
      <c r="E144">
        <v>9.1900000000000003E-3</v>
      </c>
      <c r="F144">
        <f t="shared" si="26"/>
        <v>1394.0381400000001</v>
      </c>
      <c r="G144">
        <f t="shared" si="27"/>
        <v>-0.37140000000000001</v>
      </c>
      <c r="H144">
        <f t="shared" si="28"/>
        <v>-517.74576519600009</v>
      </c>
      <c r="I144">
        <v>1</v>
      </c>
      <c r="J144">
        <f t="shared" si="29"/>
        <v>0.33220467207882876</v>
      </c>
      <c r="K144">
        <f t="shared" si="30"/>
        <v>-0.80851057297601203</v>
      </c>
      <c r="L144">
        <v>1</v>
      </c>
      <c r="M144">
        <f t="shared" si="31"/>
        <v>0.49601226519419955</v>
      </c>
      <c r="N144">
        <f t="shared" si="35"/>
        <v>0.12894852795</v>
      </c>
      <c r="O144">
        <f t="shared" si="33"/>
        <v>6.4056052533000007E-2</v>
      </c>
      <c r="P144">
        <f t="shared" si="34"/>
        <v>0.11949372729881247</v>
      </c>
    </row>
    <row r="145" spans="1:16" x14ac:dyDescent="0.3">
      <c r="A145">
        <v>7.0188959000000004</v>
      </c>
      <c r="B145">
        <v>0.36898999999999998</v>
      </c>
      <c r="C145">
        <f t="shared" si="25"/>
        <v>2.5899023981410001</v>
      </c>
      <c r="D145">
        <v>1.8499999999999999E-2</v>
      </c>
      <c r="E145">
        <v>9.1900000000000003E-3</v>
      </c>
      <c r="F145">
        <f t="shared" si="26"/>
        <v>1403.77918</v>
      </c>
      <c r="G145">
        <f t="shared" ref="G145:G187" si="36">-B145</f>
        <v>-0.36898999999999998</v>
      </c>
      <c r="H145">
        <f t="shared" si="28"/>
        <v>-517.98047962819999</v>
      </c>
      <c r="I145">
        <v>1</v>
      </c>
      <c r="J145">
        <f t="shared" si="29"/>
        <v>0.33916801403166935</v>
      </c>
      <c r="K145">
        <f t="shared" si="30"/>
        <v>-0.81092057297601206</v>
      </c>
      <c r="L145">
        <v>1</v>
      </c>
      <c r="M145">
        <f t="shared" si="31"/>
        <v>0.49634789827632642</v>
      </c>
      <c r="N145">
        <f t="shared" ref="N145:N187" si="37">D145*A145</f>
        <v>0.12984957415000001</v>
      </c>
      <c r="O145">
        <f t="shared" ref="O145:O187" si="38">E145*A145</f>
        <v>6.4503653321000012E-2</v>
      </c>
      <c r="P145">
        <f t="shared" ref="P145:P187" si="39">-K145-M145-N145-O145</f>
        <v>0.12021944722868562</v>
      </c>
    </row>
    <row r="146" spans="1:16" x14ac:dyDescent="0.3">
      <c r="A146">
        <v>7.0671139500000004</v>
      </c>
      <c r="B146">
        <v>0.36635000000000001</v>
      </c>
      <c r="C146">
        <f t="shared" si="25"/>
        <v>2.5890371955825002</v>
      </c>
      <c r="D146">
        <v>1.8499999999999999E-2</v>
      </c>
      <c r="E146">
        <v>9.1900000000000003E-3</v>
      </c>
      <c r="F146">
        <f t="shared" si="26"/>
        <v>1413.4227900000001</v>
      </c>
      <c r="G146">
        <f t="shared" si="36"/>
        <v>-0.36635000000000001</v>
      </c>
      <c r="H146">
        <f t="shared" si="28"/>
        <v>-517.80743911650006</v>
      </c>
      <c r="I146">
        <v>1</v>
      </c>
      <c r="J146">
        <f t="shared" si="29"/>
        <v>0.34601427338404545</v>
      </c>
      <c r="K146">
        <f t="shared" si="30"/>
        <v>-0.81356057297601203</v>
      </c>
      <c r="L146">
        <v>1</v>
      </c>
      <c r="M146">
        <f t="shared" si="31"/>
        <v>0.49667788797711099</v>
      </c>
      <c r="N146">
        <f t="shared" si="37"/>
        <v>0.13074160807499999</v>
      </c>
      <c r="O146">
        <f t="shared" si="38"/>
        <v>6.4946777200500003E-2</v>
      </c>
      <c r="P146">
        <f t="shared" si="39"/>
        <v>0.12119429972340105</v>
      </c>
    </row>
    <row r="147" spans="1:16" x14ac:dyDescent="0.3">
      <c r="A147">
        <v>7.1202033500000006</v>
      </c>
      <c r="B147">
        <v>0.36377999999999999</v>
      </c>
      <c r="C147">
        <f t="shared" si="25"/>
        <v>2.5901875746630001</v>
      </c>
      <c r="D147">
        <v>1.8499999999999999E-2</v>
      </c>
      <c r="E147">
        <v>9.1900000000000003E-3</v>
      </c>
      <c r="F147">
        <f t="shared" si="26"/>
        <v>1424.0406700000001</v>
      </c>
      <c r="G147">
        <f t="shared" si="36"/>
        <v>-0.36377999999999999</v>
      </c>
      <c r="H147">
        <f t="shared" si="28"/>
        <v>-518.03751493260006</v>
      </c>
      <c r="I147">
        <v>1</v>
      </c>
      <c r="J147">
        <f t="shared" si="29"/>
        <v>0.35349837297520226</v>
      </c>
      <c r="K147">
        <f t="shared" si="30"/>
        <v>-0.81613057297601199</v>
      </c>
      <c r="L147">
        <v>1</v>
      </c>
      <c r="M147">
        <f t="shared" si="31"/>
        <v>0.49703862157740475</v>
      </c>
      <c r="N147">
        <f t="shared" si="37"/>
        <v>0.13172376197499999</v>
      </c>
      <c r="O147">
        <f t="shared" si="38"/>
        <v>6.5434668786500005E-2</v>
      </c>
      <c r="P147">
        <f t="shared" si="39"/>
        <v>0.12193352063710725</v>
      </c>
    </row>
    <row r="148" spans="1:16" x14ac:dyDescent="0.3">
      <c r="A148">
        <v>7.1689090499999999</v>
      </c>
      <c r="B148">
        <v>0.36093999999999998</v>
      </c>
      <c r="C148">
        <f t="shared" si="25"/>
        <v>2.5875460325069999</v>
      </c>
      <c r="D148">
        <v>1.8499999999999999E-2</v>
      </c>
      <c r="E148">
        <v>9.1900000000000003E-3</v>
      </c>
      <c r="F148">
        <f t="shared" si="26"/>
        <v>1433.78181</v>
      </c>
      <c r="G148">
        <f t="shared" si="36"/>
        <v>-0.36093999999999998</v>
      </c>
      <c r="H148">
        <f t="shared" si="28"/>
        <v>-517.50920650139994</v>
      </c>
      <c r="I148">
        <v>1</v>
      </c>
      <c r="J148">
        <f t="shared" si="29"/>
        <v>0.36031557578899542</v>
      </c>
      <c r="K148">
        <f t="shared" si="30"/>
        <v>-0.81897057297601195</v>
      </c>
      <c r="L148">
        <v>1</v>
      </c>
      <c r="M148">
        <f t="shared" si="31"/>
        <v>0.49736721075302959</v>
      </c>
      <c r="N148">
        <f t="shared" si="37"/>
        <v>0.13262481742499999</v>
      </c>
      <c r="O148">
        <f t="shared" si="38"/>
        <v>6.5882274169500002E-2</v>
      </c>
      <c r="P148">
        <f t="shared" si="39"/>
        <v>0.12309627062848237</v>
      </c>
    </row>
    <row r="149" spans="1:16" x14ac:dyDescent="0.3">
      <c r="A149">
        <v>7.2171280500000003</v>
      </c>
      <c r="B149">
        <v>0.35816999999999999</v>
      </c>
      <c r="C149">
        <f t="shared" si="25"/>
        <v>2.5849587536684999</v>
      </c>
      <c r="D149">
        <v>1.8499999999999999E-2</v>
      </c>
      <c r="E149">
        <v>9.1900000000000003E-3</v>
      </c>
      <c r="F149">
        <f t="shared" si="26"/>
        <v>1443.42561</v>
      </c>
      <c r="G149">
        <f t="shared" si="36"/>
        <v>-0.35816999999999999</v>
      </c>
      <c r="H149">
        <f t="shared" si="28"/>
        <v>-516.99175073369997</v>
      </c>
      <c r="I149">
        <v>1</v>
      </c>
      <c r="J149">
        <f t="shared" si="29"/>
        <v>0.36701918432806419</v>
      </c>
      <c r="K149">
        <f t="shared" si="30"/>
        <v>-0.821740572976012</v>
      </c>
      <c r="L149">
        <v>1</v>
      </c>
      <c r="M149">
        <f t="shared" si="31"/>
        <v>0.49769032468461266</v>
      </c>
      <c r="N149">
        <f t="shared" si="37"/>
        <v>0.133516868925</v>
      </c>
      <c r="O149">
        <f t="shared" si="38"/>
        <v>6.632540677950001E-2</v>
      </c>
      <c r="P149">
        <f t="shared" si="39"/>
        <v>0.12420797258689932</v>
      </c>
    </row>
    <row r="150" spans="1:16" x14ac:dyDescent="0.3">
      <c r="A150">
        <v>7.2692422999999993</v>
      </c>
      <c r="B150">
        <v>0.35538999999999998</v>
      </c>
      <c r="C150">
        <f t="shared" si="25"/>
        <v>2.5834160209969994</v>
      </c>
      <c r="D150">
        <v>1.8499999999999999E-2</v>
      </c>
      <c r="E150">
        <v>9.1900000000000003E-3</v>
      </c>
      <c r="F150">
        <f t="shared" si="26"/>
        <v>1453.8484599999999</v>
      </c>
      <c r="G150">
        <f t="shared" si="36"/>
        <v>-0.35538999999999998</v>
      </c>
      <c r="H150">
        <f t="shared" si="28"/>
        <v>-516.68320419939982</v>
      </c>
      <c r="I150">
        <v>1</v>
      </c>
      <c r="J150">
        <f t="shared" si="29"/>
        <v>0.37421415084618803</v>
      </c>
      <c r="K150">
        <f t="shared" si="30"/>
        <v>-0.824520572976012</v>
      </c>
      <c r="L150">
        <v>1</v>
      </c>
      <c r="M150">
        <f t="shared" si="31"/>
        <v>0.49803712207078626</v>
      </c>
      <c r="N150">
        <f t="shared" si="37"/>
        <v>0.13448098254999999</v>
      </c>
      <c r="O150">
        <f t="shared" si="38"/>
        <v>6.6804336736999995E-2</v>
      </c>
      <c r="P150">
        <f t="shared" si="39"/>
        <v>0.12519813161822574</v>
      </c>
    </row>
    <row r="151" spans="1:16" x14ac:dyDescent="0.3">
      <c r="A151">
        <v>7.3174603500000002</v>
      </c>
      <c r="B151">
        <v>0.35296</v>
      </c>
      <c r="C151">
        <f t="shared" si="25"/>
        <v>2.5827708051360001</v>
      </c>
      <c r="D151">
        <v>1.8499999999999999E-2</v>
      </c>
      <c r="E151">
        <v>9.1900000000000003E-3</v>
      </c>
      <c r="F151">
        <f t="shared" si="26"/>
        <v>1463.49207</v>
      </c>
      <c r="G151">
        <f t="shared" si="36"/>
        <v>-0.35296</v>
      </c>
      <c r="H151">
        <f t="shared" si="28"/>
        <v>-516.55416102720005</v>
      </c>
      <c r="I151">
        <v>1</v>
      </c>
      <c r="J151">
        <f t="shared" si="29"/>
        <v>0.38082540861787012</v>
      </c>
      <c r="K151">
        <f t="shared" si="30"/>
        <v>-0.82695057297601204</v>
      </c>
      <c r="L151">
        <v>1</v>
      </c>
      <c r="M151">
        <f t="shared" si="31"/>
        <v>0.49835578469538133</v>
      </c>
      <c r="N151">
        <f t="shared" si="37"/>
        <v>0.135373016475</v>
      </c>
      <c r="O151">
        <f t="shared" si="38"/>
        <v>6.7247460616499999E-2</v>
      </c>
      <c r="P151">
        <f t="shared" si="39"/>
        <v>0.12597431118913072</v>
      </c>
    </row>
    <row r="152" spans="1:16" x14ac:dyDescent="0.3">
      <c r="A152">
        <v>7.3676274499999996</v>
      </c>
      <c r="B152">
        <v>0.3503</v>
      </c>
      <c r="C152">
        <f t="shared" si="25"/>
        <v>2.5808798957349999</v>
      </c>
      <c r="D152">
        <v>1.8499999999999999E-2</v>
      </c>
      <c r="E152">
        <v>9.1900000000000003E-3</v>
      </c>
      <c r="F152">
        <f t="shared" si="26"/>
        <v>1473.52549</v>
      </c>
      <c r="G152">
        <f t="shared" si="36"/>
        <v>-0.3503</v>
      </c>
      <c r="H152">
        <f t="shared" si="28"/>
        <v>-516.17597914700002</v>
      </c>
      <c r="I152">
        <v>1</v>
      </c>
      <c r="J152">
        <f t="shared" si="29"/>
        <v>0.38765782199407001</v>
      </c>
      <c r="K152">
        <f t="shared" si="30"/>
        <v>-0.82961057297601193</v>
      </c>
      <c r="L152">
        <v>1</v>
      </c>
      <c r="M152">
        <f t="shared" si="31"/>
        <v>0.49868510702011415</v>
      </c>
      <c r="N152">
        <f t="shared" si="37"/>
        <v>0.13630110782499999</v>
      </c>
      <c r="O152">
        <f t="shared" si="38"/>
        <v>6.7708496265500004E-2</v>
      </c>
      <c r="P152">
        <f t="shared" si="39"/>
        <v>0.12691586186539777</v>
      </c>
    </row>
    <row r="153" spans="1:16" x14ac:dyDescent="0.3">
      <c r="A153">
        <v>7.4158463500000007</v>
      </c>
      <c r="B153">
        <v>0.34756999999999999</v>
      </c>
      <c r="C153">
        <f t="shared" si="25"/>
        <v>2.5775257158695002</v>
      </c>
      <c r="D153">
        <v>1.8499999999999999E-2</v>
      </c>
      <c r="E153">
        <v>9.1900000000000003E-3</v>
      </c>
      <c r="F153">
        <f t="shared" si="26"/>
        <v>1483.1692700000001</v>
      </c>
      <c r="G153">
        <f t="shared" si="36"/>
        <v>-0.34756999999999999</v>
      </c>
      <c r="H153">
        <f t="shared" si="28"/>
        <v>-515.50514317390002</v>
      </c>
      <c r="I153">
        <v>1</v>
      </c>
      <c r="J153">
        <f t="shared" si="29"/>
        <v>0.39418119689852904</v>
      </c>
      <c r="K153">
        <f t="shared" si="30"/>
        <v>-0.83234057297601205</v>
      </c>
      <c r="L153">
        <v>1</v>
      </c>
      <c r="M153">
        <f t="shared" si="31"/>
        <v>0.49899953369050909</v>
      </c>
      <c r="N153">
        <f t="shared" si="37"/>
        <v>0.13719315747499999</v>
      </c>
      <c r="O153">
        <f t="shared" si="38"/>
        <v>6.815162795650001E-2</v>
      </c>
      <c r="P153">
        <f t="shared" si="39"/>
        <v>0.12799625385400296</v>
      </c>
    </row>
    <row r="154" spans="1:16" x14ac:dyDescent="0.3">
      <c r="A154">
        <v>7.4650382500000001</v>
      </c>
      <c r="B154">
        <v>0.34490999999999999</v>
      </c>
      <c r="C154">
        <f t="shared" si="25"/>
        <v>2.5747663428075001</v>
      </c>
      <c r="D154">
        <v>1.8499999999999999E-2</v>
      </c>
      <c r="E154">
        <v>9.1900000000000003E-3</v>
      </c>
      <c r="F154">
        <f t="shared" si="26"/>
        <v>1493.00765</v>
      </c>
      <c r="G154">
        <f t="shared" si="36"/>
        <v>-0.34490999999999999</v>
      </c>
      <c r="H154">
        <f t="shared" si="28"/>
        <v>-514.95326856149995</v>
      </c>
      <c r="I154">
        <v>1</v>
      </c>
      <c r="J154">
        <f t="shared" si="29"/>
        <v>0.40079264245551355</v>
      </c>
      <c r="K154">
        <f t="shared" si="30"/>
        <v>-0.83500057297601193</v>
      </c>
      <c r="L154">
        <v>1</v>
      </c>
      <c r="M154">
        <f t="shared" si="31"/>
        <v>0.49931820536635574</v>
      </c>
      <c r="N154">
        <f t="shared" si="37"/>
        <v>0.138103207625</v>
      </c>
      <c r="O154">
        <f t="shared" si="38"/>
        <v>6.8603701517500004E-2</v>
      </c>
      <c r="P154">
        <f t="shared" si="39"/>
        <v>0.12897545846715619</v>
      </c>
    </row>
    <row r="155" spans="1:16" x14ac:dyDescent="0.3">
      <c r="A155">
        <v>7.5186140000000004</v>
      </c>
      <c r="B155">
        <v>0.34203</v>
      </c>
      <c r="C155">
        <f t="shared" si="25"/>
        <v>2.5715915464200001</v>
      </c>
      <c r="D155">
        <v>1.8499999999999999E-2</v>
      </c>
      <c r="E155">
        <v>9.1900000000000003E-3</v>
      </c>
      <c r="F155">
        <f t="shared" si="26"/>
        <v>1503.7228</v>
      </c>
      <c r="G155">
        <f t="shared" si="36"/>
        <v>-0.34203</v>
      </c>
      <c r="H155">
        <f t="shared" si="28"/>
        <v>-514.31830928400007</v>
      </c>
      <c r="I155">
        <v>1</v>
      </c>
      <c r="J155">
        <f t="shared" si="29"/>
        <v>0.407943900030109</v>
      </c>
      <c r="K155">
        <f t="shared" si="30"/>
        <v>-0.83788057297601193</v>
      </c>
      <c r="L155">
        <v>1</v>
      </c>
      <c r="M155">
        <f t="shared" si="31"/>
        <v>0.49966289598145125</v>
      </c>
      <c r="N155">
        <f t="shared" si="37"/>
        <v>0.139094359</v>
      </c>
      <c r="O155">
        <f t="shared" si="38"/>
        <v>6.9096062659999999E-2</v>
      </c>
      <c r="P155">
        <f t="shared" si="39"/>
        <v>0.13002725533456067</v>
      </c>
    </row>
    <row r="156" spans="1:16" x14ac:dyDescent="0.3">
      <c r="A156">
        <v>7.5678072499999995</v>
      </c>
      <c r="B156">
        <v>0.33928999999999998</v>
      </c>
      <c r="C156">
        <f t="shared" si="25"/>
        <v>2.5676813218524996</v>
      </c>
      <c r="D156">
        <v>1.8499999999999999E-2</v>
      </c>
      <c r="E156">
        <v>9.1900000000000003E-3</v>
      </c>
      <c r="F156">
        <f t="shared" si="26"/>
        <v>1513.5614499999999</v>
      </c>
      <c r="G156">
        <f t="shared" si="36"/>
        <v>-0.33928999999999998</v>
      </c>
      <c r="H156">
        <f t="shared" si="28"/>
        <v>-513.53626437049991</v>
      </c>
      <c r="I156">
        <v>1</v>
      </c>
      <c r="J156">
        <f t="shared" si="29"/>
        <v>0.41446544991079587</v>
      </c>
      <c r="K156">
        <f t="shared" si="30"/>
        <v>-0.840620572976012</v>
      </c>
      <c r="L156">
        <v>1</v>
      </c>
      <c r="M156">
        <f t="shared" si="31"/>
        <v>0.49997723468570032</v>
      </c>
      <c r="N156">
        <f t="shared" si="37"/>
        <v>0.14000443412499999</v>
      </c>
      <c r="O156">
        <f t="shared" si="38"/>
        <v>6.95481486275E-2</v>
      </c>
      <c r="P156">
        <f t="shared" si="39"/>
        <v>0.13109075553781169</v>
      </c>
    </row>
    <row r="157" spans="1:16" x14ac:dyDescent="0.3">
      <c r="A157">
        <v>7.6160257500000004</v>
      </c>
      <c r="B157">
        <v>0.33654000000000001</v>
      </c>
      <c r="C157">
        <f t="shared" si="25"/>
        <v>2.563097305905</v>
      </c>
      <c r="D157">
        <v>1.8499999999999999E-2</v>
      </c>
      <c r="E157">
        <v>9.1900000000000003E-3</v>
      </c>
      <c r="F157">
        <f t="shared" si="26"/>
        <v>1523.20515</v>
      </c>
      <c r="G157">
        <f t="shared" si="36"/>
        <v>-0.33654000000000001</v>
      </c>
      <c r="H157">
        <f t="shared" si="28"/>
        <v>-512.61946118100002</v>
      </c>
      <c r="I157">
        <v>1</v>
      </c>
      <c r="J157">
        <f t="shared" si="29"/>
        <v>0.42081676608916402</v>
      </c>
      <c r="K157">
        <f t="shared" si="30"/>
        <v>-0.84337057297601192</v>
      </c>
      <c r="L157">
        <v>1</v>
      </c>
      <c r="M157">
        <f t="shared" si="31"/>
        <v>0.50028336812549767</v>
      </c>
      <c r="N157">
        <f t="shared" si="37"/>
        <v>0.140896476375</v>
      </c>
      <c r="O157">
        <f t="shared" si="38"/>
        <v>6.9991276642500003E-2</v>
      </c>
      <c r="P157">
        <f t="shared" si="39"/>
        <v>0.13219945183301424</v>
      </c>
    </row>
    <row r="158" spans="1:16" x14ac:dyDescent="0.3">
      <c r="A158">
        <v>7.6657051999999997</v>
      </c>
      <c r="B158">
        <v>0.33409</v>
      </c>
      <c r="C158">
        <f t="shared" si="25"/>
        <v>2.5610354502679997</v>
      </c>
      <c r="D158">
        <v>1.8499999999999999E-2</v>
      </c>
      <c r="E158">
        <v>9.1900000000000003E-3</v>
      </c>
      <c r="F158">
        <f t="shared" si="26"/>
        <v>1533.14104</v>
      </c>
      <c r="G158">
        <f t="shared" si="36"/>
        <v>-0.33409</v>
      </c>
      <c r="H158">
        <f t="shared" si="28"/>
        <v>-512.20709005359993</v>
      </c>
      <c r="I158">
        <v>1</v>
      </c>
      <c r="J158">
        <f t="shared" si="29"/>
        <v>0.4273185982669595</v>
      </c>
      <c r="K158">
        <f t="shared" si="30"/>
        <v>-0.84582057297601199</v>
      </c>
      <c r="L158">
        <v>1</v>
      </c>
      <c r="M158">
        <f t="shared" si="31"/>
        <v>0.50059675643646739</v>
      </c>
      <c r="N158">
        <f t="shared" si="37"/>
        <v>0.14181554619999998</v>
      </c>
      <c r="O158">
        <f t="shared" si="38"/>
        <v>7.0447830788000002E-2</v>
      </c>
      <c r="P158">
        <f t="shared" si="39"/>
        <v>0.13296043955154463</v>
      </c>
    </row>
    <row r="159" spans="1:16" x14ac:dyDescent="0.3">
      <c r="A159">
        <v>7.7144104499999999</v>
      </c>
      <c r="B159">
        <v>0.33134999999999998</v>
      </c>
      <c r="C159">
        <f t="shared" si="25"/>
        <v>2.5561699026075</v>
      </c>
      <c r="D159">
        <v>1.8499999999999999E-2</v>
      </c>
      <c r="E159">
        <v>9.1900000000000003E-3</v>
      </c>
      <c r="F159">
        <f t="shared" si="26"/>
        <v>1542.8820900000001</v>
      </c>
      <c r="G159">
        <f t="shared" si="36"/>
        <v>-0.33134999999999998</v>
      </c>
      <c r="H159">
        <f t="shared" si="28"/>
        <v>-511.23398052149997</v>
      </c>
      <c r="I159">
        <v>1</v>
      </c>
      <c r="J159">
        <f t="shared" si="29"/>
        <v>0.43365215438858107</v>
      </c>
      <c r="K159">
        <f t="shared" si="30"/>
        <v>-0.84856057297601195</v>
      </c>
      <c r="L159">
        <v>1</v>
      </c>
      <c r="M159">
        <f t="shared" si="31"/>
        <v>0.50090203384152954</v>
      </c>
      <c r="N159">
        <f t="shared" si="37"/>
        <v>0.142716593325</v>
      </c>
      <c r="O159">
        <f t="shared" si="38"/>
        <v>7.08954320355E-2</v>
      </c>
      <c r="P159">
        <f t="shared" si="39"/>
        <v>0.13404651377398241</v>
      </c>
    </row>
    <row r="160" spans="1:16" x14ac:dyDescent="0.3">
      <c r="A160">
        <v>7.7636037</v>
      </c>
      <c r="B160">
        <v>0.32862999999999998</v>
      </c>
      <c r="C160">
        <f t="shared" si="25"/>
        <v>2.5513530839309997</v>
      </c>
      <c r="D160">
        <v>1.8499999999999999E-2</v>
      </c>
      <c r="E160">
        <v>9.1900000000000003E-3</v>
      </c>
      <c r="F160">
        <f t="shared" si="26"/>
        <v>1552.72074</v>
      </c>
      <c r="G160">
        <f t="shared" si="36"/>
        <v>-0.32862999999999998</v>
      </c>
      <c r="H160">
        <f t="shared" si="28"/>
        <v>-510.27061678619992</v>
      </c>
      <c r="I160">
        <v>1</v>
      </c>
      <c r="J160">
        <f t="shared" si="29"/>
        <v>0.44000870829324956</v>
      </c>
      <c r="K160">
        <f t="shared" si="30"/>
        <v>-0.85128057297601201</v>
      </c>
      <c r="L160">
        <v>1</v>
      </c>
      <c r="M160">
        <f t="shared" si="31"/>
        <v>0.50120841973973462</v>
      </c>
      <c r="N160">
        <f t="shared" si="37"/>
        <v>0.14362666844999999</v>
      </c>
      <c r="O160">
        <f t="shared" si="38"/>
        <v>7.1347518003000002E-2</v>
      </c>
      <c r="P160">
        <f t="shared" si="39"/>
        <v>0.1350979667832774</v>
      </c>
    </row>
    <row r="161" spans="1:16" x14ac:dyDescent="0.3">
      <c r="A161">
        <v>7.8127959499999999</v>
      </c>
      <c r="B161">
        <v>0.32589000000000001</v>
      </c>
      <c r="C161">
        <f t="shared" si="25"/>
        <v>2.5461120721455002</v>
      </c>
      <c r="D161">
        <v>1.8499999999999999E-2</v>
      </c>
      <c r="E161">
        <v>9.1900000000000003E-3</v>
      </c>
      <c r="F161">
        <f t="shared" si="26"/>
        <v>1562.5591899999999</v>
      </c>
      <c r="G161">
        <f t="shared" si="36"/>
        <v>-0.32589000000000001</v>
      </c>
      <c r="H161">
        <f t="shared" si="28"/>
        <v>-509.22241442910001</v>
      </c>
      <c r="I161">
        <v>1</v>
      </c>
      <c r="J161">
        <f t="shared" si="29"/>
        <v>0.44632498351092981</v>
      </c>
      <c r="K161">
        <f t="shared" si="30"/>
        <v>-0.85402057297601197</v>
      </c>
      <c r="L161">
        <v>1</v>
      </c>
      <c r="M161">
        <f t="shared" si="31"/>
        <v>0.50151286420522678</v>
      </c>
      <c r="N161">
        <f t="shared" si="37"/>
        <v>0.14453672507499998</v>
      </c>
      <c r="O161">
        <f t="shared" si="38"/>
        <v>7.1799594780500006E-2</v>
      </c>
      <c r="P161">
        <f t="shared" si="39"/>
        <v>0.13617138891528519</v>
      </c>
    </row>
    <row r="162" spans="1:16" x14ac:dyDescent="0.3">
      <c r="A162">
        <v>7.8610149500000004</v>
      </c>
      <c r="B162">
        <v>0.32296000000000002</v>
      </c>
      <c r="C162">
        <f t="shared" si="25"/>
        <v>2.5387933882520004</v>
      </c>
      <c r="D162">
        <v>1.8499999999999999E-2</v>
      </c>
      <c r="E162">
        <v>9.1900000000000003E-3</v>
      </c>
      <c r="F162">
        <f t="shared" si="26"/>
        <v>1572.20299</v>
      </c>
      <c r="G162">
        <f t="shared" si="36"/>
        <v>-0.32296000000000002</v>
      </c>
      <c r="H162">
        <f t="shared" si="28"/>
        <v>-507.7586776504001</v>
      </c>
      <c r="I162">
        <v>1</v>
      </c>
      <c r="J162">
        <f t="shared" si="29"/>
        <v>0.4524778141693756</v>
      </c>
      <c r="K162">
        <f t="shared" si="30"/>
        <v>-0.85695057297601196</v>
      </c>
      <c r="L162">
        <v>1</v>
      </c>
      <c r="M162">
        <f t="shared" si="31"/>
        <v>0.50180943064296391</v>
      </c>
      <c r="N162">
        <f t="shared" si="37"/>
        <v>0.145428776575</v>
      </c>
      <c r="O162">
        <f t="shared" si="38"/>
        <v>7.22427273905E-2</v>
      </c>
      <c r="P162">
        <f t="shared" si="39"/>
        <v>0.13746963836754805</v>
      </c>
    </row>
    <row r="163" spans="1:16" x14ac:dyDescent="0.3">
      <c r="A163">
        <v>7.9102068499999998</v>
      </c>
      <c r="B163">
        <v>0.32031999999999999</v>
      </c>
      <c r="C163">
        <f t="shared" si="25"/>
        <v>2.5337974581919998</v>
      </c>
      <c r="D163">
        <v>1.8499999999999999E-2</v>
      </c>
      <c r="E163">
        <v>9.1900000000000003E-3</v>
      </c>
      <c r="F163">
        <f t="shared" si="26"/>
        <v>1582.0413699999999</v>
      </c>
      <c r="G163">
        <f t="shared" si="36"/>
        <v>-0.32031999999999999</v>
      </c>
      <c r="H163">
        <f t="shared" si="28"/>
        <v>-506.75949163839994</v>
      </c>
      <c r="I163">
        <v>1</v>
      </c>
      <c r="J163">
        <f t="shared" si="29"/>
        <v>0.45871601944602314</v>
      </c>
      <c r="K163">
        <f t="shared" si="30"/>
        <v>-0.85959057297601205</v>
      </c>
      <c r="L163">
        <v>1</v>
      </c>
      <c r="M163">
        <f t="shared" si="31"/>
        <v>0.50211011213729828</v>
      </c>
      <c r="N163">
        <f t="shared" si="37"/>
        <v>0.14633882672499998</v>
      </c>
      <c r="O163">
        <f t="shared" si="38"/>
        <v>7.2694800951499994E-2</v>
      </c>
      <c r="P163">
        <f t="shared" si="39"/>
        <v>0.13844683316221379</v>
      </c>
    </row>
    <row r="164" spans="1:16" x14ac:dyDescent="0.3">
      <c r="A164">
        <v>7.9623225499999997</v>
      </c>
      <c r="B164">
        <v>0.31747999999999998</v>
      </c>
      <c r="C164">
        <f t="shared" si="25"/>
        <v>2.5278781631739999</v>
      </c>
      <c r="D164">
        <v>1.8499999999999999E-2</v>
      </c>
      <c r="E164">
        <v>9.1900000000000003E-3</v>
      </c>
      <c r="F164">
        <f t="shared" si="26"/>
        <v>1592.46451</v>
      </c>
      <c r="G164">
        <f t="shared" si="36"/>
        <v>-0.31747999999999998</v>
      </c>
      <c r="H164">
        <f t="shared" si="28"/>
        <v>-505.5756326348</v>
      </c>
      <c r="I164">
        <v>1</v>
      </c>
      <c r="J164">
        <f t="shared" si="29"/>
        <v>0.4652828225015655</v>
      </c>
      <c r="K164">
        <f t="shared" si="30"/>
        <v>-0.862430572976012</v>
      </c>
      <c r="L164">
        <v>1</v>
      </c>
      <c r="M164">
        <f t="shared" si="31"/>
        <v>0.50242663204457538</v>
      </c>
      <c r="N164">
        <f t="shared" si="37"/>
        <v>0.14730296717499999</v>
      </c>
      <c r="O164">
        <f t="shared" si="38"/>
        <v>7.3173744234500002E-2</v>
      </c>
      <c r="P164">
        <f t="shared" si="39"/>
        <v>0.13952722952193664</v>
      </c>
    </row>
    <row r="165" spans="1:16" x14ac:dyDescent="0.3">
      <c r="A165">
        <v>8.0110285999999995</v>
      </c>
      <c r="B165">
        <v>0.31496000000000002</v>
      </c>
      <c r="C165">
        <f t="shared" si="25"/>
        <v>2.5231535678560002</v>
      </c>
      <c r="D165">
        <v>1.8499999999999999E-2</v>
      </c>
      <c r="E165">
        <v>9.1900000000000003E-3</v>
      </c>
      <c r="F165">
        <f t="shared" si="26"/>
        <v>1602.2057199999999</v>
      </c>
      <c r="G165">
        <f t="shared" si="36"/>
        <v>-0.31496000000000002</v>
      </c>
      <c r="H165">
        <f t="shared" si="28"/>
        <v>-504.63071357120003</v>
      </c>
      <c r="I165">
        <v>1</v>
      </c>
      <c r="J165">
        <f t="shared" si="29"/>
        <v>0.47138125488363131</v>
      </c>
      <c r="K165">
        <f t="shared" si="30"/>
        <v>-0.86495057297601197</v>
      </c>
      <c r="L165">
        <v>1</v>
      </c>
      <c r="M165">
        <f t="shared" si="31"/>
        <v>0.50272057648539104</v>
      </c>
      <c r="N165">
        <f t="shared" si="37"/>
        <v>0.1482040291</v>
      </c>
      <c r="O165">
        <f t="shared" si="38"/>
        <v>7.3621352833999995E-2</v>
      </c>
      <c r="P165">
        <f t="shared" si="39"/>
        <v>0.14040461455662095</v>
      </c>
    </row>
    <row r="166" spans="1:16" x14ac:dyDescent="0.3">
      <c r="A166">
        <v>8.0592462000000005</v>
      </c>
      <c r="B166">
        <v>0.31202000000000002</v>
      </c>
      <c r="C166">
        <f t="shared" si="25"/>
        <v>2.5146459993240002</v>
      </c>
      <c r="D166">
        <v>1.8499999999999999E-2</v>
      </c>
      <c r="E166">
        <v>9.1900000000000003E-3</v>
      </c>
      <c r="F166">
        <f t="shared" si="26"/>
        <v>1611.84924</v>
      </c>
      <c r="G166">
        <f t="shared" si="36"/>
        <v>-0.31202000000000002</v>
      </c>
      <c r="H166">
        <f t="shared" si="28"/>
        <v>-502.92919986480007</v>
      </c>
      <c r="I166">
        <v>1</v>
      </c>
      <c r="J166">
        <f t="shared" si="29"/>
        <v>0.47738211613763348</v>
      </c>
      <c r="K166">
        <f t="shared" si="30"/>
        <v>-0.86789057297601202</v>
      </c>
      <c r="L166">
        <v>1</v>
      </c>
      <c r="M166">
        <f t="shared" si="31"/>
        <v>0.50300981799783395</v>
      </c>
      <c r="N166">
        <f t="shared" si="37"/>
        <v>0.14909605470000001</v>
      </c>
      <c r="O166">
        <f t="shared" si="38"/>
        <v>7.4064472578000001E-2</v>
      </c>
      <c r="P166">
        <f t="shared" si="39"/>
        <v>0.14172022770017806</v>
      </c>
    </row>
    <row r="167" spans="1:16" x14ac:dyDescent="0.3">
      <c r="A167">
        <v>8.1098999999999997</v>
      </c>
      <c r="B167">
        <v>0.30939</v>
      </c>
      <c r="C167">
        <f t="shared" si="25"/>
        <v>2.509121961</v>
      </c>
      <c r="D167">
        <v>1.8499999999999999E-2</v>
      </c>
      <c r="E167">
        <v>9.1900000000000003E-3</v>
      </c>
      <c r="F167">
        <f t="shared" si="26"/>
        <v>1621.98</v>
      </c>
      <c r="G167">
        <f t="shared" si="36"/>
        <v>-0.30939</v>
      </c>
      <c r="H167">
        <f t="shared" si="28"/>
        <v>-501.82439219999998</v>
      </c>
      <c r="I167">
        <v>1</v>
      </c>
      <c r="J167">
        <f t="shared" si="29"/>
        <v>0.48364762516097359</v>
      </c>
      <c r="K167">
        <f t="shared" si="30"/>
        <v>-0.87052057297601193</v>
      </c>
      <c r="L167">
        <v>1</v>
      </c>
      <c r="M167">
        <f t="shared" si="31"/>
        <v>0.50331181553275894</v>
      </c>
      <c r="N167">
        <f t="shared" si="37"/>
        <v>0.15003314999999998</v>
      </c>
      <c r="O167">
        <f t="shared" si="38"/>
        <v>7.4529980999999995E-2</v>
      </c>
      <c r="P167">
        <f t="shared" si="39"/>
        <v>0.14264562644325302</v>
      </c>
    </row>
    <row r="168" spans="1:16" x14ac:dyDescent="0.3">
      <c r="A168">
        <v>8.1615279999999988</v>
      </c>
      <c r="B168">
        <v>0.30630000000000002</v>
      </c>
      <c r="C168">
        <f t="shared" si="25"/>
        <v>2.4998760264</v>
      </c>
      <c r="D168">
        <v>1.8499999999999999E-2</v>
      </c>
      <c r="E168">
        <v>9.1900000000000003E-3</v>
      </c>
      <c r="F168">
        <f t="shared" si="26"/>
        <v>1632.3055999999997</v>
      </c>
      <c r="G168">
        <f t="shared" si="36"/>
        <v>-0.30630000000000002</v>
      </c>
      <c r="H168">
        <f t="shared" si="28"/>
        <v>-499.97520528000001</v>
      </c>
      <c r="I168">
        <v>1</v>
      </c>
      <c r="J168">
        <f t="shared" si="29"/>
        <v>0.48999349391386499</v>
      </c>
      <c r="K168">
        <f t="shared" si="30"/>
        <v>-0.87361057297601197</v>
      </c>
      <c r="L168">
        <v>1</v>
      </c>
      <c r="M168">
        <f t="shared" si="31"/>
        <v>0.50361768640664828</v>
      </c>
      <c r="N168">
        <f t="shared" si="37"/>
        <v>0.15098826799999998</v>
      </c>
      <c r="O168">
        <f t="shared" si="38"/>
        <v>7.5004442319999989E-2</v>
      </c>
      <c r="P168">
        <f t="shared" si="39"/>
        <v>0.14400017624936373</v>
      </c>
    </row>
    <row r="169" spans="1:16" x14ac:dyDescent="0.3">
      <c r="A169">
        <v>8.2102331999999993</v>
      </c>
      <c r="B169">
        <v>0.30375000000000002</v>
      </c>
      <c r="C169">
        <f t="shared" si="25"/>
        <v>2.4938583345000001</v>
      </c>
      <c r="D169">
        <v>1.8499999999999999E-2</v>
      </c>
      <c r="E169">
        <v>9.1900000000000003E-3</v>
      </c>
      <c r="F169">
        <f t="shared" si="26"/>
        <v>1642.0466399999998</v>
      </c>
      <c r="G169">
        <f t="shared" si="36"/>
        <v>-0.30375000000000002</v>
      </c>
      <c r="H169">
        <f t="shared" si="28"/>
        <v>-498.77166690000001</v>
      </c>
      <c r="I169">
        <v>1</v>
      </c>
      <c r="J169">
        <f t="shared" si="29"/>
        <v>0.49594341501173589</v>
      </c>
      <c r="K169">
        <f t="shared" si="30"/>
        <v>-0.87616057297601202</v>
      </c>
      <c r="L169">
        <v>1</v>
      </c>
      <c r="M169">
        <f t="shared" si="31"/>
        <v>0.50390447260356563</v>
      </c>
      <c r="N169">
        <f t="shared" si="37"/>
        <v>0.15188931419999999</v>
      </c>
      <c r="O169">
        <f t="shared" si="38"/>
        <v>7.5452043107999994E-2</v>
      </c>
      <c r="P169">
        <f t="shared" si="39"/>
        <v>0.14491474306444641</v>
      </c>
    </row>
    <row r="170" spans="1:16" x14ac:dyDescent="0.3">
      <c r="A170">
        <v>8.2589392999999998</v>
      </c>
      <c r="B170">
        <v>0.30108000000000001</v>
      </c>
      <c r="C170">
        <f t="shared" si="25"/>
        <v>2.4866014444440001</v>
      </c>
      <c r="D170">
        <v>1.8499999999999999E-2</v>
      </c>
      <c r="E170">
        <v>9.1900000000000003E-3</v>
      </c>
      <c r="F170">
        <f t="shared" si="26"/>
        <v>1651.7878599999999</v>
      </c>
      <c r="G170">
        <f t="shared" si="36"/>
        <v>-0.30108000000000001</v>
      </c>
      <c r="H170">
        <f t="shared" si="28"/>
        <v>-497.32028888880001</v>
      </c>
      <c r="I170">
        <v>1</v>
      </c>
      <c r="J170">
        <f t="shared" si="29"/>
        <v>0.50185825280941354</v>
      </c>
      <c r="K170">
        <f t="shared" si="30"/>
        <v>-0.87883057297601197</v>
      </c>
      <c r="L170">
        <v>1</v>
      </c>
      <c r="M170">
        <f t="shared" si="31"/>
        <v>0.50418956778541368</v>
      </c>
      <c r="N170">
        <f t="shared" si="37"/>
        <v>0.15279037704999998</v>
      </c>
      <c r="O170">
        <f t="shared" si="38"/>
        <v>7.5899652166999995E-2</v>
      </c>
      <c r="P170">
        <f t="shared" si="39"/>
        <v>0.1459509759735983</v>
      </c>
    </row>
    <row r="171" spans="1:16" x14ac:dyDescent="0.3">
      <c r="A171">
        <v>8.3086188500000002</v>
      </c>
      <c r="B171">
        <v>0.29831999999999997</v>
      </c>
      <c r="C171">
        <f t="shared" si="25"/>
        <v>2.4786271753319999</v>
      </c>
      <c r="D171">
        <v>1.8499999999999999E-2</v>
      </c>
      <c r="E171">
        <v>9.1900000000000003E-3</v>
      </c>
      <c r="F171">
        <f t="shared" si="26"/>
        <v>1661.7237700000001</v>
      </c>
      <c r="G171">
        <f t="shared" si="36"/>
        <v>-0.29831999999999997</v>
      </c>
      <c r="H171">
        <f t="shared" si="28"/>
        <v>-495.7254350664</v>
      </c>
      <c r="I171">
        <v>1</v>
      </c>
      <c r="J171">
        <f t="shared" si="29"/>
        <v>0.50785547925051144</v>
      </c>
      <c r="K171">
        <f t="shared" si="30"/>
        <v>-0.88159057297601207</v>
      </c>
      <c r="L171">
        <v>1</v>
      </c>
      <c r="M171">
        <f t="shared" si="31"/>
        <v>0.50447863409987459</v>
      </c>
      <c r="N171">
        <f t="shared" si="37"/>
        <v>0.153709448725</v>
      </c>
      <c r="O171">
        <f t="shared" si="38"/>
        <v>7.6356207231500009E-2</v>
      </c>
      <c r="P171">
        <f t="shared" si="39"/>
        <v>0.14704628291963745</v>
      </c>
    </row>
    <row r="172" spans="1:16" x14ac:dyDescent="0.3">
      <c r="A172">
        <v>8.3582982999999995</v>
      </c>
      <c r="B172">
        <v>0.29536000000000001</v>
      </c>
      <c r="C172">
        <f t="shared" si="25"/>
        <v>2.4687069858879997</v>
      </c>
      <c r="D172">
        <v>1.8499999999999999E-2</v>
      </c>
      <c r="E172">
        <v>9.1900000000000003E-3</v>
      </c>
      <c r="F172">
        <f t="shared" si="26"/>
        <v>1671.6596599999998</v>
      </c>
      <c r="G172">
        <f t="shared" si="36"/>
        <v>-0.29536000000000001</v>
      </c>
      <c r="H172">
        <f t="shared" si="28"/>
        <v>-493.74139717759994</v>
      </c>
      <c r="I172">
        <v>1</v>
      </c>
      <c r="J172">
        <f t="shared" si="29"/>
        <v>0.51381694131128219</v>
      </c>
      <c r="K172">
        <f t="shared" si="30"/>
        <v>-0.88455057297601192</v>
      </c>
      <c r="L172">
        <v>1</v>
      </c>
      <c r="M172">
        <f t="shared" si="31"/>
        <v>0.50476597657120381</v>
      </c>
      <c r="N172">
        <f t="shared" si="37"/>
        <v>0.15462851854999998</v>
      </c>
      <c r="O172">
        <f t="shared" si="38"/>
        <v>7.6812761376999994E-2</v>
      </c>
      <c r="P172">
        <f t="shared" si="39"/>
        <v>0.14834331647780813</v>
      </c>
    </row>
    <row r="173" spans="1:16" x14ac:dyDescent="0.3">
      <c r="A173">
        <v>8.4070043499999993</v>
      </c>
      <c r="B173">
        <v>0.29252</v>
      </c>
      <c r="C173">
        <f t="shared" si="25"/>
        <v>2.4592169124619998</v>
      </c>
      <c r="D173">
        <v>1.8499999999999999E-2</v>
      </c>
      <c r="E173">
        <v>9.1900000000000003E-3</v>
      </c>
      <c r="F173">
        <f t="shared" si="26"/>
        <v>1681.4008699999999</v>
      </c>
      <c r="G173">
        <f t="shared" si="36"/>
        <v>-0.29252</v>
      </c>
      <c r="H173">
        <f t="shared" si="28"/>
        <v>-491.84338249239994</v>
      </c>
      <c r="I173">
        <v>1</v>
      </c>
      <c r="J173">
        <f t="shared" si="29"/>
        <v>0.5196272971448801</v>
      </c>
      <c r="K173">
        <f t="shared" si="30"/>
        <v>-0.88739057297601198</v>
      </c>
      <c r="L173">
        <v>1</v>
      </c>
      <c r="M173">
        <f t="shared" si="31"/>
        <v>0.50504603572238316</v>
      </c>
      <c r="N173">
        <f t="shared" si="37"/>
        <v>0.15552958047499998</v>
      </c>
      <c r="O173">
        <f t="shared" si="38"/>
        <v>7.7260369976500001E-2</v>
      </c>
      <c r="P173">
        <f t="shared" si="39"/>
        <v>0.14955458680212885</v>
      </c>
    </row>
    <row r="174" spans="1:16" x14ac:dyDescent="0.3">
      <c r="A174">
        <v>8.4561962499999996</v>
      </c>
      <c r="B174">
        <v>0.28974</v>
      </c>
      <c r="C174">
        <f t="shared" si="25"/>
        <v>2.4500983014749997</v>
      </c>
      <c r="D174">
        <v>1.8499999999999999E-2</v>
      </c>
      <c r="E174">
        <v>9.1900000000000003E-3</v>
      </c>
      <c r="F174">
        <f t="shared" si="26"/>
        <v>1691.2392499999999</v>
      </c>
      <c r="G174">
        <f t="shared" si="36"/>
        <v>-0.28974</v>
      </c>
      <c r="H174">
        <f t="shared" si="28"/>
        <v>-490.01966029499994</v>
      </c>
      <c r="I174">
        <v>1</v>
      </c>
      <c r="J174">
        <f t="shared" si="29"/>
        <v>0.52546154423727898</v>
      </c>
      <c r="K174">
        <f t="shared" si="30"/>
        <v>-0.89017057297601199</v>
      </c>
      <c r="L174">
        <v>1</v>
      </c>
      <c r="M174">
        <f t="shared" si="31"/>
        <v>0.50532724643223681</v>
      </c>
      <c r="N174">
        <f t="shared" si="37"/>
        <v>0.15643963062499999</v>
      </c>
      <c r="O174">
        <f t="shared" si="38"/>
        <v>7.7712443537499995E-2</v>
      </c>
      <c r="P174">
        <f t="shared" si="39"/>
        <v>0.15069125238127518</v>
      </c>
    </row>
    <row r="175" spans="1:16" x14ac:dyDescent="0.3">
      <c r="A175">
        <v>8.5044147999999993</v>
      </c>
      <c r="B175">
        <v>0.28638999999999998</v>
      </c>
      <c r="C175">
        <f t="shared" si="25"/>
        <v>2.4355793545719995</v>
      </c>
      <c r="D175">
        <v>1.8499999999999999E-2</v>
      </c>
      <c r="E175">
        <v>9.1900000000000003E-3</v>
      </c>
      <c r="F175">
        <f t="shared" si="26"/>
        <v>1700.8829599999999</v>
      </c>
      <c r="G175">
        <f t="shared" si="36"/>
        <v>-0.28638999999999998</v>
      </c>
      <c r="H175">
        <f t="shared" si="28"/>
        <v>-487.11587091439992</v>
      </c>
      <c r="I175">
        <v>1</v>
      </c>
      <c r="J175">
        <f t="shared" si="29"/>
        <v>0.53114750446208092</v>
      </c>
      <c r="K175">
        <f t="shared" si="30"/>
        <v>-0.89352057297601206</v>
      </c>
      <c r="L175">
        <v>1</v>
      </c>
      <c r="M175">
        <f t="shared" si="31"/>
        <v>0.50560130971507233</v>
      </c>
      <c r="N175">
        <f t="shared" si="37"/>
        <v>0.15733167379999999</v>
      </c>
      <c r="O175">
        <f t="shared" si="38"/>
        <v>7.8155572011999991E-2</v>
      </c>
      <c r="P175">
        <f t="shared" si="39"/>
        <v>0.15243201744893975</v>
      </c>
    </row>
    <row r="176" spans="1:16" x14ac:dyDescent="0.3">
      <c r="A176">
        <v>8.5536075500000006</v>
      </c>
      <c r="B176">
        <v>0.28405000000000002</v>
      </c>
      <c r="C176">
        <f t="shared" si="25"/>
        <v>2.4296522245775005</v>
      </c>
      <c r="D176">
        <v>1.8499999999999999E-2</v>
      </c>
      <c r="E176">
        <v>9.1900000000000003E-3</v>
      </c>
      <c r="F176">
        <f t="shared" si="26"/>
        <v>1710.7215100000001</v>
      </c>
      <c r="G176">
        <f t="shared" si="36"/>
        <v>-0.28405000000000002</v>
      </c>
      <c r="H176">
        <f t="shared" si="28"/>
        <v>-485.93044491550012</v>
      </c>
      <c r="I176">
        <v>1</v>
      </c>
      <c r="J176">
        <f t="shared" si="29"/>
        <v>0.53691521719725843</v>
      </c>
      <c r="K176">
        <f t="shared" si="30"/>
        <v>-0.89586057297601196</v>
      </c>
      <c r="L176">
        <v>1</v>
      </c>
      <c r="M176">
        <f t="shared" si="31"/>
        <v>0.5058793134689078</v>
      </c>
      <c r="N176">
        <f t="shared" si="37"/>
        <v>0.15824173967499999</v>
      </c>
      <c r="O176">
        <f t="shared" si="38"/>
        <v>7.8607653384500015E-2</v>
      </c>
      <c r="P176">
        <f t="shared" si="39"/>
        <v>0.15313186644760415</v>
      </c>
    </row>
    <row r="177" spans="1:16" x14ac:dyDescent="0.3">
      <c r="A177">
        <v>8.6023128</v>
      </c>
      <c r="B177">
        <v>0.28086</v>
      </c>
      <c r="C177">
        <f t="shared" si="25"/>
        <v>2.4160455730080002</v>
      </c>
      <c r="D177">
        <v>1.8499999999999999E-2</v>
      </c>
      <c r="E177">
        <v>9.1900000000000003E-3</v>
      </c>
      <c r="F177">
        <f t="shared" si="26"/>
        <v>1720.4625599999999</v>
      </c>
      <c r="G177">
        <f t="shared" si="36"/>
        <v>-0.28086</v>
      </c>
      <c r="H177">
        <f t="shared" si="28"/>
        <v>-483.20911460160005</v>
      </c>
      <c r="I177">
        <v>1</v>
      </c>
      <c r="J177">
        <f t="shared" si="29"/>
        <v>0.54259318490266673</v>
      </c>
      <c r="K177">
        <f t="shared" si="30"/>
        <v>-0.89905057297601199</v>
      </c>
      <c r="L177">
        <v>1</v>
      </c>
      <c r="M177">
        <f t="shared" si="31"/>
        <v>0.50615299151230853</v>
      </c>
      <c r="N177">
        <f t="shared" si="37"/>
        <v>0.15914278679999999</v>
      </c>
      <c r="O177">
        <f t="shared" si="38"/>
        <v>7.9055254631999999E-2</v>
      </c>
      <c r="P177">
        <f t="shared" si="39"/>
        <v>0.15469954003170347</v>
      </c>
    </row>
    <row r="178" spans="1:16" x14ac:dyDescent="0.3">
      <c r="A178">
        <v>8.6505311999999996</v>
      </c>
      <c r="B178">
        <v>0.27787000000000001</v>
      </c>
      <c r="C178">
        <f t="shared" si="25"/>
        <v>2.403723104544</v>
      </c>
      <c r="D178">
        <v>1.8499999999999999E-2</v>
      </c>
      <c r="E178">
        <v>9.1900000000000003E-3</v>
      </c>
      <c r="F178">
        <f t="shared" si="26"/>
        <v>1730.1062399999998</v>
      </c>
      <c r="G178">
        <f t="shared" si="36"/>
        <v>-0.27787000000000001</v>
      </c>
      <c r="H178">
        <f t="shared" si="28"/>
        <v>-480.74462090880002</v>
      </c>
      <c r="I178">
        <v>1</v>
      </c>
      <c r="J178">
        <f t="shared" si="29"/>
        <v>0.54818281702877003</v>
      </c>
      <c r="K178">
        <f t="shared" si="30"/>
        <v>-0.90204057297601192</v>
      </c>
      <c r="L178">
        <v>1</v>
      </c>
      <c r="M178">
        <f t="shared" si="31"/>
        <v>0.50642241178078673</v>
      </c>
      <c r="N178">
        <f t="shared" si="37"/>
        <v>0.16003482719999998</v>
      </c>
      <c r="O178">
        <f t="shared" si="38"/>
        <v>7.9498381728E-2</v>
      </c>
      <c r="P178">
        <f t="shared" si="39"/>
        <v>0.15608495226722521</v>
      </c>
    </row>
    <row r="179" spans="1:16" x14ac:dyDescent="0.3">
      <c r="A179">
        <v>8.7002107500000001</v>
      </c>
      <c r="B179">
        <v>0.27539999999999998</v>
      </c>
      <c r="C179">
        <f t="shared" si="25"/>
        <v>2.3960380405499997</v>
      </c>
      <c r="D179">
        <v>1.8499999999999999E-2</v>
      </c>
      <c r="E179">
        <v>9.1900000000000003E-3</v>
      </c>
      <c r="F179">
        <f t="shared" si="26"/>
        <v>1740.04215</v>
      </c>
      <c r="G179">
        <f t="shared" si="36"/>
        <v>-0.27539999999999998</v>
      </c>
      <c r="H179">
        <f t="shared" si="28"/>
        <v>-479.20760810999991</v>
      </c>
      <c r="I179">
        <v>1</v>
      </c>
      <c r="J179">
        <f t="shared" si="29"/>
        <v>0.55390933707096901</v>
      </c>
      <c r="K179">
        <f t="shared" si="30"/>
        <v>-0.90451057297601201</v>
      </c>
      <c r="L179">
        <v>1</v>
      </c>
      <c r="M179">
        <f t="shared" si="31"/>
        <v>0.50669843004682069</v>
      </c>
      <c r="N179">
        <f t="shared" si="37"/>
        <v>0.160953898875</v>
      </c>
      <c r="O179">
        <f t="shared" si="38"/>
        <v>7.99549367925E-2</v>
      </c>
      <c r="P179">
        <f t="shared" si="39"/>
        <v>0.15690330726169133</v>
      </c>
    </row>
    <row r="180" spans="1:16" x14ac:dyDescent="0.3">
      <c r="A180">
        <v>8.752325449999999</v>
      </c>
      <c r="B180">
        <v>0.27232000000000001</v>
      </c>
      <c r="C180">
        <f t="shared" si="25"/>
        <v>2.3834332665439999</v>
      </c>
      <c r="D180">
        <v>1.8499999999999999E-2</v>
      </c>
      <c r="E180">
        <v>9.1900000000000003E-3</v>
      </c>
      <c r="F180">
        <f t="shared" si="26"/>
        <v>1750.4650899999997</v>
      </c>
      <c r="G180">
        <f t="shared" si="36"/>
        <v>-0.27232000000000001</v>
      </c>
      <c r="H180">
        <f t="shared" si="28"/>
        <v>-476.68665330879998</v>
      </c>
      <c r="I180">
        <v>1</v>
      </c>
      <c r="J180">
        <f t="shared" si="29"/>
        <v>0.55988151834025668</v>
      </c>
      <c r="K180">
        <f t="shared" si="30"/>
        <v>-0.90759057297601198</v>
      </c>
      <c r="L180">
        <v>1</v>
      </c>
      <c r="M180">
        <f t="shared" si="31"/>
        <v>0.50698628918400035</v>
      </c>
      <c r="N180">
        <f t="shared" si="37"/>
        <v>0.16191802082499998</v>
      </c>
      <c r="O180">
        <f t="shared" si="38"/>
        <v>8.0433870885499997E-2</v>
      </c>
      <c r="P180">
        <f t="shared" si="39"/>
        <v>0.15825239208151165</v>
      </c>
    </row>
    <row r="181" spans="1:16" x14ac:dyDescent="0.3">
      <c r="A181">
        <v>8.8034668000000007</v>
      </c>
      <c r="B181">
        <v>0.26945999999999998</v>
      </c>
      <c r="C181">
        <f t="shared" si="25"/>
        <v>2.3721821639280001</v>
      </c>
      <c r="D181">
        <v>1.8499999999999999E-2</v>
      </c>
      <c r="E181">
        <v>9.1900000000000003E-3</v>
      </c>
      <c r="F181">
        <f t="shared" si="26"/>
        <v>1760.6933600000002</v>
      </c>
      <c r="G181">
        <f t="shared" si="36"/>
        <v>-0.26945999999999998</v>
      </c>
      <c r="H181">
        <f t="shared" si="28"/>
        <v>-474.4364327856</v>
      </c>
      <c r="I181">
        <v>1</v>
      </c>
      <c r="J181">
        <f t="shared" si="29"/>
        <v>0.56570768601579779</v>
      </c>
      <c r="K181">
        <f t="shared" si="30"/>
        <v>-0.91045057297601195</v>
      </c>
      <c r="L181">
        <v>1</v>
      </c>
      <c r="M181">
        <f t="shared" si="31"/>
        <v>0.5072671104659614</v>
      </c>
      <c r="N181">
        <f t="shared" si="37"/>
        <v>0.1628641358</v>
      </c>
      <c r="O181">
        <f t="shared" si="38"/>
        <v>8.090385989200001E-2</v>
      </c>
      <c r="P181">
        <f t="shared" si="39"/>
        <v>0.15941546681805052</v>
      </c>
    </row>
    <row r="182" spans="1:16" x14ac:dyDescent="0.3">
      <c r="A182">
        <v>8.8541205999999999</v>
      </c>
      <c r="B182">
        <v>0.26627000000000001</v>
      </c>
      <c r="C182">
        <f t="shared" si="25"/>
        <v>2.3575866921620001</v>
      </c>
      <c r="D182">
        <v>1.8499999999999999E-2</v>
      </c>
      <c r="E182">
        <v>9.1900000000000003E-3</v>
      </c>
      <c r="F182">
        <f t="shared" si="26"/>
        <v>1770.82412</v>
      </c>
      <c r="G182">
        <f t="shared" si="36"/>
        <v>-0.26627000000000001</v>
      </c>
      <c r="H182">
        <f t="shared" si="28"/>
        <v>-471.51733843240004</v>
      </c>
      <c r="I182">
        <v>1</v>
      </c>
      <c r="J182">
        <f t="shared" si="29"/>
        <v>0.57144504274536134</v>
      </c>
      <c r="K182">
        <f t="shared" si="30"/>
        <v>-0.91364057297601198</v>
      </c>
      <c r="L182">
        <v>1</v>
      </c>
      <c r="M182">
        <f t="shared" si="31"/>
        <v>0.5075436510603264</v>
      </c>
      <c r="N182">
        <f t="shared" si="37"/>
        <v>0.1638012311</v>
      </c>
      <c r="O182">
        <f t="shared" si="38"/>
        <v>8.1369368314000004E-2</v>
      </c>
      <c r="P182">
        <f t="shared" si="39"/>
        <v>0.16092632250168559</v>
      </c>
    </row>
    <row r="183" spans="1:16" x14ac:dyDescent="0.3">
      <c r="A183">
        <v>8.9042867500000007</v>
      </c>
      <c r="B183">
        <v>0.26304</v>
      </c>
      <c r="C183">
        <f t="shared" si="25"/>
        <v>2.34218358672</v>
      </c>
      <c r="D183">
        <v>1.8499999999999999E-2</v>
      </c>
      <c r="E183">
        <v>9.1900000000000003E-3</v>
      </c>
      <c r="F183">
        <f t="shared" si="26"/>
        <v>1780.8573500000002</v>
      </c>
      <c r="G183">
        <f t="shared" si="36"/>
        <v>-0.26304</v>
      </c>
      <c r="H183">
        <f t="shared" si="28"/>
        <v>-468.43671734399999</v>
      </c>
      <c r="I183">
        <v>1</v>
      </c>
      <c r="J183">
        <f t="shared" si="29"/>
        <v>0.57709490564771948</v>
      </c>
      <c r="K183">
        <f t="shared" si="30"/>
        <v>-0.91687057297601204</v>
      </c>
      <c r="L183">
        <v>1</v>
      </c>
      <c r="M183">
        <f t="shared" si="31"/>
        <v>0.50781597445222004</v>
      </c>
      <c r="N183">
        <f t="shared" si="37"/>
        <v>0.16472930487500001</v>
      </c>
      <c r="O183">
        <f t="shared" si="38"/>
        <v>8.1830395232500006E-2</v>
      </c>
      <c r="P183">
        <f t="shared" si="39"/>
        <v>0.162494898416292</v>
      </c>
    </row>
    <row r="184" spans="1:16" x14ac:dyDescent="0.3">
      <c r="A184">
        <v>8.9554281499999995</v>
      </c>
      <c r="B184">
        <v>0.25997999999999999</v>
      </c>
      <c r="C184">
        <f t="shared" si="25"/>
        <v>2.3282322104369997</v>
      </c>
      <c r="D184">
        <v>1.8499999999999999E-2</v>
      </c>
      <c r="E184">
        <v>9.1900000000000003E-3</v>
      </c>
      <c r="F184">
        <f t="shared" si="26"/>
        <v>1791.0856299999998</v>
      </c>
      <c r="G184">
        <f t="shared" si="36"/>
        <v>-0.25997999999999999</v>
      </c>
      <c r="H184">
        <f t="shared" si="28"/>
        <v>-465.64644208739992</v>
      </c>
      <c r="I184">
        <v>1</v>
      </c>
      <c r="J184">
        <f t="shared" si="29"/>
        <v>0.58282193321426712</v>
      </c>
      <c r="K184">
        <f t="shared" si="30"/>
        <v>-0.919930572976012</v>
      </c>
      <c r="L184">
        <v>1</v>
      </c>
      <c r="M184">
        <f t="shared" si="31"/>
        <v>0.50809201718092767</v>
      </c>
      <c r="N184">
        <f t="shared" si="37"/>
        <v>0.16567542077499997</v>
      </c>
      <c r="O184">
        <f t="shared" si="38"/>
        <v>8.2300384698499998E-2</v>
      </c>
      <c r="P184">
        <f t="shared" si="39"/>
        <v>0.16386275032158437</v>
      </c>
    </row>
    <row r="185" spans="1:16" x14ac:dyDescent="0.3">
      <c r="A185">
        <v>9.0036465999999997</v>
      </c>
      <c r="B185">
        <v>0.25688</v>
      </c>
      <c r="C185">
        <f t="shared" si="25"/>
        <v>2.3128567386080001</v>
      </c>
      <c r="D185">
        <v>1.8499999999999999E-2</v>
      </c>
      <c r="E185">
        <v>9.1900000000000003E-3</v>
      </c>
      <c r="F185">
        <f t="shared" si="26"/>
        <v>1800.7293199999999</v>
      </c>
      <c r="G185">
        <f t="shared" si="36"/>
        <v>-0.25688</v>
      </c>
      <c r="H185">
        <f t="shared" si="28"/>
        <v>-462.57134772160003</v>
      </c>
      <c r="I185">
        <v>1</v>
      </c>
      <c r="J185">
        <f t="shared" si="29"/>
        <v>0.58819176061754674</v>
      </c>
      <c r="K185">
        <f t="shared" si="30"/>
        <v>-0.92303057297601199</v>
      </c>
      <c r="L185">
        <v>1</v>
      </c>
      <c r="M185">
        <f t="shared" si="31"/>
        <v>0.50835084286176568</v>
      </c>
      <c r="N185">
        <f t="shared" si="37"/>
        <v>0.16656746209999998</v>
      </c>
      <c r="O185">
        <f t="shared" si="38"/>
        <v>8.2743512253999993E-2</v>
      </c>
      <c r="P185">
        <f t="shared" si="39"/>
        <v>0.16536875576024634</v>
      </c>
    </row>
    <row r="186" spans="1:16" x14ac:dyDescent="0.3">
      <c r="A186">
        <v>9.0533261500000002</v>
      </c>
      <c r="B186">
        <v>0.25383</v>
      </c>
      <c r="C186">
        <f t="shared" si="25"/>
        <v>2.2980057766545001</v>
      </c>
      <c r="D186">
        <v>1.8499999999999999E-2</v>
      </c>
      <c r="E186">
        <v>9.1900000000000003E-3</v>
      </c>
      <c r="F186">
        <f t="shared" si="26"/>
        <v>1810.6652300000001</v>
      </c>
      <c r="G186">
        <f t="shared" si="36"/>
        <v>-0.25383</v>
      </c>
      <c r="H186">
        <f t="shared" si="28"/>
        <v>-459.60115533090004</v>
      </c>
      <c r="I186">
        <v>1</v>
      </c>
      <c r="J186">
        <f t="shared" si="29"/>
        <v>0.59369430814172608</v>
      </c>
      <c r="K186">
        <f t="shared" si="30"/>
        <v>-0.92608057297601198</v>
      </c>
      <c r="L186">
        <v>1</v>
      </c>
      <c r="M186">
        <f t="shared" si="31"/>
        <v>0.50861606565243123</v>
      </c>
      <c r="N186">
        <f t="shared" si="37"/>
        <v>0.167486533775</v>
      </c>
      <c r="O186">
        <f t="shared" si="38"/>
        <v>8.3200067318500007E-2</v>
      </c>
      <c r="P186">
        <f t="shared" si="39"/>
        <v>0.16677790623008076</v>
      </c>
    </row>
    <row r="187" spans="1:16" x14ac:dyDescent="0.3">
      <c r="A187">
        <v>9.1020322</v>
      </c>
      <c r="B187">
        <v>0.25079000000000001</v>
      </c>
      <c r="C187">
        <f t="shared" si="25"/>
        <v>2.2826986554380002</v>
      </c>
      <c r="D187">
        <v>1.8499999999999999E-2</v>
      </c>
      <c r="E187">
        <v>9.1900000000000003E-3</v>
      </c>
      <c r="F187">
        <f t="shared" si="26"/>
        <v>1820.40644</v>
      </c>
      <c r="G187">
        <f t="shared" si="36"/>
        <v>-0.25079000000000001</v>
      </c>
      <c r="H187">
        <f t="shared" si="28"/>
        <v>-456.53973108760005</v>
      </c>
      <c r="I187">
        <v>1</v>
      </c>
      <c r="J187">
        <f t="shared" si="29"/>
        <v>0.59905979483811767</v>
      </c>
      <c r="K187">
        <f t="shared" si="30"/>
        <v>-0.92912057297601192</v>
      </c>
      <c r="L187">
        <v>1</v>
      </c>
      <c r="M187">
        <f t="shared" si="31"/>
        <v>0.50887468211119724</v>
      </c>
      <c r="N187">
        <f t="shared" si="37"/>
        <v>0.1683875957</v>
      </c>
      <c r="O187">
        <f t="shared" si="38"/>
        <v>8.3647675918E-2</v>
      </c>
      <c r="P187">
        <f t="shared" si="39"/>
        <v>0.16821061924681469</v>
      </c>
    </row>
    <row r="188" spans="1:16" x14ac:dyDescent="0.3">
      <c r="A188">
        <v>9.152198349999999</v>
      </c>
      <c r="B188">
        <v>0.24812999999999999</v>
      </c>
      <c r="C188">
        <f t="shared" si="25"/>
        <v>2.2709349765854996</v>
      </c>
      <c r="D188">
        <v>1.8499999999999999E-2</v>
      </c>
      <c r="E188">
        <v>9.1900000000000003E-3</v>
      </c>
      <c r="F188">
        <f t="shared" si="26"/>
        <v>1830.4396699999998</v>
      </c>
      <c r="G188">
        <f t="shared" ref="G188:G211" si="40">-B188</f>
        <v>-0.24812999999999999</v>
      </c>
      <c r="H188">
        <f t="shared" si="28"/>
        <v>-454.1869953170999</v>
      </c>
      <c r="I188">
        <v>1</v>
      </c>
      <c r="J188">
        <f t="shared" si="29"/>
        <v>0.60455619482688028</v>
      </c>
      <c r="K188">
        <f t="shared" ref="K188:K211" si="41">((-G188)-$N$2)</f>
        <v>-0.93178057297601202</v>
      </c>
      <c r="L188">
        <v>1</v>
      </c>
      <c r="M188">
        <f t="shared" si="31"/>
        <v>0.50913960859065566</v>
      </c>
      <c r="N188">
        <f t="shared" ref="N188:N211" si="42">D188*A188</f>
        <v>0.16931566947499999</v>
      </c>
      <c r="O188">
        <f t="shared" ref="O188:O211" si="43">E188*A188</f>
        <v>8.4108702836499988E-2</v>
      </c>
      <c r="P188">
        <f t="shared" ref="P188:P211" si="44">-K188-M188-N188-O188</f>
        <v>0.16921659207385639</v>
      </c>
    </row>
    <row r="189" spans="1:16" x14ac:dyDescent="0.3">
      <c r="C189">
        <f t="shared" si="25"/>
        <v>0</v>
      </c>
      <c r="D189">
        <v>1.8499999999999999E-2</v>
      </c>
      <c r="E189">
        <v>9.1900000000000003E-3</v>
      </c>
      <c r="F189">
        <f t="shared" si="26"/>
        <v>0</v>
      </c>
      <c r="G189">
        <f t="shared" si="40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41"/>
        <v>-1.179910572976012</v>
      </c>
      <c r="L189">
        <v>1</v>
      </c>
      <c r="M189" t="e">
        <f t="shared" si="31"/>
        <v>#NUM!</v>
      </c>
      <c r="N189">
        <f t="shared" si="42"/>
        <v>0</v>
      </c>
      <c r="O189">
        <f t="shared" si="43"/>
        <v>0</v>
      </c>
      <c r="P189" t="e">
        <f t="shared" si="44"/>
        <v>#NUM!</v>
      </c>
    </row>
    <row r="190" spans="1:16" x14ac:dyDescent="0.3">
      <c r="C190">
        <f t="shared" si="25"/>
        <v>0</v>
      </c>
      <c r="D190">
        <v>1.8499999999999999E-2</v>
      </c>
      <c r="E190">
        <v>9.1900000000000003E-3</v>
      </c>
      <c r="F190">
        <f t="shared" si="26"/>
        <v>0</v>
      </c>
      <c r="G190">
        <f t="shared" si="40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41"/>
        <v>-1.179910572976012</v>
      </c>
      <c r="L190">
        <v>1</v>
      </c>
      <c r="M190" t="e">
        <f t="shared" si="31"/>
        <v>#NUM!</v>
      </c>
      <c r="N190">
        <f t="shared" si="42"/>
        <v>0</v>
      </c>
      <c r="O190">
        <f t="shared" si="43"/>
        <v>0</v>
      </c>
      <c r="P190" t="e">
        <f t="shared" si="44"/>
        <v>#NUM!</v>
      </c>
    </row>
    <row r="191" spans="1:16" x14ac:dyDescent="0.3">
      <c r="C191">
        <f t="shared" si="25"/>
        <v>0</v>
      </c>
      <c r="D191">
        <v>1.8499999999999999E-2</v>
      </c>
      <c r="E191">
        <v>9.1900000000000003E-3</v>
      </c>
      <c r="F191">
        <f t="shared" si="26"/>
        <v>0</v>
      </c>
      <c r="G191">
        <f t="shared" si="40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41"/>
        <v>-1.179910572976012</v>
      </c>
      <c r="L191">
        <v>1</v>
      </c>
      <c r="M191" t="e">
        <f t="shared" si="31"/>
        <v>#NUM!</v>
      </c>
      <c r="N191">
        <f t="shared" si="42"/>
        <v>0</v>
      </c>
      <c r="O191">
        <f t="shared" si="43"/>
        <v>0</v>
      </c>
      <c r="P191" t="e">
        <f t="shared" si="44"/>
        <v>#NUM!</v>
      </c>
    </row>
    <row r="192" spans="1:16" x14ac:dyDescent="0.3">
      <c r="C192">
        <f t="shared" si="25"/>
        <v>0</v>
      </c>
      <c r="D192">
        <v>1.8499999999999999E-2</v>
      </c>
      <c r="E192">
        <v>9.1900000000000003E-3</v>
      </c>
      <c r="F192">
        <f t="shared" si="26"/>
        <v>0</v>
      </c>
      <c r="G192">
        <f t="shared" si="40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41"/>
        <v>-1.179910572976012</v>
      </c>
      <c r="L192">
        <v>1</v>
      </c>
      <c r="M192" t="e">
        <f t="shared" si="31"/>
        <v>#NUM!</v>
      </c>
      <c r="N192">
        <f t="shared" si="42"/>
        <v>0</v>
      </c>
      <c r="O192">
        <f t="shared" si="43"/>
        <v>0</v>
      </c>
      <c r="P192" t="e">
        <f t="shared" si="44"/>
        <v>#NUM!</v>
      </c>
    </row>
    <row r="193" spans="3:16" x14ac:dyDescent="0.3">
      <c r="C193">
        <f t="shared" si="25"/>
        <v>0</v>
      </c>
      <c r="D193">
        <v>1.8499999999999999E-2</v>
      </c>
      <c r="E193">
        <v>9.1900000000000003E-3</v>
      </c>
      <c r="F193">
        <f t="shared" si="26"/>
        <v>0</v>
      </c>
      <c r="G193">
        <f t="shared" si="40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41"/>
        <v>-1.179910572976012</v>
      </c>
      <c r="L193">
        <v>1</v>
      </c>
      <c r="M193" t="e">
        <f t="shared" si="31"/>
        <v>#NUM!</v>
      </c>
      <c r="N193">
        <f t="shared" si="42"/>
        <v>0</v>
      </c>
      <c r="O193">
        <f t="shared" si="43"/>
        <v>0</v>
      </c>
      <c r="P193" t="e">
        <f t="shared" si="44"/>
        <v>#NUM!</v>
      </c>
    </row>
    <row r="194" spans="3:16" x14ac:dyDescent="0.3">
      <c r="C194">
        <f t="shared" si="25"/>
        <v>0</v>
      </c>
      <c r="D194">
        <v>1.8499999999999999E-2</v>
      </c>
      <c r="E194">
        <v>9.1900000000000003E-3</v>
      </c>
      <c r="F194">
        <f t="shared" si="26"/>
        <v>0</v>
      </c>
      <c r="G194">
        <f t="shared" si="40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41"/>
        <v>-1.179910572976012</v>
      </c>
      <c r="L194">
        <v>1</v>
      </c>
      <c r="M194" t="e">
        <f t="shared" si="31"/>
        <v>#NUM!</v>
      </c>
      <c r="N194">
        <f t="shared" si="42"/>
        <v>0</v>
      </c>
      <c r="O194">
        <f t="shared" si="43"/>
        <v>0</v>
      </c>
      <c r="P194" t="e">
        <f t="shared" si="44"/>
        <v>#NUM!</v>
      </c>
    </row>
    <row r="195" spans="3:16" x14ac:dyDescent="0.3">
      <c r="C195">
        <f t="shared" si="25"/>
        <v>0</v>
      </c>
      <c r="D195">
        <v>1.8499999999999999E-2</v>
      </c>
      <c r="E195">
        <v>9.1900000000000003E-3</v>
      </c>
      <c r="F195">
        <f t="shared" si="26"/>
        <v>0</v>
      </c>
      <c r="G195">
        <f t="shared" si="40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41"/>
        <v>-1.179910572976012</v>
      </c>
      <c r="L195">
        <v>1</v>
      </c>
      <c r="M195" t="e">
        <f t="shared" si="31"/>
        <v>#NUM!</v>
      </c>
      <c r="N195">
        <f t="shared" si="42"/>
        <v>0</v>
      </c>
      <c r="O195">
        <f t="shared" si="43"/>
        <v>0</v>
      </c>
      <c r="P195" t="e">
        <f t="shared" si="44"/>
        <v>#NUM!</v>
      </c>
    </row>
    <row r="196" spans="3:16" x14ac:dyDescent="0.3">
      <c r="C196">
        <f t="shared" si="25"/>
        <v>0</v>
      </c>
      <c r="D196">
        <v>1.8499999999999999E-2</v>
      </c>
      <c r="E196">
        <v>9.1900000000000003E-3</v>
      </c>
      <c r="F196">
        <f t="shared" si="26"/>
        <v>0</v>
      </c>
      <c r="G196">
        <f t="shared" si="40"/>
        <v>0</v>
      </c>
      <c r="H196">
        <f t="shared" si="28"/>
        <v>0</v>
      </c>
      <c r="I196">
        <v>1</v>
      </c>
      <c r="J196" t="e">
        <f t="shared" si="29"/>
        <v>#NUM!</v>
      </c>
      <c r="K196">
        <f t="shared" si="41"/>
        <v>-1.179910572976012</v>
      </c>
      <c r="L196">
        <v>1</v>
      </c>
      <c r="M196" t="e">
        <f t="shared" si="31"/>
        <v>#NUM!</v>
      </c>
      <c r="N196">
        <f t="shared" si="42"/>
        <v>0</v>
      </c>
      <c r="O196">
        <f t="shared" si="43"/>
        <v>0</v>
      </c>
      <c r="P196" t="e">
        <f t="shared" si="44"/>
        <v>#NUM!</v>
      </c>
    </row>
    <row r="197" spans="3:16" x14ac:dyDescent="0.3">
      <c r="C197">
        <f t="shared" ref="C197:C211" si="45">A197*B197</f>
        <v>0</v>
      </c>
      <c r="D197">
        <v>1.8499999999999999E-2</v>
      </c>
      <c r="E197">
        <v>9.1900000000000003E-3</v>
      </c>
      <c r="F197">
        <f t="shared" ref="F197:F260" si="46">A197*200</f>
        <v>0</v>
      </c>
      <c r="G197">
        <f t="shared" si="40"/>
        <v>0</v>
      </c>
      <c r="H197">
        <f t="shared" ref="H197:H211" si="47">-C197*200</f>
        <v>0</v>
      </c>
      <c r="I197">
        <v>1</v>
      </c>
      <c r="J197" t="e">
        <f t="shared" ref="J197:J260" si="48">LN(F197/1000)</f>
        <v>#NUM!</v>
      </c>
      <c r="K197">
        <f t="shared" si="41"/>
        <v>-1.179910572976012</v>
      </c>
      <c r="L197">
        <v>1</v>
      </c>
      <c r="M197" t="e">
        <f t="shared" ref="M197:M260" si="49">-1*($S$4+($S$5*J197))</f>
        <v>#NUM!</v>
      </c>
      <c r="N197">
        <f t="shared" si="42"/>
        <v>0</v>
      </c>
      <c r="O197">
        <f t="shared" si="43"/>
        <v>0</v>
      </c>
      <c r="P197" t="e">
        <f t="shared" si="44"/>
        <v>#NUM!</v>
      </c>
    </row>
    <row r="198" spans="3:16" x14ac:dyDescent="0.3">
      <c r="C198">
        <f t="shared" si="45"/>
        <v>0</v>
      </c>
      <c r="D198">
        <v>1.8499999999999999E-2</v>
      </c>
      <c r="E198">
        <v>9.1900000000000003E-3</v>
      </c>
      <c r="F198">
        <f t="shared" si="46"/>
        <v>0</v>
      </c>
      <c r="G198">
        <f t="shared" si="40"/>
        <v>0</v>
      </c>
      <c r="H198">
        <f t="shared" si="47"/>
        <v>0</v>
      </c>
      <c r="I198">
        <v>1</v>
      </c>
      <c r="J198" t="e">
        <f t="shared" si="48"/>
        <v>#NUM!</v>
      </c>
      <c r="K198">
        <f t="shared" si="41"/>
        <v>-1.179910572976012</v>
      </c>
      <c r="L198">
        <v>1</v>
      </c>
      <c r="M198" t="e">
        <f t="shared" si="49"/>
        <v>#NUM!</v>
      </c>
      <c r="N198">
        <f t="shared" si="42"/>
        <v>0</v>
      </c>
      <c r="O198">
        <f t="shared" si="43"/>
        <v>0</v>
      </c>
      <c r="P198" t="e">
        <f t="shared" si="44"/>
        <v>#NUM!</v>
      </c>
    </row>
    <row r="199" spans="3:16" x14ac:dyDescent="0.3">
      <c r="C199">
        <f t="shared" si="45"/>
        <v>0</v>
      </c>
      <c r="D199">
        <v>1.8499999999999999E-2</v>
      </c>
      <c r="E199">
        <v>9.1900000000000003E-3</v>
      </c>
      <c r="F199">
        <f t="shared" si="46"/>
        <v>0</v>
      </c>
      <c r="G199">
        <f t="shared" si="40"/>
        <v>0</v>
      </c>
      <c r="H199">
        <f t="shared" si="47"/>
        <v>0</v>
      </c>
      <c r="I199">
        <v>1</v>
      </c>
      <c r="J199" t="e">
        <f t="shared" si="48"/>
        <v>#NUM!</v>
      </c>
      <c r="K199">
        <f t="shared" si="41"/>
        <v>-1.179910572976012</v>
      </c>
      <c r="L199">
        <v>1</v>
      </c>
      <c r="M199" t="e">
        <f t="shared" si="49"/>
        <v>#NUM!</v>
      </c>
      <c r="N199">
        <f t="shared" si="42"/>
        <v>0</v>
      </c>
      <c r="O199">
        <f t="shared" si="43"/>
        <v>0</v>
      </c>
      <c r="P199" t="e">
        <f t="shared" si="44"/>
        <v>#NUM!</v>
      </c>
    </row>
    <row r="200" spans="3:16" x14ac:dyDescent="0.3">
      <c r="C200">
        <f t="shared" si="45"/>
        <v>0</v>
      </c>
      <c r="D200">
        <v>1.8499999999999999E-2</v>
      </c>
      <c r="E200">
        <v>9.1900000000000003E-3</v>
      </c>
      <c r="F200">
        <f t="shared" si="46"/>
        <v>0</v>
      </c>
      <c r="G200">
        <f t="shared" si="40"/>
        <v>0</v>
      </c>
      <c r="H200">
        <f t="shared" si="47"/>
        <v>0</v>
      </c>
      <c r="I200">
        <v>1</v>
      </c>
      <c r="J200" t="e">
        <f t="shared" si="48"/>
        <v>#NUM!</v>
      </c>
      <c r="K200">
        <f t="shared" si="41"/>
        <v>-1.179910572976012</v>
      </c>
      <c r="L200">
        <v>1</v>
      </c>
      <c r="M200" t="e">
        <f t="shared" si="49"/>
        <v>#NUM!</v>
      </c>
      <c r="N200">
        <f t="shared" si="42"/>
        <v>0</v>
      </c>
      <c r="O200">
        <f t="shared" si="43"/>
        <v>0</v>
      </c>
      <c r="P200" t="e">
        <f t="shared" si="44"/>
        <v>#NUM!</v>
      </c>
    </row>
    <row r="201" spans="3:16" x14ac:dyDescent="0.3">
      <c r="C201">
        <f t="shared" si="45"/>
        <v>0</v>
      </c>
      <c r="D201">
        <v>1.8499999999999999E-2</v>
      </c>
      <c r="E201">
        <v>9.1900000000000003E-3</v>
      </c>
      <c r="F201">
        <f t="shared" si="46"/>
        <v>0</v>
      </c>
      <c r="G201">
        <f t="shared" si="40"/>
        <v>0</v>
      </c>
      <c r="H201">
        <f t="shared" si="47"/>
        <v>0</v>
      </c>
      <c r="I201">
        <v>1</v>
      </c>
      <c r="J201" t="e">
        <f t="shared" si="48"/>
        <v>#NUM!</v>
      </c>
      <c r="K201">
        <f t="shared" si="41"/>
        <v>-1.179910572976012</v>
      </c>
      <c r="L201">
        <v>1</v>
      </c>
      <c r="M201" t="e">
        <f t="shared" si="49"/>
        <v>#NUM!</v>
      </c>
      <c r="N201">
        <f t="shared" si="42"/>
        <v>0</v>
      </c>
      <c r="O201">
        <f t="shared" si="43"/>
        <v>0</v>
      </c>
      <c r="P201" t="e">
        <f t="shared" si="44"/>
        <v>#NUM!</v>
      </c>
    </row>
    <row r="202" spans="3:16" x14ac:dyDescent="0.3">
      <c r="C202">
        <f t="shared" si="45"/>
        <v>0</v>
      </c>
      <c r="D202">
        <v>1.8499999999999999E-2</v>
      </c>
      <c r="E202">
        <v>9.1900000000000003E-3</v>
      </c>
      <c r="F202">
        <f t="shared" si="46"/>
        <v>0</v>
      </c>
      <c r="G202">
        <f t="shared" si="40"/>
        <v>0</v>
      </c>
      <c r="H202">
        <f t="shared" si="47"/>
        <v>0</v>
      </c>
      <c r="I202">
        <v>1</v>
      </c>
      <c r="J202" t="e">
        <f t="shared" si="48"/>
        <v>#NUM!</v>
      </c>
      <c r="K202">
        <f t="shared" si="41"/>
        <v>-1.179910572976012</v>
      </c>
      <c r="L202">
        <v>1</v>
      </c>
      <c r="M202" t="e">
        <f t="shared" si="49"/>
        <v>#NUM!</v>
      </c>
      <c r="N202">
        <f t="shared" si="42"/>
        <v>0</v>
      </c>
      <c r="O202">
        <f t="shared" si="43"/>
        <v>0</v>
      </c>
      <c r="P202" t="e">
        <f t="shared" si="44"/>
        <v>#NUM!</v>
      </c>
    </row>
    <row r="203" spans="3:16" x14ac:dyDescent="0.3">
      <c r="C203">
        <f t="shared" si="45"/>
        <v>0</v>
      </c>
      <c r="D203">
        <v>1.8499999999999999E-2</v>
      </c>
      <c r="E203">
        <v>9.1900000000000003E-3</v>
      </c>
      <c r="F203">
        <f t="shared" si="46"/>
        <v>0</v>
      </c>
      <c r="G203">
        <f t="shared" si="40"/>
        <v>0</v>
      </c>
      <c r="H203">
        <f t="shared" si="47"/>
        <v>0</v>
      </c>
      <c r="I203">
        <v>1</v>
      </c>
      <c r="J203" t="e">
        <f t="shared" si="48"/>
        <v>#NUM!</v>
      </c>
      <c r="K203">
        <f t="shared" si="41"/>
        <v>-1.179910572976012</v>
      </c>
      <c r="L203">
        <v>1</v>
      </c>
      <c r="M203" t="e">
        <f t="shared" si="49"/>
        <v>#NUM!</v>
      </c>
      <c r="N203">
        <f t="shared" si="42"/>
        <v>0</v>
      </c>
      <c r="O203">
        <f t="shared" si="43"/>
        <v>0</v>
      </c>
      <c r="P203" t="e">
        <f t="shared" si="44"/>
        <v>#NUM!</v>
      </c>
    </row>
    <row r="204" spans="3:16" x14ac:dyDescent="0.3">
      <c r="C204">
        <f t="shared" si="45"/>
        <v>0</v>
      </c>
      <c r="D204">
        <v>1.8499999999999999E-2</v>
      </c>
      <c r="E204">
        <v>9.1900000000000003E-3</v>
      </c>
      <c r="F204">
        <f t="shared" si="46"/>
        <v>0</v>
      </c>
      <c r="G204">
        <f t="shared" si="40"/>
        <v>0</v>
      </c>
      <c r="H204">
        <f t="shared" si="47"/>
        <v>0</v>
      </c>
      <c r="I204">
        <v>1</v>
      </c>
      <c r="J204" t="e">
        <f t="shared" si="48"/>
        <v>#NUM!</v>
      </c>
      <c r="K204">
        <f t="shared" si="41"/>
        <v>-1.179910572976012</v>
      </c>
      <c r="L204">
        <v>1</v>
      </c>
      <c r="M204" t="e">
        <f t="shared" si="49"/>
        <v>#NUM!</v>
      </c>
      <c r="N204">
        <f t="shared" si="42"/>
        <v>0</v>
      </c>
      <c r="O204">
        <f t="shared" si="43"/>
        <v>0</v>
      </c>
      <c r="P204" t="e">
        <f t="shared" si="44"/>
        <v>#NUM!</v>
      </c>
    </row>
    <row r="205" spans="3:16" x14ac:dyDescent="0.3">
      <c r="C205">
        <f t="shared" si="45"/>
        <v>0</v>
      </c>
      <c r="D205">
        <v>1.8499999999999999E-2</v>
      </c>
      <c r="E205">
        <v>9.1900000000000003E-3</v>
      </c>
      <c r="F205">
        <f t="shared" si="46"/>
        <v>0</v>
      </c>
      <c r="G205">
        <f t="shared" si="40"/>
        <v>0</v>
      </c>
      <c r="H205">
        <f t="shared" si="47"/>
        <v>0</v>
      </c>
      <c r="I205">
        <v>1</v>
      </c>
      <c r="J205" t="e">
        <f t="shared" si="48"/>
        <v>#NUM!</v>
      </c>
      <c r="K205">
        <f t="shared" si="41"/>
        <v>-1.179910572976012</v>
      </c>
      <c r="L205">
        <v>1</v>
      </c>
      <c r="M205" t="e">
        <f t="shared" si="49"/>
        <v>#NUM!</v>
      </c>
      <c r="N205">
        <f t="shared" si="42"/>
        <v>0</v>
      </c>
      <c r="O205">
        <f t="shared" si="43"/>
        <v>0</v>
      </c>
      <c r="P205" t="e">
        <f t="shared" si="44"/>
        <v>#NUM!</v>
      </c>
    </row>
    <row r="206" spans="3:16" x14ac:dyDescent="0.3">
      <c r="C206">
        <f t="shared" si="45"/>
        <v>0</v>
      </c>
      <c r="D206">
        <v>1.8499999999999999E-2</v>
      </c>
      <c r="E206">
        <v>9.1900000000000003E-3</v>
      </c>
      <c r="F206">
        <f t="shared" si="46"/>
        <v>0</v>
      </c>
      <c r="G206">
        <f t="shared" si="40"/>
        <v>0</v>
      </c>
      <c r="H206">
        <f t="shared" si="47"/>
        <v>0</v>
      </c>
      <c r="I206">
        <v>1</v>
      </c>
      <c r="J206" t="e">
        <f t="shared" si="48"/>
        <v>#NUM!</v>
      </c>
      <c r="K206">
        <f t="shared" si="41"/>
        <v>-1.179910572976012</v>
      </c>
      <c r="L206">
        <v>1</v>
      </c>
      <c r="M206" t="e">
        <f t="shared" si="49"/>
        <v>#NUM!</v>
      </c>
      <c r="N206">
        <f t="shared" si="42"/>
        <v>0</v>
      </c>
      <c r="O206">
        <f t="shared" si="43"/>
        <v>0</v>
      </c>
      <c r="P206" t="e">
        <f t="shared" si="44"/>
        <v>#NUM!</v>
      </c>
    </row>
    <row r="207" spans="3:16" x14ac:dyDescent="0.3">
      <c r="C207">
        <f t="shared" si="45"/>
        <v>0</v>
      </c>
      <c r="D207">
        <v>1.8499999999999999E-2</v>
      </c>
      <c r="E207">
        <v>9.1900000000000003E-3</v>
      </c>
      <c r="F207">
        <f t="shared" si="46"/>
        <v>0</v>
      </c>
      <c r="G207">
        <f t="shared" si="40"/>
        <v>0</v>
      </c>
      <c r="H207">
        <f t="shared" si="47"/>
        <v>0</v>
      </c>
      <c r="I207">
        <v>1</v>
      </c>
      <c r="J207" t="e">
        <f t="shared" si="48"/>
        <v>#NUM!</v>
      </c>
      <c r="K207">
        <f t="shared" si="41"/>
        <v>-1.179910572976012</v>
      </c>
      <c r="L207">
        <v>1</v>
      </c>
      <c r="M207" t="e">
        <f t="shared" si="49"/>
        <v>#NUM!</v>
      </c>
      <c r="N207">
        <f t="shared" si="42"/>
        <v>0</v>
      </c>
      <c r="O207">
        <f t="shared" si="43"/>
        <v>0</v>
      </c>
      <c r="P207" t="e">
        <f t="shared" si="44"/>
        <v>#NUM!</v>
      </c>
    </row>
    <row r="208" spans="3:16" x14ac:dyDescent="0.3">
      <c r="C208">
        <f t="shared" si="45"/>
        <v>0</v>
      </c>
      <c r="D208">
        <v>1.8499999999999999E-2</v>
      </c>
      <c r="E208">
        <v>9.1900000000000003E-3</v>
      </c>
      <c r="F208">
        <f t="shared" si="46"/>
        <v>0</v>
      </c>
      <c r="G208">
        <f t="shared" si="40"/>
        <v>0</v>
      </c>
      <c r="H208">
        <f t="shared" si="47"/>
        <v>0</v>
      </c>
      <c r="I208">
        <v>1</v>
      </c>
      <c r="J208" t="e">
        <f t="shared" si="48"/>
        <v>#NUM!</v>
      </c>
      <c r="K208">
        <f t="shared" si="41"/>
        <v>-1.179910572976012</v>
      </c>
      <c r="L208">
        <v>1</v>
      </c>
      <c r="M208" t="e">
        <f t="shared" si="49"/>
        <v>#NUM!</v>
      </c>
      <c r="N208">
        <f t="shared" si="42"/>
        <v>0</v>
      </c>
      <c r="O208">
        <f t="shared" si="43"/>
        <v>0</v>
      </c>
      <c r="P208" t="e">
        <f t="shared" si="44"/>
        <v>#NUM!</v>
      </c>
    </row>
    <row r="209" spans="3:16" x14ac:dyDescent="0.3">
      <c r="C209">
        <f t="shared" si="45"/>
        <v>0</v>
      </c>
      <c r="D209">
        <v>1.8499999999999999E-2</v>
      </c>
      <c r="E209">
        <v>9.1900000000000003E-3</v>
      </c>
      <c r="F209">
        <f t="shared" si="46"/>
        <v>0</v>
      </c>
      <c r="G209">
        <f t="shared" si="40"/>
        <v>0</v>
      </c>
      <c r="H209">
        <f t="shared" si="47"/>
        <v>0</v>
      </c>
      <c r="I209">
        <v>1</v>
      </c>
      <c r="J209" t="e">
        <f t="shared" si="48"/>
        <v>#NUM!</v>
      </c>
      <c r="K209">
        <f t="shared" si="41"/>
        <v>-1.179910572976012</v>
      </c>
      <c r="L209">
        <v>1</v>
      </c>
      <c r="M209" t="e">
        <f t="shared" si="49"/>
        <v>#NUM!</v>
      </c>
      <c r="N209">
        <f t="shared" si="42"/>
        <v>0</v>
      </c>
      <c r="O209">
        <f t="shared" si="43"/>
        <v>0</v>
      </c>
      <c r="P209" t="e">
        <f t="shared" si="44"/>
        <v>#NUM!</v>
      </c>
    </row>
    <row r="210" spans="3:16" x14ac:dyDescent="0.3">
      <c r="C210">
        <f t="shared" si="45"/>
        <v>0</v>
      </c>
      <c r="D210">
        <v>1.8499999999999999E-2</v>
      </c>
      <c r="E210">
        <v>9.1900000000000003E-3</v>
      </c>
      <c r="F210">
        <f t="shared" si="46"/>
        <v>0</v>
      </c>
      <c r="G210">
        <f t="shared" si="40"/>
        <v>0</v>
      </c>
      <c r="H210">
        <f t="shared" si="47"/>
        <v>0</v>
      </c>
      <c r="I210">
        <v>1</v>
      </c>
      <c r="J210" t="e">
        <f t="shared" si="48"/>
        <v>#NUM!</v>
      </c>
      <c r="K210">
        <f t="shared" si="41"/>
        <v>-1.179910572976012</v>
      </c>
      <c r="L210">
        <v>1</v>
      </c>
      <c r="M210" t="e">
        <f t="shared" si="49"/>
        <v>#NUM!</v>
      </c>
      <c r="N210">
        <f t="shared" si="42"/>
        <v>0</v>
      </c>
      <c r="O210">
        <f t="shared" si="43"/>
        <v>0</v>
      </c>
      <c r="P210" t="e">
        <f t="shared" si="44"/>
        <v>#NUM!</v>
      </c>
    </row>
    <row r="211" spans="3:16" x14ac:dyDescent="0.3">
      <c r="C211">
        <f t="shared" si="45"/>
        <v>0</v>
      </c>
      <c r="D211">
        <v>1.8499999999999999E-2</v>
      </c>
      <c r="E211">
        <v>9.1900000000000003E-3</v>
      </c>
      <c r="F211">
        <f t="shared" si="46"/>
        <v>0</v>
      </c>
      <c r="G211">
        <f t="shared" si="40"/>
        <v>0</v>
      </c>
      <c r="H211">
        <f t="shared" si="47"/>
        <v>0</v>
      </c>
      <c r="I211">
        <v>1</v>
      </c>
      <c r="J211" t="e">
        <f t="shared" si="48"/>
        <v>#NUM!</v>
      </c>
      <c r="K211">
        <f t="shared" si="41"/>
        <v>-1.179910572976012</v>
      </c>
      <c r="L211">
        <v>1</v>
      </c>
      <c r="M211" t="e">
        <f t="shared" si="49"/>
        <v>#NUM!</v>
      </c>
      <c r="N211">
        <f t="shared" si="42"/>
        <v>0</v>
      </c>
      <c r="O211">
        <f t="shared" si="43"/>
        <v>0</v>
      </c>
      <c r="P211" t="e">
        <f t="shared" si="44"/>
        <v>#NUM!</v>
      </c>
    </row>
    <row r="212" spans="3:16" x14ac:dyDescent="0.3">
      <c r="C212">
        <f t="shared" ref="C212:C275" si="50">A212*B212</f>
        <v>0</v>
      </c>
      <c r="D212">
        <v>1.8499999999999999E-2</v>
      </c>
      <c r="E212">
        <v>9.1900000000000003E-3</v>
      </c>
      <c r="F212">
        <f t="shared" si="46"/>
        <v>0</v>
      </c>
      <c r="G212">
        <f t="shared" ref="G212:G275" si="51">-B212</f>
        <v>0</v>
      </c>
      <c r="H212">
        <f t="shared" ref="H212:H275" si="52">-C212*200</f>
        <v>0</v>
      </c>
      <c r="I212">
        <v>1</v>
      </c>
      <c r="J212" t="e">
        <f t="shared" si="48"/>
        <v>#NUM!</v>
      </c>
      <c r="K212">
        <f t="shared" ref="K212:K275" si="53">((-G212)-$N$2)</f>
        <v>-1.179910572976012</v>
      </c>
      <c r="L212">
        <v>1</v>
      </c>
      <c r="M212" t="e">
        <f t="shared" si="49"/>
        <v>#NUM!</v>
      </c>
      <c r="N212">
        <f t="shared" ref="N212:N275" si="54">D212*A212</f>
        <v>0</v>
      </c>
      <c r="O212">
        <f t="shared" ref="O212:O275" si="55">E212*A212</f>
        <v>0</v>
      </c>
      <c r="P212" t="e">
        <f t="shared" ref="P212:P275" si="56">-K212-M212-N212-O212</f>
        <v>#NUM!</v>
      </c>
    </row>
    <row r="213" spans="3:16" x14ac:dyDescent="0.3">
      <c r="C213">
        <f t="shared" si="50"/>
        <v>0</v>
      </c>
      <c r="D213">
        <v>1.8499999999999999E-2</v>
      </c>
      <c r="E213">
        <v>9.1900000000000003E-3</v>
      </c>
      <c r="F213">
        <f t="shared" si="46"/>
        <v>0</v>
      </c>
      <c r="G213">
        <f t="shared" si="51"/>
        <v>0</v>
      </c>
      <c r="H213">
        <f t="shared" si="52"/>
        <v>0</v>
      </c>
      <c r="I213">
        <v>1</v>
      </c>
      <c r="J213" t="e">
        <f t="shared" si="48"/>
        <v>#NUM!</v>
      </c>
      <c r="K213">
        <f t="shared" si="53"/>
        <v>-1.179910572976012</v>
      </c>
      <c r="L213">
        <v>1</v>
      </c>
      <c r="M213" t="e">
        <f t="shared" si="49"/>
        <v>#NUM!</v>
      </c>
      <c r="N213">
        <f t="shared" si="54"/>
        <v>0</v>
      </c>
      <c r="O213">
        <f t="shared" si="55"/>
        <v>0</v>
      </c>
      <c r="P213" t="e">
        <f t="shared" si="56"/>
        <v>#NUM!</v>
      </c>
    </row>
    <row r="214" spans="3:16" x14ac:dyDescent="0.3">
      <c r="C214">
        <f t="shared" si="50"/>
        <v>0</v>
      </c>
      <c r="D214">
        <v>1.8499999999999999E-2</v>
      </c>
      <c r="E214">
        <v>9.1900000000000003E-3</v>
      </c>
      <c r="F214">
        <f t="shared" si="46"/>
        <v>0</v>
      </c>
      <c r="G214">
        <f t="shared" si="51"/>
        <v>0</v>
      </c>
      <c r="H214">
        <f t="shared" si="52"/>
        <v>0</v>
      </c>
      <c r="I214">
        <v>1</v>
      </c>
      <c r="J214" t="e">
        <f t="shared" si="48"/>
        <v>#NUM!</v>
      </c>
      <c r="K214">
        <f t="shared" si="53"/>
        <v>-1.179910572976012</v>
      </c>
      <c r="L214">
        <v>1</v>
      </c>
      <c r="M214" t="e">
        <f t="shared" si="49"/>
        <v>#NUM!</v>
      </c>
      <c r="N214">
        <f t="shared" si="54"/>
        <v>0</v>
      </c>
      <c r="O214">
        <f t="shared" si="55"/>
        <v>0</v>
      </c>
      <c r="P214" t="e">
        <f t="shared" si="56"/>
        <v>#NUM!</v>
      </c>
    </row>
    <row r="215" spans="3:16" x14ac:dyDescent="0.3">
      <c r="C215">
        <f t="shared" si="50"/>
        <v>0</v>
      </c>
      <c r="D215">
        <v>1.8499999999999999E-2</v>
      </c>
      <c r="E215">
        <v>9.1900000000000003E-3</v>
      </c>
      <c r="F215">
        <f t="shared" si="46"/>
        <v>0</v>
      </c>
      <c r="G215">
        <f t="shared" si="51"/>
        <v>0</v>
      </c>
      <c r="H215">
        <f t="shared" si="52"/>
        <v>0</v>
      </c>
      <c r="I215">
        <v>1</v>
      </c>
      <c r="J215" t="e">
        <f t="shared" si="48"/>
        <v>#NUM!</v>
      </c>
      <c r="K215">
        <f t="shared" si="53"/>
        <v>-1.179910572976012</v>
      </c>
      <c r="L215">
        <v>1</v>
      </c>
      <c r="M215" t="e">
        <f t="shared" si="49"/>
        <v>#NUM!</v>
      </c>
      <c r="N215">
        <f t="shared" si="54"/>
        <v>0</v>
      </c>
      <c r="O215">
        <f t="shared" si="55"/>
        <v>0</v>
      </c>
      <c r="P215" t="e">
        <f t="shared" si="56"/>
        <v>#NUM!</v>
      </c>
    </row>
    <row r="216" spans="3:16" x14ac:dyDescent="0.3">
      <c r="C216">
        <f t="shared" si="50"/>
        <v>0</v>
      </c>
      <c r="D216">
        <v>1.8499999999999999E-2</v>
      </c>
      <c r="E216">
        <v>9.1900000000000003E-3</v>
      </c>
      <c r="F216">
        <f t="shared" si="46"/>
        <v>0</v>
      </c>
      <c r="G216">
        <f t="shared" si="51"/>
        <v>0</v>
      </c>
      <c r="H216">
        <f t="shared" si="52"/>
        <v>0</v>
      </c>
      <c r="I216">
        <v>1</v>
      </c>
      <c r="J216" t="e">
        <f t="shared" si="48"/>
        <v>#NUM!</v>
      </c>
      <c r="K216">
        <f t="shared" si="53"/>
        <v>-1.179910572976012</v>
      </c>
      <c r="L216">
        <v>1</v>
      </c>
      <c r="M216" t="e">
        <f t="shared" si="49"/>
        <v>#NUM!</v>
      </c>
      <c r="N216">
        <f t="shared" si="54"/>
        <v>0</v>
      </c>
      <c r="O216">
        <f t="shared" si="55"/>
        <v>0</v>
      </c>
      <c r="P216" t="e">
        <f t="shared" si="56"/>
        <v>#NUM!</v>
      </c>
    </row>
    <row r="217" spans="3:16" x14ac:dyDescent="0.3">
      <c r="C217">
        <f t="shared" si="50"/>
        <v>0</v>
      </c>
      <c r="D217">
        <v>1.8499999999999999E-2</v>
      </c>
      <c r="E217">
        <v>9.1900000000000003E-3</v>
      </c>
      <c r="F217">
        <f t="shared" si="46"/>
        <v>0</v>
      </c>
      <c r="G217">
        <f t="shared" si="51"/>
        <v>0</v>
      </c>
      <c r="H217">
        <f t="shared" si="52"/>
        <v>0</v>
      </c>
      <c r="I217">
        <v>1</v>
      </c>
      <c r="J217" t="e">
        <f t="shared" si="48"/>
        <v>#NUM!</v>
      </c>
      <c r="K217">
        <f t="shared" si="53"/>
        <v>-1.179910572976012</v>
      </c>
      <c r="L217">
        <v>1</v>
      </c>
      <c r="M217" t="e">
        <f t="shared" si="49"/>
        <v>#NUM!</v>
      </c>
      <c r="N217">
        <f t="shared" si="54"/>
        <v>0</v>
      </c>
      <c r="O217">
        <f t="shared" si="55"/>
        <v>0</v>
      </c>
      <c r="P217" t="e">
        <f t="shared" si="56"/>
        <v>#NUM!</v>
      </c>
    </row>
    <row r="218" spans="3:16" x14ac:dyDescent="0.3">
      <c r="C218">
        <f t="shared" si="50"/>
        <v>0</v>
      </c>
      <c r="D218">
        <v>1.8499999999999999E-2</v>
      </c>
      <c r="E218">
        <v>9.1900000000000003E-3</v>
      </c>
      <c r="F218">
        <f t="shared" si="46"/>
        <v>0</v>
      </c>
      <c r="G218">
        <f t="shared" si="51"/>
        <v>0</v>
      </c>
      <c r="H218">
        <f t="shared" si="52"/>
        <v>0</v>
      </c>
      <c r="I218">
        <v>1</v>
      </c>
      <c r="J218" t="e">
        <f t="shared" si="48"/>
        <v>#NUM!</v>
      </c>
      <c r="K218">
        <f t="shared" si="53"/>
        <v>-1.179910572976012</v>
      </c>
      <c r="L218">
        <v>1</v>
      </c>
      <c r="M218" t="e">
        <f t="shared" si="49"/>
        <v>#NUM!</v>
      </c>
      <c r="N218">
        <f t="shared" si="54"/>
        <v>0</v>
      </c>
      <c r="O218">
        <f t="shared" si="55"/>
        <v>0</v>
      </c>
      <c r="P218" t="e">
        <f t="shared" si="56"/>
        <v>#NUM!</v>
      </c>
    </row>
    <row r="219" spans="3:16" x14ac:dyDescent="0.3">
      <c r="C219">
        <f t="shared" si="50"/>
        <v>0</v>
      </c>
      <c r="D219">
        <v>1.8499999999999999E-2</v>
      </c>
      <c r="E219">
        <v>9.1900000000000003E-3</v>
      </c>
      <c r="F219">
        <f t="shared" si="46"/>
        <v>0</v>
      </c>
      <c r="G219">
        <f t="shared" si="51"/>
        <v>0</v>
      </c>
      <c r="H219">
        <f t="shared" si="52"/>
        <v>0</v>
      </c>
      <c r="I219">
        <v>1</v>
      </c>
      <c r="J219" t="e">
        <f t="shared" si="48"/>
        <v>#NUM!</v>
      </c>
      <c r="K219">
        <f t="shared" si="53"/>
        <v>-1.179910572976012</v>
      </c>
      <c r="L219">
        <v>1</v>
      </c>
      <c r="M219" t="e">
        <f t="shared" si="49"/>
        <v>#NUM!</v>
      </c>
      <c r="N219">
        <f t="shared" si="54"/>
        <v>0</v>
      </c>
      <c r="O219">
        <f t="shared" si="55"/>
        <v>0</v>
      </c>
      <c r="P219" t="e">
        <f t="shared" si="56"/>
        <v>#NUM!</v>
      </c>
    </row>
    <row r="220" spans="3:16" x14ac:dyDescent="0.3">
      <c r="C220">
        <f t="shared" si="50"/>
        <v>0</v>
      </c>
      <c r="D220">
        <v>1.8499999999999999E-2</v>
      </c>
      <c r="E220">
        <v>9.1900000000000003E-3</v>
      </c>
      <c r="F220">
        <f t="shared" si="46"/>
        <v>0</v>
      </c>
      <c r="G220">
        <f t="shared" si="51"/>
        <v>0</v>
      </c>
      <c r="H220">
        <f t="shared" si="52"/>
        <v>0</v>
      </c>
      <c r="I220">
        <v>1</v>
      </c>
      <c r="J220" t="e">
        <f t="shared" si="48"/>
        <v>#NUM!</v>
      </c>
      <c r="K220">
        <f t="shared" si="53"/>
        <v>-1.179910572976012</v>
      </c>
      <c r="L220">
        <v>1</v>
      </c>
      <c r="M220" t="e">
        <f t="shared" si="49"/>
        <v>#NUM!</v>
      </c>
      <c r="N220">
        <f t="shared" si="54"/>
        <v>0</v>
      </c>
      <c r="O220">
        <f t="shared" si="55"/>
        <v>0</v>
      </c>
      <c r="P220" t="e">
        <f t="shared" si="56"/>
        <v>#NUM!</v>
      </c>
    </row>
    <row r="221" spans="3:16" x14ac:dyDescent="0.3">
      <c r="C221">
        <f t="shared" si="50"/>
        <v>0</v>
      </c>
      <c r="D221">
        <v>1.8499999999999999E-2</v>
      </c>
      <c r="E221">
        <v>9.1900000000000003E-3</v>
      </c>
      <c r="F221">
        <f t="shared" si="46"/>
        <v>0</v>
      </c>
      <c r="G221">
        <f t="shared" si="51"/>
        <v>0</v>
      </c>
      <c r="H221">
        <f t="shared" si="52"/>
        <v>0</v>
      </c>
      <c r="I221">
        <v>1</v>
      </c>
      <c r="J221" t="e">
        <f t="shared" si="48"/>
        <v>#NUM!</v>
      </c>
      <c r="K221">
        <f t="shared" si="53"/>
        <v>-1.179910572976012</v>
      </c>
      <c r="L221">
        <v>1</v>
      </c>
      <c r="M221" t="e">
        <f t="shared" si="49"/>
        <v>#NUM!</v>
      </c>
      <c r="N221">
        <f t="shared" si="54"/>
        <v>0</v>
      </c>
      <c r="O221">
        <f t="shared" si="55"/>
        <v>0</v>
      </c>
      <c r="P221" t="e">
        <f t="shared" si="56"/>
        <v>#NUM!</v>
      </c>
    </row>
    <row r="222" spans="3:16" x14ac:dyDescent="0.3">
      <c r="C222">
        <f t="shared" si="50"/>
        <v>0</v>
      </c>
      <c r="D222">
        <v>1.8499999999999999E-2</v>
      </c>
      <c r="E222">
        <v>9.1900000000000003E-3</v>
      </c>
      <c r="F222">
        <f t="shared" si="46"/>
        <v>0</v>
      </c>
      <c r="G222">
        <f t="shared" si="51"/>
        <v>0</v>
      </c>
      <c r="H222">
        <f t="shared" si="52"/>
        <v>0</v>
      </c>
      <c r="I222">
        <v>1</v>
      </c>
      <c r="J222" t="e">
        <f t="shared" si="48"/>
        <v>#NUM!</v>
      </c>
      <c r="K222">
        <f t="shared" si="53"/>
        <v>-1.179910572976012</v>
      </c>
      <c r="L222">
        <v>1</v>
      </c>
      <c r="M222" t="e">
        <f t="shared" si="49"/>
        <v>#NUM!</v>
      </c>
      <c r="N222">
        <f t="shared" si="54"/>
        <v>0</v>
      </c>
      <c r="O222">
        <f t="shared" si="55"/>
        <v>0</v>
      </c>
      <c r="P222" t="e">
        <f t="shared" si="56"/>
        <v>#NUM!</v>
      </c>
    </row>
    <row r="223" spans="3:16" x14ac:dyDescent="0.3">
      <c r="C223">
        <f t="shared" si="50"/>
        <v>0</v>
      </c>
      <c r="D223">
        <v>1.8499999999999999E-2</v>
      </c>
      <c r="E223">
        <v>9.1900000000000003E-3</v>
      </c>
      <c r="F223">
        <f t="shared" si="46"/>
        <v>0</v>
      </c>
      <c r="G223">
        <f t="shared" si="51"/>
        <v>0</v>
      </c>
      <c r="H223">
        <f t="shared" si="52"/>
        <v>0</v>
      </c>
      <c r="I223">
        <v>1</v>
      </c>
      <c r="J223" t="e">
        <f t="shared" si="48"/>
        <v>#NUM!</v>
      </c>
      <c r="K223">
        <f t="shared" si="53"/>
        <v>-1.179910572976012</v>
      </c>
      <c r="L223">
        <v>1</v>
      </c>
      <c r="M223" t="e">
        <f t="shared" si="49"/>
        <v>#NUM!</v>
      </c>
      <c r="N223">
        <f t="shared" si="54"/>
        <v>0</v>
      </c>
      <c r="O223">
        <f t="shared" si="55"/>
        <v>0</v>
      </c>
      <c r="P223" t="e">
        <f t="shared" si="56"/>
        <v>#NUM!</v>
      </c>
    </row>
    <row r="224" spans="3:16" x14ac:dyDescent="0.3">
      <c r="C224">
        <f t="shared" si="50"/>
        <v>0</v>
      </c>
      <c r="D224">
        <v>1.8499999999999999E-2</v>
      </c>
      <c r="E224">
        <v>9.1900000000000003E-3</v>
      </c>
      <c r="F224">
        <f t="shared" si="46"/>
        <v>0</v>
      </c>
      <c r="G224">
        <f t="shared" si="51"/>
        <v>0</v>
      </c>
      <c r="H224">
        <f t="shared" si="52"/>
        <v>0</v>
      </c>
      <c r="I224">
        <v>1</v>
      </c>
      <c r="J224" t="e">
        <f t="shared" si="48"/>
        <v>#NUM!</v>
      </c>
      <c r="K224">
        <f t="shared" si="53"/>
        <v>-1.179910572976012</v>
      </c>
      <c r="L224">
        <v>1</v>
      </c>
      <c r="M224" t="e">
        <f t="shared" si="49"/>
        <v>#NUM!</v>
      </c>
      <c r="N224">
        <f t="shared" si="54"/>
        <v>0</v>
      </c>
      <c r="O224">
        <f t="shared" si="55"/>
        <v>0</v>
      </c>
      <c r="P224" t="e">
        <f t="shared" si="56"/>
        <v>#NUM!</v>
      </c>
    </row>
    <row r="225" spans="3:18" x14ac:dyDescent="0.3">
      <c r="C225">
        <f t="shared" si="50"/>
        <v>0</v>
      </c>
      <c r="D225">
        <v>1.8499999999999999E-2</v>
      </c>
      <c r="E225">
        <v>9.1900000000000003E-3</v>
      </c>
      <c r="F225">
        <f t="shared" si="46"/>
        <v>0</v>
      </c>
      <c r="G225">
        <f t="shared" si="51"/>
        <v>0</v>
      </c>
      <c r="H225">
        <f t="shared" si="52"/>
        <v>0</v>
      </c>
      <c r="I225">
        <v>1</v>
      </c>
      <c r="J225" t="e">
        <f t="shared" si="48"/>
        <v>#NUM!</v>
      </c>
      <c r="K225">
        <f t="shared" si="53"/>
        <v>-1.179910572976012</v>
      </c>
      <c r="L225">
        <v>1</v>
      </c>
      <c r="M225" t="e">
        <f t="shared" si="49"/>
        <v>#NUM!</v>
      </c>
      <c r="N225">
        <f t="shared" si="54"/>
        <v>0</v>
      </c>
      <c r="O225">
        <f t="shared" si="55"/>
        <v>0</v>
      </c>
      <c r="P225" t="e">
        <f t="shared" si="56"/>
        <v>#NUM!</v>
      </c>
      <c r="R225" t="e">
        <f>O225+N225+M225</f>
        <v>#NUM!</v>
      </c>
    </row>
    <row r="226" spans="3:18" x14ac:dyDescent="0.3">
      <c r="C226">
        <f t="shared" si="50"/>
        <v>0</v>
      </c>
      <c r="D226">
        <v>1.8499999999999999E-2</v>
      </c>
      <c r="E226">
        <v>9.1900000000000003E-3</v>
      </c>
      <c r="F226">
        <f t="shared" si="46"/>
        <v>0</v>
      </c>
      <c r="G226">
        <f t="shared" si="51"/>
        <v>0</v>
      </c>
      <c r="H226">
        <f t="shared" si="52"/>
        <v>0</v>
      </c>
      <c r="I226">
        <v>1</v>
      </c>
      <c r="J226" t="e">
        <f t="shared" si="48"/>
        <v>#NUM!</v>
      </c>
      <c r="K226">
        <f t="shared" si="53"/>
        <v>-1.179910572976012</v>
      </c>
      <c r="L226">
        <v>1</v>
      </c>
      <c r="M226" t="e">
        <f t="shared" si="49"/>
        <v>#NUM!</v>
      </c>
      <c r="N226">
        <f t="shared" si="54"/>
        <v>0</v>
      </c>
      <c r="O226">
        <f t="shared" si="55"/>
        <v>0</v>
      </c>
      <c r="P226" t="e">
        <f t="shared" si="56"/>
        <v>#NUM!</v>
      </c>
    </row>
    <row r="227" spans="3:18" x14ac:dyDescent="0.3">
      <c r="C227">
        <f t="shared" si="50"/>
        <v>0</v>
      </c>
      <c r="D227">
        <v>1.8499999999999999E-2</v>
      </c>
      <c r="E227">
        <v>9.1900000000000003E-3</v>
      </c>
      <c r="F227">
        <f t="shared" si="46"/>
        <v>0</v>
      </c>
      <c r="G227">
        <f t="shared" si="51"/>
        <v>0</v>
      </c>
      <c r="H227">
        <f t="shared" si="52"/>
        <v>0</v>
      </c>
      <c r="I227">
        <v>1</v>
      </c>
      <c r="J227" t="e">
        <f t="shared" si="48"/>
        <v>#NUM!</v>
      </c>
      <c r="K227">
        <f t="shared" si="53"/>
        <v>-1.179910572976012</v>
      </c>
      <c r="L227">
        <v>1</v>
      </c>
      <c r="M227" t="e">
        <f t="shared" si="49"/>
        <v>#NUM!</v>
      </c>
      <c r="N227">
        <f t="shared" si="54"/>
        <v>0</v>
      </c>
      <c r="O227">
        <f t="shared" si="55"/>
        <v>0</v>
      </c>
      <c r="P227" t="e">
        <f t="shared" si="56"/>
        <v>#NUM!</v>
      </c>
    </row>
    <row r="228" spans="3:18" x14ac:dyDescent="0.3">
      <c r="C228">
        <f t="shared" si="50"/>
        <v>0</v>
      </c>
      <c r="D228">
        <v>1.8499999999999999E-2</v>
      </c>
      <c r="E228">
        <v>9.1900000000000003E-3</v>
      </c>
      <c r="F228">
        <f t="shared" si="46"/>
        <v>0</v>
      </c>
      <c r="G228">
        <f t="shared" si="51"/>
        <v>0</v>
      </c>
      <c r="H228">
        <f t="shared" si="52"/>
        <v>0</v>
      </c>
      <c r="I228">
        <v>1</v>
      </c>
      <c r="J228" t="e">
        <f t="shared" si="48"/>
        <v>#NUM!</v>
      </c>
      <c r="K228">
        <f t="shared" si="53"/>
        <v>-1.179910572976012</v>
      </c>
      <c r="L228">
        <v>1</v>
      </c>
      <c r="M228" t="e">
        <f t="shared" si="49"/>
        <v>#NUM!</v>
      </c>
      <c r="N228">
        <f t="shared" si="54"/>
        <v>0</v>
      </c>
      <c r="O228">
        <f t="shared" si="55"/>
        <v>0</v>
      </c>
      <c r="P228" t="e">
        <f t="shared" si="56"/>
        <v>#NUM!</v>
      </c>
    </row>
    <row r="229" spans="3:18" x14ac:dyDescent="0.3">
      <c r="C229">
        <f t="shared" si="50"/>
        <v>0</v>
      </c>
      <c r="D229">
        <v>1.8499999999999999E-2</v>
      </c>
      <c r="E229">
        <v>9.1900000000000003E-3</v>
      </c>
      <c r="F229">
        <f t="shared" si="46"/>
        <v>0</v>
      </c>
      <c r="G229">
        <f t="shared" si="51"/>
        <v>0</v>
      </c>
      <c r="H229">
        <f t="shared" si="52"/>
        <v>0</v>
      </c>
      <c r="I229">
        <v>1</v>
      </c>
      <c r="J229" t="e">
        <f t="shared" si="48"/>
        <v>#NUM!</v>
      </c>
      <c r="K229">
        <f t="shared" si="53"/>
        <v>-1.179910572976012</v>
      </c>
      <c r="L229">
        <v>1</v>
      </c>
      <c r="M229" t="e">
        <f t="shared" si="49"/>
        <v>#NUM!</v>
      </c>
      <c r="N229">
        <f t="shared" si="54"/>
        <v>0</v>
      </c>
      <c r="O229">
        <f t="shared" si="55"/>
        <v>0</v>
      </c>
      <c r="P229" t="e">
        <f t="shared" si="56"/>
        <v>#NUM!</v>
      </c>
    </row>
    <row r="230" spans="3:18" x14ac:dyDescent="0.3">
      <c r="C230">
        <f t="shared" si="50"/>
        <v>0</v>
      </c>
      <c r="D230">
        <v>1.8499999999999999E-2</v>
      </c>
      <c r="E230">
        <v>9.1900000000000003E-3</v>
      </c>
      <c r="F230">
        <f t="shared" si="46"/>
        <v>0</v>
      </c>
      <c r="G230">
        <f t="shared" si="51"/>
        <v>0</v>
      </c>
      <c r="H230">
        <f t="shared" si="52"/>
        <v>0</v>
      </c>
      <c r="I230">
        <v>1</v>
      </c>
      <c r="J230" t="e">
        <f t="shared" si="48"/>
        <v>#NUM!</v>
      </c>
      <c r="K230">
        <f t="shared" si="53"/>
        <v>-1.179910572976012</v>
      </c>
      <c r="L230">
        <v>1</v>
      </c>
      <c r="M230" t="e">
        <f t="shared" si="49"/>
        <v>#NUM!</v>
      </c>
      <c r="N230">
        <f t="shared" si="54"/>
        <v>0</v>
      </c>
      <c r="O230">
        <f t="shared" si="55"/>
        <v>0</v>
      </c>
      <c r="P230" t="e">
        <f t="shared" si="56"/>
        <v>#NUM!</v>
      </c>
    </row>
    <row r="231" spans="3:18" x14ac:dyDescent="0.3">
      <c r="C231">
        <f t="shared" si="50"/>
        <v>0</v>
      </c>
      <c r="D231">
        <v>1.8499999999999999E-2</v>
      </c>
      <c r="E231">
        <v>9.1900000000000003E-3</v>
      </c>
      <c r="F231">
        <f t="shared" si="46"/>
        <v>0</v>
      </c>
      <c r="G231">
        <f t="shared" si="51"/>
        <v>0</v>
      </c>
      <c r="H231">
        <f t="shared" si="52"/>
        <v>0</v>
      </c>
      <c r="I231">
        <v>1</v>
      </c>
      <c r="J231" t="e">
        <f t="shared" si="48"/>
        <v>#NUM!</v>
      </c>
      <c r="K231">
        <f t="shared" si="53"/>
        <v>-1.179910572976012</v>
      </c>
      <c r="L231">
        <v>1</v>
      </c>
      <c r="M231" t="e">
        <f t="shared" si="49"/>
        <v>#NUM!</v>
      </c>
      <c r="N231">
        <f t="shared" si="54"/>
        <v>0</v>
      </c>
      <c r="O231">
        <f t="shared" si="55"/>
        <v>0</v>
      </c>
      <c r="P231" t="e">
        <f t="shared" si="56"/>
        <v>#NUM!</v>
      </c>
    </row>
    <row r="232" spans="3:18" x14ac:dyDescent="0.3">
      <c r="C232">
        <f t="shared" si="50"/>
        <v>0</v>
      </c>
      <c r="D232">
        <v>1.8499999999999999E-2</v>
      </c>
      <c r="E232">
        <v>9.1900000000000003E-3</v>
      </c>
      <c r="F232">
        <f t="shared" si="46"/>
        <v>0</v>
      </c>
      <c r="G232">
        <f t="shared" si="51"/>
        <v>0</v>
      </c>
      <c r="H232">
        <f t="shared" si="52"/>
        <v>0</v>
      </c>
      <c r="I232">
        <v>1</v>
      </c>
      <c r="J232" t="e">
        <f t="shared" si="48"/>
        <v>#NUM!</v>
      </c>
      <c r="K232">
        <f t="shared" si="53"/>
        <v>-1.179910572976012</v>
      </c>
      <c r="L232">
        <v>1</v>
      </c>
      <c r="M232" t="e">
        <f t="shared" si="49"/>
        <v>#NUM!</v>
      </c>
      <c r="N232">
        <f t="shared" si="54"/>
        <v>0</v>
      </c>
      <c r="O232">
        <f t="shared" si="55"/>
        <v>0</v>
      </c>
      <c r="P232" t="e">
        <f t="shared" si="56"/>
        <v>#NUM!</v>
      </c>
    </row>
    <row r="233" spans="3:18" x14ac:dyDescent="0.3">
      <c r="C233">
        <f t="shared" si="50"/>
        <v>0</v>
      </c>
      <c r="D233">
        <v>1.8499999999999999E-2</v>
      </c>
      <c r="E233">
        <v>9.1900000000000003E-3</v>
      </c>
      <c r="F233">
        <f t="shared" si="46"/>
        <v>0</v>
      </c>
      <c r="G233">
        <f t="shared" si="51"/>
        <v>0</v>
      </c>
      <c r="H233">
        <f t="shared" si="52"/>
        <v>0</v>
      </c>
      <c r="I233">
        <v>1</v>
      </c>
      <c r="J233" t="e">
        <f t="shared" si="48"/>
        <v>#NUM!</v>
      </c>
      <c r="K233">
        <f t="shared" si="53"/>
        <v>-1.179910572976012</v>
      </c>
      <c r="L233">
        <v>1</v>
      </c>
      <c r="M233" t="e">
        <f t="shared" si="49"/>
        <v>#NUM!</v>
      </c>
      <c r="N233">
        <f t="shared" si="54"/>
        <v>0</v>
      </c>
      <c r="O233">
        <f t="shared" si="55"/>
        <v>0</v>
      </c>
      <c r="P233" t="e">
        <f t="shared" si="56"/>
        <v>#NUM!</v>
      </c>
    </row>
    <row r="234" spans="3:18" x14ac:dyDescent="0.3">
      <c r="C234">
        <f t="shared" si="50"/>
        <v>0</v>
      </c>
      <c r="D234">
        <v>1.8499999999999999E-2</v>
      </c>
      <c r="E234">
        <v>9.1900000000000003E-3</v>
      </c>
      <c r="F234">
        <f t="shared" si="46"/>
        <v>0</v>
      </c>
      <c r="G234">
        <f t="shared" si="51"/>
        <v>0</v>
      </c>
      <c r="H234">
        <f t="shared" si="52"/>
        <v>0</v>
      </c>
      <c r="I234">
        <v>1</v>
      </c>
      <c r="J234" t="e">
        <f t="shared" si="48"/>
        <v>#NUM!</v>
      </c>
      <c r="K234">
        <f t="shared" si="53"/>
        <v>-1.179910572976012</v>
      </c>
      <c r="L234">
        <v>1</v>
      </c>
      <c r="M234" t="e">
        <f t="shared" si="49"/>
        <v>#NUM!</v>
      </c>
      <c r="N234">
        <f t="shared" si="54"/>
        <v>0</v>
      </c>
      <c r="O234">
        <f t="shared" si="55"/>
        <v>0</v>
      </c>
      <c r="P234" t="e">
        <f t="shared" si="56"/>
        <v>#NUM!</v>
      </c>
    </row>
    <row r="235" spans="3:18" x14ac:dyDescent="0.3">
      <c r="C235">
        <f t="shared" si="50"/>
        <v>0</v>
      </c>
      <c r="D235">
        <v>1.8499999999999999E-2</v>
      </c>
      <c r="E235">
        <v>9.1900000000000003E-3</v>
      </c>
      <c r="F235">
        <f t="shared" si="46"/>
        <v>0</v>
      </c>
      <c r="G235">
        <f t="shared" si="51"/>
        <v>0</v>
      </c>
      <c r="H235">
        <f t="shared" si="52"/>
        <v>0</v>
      </c>
      <c r="I235">
        <v>1</v>
      </c>
      <c r="J235" t="e">
        <f t="shared" si="48"/>
        <v>#NUM!</v>
      </c>
      <c r="K235">
        <f t="shared" si="53"/>
        <v>-1.179910572976012</v>
      </c>
      <c r="L235">
        <v>1</v>
      </c>
      <c r="M235" t="e">
        <f t="shared" si="49"/>
        <v>#NUM!</v>
      </c>
      <c r="N235">
        <f t="shared" si="54"/>
        <v>0</v>
      </c>
      <c r="O235">
        <f t="shared" si="55"/>
        <v>0</v>
      </c>
      <c r="P235" t="e">
        <f t="shared" si="56"/>
        <v>#NUM!</v>
      </c>
    </row>
    <row r="236" spans="3:18" x14ac:dyDescent="0.3">
      <c r="C236">
        <f t="shared" si="50"/>
        <v>0</v>
      </c>
      <c r="D236">
        <v>1.8499999999999999E-2</v>
      </c>
      <c r="E236">
        <v>9.1900000000000003E-3</v>
      </c>
      <c r="F236">
        <f t="shared" si="46"/>
        <v>0</v>
      </c>
      <c r="G236">
        <f t="shared" si="51"/>
        <v>0</v>
      </c>
      <c r="H236">
        <f t="shared" si="52"/>
        <v>0</v>
      </c>
      <c r="I236">
        <v>1</v>
      </c>
      <c r="J236" t="e">
        <f t="shared" si="48"/>
        <v>#NUM!</v>
      </c>
      <c r="K236">
        <f t="shared" si="53"/>
        <v>-1.179910572976012</v>
      </c>
      <c r="L236">
        <v>1</v>
      </c>
      <c r="M236" t="e">
        <f t="shared" si="49"/>
        <v>#NUM!</v>
      </c>
      <c r="N236">
        <f t="shared" si="54"/>
        <v>0</v>
      </c>
      <c r="O236">
        <f t="shared" si="55"/>
        <v>0</v>
      </c>
      <c r="P236" t="e">
        <f t="shared" si="56"/>
        <v>#NUM!</v>
      </c>
    </row>
    <row r="237" spans="3:18" x14ac:dyDescent="0.3">
      <c r="C237">
        <f t="shared" si="50"/>
        <v>0</v>
      </c>
      <c r="D237">
        <v>1.8499999999999999E-2</v>
      </c>
      <c r="E237">
        <v>9.1900000000000003E-3</v>
      </c>
      <c r="F237">
        <f t="shared" si="46"/>
        <v>0</v>
      </c>
      <c r="G237">
        <f t="shared" si="51"/>
        <v>0</v>
      </c>
      <c r="H237">
        <f t="shared" si="52"/>
        <v>0</v>
      </c>
      <c r="I237">
        <v>1</v>
      </c>
      <c r="J237" t="e">
        <f t="shared" si="48"/>
        <v>#NUM!</v>
      </c>
      <c r="K237">
        <f t="shared" si="53"/>
        <v>-1.179910572976012</v>
      </c>
      <c r="L237">
        <v>1</v>
      </c>
      <c r="M237" t="e">
        <f t="shared" si="49"/>
        <v>#NUM!</v>
      </c>
      <c r="N237">
        <f t="shared" si="54"/>
        <v>0</v>
      </c>
      <c r="O237">
        <f t="shared" si="55"/>
        <v>0</v>
      </c>
      <c r="P237" t="e">
        <f t="shared" si="56"/>
        <v>#NUM!</v>
      </c>
    </row>
    <row r="238" spans="3:18" x14ac:dyDescent="0.3">
      <c r="C238">
        <f t="shared" si="50"/>
        <v>0</v>
      </c>
      <c r="D238">
        <v>1.8499999999999999E-2</v>
      </c>
      <c r="E238">
        <v>9.1900000000000003E-3</v>
      </c>
      <c r="F238">
        <f t="shared" si="46"/>
        <v>0</v>
      </c>
      <c r="G238">
        <f t="shared" si="51"/>
        <v>0</v>
      </c>
      <c r="H238">
        <f t="shared" si="52"/>
        <v>0</v>
      </c>
      <c r="I238">
        <v>1</v>
      </c>
      <c r="J238" t="e">
        <f t="shared" si="48"/>
        <v>#NUM!</v>
      </c>
      <c r="K238">
        <f t="shared" si="53"/>
        <v>-1.179910572976012</v>
      </c>
      <c r="L238">
        <v>1</v>
      </c>
      <c r="M238" t="e">
        <f t="shared" si="49"/>
        <v>#NUM!</v>
      </c>
      <c r="N238">
        <f t="shared" si="54"/>
        <v>0</v>
      </c>
      <c r="O238">
        <f t="shared" si="55"/>
        <v>0</v>
      </c>
      <c r="P238" t="e">
        <f t="shared" si="56"/>
        <v>#NUM!</v>
      </c>
    </row>
    <row r="239" spans="3:18" x14ac:dyDescent="0.3">
      <c r="C239">
        <f t="shared" si="50"/>
        <v>0</v>
      </c>
      <c r="D239">
        <v>1.8499999999999999E-2</v>
      </c>
      <c r="E239">
        <v>9.1900000000000003E-3</v>
      </c>
      <c r="F239">
        <f t="shared" si="46"/>
        <v>0</v>
      </c>
      <c r="G239">
        <f t="shared" si="51"/>
        <v>0</v>
      </c>
      <c r="H239">
        <f t="shared" si="52"/>
        <v>0</v>
      </c>
      <c r="I239">
        <v>1</v>
      </c>
      <c r="J239" t="e">
        <f t="shared" si="48"/>
        <v>#NUM!</v>
      </c>
      <c r="K239">
        <f t="shared" si="53"/>
        <v>-1.179910572976012</v>
      </c>
      <c r="L239">
        <v>1</v>
      </c>
      <c r="M239" t="e">
        <f t="shared" si="49"/>
        <v>#NUM!</v>
      </c>
      <c r="N239">
        <f t="shared" si="54"/>
        <v>0</v>
      </c>
      <c r="O239">
        <f t="shared" si="55"/>
        <v>0</v>
      </c>
      <c r="P239" t="e">
        <f t="shared" si="56"/>
        <v>#NUM!</v>
      </c>
    </row>
    <row r="240" spans="3:18" x14ac:dyDescent="0.3">
      <c r="C240">
        <f t="shared" si="50"/>
        <v>0</v>
      </c>
      <c r="D240">
        <v>1.8499999999999999E-2</v>
      </c>
      <c r="E240">
        <v>9.1900000000000003E-3</v>
      </c>
      <c r="F240">
        <f t="shared" si="46"/>
        <v>0</v>
      </c>
      <c r="G240">
        <f t="shared" si="51"/>
        <v>0</v>
      </c>
      <c r="H240">
        <f t="shared" si="52"/>
        <v>0</v>
      </c>
      <c r="I240">
        <v>1</v>
      </c>
      <c r="J240" t="e">
        <f t="shared" si="48"/>
        <v>#NUM!</v>
      </c>
      <c r="K240">
        <f t="shared" si="53"/>
        <v>-1.179910572976012</v>
      </c>
      <c r="L240">
        <v>1</v>
      </c>
      <c r="M240" t="e">
        <f t="shared" si="49"/>
        <v>#NUM!</v>
      </c>
      <c r="N240">
        <f t="shared" si="54"/>
        <v>0</v>
      </c>
      <c r="O240">
        <f t="shared" si="55"/>
        <v>0</v>
      </c>
      <c r="P240" t="e">
        <f t="shared" si="56"/>
        <v>#NUM!</v>
      </c>
    </row>
    <row r="241" spans="3:16" x14ac:dyDescent="0.3">
      <c r="C241">
        <f t="shared" si="50"/>
        <v>0</v>
      </c>
      <c r="D241">
        <v>1.8499999999999999E-2</v>
      </c>
      <c r="E241">
        <v>9.1900000000000003E-3</v>
      </c>
      <c r="F241">
        <f t="shared" si="46"/>
        <v>0</v>
      </c>
      <c r="G241">
        <f t="shared" si="51"/>
        <v>0</v>
      </c>
      <c r="H241">
        <f t="shared" si="52"/>
        <v>0</v>
      </c>
      <c r="I241">
        <v>1</v>
      </c>
      <c r="J241" t="e">
        <f t="shared" si="48"/>
        <v>#NUM!</v>
      </c>
      <c r="K241">
        <f t="shared" si="53"/>
        <v>-1.179910572976012</v>
      </c>
      <c r="L241">
        <v>1</v>
      </c>
      <c r="M241" t="e">
        <f t="shared" si="49"/>
        <v>#NUM!</v>
      </c>
      <c r="N241">
        <f t="shared" si="54"/>
        <v>0</v>
      </c>
      <c r="O241">
        <f t="shared" si="55"/>
        <v>0</v>
      </c>
      <c r="P241" t="e">
        <f t="shared" si="56"/>
        <v>#NUM!</v>
      </c>
    </row>
    <row r="242" spans="3:16" x14ac:dyDescent="0.3">
      <c r="C242">
        <f t="shared" si="50"/>
        <v>0</v>
      </c>
      <c r="D242">
        <v>1.8499999999999999E-2</v>
      </c>
      <c r="E242">
        <v>9.1900000000000003E-3</v>
      </c>
      <c r="F242">
        <f t="shared" si="46"/>
        <v>0</v>
      </c>
      <c r="G242">
        <f t="shared" si="51"/>
        <v>0</v>
      </c>
      <c r="H242">
        <f t="shared" si="52"/>
        <v>0</v>
      </c>
      <c r="I242">
        <v>1</v>
      </c>
      <c r="J242" t="e">
        <f t="shared" si="48"/>
        <v>#NUM!</v>
      </c>
      <c r="K242">
        <f t="shared" si="53"/>
        <v>-1.179910572976012</v>
      </c>
      <c r="L242">
        <v>1</v>
      </c>
      <c r="M242" t="e">
        <f t="shared" si="49"/>
        <v>#NUM!</v>
      </c>
      <c r="N242">
        <f t="shared" si="54"/>
        <v>0</v>
      </c>
      <c r="O242">
        <f t="shared" si="55"/>
        <v>0</v>
      </c>
      <c r="P242" t="e">
        <f t="shared" si="56"/>
        <v>#NUM!</v>
      </c>
    </row>
    <row r="243" spans="3:16" x14ac:dyDescent="0.3">
      <c r="C243">
        <f t="shared" si="50"/>
        <v>0</v>
      </c>
      <c r="D243">
        <v>1.8499999999999999E-2</v>
      </c>
      <c r="E243">
        <v>9.1900000000000003E-3</v>
      </c>
      <c r="F243">
        <f t="shared" si="46"/>
        <v>0</v>
      </c>
      <c r="G243">
        <f t="shared" si="51"/>
        <v>0</v>
      </c>
      <c r="H243">
        <f t="shared" si="52"/>
        <v>0</v>
      </c>
      <c r="I243">
        <v>1</v>
      </c>
      <c r="J243" t="e">
        <f t="shared" si="48"/>
        <v>#NUM!</v>
      </c>
      <c r="K243">
        <f t="shared" si="53"/>
        <v>-1.179910572976012</v>
      </c>
      <c r="L243">
        <v>1</v>
      </c>
      <c r="M243" t="e">
        <f t="shared" si="49"/>
        <v>#NUM!</v>
      </c>
      <c r="N243">
        <f t="shared" si="54"/>
        <v>0</v>
      </c>
      <c r="O243">
        <f t="shared" si="55"/>
        <v>0</v>
      </c>
      <c r="P243" t="e">
        <f t="shared" si="56"/>
        <v>#NUM!</v>
      </c>
    </row>
    <row r="244" spans="3:16" x14ac:dyDescent="0.3">
      <c r="C244">
        <f t="shared" si="50"/>
        <v>0</v>
      </c>
      <c r="D244">
        <v>1.8499999999999999E-2</v>
      </c>
      <c r="E244">
        <v>9.1900000000000003E-3</v>
      </c>
      <c r="F244">
        <f t="shared" si="46"/>
        <v>0</v>
      </c>
      <c r="G244">
        <f t="shared" si="51"/>
        <v>0</v>
      </c>
      <c r="H244">
        <f t="shared" si="52"/>
        <v>0</v>
      </c>
      <c r="I244">
        <v>1</v>
      </c>
      <c r="J244" t="e">
        <f t="shared" si="48"/>
        <v>#NUM!</v>
      </c>
      <c r="K244">
        <f t="shared" si="53"/>
        <v>-1.179910572976012</v>
      </c>
      <c r="L244">
        <v>1</v>
      </c>
      <c r="M244" t="e">
        <f t="shared" si="49"/>
        <v>#NUM!</v>
      </c>
      <c r="N244">
        <f t="shared" si="54"/>
        <v>0</v>
      </c>
      <c r="O244">
        <f t="shared" si="55"/>
        <v>0</v>
      </c>
      <c r="P244" t="e">
        <f t="shared" si="56"/>
        <v>#NUM!</v>
      </c>
    </row>
    <row r="245" spans="3:16" x14ac:dyDescent="0.3">
      <c r="C245">
        <f t="shared" si="50"/>
        <v>0</v>
      </c>
      <c r="D245">
        <v>1.8499999999999999E-2</v>
      </c>
      <c r="E245">
        <v>9.1900000000000003E-3</v>
      </c>
      <c r="F245">
        <f t="shared" si="46"/>
        <v>0</v>
      </c>
      <c r="G245">
        <f t="shared" si="51"/>
        <v>0</v>
      </c>
      <c r="H245">
        <f t="shared" si="52"/>
        <v>0</v>
      </c>
      <c r="I245">
        <v>1</v>
      </c>
      <c r="J245" t="e">
        <f t="shared" si="48"/>
        <v>#NUM!</v>
      </c>
      <c r="K245">
        <f t="shared" si="53"/>
        <v>-1.179910572976012</v>
      </c>
      <c r="L245">
        <v>1</v>
      </c>
      <c r="M245" t="e">
        <f t="shared" si="49"/>
        <v>#NUM!</v>
      </c>
      <c r="N245">
        <f t="shared" si="54"/>
        <v>0</v>
      </c>
      <c r="O245">
        <f t="shared" si="55"/>
        <v>0</v>
      </c>
      <c r="P245" t="e">
        <f t="shared" si="56"/>
        <v>#NUM!</v>
      </c>
    </row>
    <row r="246" spans="3:16" x14ac:dyDescent="0.3">
      <c r="C246">
        <f t="shared" si="50"/>
        <v>0</v>
      </c>
      <c r="D246">
        <v>1.8499999999999999E-2</v>
      </c>
      <c r="E246">
        <v>9.1900000000000003E-3</v>
      </c>
      <c r="F246">
        <f t="shared" si="46"/>
        <v>0</v>
      </c>
      <c r="G246">
        <f t="shared" si="51"/>
        <v>0</v>
      </c>
      <c r="H246">
        <f t="shared" si="52"/>
        <v>0</v>
      </c>
      <c r="I246">
        <v>1</v>
      </c>
      <c r="J246" t="e">
        <f t="shared" si="48"/>
        <v>#NUM!</v>
      </c>
      <c r="K246">
        <f t="shared" si="53"/>
        <v>-1.179910572976012</v>
      </c>
      <c r="L246">
        <v>1</v>
      </c>
      <c r="M246" t="e">
        <f t="shared" si="49"/>
        <v>#NUM!</v>
      </c>
      <c r="N246">
        <f t="shared" si="54"/>
        <v>0</v>
      </c>
      <c r="O246">
        <f t="shared" si="55"/>
        <v>0</v>
      </c>
      <c r="P246" t="e">
        <f t="shared" si="56"/>
        <v>#NUM!</v>
      </c>
    </row>
    <row r="247" spans="3:16" x14ac:dyDescent="0.3">
      <c r="C247">
        <f t="shared" si="50"/>
        <v>0</v>
      </c>
      <c r="D247">
        <v>1.8499999999999999E-2</v>
      </c>
      <c r="E247">
        <v>9.1900000000000003E-3</v>
      </c>
      <c r="F247">
        <f t="shared" si="46"/>
        <v>0</v>
      </c>
      <c r="G247">
        <f t="shared" si="51"/>
        <v>0</v>
      </c>
      <c r="H247">
        <f t="shared" si="52"/>
        <v>0</v>
      </c>
      <c r="I247">
        <v>1</v>
      </c>
      <c r="J247" t="e">
        <f t="shared" si="48"/>
        <v>#NUM!</v>
      </c>
      <c r="K247">
        <f t="shared" si="53"/>
        <v>-1.179910572976012</v>
      </c>
      <c r="L247">
        <v>1</v>
      </c>
      <c r="M247" t="e">
        <f t="shared" si="49"/>
        <v>#NUM!</v>
      </c>
      <c r="N247">
        <f t="shared" si="54"/>
        <v>0</v>
      </c>
      <c r="O247">
        <f t="shared" si="55"/>
        <v>0</v>
      </c>
      <c r="P247" t="e">
        <f t="shared" si="56"/>
        <v>#NUM!</v>
      </c>
    </row>
    <row r="248" spans="3:16" x14ac:dyDescent="0.3">
      <c r="C248">
        <f t="shared" si="50"/>
        <v>0</v>
      </c>
      <c r="D248">
        <v>1.8499999999999999E-2</v>
      </c>
      <c r="E248">
        <v>9.1900000000000003E-3</v>
      </c>
      <c r="F248">
        <f t="shared" si="46"/>
        <v>0</v>
      </c>
      <c r="G248">
        <f t="shared" si="51"/>
        <v>0</v>
      </c>
      <c r="H248">
        <f t="shared" si="52"/>
        <v>0</v>
      </c>
      <c r="I248">
        <v>1</v>
      </c>
      <c r="J248" t="e">
        <f t="shared" si="48"/>
        <v>#NUM!</v>
      </c>
      <c r="K248">
        <f t="shared" si="53"/>
        <v>-1.179910572976012</v>
      </c>
      <c r="L248">
        <v>1</v>
      </c>
      <c r="M248" t="e">
        <f t="shared" si="49"/>
        <v>#NUM!</v>
      </c>
      <c r="N248">
        <f t="shared" si="54"/>
        <v>0</v>
      </c>
      <c r="O248">
        <f t="shared" si="55"/>
        <v>0</v>
      </c>
      <c r="P248" t="e">
        <f t="shared" si="56"/>
        <v>#NUM!</v>
      </c>
    </row>
    <row r="249" spans="3:16" x14ac:dyDescent="0.3">
      <c r="C249">
        <f t="shared" si="50"/>
        <v>0</v>
      </c>
      <c r="D249">
        <v>1.8499999999999999E-2</v>
      </c>
      <c r="E249">
        <v>9.1900000000000003E-3</v>
      </c>
      <c r="F249">
        <f t="shared" si="46"/>
        <v>0</v>
      </c>
      <c r="G249">
        <f t="shared" si="51"/>
        <v>0</v>
      </c>
      <c r="H249">
        <f t="shared" si="52"/>
        <v>0</v>
      </c>
      <c r="I249">
        <v>1</v>
      </c>
      <c r="J249" t="e">
        <f t="shared" si="48"/>
        <v>#NUM!</v>
      </c>
      <c r="K249">
        <f t="shared" si="53"/>
        <v>-1.179910572976012</v>
      </c>
      <c r="L249">
        <v>1</v>
      </c>
      <c r="M249" t="e">
        <f t="shared" si="49"/>
        <v>#NUM!</v>
      </c>
      <c r="N249">
        <f t="shared" si="54"/>
        <v>0</v>
      </c>
      <c r="O249">
        <f t="shared" si="55"/>
        <v>0</v>
      </c>
      <c r="P249" t="e">
        <f t="shared" si="56"/>
        <v>#NUM!</v>
      </c>
    </row>
    <row r="250" spans="3:16" x14ac:dyDescent="0.3">
      <c r="C250">
        <f t="shared" si="50"/>
        <v>0</v>
      </c>
      <c r="D250">
        <v>1.8499999999999999E-2</v>
      </c>
      <c r="E250">
        <v>9.1900000000000003E-3</v>
      </c>
      <c r="F250">
        <f t="shared" si="46"/>
        <v>0</v>
      </c>
      <c r="G250">
        <f t="shared" si="51"/>
        <v>0</v>
      </c>
      <c r="H250">
        <f t="shared" si="52"/>
        <v>0</v>
      </c>
      <c r="I250">
        <v>1</v>
      </c>
      <c r="J250" t="e">
        <f t="shared" si="48"/>
        <v>#NUM!</v>
      </c>
      <c r="K250">
        <f t="shared" si="53"/>
        <v>-1.179910572976012</v>
      </c>
      <c r="L250">
        <v>1</v>
      </c>
      <c r="M250" t="e">
        <f t="shared" si="49"/>
        <v>#NUM!</v>
      </c>
      <c r="N250">
        <f t="shared" si="54"/>
        <v>0</v>
      </c>
      <c r="O250">
        <f t="shared" si="55"/>
        <v>0</v>
      </c>
      <c r="P250" t="e">
        <f t="shared" si="56"/>
        <v>#NUM!</v>
      </c>
    </row>
    <row r="251" spans="3:16" x14ac:dyDescent="0.3">
      <c r="C251">
        <f t="shared" si="50"/>
        <v>0</v>
      </c>
      <c r="D251">
        <v>1.8499999999999999E-2</v>
      </c>
      <c r="E251">
        <v>9.1900000000000003E-3</v>
      </c>
      <c r="F251">
        <f t="shared" si="46"/>
        <v>0</v>
      </c>
      <c r="G251">
        <f t="shared" si="51"/>
        <v>0</v>
      </c>
      <c r="H251">
        <f t="shared" si="52"/>
        <v>0</v>
      </c>
      <c r="I251">
        <v>1</v>
      </c>
      <c r="J251" t="e">
        <f t="shared" si="48"/>
        <v>#NUM!</v>
      </c>
      <c r="K251">
        <f t="shared" si="53"/>
        <v>-1.179910572976012</v>
      </c>
      <c r="L251">
        <v>1</v>
      </c>
      <c r="M251" t="e">
        <f t="shared" si="49"/>
        <v>#NUM!</v>
      </c>
      <c r="N251">
        <f t="shared" si="54"/>
        <v>0</v>
      </c>
      <c r="O251">
        <f t="shared" si="55"/>
        <v>0</v>
      </c>
      <c r="P251" t="e">
        <f t="shared" si="56"/>
        <v>#NUM!</v>
      </c>
    </row>
    <row r="252" spans="3:16" x14ac:dyDescent="0.3">
      <c r="C252">
        <f t="shared" si="50"/>
        <v>0</v>
      </c>
      <c r="D252">
        <v>1.8499999999999999E-2</v>
      </c>
      <c r="E252">
        <v>9.1900000000000003E-3</v>
      </c>
      <c r="F252">
        <f t="shared" si="46"/>
        <v>0</v>
      </c>
      <c r="G252">
        <f t="shared" si="51"/>
        <v>0</v>
      </c>
      <c r="H252">
        <f t="shared" si="52"/>
        <v>0</v>
      </c>
      <c r="I252">
        <v>1</v>
      </c>
      <c r="J252" t="e">
        <f t="shared" si="48"/>
        <v>#NUM!</v>
      </c>
      <c r="K252">
        <f t="shared" si="53"/>
        <v>-1.179910572976012</v>
      </c>
      <c r="L252">
        <v>1</v>
      </c>
      <c r="M252" t="e">
        <f t="shared" si="49"/>
        <v>#NUM!</v>
      </c>
      <c r="N252">
        <f t="shared" si="54"/>
        <v>0</v>
      </c>
      <c r="O252">
        <f t="shared" si="55"/>
        <v>0</v>
      </c>
      <c r="P252" t="e">
        <f t="shared" si="56"/>
        <v>#NUM!</v>
      </c>
    </row>
    <row r="253" spans="3:16" x14ac:dyDescent="0.3">
      <c r="C253">
        <f t="shared" si="50"/>
        <v>0</v>
      </c>
      <c r="D253">
        <v>1.8499999999999999E-2</v>
      </c>
      <c r="E253">
        <v>9.1900000000000003E-3</v>
      </c>
      <c r="F253">
        <f t="shared" si="46"/>
        <v>0</v>
      </c>
      <c r="G253">
        <f t="shared" si="51"/>
        <v>0</v>
      </c>
      <c r="H253">
        <f t="shared" si="52"/>
        <v>0</v>
      </c>
      <c r="I253">
        <v>1</v>
      </c>
      <c r="J253" t="e">
        <f t="shared" si="48"/>
        <v>#NUM!</v>
      </c>
      <c r="K253">
        <f t="shared" si="53"/>
        <v>-1.179910572976012</v>
      </c>
      <c r="L253">
        <v>1</v>
      </c>
      <c r="M253" t="e">
        <f t="shared" si="49"/>
        <v>#NUM!</v>
      </c>
      <c r="N253">
        <f t="shared" si="54"/>
        <v>0</v>
      </c>
      <c r="O253">
        <f t="shared" si="55"/>
        <v>0</v>
      </c>
      <c r="P253" t="e">
        <f t="shared" si="56"/>
        <v>#NUM!</v>
      </c>
    </row>
    <row r="254" spans="3:16" x14ac:dyDescent="0.3">
      <c r="C254">
        <f t="shared" si="50"/>
        <v>0</v>
      </c>
      <c r="D254">
        <v>1.8499999999999999E-2</v>
      </c>
      <c r="E254">
        <v>9.1900000000000003E-3</v>
      </c>
      <c r="F254">
        <f t="shared" si="46"/>
        <v>0</v>
      </c>
      <c r="G254">
        <f t="shared" si="51"/>
        <v>0</v>
      </c>
      <c r="H254">
        <f t="shared" si="52"/>
        <v>0</v>
      </c>
      <c r="I254">
        <v>1</v>
      </c>
      <c r="J254" t="e">
        <f t="shared" si="48"/>
        <v>#NUM!</v>
      </c>
      <c r="K254">
        <f t="shared" si="53"/>
        <v>-1.179910572976012</v>
      </c>
      <c r="L254">
        <v>1</v>
      </c>
      <c r="M254" t="e">
        <f t="shared" si="49"/>
        <v>#NUM!</v>
      </c>
      <c r="N254">
        <f t="shared" si="54"/>
        <v>0</v>
      </c>
      <c r="O254">
        <f t="shared" si="55"/>
        <v>0</v>
      </c>
      <c r="P254" t="e">
        <f t="shared" si="56"/>
        <v>#NUM!</v>
      </c>
    </row>
    <row r="255" spans="3:16" x14ac:dyDescent="0.3">
      <c r="C255">
        <f t="shared" si="50"/>
        <v>0</v>
      </c>
      <c r="D255">
        <v>1.8499999999999999E-2</v>
      </c>
      <c r="E255">
        <v>9.1900000000000003E-3</v>
      </c>
      <c r="F255">
        <f t="shared" si="46"/>
        <v>0</v>
      </c>
      <c r="G255">
        <f t="shared" si="51"/>
        <v>0</v>
      </c>
      <c r="H255">
        <f t="shared" si="52"/>
        <v>0</v>
      </c>
      <c r="I255">
        <v>1</v>
      </c>
      <c r="J255" t="e">
        <f t="shared" si="48"/>
        <v>#NUM!</v>
      </c>
      <c r="K255">
        <f t="shared" si="53"/>
        <v>-1.179910572976012</v>
      </c>
      <c r="L255">
        <v>1</v>
      </c>
      <c r="M255" t="e">
        <f t="shared" si="49"/>
        <v>#NUM!</v>
      </c>
      <c r="N255">
        <f t="shared" si="54"/>
        <v>0</v>
      </c>
      <c r="O255">
        <f t="shared" si="55"/>
        <v>0</v>
      </c>
      <c r="P255" t="e">
        <f t="shared" si="56"/>
        <v>#NUM!</v>
      </c>
    </row>
    <row r="256" spans="3:16" x14ac:dyDescent="0.3">
      <c r="C256">
        <f t="shared" si="50"/>
        <v>0</v>
      </c>
      <c r="D256">
        <v>1.8499999999999999E-2</v>
      </c>
      <c r="E256">
        <v>9.1900000000000003E-3</v>
      </c>
      <c r="F256">
        <f t="shared" si="46"/>
        <v>0</v>
      </c>
      <c r="G256">
        <f t="shared" si="51"/>
        <v>0</v>
      </c>
      <c r="H256">
        <f t="shared" si="52"/>
        <v>0</v>
      </c>
      <c r="I256">
        <v>1</v>
      </c>
      <c r="J256" t="e">
        <f t="shared" si="48"/>
        <v>#NUM!</v>
      </c>
      <c r="K256">
        <f t="shared" si="53"/>
        <v>-1.179910572976012</v>
      </c>
      <c r="L256">
        <v>1</v>
      </c>
      <c r="M256" t="e">
        <f t="shared" si="49"/>
        <v>#NUM!</v>
      </c>
      <c r="N256">
        <f t="shared" si="54"/>
        <v>0</v>
      </c>
      <c r="O256">
        <f t="shared" si="55"/>
        <v>0</v>
      </c>
      <c r="P256" t="e">
        <f t="shared" si="56"/>
        <v>#NUM!</v>
      </c>
    </row>
    <row r="257" spans="3:16" x14ac:dyDescent="0.3">
      <c r="C257">
        <f t="shared" si="50"/>
        <v>0</v>
      </c>
      <c r="D257">
        <v>1.8499999999999999E-2</v>
      </c>
      <c r="E257">
        <v>9.1900000000000003E-3</v>
      </c>
      <c r="F257">
        <f t="shared" si="46"/>
        <v>0</v>
      </c>
      <c r="G257">
        <f t="shared" si="51"/>
        <v>0</v>
      </c>
      <c r="H257">
        <f t="shared" si="52"/>
        <v>0</v>
      </c>
      <c r="I257">
        <v>1</v>
      </c>
      <c r="J257" t="e">
        <f t="shared" si="48"/>
        <v>#NUM!</v>
      </c>
      <c r="K257">
        <f t="shared" si="53"/>
        <v>-1.179910572976012</v>
      </c>
      <c r="L257">
        <v>1</v>
      </c>
      <c r="M257" t="e">
        <f t="shared" si="49"/>
        <v>#NUM!</v>
      </c>
      <c r="N257">
        <f t="shared" si="54"/>
        <v>0</v>
      </c>
      <c r="O257">
        <f t="shared" si="55"/>
        <v>0</v>
      </c>
      <c r="P257" t="e">
        <f t="shared" si="56"/>
        <v>#NUM!</v>
      </c>
    </row>
    <row r="258" spans="3:16" x14ac:dyDescent="0.3">
      <c r="C258">
        <f t="shared" si="50"/>
        <v>0</v>
      </c>
      <c r="D258">
        <v>1.8499999999999999E-2</v>
      </c>
      <c r="E258">
        <v>9.1900000000000003E-3</v>
      </c>
      <c r="F258">
        <f t="shared" si="46"/>
        <v>0</v>
      </c>
      <c r="G258">
        <f t="shared" si="51"/>
        <v>0</v>
      </c>
      <c r="H258">
        <f t="shared" si="52"/>
        <v>0</v>
      </c>
      <c r="I258">
        <v>1</v>
      </c>
      <c r="J258" t="e">
        <f t="shared" si="48"/>
        <v>#NUM!</v>
      </c>
      <c r="K258">
        <f t="shared" si="53"/>
        <v>-1.179910572976012</v>
      </c>
      <c r="L258">
        <v>1</v>
      </c>
      <c r="M258" t="e">
        <f t="shared" si="49"/>
        <v>#NUM!</v>
      </c>
      <c r="N258">
        <f t="shared" si="54"/>
        <v>0</v>
      </c>
      <c r="O258">
        <f t="shared" si="55"/>
        <v>0</v>
      </c>
      <c r="P258" t="e">
        <f t="shared" si="56"/>
        <v>#NUM!</v>
      </c>
    </row>
    <row r="259" spans="3:16" x14ac:dyDescent="0.3">
      <c r="C259">
        <f t="shared" si="50"/>
        <v>0</v>
      </c>
      <c r="D259">
        <v>1.8499999999999999E-2</v>
      </c>
      <c r="E259">
        <v>9.1900000000000003E-3</v>
      </c>
      <c r="F259">
        <f t="shared" si="46"/>
        <v>0</v>
      </c>
      <c r="G259">
        <f t="shared" si="51"/>
        <v>0</v>
      </c>
      <c r="H259">
        <f t="shared" si="52"/>
        <v>0</v>
      </c>
      <c r="I259">
        <v>1</v>
      </c>
      <c r="J259" t="e">
        <f t="shared" si="48"/>
        <v>#NUM!</v>
      </c>
      <c r="K259">
        <f t="shared" si="53"/>
        <v>-1.179910572976012</v>
      </c>
      <c r="L259">
        <v>1</v>
      </c>
      <c r="M259" t="e">
        <f t="shared" si="49"/>
        <v>#NUM!</v>
      </c>
      <c r="N259">
        <f t="shared" si="54"/>
        <v>0</v>
      </c>
      <c r="O259">
        <f t="shared" si="55"/>
        <v>0</v>
      </c>
      <c r="P259" t="e">
        <f t="shared" si="56"/>
        <v>#NUM!</v>
      </c>
    </row>
    <row r="260" spans="3:16" x14ac:dyDescent="0.3">
      <c r="C260">
        <f t="shared" si="50"/>
        <v>0</v>
      </c>
      <c r="D260">
        <v>1.8499999999999999E-2</v>
      </c>
      <c r="E260">
        <v>9.1900000000000003E-3</v>
      </c>
      <c r="F260">
        <f t="shared" si="46"/>
        <v>0</v>
      </c>
      <c r="G260">
        <f t="shared" si="51"/>
        <v>0</v>
      </c>
      <c r="H260">
        <f t="shared" si="52"/>
        <v>0</v>
      </c>
      <c r="I260">
        <v>1</v>
      </c>
      <c r="J260" t="e">
        <f t="shared" si="48"/>
        <v>#NUM!</v>
      </c>
      <c r="K260">
        <f t="shared" si="53"/>
        <v>-1.179910572976012</v>
      </c>
      <c r="L260">
        <v>1</v>
      </c>
      <c r="M260" t="e">
        <f t="shared" si="49"/>
        <v>#NUM!</v>
      </c>
      <c r="N260">
        <f t="shared" si="54"/>
        <v>0</v>
      </c>
      <c r="O260">
        <f t="shared" si="55"/>
        <v>0</v>
      </c>
      <c r="P260" t="e">
        <f t="shared" si="56"/>
        <v>#NUM!</v>
      </c>
    </row>
    <row r="261" spans="3:16" x14ac:dyDescent="0.3">
      <c r="C261">
        <f t="shared" si="50"/>
        <v>0</v>
      </c>
      <c r="D261">
        <v>1.8499999999999999E-2</v>
      </c>
      <c r="E261">
        <v>9.1900000000000003E-3</v>
      </c>
      <c r="F261">
        <f t="shared" ref="F261:F303" si="57">A261*200</f>
        <v>0</v>
      </c>
      <c r="G261">
        <f t="shared" si="51"/>
        <v>0</v>
      </c>
      <c r="H261">
        <f t="shared" si="52"/>
        <v>0</v>
      </c>
      <c r="I261">
        <v>1</v>
      </c>
      <c r="J261" t="e">
        <f t="shared" ref="J261:J303" si="58">LN(F261/1000)</f>
        <v>#NUM!</v>
      </c>
      <c r="K261">
        <f t="shared" si="53"/>
        <v>-1.179910572976012</v>
      </c>
      <c r="L261">
        <v>1</v>
      </c>
      <c r="M261" t="e">
        <f t="shared" ref="M261:M303" si="59">-1*($S$4+($S$5*J261))</f>
        <v>#NUM!</v>
      </c>
      <c r="N261">
        <f t="shared" si="54"/>
        <v>0</v>
      </c>
      <c r="O261">
        <f t="shared" si="55"/>
        <v>0</v>
      </c>
      <c r="P261" t="e">
        <f t="shared" si="56"/>
        <v>#NUM!</v>
      </c>
    </row>
    <row r="262" spans="3:16" x14ac:dyDescent="0.3">
      <c r="C262">
        <f t="shared" si="50"/>
        <v>0</v>
      </c>
      <c r="D262">
        <v>1.8499999999999999E-2</v>
      </c>
      <c r="E262">
        <v>9.1900000000000003E-3</v>
      </c>
      <c r="F262">
        <f t="shared" si="57"/>
        <v>0</v>
      </c>
      <c r="G262">
        <f t="shared" si="51"/>
        <v>0</v>
      </c>
      <c r="H262">
        <f t="shared" si="52"/>
        <v>0</v>
      </c>
      <c r="I262">
        <v>1</v>
      </c>
      <c r="J262" t="e">
        <f t="shared" si="58"/>
        <v>#NUM!</v>
      </c>
      <c r="K262">
        <f t="shared" si="53"/>
        <v>-1.179910572976012</v>
      </c>
      <c r="L262">
        <v>1</v>
      </c>
      <c r="M262" t="e">
        <f t="shared" si="59"/>
        <v>#NUM!</v>
      </c>
      <c r="N262">
        <f t="shared" si="54"/>
        <v>0</v>
      </c>
      <c r="O262">
        <f t="shared" si="55"/>
        <v>0</v>
      </c>
      <c r="P262" t="e">
        <f t="shared" si="56"/>
        <v>#NUM!</v>
      </c>
    </row>
    <row r="263" spans="3:16" x14ac:dyDescent="0.3">
      <c r="C263">
        <f t="shared" si="50"/>
        <v>0</v>
      </c>
      <c r="D263">
        <v>1.8499999999999999E-2</v>
      </c>
      <c r="E263">
        <v>9.1900000000000003E-3</v>
      </c>
      <c r="F263">
        <f t="shared" si="57"/>
        <v>0</v>
      </c>
      <c r="G263">
        <f t="shared" si="51"/>
        <v>0</v>
      </c>
      <c r="H263">
        <f t="shared" si="52"/>
        <v>0</v>
      </c>
      <c r="I263">
        <v>1</v>
      </c>
      <c r="J263" t="e">
        <f t="shared" si="58"/>
        <v>#NUM!</v>
      </c>
      <c r="K263">
        <f t="shared" si="53"/>
        <v>-1.179910572976012</v>
      </c>
      <c r="L263">
        <v>1</v>
      </c>
      <c r="M263" t="e">
        <f t="shared" si="59"/>
        <v>#NUM!</v>
      </c>
      <c r="N263">
        <f t="shared" si="54"/>
        <v>0</v>
      </c>
      <c r="O263">
        <f t="shared" si="55"/>
        <v>0</v>
      </c>
      <c r="P263" t="e">
        <f t="shared" si="56"/>
        <v>#NUM!</v>
      </c>
    </row>
    <row r="264" spans="3:16" x14ac:dyDescent="0.3">
      <c r="C264">
        <f t="shared" si="50"/>
        <v>0</v>
      </c>
      <c r="D264">
        <v>1.8499999999999999E-2</v>
      </c>
      <c r="E264">
        <v>9.1900000000000003E-3</v>
      </c>
      <c r="F264">
        <f t="shared" si="57"/>
        <v>0</v>
      </c>
      <c r="G264">
        <f t="shared" si="51"/>
        <v>0</v>
      </c>
      <c r="H264">
        <f t="shared" si="52"/>
        <v>0</v>
      </c>
      <c r="I264">
        <v>1</v>
      </c>
      <c r="J264" t="e">
        <f t="shared" si="58"/>
        <v>#NUM!</v>
      </c>
      <c r="K264">
        <f t="shared" si="53"/>
        <v>-1.179910572976012</v>
      </c>
      <c r="L264">
        <v>1</v>
      </c>
      <c r="M264" t="e">
        <f t="shared" si="59"/>
        <v>#NUM!</v>
      </c>
      <c r="N264">
        <f t="shared" si="54"/>
        <v>0</v>
      </c>
      <c r="O264">
        <f t="shared" si="55"/>
        <v>0</v>
      </c>
      <c r="P264" t="e">
        <f t="shared" si="56"/>
        <v>#NUM!</v>
      </c>
    </row>
    <row r="265" spans="3:16" x14ac:dyDescent="0.3">
      <c r="C265">
        <f t="shared" si="50"/>
        <v>0</v>
      </c>
      <c r="D265">
        <v>1.8499999999999999E-2</v>
      </c>
      <c r="E265">
        <v>9.1900000000000003E-3</v>
      </c>
      <c r="F265">
        <f t="shared" si="57"/>
        <v>0</v>
      </c>
      <c r="G265">
        <f t="shared" si="51"/>
        <v>0</v>
      </c>
      <c r="H265">
        <f t="shared" si="52"/>
        <v>0</v>
      </c>
      <c r="I265">
        <v>1</v>
      </c>
      <c r="J265" t="e">
        <f t="shared" si="58"/>
        <v>#NUM!</v>
      </c>
      <c r="K265">
        <f t="shared" si="53"/>
        <v>-1.179910572976012</v>
      </c>
      <c r="L265">
        <v>1</v>
      </c>
      <c r="M265" t="e">
        <f t="shared" si="59"/>
        <v>#NUM!</v>
      </c>
      <c r="N265">
        <f t="shared" si="54"/>
        <v>0</v>
      </c>
      <c r="O265">
        <f t="shared" si="55"/>
        <v>0</v>
      </c>
      <c r="P265" t="e">
        <f t="shared" si="56"/>
        <v>#NUM!</v>
      </c>
    </row>
    <row r="266" spans="3:16" x14ac:dyDescent="0.3">
      <c r="C266">
        <f t="shared" si="50"/>
        <v>0</v>
      </c>
      <c r="D266">
        <v>1.8499999999999999E-2</v>
      </c>
      <c r="E266">
        <v>9.1900000000000003E-3</v>
      </c>
      <c r="F266">
        <f t="shared" si="57"/>
        <v>0</v>
      </c>
      <c r="G266">
        <f t="shared" si="51"/>
        <v>0</v>
      </c>
      <c r="H266">
        <f t="shared" si="52"/>
        <v>0</v>
      </c>
      <c r="I266">
        <v>1</v>
      </c>
      <c r="J266" t="e">
        <f t="shared" si="58"/>
        <v>#NUM!</v>
      </c>
      <c r="K266">
        <f t="shared" si="53"/>
        <v>-1.179910572976012</v>
      </c>
      <c r="L266">
        <v>1</v>
      </c>
      <c r="M266" t="e">
        <f t="shared" si="59"/>
        <v>#NUM!</v>
      </c>
      <c r="N266">
        <f t="shared" si="54"/>
        <v>0</v>
      </c>
      <c r="O266">
        <f t="shared" si="55"/>
        <v>0</v>
      </c>
      <c r="P266" t="e">
        <f t="shared" si="56"/>
        <v>#NUM!</v>
      </c>
    </row>
    <row r="267" spans="3:16" x14ac:dyDescent="0.3">
      <c r="C267">
        <f t="shared" si="50"/>
        <v>0</v>
      </c>
      <c r="D267">
        <v>1.8499999999999999E-2</v>
      </c>
      <c r="E267">
        <v>9.1900000000000003E-3</v>
      </c>
      <c r="F267">
        <f t="shared" si="57"/>
        <v>0</v>
      </c>
      <c r="G267">
        <f t="shared" si="51"/>
        <v>0</v>
      </c>
      <c r="H267">
        <f t="shared" si="52"/>
        <v>0</v>
      </c>
      <c r="I267">
        <v>1</v>
      </c>
      <c r="J267" t="e">
        <f t="shared" si="58"/>
        <v>#NUM!</v>
      </c>
      <c r="K267">
        <f t="shared" si="53"/>
        <v>-1.179910572976012</v>
      </c>
      <c r="L267">
        <v>1</v>
      </c>
      <c r="M267" t="e">
        <f t="shared" si="59"/>
        <v>#NUM!</v>
      </c>
      <c r="N267">
        <f t="shared" si="54"/>
        <v>0</v>
      </c>
      <c r="O267">
        <f t="shared" si="55"/>
        <v>0</v>
      </c>
      <c r="P267" t="e">
        <f t="shared" si="56"/>
        <v>#NUM!</v>
      </c>
    </row>
    <row r="268" spans="3:16" x14ac:dyDescent="0.3">
      <c r="C268">
        <f t="shared" si="50"/>
        <v>0</v>
      </c>
      <c r="D268">
        <v>1.8499999999999999E-2</v>
      </c>
      <c r="E268">
        <v>9.1900000000000003E-3</v>
      </c>
      <c r="F268">
        <f t="shared" si="57"/>
        <v>0</v>
      </c>
      <c r="G268">
        <f t="shared" si="51"/>
        <v>0</v>
      </c>
      <c r="H268">
        <f t="shared" si="52"/>
        <v>0</v>
      </c>
      <c r="I268">
        <v>1</v>
      </c>
      <c r="J268" t="e">
        <f t="shared" si="58"/>
        <v>#NUM!</v>
      </c>
      <c r="K268">
        <f t="shared" si="53"/>
        <v>-1.179910572976012</v>
      </c>
      <c r="L268">
        <v>1</v>
      </c>
      <c r="M268" t="e">
        <f t="shared" si="59"/>
        <v>#NUM!</v>
      </c>
      <c r="N268">
        <f t="shared" si="54"/>
        <v>0</v>
      </c>
      <c r="O268">
        <f t="shared" si="55"/>
        <v>0</v>
      </c>
      <c r="P268" t="e">
        <f t="shared" si="56"/>
        <v>#NUM!</v>
      </c>
    </row>
    <row r="269" spans="3:16" x14ac:dyDescent="0.3">
      <c r="C269">
        <f t="shared" si="50"/>
        <v>0</v>
      </c>
      <c r="D269">
        <v>1.8499999999999999E-2</v>
      </c>
      <c r="E269">
        <v>9.1900000000000003E-3</v>
      </c>
      <c r="F269">
        <f t="shared" si="57"/>
        <v>0</v>
      </c>
      <c r="G269">
        <f t="shared" si="51"/>
        <v>0</v>
      </c>
      <c r="H269">
        <f t="shared" si="52"/>
        <v>0</v>
      </c>
      <c r="I269">
        <v>1</v>
      </c>
      <c r="J269" t="e">
        <f t="shared" si="58"/>
        <v>#NUM!</v>
      </c>
      <c r="K269">
        <f t="shared" si="53"/>
        <v>-1.179910572976012</v>
      </c>
      <c r="L269">
        <v>1</v>
      </c>
      <c r="M269" t="e">
        <f t="shared" si="59"/>
        <v>#NUM!</v>
      </c>
      <c r="N269">
        <f t="shared" si="54"/>
        <v>0</v>
      </c>
      <c r="O269">
        <f t="shared" si="55"/>
        <v>0</v>
      </c>
      <c r="P269" t="e">
        <f t="shared" si="56"/>
        <v>#NUM!</v>
      </c>
    </row>
    <row r="270" spans="3:16" x14ac:dyDescent="0.3">
      <c r="C270">
        <f t="shared" si="50"/>
        <v>0</v>
      </c>
      <c r="D270">
        <v>1.8499999999999999E-2</v>
      </c>
      <c r="E270">
        <v>9.1900000000000003E-3</v>
      </c>
      <c r="F270">
        <f t="shared" si="57"/>
        <v>0</v>
      </c>
      <c r="G270">
        <f t="shared" si="51"/>
        <v>0</v>
      </c>
      <c r="H270">
        <f t="shared" si="52"/>
        <v>0</v>
      </c>
      <c r="I270">
        <v>1</v>
      </c>
      <c r="J270" t="e">
        <f t="shared" si="58"/>
        <v>#NUM!</v>
      </c>
      <c r="K270">
        <f t="shared" si="53"/>
        <v>-1.179910572976012</v>
      </c>
      <c r="L270">
        <v>1</v>
      </c>
      <c r="M270" t="e">
        <f t="shared" si="59"/>
        <v>#NUM!</v>
      </c>
      <c r="N270">
        <f t="shared" si="54"/>
        <v>0</v>
      </c>
      <c r="O270">
        <f t="shared" si="55"/>
        <v>0</v>
      </c>
      <c r="P270" t="e">
        <f t="shared" si="56"/>
        <v>#NUM!</v>
      </c>
    </row>
    <row r="271" spans="3:16" x14ac:dyDescent="0.3">
      <c r="C271">
        <f t="shared" si="50"/>
        <v>0</v>
      </c>
      <c r="D271">
        <v>1.8499999999999999E-2</v>
      </c>
      <c r="E271">
        <v>9.1900000000000003E-3</v>
      </c>
      <c r="F271">
        <f t="shared" si="57"/>
        <v>0</v>
      </c>
      <c r="G271">
        <f t="shared" si="51"/>
        <v>0</v>
      </c>
      <c r="H271">
        <f t="shared" si="52"/>
        <v>0</v>
      </c>
      <c r="I271">
        <v>1</v>
      </c>
      <c r="J271" t="e">
        <f t="shared" si="58"/>
        <v>#NUM!</v>
      </c>
      <c r="K271">
        <f t="shared" si="53"/>
        <v>-1.179910572976012</v>
      </c>
      <c r="L271">
        <v>1</v>
      </c>
      <c r="M271" t="e">
        <f t="shared" si="59"/>
        <v>#NUM!</v>
      </c>
      <c r="N271">
        <f t="shared" si="54"/>
        <v>0</v>
      </c>
      <c r="O271">
        <f t="shared" si="55"/>
        <v>0</v>
      </c>
      <c r="P271" t="e">
        <f t="shared" si="56"/>
        <v>#NUM!</v>
      </c>
    </row>
    <row r="272" spans="3:16" x14ac:dyDescent="0.3">
      <c r="C272">
        <f t="shared" si="50"/>
        <v>0</v>
      </c>
      <c r="D272">
        <v>1.8499999999999999E-2</v>
      </c>
      <c r="E272">
        <v>9.1900000000000003E-3</v>
      </c>
      <c r="F272">
        <f t="shared" si="57"/>
        <v>0</v>
      </c>
      <c r="G272">
        <f t="shared" si="51"/>
        <v>0</v>
      </c>
      <c r="H272">
        <f t="shared" si="52"/>
        <v>0</v>
      </c>
      <c r="I272">
        <v>1</v>
      </c>
      <c r="J272" t="e">
        <f t="shared" si="58"/>
        <v>#NUM!</v>
      </c>
      <c r="K272">
        <f t="shared" si="53"/>
        <v>-1.179910572976012</v>
      </c>
      <c r="L272">
        <v>1</v>
      </c>
      <c r="M272" t="e">
        <f t="shared" si="59"/>
        <v>#NUM!</v>
      </c>
      <c r="N272">
        <f t="shared" si="54"/>
        <v>0</v>
      </c>
      <c r="O272">
        <f t="shared" si="55"/>
        <v>0</v>
      </c>
      <c r="P272" t="e">
        <f t="shared" si="56"/>
        <v>#NUM!</v>
      </c>
    </row>
    <row r="273" spans="3:16" x14ac:dyDescent="0.3">
      <c r="C273">
        <f t="shared" si="50"/>
        <v>0</v>
      </c>
      <c r="D273">
        <v>1.8499999999999999E-2</v>
      </c>
      <c r="E273">
        <v>9.1900000000000003E-3</v>
      </c>
      <c r="F273">
        <f t="shared" si="57"/>
        <v>0</v>
      </c>
      <c r="G273">
        <f t="shared" si="51"/>
        <v>0</v>
      </c>
      <c r="H273">
        <f t="shared" si="52"/>
        <v>0</v>
      </c>
      <c r="I273">
        <v>1</v>
      </c>
      <c r="J273" t="e">
        <f t="shared" si="58"/>
        <v>#NUM!</v>
      </c>
      <c r="K273">
        <f t="shared" si="53"/>
        <v>-1.179910572976012</v>
      </c>
      <c r="L273">
        <v>1</v>
      </c>
      <c r="M273" t="e">
        <f t="shared" si="59"/>
        <v>#NUM!</v>
      </c>
      <c r="N273">
        <f t="shared" si="54"/>
        <v>0</v>
      </c>
      <c r="O273">
        <f t="shared" si="55"/>
        <v>0</v>
      </c>
      <c r="P273" t="e">
        <f t="shared" si="56"/>
        <v>#NUM!</v>
      </c>
    </row>
    <row r="274" spans="3:16" x14ac:dyDescent="0.3">
      <c r="C274">
        <f t="shared" si="50"/>
        <v>0</v>
      </c>
      <c r="D274">
        <v>1.8499999999999999E-2</v>
      </c>
      <c r="E274">
        <v>9.1900000000000003E-3</v>
      </c>
      <c r="F274">
        <f t="shared" si="57"/>
        <v>0</v>
      </c>
      <c r="G274">
        <f t="shared" si="51"/>
        <v>0</v>
      </c>
      <c r="H274">
        <f t="shared" si="52"/>
        <v>0</v>
      </c>
      <c r="I274">
        <v>1</v>
      </c>
      <c r="J274" t="e">
        <f t="shared" si="58"/>
        <v>#NUM!</v>
      </c>
      <c r="K274">
        <f t="shared" si="53"/>
        <v>-1.179910572976012</v>
      </c>
      <c r="L274">
        <v>1</v>
      </c>
      <c r="M274" t="e">
        <f t="shared" si="59"/>
        <v>#NUM!</v>
      </c>
      <c r="N274">
        <f t="shared" si="54"/>
        <v>0</v>
      </c>
      <c r="O274">
        <f t="shared" si="55"/>
        <v>0</v>
      </c>
      <c r="P274" t="e">
        <f t="shared" si="56"/>
        <v>#NUM!</v>
      </c>
    </row>
    <row r="275" spans="3:16" x14ac:dyDescent="0.3">
      <c r="C275">
        <f t="shared" si="50"/>
        <v>0</v>
      </c>
      <c r="D275">
        <v>1.8499999999999999E-2</v>
      </c>
      <c r="E275">
        <v>9.1900000000000003E-3</v>
      </c>
      <c r="F275">
        <f t="shared" si="57"/>
        <v>0</v>
      </c>
      <c r="G275">
        <f t="shared" si="51"/>
        <v>0</v>
      </c>
      <c r="H275">
        <f t="shared" si="52"/>
        <v>0</v>
      </c>
      <c r="I275">
        <v>1</v>
      </c>
      <c r="J275" t="e">
        <f t="shared" si="58"/>
        <v>#NUM!</v>
      </c>
      <c r="K275">
        <f t="shared" si="53"/>
        <v>-1.179910572976012</v>
      </c>
      <c r="L275">
        <v>1</v>
      </c>
      <c r="M275" t="e">
        <f t="shared" si="59"/>
        <v>#NUM!</v>
      </c>
      <c r="N275">
        <f t="shared" si="54"/>
        <v>0</v>
      </c>
      <c r="O275">
        <f t="shared" si="55"/>
        <v>0</v>
      </c>
      <c r="P275" t="e">
        <f t="shared" si="56"/>
        <v>#NUM!</v>
      </c>
    </row>
    <row r="276" spans="3:16" x14ac:dyDescent="0.3">
      <c r="C276">
        <f t="shared" ref="C276:C303" si="60">A276*B276</f>
        <v>0</v>
      </c>
      <c r="D276">
        <v>1.8499999999999999E-2</v>
      </c>
      <c r="E276">
        <v>9.1900000000000003E-3</v>
      </c>
      <c r="F276">
        <f t="shared" si="57"/>
        <v>0</v>
      </c>
      <c r="G276">
        <f t="shared" ref="G276:G303" si="61">-B276</f>
        <v>0</v>
      </c>
      <c r="H276">
        <f t="shared" ref="H276:H303" si="62">-C276*200</f>
        <v>0</v>
      </c>
      <c r="I276">
        <v>1</v>
      </c>
      <c r="J276" t="e">
        <f t="shared" si="58"/>
        <v>#NUM!</v>
      </c>
      <c r="K276">
        <f t="shared" ref="K276:K303" si="63">((-G276)-$N$2)</f>
        <v>-1.179910572976012</v>
      </c>
      <c r="L276">
        <v>1</v>
      </c>
      <c r="M276" t="e">
        <f t="shared" si="59"/>
        <v>#NUM!</v>
      </c>
      <c r="N276">
        <f t="shared" ref="N276:N303" si="64">D276*A276</f>
        <v>0</v>
      </c>
      <c r="O276">
        <f t="shared" ref="O276:O303" si="65">E276*A276</f>
        <v>0</v>
      </c>
      <c r="P276" t="e">
        <f t="shared" ref="P276:P303" si="66">-K276-M276-N276-O276</f>
        <v>#NUM!</v>
      </c>
    </row>
    <row r="277" spans="3:16" x14ac:dyDescent="0.3">
      <c r="C277">
        <f t="shared" si="60"/>
        <v>0</v>
      </c>
      <c r="D277">
        <v>1.8499999999999999E-2</v>
      </c>
      <c r="E277">
        <v>9.1900000000000003E-3</v>
      </c>
      <c r="F277">
        <f t="shared" si="57"/>
        <v>0</v>
      </c>
      <c r="G277">
        <f t="shared" si="61"/>
        <v>0</v>
      </c>
      <c r="H277">
        <f t="shared" si="62"/>
        <v>0</v>
      </c>
      <c r="I277">
        <v>1</v>
      </c>
      <c r="J277" t="e">
        <f t="shared" si="58"/>
        <v>#NUM!</v>
      </c>
      <c r="K277">
        <f t="shared" si="63"/>
        <v>-1.179910572976012</v>
      </c>
      <c r="L277">
        <v>1</v>
      </c>
      <c r="M277" t="e">
        <f t="shared" si="59"/>
        <v>#NUM!</v>
      </c>
      <c r="N277">
        <f t="shared" si="64"/>
        <v>0</v>
      </c>
      <c r="O277">
        <f t="shared" si="65"/>
        <v>0</v>
      </c>
      <c r="P277" t="e">
        <f t="shared" si="66"/>
        <v>#NUM!</v>
      </c>
    </row>
    <row r="278" spans="3:16" x14ac:dyDescent="0.3">
      <c r="C278">
        <f t="shared" si="60"/>
        <v>0</v>
      </c>
      <c r="D278">
        <v>1.8499999999999999E-2</v>
      </c>
      <c r="E278">
        <v>9.1900000000000003E-3</v>
      </c>
      <c r="F278">
        <f t="shared" si="57"/>
        <v>0</v>
      </c>
      <c r="G278">
        <f t="shared" si="61"/>
        <v>0</v>
      </c>
      <c r="H278">
        <f t="shared" si="62"/>
        <v>0</v>
      </c>
      <c r="I278">
        <v>1</v>
      </c>
      <c r="J278" t="e">
        <f t="shared" si="58"/>
        <v>#NUM!</v>
      </c>
      <c r="K278">
        <f t="shared" si="63"/>
        <v>-1.179910572976012</v>
      </c>
      <c r="L278">
        <v>1</v>
      </c>
      <c r="M278" t="e">
        <f t="shared" si="59"/>
        <v>#NUM!</v>
      </c>
      <c r="N278">
        <f t="shared" si="64"/>
        <v>0</v>
      </c>
      <c r="O278">
        <f t="shared" si="65"/>
        <v>0</v>
      </c>
      <c r="P278" t="e">
        <f t="shared" si="66"/>
        <v>#NUM!</v>
      </c>
    </row>
    <row r="279" spans="3:16" x14ac:dyDescent="0.3">
      <c r="C279">
        <f t="shared" si="60"/>
        <v>0</v>
      </c>
      <c r="D279">
        <v>1.8499999999999999E-2</v>
      </c>
      <c r="E279">
        <v>9.1900000000000003E-3</v>
      </c>
      <c r="F279">
        <f t="shared" si="57"/>
        <v>0</v>
      </c>
      <c r="G279">
        <f t="shared" si="61"/>
        <v>0</v>
      </c>
      <c r="H279">
        <f t="shared" si="62"/>
        <v>0</v>
      </c>
      <c r="I279">
        <v>1</v>
      </c>
      <c r="J279" t="e">
        <f t="shared" si="58"/>
        <v>#NUM!</v>
      </c>
      <c r="K279">
        <f t="shared" si="63"/>
        <v>-1.179910572976012</v>
      </c>
      <c r="L279">
        <v>1</v>
      </c>
      <c r="M279" t="e">
        <f t="shared" si="59"/>
        <v>#NUM!</v>
      </c>
      <c r="N279">
        <f t="shared" si="64"/>
        <v>0</v>
      </c>
      <c r="O279">
        <f t="shared" si="65"/>
        <v>0</v>
      </c>
      <c r="P279" t="e">
        <f t="shared" si="66"/>
        <v>#NUM!</v>
      </c>
    </row>
    <row r="280" spans="3:16" x14ac:dyDescent="0.3">
      <c r="C280">
        <f t="shared" si="60"/>
        <v>0</v>
      </c>
      <c r="D280">
        <v>1.8499999999999999E-2</v>
      </c>
      <c r="E280">
        <v>9.1900000000000003E-3</v>
      </c>
      <c r="F280">
        <f t="shared" si="57"/>
        <v>0</v>
      </c>
      <c r="G280">
        <f t="shared" si="61"/>
        <v>0</v>
      </c>
      <c r="H280">
        <f t="shared" si="62"/>
        <v>0</v>
      </c>
      <c r="I280">
        <v>1</v>
      </c>
      <c r="J280" t="e">
        <f t="shared" si="58"/>
        <v>#NUM!</v>
      </c>
      <c r="K280">
        <f t="shared" si="63"/>
        <v>-1.179910572976012</v>
      </c>
      <c r="L280">
        <v>1</v>
      </c>
      <c r="M280" t="e">
        <f t="shared" si="59"/>
        <v>#NUM!</v>
      </c>
      <c r="N280">
        <f t="shared" si="64"/>
        <v>0</v>
      </c>
      <c r="O280">
        <f t="shared" si="65"/>
        <v>0</v>
      </c>
      <c r="P280" t="e">
        <f t="shared" si="66"/>
        <v>#NUM!</v>
      </c>
    </row>
    <row r="281" spans="3:16" x14ac:dyDescent="0.3">
      <c r="C281">
        <f t="shared" si="60"/>
        <v>0</v>
      </c>
      <c r="D281">
        <v>1.8499999999999999E-2</v>
      </c>
      <c r="E281">
        <v>9.1900000000000003E-3</v>
      </c>
      <c r="F281">
        <f t="shared" si="57"/>
        <v>0</v>
      </c>
      <c r="G281">
        <f t="shared" si="61"/>
        <v>0</v>
      </c>
      <c r="H281">
        <f t="shared" si="62"/>
        <v>0</v>
      </c>
      <c r="I281">
        <v>1</v>
      </c>
      <c r="J281" t="e">
        <f t="shared" si="58"/>
        <v>#NUM!</v>
      </c>
      <c r="K281">
        <f t="shared" si="63"/>
        <v>-1.179910572976012</v>
      </c>
      <c r="L281">
        <v>1</v>
      </c>
      <c r="M281" t="e">
        <f t="shared" si="59"/>
        <v>#NUM!</v>
      </c>
      <c r="N281">
        <f t="shared" si="64"/>
        <v>0</v>
      </c>
      <c r="O281">
        <f t="shared" si="65"/>
        <v>0</v>
      </c>
      <c r="P281" t="e">
        <f t="shared" si="66"/>
        <v>#NUM!</v>
      </c>
    </row>
    <row r="282" spans="3:16" x14ac:dyDescent="0.3">
      <c r="C282">
        <f t="shared" si="60"/>
        <v>0</v>
      </c>
      <c r="D282">
        <v>1.8499999999999999E-2</v>
      </c>
      <c r="E282">
        <v>9.1900000000000003E-3</v>
      </c>
      <c r="F282">
        <f t="shared" si="57"/>
        <v>0</v>
      </c>
      <c r="G282">
        <f t="shared" si="61"/>
        <v>0</v>
      </c>
      <c r="H282">
        <f t="shared" si="62"/>
        <v>0</v>
      </c>
      <c r="I282">
        <v>1</v>
      </c>
      <c r="J282" t="e">
        <f t="shared" si="58"/>
        <v>#NUM!</v>
      </c>
      <c r="K282">
        <f t="shared" si="63"/>
        <v>-1.179910572976012</v>
      </c>
      <c r="L282">
        <v>1</v>
      </c>
      <c r="M282" t="e">
        <f t="shared" si="59"/>
        <v>#NUM!</v>
      </c>
      <c r="N282">
        <f t="shared" si="64"/>
        <v>0</v>
      </c>
      <c r="O282">
        <f t="shared" si="65"/>
        <v>0</v>
      </c>
      <c r="P282" t="e">
        <f t="shared" si="66"/>
        <v>#NUM!</v>
      </c>
    </row>
    <row r="283" spans="3:16" x14ac:dyDescent="0.3">
      <c r="C283">
        <f t="shared" si="60"/>
        <v>0</v>
      </c>
      <c r="D283">
        <v>1.8499999999999999E-2</v>
      </c>
      <c r="E283">
        <v>9.1900000000000003E-3</v>
      </c>
      <c r="F283">
        <f t="shared" si="57"/>
        <v>0</v>
      </c>
      <c r="G283">
        <f t="shared" si="61"/>
        <v>0</v>
      </c>
      <c r="H283">
        <f t="shared" si="62"/>
        <v>0</v>
      </c>
      <c r="I283">
        <v>1</v>
      </c>
      <c r="J283" t="e">
        <f t="shared" si="58"/>
        <v>#NUM!</v>
      </c>
      <c r="K283">
        <f t="shared" si="63"/>
        <v>-1.179910572976012</v>
      </c>
      <c r="L283">
        <v>1</v>
      </c>
      <c r="M283" t="e">
        <f t="shared" si="59"/>
        <v>#NUM!</v>
      </c>
      <c r="N283">
        <f t="shared" si="64"/>
        <v>0</v>
      </c>
      <c r="O283">
        <f t="shared" si="65"/>
        <v>0</v>
      </c>
      <c r="P283" t="e">
        <f t="shared" si="66"/>
        <v>#NUM!</v>
      </c>
    </row>
    <row r="284" spans="3:16" x14ac:dyDescent="0.3">
      <c r="C284">
        <f t="shared" si="60"/>
        <v>0</v>
      </c>
      <c r="D284">
        <v>1.8499999999999999E-2</v>
      </c>
      <c r="E284">
        <v>9.1900000000000003E-3</v>
      </c>
      <c r="F284">
        <f t="shared" si="57"/>
        <v>0</v>
      </c>
      <c r="G284">
        <f t="shared" si="61"/>
        <v>0</v>
      </c>
      <c r="H284">
        <f t="shared" si="62"/>
        <v>0</v>
      </c>
      <c r="I284">
        <v>1</v>
      </c>
      <c r="J284" t="e">
        <f t="shared" si="58"/>
        <v>#NUM!</v>
      </c>
      <c r="K284">
        <f t="shared" si="63"/>
        <v>-1.179910572976012</v>
      </c>
      <c r="L284">
        <v>1</v>
      </c>
      <c r="M284" t="e">
        <f t="shared" si="59"/>
        <v>#NUM!</v>
      </c>
      <c r="N284">
        <f t="shared" si="64"/>
        <v>0</v>
      </c>
      <c r="O284">
        <f t="shared" si="65"/>
        <v>0</v>
      </c>
      <c r="P284" t="e">
        <f t="shared" si="66"/>
        <v>#NUM!</v>
      </c>
    </row>
    <row r="285" spans="3:16" x14ac:dyDescent="0.3">
      <c r="C285">
        <f t="shared" si="60"/>
        <v>0</v>
      </c>
      <c r="D285">
        <v>1.8499999999999999E-2</v>
      </c>
      <c r="E285">
        <v>9.1900000000000003E-3</v>
      </c>
      <c r="F285">
        <f t="shared" si="57"/>
        <v>0</v>
      </c>
      <c r="G285">
        <f t="shared" si="61"/>
        <v>0</v>
      </c>
      <c r="H285">
        <f t="shared" si="62"/>
        <v>0</v>
      </c>
      <c r="I285">
        <v>1</v>
      </c>
      <c r="J285" t="e">
        <f t="shared" si="58"/>
        <v>#NUM!</v>
      </c>
      <c r="K285">
        <f t="shared" si="63"/>
        <v>-1.179910572976012</v>
      </c>
      <c r="L285">
        <v>1</v>
      </c>
      <c r="M285" t="e">
        <f t="shared" si="59"/>
        <v>#NUM!</v>
      </c>
      <c r="N285">
        <f t="shared" si="64"/>
        <v>0</v>
      </c>
      <c r="O285">
        <f t="shared" si="65"/>
        <v>0</v>
      </c>
      <c r="P285" t="e">
        <f t="shared" si="66"/>
        <v>#NUM!</v>
      </c>
    </row>
    <row r="286" spans="3:16" x14ac:dyDescent="0.3">
      <c r="C286">
        <f t="shared" si="60"/>
        <v>0</v>
      </c>
      <c r="D286">
        <v>1.8499999999999999E-2</v>
      </c>
      <c r="E286">
        <v>9.1900000000000003E-3</v>
      </c>
      <c r="F286">
        <f t="shared" si="57"/>
        <v>0</v>
      </c>
      <c r="G286">
        <f t="shared" si="61"/>
        <v>0</v>
      </c>
      <c r="H286">
        <f t="shared" si="62"/>
        <v>0</v>
      </c>
      <c r="I286">
        <v>1</v>
      </c>
      <c r="J286" t="e">
        <f t="shared" si="58"/>
        <v>#NUM!</v>
      </c>
      <c r="K286">
        <f t="shared" si="63"/>
        <v>-1.179910572976012</v>
      </c>
      <c r="L286">
        <v>1</v>
      </c>
      <c r="M286" t="e">
        <f t="shared" si="59"/>
        <v>#NUM!</v>
      </c>
      <c r="N286">
        <f t="shared" si="64"/>
        <v>0</v>
      </c>
      <c r="O286">
        <f t="shared" si="65"/>
        <v>0</v>
      </c>
      <c r="P286" t="e">
        <f t="shared" si="66"/>
        <v>#NUM!</v>
      </c>
    </row>
    <row r="287" spans="3:16" x14ac:dyDescent="0.3">
      <c r="C287">
        <f t="shared" si="60"/>
        <v>0</v>
      </c>
      <c r="D287">
        <v>1.8499999999999999E-2</v>
      </c>
      <c r="E287">
        <v>9.1900000000000003E-3</v>
      </c>
      <c r="F287">
        <f t="shared" si="57"/>
        <v>0</v>
      </c>
      <c r="G287">
        <f t="shared" si="61"/>
        <v>0</v>
      </c>
      <c r="H287">
        <f t="shared" si="62"/>
        <v>0</v>
      </c>
      <c r="I287">
        <v>1</v>
      </c>
      <c r="J287" t="e">
        <f t="shared" si="58"/>
        <v>#NUM!</v>
      </c>
      <c r="K287">
        <f t="shared" si="63"/>
        <v>-1.179910572976012</v>
      </c>
      <c r="L287">
        <v>1</v>
      </c>
      <c r="M287" t="e">
        <f t="shared" si="59"/>
        <v>#NUM!</v>
      </c>
      <c r="N287">
        <f t="shared" si="64"/>
        <v>0</v>
      </c>
      <c r="O287">
        <f t="shared" si="65"/>
        <v>0</v>
      </c>
      <c r="P287" t="e">
        <f t="shared" si="66"/>
        <v>#NUM!</v>
      </c>
    </row>
    <row r="288" spans="3:16" x14ac:dyDescent="0.3">
      <c r="C288">
        <f t="shared" si="60"/>
        <v>0</v>
      </c>
      <c r="D288">
        <v>1.8499999999999999E-2</v>
      </c>
      <c r="E288">
        <v>9.1900000000000003E-3</v>
      </c>
      <c r="F288">
        <f t="shared" si="57"/>
        <v>0</v>
      </c>
      <c r="G288">
        <f t="shared" si="61"/>
        <v>0</v>
      </c>
      <c r="H288">
        <f t="shared" si="62"/>
        <v>0</v>
      </c>
      <c r="I288">
        <v>1</v>
      </c>
      <c r="J288" t="e">
        <f t="shared" si="58"/>
        <v>#NUM!</v>
      </c>
      <c r="K288">
        <f t="shared" si="63"/>
        <v>-1.179910572976012</v>
      </c>
      <c r="L288">
        <v>1</v>
      </c>
      <c r="M288" t="e">
        <f t="shared" si="59"/>
        <v>#NUM!</v>
      </c>
      <c r="N288">
        <f t="shared" si="64"/>
        <v>0</v>
      </c>
      <c r="O288">
        <f t="shared" si="65"/>
        <v>0</v>
      </c>
      <c r="P288" t="e">
        <f t="shared" si="66"/>
        <v>#NUM!</v>
      </c>
    </row>
    <row r="289" spans="3:16" x14ac:dyDescent="0.3">
      <c r="C289">
        <f t="shared" si="60"/>
        <v>0</v>
      </c>
      <c r="D289">
        <v>1.8499999999999999E-2</v>
      </c>
      <c r="E289">
        <v>9.1900000000000003E-3</v>
      </c>
      <c r="F289">
        <f t="shared" si="57"/>
        <v>0</v>
      </c>
      <c r="G289">
        <f t="shared" si="61"/>
        <v>0</v>
      </c>
      <c r="H289">
        <f t="shared" si="62"/>
        <v>0</v>
      </c>
      <c r="I289">
        <v>1</v>
      </c>
      <c r="J289" t="e">
        <f t="shared" si="58"/>
        <v>#NUM!</v>
      </c>
      <c r="K289">
        <f t="shared" si="63"/>
        <v>-1.179910572976012</v>
      </c>
      <c r="L289">
        <v>1</v>
      </c>
      <c r="M289" t="e">
        <f t="shared" si="59"/>
        <v>#NUM!</v>
      </c>
      <c r="N289">
        <f t="shared" si="64"/>
        <v>0</v>
      </c>
      <c r="O289">
        <f t="shared" si="65"/>
        <v>0</v>
      </c>
      <c r="P289" t="e">
        <f t="shared" si="66"/>
        <v>#NUM!</v>
      </c>
    </row>
    <row r="290" spans="3:16" x14ac:dyDescent="0.3">
      <c r="C290">
        <f t="shared" si="60"/>
        <v>0</v>
      </c>
      <c r="D290">
        <v>1.8499999999999999E-2</v>
      </c>
      <c r="E290">
        <v>9.1900000000000003E-3</v>
      </c>
      <c r="F290">
        <f t="shared" si="57"/>
        <v>0</v>
      </c>
      <c r="G290">
        <f t="shared" si="61"/>
        <v>0</v>
      </c>
      <c r="H290">
        <f t="shared" si="62"/>
        <v>0</v>
      </c>
      <c r="I290">
        <v>1</v>
      </c>
      <c r="J290" t="e">
        <f t="shared" si="58"/>
        <v>#NUM!</v>
      </c>
      <c r="K290">
        <f t="shared" si="63"/>
        <v>-1.179910572976012</v>
      </c>
      <c r="L290">
        <v>1</v>
      </c>
      <c r="M290" t="e">
        <f t="shared" si="59"/>
        <v>#NUM!</v>
      </c>
      <c r="N290">
        <f t="shared" si="64"/>
        <v>0</v>
      </c>
      <c r="O290">
        <f t="shared" si="65"/>
        <v>0</v>
      </c>
      <c r="P290" t="e">
        <f t="shared" si="66"/>
        <v>#NUM!</v>
      </c>
    </row>
    <row r="291" spans="3:16" x14ac:dyDescent="0.3">
      <c r="C291">
        <f t="shared" si="60"/>
        <v>0</v>
      </c>
      <c r="D291">
        <v>1.8499999999999999E-2</v>
      </c>
      <c r="E291">
        <v>9.1900000000000003E-3</v>
      </c>
      <c r="F291">
        <f t="shared" si="57"/>
        <v>0</v>
      </c>
      <c r="G291">
        <f t="shared" si="61"/>
        <v>0</v>
      </c>
      <c r="H291">
        <f t="shared" si="62"/>
        <v>0</v>
      </c>
      <c r="I291">
        <v>1</v>
      </c>
      <c r="J291" t="e">
        <f t="shared" si="58"/>
        <v>#NUM!</v>
      </c>
      <c r="K291">
        <f t="shared" si="63"/>
        <v>-1.179910572976012</v>
      </c>
      <c r="L291">
        <v>1</v>
      </c>
      <c r="M291" t="e">
        <f t="shared" si="59"/>
        <v>#NUM!</v>
      </c>
      <c r="N291">
        <f t="shared" si="64"/>
        <v>0</v>
      </c>
      <c r="O291">
        <f t="shared" si="65"/>
        <v>0</v>
      </c>
      <c r="P291" t="e">
        <f t="shared" si="66"/>
        <v>#NUM!</v>
      </c>
    </row>
    <row r="292" spans="3:16" x14ac:dyDescent="0.3">
      <c r="C292">
        <f t="shared" si="60"/>
        <v>0</v>
      </c>
      <c r="D292">
        <v>1.8499999999999999E-2</v>
      </c>
      <c r="E292">
        <v>9.1900000000000003E-3</v>
      </c>
      <c r="F292">
        <f t="shared" si="57"/>
        <v>0</v>
      </c>
      <c r="G292">
        <f t="shared" si="61"/>
        <v>0</v>
      </c>
      <c r="H292">
        <f t="shared" si="62"/>
        <v>0</v>
      </c>
      <c r="I292">
        <v>1</v>
      </c>
      <c r="J292" t="e">
        <f t="shared" si="58"/>
        <v>#NUM!</v>
      </c>
      <c r="K292">
        <f t="shared" si="63"/>
        <v>-1.179910572976012</v>
      </c>
      <c r="L292">
        <v>1</v>
      </c>
      <c r="M292" t="e">
        <f t="shared" si="59"/>
        <v>#NUM!</v>
      </c>
      <c r="N292">
        <f t="shared" si="64"/>
        <v>0</v>
      </c>
      <c r="O292">
        <f t="shared" si="65"/>
        <v>0</v>
      </c>
      <c r="P292" t="e">
        <f t="shared" si="66"/>
        <v>#NUM!</v>
      </c>
    </row>
    <row r="293" spans="3:16" x14ac:dyDescent="0.3">
      <c r="C293">
        <f t="shared" si="60"/>
        <v>0</v>
      </c>
      <c r="D293">
        <v>1.8499999999999999E-2</v>
      </c>
      <c r="E293">
        <v>9.1900000000000003E-3</v>
      </c>
      <c r="F293">
        <f t="shared" si="57"/>
        <v>0</v>
      </c>
      <c r="G293">
        <f t="shared" si="61"/>
        <v>0</v>
      </c>
      <c r="H293">
        <f t="shared" si="62"/>
        <v>0</v>
      </c>
      <c r="I293">
        <v>1</v>
      </c>
      <c r="J293" t="e">
        <f t="shared" si="58"/>
        <v>#NUM!</v>
      </c>
      <c r="K293">
        <f t="shared" si="63"/>
        <v>-1.179910572976012</v>
      </c>
      <c r="L293">
        <v>1</v>
      </c>
      <c r="M293" t="e">
        <f t="shared" si="59"/>
        <v>#NUM!</v>
      </c>
      <c r="N293">
        <f t="shared" si="64"/>
        <v>0</v>
      </c>
      <c r="O293">
        <f t="shared" si="65"/>
        <v>0</v>
      </c>
      <c r="P293" t="e">
        <f t="shared" si="66"/>
        <v>#NUM!</v>
      </c>
    </row>
    <row r="294" spans="3:16" x14ac:dyDescent="0.3">
      <c r="C294">
        <f t="shared" si="60"/>
        <v>0</v>
      </c>
      <c r="D294">
        <v>1.8499999999999999E-2</v>
      </c>
      <c r="E294">
        <v>9.1900000000000003E-3</v>
      </c>
      <c r="F294">
        <f t="shared" si="57"/>
        <v>0</v>
      </c>
      <c r="G294">
        <f t="shared" si="61"/>
        <v>0</v>
      </c>
      <c r="H294">
        <f t="shared" si="62"/>
        <v>0</v>
      </c>
      <c r="I294">
        <v>1</v>
      </c>
      <c r="J294" t="e">
        <f t="shared" si="58"/>
        <v>#NUM!</v>
      </c>
      <c r="K294">
        <f t="shared" si="63"/>
        <v>-1.179910572976012</v>
      </c>
      <c r="L294">
        <v>1</v>
      </c>
      <c r="M294" t="e">
        <f t="shared" si="59"/>
        <v>#NUM!</v>
      </c>
      <c r="N294">
        <f t="shared" si="64"/>
        <v>0</v>
      </c>
      <c r="O294">
        <f t="shared" si="65"/>
        <v>0</v>
      </c>
      <c r="P294" t="e">
        <f t="shared" si="66"/>
        <v>#NUM!</v>
      </c>
    </row>
    <row r="295" spans="3:16" x14ac:dyDescent="0.3">
      <c r="C295">
        <f t="shared" si="60"/>
        <v>0</v>
      </c>
      <c r="D295">
        <v>1.8499999999999999E-2</v>
      </c>
      <c r="E295">
        <v>9.1900000000000003E-3</v>
      </c>
      <c r="F295">
        <f t="shared" si="57"/>
        <v>0</v>
      </c>
      <c r="G295">
        <f t="shared" si="61"/>
        <v>0</v>
      </c>
      <c r="H295">
        <f t="shared" si="62"/>
        <v>0</v>
      </c>
      <c r="I295">
        <v>1</v>
      </c>
      <c r="J295" t="e">
        <f t="shared" si="58"/>
        <v>#NUM!</v>
      </c>
      <c r="K295">
        <f t="shared" si="63"/>
        <v>-1.179910572976012</v>
      </c>
      <c r="L295">
        <v>1</v>
      </c>
      <c r="M295" t="e">
        <f t="shared" si="59"/>
        <v>#NUM!</v>
      </c>
      <c r="N295">
        <f t="shared" si="64"/>
        <v>0</v>
      </c>
      <c r="O295">
        <f t="shared" si="65"/>
        <v>0</v>
      </c>
      <c r="P295" t="e">
        <f t="shared" si="66"/>
        <v>#NUM!</v>
      </c>
    </row>
    <row r="296" spans="3:16" x14ac:dyDescent="0.3">
      <c r="C296">
        <f t="shared" si="60"/>
        <v>0</v>
      </c>
      <c r="D296">
        <v>1.8499999999999999E-2</v>
      </c>
      <c r="E296">
        <v>9.1900000000000003E-3</v>
      </c>
      <c r="F296">
        <f t="shared" si="57"/>
        <v>0</v>
      </c>
      <c r="G296">
        <f t="shared" si="61"/>
        <v>0</v>
      </c>
      <c r="H296">
        <f t="shared" si="62"/>
        <v>0</v>
      </c>
      <c r="I296">
        <v>1</v>
      </c>
      <c r="J296" t="e">
        <f t="shared" si="58"/>
        <v>#NUM!</v>
      </c>
      <c r="K296">
        <f t="shared" si="63"/>
        <v>-1.179910572976012</v>
      </c>
      <c r="L296">
        <v>1</v>
      </c>
      <c r="M296" t="e">
        <f t="shared" si="59"/>
        <v>#NUM!</v>
      </c>
      <c r="N296">
        <f t="shared" si="64"/>
        <v>0</v>
      </c>
      <c r="O296">
        <f t="shared" si="65"/>
        <v>0</v>
      </c>
      <c r="P296" t="e">
        <f t="shared" si="66"/>
        <v>#NUM!</v>
      </c>
    </row>
    <row r="297" spans="3:16" x14ac:dyDescent="0.3">
      <c r="C297">
        <f t="shared" si="60"/>
        <v>0</v>
      </c>
      <c r="D297">
        <v>1.8499999999999999E-2</v>
      </c>
      <c r="E297">
        <v>9.1900000000000003E-3</v>
      </c>
      <c r="F297">
        <f t="shared" si="57"/>
        <v>0</v>
      </c>
      <c r="G297">
        <f t="shared" si="61"/>
        <v>0</v>
      </c>
      <c r="H297">
        <f t="shared" si="62"/>
        <v>0</v>
      </c>
      <c r="I297">
        <v>1</v>
      </c>
      <c r="J297" t="e">
        <f t="shared" si="58"/>
        <v>#NUM!</v>
      </c>
      <c r="K297">
        <f t="shared" si="63"/>
        <v>-1.179910572976012</v>
      </c>
      <c r="L297">
        <v>1</v>
      </c>
      <c r="M297" t="e">
        <f t="shared" si="59"/>
        <v>#NUM!</v>
      </c>
      <c r="N297">
        <f t="shared" si="64"/>
        <v>0</v>
      </c>
      <c r="O297">
        <f t="shared" si="65"/>
        <v>0</v>
      </c>
      <c r="P297" t="e">
        <f t="shared" si="66"/>
        <v>#NUM!</v>
      </c>
    </row>
    <row r="298" spans="3:16" x14ac:dyDescent="0.3">
      <c r="C298">
        <f t="shared" si="60"/>
        <v>0</v>
      </c>
      <c r="D298">
        <v>1.8499999999999999E-2</v>
      </c>
      <c r="E298">
        <v>9.1900000000000003E-3</v>
      </c>
      <c r="F298">
        <f t="shared" si="57"/>
        <v>0</v>
      </c>
      <c r="G298">
        <f t="shared" si="61"/>
        <v>0</v>
      </c>
      <c r="H298">
        <f t="shared" si="62"/>
        <v>0</v>
      </c>
      <c r="I298">
        <v>1</v>
      </c>
      <c r="J298" t="e">
        <f t="shared" si="58"/>
        <v>#NUM!</v>
      </c>
      <c r="K298">
        <f t="shared" si="63"/>
        <v>-1.179910572976012</v>
      </c>
      <c r="L298">
        <v>1</v>
      </c>
      <c r="M298" t="e">
        <f t="shared" si="59"/>
        <v>#NUM!</v>
      </c>
      <c r="N298">
        <f t="shared" si="64"/>
        <v>0</v>
      </c>
      <c r="O298">
        <f t="shared" si="65"/>
        <v>0</v>
      </c>
      <c r="P298" t="e">
        <f t="shared" si="66"/>
        <v>#NUM!</v>
      </c>
    </row>
    <row r="299" spans="3:16" x14ac:dyDescent="0.3">
      <c r="C299">
        <f t="shared" si="60"/>
        <v>0</v>
      </c>
      <c r="D299">
        <v>1.8499999999999999E-2</v>
      </c>
      <c r="E299">
        <v>9.1900000000000003E-3</v>
      </c>
      <c r="F299">
        <f t="shared" si="57"/>
        <v>0</v>
      </c>
      <c r="G299">
        <f t="shared" si="61"/>
        <v>0</v>
      </c>
      <c r="H299">
        <f t="shared" si="62"/>
        <v>0</v>
      </c>
      <c r="I299">
        <v>1</v>
      </c>
      <c r="J299" t="e">
        <f t="shared" si="58"/>
        <v>#NUM!</v>
      </c>
      <c r="K299">
        <f t="shared" si="63"/>
        <v>-1.179910572976012</v>
      </c>
      <c r="L299">
        <v>1</v>
      </c>
      <c r="M299" t="e">
        <f t="shared" si="59"/>
        <v>#NUM!</v>
      </c>
      <c r="N299">
        <f t="shared" si="64"/>
        <v>0</v>
      </c>
      <c r="O299">
        <f t="shared" si="65"/>
        <v>0</v>
      </c>
      <c r="P299" t="e">
        <f t="shared" si="66"/>
        <v>#NUM!</v>
      </c>
    </row>
    <row r="300" spans="3:16" x14ac:dyDescent="0.3">
      <c r="C300">
        <f t="shared" si="60"/>
        <v>0</v>
      </c>
      <c r="D300">
        <v>1.8499999999999999E-2</v>
      </c>
      <c r="E300">
        <v>9.1900000000000003E-3</v>
      </c>
      <c r="F300">
        <f t="shared" si="57"/>
        <v>0</v>
      </c>
      <c r="G300">
        <f t="shared" si="61"/>
        <v>0</v>
      </c>
      <c r="H300">
        <f t="shared" si="62"/>
        <v>0</v>
      </c>
      <c r="I300">
        <v>1</v>
      </c>
      <c r="J300" t="e">
        <f t="shared" si="58"/>
        <v>#NUM!</v>
      </c>
      <c r="K300">
        <f t="shared" si="63"/>
        <v>-1.179910572976012</v>
      </c>
      <c r="L300">
        <v>1</v>
      </c>
      <c r="M300" t="e">
        <f t="shared" si="59"/>
        <v>#NUM!</v>
      </c>
      <c r="N300">
        <f t="shared" si="64"/>
        <v>0</v>
      </c>
      <c r="O300">
        <f t="shared" si="65"/>
        <v>0</v>
      </c>
      <c r="P300" t="e">
        <f t="shared" si="66"/>
        <v>#NUM!</v>
      </c>
    </row>
    <row r="301" spans="3:16" x14ac:dyDescent="0.3">
      <c r="C301">
        <f t="shared" si="60"/>
        <v>0</v>
      </c>
      <c r="D301">
        <v>1.8499999999999999E-2</v>
      </c>
      <c r="E301">
        <v>9.1900000000000003E-3</v>
      </c>
      <c r="F301">
        <f t="shared" si="57"/>
        <v>0</v>
      </c>
      <c r="G301">
        <f t="shared" si="61"/>
        <v>0</v>
      </c>
      <c r="H301">
        <f t="shared" si="62"/>
        <v>0</v>
      </c>
      <c r="I301">
        <v>1</v>
      </c>
      <c r="J301" t="e">
        <f t="shared" si="58"/>
        <v>#NUM!</v>
      </c>
      <c r="K301">
        <f t="shared" si="63"/>
        <v>-1.179910572976012</v>
      </c>
      <c r="L301">
        <v>1</v>
      </c>
      <c r="M301" t="e">
        <f t="shared" si="59"/>
        <v>#NUM!</v>
      </c>
      <c r="N301">
        <f t="shared" si="64"/>
        <v>0</v>
      </c>
      <c r="O301">
        <f t="shared" si="65"/>
        <v>0</v>
      </c>
      <c r="P301" t="e">
        <f t="shared" si="66"/>
        <v>#NUM!</v>
      </c>
    </row>
    <row r="302" spans="3:16" x14ac:dyDescent="0.3">
      <c r="C302">
        <f t="shared" si="60"/>
        <v>0</v>
      </c>
      <c r="D302">
        <v>1.8499999999999999E-2</v>
      </c>
      <c r="E302">
        <v>9.1900000000000003E-3</v>
      </c>
      <c r="F302">
        <f t="shared" si="57"/>
        <v>0</v>
      </c>
      <c r="G302">
        <f t="shared" si="61"/>
        <v>0</v>
      </c>
      <c r="H302">
        <f t="shared" si="62"/>
        <v>0</v>
      </c>
      <c r="I302">
        <v>1</v>
      </c>
      <c r="J302" t="e">
        <f t="shared" si="58"/>
        <v>#NUM!</v>
      </c>
      <c r="K302">
        <f t="shared" si="63"/>
        <v>-1.179910572976012</v>
      </c>
      <c r="L302">
        <v>1</v>
      </c>
      <c r="M302" t="e">
        <f t="shared" si="59"/>
        <v>#NUM!</v>
      </c>
      <c r="N302">
        <f t="shared" si="64"/>
        <v>0</v>
      </c>
      <c r="O302">
        <f t="shared" si="65"/>
        <v>0</v>
      </c>
      <c r="P302" t="e">
        <f t="shared" si="66"/>
        <v>#NUM!</v>
      </c>
    </row>
    <row r="303" spans="3:16" x14ac:dyDescent="0.3">
      <c r="C303">
        <f t="shared" si="60"/>
        <v>0</v>
      </c>
      <c r="D303">
        <v>1.8499999999999999E-2</v>
      </c>
      <c r="E303">
        <v>9.1900000000000003E-3</v>
      </c>
      <c r="F303">
        <f t="shared" si="57"/>
        <v>0</v>
      </c>
      <c r="G303">
        <f t="shared" si="61"/>
        <v>0</v>
      </c>
      <c r="H303">
        <f t="shared" si="62"/>
        <v>0</v>
      </c>
      <c r="I303">
        <v>1</v>
      </c>
      <c r="J303" t="e">
        <f t="shared" si="58"/>
        <v>#NUM!</v>
      </c>
      <c r="K303">
        <f t="shared" si="63"/>
        <v>-1.179910572976012</v>
      </c>
      <c r="L303">
        <v>1</v>
      </c>
      <c r="M303" t="e">
        <f t="shared" si="59"/>
        <v>#NUM!</v>
      </c>
      <c r="N303">
        <f t="shared" si="64"/>
        <v>0</v>
      </c>
      <c r="O303">
        <f t="shared" si="65"/>
        <v>0</v>
      </c>
      <c r="P303" t="e">
        <f t="shared" si="66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R232"/>
  <sheetViews>
    <sheetView topLeftCell="I156" workbookViewId="0">
      <selection activeCell="R2" sqref="R2:R186"/>
    </sheetView>
  </sheetViews>
  <sheetFormatPr defaultRowHeight="16.5" x14ac:dyDescent="0.3"/>
  <sheetData>
    <row r="1" spans="1:18" x14ac:dyDescent="0.3">
      <c r="A1" t="s">
        <v>22</v>
      </c>
      <c r="B1" t="s">
        <v>22</v>
      </c>
      <c r="C1" t="s">
        <v>23</v>
      </c>
      <c r="D1" t="s">
        <v>24</v>
      </c>
      <c r="I1" s="2">
        <f>Sheet1!N2</f>
        <v>1.179910572976012</v>
      </c>
    </row>
    <row r="2" spans="1:18" x14ac:dyDescent="0.3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-0.31775649707346809</v>
      </c>
      <c r="N2">
        <v>5.2834000000000003</v>
      </c>
      <c r="O2">
        <f>N2/200</f>
        <v>2.6417000000000003E-2</v>
      </c>
      <c r="Q2">
        <v>3.8848600000000002</v>
      </c>
      <c r="R2">
        <f>Q2/200</f>
        <v>1.9424300000000002E-2</v>
      </c>
    </row>
    <row r="3" spans="1:18" x14ac:dyDescent="0.3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-0.32755694601335028</v>
      </c>
      <c r="N3">
        <v>15.97625</v>
      </c>
      <c r="O3">
        <f t="shared" ref="O3:O66" si="6">N3/200</f>
        <v>7.9881250000000001E-2</v>
      </c>
      <c r="Q3">
        <v>14.015610000000001</v>
      </c>
      <c r="R3">
        <f t="shared" ref="R3:R66" si="7">Q3/200</f>
        <v>7.0078050000000003E-2</v>
      </c>
    </row>
    <row r="4" spans="1:18" x14ac:dyDescent="0.3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-0.33547398075868595</v>
      </c>
      <c r="N4">
        <v>26.05808</v>
      </c>
      <c r="O4">
        <f t="shared" si="6"/>
        <v>0.1302904</v>
      </c>
      <c r="Q4">
        <v>23.854130000000001</v>
      </c>
      <c r="R4">
        <f t="shared" si="7"/>
        <v>0.11927065000000001</v>
      </c>
    </row>
    <row r="5" spans="1:18" x14ac:dyDescent="0.3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-0.34631824823682411</v>
      </c>
      <c r="N5">
        <v>36.547260000000001</v>
      </c>
      <c r="O5">
        <f t="shared" si="6"/>
        <v>0.18273630000000002</v>
      </c>
      <c r="Q5">
        <v>33.49783</v>
      </c>
      <c r="R5">
        <f t="shared" si="7"/>
        <v>0.16748915</v>
      </c>
    </row>
    <row r="6" spans="1:18" x14ac:dyDescent="0.3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-0.34771106025840737</v>
      </c>
      <c r="N6">
        <v>47.443779999999997</v>
      </c>
      <c r="O6">
        <f t="shared" si="6"/>
        <v>0.23721889999999998</v>
      </c>
      <c r="Q6">
        <v>43.238930000000003</v>
      </c>
      <c r="R6">
        <f t="shared" si="7"/>
        <v>0.21619465000000002</v>
      </c>
    </row>
    <row r="7" spans="1:18" x14ac:dyDescent="0.3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-0.35791743224223349</v>
      </c>
      <c r="N7">
        <v>57.52561</v>
      </c>
      <c r="O7">
        <f t="shared" si="6"/>
        <v>0.28762805000000002</v>
      </c>
      <c r="Q7">
        <v>53.564509999999999</v>
      </c>
      <c r="R7">
        <f t="shared" si="7"/>
        <v>0.26782254999999999</v>
      </c>
    </row>
    <row r="8" spans="1:18" x14ac:dyDescent="0.3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-0.36302915267266722</v>
      </c>
      <c r="N8">
        <v>68.014780000000002</v>
      </c>
      <c r="O8">
        <f t="shared" si="6"/>
        <v>0.34007389999999998</v>
      </c>
      <c r="Q8">
        <v>63.597839999999998</v>
      </c>
      <c r="R8">
        <f t="shared" si="7"/>
        <v>0.31798919999999997</v>
      </c>
    </row>
    <row r="9" spans="1:18" x14ac:dyDescent="0.3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-0.36737433428380284</v>
      </c>
      <c r="N9">
        <v>78.198440000000005</v>
      </c>
      <c r="O9">
        <f t="shared" si="6"/>
        <v>0.39099220000000001</v>
      </c>
      <c r="Q9">
        <v>73.338949999999997</v>
      </c>
      <c r="R9">
        <f t="shared" si="7"/>
        <v>0.36669474999999996</v>
      </c>
    </row>
    <row r="10" spans="1:18" x14ac:dyDescent="0.3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-0.37126499784125777</v>
      </c>
      <c r="N10">
        <v>88.483949999999993</v>
      </c>
      <c r="O10">
        <f t="shared" si="6"/>
        <v>0.44241974999999995</v>
      </c>
      <c r="Q10">
        <v>83.859350000000006</v>
      </c>
      <c r="R10">
        <f t="shared" si="7"/>
        <v>0.41929675000000005</v>
      </c>
    </row>
    <row r="11" spans="1:18" x14ac:dyDescent="0.3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-0.3771984742993304</v>
      </c>
      <c r="N11">
        <v>98.667609999999996</v>
      </c>
      <c r="O11">
        <f t="shared" si="6"/>
        <v>0.49333804999999997</v>
      </c>
      <c r="Q11">
        <v>93.600449999999995</v>
      </c>
      <c r="R11">
        <f t="shared" si="7"/>
        <v>0.46800224999999995</v>
      </c>
    </row>
    <row r="12" spans="1:18" x14ac:dyDescent="0.3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-0.3791141905199179</v>
      </c>
      <c r="N12">
        <v>109.05495999999999</v>
      </c>
      <c r="O12">
        <f t="shared" si="6"/>
        <v>0.54527479999999995</v>
      </c>
      <c r="Q12">
        <v>103.34157</v>
      </c>
      <c r="R12">
        <f t="shared" si="7"/>
        <v>0.51670784999999997</v>
      </c>
    </row>
    <row r="13" spans="1:18" x14ac:dyDescent="0.3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-0.38635584264983625</v>
      </c>
      <c r="N13">
        <v>119.4423</v>
      </c>
      <c r="O13">
        <f t="shared" si="6"/>
        <v>0.59721150000000001</v>
      </c>
      <c r="Q13">
        <v>112.98524999999999</v>
      </c>
      <c r="R13">
        <f t="shared" si="7"/>
        <v>0.56492624999999996</v>
      </c>
    </row>
    <row r="14" spans="1:18" x14ac:dyDescent="0.3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-0.38799567548098068</v>
      </c>
      <c r="N14">
        <v>129.52412000000001</v>
      </c>
      <c r="O14">
        <f t="shared" si="6"/>
        <v>0.6476206000000001</v>
      </c>
      <c r="Q14">
        <v>122.72636</v>
      </c>
      <c r="R14">
        <f t="shared" si="7"/>
        <v>0.61363179999999995</v>
      </c>
    </row>
    <row r="15" spans="1:18" x14ac:dyDescent="0.3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-0.39301701211931195</v>
      </c>
      <c r="N15">
        <v>139.60594</v>
      </c>
      <c r="O15">
        <f t="shared" si="6"/>
        <v>0.69802969999999998</v>
      </c>
      <c r="Q15">
        <v>132.56487999999999</v>
      </c>
      <c r="R15">
        <f t="shared" si="7"/>
        <v>0.66282439999999998</v>
      </c>
    </row>
    <row r="16" spans="1:18" x14ac:dyDescent="0.3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-0.39557758404405807</v>
      </c>
      <c r="N16">
        <v>150.29879</v>
      </c>
      <c r="O16">
        <f t="shared" si="6"/>
        <v>0.75149394999999997</v>
      </c>
      <c r="Q16">
        <v>142.5008</v>
      </c>
      <c r="R16">
        <f t="shared" si="7"/>
        <v>0.71250400000000003</v>
      </c>
    </row>
    <row r="17" spans="1:18" x14ac:dyDescent="0.3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-0.39895319816111419</v>
      </c>
      <c r="N17">
        <v>160.38063</v>
      </c>
      <c r="O17">
        <f t="shared" si="6"/>
        <v>0.80190315000000001</v>
      </c>
      <c r="Q17">
        <v>152.24189999999999</v>
      </c>
      <c r="R17">
        <f t="shared" si="7"/>
        <v>0.76120949999999998</v>
      </c>
    </row>
    <row r="18" spans="1:18" x14ac:dyDescent="0.3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-0.40173044283251858</v>
      </c>
      <c r="N18">
        <v>170.76795999999999</v>
      </c>
      <c r="O18">
        <f t="shared" si="6"/>
        <v>0.85383979999999993</v>
      </c>
      <c r="Q18">
        <v>161.98301000000001</v>
      </c>
      <c r="R18">
        <f t="shared" si="7"/>
        <v>0.80991505000000008</v>
      </c>
    </row>
    <row r="19" spans="1:18" x14ac:dyDescent="0.3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-0.40379981562726597</v>
      </c>
      <c r="N19">
        <v>180.84979000000001</v>
      </c>
      <c r="O19">
        <f t="shared" si="6"/>
        <v>0.90424895000000005</v>
      </c>
      <c r="Q19">
        <v>171.72412</v>
      </c>
      <c r="R19">
        <f t="shared" si="7"/>
        <v>0.85862059999999996</v>
      </c>
    </row>
    <row r="20" spans="1:18" x14ac:dyDescent="0.3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-0.40807027207822</v>
      </c>
      <c r="N20">
        <v>191.54263</v>
      </c>
      <c r="O20">
        <f t="shared" si="6"/>
        <v>0.95771315000000001</v>
      </c>
      <c r="Q20">
        <v>181.46521999999999</v>
      </c>
      <c r="R20">
        <f t="shared" si="7"/>
        <v>0.90732609999999991</v>
      </c>
    </row>
    <row r="21" spans="1:18" x14ac:dyDescent="0.3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-0.41058256117497771</v>
      </c>
      <c r="N21">
        <v>201.92998</v>
      </c>
      <c r="O21">
        <f t="shared" si="6"/>
        <v>1.0096499000000001</v>
      </c>
      <c r="Q21">
        <v>191.88821999999999</v>
      </c>
      <c r="R21">
        <f t="shared" si="7"/>
        <v>0.95944109999999994</v>
      </c>
    </row>
    <row r="22" spans="1:18" x14ac:dyDescent="0.3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-0.41512207126596967</v>
      </c>
      <c r="N22">
        <v>212.72468000000001</v>
      </c>
      <c r="O22">
        <f t="shared" si="6"/>
        <v>1.0636234</v>
      </c>
      <c r="Q22">
        <v>201.72673</v>
      </c>
      <c r="R22">
        <f t="shared" si="7"/>
        <v>1.0086336499999999</v>
      </c>
    </row>
    <row r="23" spans="1:18" x14ac:dyDescent="0.3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-0.4152430154300818</v>
      </c>
      <c r="N23">
        <v>223.0102</v>
      </c>
      <c r="O23">
        <f t="shared" si="6"/>
        <v>1.115051</v>
      </c>
      <c r="Q23">
        <v>211.76005000000001</v>
      </c>
      <c r="R23">
        <f t="shared" si="7"/>
        <v>1.05880025</v>
      </c>
    </row>
    <row r="24" spans="1:18" x14ac:dyDescent="0.3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-0.41865723577358227</v>
      </c>
      <c r="N24">
        <v>233.39753999999999</v>
      </c>
      <c r="O24">
        <f t="shared" si="6"/>
        <v>1.1669877</v>
      </c>
      <c r="Q24">
        <v>221.40376000000001</v>
      </c>
      <c r="R24">
        <f t="shared" si="7"/>
        <v>1.1070188000000001</v>
      </c>
    </row>
    <row r="25" spans="1:18" x14ac:dyDescent="0.3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-0.42020708752562497</v>
      </c>
      <c r="N25">
        <v>243.47934000000001</v>
      </c>
      <c r="O25">
        <f t="shared" si="6"/>
        <v>1.2173967000000001</v>
      </c>
      <c r="Q25">
        <v>231.24229</v>
      </c>
      <c r="R25">
        <f t="shared" si="7"/>
        <v>1.15621145</v>
      </c>
    </row>
    <row r="26" spans="1:18" x14ac:dyDescent="0.3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-0.42566361695962052</v>
      </c>
      <c r="N26">
        <v>253.76483999999999</v>
      </c>
      <c r="O26">
        <f t="shared" si="6"/>
        <v>1.2688242000000001</v>
      </c>
      <c r="Q26">
        <v>240.88597999999999</v>
      </c>
      <c r="R26">
        <f t="shared" si="7"/>
        <v>1.2044299000000001</v>
      </c>
    </row>
    <row r="27" spans="1:18" x14ac:dyDescent="0.3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-0.42540201099779107</v>
      </c>
      <c r="N27">
        <v>264.66138000000001</v>
      </c>
      <c r="O27">
        <f t="shared" si="6"/>
        <v>1.3233069</v>
      </c>
      <c r="Q27">
        <v>251.21154999999999</v>
      </c>
      <c r="R27">
        <f t="shared" si="7"/>
        <v>1.2560577499999999</v>
      </c>
    </row>
    <row r="28" spans="1:18" x14ac:dyDescent="0.3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-0.43208486360237397</v>
      </c>
      <c r="N28">
        <v>275.35422</v>
      </c>
      <c r="O28">
        <f t="shared" si="6"/>
        <v>1.3767711</v>
      </c>
      <c r="Q28">
        <v>260.85523000000001</v>
      </c>
      <c r="R28">
        <f t="shared" si="7"/>
        <v>1.30427615</v>
      </c>
    </row>
    <row r="29" spans="1:18" x14ac:dyDescent="0.3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-0.4315008944110762</v>
      </c>
      <c r="N29">
        <v>285.74155999999999</v>
      </c>
      <c r="O29">
        <f t="shared" si="6"/>
        <v>1.4287078</v>
      </c>
      <c r="Q29">
        <v>270.49892</v>
      </c>
      <c r="R29">
        <f t="shared" si="7"/>
        <v>1.3524946</v>
      </c>
    </row>
    <row r="30" spans="1:18" x14ac:dyDescent="0.3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-0.43448400066043835</v>
      </c>
      <c r="N30">
        <v>295.82337999999999</v>
      </c>
      <c r="O30">
        <f t="shared" si="6"/>
        <v>1.4791169</v>
      </c>
      <c r="Q30">
        <v>280.8245</v>
      </c>
      <c r="R30">
        <f t="shared" si="7"/>
        <v>1.4041224999999999</v>
      </c>
    </row>
    <row r="31" spans="1:18" x14ac:dyDescent="0.3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-0.43603636181272964</v>
      </c>
      <c r="N31">
        <v>305.90519999999998</v>
      </c>
      <c r="O31">
        <f t="shared" si="6"/>
        <v>1.5295259999999999</v>
      </c>
      <c r="Q31">
        <v>290.46821</v>
      </c>
      <c r="R31">
        <f t="shared" si="7"/>
        <v>1.45234105</v>
      </c>
    </row>
    <row r="32" spans="1:18" x14ac:dyDescent="0.3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-0.44122560042934522</v>
      </c>
      <c r="N32">
        <v>316.29257999999999</v>
      </c>
      <c r="O32">
        <f t="shared" si="6"/>
        <v>1.5814629</v>
      </c>
      <c r="Q32">
        <v>300.30669999999998</v>
      </c>
      <c r="R32">
        <f t="shared" si="7"/>
        <v>1.5015334999999999</v>
      </c>
    </row>
    <row r="33" spans="1:18" x14ac:dyDescent="0.3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-0.43979555125150482</v>
      </c>
      <c r="N33">
        <v>326.57805999999999</v>
      </c>
      <c r="O33">
        <f t="shared" si="6"/>
        <v>1.6328902999999999</v>
      </c>
      <c r="Q33">
        <v>309.95037000000002</v>
      </c>
      <c r="R33">
        <f t="shared" si="7"/>
        <v>1.54975185</v>
      </c>
    </row>
    <row r="34" spans="1:18" x14ac:dyDescent="0.3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-0.44557747531220704</v>
      </c>
      <c r="N34">
        <v>336.65987999999999</v>
      </c>
      <c r="O34">
        <f t="shared" si="6"/>
        <v>1.6832993999999999</v>
      </c>
      <c r="Q34">
        <v>319.98374999999999</v>
      </c>
      <c r="R34">
        <f t="shared" si="7"/>
        <v>1.5999187499999998</v>
      </c>
    </row>
    <row r="35" spans="1:18" x14ac:dyDescent="0.3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-0.4455289144128749</v>
      </c>
      <c r="N35">
        <v>347.14904000000001</v>
      </c>
      <c r="O35">
        <f t="shared" si="6"/>
        <v>1.7357452</v>
      </c>
      <c r="Q35">
        <v>329.62741999999997</v>
      </c>
      <c r="R35">
        <f t="shared" si="7"/>
        <v>1.6481370999999998</v>
      </c>
    </row>
    <row r="36" spans="1:18" x14ac:dyDescent="0.3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-0.4499314018839935</v>
      </c>
      <c r="N36">
        <v>357.33271999999999</v>
      </c>
      <c r="O36">
        <f t="shared" si="6"/>
        <v>1.7866636</v>
      </c>
      <c r="Q36">
        <v>339.75817999999998</v>
      </c>
      <c r="R36">
        <f t="shared" si="7"/>
        <v>1.6987908999999999</v>
      </c>
    </row>
    <row r="37" spans="1:18" x14ac:dyDescent="0.3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-0.44846920116354916</v>
      </c>
      <c r="N37">
        <v>367.92376000000002</v>
      </c>
      <c r="O37">
        <f t="shared" si="6"/>
        <v>1.8396188</v>
      </c>
      <c r="Q37">
        <v>349.40186</v>
      </c>
      <c r="R37">
        <f t="shared" si="7"/>
        <v>1.7470093</v>
      </c>
    </row>
    <row r="38" spans="1:18" x14ac:dyDescent="0.3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-0.4537519083866367</v>
      </c>
      <c r="N38">
        <v>378.51474000000002</v>
      </c>
      <c r="O38">
        <f t="shared" si="6"/>
        <v>1.8925737</v>
      </c>
      <c r="Q38">
        <v>359.24041999999997</v>
      </c>
      <c r="R38">
        <f t="shared" si="7"/>
        <v>1.7962020999999999</v>
      </c>
    </row>
    <row r="39" spans="1:18" x14ac:dyDescent="0.3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-0.45263708583631013</v>
      </c>
      <c r="N39">
        <v>388.59658000000002</v>
      </c>
      <c r="O39">
        <f t="shared" si="6"/>
        <v>1.9429829000000001</v>
      </c>
      <c r="Q39">
        <v>368.98149999999998</v>
      </c>
      <c r="R39">
        <f t="shared" si="7"/>
        <v>1.8449074999999999</v>
      </c>
    </row>
    <row r="40" spans="1:18" x14ac:dyDescent="0.3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-0.45767645103978005</v>
      </c>
      <c r="N40">
        <v>399.08575999999999</v>
      </c>
      <c r="O40">
        <f t="shared" si="6"/>
        <v>1.9954288</v>
      </c>
      <c r="Q40">
        <v>379.40449999999998</v>
      </c>
      <c r="R40">
        <f t="shared" si="7"/>
        <v>1.8970224999999998</v>
      </c>
    </row>
    <row r="41" spans="1:18" x14ac:dyDescent="0.3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-0.4569680449130723</v>
      </c>
      <c r="N41">
        <v>409.67680000000001</v>
      </c>
      <c r="O41">
        <f t="shared" si="6"/>
        <v>2.048384</v>
      </c>
      <c r="Q41">
        <v>389.34041000000002</v>
      </c>
      <c r="R41">
        <f t="shared" si="7"/>
        <v>1.9467020500000001</v>
      </c>
    </row>
    <row r="42" spans="1:18" x14ac:dyDescent="0.3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-0.46159475842495645</v>
      </c>
      <c r="N42">
        <v>419.7586</v>
      </c>
      <c r="O42">
        <f t="shared" si="6"/>
        <v>2.0987930000000001</v>
      </c>
      <c r="Q42">
        <v>399.17892000000001</v>
      </c>
      <c r="R42">
        <f t="shared" si="7"/>
        <v>1.9958946</v>
      </c>
    </row>
    <row r="43" spans="1:18" x14ac:dyDescent="0.3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-0.46221935475378129</v>
      </c>
      <c r="N43">
        <v>429.94227999999998</v>
      </c>
      <c r="O43">
        <f t="shared" si="6"/>
        <v>2.1497113999999997</v>
      </c>
      <c r="Q43">
        <v>409.40710999999999</v>
      </c>
      <c r="R43">
        <f t="shared" si="7"/>
        <v>2.0470355499999999</v>
      </c>
    </row>
    <row r="44" spans="1:18" x14ac:dyDescent="0.3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-0.46465039846375977</v>
      </c>
      <c r="N44">
        <v>440.32963999999998</v>
      </c>
      <c r="O44">
        <f t="shared" si="6"/>
        <v>2.2016481999999997</v>
      </c>
      <c r="Q44">
        <v>420.80419999999998</v>
      </c>
      <c r="R44">
        <f t="shared" si="7"/>
        <v>2.1040209999999999</v>
      </c>
    </row>
    <row r="45" spans="1:18" x14ac:dyDescent="0.3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-0.46597961075620742</v>
      </c>
      <c r="N45">
        <v>450.71694000000002</v>
      </c>
      <c r="O45">
        <f t="shared" si="6"/>
        <v>2.2535847000000002</v>
      </c>
      <c r="Q45">
        <v>430.54527999999999</v>
      </c>
      <c r="R45">
        <f t="shared" si="7"/>
        <v>2.1527264000000002</v>
      </c>
    </row>
    <row r="46" spans="1:18" x14ac:dyDescent="0.3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-0.46667160196374746</v>
      </c>
      <c r="N46">
        <v>461.20616000000001</v>
      </c>
      <c r="O46">
        <f t="shared" si="6"/>
        <v>2.3060308000000003</v>
      </c>
      <c r="Q46">
        <v>440.38378999999998</v>
      </c>
      <c r="R46">
        <f t="shared" si="7"/>
        <v>2.20191895</v>
      </c>
    </row>
    <row r="47" spans="1:18" x14ac:dyDescent="0.3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-0.46891890668024505</v>
      </c>
      <c r="N47">
        <v>472.51006000000001</v>
      </c>
      <c r="O47">
        <f t="shared" si="6"/>
        <v>2.3625503000000001</v>
      </c>
      <c r="Q47">
        <v>450.31974000000002</v>
      </c>
      <c r="R47">
        <f t="shared" si="7"/>
        <v>2.2515987000000002</v>
      </c>
    </row>
    <row r="48" spans="1:18" x14ac:dyDescent="0.3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-0.47210834185268369</v>
      </c>
      <c r="N48">
        <v>483.71206000000001</v>
      </c>
      <c r="O48">
        <f t="shared" si="6"/>
        <v>2.4185603000000002</v>
      </c>
      <c r="Q48">
        <v>460.06088</v>
      </c>
      <c r="R48">
        <f t="shared" si="7"/>
        <v>2.3003043999999999</v>
      </c>
    </row>
    <row r="49" spans="1:18" x14ac:dyDescent="0.3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-0.47254712513451669</v>
      </c>
      <c r="N49">
        <v>494.91406000000001</v>
      </c>
      <c r="O49">
        <f t="shared" si="6"/>
        <v>2.4745702999999999</v>
      </c>
      <c r="Q49">
        <v>470.28904999999997</v>
      </c>
      <c r="R49">
        <f t="shared" si="7"/>
        <v>2.3514452499999998</v>
      </c>
    </row>
    <row r="50" spans="1:18" x14ac:dyDescent="0.3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-0.47522493514909236</v>
      </c>
      <c r="N50">
        <v>505.19956000000002</v>
      </c>
      <c r="O50">
        <f t="shared" si="6"/>
        <v>2.5259978000000003</v>
      </c>
      <c r="Q50">
        <v>479.93275999999997</v>
      </c>
      <c r="R50">
        <f t="shared" si="7"/>
        <v>2.3996637999999999</v>
      </c>
    </row>
    <row r="51" spans="1:18" x14ac:dyDescent="0.3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-0.47794249136805933</v>
      </c>
      <c r="N51">
        <v>515.79052000000001</v>
      </c>
      <c r="O51">
        <f t="shared" si="6"/>
        <v>2.5789526</v>
      </c>
      <c r="Q51">
        <v>489.67380000000003</v>
      </c>
      <c r="R51">
        <f t="shared" si="7"/>
        <v>2.448369</v>
      </c>
    </row>
    <row r="52" spans="1:18" x14ac:dyDescent="0.3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-0.47996368926020361</v>
      </c>
      <c r="N52">
        <v>526.17791999999997</v>
      </c>
      <c r="O52">
        <f t="shared" si="6"/>
        <v>2.6308895999999997</v>
      </c>
      <c r="Q52">
        <v>499.41487999999998</v>
      </c>
      <c r="R52">
        <f t="shared" si="7"/>
        <v>2.4970743999999998</v>
      </c>
    </row>
    <row r="53" spans="1:18" x14ac:dyDescent="0.3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-0.47945188178997145</v>
      </c>
      <c r="N53">
        <v>536.25972000000002</v>
      </c>
      <c r="O53">
        <f t="shared" si="6"/>
        <v>2.6812985999999999</v>
      </c>
      <c r="Q53">
        <v>510.03273000000002</v>
      </c>
      <c r="R53">
        <f t="shared" si="7"/>
        <v>2.55016365</v>
      </c>
    </row>
    <row r="54" spans="1:18" x14ac:dyDescent="0.3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-0.48306794009448972</v>
      </c>
      <c r="N54">
        <v>546.74887999999999</v>
      </c>
      <c r="O54">
        <f t="shared" si="6"/>
        <v>2.7337444</v>
      </c>
      <c r="Q54">
        <v>519.67642999999998</v>
      </c>
      <c r="R54">
        <f t="shared" si="7"/>
        <v>2.5983821499999999</v>
      </c>
    </row>
    <row r="55" spans="1:18" x14ac:dyDescent="0.3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-0.48655057781781652</v>
      </c>
      <c r="N55">
        <v>557.33993999999996</v>
      </c>
      <c r="O55">
        <f t="shared" si="6"/>
        <v>2.7866996999999998</v>
      </c>
      <c r="Q55">
        <v>529.41755000000001</v>
      </c>
      <c r="R55">
        <f t="shared" si="7"/>
        <v>2.6470877499999999</v>
      </c>
    </row>
    <row r="56" spans="1:18" x14ac:dyDescent="0.3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-0.48540458812912202</v>
      </c>
      <c r="N56">
        <v>567.62544000000003</v>
      </c>
      <c r="O56">
        <f t="shared" si="6"/>
        <v>2.8381272000000002</v>
      </c>
      <c r="Q56">
        <v>539.54827</v>
      </c>
      <c r="R56">
        <f t="shared" si="7"/>
        <v>2.6977413499999998</v>
      </c>
    </row>
    <row r="57" spans="1:18" x14ac:dyDescent="0.3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-0.48532693353417911</v>
      </c>
      <c r="N57">
        <v>578.52197999999999</v>
      </c>
      <c r="O57">
        <f t="shared" si="6"/>
        <v>2.8926099000000001</v>
      </c>
      <c r="Q57">
        <v>549.97122000000002</v>
      </c>
      <c r="R57">
        <f t="shared" si="7"/>
        <v>2.7498561000000001</v>
      </c>
    </row>
    <row r="58" spans="1:18" x14ac:dyDescent="0.3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-0.49044909742166498</v>
      </c>
      <c r="N58">
        <v>589.11293999999998</v>
      </c>
      <c r="O58">
        <f t="shared" si="6"/>
        <v>2.9455646999999998</v>
      </c>
      <c r="Q58">
        <v>559.71234000000004</v>
      </c>
      <c r="R58">
        <f t="shared" si="7"/>
        <v>2.7985617</v>
      </c>
    </row>
    <row r="59" spans="1:18" x14ac:dyDescent="0.3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-0.49108584776713338</v>
      </c>
      <c r="N59">
        <v>599.29664000000002</v>
      </c>
      <c r="O59">
        <f t="shared" si="6"/>
        <v>2.9964832000000001</v>
      </c>
      <c r="Q59">
        <v>569.35604000000001</v>
      </c>
      <c r="R59">
        <f t="shared" si="7"/>
        <v>2.8467802</v>
      </c>
    </row>
    <row r="60" spans="1:18" x14ac:dyDescent="0.3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-0.49277137140338523</v>
      </c>
      <c r="N60">
        <v>609.37846000000002</v>
      </c>
      <c r="O60">
        <f t="shared" si="6"/>
        <v>3.0468923000000001</v>
      </c>
      <c r="Q60">
        <v>579.29199000000006</v>
      </c>
      <c r="R60">
        <f t="shared" si="7"/>
        <v>2.8964599500000001</v>
      </c>
    </row>
    <row r="61" spans="1:18" x14ac:dyDescent="0.3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-0.492621743093271</v>
      </c>
      <c r="N61">
        <v>619.46029999999996</v>
      </c>
      <c r="O61">
        <f t="shared" si="6"/>
        <v>3.0973014999999999</v>
      </c>
      <c r="Q61">
        <v>588.93569000000002</v>
      </c>
      <c r="R61">
        <f t="shared" si="7"/>
        <v>2.9446784500000001</v>
      </c>
    </row>
    <row r="62" spans="1:18" x14ac:dyDescent="0.3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-0.49249600155522322</v>
      </c>
      <c r="N62">
        <v>630.35684000000003</v>
      </c>
      <c r="O62">
        <f t="shared" si="6"/>
        <v>3.1517842000000003</v>
      </c>
      <c r="Q62">
        <v>598.77414999999996</v>
      </c>
      <c r="R62">
        <f t="shared" si="7"/>
        <v>2.9938707499999997</v>
      </c>
    </row>
    <row r="63" spans="1:18" x14ac:dyDescent="0.3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-0.49752484004012143</v>
      </c>
      <c r="N63">
        <v>640.43862000000001</v>
      </c>
      <c r="O63">
        <f t="shared" si="6"/>
        <v>3.2021931000000001</v>
      </c>
      <c r="Q63">
        <v>608.90490999999997</v>
      </c>
      <c r="R63">
        <f t="shared" si="7"/>
        <v>3.0445245499999998</v>
      </c>
    </row>
    <row r="64" spans="1:18" x14ac:dyDescent="0.3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-0.50048345700425301</v>
      </c>
      <c r="N64">
        <v>651.74252000000001</v>
      </c>
      <c r="O64">
        <f t="shared" si="6"/>
        <v>3.2587126</v>
      </c>
      <c r="Q64">
        <v>618.54861000000005</v>
      </c>
      <c r="R64">
        <f t="shared" si="7"/>
        <v>3.0927430500000002</v>
      </c>
    </row>
    <row r="65" spans="1:18" x14ac:dyDescent="0.3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-0.50046776850609875</v>
      </c>
      <c r="N65">
        <v>662.02797999999996</v>
      </c>
      <c r="O65">
        <f t="shared" si="6"/>
        <v>3.3101398999999998</v>
      </c>
      <c r="Q65">
        <v>628.19232</v>
      </c>
      <c r="R65">
        <f t="shared" si="7"/>
        <v>3.1409615999999998</v>
      </c>
    </row>
    <row r="66" spans="1:18" x14ac:dyDescent="0.3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8">C66+(D66*A66)</f>
        <v>0.66763983388245107</v>
      </c>
      <c r="K66">
        <f t="shared" si="4"/>
        <v>0.67743025128713252</v>
      </c>
      <c r="L66">
        <f t="shared" si="5"/>
        <v>-0.50248032168887946</v>
      </c>
      <c r="N66">
        <v>672.72080000000005</v>
      </c>
      <c r="O66">
        <f t="shared" si="6"/>
        <v>3.3636040000000005</v>
      </c>
      <c r="Q66">
        <v>637.83600000000001</v>
      </c>
      <c r="R66">
        <f t="shared" si="7"/>
        <v>3.1891799999999999</v>
      </c>
    </row>
    <row r="67" spans="1:18" x14ac:dyDescent="0.3">
      <c r="A67">
        <v>3.43</v>
      </c>
      <c r="B67">
        <f t="shared" ref="B67:B130" si="9">A67*200</f>
        <v>686</v>
      </c>
      <c r="C67">
        <v>0.59499999999999997</v>
      </c>
      <c r="D67" s="1">
        <v>2.1236933767795563E-2</v>
      </c>
      <c r="E67">
        <f t="shared" ref="E67:E130" si="10">B67</f>
        <v>686</v>
      </c>
      <c r="F67">
        <f t="shared" ref="F67:F130" si="11">D67-0.0045</f>
        <v>1.6736933767795562E-2</v>
      </c>
      <c r="I67">
        <f t="shared" si="8"/>
        <v>0.66784268282353876</v>
      </c>
      <c r="K67">
        <f t="shared" ref="K67:K130" si="12">I67+(F67*C67)</f>
        <v>0.67780115841537714</v>
      </c>
      <c r="L67">
        <f t="shared" ref="L67:L130" si="13">K67-$I$1</f>
        <v>-0.50210941456063485</v>
      </c>
      <c r="N67">
        <v>682.80264</v>
      </c>
      <c r="O67">
        <f t="shared" ref="O67:O130" si="14">N67/200</f>
        <v>3.4140131999999999</v>
      </c>
      <c r="Q67">
        <v>647.47970999999995</v>
      </c>
      <c r="R67">
        <f t="shared" ref="R67:R130" si="15">Q67/200</f>
        <v>3.23739855</v>
      </c>
    </row>
    <row r="68" spans="1:18" x14ac:dyDescent="0.3">
      <c r="A68">
        <v>3.49</v>
      </c>
      <c r="B68">
        <f t="shared" si="9"/>
        <v>698</v>
      </c>
      <c r="C68">
        <v>0.59199999999999997</v>
      </c>
      <c r="D68" s="1">
        <v>2.1216338500380516E-2</v>
      </c>
      <c r="E68">
        <f t="shared" si="10"/>
        <v>698</v>
      </c>
      <c r="F68">
        <f t="shared" si="11"/>
        <v>1.6716338500380516E-2</v>
      </c>
      <c r="I68">
        <f t="shared" si="8"/>
        <v>0.66604502136632804</v>
      </c>
      <c r="K68">
        <f t="shared" si="12"/>
        <v>0.67594109375855327</v>
      </c>
      <c r="L68">
        <f t="shared" si="13"/>
        <v>-0.50396947921745872</v>
      </c>
      <c r="N68">
        <v>692.98631999999998</v>
      </c>
      <c r="O68">
        <f t="shared" si="14"/>
        <v>3.4649315999999999</v>
      </c>
      <c r="Q68">
        <v>657.41566</v>
      </c>
      <c r="R68">
        <f t="shared" si="15"/>
        <v>3.2870783000000001</v>
      </c>
    </row>
    <row r="69" spans="1:18" x14ac:dyDescent="0.3">
      <c r="A69">
        <v>3.54</v>
      </c>
      <c r="B69">
        <f t="shared" si="9"/>
        <v>708</v>
      </c>
      <c r="C69">
        <v>0.59</v>
      </c>
      <c r="D69" s="1">
        <v>2.1920887753367424E-2</v>
      </c>
      <c r="E69">
        <f t="shared" si="10"/>
        <v>708</v>
      </c>
      <c r="F69">
        <f t="shared" si="11"/>
        <v>1.7420887753367423E-2</v>
      </c>
      <c r="I69">
        <f t="shared" si="8"/>
        <v>0.66759994264692069</v>
      </c>
      <c r="K69">
        <f t="shared" si="12"/>
        <v>0.67787826642140747</v>
      </c>
      <c r="L69">
        <f t="shared" si="13"/>
        <v>-0.50203230655460451</v>
      </c>
      <c r="N69">
        <v>703.06822</v>
      </c>
      <c r="O69">
        <f t="shared" si="14"/>
        <v>3.5153411000000001</v>
      </c>
      <c r="Q69">
        <v>668.22832000000005</v>
      </c>
      <c r="R69">
        <f t="shared" si="15"/>
        <v>3.3411416000000003</v>
      </c>
    </row>
    <row r="70" spans="1:18" x14ac:dyDescent="0.3">
      <c r="A70">
        <v>3.59</v>
      </c>
      <c r="B70">
        <f t="shared" si="9"/>
        <v>718</v>
      </c>
      <c r="C70">
        <v>0.58699999999999997</v>
      </c>
      <c r="D70" s="1">
        <v>2.1341806277632713E-2</v>
      </c>
      <c r="E70">
        <f t="shared" si="10"/>
        <v>718</v>
      </c>
      <c r="F70">
        <f t="shared" si="11"/>
        <v>1.6841806277632713E-2</v>
      </c>
      <c r="I70">
        <f t="shared" si="8"/>
        <v>0.66361708453670143</v>
      </c>
      <c r="K70">
        <f t="shared" si="12"/>
        <v>0.6735032248216718</v>
      </c>
      <c r="L70">
        <f t="shared" si="13"/>
        <v>-0.50640734815434019</v>
      </c>
      <c r="N70">
        <v>713.45551999999998</v>
      </c>
      <c r="O70">
        <f t="shared" si="14"/>
        <v>3.5672775999999997</v>
      </c>
      <c r="Q70">
        <v>677.96936000000005</v>
      </c>
      <c r="R70">
        <f t="shared" si="15"/>
        <v>3.3898468000000004</v>
      </c>
    </row>
    <row r="71" spans="1:18" x14ac:dyDescent="0.3">
      <c r="A71">
        <v>3.64</v>
      </c>
      <c r="B71">
        <f t="shared" si="9"/>
        <v>728</v>
      </c>
      <c r="C71">
        <v>0.58499999999999996</v>
      </c>
      <c r="D71" s="1">
        <v>2.1182570606470108E-2</v>
      </c>
      <c r="E71">
        <f t="shared" si="10"/>
        <v>728</v>
      </c>
      <c r="F71">
        <f t="shared" si="11"/>
        <v>1.6682570606470108E-2</v>
      </c>
      <c r="I71">
        <f t="shared" si="8"/>
        <v>0.66210455700755122</v>
      </c>
      <c r="K71">
        <f t="shared" si="12"/>
        <v>0.67186386081233618</v>
      </c>
      <c r="L71">
        <f t="shared" si="13"/>
        <v>-0.50804671216367581</v>
      </c>
      <c r="N71">
        <v>723.53736000000004</v>
      </c>
      <c r="O71">
        <f t="shared" si="14"/>
        <v>3.6176868</v>
      </c>
      <c r="Q71">
        <v>688.29495999999995</v>
      </c>
      <c r="R71">
        <f t="shared" si="15"/>
        <v>3.4414747999999999</v>
      </c>
    </row>
    <row r="72" spans="1:18" x14ac:dyDescent="0.3">
      <c r="A72">
        <v>3.69</v>
      </c>
      <c r="B72">
        <f t="shared" si="9"/>
        <v>738</v>
      </c>
      <c r="C72">
        <v>0.58199999999999996</v>
      </c>
      <c r="D72" s="1">
        <v>2.0709231495857239E-2</v>
      </c>
      <c r="E72">
        <f t="shared" si="10"/>
        <v>738</v>
      </c>
      <c r="F72">
        <f t="shared" si="11"/>
        <v>1.6209231495857238E-2</v>
      </c>
      <c r="I72">
        <f t="shared" si="8"/>
        <v>0.65841706421971313</v>
      </c>
      <c r="K72">
        <f t="shared" si="12"/>
        <v>0.66785083695030201</v>
      </c>
      <c r="L72">
        <f t="shared" si="13"/>
        <v>-0.51205973602570998</v>
      </c>
      <c r="N72">
        <v>733.721</v>
      </c>
      <c r="O72">
        <f t="shared" si="14"/>
        <v>3.6686049999999999</v>
      </c>
      <c r="Q72">
        <v>698.03603999999996</v>
      </c>
      <c r="R72">
        <f t="shared" si="15"/>
        <v>3.4901801999999997</v>
      </c>
    </row>
    <row r="73" spans="1:18" x14ac:dyDescent="0.3">
      <c r="A73">
        <v>3.74</v>
      </c>
      <c r="B73">
        <f t="shared" si="9"/>
        <v>748</v>
      </c>
      <c r="C73">
        <v>0.57999999999999996</v>
      </c>
      <c r="D73" s="1">
        <v>2.084982767701149E-2</v>
      </c>
      <c r="E73">
        <f t="shared" si="10"/>
        <v>748</v>
      </c>
      <c r="F73">
        <f t="shared" si="11"/>
        <v>1.6349827677011489E-2</v>
      </c>
      <c r="I73">
        <f t="shared" si="8"/>
        <v>0.65797835551202288</v>
      </c>
      <c r="K73">
        <f t="shared" si="12"/>
        <v>0.66746125556468949</v>
      </c>
      <c r="L73">
        <f t="shared" si="13"/>
        <v>-0.51244931741132249</v>
      </c>
      <c r="N73">
        <v>744.21015999999997</v>
      </c>
      <c r="O73">
        <f t="shared" si="14"/>
        <v>3.7210508</v>
      </c>
      <c r="Q73">
        <v>708.75133000000005</v>
      </c>
      <c r="R73">
        <f t="shared" si="15"/>
        <v>3.5437566500000002</v>
      </c>
    </row>
    <row r="74" spans="1:18" x14ac:dyDescent="0.3">
      <c r="A74">
        <v>3.8</v>
      </c>
      <c r="B74">
        <f t="shared" si="9"/>
        <v>760</v>
      </c>
      <c r="C74">
        <v>0.57799999999999996</v>
      </c>
      <c r="D74" s="1">
        <v>2.1780027076601982E-2</v>
      </c>
      <c r="E74">
        <f t="shared" si="10"/>
        <v>760</v>
      </c>
      <c r="F74">
        <f t="shared" si="11"/>
        <v>1.7280027076601982E-2</v>
      </c>
      <c r="I74">
        <f t="shared" si="8"/>
        <v>0.66076410289108745</v>
      </c>
      <c r="K74">
        <f t="shared" si="12"/>
        <v>0.67075195854136338</v>
      </c>
      <c r="L74">
        <f t="shared" si="13"/>
        <v>-0.5091586144346486</v>
      </c>
      <c r="N74">
        <v>754.39383999999995</v>
      </c>
      <c r="O74">
        <f t="shared" si="14"/>
        <v>3.7719691999999996</v>
      </c>
      <c r="Q74">
        <v>718.58974000000001</v>
      </c>
      <c r="R74">
        <f t="shared" si="15"/>
        <v>3.5929487</v>
      </c>
    </row>
    <row r="75" spans="1:18" x14ac:dyDescent="0.3">
      <c r="A75">
        <v>3.85</v>
      </c>
      <c r="B75">
        <f t="shared" si="9"/>
        <v>770</v>
      </c>
      <c r="C75">
        <v>0.57499999999999996</v>
      </c>
      <c r="D75" s="1">
        <v>2.1630674600601196E-2</v>
      </c>
      <c r="E75">
        <f t="shared" si="10"/>
        <v>770</v>
      </c>
      <c r="F75">
        <f t="shared" si="11"/>
        <v>1.7130674600601196E-2</v>
      </c>
      <c r="I75">
        <f t="shared" si="8"/>
        <v>0.65827809721231456</v>
      </c>
      <c r="K75">
        <f t="shared" si="12"/>
        <v>0.66812823510766028</v>
      </c>
      <c r="L75">
        <f t="shared" si="13"/>
        <v>-0.5117823378683517</v>
      </c>
      <c r="N75">
        <v>764.57754</v>
      </c>
      <c r="O75">
        <f t="shared" si="14"/>
        <v>3.8228876999999999</v>
      </c>
      <c r="Q75">
        <v>728.33087999999998</v>
      </c>
      <c r="R75">
        <f t="shared" si="15"/>
        <v>3.6416543999999997</v>
      </c>
    </row>
    <row r="76" spans="1:18" x14ac:dyDescent="0.3">
      <c r="A76">
        <v>3.9</v>
      </c>
      <c r="B76">
        <f t="shared" si="9"/>
        <v>780</v>
      </c>
      <c r="C76">
        <v>0.57299999999999995</v>
      </c>
      <c r="D76" s="1">
        <v>2.1522887051105499E-2</v>
      </c>
      <c r="E76">
        <f t="shared" si="10"/>
        <v>780</v>
      </c>
      <c r="F76">
        <f t="shared" si="11"/>
        <v>1.7022887051105499E-2</v>
      </c>
      <c r="I76">
        <f t="shared" si="8"/>
        <v>0.65693925949931142</v>
      </c>
      <c r="K76">
        <f t="shared" si="12"/>
        <v>0.66669337377959492</v>
      </c>
      <c r="L76">
        <f t="shared" si="13"/>
        <v>-0.51321719919641706</v>
      </c>
      <c r="N76">
        <v>774.86303999999996</v>
      </c>
      <c r="O76">
        <f t="shared" si="14"/>
        <v>3.8743151999999998</v>
      </c>
      <c r="Q76">
        <v>738.85130000000004</v>
      </c>
      <c r="R76">
        <f t="shared" si="15"/>
        <v>3.6942565000000003</v>
      </c>
    </row>
    <row r="77" spans="1:18" x14ac:dyDescent="0.3">
      <c r="A77">
        <v>3.95</v>
      </c>
      <c r="B77">
        <f t="shared" si="9"/>
        <v>790</v>
      </c>
      <c r="C77">
        <v>0.56999999999999995</v>
      </c>
      <c r="D77" s="1">
        <v>2.0996369421482086E-2</v>
      </c>
      <c r="E77">
        <f t="shared" si="10"/>
        <v>790</v>
      </c>
      <c r="F77">
        <f t="shared" si="11"/>
        <v>1.6496369421482086E-2</v>
      </c>
      <c r="I77">
        <f t="shared" si="8"/>
        <v>0.65293565921485419</v>
      </c>
      <c r="K77">
        <f t="shared" si="12"/>
        <v>0.66233858978509896</v>
      </c>
      <c r="L77">
        <f t="shared" si="13"/>
        <v>-0.51757198319091302</v>
      </c>
      <c r="N77">
        <v>785.14847999999995</v>
      </c>
      <c r="O77">
        <f t="shared" si="14"/>
        <v>3.9257423999999999</v>
      </c>
      <c r="Q77">
        <v>748.68980999999997</v>
      </c>
      <c r="R77">
        <f t="shared" si="15"/>
        <v>3.7434490499999997</v>
      </c>
    </row>
    <row r="78" spans="1:18" x14ac:dyDescent="0.3">
      <c r="A78">
        <v>4</v>
      </c>
      <c r="B78">
        <f t="shared" si="9"/>
        <v>800</v>
      </c>
      <c r="C78">
        <v>0.56799999999999995</v>
      </c>
      <c r="D78" s="1">
        <v>2.1206527948379517E-2</v>
      </c>
      <c r="E78">
        <f t="shared" si="10"/>
        <v>800</v>
      </c>
      <c r="F78">
        <f t="shared" si="11"/>
        <v>1.6706527948379516E-2</v>
      </c>
      <c r="I78">
        <f t="shared" si="8"/>
        <v>0.65282611179351802</v>
      </c>
      <c r="K78">
        <f t="shared" si="12"/>
        <v>0.66231541966819762</v>
      </c>
      <c r="L78">
        <f t="shared" si="13"/>
        <v>-0.51759515330781436</v>
      </c>
      <c r="N78">
        <v>795.6377</v>
      </c>
      <c r="O78">
        <f t="shared" si="14"/>
        <v>3.9781884999999999</v>
      </c>
      <c r="Q78">
        <v>758.33352000000002</v>
      </c>
      <c r="R78">
        <f t="shared" si="15"/>
        <v>3.7916676000000002</v>
      </c>
    </row>
    <row r="79" spans="1:18" x14ac:dyDescent="0.3">
      <c r="A79">
        <v>4.05</v>
      </c>
      <c r="B79">
        <f t="shared" si="9"/>
        <v>810</v>
      </c>
      <c r="C79">
        <v>0.56499999999999995</v>
      </c>
      <c r="D79" s="1">
        <v>2.1287042647600174E-2</v>
      </c>
      <c r="E79">
        <f t="shared" si="10"/>
        <v>810</v>
      </c>
      <c r="F79">
        <f t="shared" si="11"/>
        <v>1.6787042647600173E-2</v>
      </c>
      <c r="I79">
        <f t="shared" si="8"/>
        <v>0.65121252272278063</v>
      </c>
      <c r="K79">
        <f t="shared" si="12"/>
        <v>0.66069720181867475</v>
      </c>
      <c r="L79">
        <f t="shared" si="13"/>
        <v>-0.51921337115733723</v>
      </c>
      <c r="N79">
        <v>806.12685999999997</v>
      </c>
      <c r="O79">
        <f t="shared" si="14"/>
        <v>4.0306343</v>
      </c>
      <c r="Q79">
        <v>767.97721999999999</v>
      </c>
      <c r="R79">
        <f t="shared" si="15"/>
        <v>3.8398860999999997</v>
      </c>
    </row>
    <row r="80" spans="1:18" x14ac:dyDescent="0.3">
      <c r="A80">
        <v>4.0999999999999996</v>
      </c>
      <c r="B80">
        <f t="shared" si="9"/>
        <v>819.99999999999989</v>
      </c>
      <c r="C80">
        <v>0.56299999999999994</v>
      </c>
      <c r="D80" s="1">
        <v>2.1569870412349701E-2</v>
      </c>
      <c r="E80">
        <f t="shared" si="10"/>
        <v>819.99999999999989</v>
      </c>
      <c r="F80">
        <f t="shared" si="11"/>
        <v>1.70698704123497E-2</v>
      </c>
      <c r="I80">
        <f t="shared" si="8"/>
        <v>0.65143646869063376</v>
      </c>
      <c r="K80">
        <f t="shared" si="12"/>
        <v>0.66104680573278662</v>
      </c>
      <c r="L80">
        <f t="shared" si="13"/>
        <v>-0.51886376724322536</v>
      </c>
      <c r="N80">
        <v>816.20870000000002</v>
      </c>
      <c r="O80">
        <f t="shared" si="14"/>
        <v>4.0810434999999998</v>
      </c>
      <c r="Q80">
        <v>777.62086999999997</v>
      </c>
      <c r="R80">
        <f t="shared" si="15"/>
        <v>3.8881043499999999</v>
      </c>
    </row>
    <row r="81" spans="1:18" x14ac:dyDescent="0.3">
      <c r="A81">
        <v>4.16</v>
      </c>
      <c r="B81">
        <f t="shared" si="9"/>
        <v>832</v>
      </c>
      <c r="C81">
        <v>0.56100000000000005</v>
      </c>
      <c r="D81" s="1">
        <v>2.1351464092731476E-2</v>
      </c>
      <c r="E81">
        <f t="shared" si="10"/>
        <v>832</v>
      </c>
      <c r="F81">
        <f t="shared" si="11"/>
        <v>1.6851464092731475E-2</v>
      </c>
      <c r="I81">
        <f t="shared" si="8"/>
        <v>0.64982209062576302</v>
      </c>
      <c r="K81">
        <f t="shared" si="12"/>
        <v>0.65927576198178539</v>
      </c>
      <c r="L81">
        <f t="shared" si="13"/>
        <v>-0.52063481099422659</v>
      </c>
      <c r="N81">
        <v>826.49423999999999</v>
      </c>
      <c r="O81">
        <f t="shared" si="14"/>
        <v>4.1324712000000003</v>
      </c>
      <c r="Q81">
        <v>787.65428999999995</v>
      </c>
      <c r="R81">
        <f t="shared" si="15"/>
        <v>3.9382714499999998</v>
      </c>
    </row>
    <row r="82" spans="1:18" x14ac:dyDescent="0.3">
      <c r="A82">
        <v>4.21</v>
      </c>
      <c r="B82">
        <f t="shared" si="9"/>
        <v>842</v>
      </c>
      <c r="C82">
        <v>0.55800000000000005</v>
      </c>
      <c r="D82" s="1">
        <v>2.2199295461177826E-2</v>
      </c>
      <c r="E82">
        <f t="shared" si="10"/>
        <v>842</v>
      </c>
      <c r="F82">
        <f t="shared" si="11"/>
        <v>1.7699295461177825E-2</v>
      </c>
      <c r="I82">
        <f t="shared" si="8"/>
        <v>0.65145903389155868</v>
      </c>
      <c r="K82">
        <f t="shared" si="12"/>
        <v>0.66133524075889594</v>
      </c>
      <c r="L82">
        <f t="shared" si="13"/>
        <v>-0.51857533221711605</v>
      </c>
      <c r="N82">
        <v>836.57608000000005</v>
      </c>
      <c r="O82">
        <f t="shared" si="14"/>
        <v>4.1828804000000002</v>
      </c>
      <c r="Q82">
        <v>797.298</v>
      </c>
      <c r="R82">
        <f t="shared" si="15"/>
        <v>3.9864899999999999</v>
      </c>
    </row>
    <row r="83" spans="1:18" x14ac:dyDescent="0.3">
      <c r="A83">
        <v>4.26</v>
      </c>
      <c r="B83">
        <f t="shared" si="9"/>
        <v>852</v>
      </c>
      <c r="C83">
        <v>0.55600000000000005</v>
      </c>
      <c r="D83" s="1">
        <v>2.1349307149648666E-2</v>
      </c>
      <c r="E83">
        <f t="shared" si="10"/>
        <v>852</v>
      </c>
      <c r="F83">
        <f t="shared" si="11"/>
        <v>1.6849307149648666E-2</v>
      </c>
      <c r="I83">
        <f t="shared" si="8"/>
        <v>0.64694804845750342</v>
      </c>
      <c r="K83">
        <f t="shared" si="12"/>
        <v>0.65631626323270809</v>
      </c>
      <c r="L83">
        <f t="shared" si="13"/>
        <v>-0.5235943097433039</v>
      </c>
      <c r="N83">
        <v>846.65791999999999</v>
      </c>
      <c r="O83">
        <f t="shared" si="14"/>
        <v>4.2332896</v>
      </c>
      <c r="Q83">
        <v>807.52616999999998</v>
      </c>
      <c r="R83">
        <f t="shared" si="15"/>
        <v>4.0376308500000002</v>
      </c>
    </row>
    <row r="84" spans="1:18" x14ac:dyDescent="0.3">
      <c r="A84">
        <v>4.3099999999999996</v>
      </c>
      <c r="B84">
        <f t="shared" si="9"/>
        <v>861.99999999999989</v>
      </c>
      <c r="C84">
        <v>0.55400000000000005</v>
      </c>
      <c r="D84" s="1">
        <v>2.1212978288531303E-2</v>
      </c>
      <c r="E84">
        <f t="shared" si="10"/>
        <v>861.99999999999989</v>
      </c>
      <c r="F84">
        <f t="shared" si="11"/>
        <v>1.6712978288531303E-2</v>
      </c>
      <c r="I84">
        <f t="shared" si="8"/>
        <v>0.64542793642356999</v>
      </c>
      <c r="K84">
        <f t="shared" si="12"/>
        <v>0.65468692639541637</v>
      </c>
      <c r="L84">
        <f t="shared" si="13"/>
        <v>-0.52522364658059562</v>
      </c>
      <c r="N84">
        <v>857.04521999999997</v>
      </c>
      <c r="O84">
        <f t="shared" si="14"/>
        <v>4.2852261</v>
      </c>
      <c r="Q84">
        <v>817.85170000000005</v>
      </c>
      <c r="R84">
        <f t="shared" si="15"/>
        <v>4.0892585000000006</v>
      </c>
    </row>
    <row r="85" spans="1:18" x14ac:dyDescent="0.3">
      <c r="A85">
        <v>4.37</v>
      </c>
      <c r="B85">
        <f t="shared" si="9"/>
        <v>874</v>
      </c>
      <c r="C85">
        <v>0.55100000000000005</v>
      </c>
      <c r="D85" s="1">
        <v>2.2336233407258987E-2</v>
      </c>
      <c r="E85">
        <f t="shared" si="10"/>
        <v>874</v>
      </c>
      <c r="F85">
        <f t="shared" si="11"/>
        <v>1.7836233407258987E-2</v>
      </c>
      <c r="I85">
        <f t="shared" si="8"/>
        <v>0.64860933998972181</v>
      </c>
      <c r="K85">
        <f t="shared" si="12"/>
        <v>0.65843710459712157</v>
      </c>
      <c r="L85">
        <f t="shared" si="13"/>
        <v>-0.52147346837889041</v>
      </c>
      <c r="N85">
        <v>867.73807999999997</v>
      </c>
      <c r="O85">
        <f t="shared" si="14"/>
        <v>4.3386903999999999</v>
      </c>
      <c r="Q85">
        <v>828.07987000000003</v>
      </c>
      <c r="R85">
        <f t="shared" si="15"/>
        <v>4.14039935</v>
      </c>
    </row>
    <row r="86" spans="1:18" x14ac:dyDescent="0.3">
      <c r="A86">
        <v>4.42</v>
      </c>
      <c r="B86">
        <f t="shared" si="9"/>
        <v>884</v>
      </c>
      <c r="C86">
        <v>0.54900000000000004</v>
      </c>
      <c r="D86" s="1">
        <v>2.0953355357050896E-2</v>
      </c>
      <c r="E86">
        <f t="shared" si="10"/>
        <v>884</v>
      </c>
      <c r="F86">
        <f t="shared" si="11"/>
        <v>1.6453355357050895E-2</v>
      </c>
      <c r="I86">
        <f t="shared" si="8"/>
        <v>0.64161383067816502</v>
      </c>
      <c r="K86">
        <f t="shared" si="12"/>
        <v>0.650646722769186</v>
      </c>
      <c r="L86">
        <f t="shared" si="13"/>
        <v>-0.52926385020682598</v>
      </c>
      <c r="N86">
        <v>877.81992000000002</v>
      </c>
      <c r="O86">
        <f t="shared" si="14"/>
        <v>4.3890995999999998</v>
      </c>
      <c r="Q86">
        <v>837.72357</v>
      </c>
      <c r="R86">
        <f t="shared" si="15"/>
        <v>4.18861785</v>
      </c>
    </row>
    <row r="87" spans="1:18" x14ac:dyDescent="0.3">
      <c r="A87">
        <v>4.47</v>
      </c>
      <c r="B87">
        <f t="shared" si="9"/>
        <v>894</v>
      </c>
      <c r="C87">
        <v>0.54600000000000004</v>
      </c>
      <c r="D87" s="1">
        <v>2.2049251943826675E-2</v>
      </c>
      <c r="E87">
        <f t="shared" si="10"/>
        <v>894</v>
      </c>
      <c r="F87">
        <f t="shared" si="11"/>
        <v>1.7549251943826675E-2</v>
      </c>
      <c r="I87">
        <f t="shared" si="8"/>
        <v>0.64456015618890528</v>
      </c>
      <c r="K87">
        <f t="shared" si="12"/>
        <v>0.65414204775023466</v>
      </c>
      <c r="L87">
        <f t="shared" si="13"/>
        <v>-0.52576852522577733</v>
      </c>
      <c r="N87">
        <v>887.90175999999997</v>
      </c>
      <c r="O87">
        <f t="shared" si="14"/>
        <v>4.4395087999999996</v>
      </c>
      <c r="Q87">
        <v>847.36728000000005</v>
      </c>
      <c r="R87">
        <f t="shared" si="15"/>
        <v>4.2368364000000005</v>
      </c>
    </row>
    <row r="88" spans="1:18" x14ac:dyDescent="0.3">
      <c r="A88">
        <v>4.53</v>
      </c>
      <c r="B88">
        <f t="shared" si="9"/>
        <v>906</v>
      </c>
      <c r="C88">
        <v>0.54400000000000004</v>
      </c>
      <c r="D88" s="1">
        <v>2.1715734153985977E-2</v>
      </c>
      <c r="E88">
        <f t="shared" si="10"/>
        <v>906</v>
      </c>
      <c r="F88">
        <f t="shared" si="11"/>
        <v>1.7215734153985977E-2</v>
      </c>
      <c r="I88">
        <f t="shared" si="8"/>
        <v>0.64237227571755651</v>
      </c>
      <c r="K88">
        <f t="shared" si="12"/>
        <v>0.65173763509732485</v>
      </c>
      <c r="L88">
        <f t="shared" si="13"/>
        <v>-0.52817293787868713</v>
      </c>
      <c r="N88">
        <v>898.18730000000005</v>
      </c>
      <c r="O88">
        <f t="shared" si="14"/>
        <v>4.4909365000000001</v>
      </c>
      <c r="Q88">
        <v>857.79021999999998</v>
      </c>
      <c r="R88">
        <f t="shared" si="15"/>
        <v>4.2889511000000002</v>
      </c>
    </row>
    <row r="89" spans="1:18" x14ac:dyDescent="0.3">
      <c r="A89">
        <v>4.58</v>
      </c>
      <c r="B89">
        <f t="shared" si="9"/>
        <v>916</v>
      </c>
      <c r="C89">
        <v>0.54200000000000004</v>
      </c>
      <c r="D89" s="1">
        <v>2.1696174517273903E-2</v>
      </c>
      <c r="E89">
        <f t="shared" si="10"/>
        <v>916</v>
      </c>
      <c r="F89">
        <f t="shared" si="11"/>
        <v>1.7196174517273902E-2</v>
      </c>
      <c r="I89">
        <f t="shared" si="8"/>
        <v>0.64136847928911456</v>
      </c>
      <c r="K89">
        <f t="shared" si="12"/>
        <v>0.65068880587747702</v>
      </c>
      <c r="L89">
        <f t="shared" si="13"/>
        <v>-0.52922176709853497</v>
      </c>
      <c r="N89">
        <v>909.18564000000003</v>
      </c>
      <c r="O89">
        <f t="shared" si="14"/>
        <v>4.5459282000000005</v>
      </c>
      <c r="Q89">
        <v>867.72621000000004</v>
      </c>
      <c r="R89">
        <f t="shared" si="15"/>
        <v>4.33863105</v>
      </c>
    </row>
    <row r="90" spans="1:18" x14ac:dyDescent="0.3">
      <c r="A90">
        <v>4.63</v>
      </c>
      <c r="B90">
        <f t="shared" si="9"/>
        <v>926</v>
      </c>
      <c r="C90">
        <v>0.53900000000000003</v>
      </c>
      <c r="D90" s="1">
        <v>2.1906765177845955E-2</v>
      </c>
      <c r="E90">
        <f t="shared" si="10"/>
        <v>926</v>
      </c>
      <c r="F90">
        <f t="shared" si="11"/>
        <v>1.7406765177845954E-2</v>
      </c>
      <c r="I90">
        <f t="shared" si="8"/>
        <v>0.64042832277342676</v>
      </c>
      <c r="K90">
        <f t="shared" si="12"/>
        <v>0.6498105692042857</v>
      </c>
      <c r="L90">
        <f t="shared" si="13"/>
        <v>-0.53010000377172628</v>
      </c>
      <c r="N90">
        <v>919.87851999999998</v>
      </c>
      <c r="O90">
        <f t="shared" si="14"/>
        <v>4.5993925999999998</v>
      </c>
      <c r="Q90">
        <v>877.75953000000004</v>
      </c>
      <c r="R90">
        <f t="shared" si="15"/>
        <v>4.3887976499999999</v>
      </c>
    </row>
    <row r="91" spans="1:18" x14ac:dyDescent="0.3">
      <c r="A91">
        <v>4.68</v>
      </c>
      <c r="B91">
        <f t="shared" si="9"/>
        <v>936</v>
      </c>
      <c r="C91">
        <v>0.53700000000000003</v>
      </c>
      <c r="D91" s="1">
        <v>2.1756090223789215E-2</v>
      </c>
      <c r="E91">
        <f t="shared" si="10"/>
        <v>936</v>
      </c>
      <c r="F91">
        <f t="shared" si="11"/>
        <v>1.7256090223789215E-2</v>
      </c>
      <c r="I91">
        <f t="shared" si="8"/>
        <v>0.63881850224733361</v>
      </c>
      <c r="K91">
        <f t="shared" si="12"/>
        <v>0.64808502269750845</v>
      </c>
      <c r="L91">
        <f t="shared" si="13"/>
        <v>-0.53182555027850353</v>
      </c>
      <c r="N91">
        <v>930.06209999999999</v>
      </c>
      <c r="O91">
        <f t="shared" si="14"/>
        <v>4.6503104999999998</v>
      </c>
      <c r="Q91">
        <v>887.69543999999996</v>
      </c>
      <c r="R91">
        <f t="shared" si="15"/>
        <v>4.4384771999999995</v>
      </c>
    </row>
    <row r="92" spans="1:18" x14ac:dyDescent="0.3">
      <c r="A92">
        <v>4.7300000000000004</v>
      </c>
      <c r="B92">
        <f t="shared" si="9"/>
        <v>946.00000000000011</v>
      </c>
      <c r="C92">
        <v>0.53400000000000003</v>
      </c>
      <c r="D92" s="1">
        <v>2.2429488599300385E-2</v>
      </c>
      <c r="E92">
        <f t="shared" si="10"/>
        <v>946.00000000000011</v>
      </c>
      <c r="F92">
        <f t="shared" si="11"/>
        <v>1.7929488599300384E-2</v>
      </c>
      <c r="I92">
        <f t="shared" si="8"/>
        <v>0.64009148107469083</v>
      </c>
      <c r="K92">
        <f t="shared" si="12"/>
        <v>0.64966582798671724</v>
      </c>
      <c r="L92">
        <f t="shared" si="13"/>
        <v>-0.53024474498929475</v>
      </c>
      <c r="N92">
        <v>940.55125999999996</v>
      </c>
      <c r="O92">
        <f t="shared" si="14"/>
        <v>4.7027562999999999</v>
      </c>
      <c r="Q92">
        <v>897.53399000000002</v>
      </c>
      <c r="R92">
        <f t="shared" si="15"/>
        <v>4.4876699499999999</v>
      </c>
    </row>
    <row r="93" spans="1:18" x14ac:dyDescent="0.3">
      <c r="A93">
        <v>4.79</v>
      </c>
      <c r="B93">
        <f t="shared" si="9"/>
        <v>958</v>
      </c>
      <c r="C93">
        <v>0.53300000000000003</v>
      </c>
      <c r="D93" s="1">
        <v>2.15414147824049E-2</v>
      </c>
      <c r="E93">
        <f t="shared" si="10"/>
        <v>958</v>
      </c>
      <c r="F93">
        <f t="shared" si="11"/>
        <v>1.7041414782404899E-2</v>
      </c>
      <c r="I93">
        <f t="shared" si="8"/>
        <v>0.63618337680771953</v>
      </c>
      <c r="K93">
        <f t="shared" si="12"/>
        <v>0.64526645088674128</v>
      </c>
      <c r="L93">
        <f t="shared" si="13"/>
        <v>-0.5346441220892707</v>
      </c>
      <c r="N93">
        <v>952.16063999999994</v>
      </c>
      <c r="O93">
        <f t="shared" si="14"/>
        <v>4.7608031999999998</v>
      </c>
      <c r="Q93">
        <v>907.85950000000003</v>
      </c>
      <c r="R93">
        <f t="shared" si="15"/>
        <v>4.5392975</v>
      </c>
    </row>
    <row r="94" spans="1:18" x14ac:dyDescent="0.3">
      <c r="A94">
        <v>4.84</v>
      </c>
      <c r="B94">
        <f t="shared" si="9"/>
        <v>968</v>
      </c>
      <c r="C94">
        <v>0.53</v>
      </c>
      <c r="D94" s="1">
        <v>2.2523378953337669E-2</v>
      </c>
      <c r="E94">
        <f t="shared" si="10"/>
        <v>968</v>
      </c>
      <c r="F94">
        <f t="shared" si="11"/>
        <v>1.8023378953337669E-2</v>
      </c>
      <c r="I94">
        <f t="shared" si="8"/>
        <v>0.63901315413415438</v>
      </c>
      <c r="K94">
        <f t="shared" si="12"/>
        <v>0.64856554497942331</v>
      </c>
      <c r="L94">
        <f t="shared" si="13"/>
        <v>-0.53134502799658867</v>
      </c>
      <c r="N94">
        <v>962.75166000000002</v>
      </c>
      <c r="O94">
        <f t="shared" si="14"/>
        <v>4.8137582999999999</v>
      </c>
      <c r="Q94">
        <v>917.69807000000003</v>
      </c>
      <c r="R94">
        <f t="shared" si="15"/>
        <v>4.5884903499999998</v>
      </c>
    </row>
    <row r="95" spans="1:18" x14ac:dyDescent="0.3">
      <c r="A95">
        <v>4.8899999999999997</v>
      </c>
      <c r="B95">
        <f t="shared" si="9"/>
        <v>977.99999999999989</v>
      </c>
      <c r="C95">
        <v>0.52800000000000002</v>
      </c>
      <c r="D95" s="1">
        <v>2.1605027839541435E-2</v>
      </c>
      <c r="E95">
        <f t="shared" si="10"/>
        <v>977.99999999999989</v>
      </c>
      <c r="F95">
        <f t="shared" si="11"/>
        <v>1.7105027839541435E-2</v>
      </c>
      <c r="I95">
        <f t="shared" si="8"/>
        <v>0.63364858613535768</v>
      </c>
      <c r="K95">
        <f t="shared" si="12"/>
        <v>0.64268004083463559</v>
      </c>
      <c r="L95">
        <f t="shared" si="13"/>
        <v>-0.53723053214137639</v>
      </c>
      <c r="N95">
        <v>973.54638</v>
      </c>
      <c r="O95">
        <f t="shared" si="14"/>
        <v>4.8677318999999999</v>
      </c>
      <c r="Q95">
        <v>928.60807</v>
      </c>
      <c r="R95">
        <f t="shared" si="15"/>
        <v>4.6430403499999997</v>
      </c>
    </row>
    <row r="96" spans="1:18" x14ac:dyDescent="0.3">
      <c r="A96">
        <v>4.9400000000000004</v>
      </c>
      <c r="B96">
        <f t="shared" si="9"/>
        <v>988.00000000000011</v>
      </c>
      <c r="C96">
        <v>0.52600000000000002</v>
      </c>
      <c r="D96" s="1">
        <v>2.2359063848853111E-2</v>
      </c>
      <c r="E96">
        <f t="shared" si="10"/>
        <v>988.00000000000011</v>
      </c>
      <c r="F96">
        <f t="shared" si="11"/>
        <v>1.7859063848853111E-2</v>
      </c>
      <c r="I96">
        <f t="shared" si="8"/>
        <v>0.63645377541333437</v>
      </c>
      <c r="K96">
        <f t="shared" si="12"/>
        <v>0.64584764299783115</v>
      </c>
      <c r="L96">
        <f t="shared" si="13"/>
        <v>-0.53406292997818083</v>
      </c>
      <c r="N96">
        <v>984.03563999999994</v>
      </c>
      <c r="O96">
        <f t="shared" si="14"/>
        <v>4.9201781999999996</v>
      </c>
      <c r="Q96">
        <v>938.25176999999996</v>
      </c>
      <c r="R96">
        <f t="shared" si="15"/>
        <v>4.6912588499999996</v>
      </c>
    </row>
    <row r="97" spans="1:18" x14ac:dyDescent="0.3">
      <c r="A97">
        <v>4.99</v>
      </c>
      <c r="B97">
        <f t="shared" si="9"/>
        <v>998</v>
      </c>
      <c r="C97">
        <v>0.52400000000000002</v>
      </c>
      <c r="D97" s="1">
        <v>2.1708402782678604E-2</v>
      </c>
      <c r="E97">
        <f t="shared" si="10"/>
        <v>998</v>
      </c>
      <c r="F97">
        <f t="shared" si="11"/>
        <v>1.7208402782678604E-2</v>
      </c>
      <c r="I97">
        <f t="shared" si="8"/>
        <v>0.63232492988556621</v>
      </c>
      <c r="K97">
        <f t="shared" si="12"/>
        <v>0.6413421329436898</v>
      </c>
      <c r="L97">
        <f t="shared" si="13"/>
        <v>-0.53856844003232218</v>
      </c>
      <c r="N97">
        <v>994.62656000000004</v>
      </c>
      <c r="O97">
        <f t="shared" si="14"/>
        <v>4.9731328000000001</v>
      </c>
      <c r="Q97">
        <v>947.89545999999996</v>
      </c>
      <c r="R97">
        <f t="shared" si="15"/>
        <v>4.7394772999999999</v>
      </c>
    </row>
    <row r="98" spans="1:18" x14ac:dyDescent="0.3">
      <c r="A98">
        <v>5.05</v>
      </c>
      <c r="B98">
        <f t="shared" si="9"/>
        <v>1010</v>
      </c>
      <c r="C98">
        <v>0.52100000000000002</v>
      </c>
      <c r="D98" s="1">
        <v>2.2254021838307381E-2</v>
      </c>
      <c r="E98">
        <f t="shared" si="10"/>
        <v>1010</v>
      </c>
      <c r="F98">
        <f t="shared" si="11"/>
        <v>1.775402183830738E-2</v>
      </c>
      <c r="I98">
        <f t="shared" si="8"/>
        <v>0.63338281028345234</v>
      </c>
      <c r="K98">
        <f t="shared" si="12"/>
        <v>0.64263265566121053</v>
      </c>
      <c r="L98">
        <f t="shared" si="13"/>
        <v>-0.53727791731480146</v>
      </c>
      <c r="N98">
        <v>1005.93038</v>
      </c>
      <c r="O98">
        <f t="shared" si="14"/>
        <v>5.0296519000000002</v>
      </c>
      <c r="Q98">
        <v>957.92877999999996</v>
      </c>
      <c r="R98">
        <f t="shared" si="15"/>
        <v>4.7896438999999997</v>
      </c>
    </row>
    <row r="99" spans="1:18" x14ac:dyDescent="0.3">
      <c r="A99">
        <v>5.0999999999999996</v>
      </c>
      <c r="B99">
        <f t="shared" si="9"/>
        <v>1019.9999999999999</v>
      </c>
      <c r="C99">
        <v>0.51900000000000002</v>
      </c>
      <c r="D99" s="1">
        <v>2.2036757320165634E-2</v>
      </c>
      <c r="E99">
        <f t="shared" si="10"/>
        <v>1019.9999999999999</v>
      </c>
      <c r="F99">
        <f t="shared" si="11"/>
        <v>1.7536757320165634E-2</v>
      </c>
      <c r="I99">
        <f t="shared" si="8"/>
        <v>0.63138746233284471</v>
      </c>
      <c r="K99">
        <f t="shared" si="12"/>
        <v>0.64048903938201063</v>
      </c>
      <c r="L99">
        <f t="shared" si="13"/>
        <v>-0.53942153359400136</v>
      </c>
      <c r="N99">
        <v>1016.52138</v>
      </c>
      <c r="O99">
        <f t="shared" si="14"/>
        <v>5.0826069</v>
      </c>
      <c r="Q99">
        <v>968.25431000000003</v>
      </c>
      <c r="R99">
        <f t="shared" si="15"/>
        <v>4.8412715500000001</v>
      </c>
    </row>
    <row r="100" spans="1:18" x14ac:dyDescent="0.3">
      <c r="A100">
        <v>5.15</v>
      </c>
      <c r="B100">
        <f t="shared" si="9"/>
        <v>1030</v>
      </c>
      <c r="C100">
        <v>0.51700000000000002</v>
      </c>
      <c r="D100" s="1">
        <v>2.2387169301509857E-2</v>
      </c>
      <c r="E100">
        <f t="shared" si="10"/>
        <v>1030</v>
      </c>
      <c r="F100">
        <f t="shared" si="11"/>
        <v>1.7887169301509857E-2</v>
      </c>
      <c r="I100">
        <f t="shared" si="8"/>
        <v>0.63229392190277578</v>
      </c>
      <c r="K100">
        <f t="shared" si="12"/>
        <v>0.64154158843165643</v>
      </c>
      <c r="L100">
        <f t="shared" si="13"/>
        <v>-0.53836898454435556</v>
      </c>
      <c r="N100">
        <v>1027.31612</v>
      </c>
      <c r="O100">
        <f t="shared" si="14"/>
        <v>5.1365805999999994</v>
      </c>
      <c r="Q100">
        <v>978.48248000000001</v>
      </c>
      <c r="R100">
        <f t="shared" si="15"/>
        <v>4.8924124000000004</v>
      </c>
    </row>
    <row r="101" spans="1:18" x14ac:dyDescent="0.3">
      <c r="A101">
        <v>5.21</v>
      </c>
      <c r="B101">
        <f t="shared" si="9"/>
        <v>1042</v>
      </c>
      <c r="C101">
        <v>0.51400000000000001</v>
      </c>
      <c r="D101" s="1">
        <v>2.2003279998898506E-2</v>
      </c>
      <c r="E101">
        <f t="shared" si="10"/>
        <v>1042</v>
      </c>
      <c r="F101">
        <f t="shared" si="11"/>
        <v>1.7503279998898506E-2</v>
      </c>
      <c r="I101">
        <f t="shared" si="8"/>
        <v>0.62863708879426117</v>
      </c>
      <c r="K101">
        <f t="shared" si="12"/>
        <v>0.63763377471369498</v>
      </c>
      <c r="L101">
        <f t="shared" si="13"/>
        <v>-0.54227679826231701</v>
      </c>
      <c r="N101">
        <v>1037.4998000000001</v>
      </c>
      <c r="O101">
        <f t="shared" si="14"/>
        <v>5.1874989999999999</v>
      </c>
      <c r="Q101">
        <v>988.22361999999998</v>
      </c>
      <c r="R101">
        <f t="shared" si="15"/>
        <v>4.9411180999999997</v>
      </c>
    </row>
    <row r="102" spans="1:18" x14ac:dyDescent="0.3">
      <c r="A102">
        <v>5.26</v>
      </c>
      <c r="B102">
        <f t="shared" si="9"/>
        <v>1052</v>
      </c>
      <c r="C102">
        <v>0.51200000000000001</v>
      </c>
      <c r="D102" s="1">
        <v>2.2290784865617752E-2</v>
      </c>
      <c r="E102">
        <f t="shared" si="10"/>
        <v>1052</v>
      </c>
      <c r="F102">
        <f t="shared" si="11"/>
        <v>1.7790784865617752E-2</v>
      </c>
      <c r="I102">
        <f t="shared" si="8"/>
        <v>0.6292495283931494</v>
      </c>
      <c r="K102">
        <f t="shared" si="12"/>
        <v>0.6383584102443457</v>
      </c>
      <c r="L102">
        <f t="shared" si="13"/>
        <v>-0.54155216273166629</v>
      </c>
      <c r="N102">
        <v>1047.6833999999999</v>
      </c>
      <c r="O102">
        <f t="shared" si="14"/>
        <v>5.2384169999999992</v>
      </c>
      <c r="Q102">
        <v>997.96475999999996</v>
      </c>
      <c r="R102">
        <f t="shared" si="15"/>
        <v>4.9898237999999999</v>
      </c>
    </row>
    <row r="103" spans="1:18" x14ac:dyDescent="0.3">
      <c r="A103">
        <v>5.31</v>
      </c>
      <c r="B103">
        <f t="shared" si="9"/>
        <v>1062</v>
      </c>
      <c r="C103">
        <v>0.51</v>
      </c>
      <c r="D103" s="1">
        <v>2.2049127146601677E-2</v>
      </c>
      <c r="E103">
        <f t="shared" si="10"/>
        <v>1062</v>
      </c>
      <c r="F103">
        <f t="shared" si="11"/>
        <v>1.7549127146601676E-2</v>
      </c>
      <c r="I103">
        <f t="shared" si="8"/>
        <v>0.62708086514845496</v>
      </c>
      <c r="K103">
        <f t="shared" si="12"/>
        <v>0.63603091999322181</v>
      </c>
      <c r="L103">
        <f t="shared" si="13"/>
        <v>-0.54387965298279017</v>
      </c>
      <c r="N103">
        <v>1057.7653399999999</v>
      </c>
      <c r="O103">
        <f t="shared" si="14"/>
        <v>5.2888266999999995</v>
      </c>
      <c r="Q103">
        <v>1007.70588</v>
      </c>
      <c r="R103">
        <f t="shared" si="15"/>
        <v>5.0385293999999998</v>
      </c>
    </row>
    <row r="104" spans="1:18" x14ac:dyDescent="0.3">
      <c r="A104">
        <v>5.36</v>
      </c>
      <c r="B104">
        <f t="shared" si="9"/>
        <v>1072</v>
      </c>
      <c r="C104">
        <v>0.50800000000000001</v>
      </c>
      <c r="D104" s="1">
        <v>2.2027615457773209E-2</v>
      </c>
      <c r="E104">
        <f t="shared" si="10"/>
        <v>1072</v>
      </c>
      <c r="F104">
        <f t="shared" si="11"/>
        <v>1.7527615457773208E-2</v>
      </c>
      <c r="I104">
        <f t="shared" si="8"/>
        <v>0.62606801885366437</v>
      </c>
      <c r="K104">
        <f t="shared" si="12"/>
        <v>0.63497204750621317</v>
      </c>
      <c r="L104">
        <f t="shared" si="13"/>
        <v>-0.54493852546979882</v>
      </c>
      <c r="N104">
        <v>1069.3746000000001</v>
      </c>
      <c r="O104">
        <f t="shared" si="14"/>
        <v>5.3468730000000004</v>
      </c>
      <c r="Q104">
        <v>1017.73911</v>
      </c>
      <c r="R104">
        <f t="shared" si="15"/>
        <v>5.0886955499999997</v>
      </c>
    </row>
    <row r="105" spans="1:18" x14ac:dyDescent="0.3">
      <c r="A105">
        <v>5.41</v>
      </c>
      <c r="B105">
        <f t="shared" si="9"/>
        <v>1082</v>
      </c>
      <c r="C105">
        <v>0.50600000000000001</v>
      </c>
      <c r="D105" s="1">
        <v>2.1767960861325264E-2</v>
      </c>
      <c r="E105">
        <f t="shared" si="10"/>
        <v>1082</v>
      </c>
      <c r="F105">
        <f t="shared" si="11"/>
        <v>1.7267960861325263E-2</v>
      </c>
      <c r="I105">
        <f t="shared" si="8"/>
        <v>0.62376466825976973</v>
      </c>
      <c r="K105">
        <f t="shared" si="12"/>
        <v>0.63250225645560032</v>
      </c>
      <c r="L105">
        <f t="shared" si="13"/>
        <v>-0.54740831652041166</v>
      </c>
      <c r="N105">
        <v>1079.7620199999999</v>
      </c>
      <c r="O105">
        <f t="shared" si="14"/>
        <v>5.3988100999999995</v>
      </c>
      <c r="Q105">
        <v>1027.77253</v>
      </c>
      <c r="R105">
        <f t="shared" si="15"/>
        <v>5.1388626500000001</v>
      </c>
    </row>
    <row r="106" spans="1:18" x14ac:dyDescent="0.3">
      <c r="A106">
        <v>5.48</v>
      </c>
      <c r="B106">
        <f t="shared" si="9"/>
        <v>1096</v>
      </c>
      <c r="C106">
        <v>0.503</v>
      </c>
      <c r="D106" s="1">
        <v>2.2186625748872757E-2</v>
      </c>
      <c r="E106">
        <f t="shared" si="10"/>
        <v>1096</v>
      </c>
      <c r="F106">
        <f t="shared" si="11"/>
        <v>1.7686625748872756E-2</v>
      </c>
      <c r="I106">
        <f t="shared" si="8"/>
        <v>0.62458270910382274</v>
      </c>
      <c r="K106">
        <f t="shared" si="12"/>
        <v>0.63347908185550572</v>
      </c>
      <c r="L106">
        <f t="shared" si="13"/>
        <v>-0.54643149112050626</v>
      </c>
      <c r="N106">
        <v>1090.04756</v>
      </c>
      <c r="O106">
        <f t="shared" si="14"/>
        <v>5.4502378</v>
      </c>
      <c r="Q106">
        <v>1037.90319</v>
      </c>
      <c r="R106">
        <f t="shared" si="15"/>
        <v>5.1895159499999997</v>
      </c>
    </row>
    <row r="107" spans="1:18" x14ac:dyDescent="0.3">
      <c r="A107">
        <v>5.53</v>
      </c>
      <c r="B107">
        <f t="shared" si="9"/>
        <v>1106</v>
      </c>
      <c r="C107">
        <v>0.501</v>
      </c>
      <c r="D107" s="1">
        <v>2.234361320734024E-2</v>
      </c>
      <c r="E107">
        <f t="shared" si="10"/>
        <v>1106</v>
      </c>
      <c r="F107">
        <f t="shared" si="11"/>
        <v>1.784361320734024E-2</v>
      </c>
      <c r="I107">
        <f t="shared" si="8"/>
        <v>0.6245601810365915</v>
      </c>
      <c r="K107">
        <f t="shared" si="12"/>
        <v>0.63349983125346898</v>
      </c>
      <c r="L107">
        <f t="shared" si="13"/>
        <v>-0.546410741722543</v>
      </c>
      <c r="N107">
        <v>1100.3330000000001</v>
      </c>
      <c r="O107">
        <f t="shared" si="14"/>
        <v>5.501665</v>
      </c>
      <c r="Q107">
        <v>1047.5469900000001</v>
      </c>
      <c r="R107">
        <f t="shared" si="15"/>
        <v>5.2377349500000001</v>
      </c>
    </row>
    <row r="108" spans="1:18" x14ac:dyDescent="0.3">
      <c r="A108">
        <v>5.58</v>
      </c>
      <c r="B108">
        <f t="shared" si="9"/>
        <v>1116</v>
      </c>
      <c r="C108">
        <v>0.499</v>
      </c>
      <c r="D108" s="1">
        <v>2.194085530936718E-2</v>
      </c>
      <c r="E108">
        <f t="shared" si="10"/>
        <v>1116</v>
      </c>
      <c r="F108">
        <f t="shared" si="11"/>
        <v>1.7440855309367179E-2</v>
      </c>
      <c r="I108">
        <f t="shared" si="8"/>
        <v>0.62142997262626887</v>
      </c>
      <c r="K108">
        <f t="shared" si="12"/>
        <v>0.63013295942564307</v>
      </c>
      <c r="L108">
        <f t="shared" si="13"/>
        <v>-0.54977761355036892</v>
      </c>
      <c r="N108">
        <v>1111.53496</v>
      </c>
      <c r="O108">
        <f t="shared" si="14"/>
        <v>5.5576748</v>
      </c>
      <c r="Q108">
        <v>1057.1905999999999</v>
      </c>
      <c r="R108">
        <f t="shared" si="15"/>
        <v>5.2859529999999992</v>
      </c>
    </row>
    <row r="109" spans="1:18" x14ac:dyDescent="0.3">
      <c r="A109">
        <v>5.63</v>
      </c>
      <c r="B109">
        <f t="shared" si="9"/>
        <v>1126</v>
      </c>
      <c r="C109">
        <v>0.496</v>
      </c>
      <c r="D109" s="1">
        <v>2.266308106482029E-2</v>
      </c>
      <c r="E109">
        <f t="shared" si="10"/>
        <v>1126</v>
      </c>
      <c r="F109">
        <f t="shared" si="11"/>
        <v>1.8163081064820289E-2</v>
      </c>
      <c r="I109">
        <f t="shared" si="8"/>
        <v>0.62359314639493824</v>
      </c>
      <c r="K109">
        <f t="shared" si="12"/>
        <v>0.63260203460308906</v>
      </c>
      <c r="L109">
        <f t="shared" si="13"/>
        <v>-0.54730853837292293</v>
      </c>
      <c r="N109">
        <v>1122.12608</v>
      </c>
      <c r="O109">
        <f t="shared" si="14"/>
        <v>5.6106303999999998</v>
      </c>
      <c r="Q109">
        <v>1066.83429</v>
      </c>
      <c r="R109">
        <f t="shared" si="15"/>
        <v>5.3341714500000004</v>
      </c>
    </row>
    <row r="110" spans="1:18" x14ac:dyDescent="0.3">
      <c r="A110">
        <v>5.69</v>
      </c>
      <c r="B110">
        <f t="shared" si="9"/>
        <v>1138</v>
      </c>
      <c r="C110">
        <v>0.49399999999999999</v>
      </c>
      <c r="D110" s="1">
        <v>2.2642260417342186E-2</v>
      </c>
      <c r="E110">
        <f t="shared" si="10"/>
        <v>1138</v>
      </c>
      <c r="F110">
        <f t="shared" si="11"/>
        <v>1.8142260417342185E-2</v>
      </c>
      <c r="I110">
        <f t="shared" si="8"/>
        <v>0.62283446177467705</v>
      </c>
      <c r="K110">
        <f t="shared" si="12"/>
        <v>0.63179673842084405</v>
      </c>
      <c r="L110">
        <f t="shared" si="13"/>
        <v>-0.54811383455516793</v>
      </c>
      <c r="N110">
        <v>1132.3097600000001</v>
      </c>
      <c r="O110">
        <f t="shared" si="14"/>
        <v>5.6615488000000003</v>
      </c>
      <c r="Q110">
        <v>1076.6728599999999</v>
      </c>
      <c r="R110">
        <f t="shared" si="15"/>
        <v>5.3833642999999993</v>
      </c>
    </row>
    <row r="111" spans="1:18" x14ac:dyDescent="0.3">
      <c r="A111">
        <v>5.74</v>
      </c>
      <c r="B111">
        <f t="shared" si="9"/>
        <v>1148</v>
      </c>
      <c r="C111">
        <v>0.49199999999999999</v>
      </c>
      <c r="D111" s="1">
        <v>2.1456046029925346E-2</v>
      </c>
      <c r="E111">
        <f t="shared" si="10"/>
        <v>1148</v>
      </c>
      <c r="F111">
        <f t="shared" si="11"/>
        <v>1.6956046029925346E-2</v>
      </c>
      <c r="I111">
        <f t="shared" si="8"/>
        <v>0.61515770421177152</v>
      </c>
      <c r="K111">
        <f t="shared" si="12"/>
        <v>0.62350007885849479</v>
      </c>
      <c r="L111">
        <f t="shared" si="13"/>
        <v>-0.5564104941175172</v>
      </c>
      <c r="N111">
        <v>1143.00254</v>
      </c>
      <c r="O111">
        <f t="shared" si="14"/>
        <v>5.7150126999999999</v>
      </c>
      <c r="Q111">
        <v>1086.41398</v>
      </c>
      <c r="R111">
        <f t="shared" si="15"/>
        <v>5.4320699000000001</v>
      </c>
    </row>
    <row r="112" spans="1:18" x14ac:dyDescent="0.3">
      <c r="A112">
        <v>5.79</v>
      </c>
      <c r="B112">
        <f t="shared" si="9"/>
        <v>1158</v>
      </c>
      <c r="C112">
        <v>0.49</v>
      </c>
      <c r="D112" s="1">
        <v>2.2721694782376289E-2</v>
      </c>
      <c r="E112">
        <f t="shared" si="10"/>
        <v>1158</v>
      </c>
      <c r="F112">
        <f t="shared" si="11"/>
        <v>1.8221694782376289E-2</v>
      </c>
      <c r="I112">
        <f t="shared" si="8"/>
        <v>0.62155861278995872</v>
      </c>
      <c r="K112">
        <f t="shared" si="12"/>
        <v>0.63048724323332306</v>
      </c>
      <c r="L112">
        <f t="shared" si="13"/>
        <v>-0.54942332974268893</v>
      </c>
      <c r="N112">
        <v>1153.08448</v>
      </c>
      <c r="O112">
        <f t="shared" si="14"/>
        <v>5.7654224000000003</v>
      </c>
      <c r="Q112">
        <v>1096.0575899999999</v>
      </c>
      <c r="R112">
        <f t="shared" si="15"/>
        <v>5.4802879499999992</v>
      </c>
    </row>
    <row r="113" spans="1:18" x14ac:dyDescent="0.3">
      <c r="A113">
        <v>5.84</v>
      </c>
      <c r="B113">
        <f t="shared" si="9"/>
        <v>1168</v>
      </c>
      <c r="C113">
        <v>0.48799999999999999</v>
      </c>
      <c r="D113" s="1">
        <v>2.2836271673440933E-2</v>
      </c>
      <c r="E113">
        <f t="shared" si="10"/>
        <v>1168</v>
      </c>
      <c r="F113">
        <f t="shared" si="11"/>
        <v>1.8336271673440933E-2</v>
      </c>
      <c r="I113">
        <f t="shared" si="8"/>
        <v>0.62136382657289502</v>
      </c>
      <c r="K113">
        <f t="shared" si="12"/>
        <v>0.63031192714953421</v>
      </c>
      <c r="L113">
        <f t="shared" si="13"/>
        <v>-0.54959864582647777</v>
      </c>
      <c r="N113">
        <v>1164.2864199999999</v>
      </c>
      <c r="O113">
        <f t="shared" si="14"/>
        <v>5.8214320999999991</v>
      </c>
      <c r="Q113">
        <v>1106.5779600000001</v>
      </c>
      <c r="R113">
        <f t="shared" si="15"/>
        <v>5.5328898000000004</v>
      </c>
    </row>
    <row r="114" spans="1:18" x14ac:dyDescent="0.3">
      <c r="A114">
        <v>5.9</v>
      </c>
      <c r="B114">
        <f t="shared" si="9"/>
        <v>1180</v>
      </c>
      <c r="C114">
        <v>0.48499999999999999</v>
      </c>
      <c r="D114" s="1">
        <v>2.2560978308320045E-2</v>
      </c>
      <c r="E114">
        <f t="shared" si="10"/>
        <v>1180</v>
      </c>
      <c r="F114">
        <f t="shared" si="11"/>
        <v>1.8060978308320045E-2</v>
      </c>
      <c r="I114">
        <f t="shared" si="8"/>
        <v>0.61810977201908823</v>
      </c>
      <c r="K114">
        <f t="shared" si="12"/>
        <v>0.62686934649862347</v>
      </c>
      <c r="L114">
        <f t="shared" si="13"/>
        <v>-0.55304122647738851</v>
      </c>
      <c r="N114">
        <v>1174.77568</v>
      </c>
      <c r="O114">
        <f t="shared" si="14"/>
        <v>5.8738783999999997</v>
      </c>
      <c r="Q114">
        <v>1116.2217700000001</v>
      </c>
      <c r="R114">
        <f t="shared" si="15"/>
        <v>5.5811088500000006</v>
      </c>
    </row>
    <row r="115" spans="1:18" x14ac:dyDescent="0.3">
      <c r="A115">
        <v>5.95</v>
      </c>
      <c r="B115">
        <f t="shared" si="9"/>
        <v>1190</v>
      </c>
      <c r="C115">
        <v>0.48299999999999998</v>
      </c>
      <c r="D115" s="1">
        <v>2.2831900045275688E-2</v>
      </c>
      <c r="E115">
        <f t="shared" si="10"/>
        <v>1190</v>
      </c>
      <c r="F115">
        <f t="shared" si="11"/>
        <v>1.8331900045275688E-2</v>
      </c>
      <c r="I115">
        <f t="shared" si="8"/>
        <v>0.61884980526939037</v>
      </c>
      <c r="K115">
        <f t="shared" si="12"/>
        <v>0.6277041129912585</v>
      </c>
      <c r="L115">
        <f t="shared" si="13"/>
        <v>-0.55220645998475348</v>
      </c>
      <c r="N115">
        <v>1185.57032</v>
      </c>
      <c r="O115">
        <f t="shared" si="14"/>
        <v>5.9278516000000003</v>
      </c>
      <c r="Q115">
        <v>1126.06032</v>
      </c>
      <c r="R115">
        <f t="shared" si="15"/>
        <v>5.6303016000000001</v>
      </c>
    </row>
    <row r="116" spans="1:18" x14ac:dyDescent="0.3">
      <c r="A116">
        <v>6</v>
      </c>
      <c r="B116">
        <f t="shared" si="9"/>
        <v>1200</v>
      </c>
      <c r="C116">
        <v>0.48099999999999998</v>
      </c>
      <c r="D116" s="1">
        <v>2.2245129570364952E-2</v>
      </c>
      <c r="E116">
        <f t="shared" si="10"/>
        <v>1200</v>
      </c>
      <c r="F116">
        <f t="shared" si="11"/>
        <v>1.7745129570364952E-2</v>
      </c>
      <c r="I116">
        <f t="shared" si="8"/>
        <v>0.6144707774221897</v>
      </c>
      <c r="K116">
        <f t="shared" si="12"/>
        <v>0.62300618474553526</v>
      </c>
      <c r="L116">
        <f t="shared" si="13"/>
        <v>-0.55690438823047672</v>
      </c>
      <c r="N116">
        <v>1195.6520599999999</v>
      </c>
      <c r="O116">
        <f t="shared" si="14"/>
        <v>5.9782602999999996</v>
      </c>
      <c r="Q116">
        <v>1136.9703300000001</v>
      </c>
      <c r="R116">
        <f t="shared" si="15"/>
        <v>5.6848516500000006</v>
      </c>
    </row>
    <row r="117" spans="1:18" x14ac:dyDescent="0.3">
      <c r="A117">
        <v>6.05</v>
      </c>
      <c r="B117">
        <f t="shared" si="9"/>
        <v>1210</v>
      </c>
      <c r="C117">
        <v>0.47899999999999998</v>
      </c>
      <c r="D117" s="1">
        <v>2.2771291434764862E-2</v>
      </c>
      <c r="E117">
        <f t="shared" si="10"/>
        <v>1210</v>
      </c>
      <c r="F117">
        <f t="shared" si="11"/>
        <v>1.8271291434764862E-2</v>
      </c>
      <c r="I117">
        <f t="shared" si="8"/>
        <v>0.61676631318032737</v>
      </c>
      <c r="K117">
        <f t="shared" si="12"/>
        <v>0.62551826177757974</v>
      </c>
      <c r="L117">
        <f t="shared" si="13"/>
        <v>-0.55439231119843224</v>
      </c>
      <c r="N117">
        <v>1206.03946</v>
      </c>
      <c r="O117">
        <f t="shared" si="14"/>
        <v>6.0301973000000002</v>
      </c>
      <c r="Q117">
        <v>1146.9062200000001</v>
      </c>
      <c r="R117">
        <f t="shared" si="15"/>
        <v>5.7345311000000008</v>
      </c>
    </row>
    <row r="118" spans="1:18" x14ac:dyDescent="0.3">
      <c r="A118">
        <v>6.11</v>
      </c>
      <c r="B118">
        <f t="shared" si="9"/>
        <v>1222</v>
      </c>
      <c r="C118">
        <v>0.47699999999999998</v>
      </c>
      <c r="D118" s="1">
        <v>2.2821690887212753E-2</v>
      </c>
      <c r="E118">
        <f t="shared" si="10"/>
        <v>1222</v>
      </c>
      <c r="F118">
        <f t="shared" si="11"/>
        <v>1.8321690887212753E-2</v>
      </c>
      <c r="I118">
        <f t="shared" si="8"/>
        <v>0.61644053132086984</v>
      </c>
      <c r="K118">
        <f t="shared" si="12"/>
        <v>0.62517997787407031</v>
      </c>
      <c r="L118">
        <f t="shared" si="13"/>
        <v>-0.55473059510194167</v>
      </c>
      <c r="N118">
        <v>1216.2231400000001</v>
      </c>
      <c r="O118">
        <f t="shared" si="14"/>
        <v>6.0811157000000007</v>
      </c>
      <c r="Q118">
        <v>1156.5499299999999</v>
      </c>
      <c r="R118">
        <f t="shared" si="15"/>
        <v>5.7827496499999995</v>
      </c>
    </row>
    <row r="119" spans="1:18" x14ac:dyDescent="0.3">
      <c r="A119">
        <v>6.16</v>
      </c>
      <c r="B119">
        <f t="shared" si="9"/>
        <v>1232</v>
      </c>
      <c r="C119">
        <v>0.47399999999999998</v>
      </c>
      <c r="D119" s="1">
        <v>2.2332519292831421E-2</v>
      </c>
      <c r="E119">
        <f t="shared" si="10"/>
        <v>1232</v>
      </c>
      <c r="F119">
        <f t="shared" si="11"/>
        <v>1.783251929283142E-2</v>
      </c>
      <c r="I119">
        <f t="shared" si="8"/>
        <v>0.61156831884384155</v>
      </c>
      <c r="K119">
        <f t="shared" si="12"/>
        <v>0.62002093298864369</v>
      </c>
      <c r="L119">
        <f t="shared" si="13"/>
        <v>-0.55988963998736829</v>
      </c>
      <c r="N119">
        <v>1226.4067399999999</v>
      </c>
      <c r="O119">
        <f t="shared" si="14"/>
        <v>6.1320336999999991</v>
      </c>
      <c r="Q119">
        <v>1166.68076</v>
      </c>
      <c r="R119">
        <f t="shared" si="15"/>
        <v>5.8334038000000001</v>
      </c>
    </row>
    <row r="120" spans="1:18" x14ac:dyDescent="0.3">
      <c r="A120">
        <v>6.21</v>
      </c>
      <c r="B120">
        <f t="shared" si="9"/>
        <v>1242</v>
      </c>
      <c r="C120">
        <v>0.47299999999999998</v>
      </c>
      <c r="D120" s="1">
        <v>2.3083848878741264E-2</v>
      </c>
      <c r="E120">
        <f t="shared" si="10"/>
        <v>1242</v>
      </c>
      <c r="F120">
        <f t="shared" si="11"/>
        <v>1.8583848878741264E-2</v>
      </c>
      <c r="I120">
        <f t="shared" si="8"/>
        <v>0.61635070153698324</v>
      </c>
      <c r="K120">
        <f t="shared" si="12"/>
        <v>0.62514086205662789</v>
      </c>
      <c r="L120">
        <f t="shared" si="13"/>
        <v>-0.5547697109193841</v>
      </c>
      <c r="N120">
        <v>1236.4886799999999</v>
      </c>
      <c r="O120">
        <f t="shared" si="14"/>
        <v>6.1824433999999995</v>
      </c>
      <c r="Q120">
        <v>1176.4217100000001</v>
      </c>
      <c r="R120">
        <f t="shared" si="15"/>
        <v>5.8821085500000008</v>
      </c>
    </row>
    <row r="121" spans="1:18" x14ac:dyDescent="0.3">
      <c r="A121">
        <v>6.27</v>
      </c>
      <c r="B121">
        <f t="shared" si="9"/>
        <v>1254</v>
      </c>
      <c r="C121">
        <v>0.47</v>
      </c>
      <c r="D121" s="1">
        <v>2.2485846653580666E-2</v>
      </c>
      <c r="E121">
        <f t="shared" si="10"/>
        <v>1254</v>
      </c>
      <c r="F121">
        <f t="shared" si="11"/>
        <v>1.7985846653580665E-2</v>
      </c>
      <c r="I121">
        <f t="shared" si="8"/>
        <v>0.61098625851795074</v>
      </c>
      <c r="K121">
        <f t="shared" si="12"/>
        <v>0.61943960644513363</v>
      </c>
      <c r="L121">
        <f t="shared" si="13"/>
        <v>-0.56047096653087836</v>
      </c>
      <c r="N121">
        <v>1247.0796800000001</v>
      </c>
      <c r="O121">
        <f t="shared" si="14"/>
        <v>6.2353984000000002</v>
      </c>
      <c r="Q121">
        <v>1186.35779</v>
      </c>
      <c r="R121">
        <f t="shared" si="15"/>
        <v>5.9317889500000005</v>
      </c>
    </row>
    <row r="122" spans="1:18" x14ac:dyDescent="0.3">
      <c r="A122">
        <v>6.32</v>
      </c>
      <c r="B122">
        <f t="shared" si="9"/>
        <v>1264</v>
      </c>
      <c r="C122">
        <v>0.46800000000000003</v>
      </c>
      <c r="D122" s="1">
        <v>2.3159187287092209E-2</v>
      </c>
      <c r="E122">
        <f t="shared" si="10"/>
        <v>1264</v>
      </c>
      <c r="F122">
        <f t="shared" si="11"/>
        <v>1.8659187287092208E-2</v>
      </c>
      <c r="I122">
        <f t="shared" si="8"/>
        <v>0.61436606365442281</v>
      </c>
      <c r="K122">
        <f t="shared" si="12"/>
        <v>0.62309856330478197</v>
      </c>
      <c r="L122">
        <f t="shared" si="13"/>
        <v>-0.55681200967123001</v>
      </c>
      <c r="N122">
        <v>1257.3650399999999</v>
      </c>
      <c r="O122">
        <f t="shared" si="14"/>
        <v>6.2868251999999991</v>
      </c>
      <c r="Q122">
        <v>1196.0013100000001</v>
      </c>
      <c r="R122">
        <f t="shared" si="15"/>
        <v>5.9800065500000006</v>
      </c>
    </row>
    <row r="123" spans="1:18" x14ac:dyDescent="0.3">
      <c r="A123">
        <v>6.37</v>
      </c>
      <c r="B123">
        <f t="shared" si="9"/>
        <v>1274</v>
      </c>
      <c r="C123">
        <v>0.46600000000000003</v>
      </c>
      <c r="D123" s="1">
        <v>2.3081380873918533E-2</v>
      </c>
      <c r="E123">
        <f t="shared" si="10"/>
        <v>1274</v>
      </c>
      <c r="F123">
        <f t="shared" si="11"/>
        <v>1.8581380873918533E-2</v>
      </c>
      <c r="I123">
        <f t="shared" si="8"/>
        <v>0.61302839616686111</v>
      </c>
      <c r="K123">
        <f t="shared" si="12"/>
        <v>0.62168731965410717</v>
      </c>
      <c r="L123">
        <f t="shared" si="13"/>
        <v>-0.55822325332190481</v>
      </c>
      <c r="N123">
        <v>1267.54874</v>
      </c>
      <c r="O123">
        <f t="shared" si="14"/>
        <v>6.3377436999999999</v>
      </c>
      <c r="Q123">
        <v>1205.74254</v>
      </c>
      <c r="R123">
        <f t="shared" si="15"/>
        <v>6.0287126999999998</v>
      </c>
    </row>
    <row r="124" spans="1:18" x14ac:dyDescent="0.3">
      <c r="A124">
        <v>6.42</v>
      </c>
      <c r="B124">
        <f t="shared" si="9"/>
        <v>1284</v>
      </c>
      <c r="C124">
        <v>0.46400000000000002</v>
      </c>
      <c r="D124" s="1">
        <v>2.2287413477897644E-2</v>
      </c>
      <c r="E124">
        <f t="shared" si="10"/>
        <v>1284</v>
      </c>
      <c r="F124">
        <f t="shared" si="11"/>
        <v>1.7787413477897644E-2</v>
      </c>
      <c r="I124">
        <f t="shared" si="8"/>
        <v>0.60708519452810283</v>
      </c>
      <c r="K124">
        <f t="shared" si="12"/>
        <v>0.61533855438184737</v>
      </c>
      <c r="L124">
        <f t="shared" si="13"/>
        <v>-0.56457201859416462</v>
      </c>
      <c r="N124">
        <v>1277.93604</v>
      </c>
      <c r="O124">
        <f t="shared" si="14"/>
        <v>6.3896801999999999</v>
      </c>
      <c r="Q124">
        <v>1215.87318</v>
      </c>
      <c r="R124">
        <f t="shared" si="15"/>
        <v>6.0793659</v>
      </c>
    </row>
    <row r="125" spans="1:18" x14ac:dyDescent="0.3">
      <c r="A125">
        <v>6.47</v>
      </c>
      <c r="B125">
        <f t="shared" si="9"/>
        <v>1294</v>
      </c>
      <c r="C125">
        <v>0.46200000000000002</v>
      </c>
      <c r="D125" s="1">
        <v>2.303110808134079E-2</v>
      </c>
      <c r="E125">
        <f t="shared" si="10"/>
        <v>1294</v>
      </c>
      <c r="F125">
        <f t="shared" si="11"/>
        <v>1.8531108081340789E-2</v>
      </c>
      <c r="I125">
        <f t="shared" si="8"/>
        <v>0.61101126928627492</v>
      </c>
      <c r="K125">
        <f t="shared" si="12"/>
        <v>0.61957264121985434</v>
      </c>
      <c r="L125">
        <f t="shared" si="13"/>
        <v>-0.56033793175615765</v>
      </c>
      <c r="N125">
        <v>1288.6289999999999</v>
      </c>
      <c r="O125">
        <f t="shared" si="14"/>
        <v>6.4431449999999995</v>
      </c>
      <c r="Q125">
        <v>1225.80909</v>
      </c>
      <c r="R125">
        <f t="shared" si="15"/>
        <v>6.1290454499999996</v>
      </c>
    </row>
    <row r="126" spans="1:18" x14ac:dyDescent="0.3">
      <c r="A126">
        <v>6.53</v>
      </c>
      <c r="B126">
        <f t="shared" si="9"/>
        <v>1306</v>
      </c>
      <c r="C126">
        <v>0.46</v>
      </c>
      <c r="D126" s="1">
        <v>2.348831482231617E-2</v>
      </c>
      <c r="E126">
        <f t="shared" si="10"/>
        <v>1306</v>
      </c>
      <c r="F126">
        <f t="shared" si="11"/>
        <v>1.8988314822316169E-2</v>
      </c>
      <c r="I126">
        <f t="shared" si="8"/>
        <v>0.61337869578972459</v>
      </c>
      <c r="K126">
        <f t="shared" si="12"/>
        <v>0.62211332060799007</v>
      </c>
      <c r="L126">
        <f t="shared" si="13"/>
        <v>-0.55779725236802191</v>
      </c>
      <c r="N126">
        <v>1299.11816</v>
      </c>
      <c r="O126">
        <f t="shared" si="14"/>
        <v>6.4955907999999996</v>
      </c>
      <c r="Q126">
        <v>1236.03736</v>
      </c>
      <c r="R126">
        <f t="shared" si="15"/>
        <v>6.1801868000000004</v>
      </c>
    </row>
    <row r="127" spans="1:18" x14ac:dyDescent="0.3">
      <c r="A127">
        <v>6.58</v>
      </c>
      <c r="B127">
        <f t="shared" si="9"/>
        <v>1316</v>
      </c>
      <c r="C127">
        <v>0.45800000000000002</v>
      </c>
      <c r="D127" s="1">
        <v>2.2629233077168465E-2</v>
      </c>
      <c r="E127">
        <f t="shared" si="10"/>
        <v>1316</v>
      </c>
      <c r="F127">
        <f t="shared" si="11"/>
        <v>1.8129233077168464E-2</v>
      </c>
      <c r="I127">
        <f t="shared" si="8"/>
        <v>0.60690035364776851</v>
      </c>
      <c r="K127">
        <f t="shared" si="12"/>
        <v>0.61520354239711161</v>
      </c>
      <c r="L127">
        <f t="shared" si="13"/>
        <v>-0.56470703057890037</v>
      </c>
      <c r="N127">
        <v>1309.40362</v>
      </c>
      <c r="O127">
        <f t="shared" si="14"/>
        <v>6.5470180999999998</v>
      </c>
      <c r="Q127">
        <v>1246.16812</v>
      </c>
      <c r="R127">
        <f t="shared" si="15"/>
        <v>6.2308406000000005</v>
      </c>
    </row>
    <row r="128" spans="1:18" x14ac:dyDescent="0.3">
      <c r="A128">
        <v>6.63</v>
      </c>
      <c r="B128">
        <f t="shared" si="9"/>
        <v>1326</v>
      </c>
      <c r="C128">
        <v>0.45500000000000002</v>
      </c>
      <c r="D128" s="1">
        <v>2.3756466805934906E-2</v>
      </c>
      <c r="E128">
        <f t="shared" si="10"/>
        <v>1326</v>
      </c>
      <c r="F128">
        <f t="shared" si="11"/>
        <v>1.9256466805934905E-2</v>
      </c>
      <c r="I128">
        <f t="shared" si="8"/>
        <v>0.61250537492334844</v>
      </c>
      <c r="K128">
        <f t="shared" si="12"/>
        <v>0.62126706732004888</v>
      </c>
      <c r="L128">
        <f t="shared" si="13"/>
        <v>-0.5586435056559631</v>
      </c>
      <c r="N128">
        <v>1320.1983399999999</v>
      </c>
      <c r="O128">
        <f t="shared" si="14"/>
        <v>6.6009916999999998</v>
      </c>
      <c r="Q128">
        <v>1256.3962100000001</v>
      </c>
      <c r="R128">
        <f t="shared" si="15"/>
        <v>6.2819810500000006</v>
      </c>
    </row>
    <row r="129" spans="1:18" x14ac:dyDescent="0.3">
      <c r="A129">
        <v>6.68</v>
      </c>
      <c r="B129">
        <f t="shared" si="9"/>
        <v>1336</v>
      </c>
      <c r="C129">
        <v>0.45300000000000001</v>
      </c>
      <c r="D129" s="1">
        <v>2.2980403155088425E-2</v>
      </c>
      <c r="E129">
        <f t="shared" si="10"/>
        <v>1336</v>
      </c>
      <c r="F129">
        <f t="shared" si="11"/>
        <v>1.8480403155088424E-2</v>
      </c>
      <c r="I129">
        <f t="shared" si="8"/>
        <v>0.60650909307599066</v>
      </c>
      <c r="K129">
        <f t="shared" si="12"/>
        <v>0.61488071570524572</v>
      </c>
      <c r="L129">
        <f t="shared" si="13"/>
        <v>-0.56502985727076627</v>
      </c>
      <c r="N129">
        <v>1330.6875</v>
      </c>
      <c r="O129">
        <f t="shared" si="14"/>
        <v>6.6534374999999999</v>
      </c>
      <c r="Q129">
        <v>1266.3322900000001</v>
      </c>
      <c r="R129">
        <f t="shared" si="15"/>
        <v>6.3316614500000004</v>
      </c>
    </row>
    <row r="130" spans="1:18" x14ac:dyDescent="0.3">
      <c r="A130">
        <v>6.73</v>
      </c>
      <c r="B130">
        <f t="shared" si="9"/>
        <v>1346</v>
      </c>
      <c r="C130">
        <v>0.45100000000000001</v>
      </c>
      <c r="D130" s="1">
        <v>2.2842656821012497E-2</v>
      </c>
      <c r="E130">
        <f t="shared" si="10"/>
        <v>1346</v>
      </c>
      <c r="F130">
        <f t="shared" si="11"/>
        <v>1.8342656821012496E-2</v>
      </c>
      <c r="I130">
        <f t="shared" ref="I130:I193" si="16">C130+(D130*A130)</f>
        <v>0.60473108040541412</v>
      </c>
      <c r="K130">
        <f t="shared" si="12"/>
        <v>0.61300361863169073</v>
      </c>
      <c r="L130">
        <f t="shared" si="13"/>
        <v>-0.56690695434432126</v>
      </c>
      <c r="N130">
        <v>1341.1766600000001</v>
      </c>
      <c r="O130">
        <f t="shared" si="14"/>
        <v>6.7058833</v>
      </c>
      <c r="Q130">
        <v>1276.75514</v>
      </c>
      <c r="R130">
        <f t="shared" si="15"/>
        <v>6.3837757000000002</v>
      </c>
    </row>
    <row r="131" spans="1:18" x14ac:dyDescent="0.3">
      <c r="A131">
        <v>6.78</v>
      </c>
      <c r="B131">
        <f t="shared" ref="B131:B194" si="17">A131*200</f>
        <v>1356</v>
      </c>
      <c r="C131">
        <v>0.44900000000000001</v>
      </c>
      <c r="D131" s="1">
        <v>2.3348214104771614E-2</v>
      </c>
      <c r="E131">
        <f t="shared" ref="E131:E194" si="18">B131</f>
        <v>1356</v>
      </c>
      <c r="F131">
        <f t="shared" ref="F131:F194" si="19">D131-0.0045</f>
        <v>1.8848214104771614E-2</v>
      </c>
      <c r="I131">
        <f t="shared" si="16"/>
        <v>0.6073008916303515</v>
      </c>
      <c r="K131">
        <f t="shared" ref="K131:K194" si="20">I131+(F131*C131)</f>
        <v>0.61576373976339394</v>
      </c>
      <c r="L131">
        <f t="shared" ref="L131:L194" si="21">K131-$I$1</f>
        <v>-0.56414683321261805</v>
      </c>
      <c r="N131">
        <v>1352.48046</v>
      </c>
      <c r="O131">
        <f t="shared" ref="O131:O194" si="22">N131/200</f>
        <v>6.7624022999999998</v>
      </c>
      <c r="Q131">
        <v>1286.5936899999999</v>
      </c>
      <c r="R131">
        <f t="shared" ref="R131:R186" si="23">Q131/200</f>
        <v>6.4329684499999997</v>
      </c>
    </row>
    <row r="132" spans="1:18" x14ac:dyDescent="0.3">
      <c r="A132">
        <v>6.83</v>
      </c>
      <c r="B132">
        <f t="shared" si="17"/>
        <v>1366</v>
      </c>
      <c r="C132">
        <v>0.44700000000000001</v>
      </c>
      <c r="D132" s="1">
        <v>2.255835197865963E-2</v>
      </c>
      <c r="E132">
        <f t="shared" si="18"/>
        <v>1366</v>
      </c>
      <c r="F132">
        <f t="shared" si="19"/>
        <v>1.8058351978659629E-2</v>
      </c>
      <c r="I132">
        <f t="shared" si="16"/>
        <v>0.60107354401424529</v>
      </c>
      <c r="K132">
        <f t="shared" si="20"/>
        <v>0.60914562734870614</v>
      </c>
      <c r="L132">
        <f t="shared" si="21"/>
        <v>-0.57076494562730584</v>
      </c>
      <c r="N132">
        <v>1362.5623000000001</v>
      </c>
      <c r="O132">
        <f t="shared" si="22"/>
        <v>6.8128115000000005</v>
      </c>
      <c r="Q132">
        <v>1296.82179</v>
      </c>
      <c r="R132">
        <f t="shared" si="23"/>
        <v>6.4841089499999995</v>
      </c>
    </row>
    <row r="133" spans="1:18" x14ac:dyDescent="0.3">
      <c r="A133">
        <v>6.88</v>
      </c>
      <c r="B133">
        <f t="shared" si="17"/>
        <v>1376</v>
      </c>
      <c r="C133">
        <v>0.44500000000000001</v>
      </c>
      <c r="D133" s="1">
        <v>2.3122401908040047E-2</v>
      </c>
      <c r="E133">
        <f t="shared" si="18"/>
        <v>1376</v>
      </c>
      <c r="F133">
        <f t="shared" si="19"/>
        <v>1.8622401908040046E-2</v>
      </c>
      <c r="I133">
        <f t="shared" si="16"/>
        <v>0.60408212512731552</v>
      </c>
      <c r="K133">
        <f t="shared" si="20"/>
        <v>0.61236909397639339</v>
      </c>
      <c r="L133">
        <f t="shared" si="21"/>
        <v>-0.5675414789996186</v>
      </c>
      <c r="N133">
        <v>1372.7460000000001</v>
      </c>
      <c r="O133">
        <f t="shared" si="22"/>
        <v>6.8637300000000003</v>
      </c>
      <c r="Q133">
        <v>1306.46549</v>
      </c>
      <c r="R133">
        <f t="shared" si="23"/>
        <v>6.5323274500000004</v>
      </c>
    </row>
    <row r="134" spans="1:18" x14ac:dyDescent="0.3">
      <c r="A134">
        <v>6.94</v>
      </c>
      <c r="B134">
        <f t="shared" si="17"/>
        <v>1388</v>
      </c>
      <c r="C134">
        <v>0.443</v>
      </c>
      <c r="D134" s="1">
        <v>2.2912666201591492E-2</v>
      </c>
      <c r="E134">
        <f t="shared" si="18"/>
        <v>1388</v>
      </c>
      <c r="F134">
        <f t="shared" si="19"/>
        <v>1.8412666201591491E-2</v>
      </c>
      <c r="I134">
        <f t="shared" si="16"/>
        <v>0.60201390343904493</v>
      </c>
      <c r="K134">
        <f t="shared" si="20"/>
        <v>0.61017071456634997</v>
      </c>
      <c r="L134">
        <f t="shared" si="21"/>
        <v>-0.56973985840966201</v>
      </c>
      <c r="N134">
        <v>1382.92958</v>
      </c>
      <c r="O134">
        <f t="shared" si="22"/>
        <v>6.9146479000000003</v>
      </c>
      <c r="Q134">
        <v>1316.1091799999999</v>
      </c>
      <c r="R134">
        <f t="shared" si="23"/>
        <v>6.5805458999999997</v>
      </c>
    </row>
    <row r="135" spans="1:18" x14ac:dyDescent="0.3">
      <c r="A135">
        <v>6.99</v>
      </c>
      <c r="B135">
        <f t="shared" si="17"/>
        <v>1398</v>
      </c>
      <c r="C135">
        <v>0.441</v>
      </c>
      <c r="D135" s="1">
        <v>2.3176034912467003E-2</v>
      </c>
      <c r="E135">
        <f t="shared" si="18"/>
        <v>1398</v>
      </c>
      <c r="F135">
        <f t="shared" si="19"/>
        <v>1.8676034912467002E-2</v>
      </c>
      <c r="I135">
        <f t="shared" si="16"/>
        <v>0.60300048403814432</v>
      </c>
      <c r="K135">
        <f t="shared" si="20"/>
        <v>0.61123661543454222</v>
      </c>
      <c r="L135">
        <f t="shared" si="21"/>
        <v>-0.56867395754146977</v>
      </c>
      <c r="N135">
        <v>1393.3169</v>
      </c>
      <c r="O135">
        <f t="shared" si="22"/>
        <v>6.9665844999999997</v>
      </c>
      <c r="Q135">
        <v>1325.94785</v>
      </c>
      <c r="R135">
        <f t="shared" si="23"/>
        <v>6.6297392500000001</v>
      </c>
    </row>
    <row r="136" spans="1:18" x14ac:dyDescent="0.3">
      <c r="A136">
        <v>7.04</v>
      </c>
      <c r="B136">
        <f t="shared" si="17"/>
        <v>1408</v>
      </c>
      <c r="C136">
        <v>0.439</v>
      </c>
      <c r="D136" s="1">
        <v>2.2925321012735367E-2</v>
      </c>
      <c r="E136">
        <f t="shared" si="18"/>
        <v>1408</v>
      </c>
      <c r="F136">
        <f t="shared" si="19"/>
        <v>1.8425321012735366E-2</v>
      </c>
      <c r="I136">
        <f t="shared" si="16"/>
        <v>0.600394259929657</v>
      </c>
      <c r="K136">
        <f t="shared" si="20"/>
        <v>0.60848297585424782</v>
      </c>
      <c r="L136">
        <f t="shared" si="21"/>
        <v>-0.57142759712176416</v>
      </c>
      <c r="N136">
        <v>1403.6025400000001</v>
      </c>
      <c r="O136">
        <f t="shared" si="22"/>
        <v>7.0180127000000008</v>
      </c>
      <c r="Q136">
        <v>1335.5914600000001</v>
      </c>
      <c r="R136">
        <f t="shared" si="23"/>
        <v>6.6779573000000001</v>
      </c>
    </row>
    <row r="137" spans="1:18" x14ac:dyDescent="0.3">
      <c r="A137">
        <v>7.09</v>
      </c>
      <c r="B137">
        <f t="shared" si="17"/>
        <v>1418</v>
      </c>
      <c r="C137">
        <v>0.437</v>
      </c>
      <c r="D137" s="1">
        <v>2.3279450833797455E-2</v>
      </c>
      <c r="E137">
        <f t="shared" si="18"/>
        <v>1418</v>
      </c>
      <c r="F137">
        <f t="shared" si="19"/>
        <v>1.8779450833797454E-2</v>
      </c>
      <c r="I137">
        <f t="shared" si="16"/>
        <v>0.60205130641162397</v>
      </c>
      <c r="K137">
        <f t="shared" si="20"/>
        <v>0.61025792642599341</v>
      </c>
      <c r="L137">
        <f t="shared" si="21"/>
        <v>-0.56965264655001857</v>
      </c>
      <c r="N137">
        <v>1413.88798</v>
      </c>
      <c r="O137">
        <f t="shared" si="22"/>
        <v>7.0694398999999999</v>
      </c>
      <c r="Q137">
        <v>1345.33248</v>
      </c>
      <c r="R137">
        <f t="shared" si="23"/>
        <v>6.7266624000000004</v>
      </c>
    </row>
    <row r="138" spans="1:18" x14ac:dyDescent="0.3">
      <c r="A138">
        <v>7.15</v>
      </c>
      <c r="B138">
        <f t="shared" si="17"/>
        <v>1430</v>
      </c>
      <c r="C138">
        <v>0.434</v>
      </c>
      <c r="D138" s="1">
        <v>2.3136518895626068E-2</v>
      </c>
      <c r="E138">
        <f t="shared" si="18"/>
        <v>1430</v>
      </c>
      <c r="F138">
        <f t="shared" si="19"/>
        <v>1.8636518895626068E-2</v>
      </c>
      <c r="I138">
        <f t="shared" si="16"/>
        <v>0.59942611010372637</v>
      </c>
      <c r="K138">
        <f t="shared" si="20"/>
        <v>0.6075143593044281</v>
      </c>
      <c r="L138">
        <f t="shared" si="21"/>
        <v>-0.57239621367158389</v>
      </c>
      <c r="N138">
        <v>1424.17354</v>
      </c>
      <c r="O138">
        <f t="shared" si="22"/>
        <v>7.1208676999999998</v>
      </c>
      <c r="Q138">
        <v>1355.3659</v>
      </c>
      <c r="R138">
        <f t="shared" si="23"/>
        <v>6.7768294999999998</v>
      </c>
    </row>
    <row r="139" spans="1:18" x14ac:dyDescent="0.3">
      <c r="A139">
        <v>7.2</v>
      </c>
      <c r="B139">
        <f t="shared" si="17"/>
        <v>1440</v>
      </c>
      <c r="C139">
        <v>0.432</v>
      </c>
      <c r="D139" s="1">
        <v>2.3596091195940971E-2</v>
      </c>
      <c r="E139">
        <f t="shared" si="18"/>
        <v>1440</v>
      </c>
      <c r="F139">
        <f t="shared" si="19"/>
        <v>1.9096091195940971E-2</v>
      </c>
      <c r="I139">
        <f t="shared" si="16"/>
        <v>0.60189185661077493</v>
      </c>
      <c r="K139">
        <f t="shared" si="20"/>
        <v>0.61014136800742147</v>
      </c>
      <c r="L139">
        <f t="shared" si="21"/>
        <v>-0.56976920496859051</v>
      </c>
      <c r="N139">
        <v>1434.4589800000001</v>
      </c>
      <c r="O139">
        <f t="shared" si="22"/>
        <v>7.1722949000000007</v>
      </c>
      <c r="Q139">
        <v>1365.1070400000001</v>
      </c>
      <c r="R139">
        <f t="shared" si="23"/>
        <v>6.8255352000000009</v>
      </c>
    </row>
    <row r="140" spans="1:18" x14ac:dyDescent="0.3">
      <c r="A140">
        <v>7.25</v>
      </c>
      <c r="B140">
        <f t="shared" si="17"/>
        <v>1450</v>
      </c>
      <c r="C140">
        <v>0.43</v>
      </c>
      <c r="D140" s="1">
        <v>2.3165538907051086E-2</v>
      </c>
      <c r="E140">
        <f t="shared" si="18"/>
        <v>1450</v>
      </c>
      <c r="F140">
        <f t="shared" si="19"/>
        <v>1.8665538907051086E-2</v>
      </c>
      <c r="I140">
        <f t="shared" si="16"/>
        <v>0.59795015707612031</v>
      </c>
      <c r="K140">
        <f t="shared" si="20"/>
        <v>0.60597633880615231</v>
      </c>
      <c r="L140">
        <f t="shared" si="21"/>
        <v>-0.57393423416985967</v>
      </c>
      <c r="N140">
        <v>1444.8464799999999</v>
      </c>
      <c r="O140">
        <f t="shared" si="22"/>
        <v>7.2242324</v>
      </c>
      <c r="Q140">
        <v>1374.75074</v>
      </c>
      <c r="R140">
        <f t="shared" si="23"/>
        <v>6.8737537</v>
      </c>
    </row>
    <row r="141" spans="1:18" x14ac:dyDescent="0.3">
      <c r="A141">
        <v>7.31</v>
      </c>
      <c r="B141">
        <f t="shared" si="17"/>
        <v>1462</v>
      </c>
      <c r="C141">
        <v>0.42799999999999999</v>
      </c>
      <c r="D141" s="1">
        <v>2.4038000032305717E-2</v>
      </c>
      <c r="E141">
        <f t="shared" si="18"/>
        <v>1462</v>
      </c>
      <c r="F141">
        <f t="shared" si="19"/>
        <v>1.9538000032305717E-2</v>
      </c>
      <c r="I141">
        <f t="shared" si="16"/>
        <v>0.60371778023615474</v>
      </c>
      <c r="K141">
        <f t="shared" si="20"/>
        <v>0.61208004424998164</v>
      </c>
      <c r="L141">
        <f t="shared" si="21"/>
        <v>-0.56783052872603035</v>
      </c>
      <c r="N141">
        <v>1455.53926</v>
      </c>
      <c r="O141">
        <f t="shared" si="22"/>
        <v>7.2776962999999997</v>
      </c>
      <c r="Q141">
        <v>1384.3943400000001</v>
      </c>
      <c r="R141">
        <f t="shared" si="23"/>
        <v>6.9219717000000003</v>
      </c>
    </row>
    <row r="142" spans="1:18" x14ac:dyDescent="0.3">
      <c r="A142">
        <v>7.36</v>
      </c>
      <c r="B142">
        <f t="shared" si="17"/>
        <v>1472</v>
      </c>
      <c r="C142">
        <v>0.42599999999999999</v>
      </c>
      <c r="D142" s="1">
        <v>2.2874869406223297E-2</v>
      </c>
      <c r="E142">
        <f t="shared" si="18"/>
        <v>1472</v>
      </c>
      <c r="F142">
        <f t="shared" si="19"/>
        <v>1.8374869406223297E-2</v>
      </c>
      <c r="I142">
        <f t="shared" si="16"/>
        <v>0.59435903882980345</v>
      </c>
      <c r="K142">
        <f t="shared" si="20"/>
        <v>0.60218673319685456</v>
      </c>
      <c r="L142">
        <f t="shared" si="21"/>
        <v>-0.57772383977915742</v>
      </c>
      <c r="N142">
        <v>1465.6210000000001</v>
      </c>
      <c r="O142">
        <f t="shared" si="22"/>
        <v>7.3281050000000008</v>
      </c>
      <c r="Q142">
        <v>1394.0381400000001</v>
      </c>
      <c r="R142">
        <f t="shared" si="23"/>
        <v>6.9701907000000007</v>
      </c>
    </row>
    <row r="143" spans="1:18" x14ac:dyDescent="0.3">
      <c r="A143">
        <v>7.41</v>
      </c>
      <c r="B143">
        <f t="shared" si="17"/>
        <v>1482</v>
      </c>
      <c r="C143">
        <v>0.42399999999999999</v>
      </c>
      <c r="D143" s="1">
        <v>2.321753092110157E-2</v>
      </c>
      <c r="E143">
        <f t="shared" si="18"/>
        <v>1482</v>
      </c>
      <c r="F143">
        <f t="shared" si="19"/>
        <v>1.871753092110157E-2</v>
      </c>
      <c r="I143">
        <f t="shared" si="16"/>
        <v>0.59604190412536262</v>
      </c>
      <c r="K143">
        <f t="shared" si="20"/>
        <v>0.60397813723590965</v>
      </c>
      <c r="L143">
        <f t="shared" si="21"/>
        <v>-0.57593243574010233</v>
      </c>
      <c r="N143">
        <v>1475.80458</v>
      </c>
      <c r="O143">
        <f t="shared" si="22"/>
        <v>7.3790228999999998</v>
      </c>
      <c r="Q143">
        <v>1403.77918</v>
      </c>
      <c r="R143">
        <f t="shared" si="23"/>
        <v>7.0188959000000004</v>
      </c>
    </row>
    <row r="144" spans="1:18" x14ac:dyDescent="0.3">
      <c r="A144">
        <v>7.46</v>
      </c>
      <c r="B144">
        <f t="shared" si="17"/>
        <v>1492</v>
      </c>
      <c r="C144">
        <v>0.42199999999999999</v>
      </c>
      <c r="D144" s="1">
        <v>2.3349830880761147E-2</v>
      </c>
      <c r="E144">
        <f t="shared" si="18"/>
        <v>1492</v>
      </c>
      <c r="F144">
        <f t="shared" si="19"/>
        <v>1.8849830880761146E-2</v>
      </c>
      <c r="I144">
        <f t="shared" si="16"/>
        <v>0.59618973837047817</v>
      </c>
      <c r="K144">
        <f t="shared" si="20"/>
        <v>0.60414436700215934</v>
      </c>
      <c r="L144">
        <f t="shared" si="21"/>
        <v>-0.57576620597385264</v>
      </c>
      <c r="N144">
        <v>1486.29384</v>
      </c>
      <c r="O144">
        <f t="shared" si="22"/>
        <v>7.4314692000000004</v>
      </c>
      <c r="Q144">
        <v>1413.4227900000001</v>
      </c>
      <c r="R144">
        <f t="shared" si="23"/>
        <v>7.0671139500000004</v>
      </c>
    </row>
    <row r="145" spans="1:18" x14ac:dyDescent="0.3">
      <c r="A145">
        <v>7.52</v>
      </c>
      <c r="B145">
        <f t="shared" si="17"/>
        <v>1504</v>
      </c>
      <c r="C145">
        <v>0.42</v>
      </c>
      <c r="D145" s="1">
        <v>2.3089613765478134E-2</v>
      </c>
      <c r="E145">
        <f t="shared" si="18"/>
        <v>1504</v>
      </c>
      <c r="F145">
        <f t="shared" si="19"/>
        <v>1.8589613765478134E-2</v>
      </c>
      <c r="I145">
        <f t="shared" si="16"/>
        <v>0.59363389551639556</v>
      </c>
      <c r="K145">
        <f t="shared" si="20"/>
        <v>0.6014415332978964</v>
      </c>
      <c r="L145">
        <f t="shared" si="21"/>
        <v>-0.57846903967811558</v>
      </c>
      <c r="N145">
        <v>1496.8848599999999</v>
      </c>
      <c r="O145">
        <f t="shared" si="22"/>
        <v>7.4844242999999997</v>
      </c>
      <c r="Q145">
        <v>1424.0406700000001</v>
      </c>
      <c r="R145">
        <f t="shared" si="23"/>
        <v>7.1202033500000006</v>
      </c>
    </row>
    <row r="146" spans="1:18" x14ac:dyDescent="0.3">
      <c r="A146">
        <v>7.57</v>
      </c>
      <c r="B146">
        <f t="shared" si="17"/>
        <v>1514</v>
      </c>
      <c r="C146">
        <v>0.41799999999999998</v>
      </c>
      <c r="D146" s="1">
        <v>2.4445373564958572E-2</v>
      </c>
      <c r="E146">
        <f t="shared" si="18"/>
        <v>1514</v>
      </c>
      <c r="F146">
        <f t="shared" si="19"/>
        <v>1.9945373564958572E-2</v>
      </c>
      <c r="I146">
        <f t="shared" si="16"/>
        <v>0.60305147788673641</v>
      </c>
      <c r="K146">
        <f t="shared" si="20"/>
        <v>0.61138864403688908</v>
      </c>
      <c r="L146">
        <f t="shared" si="21"/>
        <v>-0.5685219289391229</v>
      </c>
      <c r="N146">
        <v>1506.9666</v>
      </c>
      <c r="O146">
        <f t="shared" si="22"/>
        <v>7.5348329999999999</v>
      </c>
      <c r="Q146">
        <v>1433.78181</v>
      </c>
      <c r="R146">
        <f t="shared" si="23"/>
        <v>7.1689090499999999</v>
      </c>
    </row>
    <row r="147" spans="1:18" x14ac:dyDescent="0.3">
      <c r="A147">
        <v>7.62</v>
      </c>
      <c r="B147">
        <f t="shared" si="17"/>
        <v>1524</v>
      </c>
      <c r="C147">
        <v>0.41599999999999998</v>
      </c>
      <c r="D147" s="1">
        <v>2.3071354255080223E-2</v>
      </c>
      <c r="E147">
        <f t="shared" si="18"/>
        <v>1524</v>
      </c>
      <c r="F147">
        <f t="shared" si="19"/>
        <v>1.8571354255080223E-2</v>
      </c>
      <c r="I147">
        <f t="shared" si="16"/>
        <v>0.59180371942371135</v>
      </c>
      <c r="K147">
        <f t="shared" si="20"/>
        <v>0.59952940279382472</v>
      </c>
      <c r="L147">
        <f t="shared" si="21"/>
        <v>-0.58038117018218727</v>
      </c>
      <c r="N147">
        <v>1517.76142</v>
      </c>
      <c r="O147">
        <f t="shared" si="22"/>
        <v>7.5888071000000004</v>
      </c>
      <c r="Q147">
        <v>1443.42561</v>
      </c>
      <c r="R147">
        <f t="shared" si="23"/>
        <v>7.2171280500000003</v>
      </c>
    </row>
    <row r="148" spans="1:18" x14ac:dyDescent="0.3">
      <c r="A148">
        <v>7.67</v>
      </c>
      <c r="B148">
        <f t="shared" si="17"/>
        <v>1534</v>
      </c>
      <c r="C148">
        <v>0.41299999999999998</v>
      </c>
      <c r="D148" s="1">
        <v>2.3792900145053864E-2</v>
      </c>
      <c r="E148">
        <f t="shared" si="18"/>
        <v>1534</v>
      </c>
      <c r="F148">
        <f t="shared" si="19"/>
        <v>1.9292900145053863E-2</v>
      </c>
      <c r="I148">
        <f t="shared" si="16"/>
        <v>0.59549154411256311</v>
      </c>
      <c r="K148">
        <f t="shared" si="20"/>
        <v>0.60345951187247038</v>
      </c>
      <c r="L148">
        <f t="shared" si="21"/>
        <v>-0.57645106110354161</v>
      </c>
      <c r="N148">
        <v>1528.5561600000001</v>
      </c>
      <c r="O148">
        <f t="shared" si="22"/>
        <v>7.6427808000000006</v>
      </c>
      <c r="Q148">
        <v>1453.8484599999999</v>
      </c>
      <c r="R148">
        <f t="shared" si="23"/>
        <v>7.2692422999999993</v>
      </c>
    </row>
    <row r="149" spans="1:18" x14ac:dyDescent="0.3">
      <c r="A149">
        <v>7.72</v>
      </c>
      <c r="B149">
        <f t="shared" si="17"/>
        <v>1544</v>
      </c>
      <c r="C149">
        <v>0.41099999999999998</v>
      </c>
      <c r="D149" s="1">
        <v>2.3416850715875626E-2</v>
      </c>
      <c r="E149">
        <f t="shared" si="18"/>
        <v>1544</v>
      </c>
      <c r="F149">
        <f t="shared" si="19"/>
        <v>1.8916850715875625E-2</v>
      </c>
      <c r="I149">
        <f t="shared" si="16"/>
        <v>0.5917780875265598</v>
      </c>
      <c r="K149">
        <f t="shared" si="20"/>
        <v>0.59955291317078474</v>
      </c>
      <c r="L149">
        <f t="shared" si="21"/>
        <v>-0.58035765980522724</v>
      </c>
      <c r="N149">
        <v>1538.8416999999999</v>
      </c>
      <c r="O149">
        <f t="shared" si="22"/>
        <v>7.6942084999999993</v>
      </c>
      <c r="Q149">
        <v>1463.49207</v>
      </c>
      <c r="R149">
        <f t="shared" si="23"/>
        <v>7.3174603500000002</v>
      </c>
    </row>
    <row r="150" spans="1:18" x14ac:dyDescent="0.3">
      <c r="A150">
        <v>7.77</v>
      </c>
      <c r="B150">
        <f t="shared" si="17"/>
        <v>1554</v>
      </c>
      <c r="C150">
        <v>0.40899999999999997</v>
      </c>
      <c r="D150" s="1">
        <v>2.3439330980181694E-2</v>
      </c>
      <c r="E150">
        <f t="shared" si="18"/>
        <v>1554</v>
      </c>
      <c r="F150">
        <f t="shared" si="19"/>
        <v>1.8939330980181694E-2</v>
      </c>
      <c r="I150">
        <f t="shared" si="16"/>
        <v>0.59112360171601175</v>
      </c>
      <c r="K150">
        <f t="shared" si="20"/>
        <v>0.59886978808690605</v>
      </c>
      <c r="L150">
        <f t="shared" si="21"/>
        <v>-0.58104078488910593</v>
      </c>
      <c r="N150">
        <v>1548.92344</v>
      </c>
      <c r="O150">
        <f t="shared" si="22"/>
        <v>7.7446172000000004</v>
      </c>
      <c r="Q150">
        <v>1473.52549</v>
      </c>
      <c r="R150">
        <f t="shared" si="23"/>
        <v>7.3676274499999996</v>
      </c>
    </row>
    <row r="151" spans="1:18" x14ac:dyDescent="0.3">
      <c r="A151">
        <v>7.82</v>
      </c>
      <c r="B151">
        <f t="shared" si="17"/>
        <v>1564</v>
      </c>
      <c r="C151">
        <v>0.40699999999999997</v>
      </c>
      <c r="D151" s="1">
        <v>2.3617656901478767E-2</v>
      </c>
      <c r="E151">
        <f t="shared" si="18"/>
        <v>1564</v>
      </c>
      <c r="F151">
        <f t="shared" si="19"/>
        <v>1.9117656901478767E-2</v>
      </c>
      <c r="I151">
        <f t="shared" si="16"/>
        <v>0.59169007696956388</v>
      </c>
      <c r="K151">
        <f t="shared" si="20"/>
        <v>0.59947096332846572</v>
      </c>
      <c r="L151">
        <f t="shared" si="21"/>
        <v>-0.58043960964754626</v>
      </c>
      <c r="N151">
        <v>1559.7181599999999</v>
      </c>
      <c r="O151">
        <f t="shared" si="22"/>
        <v>7.7985907999999995</v>
      </c>
      <c r="Q151">
        <v>1483.1692700000001</v>
      </c>
      <c r="R151">
        <f t="shared" si="23"/>
        <v>7.4158463500000007</v>
      </c>
    </row>
    <row r="152" spans="1:18" x14ac:dyDescent="0.3">
      <c r="A152">
        <v>7.87</v>
      </c>
      <c r="B152">
        <f t="shared" si="17"/>
        <v>1574</v>
      </c>
      <c r="C152">
        <v>0.40500000000000003</v>
      </c>
      <c r="D152" s="1">
        <v>2.4122841656208038E-2</v>
      </c>
      <c r="E152">
        <f t="shared" si="18"/>
        <v>1574</v>
      </c>
      <c r="F152">
        <f t="shared" si="19"/>
        <v>1.9622841656208038E-2</v>
      </c>
      <c r="I152">
        <f t="shared" si="16"/>
        <v>0.59484676383435731</v>
      </c>
      <c r="K152">
        <f t="shared" si="20"/>
        <v>0.60279401470512162</v>
      </c>
      <c r="L152">
        <f t="shared" si="21"/>
        <v>-0.57711655827089037</v>
      </c>
      <c r="N152">
        <v>1569.7999</v>
      </c>
      <c r="O152">
        <f t="shared" si="22"/>
        <v>7.8489994999999997</v>
      </c>
      <c r="Q152">
        <v>1493.00765</v>
      </c>
      <c r="R152">
        <f t="shared" si="23"/>
        <v>7.4650382500000001</v>
      </c>
    </row>
    <row r="153" spans="1:18" x14ac:dyDescent="0.3">
      <c r="A153">
        <v>7.92</v>
      </c>
      <c r="B153">
        <f t="shared" si="17"/>
        <v>1584</v>
      </c>
      <c r="C153">
        <v>0.40300000000000002</v>
      </c>
      <c r="D153" s="1">
        <v>2.3679986596107483E-2</v>
      </c>
      <c r="E153">
        <f t="shared" si="18"/>
        <v>1584</v>
      </c>
      <c r="F153">
        <f t="shared" si="19"/>
        <v>1.9179986596107482E-2</v>
      </c>
      <c r="I153">
        <f t="shared" si="16"/>
        <v>0.59054549384117128</v>
      </c>
      <c r="K153">
        <f t="shared" si="20"/>
        <v>0.59827502843940261</v>
      </c>
      <c r="L153">
        <f t="shared" si="21"/>
        <v>-0.58163554453660937</v>
      </c>
      <c r="N153">
        <v>1580.9001000000001</v>
      </c>
      <c r="O153">
        <f t="shared" si="22"/>
        <v>7.9045005000000002</v>
      </c>
      <c r="Q153">
        <v>1503.7228</v>
      </c>
      <c r="R153">
        <f t="shared" si="23"/>
        <v>7.5186140000000004</v>
      </c>
    </row>
    <row r="154" spans="1:18" x14ac:dyDescent="0.3">
      <c r="A154">
        <v>7.98</v>
      </c>
      <c r="B154">
        <f t="shared" si="17"/>
        <v>1596</v>
      </c>
      <c r="C154">
        <v>0.40100000000000002</v>
      </c>
      <c r="D154" s="1">
        <v>2.3782368749380112E-2</v>
      </c>
      <c r="E154">
        <f t="shared" si="18"/>
        <v>1596</v>
      </c>
      <c r="F154">
        <f t="shared" si="19"/>
        <v>1.9282368749380111E-2</v>
      </c>
      <c r="I154">
        <f t="shared" si="16"/>
        <v>0.5907833026200533</v>
      </c>
      <c r="K154">
        <f t="shared" si="20"/>
        <v>0.59851553248855471</v>
      </c>
      <c r="L154">
        <f t="shared" si="21"/>
        <v>-0.58139504048745727</v>
      </c>
      <c r="N154">
        <v>1590.9819399999999</v>
      </c>
      <c r="O154">
        <f t="shared" si="22"/>
        <v>7.9549096999999991</v>
      </c>
      <c r="Q154">
        <v>1513.5614499999999</v>
      </c>
      <c r="R154">
        <f t="shared" si="23"/>
        <v>7.5678072499999995</v>
      </c>
    </row>
    <row r="155" spans="1:18" x14ac:dyDescent="0.3">
      <c r="A155">
        <v>8.0299999999999994</v>
      </c>
      <c r="B155">
        <f t="shared" si="17"/>
        <v>1605.9999999999998</v>
      </c>
      <c r="C155">
        <v>0.39900000000000002</v>
      </c>
      <c r="D155" s="1">
        <v>2.3811902850866318E-2</v>
      </c>
      <c r="E155">
        <f t="shared" si="18"/>
        <v>1605.9999999999998</v>
      </c>
      <c r="F155">
        <f t="shared" si="19"/>
        <v>1.9311902850866317E-2</v>
      </c>
      <c r="I155">
        <f t="shared" si="16"/>
        <v>0.59020957989245648</v>
      </c>
      <c r="K155">
        <f t="shared" si="20"/>
        <v>0.59791502912995209</v>
      </c>
      <c r="L155">
        <f t="shared" si="21"/>
        <v>-0.58199554384605989</v>
      </c>
      <c r="N155">
        <v>1601.26748</v>
      </c>
      <c r="O155">
        <f t="shared" si="22"/>
        <v>8.0063373999999996</v>
      </c>
      <c r="Q155">
        <v>1523.20515</v>
      </c>
      <c r="R155">
        <f t="shared" si="23"/>
        <v>7.6160257500000004</v>
      </c>
    </row>
    <row r="156" spans="1:18" x14ac:dyDescent="0.3">
      <c r="A156">
        <v>8.08</v>
      </c>
      <c r="B156">
        <f t="shared" si="17"/>
        <v>1616</v>
      </c>
      <c r="C156">
        <v>0.39700000000000002</v>
      </c>
      <c r="D156" s="1">
        <v>2.3356638848781586E-2</v>
      </c>
      <c r="E156">
        <f t="shared" si="18"/>
        <v>1616</v>
      </c>
      <c r="F156">
        <f t="shared" si="19"/>
        <v>1.8856638848781585E-2</v>
      </c>
      <c r="I156">
        <f t="shared" si="16"/>
        <v>0.58572164189815523</v>
      </c>
      <c r="K156">
        <f t="shared" si="20"/>
        <v>0.5932077275211215</v>
      </c>
      <c r="L156">
        <f t="shared" si="21"/>
        <v>-0.58670284545489049</v>
      </c>
      <c r="N156">
        <v>1612.2659200000001</v>
      </c>
      <c r="O156">
        <f t="shared" si="22"/>
        <v>8.0613296000000005</v>
      </c>
      <c r="Q156">
        <v>1533.14104</v>
      </c>
      <c r="R156">
        <f t="shared" si="23"/>
        <v>7.6657051999999997</v>
      </c>
    </row>
    <row r="157" spans="1:18" x14ac:dyDescent="0.3">
      <c r="A157">
        <v>8.1300000000000008</v>
      </c>
      <c r="B157">
        <f t="shared" si="17"/>
        <v>1626.0000000000002</v>
      </c>
      <c r="C157">
        <v>0.39500000000000002</v>
      </c>
      <c r="D157" s="1">
        <v>2.3766256868839264E-2</v>
      </c>
      <c r="E157">
        <f t="shared" si="18"/>
        <v>1626.0000000000002</v>
      </c>
      <c r="F157">
        <f t="shared" si="19"/>
        <v>1.9266256868839263E-2</v>
      </c>
      <c r="I157">
        <f t="shared" si="16"/>
        <v>0.58821966834366324</v>
      </c>
      <c r="K157">
        <f t="shared" si="20"/>
        <v>0.59582983980685478</v>
      </c>
      <c r="L157">
        <f t="shared" si="21"/>
        <v>-0.58408073316915721</v>
      </c>
      <c r="N157">
        <v>1622.5513599999999</v>
      </c>
      <c r="O157">
        <f t="shared" si="22"/>
        <v>8.1127567999999997</v>
      </c>
      <c r="Q157">
        <v>1542.8820900000001</v>
      </c>
      <c r="R157">
        <f t="shared" si="23"/>
        <v>7.7144104499999999</v>
      </c>
    </row>
    <row r="158" spans="1:18" x14ac:dyDescent="0.3">
      <c r="A158">
        <v>8.18</v>
      </c>
      <c r="B158">
        <f t="shared" si="17"/>
        <v>1636</v>
      </c>
      <c r="C158">
        <v>0.39300000000000002</v>
      </c>
      <c r="D158" s="1">
        <v>2.3481503129005432E-2</v>
      </c>
      <c r="E158">
        <f t="shared" si="18"/>
        <v>1636</v>
      </c>
      <c r="F158">
        <f t="shared" si="19"/>
        <v>1.8981503129005432E-2</v>
      </c>
      <c r="I158">
        <f t="shared" si="16"/>
        <v>0.58507869559526449</v>
      </c>
      <c r="K158">
        <f t="shared" si="20"/>
        <v>0.59253842632496367</v>
      </c>
      <c r="L158">
        <f t="shared" si="21"/>
        <v>-0.58737214665104831</v>
      </c>
      <c r="N158">
        <v>1632.73506</v>
      </c>
      <c r="O158">
        <f t="shared" si="22"/>
        <v>8.1636752999999995</v>
      </c>
      <c r="Q158">
        <v>1552.72074</v>
      </c>
      <c r="R158">
        <f t="shared" si="23"/>
        <v>7.7636037</v>
      </c>
    </row>
    <row r="159" spans="1:18" x14ac:dyDescent="0.3">
      <c r="A159">
        <v>8.23</v>
      </c>
      <c r="B159">
        <f t="shared" si="17"/>
        <v>1646</v>
      </c>
      <c r="C159">
        <v>0.39</v>
      </c>
      <c r="D159" s="1">
        <v>2.421257458627224E-2</v>
      </c>
      <c r="E159">
        <f t="shared" si="18"/>
        <v>1646</v>
      </c>
      <c r="F159">
        <f t="shared" si="19"/>
        <v>1.9712574586272239E-2</v>
      </c>
      <c r="I159">
        <f t="shared" si="16"/>
        <v>0.58926948884502051</v>
      </c>
      <c r="K159">
        <f t="shared" si="20"/>
        <v>0.59695739293366668</v>
      </c>
      <c r="L159">
        <f t="shared" si="21"/>
        <v>-0.58295318004234531</v>
      </c>
      <c r="N159">
        <v>1643.4279200000001</v>
      </c>
      <c r="O159">
        <f t="shared" si="22"/>
        <v>8.2171396000000012</v>
      </c>
      <c r="Q159">
        <v>1562.5591899999999</v>
      </c>
      <c r="R159">
        <f t="shared" si="23"/>
        <v>7.8127959499999999</v>
      </c>
    </row>
    <row r="160" spans="1:18" x14ac:dyDescent="0.3">
      <c r="A160">
        <v>8.2799999999999994</v>
      </c>
      <c r="B160">
        <f t="shared" si="17"/>
        <v>1655.9999999999998</v>
      </c>
      <c r="C160">
        <v>0.38800000000000001</v>
      </c>
      <c r="D160" s="1">
        <v>2.3381641134619713E-2</v>
      </c>
      <c r="E160">
        <f t="shared" si="18"/>
        <v>1655.9999999999998</v>
      </c>
      <c r="F160">
        <f t="shared" si="19"/>
        <v>1.8881641134619712E-2</v>
      </c>
      <c r="I160">
        <f t="shared" si="16"/>
        <v>0.58159998859465123</v>
      </c>
      <c r="K160">
        <f t="shared" si="20"/>
        <v>0.58892606535488368</v>
      </c>
      <c r="L160">
        <f t="shared" si="21"/>
        <v>-0.59098450762112831</v>
      </c>
      <c r="N160">
        <v>1653.5097599999999</v>
      </c>
      <c r="O160">
        <f t="shared" si="22"/>
        <v>8.2675488000000001</v>
      </c>
      <c r="Q160">
        <v>1572.20299</v>
      </c>
      <c r="R160">
        <f t="shared" si="23"/>
        <v>7.8610149500000004</v>
      </c>
    </row>
    <row r="161" spans="1:18" x14ac:dyDescent="0.3">
      <c r="A161">
        <v>8.34</v>
      </c>
      <c r="B161">
        <f t="shared" si="17"/>
        <v>1668</v>
      </c>
      <c r="C161">
        <v>0.38600000000000001</v>
      </c>
      <c r="D161" s="1">
        <v>2.4179680272936821E-2</v>
      </c>
      <c r="E161">
        <f t="shared" si="18"/>
        <v>1668</v>
      </c>
      <c r="F161">
        <f t="shared" si="19"/>
        <v>1.967968027293682E-2</v>
      </c>
      <c r="I161">
        <f t="shared" si="16"/>
        <v>0.58765853347629315</v>
      </c>
      <c r="K161">
        <f t="shared" si="20"/>
        <v>0.59525489006164678</v>
      </c>
      <c r="L161">
        <f t="shared" si="21"/>
        <v>-0.5846556829143652</v>
      </c>
      <c r="N161">
        <v>1663.5916</v>
      </c>
      <c r="O161">
        <f t="shared" si="22"/>
        <v>8.3179579999999991</v>
      </c>
      <c r="Q161">
        <v>1582.0413699999999</v>
      </c>
      <c r="R161">
        <f t="shared" si="23"/>
        <v>7.9102068499999998</v>
      </c>
    </row>
    <row r="162" spans="1:18" x14ac:dyDescent="0.3">
      <c r="A162">
        <v>8.39</v>
      </c>
      <c r="B162">
        <f t="shared" si="17"/>
        <v>1678</v>
      </c>
      <c r="C162">
        <v>0.38400000000000001</v>
      </c>
      <c r="D162" s="1">
        <v>2.3598005995154381E-2</v>
      </c>
      <c r="E162">
        <f t="shared" si="18"/>
        <v>1678</v>
      </c>
      <c r="F162">
        <f t="shared" si="19"/>
        <v>1.909800599515438E-2</v>
      </c>
      <c r="I162">
        <f t="shared" si="16"/>
        <v>0.58198727029934527</v>
      </c>
      <c r="K162">
        <f t="shared" si="20"/>
        <v>0.58932090460148456</v>
      </c>
      <c r="L162">
        <f t="shared" si="21"/>
        <v>-0.59058966837452742</v>
      </c>
      <c r="N162">
        <v>1674.08086</v>
      </c>
      <c r="O162">
        <f t="shared" si="22"/>
        <v>8.3704043000000006</v>
      </c>
      <c r="Q162">
        <v>1592.46451</v>
      </c>
      <c r="R162">
        <f t="shared" si="23"/>
        <v>7.9623225499999997</v>
      </c>
    </row>
    <row r="163" spans="1:18" x14ac:dyDescent="0.3">
      <c r="A163">
        <v>8.44</v>
      </c>
      <c r="B163">
        <f t="shared" si="17"/>
        <v>1688</v>
      </c>
      <c r="C163">
        <v>0.38200000000000001</v>
      </c>
      <c r="D163" s="1">
        <v>2.405710332095623E-2</v>
      </c>
      <c r="E163">
        <f t="shared" si="18"/>
        <v>1688</v>
      </c>
      <c r="F163">
        <f t="shared" si="19"/>
        <v>1.955710332095623E-2</v>
      </c>
      <c r="I163">
        <f t="shared" si="16"/>
        <v>0.58504195202887055</v>
      </c>
      <c r="K163">
        <f t="shared" si="20"/>
        <v>0.59251276549747578</v>
      </c>
      <c r="L163">
        <f t="shared" si="21"/>
        <v>-0.5873978074785362</v>
      </c>
      <c r="N163">
        <v>1684.2644600000001</v>
      </c>
      <c r="O163">
        <f t="shared" si="22"/>
        <v>8.4213222999999999</v>
      </c>
      <c r="Q163">
        <v>1602.2057199999999</v>
      </c>
      <c r="R163">
        <f t="shared" si="23"/>
        <v>8.0110285999999995</v>
      </c>
    </row>
    <row r="164" spans="1:18" x14ac:dyDescent="0.3">
      <c r="A164">
        <v>8.49</v>
      </c>
      <c r="B164">
        <f t="shared" si="17"/>
        <v>1698</v>
      </c>
      <c r="C164">
        <v>0.38</v>
      </c>
      <c r="D164" s="1">
        <v>2.362007275223732E-2</v>
      </c>
      <c r="E164">
        <f t="shared" si="18"/>
        <v>1698</v>
      </c>
      <c r="F164">
        <f t="shared" si="19"/>
        <v>1.9120072752237319E-2</v>
      </c>
      <c r="I164">
        <f t="shared" si="16"/>
        <v>0.58053441766649483</v>
      </c>
      <c r="K164">
        <f t="shared" si="20"/>
        <v>0.58780004531234498</v>
      </c>
      <c r="L164">
        <f t="shared" si="21"/>
        <v>-0.59211052766366701</v>
      </c>
      <c r="N164">
        <v>1694.55</v>
      </c>
      <c r="O164">
        <f t="shared" si="22"/>
        <v>8.4727499999999996</v>
      </c>
      <c r="Q164">
        <v>1611.84924</v>
      </c>
      <c r="R164">
        <f t="shared" si="23"/>
        <v>8.0592462000000005</v>
      </c>
    </row>
    <row r="165" spans="1:18" x14ac:dyDescent="0.3">
      <c r="A165">
        <v>8.5500000000000007</v>
      </c>
      <c r="B165">
        <f t="shared" si="17"/>
        <v>1710.0000000000002</v>
      </c>
      <c r="C165">
        <v>0.378</v>
      </c>
      <c r="D165" s="1">
        <v>2.441132627427578E-2</v>
      </c>
      <c r="E165">
        <f t="shared" si="18"/>
        <v>1710.0000000000002</v>
      </c>
      <c r="F165">
        <f t="shared" si="19"/>
        <v>1.9911326274275779E-2</v>
      </c>
      <c r="I165">
        <f t="shared" si="16"/>
        <v>0.58671683964505794</v>
      </c>
      <c r="K165">
        <f t="shared" si="20"/>
        <v>0.59424332097673416</v>
      </c>
      <c r="L165">
        <f t="shared" si="21"/>
        <v>-0.58566725199927783</v>
      </c>
      <c r="N165">
        <v>1704.83554</v>
      </c>
      <c r="O165">
        <f t="shared" si="22"/>
        <v>8.524177700000001</v>
      </c>
      <c r="Q165">
        <v>1621.98</v>
      </c>
      <c r="R165">
        <f t="shared" si="23"/>
        <v>8.1098999999999997</v>
      </c>
    </row>
    <row r="166" spans="1:18" x14ac:dyDescent="0.3">
      <c r="A166">
        <v>8.6</v>
      </c>
      <c r="B166">
        <f t="shared" si="17"/>
        <v>1720</v>
      </c>
      <c r="C166">
        <v>0.375</v>
      </c>
      <c r="D166" s="1">
        <v>2.3775476962327957E-2</v>
      </c>
      <c r="E166">
        <f t="shared" si="18"/>
        <v>1720</v>
      </c>
      <c r="F166">
        <f t="shared" si="19"/>
        <v>1.9275476962327957E-2</v>
      </c>
      <c r="I166">
        <f t="shared" si="16"/>
        <v>0.57946910187602041</v>
      </c>
      <c r="K166">
        <f t="shared" si="20"/>
        <v>0.58669740573689344</v>
      </c>
      <c r="L166">
        <f t="shared" si="21"/>
        <v>-0.59321316723911854</v>
      </c>
      <c r="N166">
        <v>1715.3248000000001</v>
      </c>
      <c r="O166">
        <f t="shared" si="22"/>
        <v>8.5766240000000007</v>
      </c>
      <c r="Q166">
        <v>1632.3055999999999</v>
      </c>
      <c r="R166">
        <f t="shared" si="23"/>
        <v>8.1615279999999988</v>
      </c>
    </row>
    <row r="167" spans="1:18" x14ac:dyDescent="0.3">
      <c r="A167">
        <v>8.65</v>
      </c>
      <c r="B167">
        <f t="shared" si="17"/>
        <v>1730</v>
      </c>
      <c r="C167">
        <v>0.373</v>
      </c>
      <c r="D167" s="1">
        <v>2.4246145039796829E-2</v>
      </c>
      <c r="E167">
        <f t="shared" si="18"/>
        <v>1730</v>
      </c>
      <c r="F167">
        <f t="shared" si="19"/>
        <v>1.9746145039796829E-2</v>
      </c>
      <c r="I167">
        <f t="shared" si="16"/>
        <v>0.58272915459424257</v>
      </c>
      <c r="K167">
        <f t="shared" si="20"/>
        <v>0.59009446669408683</v>
      </c>
      <c r="L167">
        <f t="shared" si="21"/>
        <v>-0.58981610628192516</v>
      </c>
      <c r="N167">
        <v>1725.61016</v>
      </c>
      <c r="O167">
        <f t="shared" si="22"/>
        <v>8.6280508000000005</v>
      </c>
      <c r="Q167">
        <v>1642.04664</v>
      </c>
      <c r="R167">
        <f t="shared" si="23"/>
        <v>8.2102331999999993</v>
      </c>
    </row>
    <row r="168" spans="1:18" x14ac:dyDescent="0.3">
      <c r="A168">
        <v>8.7100000000000009</v>
      </c>
      <c r="B168">
        <f t="shared" si="17"/>
        <v>1742.0000000000002</v>
      </c>
      <c r="C168">
        <v>0.371</v>
      </c>
      <c r="D168" s="1">
        <v>2.3945005610585213E-2</v>
      </c>
      <c r="E168">
        <f t="shared" si="18"/>
        <v>1742.0000000000002</v>
      </c>
      <c r="F168">
        <f t="shared" si="19"/>
        <v>1.9445005610585212E-2</v>
      </c>
      <c r="I168">
        <f t="shared" si="16"/>
        <v>0.57956099886819723</v>
      </c>
      <c r="K168">
        <f t="shared" si="20"/>
        <v>0.58677509594972432</v>
      </c>
      <c r="L168">
        <f t="shared" si="21"/>
        <v>-0.59313547702628766</v>
      </c>
      <c r="N168">
        <v>1735.79376</v>
      </c>
      <c r="O168">
        <f t="shared" si="22"/>
        <v>8.6789687999999998</v>
      </c>
      <c r="Q168">
        <v>1651.7878599999999</v>
      </c>
      <c r="R168">
        <f t="shared" si="23"/>
        <v>8.2589392999999998</v>
      </c>
    </row>
    <row r="169" spans="1:18" x14ac:dyDescent="0.3">
      <c r="A169">
        <v>8.76</v>
      </c>
      <c r="B169">
        <f t="shared" si="17"/>
        <v>1752</v>
      </c>
      <c r="C169">
        <v>0.36899999999999999</v>
      </c>
      <c r="D169" s="1">
        <v>2.4068757891654968E-2</v>
      </c>
      <c r="E169">
        <f t="shared" si="18"/>
        <v>1752</v>
      </c>
      <c r="F169">
        <f t="shared" si="19"/>
        <v>1.9568757891654968E-2</v>
      </c>
      <c r="I169">
        <f t="shared" si="16"/>
        <v>0.57984231913089745</v>
      </c>
      <c r="K169">
        <f t="shared" si="20"/>
        <v>0.58706319079291813</v>
      </c>
      <c r="L169">
        <f t="shared" si="21"/>
        <v>-0.59284738218309385</v>
      </c>
      <c r="N169">
        <v>1746.2829999999999</v>
      </c>
      <c r="O169">
        <f t="shared" si="22"/>
        <v>8.7314150000000001</v>
      </c>
      <c r="Q169">
        <v>1661.7237700000001</v>
      </c>
      <c r="R169">
        <f t="shared" si="23"/>
        <v>8.3086188500000002</v>
      </c>
    </row>
    <row r="170" spans="1:18" x14ac:dyDescent="0.3">
      <c r="A170">
        <v>8.81</v>
      </c>
      <c r="B170">
        <f t="shared" si="17"/>
        <v>1762</v>
      </c>
      <c r="C170">
        <v>0.36699999999999999</v>
      </c>
      <c r="D170" s="1">
        <v>2.4400951340794563E-2</v>
      </c>
      <c r="E170">
        <f t="shared" si="18"/>
        <v>1762</v>
      </c>
      <c r="F170">
        <f t="shared" si="19"/>
        <v>1.9900951340794563E-2</v>
      </c>
      <c r="I170">
        <f t="shared" si="16"/>
        <v>0.58197238131240014</v>
      </c>
      <c r="K170">
        <f t="shared" si="20"/>
        <v>0.58927603045447174</v>
      </c>
      <c r="L170">
        <f t="shared" si="21"/>
        <v>-0.59063454252154024</v>
      </c>
      <c r="N170">
        <v>1756.4666</v>
      </c>
      <c r="O170">
        <f t="shared" si="22"/>
        <v>8.7823329999999995</v>
      </c>
      <c r="Q170">
        <v>1671.65966</v>
      </c>
      <c r="R170">
        <f t="shared" si="23"/>
        <v>8.3582982999999995</v>
      </c>
    </row>
    <row r="171" spans="1:18" x14ac:dyDescent="0.3">
      <c r="A171">
        <v>8.8699999999999992</v>
      </c>
      <c r="B171">
        <f t="shared" si="17"/>
        <v>1773.9999999999998</v>
      </c>
      <c r="C171">
        <v>0.36499999999999999</v>
      </c>
      <c r="D171" s="1">
        <v>2.4340275675058365E-2</v>
      </c>
      <c r="E171">
        <f t="shared" si="18"/>
        <v>1773.9999999999998</v>
      </c>
      <c r="F171">
        <f t="shared" si="19"/>
        <v>1.9840275675058364E-2</v>
      </c>
      <c r="I171">
        <f t="shared" si="16"/>
        <v>0.58089824523776767</v>
      </c>
      <c r="K171">
        <f t="shared" si="20"/>
        <v>0.58813994585916396</v>
      </c>
      <c r="L171">
        <f t="shared" si="21"/>
        <v>-0.59177062711684802</v>
      </c>
      <c r="N171">
        <v>1766.54844</v>
      </c>
      <c r="O171">
        <f t="shared" si="22"/>
        <v>8.8327422000000002</v>
      </c>
      <c r="Q171">
        <v>1681.4008699999999</v>
      </c>
      <c r="R171">
        <f t="shared" si="23"/>
        <v>8.4070043499999993</v>
      </c>
    </row>
    <row r="172" spans="1:18" x14ac:dyDescent="0.3">
      <c r="A172">
        <v>8.92</v>
      </c>
      <c r="B172">
        <f t="shared" si="17"/>
        <v>1784</v>
      </c>
      <c r="C172">
        <v>0.36199999999999999</v>
      </c>
      <c r="D172" s="1">
        <v>2.3765942081809044E-2</v>
      </c>
      <c r="E172">
        <f t="shared" si="18"/>
        <v>1784</v>
      </c>
      <c r="F172">
        <f t="shared" si="19"/>
        <v>1.9265942081809043E-2</v>
      </c>
      <c r="I172">
        <f t="shared" si="16"/>
        <v>0.57399220336973666</v>
      </c>
      <c r="K172">
        <f t="shared" si="20"/>
        <v>0.58096647440335158</v>
      </c>
      <c r="L172">
        <f t="shared" si="21"/>
        <v>-0.5989440985726604</v>
      </c>
      <c r="N172">
        <v>1776.6302800000001</v>
      </c>
      <c r="O172">
        <f t="shared" si="22"/>
        <v>8.8831514000000009</v>
      </c>
      <c r="Q172">
        <v>1691.2392500000001</v>
      </c>
      <c r="R172">
        <f t="shared" si="23"/>
        <v>8.4561962499999996</v>
      </c>
    </row>
    <row r="173" spans="1:18" x14ac:dyDescent="0.3">
      <c r="A173">
        <v>8.9700000000000006</v>
      </c>
      <c r="B173">
        <f t="shared" si="17"/>
        <v>1794.0000000000002</v>
      </c>
      <c r="C173">
        <v>0.36099999999999999</v>
      </c>
      <c r="D173" s="1">
        <v>2.4312430992722511E-2</v>
      </c>
      <c r="E173">
        <f t="shared" si="18"/>
        <v>1794.0000000000002</v>
      </c>
      <c r="F173">
        <f t="shared" si="19"/>
        <v>1.9812430992722511E-2</v>
      </c>
      <c r="I173">
        <f t="shared" si="16"/>
        <v>0.57908250600472089</v>
      </c>
      <c r="K173">
        <f t="shared" si="20"/>
        <v>0.58623479359309372</v>
      </c>
      <c r="L173">
        <f t="shared" si="21"/>
        <v>-0.59367577938291827</v>
      </c>
      <c r="N173">
        <v>1786.7121</v>
      </c>
      <c r="O173">
        <f t="shared" si="22"/>
        <v>8.9335605000000005</v>
      </c>
      <c r="Q173">
        <v>1700.8829599999999</v>
      </c>
      <c r="R173">
        <f t="shared" si="23"/>
        <v>8.5044147999999993</v>
      </c>
    </row>
    <row r="174" spans="1:18" x14ac:dyDescent="0.3">
      <c r="A174">
        <v>9.02</v>
      </c>
      <c r="B174">
        <f t="shared" si="17"/>
        <v>1804</v>
      </c>
      <c r="C174">
        <v>0.35799999999999998</v>
      </c>
      <c r="D174" s="1">
        <v>2.4244915693998337E-2</v>
      </c>
      <c r="E174">
        <f t="shared" si="18"/>
        <v>1804</v>
      </c>
      <c r="F174">
        <f t="shared" si="19"/>
        <v>1.9744915693998336E-2</v>
      </c>
      <c r="I174">
        <f t="shared" si="16"/>
        <v>0.576689139559865</v>
      </c>
      <c r="K174">
        <f t="shared" si="20"/>
        <v>0.58375781937831639</v>
      </c>
      <c r="L174">
        <f t="shared" si="21"/>
        <v>-0.59615275359769559</v>
      </c>
      <c r="N174">
        <v>1796.79394</v>
      </c>
      <c r="O174">
        <f t="shared" si="22"/>
        <v>8.9839696999999994</v>
      </c>
      <c r="Q174">
        <v>1710.7215100000001</v>
      </c>
      <c r="R174">
        <f t="shared" si="23"/>
        <v>8.5536075500000006</v>
      </c>
    </row>
    <row r="175" spans="1:18" x14ac:dyDescent="0.3">
      <c r="A175">
        <v>9.07</v>
      </c>
      <c r="B175">
        <f t="shared" si="17"/>
        <v>1814</v>
      </c>
      <c r="C175">
        <v>0.35599999999999998</v>
      </c>
      <c r="D175" s="1">
        <v>2.4329442530870438E-2</v>
      </c>
      <c r="E175">
        <f t="shared" si="18"/>
        <v>1814</v>
      </c>
      <c r="F175">
        <f t="shared" si="19"/>
        <v>1.9829442530870437E-2</v>
      </c>
      <c r="I175">
        <f t="shared" si="16"/>
        <v>0.57666804375499492</v>
      </c>
      <c r="K175">
        <f t="shared" si="20"/>
        <v>0.58372732529598481</v>
      </c>
      <c r="L175">
        <f t="shared" si="21"/>
        <v>-0.59618324768002717</v>
      </c>
      <c r="N175">
        <v>1807.3849600000001</v>
      </c>
      <c r="O175">
        <f t="shared" si="22"/>
        <v>9.0369248000000013</v>
      </c>
      <c r="Q175">
        <v>1720.4625599999999</v>
      </c>
      <c r="R175">
        <f t="shared" si="23"/>
        <v>8.6023128</v>
      </c>
    </row>
    <row r="176" spans="1:18" x14ac:dyDescent="0.3">
      <c r="A176">
        <v>9.1199999999999992</v>
      </c>
      <c r="B176">
        <f t="shared" si="17"/>
        <v>1823.9999999999998</v>
      </c>
      <c r="C176">
        <v>0.35399999999999998</v>
      </c>
      <c r="D176" s="1">
        <v>2.4736572057008743E-2</v>
      </c>
      <c r="E176">
        <f t="shared" si="18"/>
        <v>1823.9999999999998</v>
      </c>
      <c r="F176">
        <f t="shared" si="19"/>
        <v>2.0236572057008743E-2</v>
      </c>
      <c r="I176">
        <f t="shared" si="16"/>
        <v>0.57959753715991968</v>
      </c>
      <c r="K176">
        <f t="shared" si="20"/>
        <v>0.58676128366810076</v>
      </c>
      <c r="L176">
        <f t="shared" si="21"/>
        <v>-0.59314928930791122</v>
      </c>
      <c r="N176">
        <v>1817.4667999999999</v>
      </c>
      <c r="O176">
        <f t="shared" si="22"/>
        <v>9.0873340000000002</v>
      </c>
      <c r="Q176">
        <v>1730.1062400000001</v>
      </c>
      <c r="R176">
        <f t="shared" si="23"/>
        <v>8.6505311999999996</v>
      </c>
    </row>
    <row r="177" spans="1:18" x14ac:dyDescent="0.3">
      <c r="A177">
        <v>9.17</v>
      </c>
      <c r="B177">
        <f t="shared" si="17"/>
        <v>1834</v>
      </c>
      <c r="C177">
        <v>0.35199999999999998</v>
      </c>
      <c r="D177" s="1">
        <v>2.427547425031662E-2</v>
      </c>
      <c r="E177">
        <f t="shared" si="18"/>
        <v>1834</v>
      </c>
      <c r="F177">
        <f t="shared" si="19"/>
        <v>1.9775474250316619E-2</v>
      </c>
      <c r="I177">
        <f t="shared" si="16"/>
        <v>0.57460609887540337</v>
      </c>
      <c r="K177">
        <f t="shared" si="20"/>
        <v>0.58156706581151485</v>
      </c>
      <c r="L177">
        <f t="shared" si="21"/>
        <v>-0.59834350716449713</v>
      </c>
      <c r="N177">
        <v>1828.36348</v>
      </c>
      <c r="O177">
        <f t="shared" si="22"/>
        <v>9.1418174000000008</v>
      </c>
      <c r="Q177">
        <v>1740.04215</v>
      </c>
      <c r="R177">
        <f t="shared" si="23"/>
        <v>8.7002107500000001</v>
      </c>
    </row>
    <row r="178" spans="1:18" x14ac:dyDescent="0.3">
      <c r="A178">
        <v>9.2200000000000006</v>
      </c>
      <c r="B178">
        <f t="shared" si="17"/>
        <v>1844.0000000000002</v>
      </c>
      <c r="C178">
        <v>0.35</v>
      </c>
      <c r="D178" s="1">
        <v>2.4188827723264694E-2</v>
      </c>
      <c r="E178">
        <f t="shared" si="18"/>
        <v>1844.0000000000002</v>
      </c>
      <c r="F178">
        <f t="shared" si="19"/>
        <v>1.9688827723264694E-2</v>
      </c>
      <c r="I178">
        <f t="shared" si="16"/>
        <v>0.57302099160850051</v>
      </c>
      <c r="K178">
        <f t="shared" si="20"/>
        <v>0.57991208131164318</v>
      </c>
      <c r="L178">
        <f t="shared" si="21"/>
        <v>-0.5999984916643688</v>
      </c>
      <c r="N178">
        <v>1838.5468800000001</v>
      </c>
      <c r="O178">
        <f t="shared" si="22"/>
        <v>9.1927344000000009</v>
      </c>
      <c r="Q178">
        <v>1750.4650899999999</v>
      </c>
      <c r="R178">
        <f t="shared" si="23"/>
        <v>8.752325449999999</v>
      </c>
    </row>
    <row r="179" spans="1:18" x14ac:dyDescent="0.3">
      <c r="A179">
        <v>9.2799999999999994</v>
      </c>
      <c r="B179">
        <f t="shared" si="17"/>
        <v>1855.9999999999998</v>
      </c>
      <c r="C179">
        <v>0.34799999999999998</v>
      </c>
      <c r="D179" s="1">
        <v>2.4591587483882904E-2</v>
      </c>
      <c r="E179">
        <f t="shared" si="18"/>
        <v>1855.9999999999998</v>
      </c>
      <c r="F179">
        <f t="shared" si="19"/>
        <v>2.0091587483882904E-2</v>
      </c>
      <c r="I179">
        <f t="shared" si="16"/>
        <v>0.57620993185043334</v>
      </c>
      <c r="K179">
        <f t="shared" si="20"/>
        <v>0.5832018042948246</v>
      </c>
      <c r="L179">
        <f t="shared" si="21"/>
        <v>-0.59670876868118738</v>
      </c>
      <c r="N179">
        <v>1849.0361399999999</v>
      </c>
      <c r="O179">
        <f t="shared" si="22"/>
        <v>9.2451806999999988</v>
      </c>
      <c r="Q179">
        <v>1760.69336</v>
      </c>
      <c r="R179">
        <f t="shared" si="23"/>
        <v>8.8034668000000007</v>
      </c>
    </row>
    <row r="180" spans="1:18" x14ac:dyDescent="0.3">
      <c r="A180">
        <v>9.33</v>
      </c>
      <c r="B180">
        <f t="shared" si="17"/>
        <v>1866</v>
      </c>
      <c r="C180">
        <v>0.34599999999999997</v>
      </c>
      <c r="D180" s="1">
        <v>2.4872282519936562E-2</v>
      </c>
      <c r="E180">
        <f t="shared" si="18"/>
        <v>1866</v>
      </c>
      <c r="F180">
        <f t="shared" si="19"/>
        <v>2.0372282519936561E-2</v>
      </c>
      <c r="I180">
        <f t="shared" si="16"/>
        <v>0.57805839591100816</v>
      </c>
      <c r="K180">
        <f t="shared" si="20"/>
        <v>0.58510720566290619</v>
      </c>
      <c r="L180">
        <f t="shared" si="21"/>
        <v>-0.59480336731310579</v>
      </c>
      <c r="N180">
        <v>1859.11796</v>
      </c>
      <c r="O180">
        <f t="shared" si="22"/>
        <v>9.2955898000000001</v>
      </c>
      <c r="Q180">
        <v>1770.82412</v>
      </c>
      <c r="R180">
        <f t="shared" si="23"/>
        <v>8.8541205999999999</v>
      </c>
    </row>
    <row r="181" spans="1:18" x14ac:dyDescent="0.3">
      <c r="A181">
        <v>9.3800000000000008</v>
      </c>
      <c r="B181">
        <f t="shared" si="17"/>
        <v>1876.0000000000002</v>
      </c>
      <c r="C181">
        <v>0.34300000000000003</v>
      </c>
      <c r="D181" s="1">
        <v>2.4994742125272751E-2</v>
      </c>
      <c r="E181">
        <f t="shared" si="18"/>
        <v>1876.0000000000002</v>
      </c>
      <c r="F181">
        <f t="shared" si="19"/>
        <v>2.049474212527275E-2</v>
      </c>
      <c r="I181">
        <f t="shared" si="16"/>
        <v>0.57745068113505849</v>
      </c>
      <c r="K181">
        <f t="shared" si="20"/>
        <v>0.58448037768402705</v>
      </c>
      <c r="L181">
        <f t="shared" si="21"/>
        <v>-0.59543019529198493</v>
      </c>
      <c r="N181">
        <v>1870.1164000000001</v>
      </c>
      <c r="O181">
        <f t="shared" si="22"/>
        <v>9.3505820000000011</v>
      </c>
      <c r="Q181">
        <v>1780.85735</v>
      </c>
      <c r="R181">
        <f t="shared" si="23"/>
        <v>8.9042867500000007</v>
      </c>
    </row>
    <row r="182" spans="1:18" x14ac:dyDescent="0.3">
      <c r="A182">
        <v>9.43</v>
      </c>
      <c r="B182">
        <f t="shared" si="17"/>
        <v>1886</v>
      </c>
      <c r="C182">
        <v>0.34100000000000003</v>
      </c>
      <c r="D182" s="1">
        <v>2.505173347890377E-2</v>
      </c>
      <c r="E182">
        <f t="shared" si="18"/>
        <v>1886</v>
      </c>
      <c r="F182">
        <f t="shared" si="19"/>
        <v>2.055173347890377E-2</v>
      </c>
      <c r="I182">
        <f t="shared" si="16"/>
        <v>0.5772378467060626</v>
      </c>
      <c r="K182">
        <f t="shared" si="20"/>
        <v>0.58424598782236881</v>
      </c>
      <c r="L182">
        <f t="shared" si="21"/>
        <v>-0.59566458515364318</v>
      </c>
      <c r="N182">
        <v>1880.60546</v>
      </c>
      <c r="O182">
        <f t="shared" si="22"/>
        <v>9.4030272999999998</v>
      </c>
      <c r="Q182">
        <v>1791.08563</v>
      </c>
      <c r="R182">
        <f t="shared" si="23"/>
        <v>8.9554281499999995</v>
      </c>
    </row>
    <row r="183" spans="1:18" x14ac:dyDescent="0.3">
      <c r="A183">
        <v>9.48</v>
      </c>
      <c r="B183">
        <f t="shared" si="17"/>
        <v>1896</v>
      </c>
      <c r="C183">
        <v>0.33900000000000002</v>
      </c>
      <c r="D183" s="1">
        <v>2.4565804749727249E-2</v>
      </c>
      <c r="E183">
        <f t="shared" si="18"/>
        <v>1896</v>
      </c>
      <c r="F183">
        <f t="shared" si="19"/>
        <v>2.0065804749727249E-2</v>
      </c>
      <c r="I183">
        <f t="shared" si="16"/>
        <v>0.57188382902741441</v>
      </c>
      <c r="K183">
        <f t="shared" si="20"/>
        <v>0.57868613683757197</v>
      </c>
      <c r="L183">
        <f t="shared" si="21"/>
        <v>-0.60122443613844001</v>
      </c>
      <c r="N183">
        <v>1890.99296</v>
      </c>
      <c r="O183">
        <f t="shared" si="22"/>
        <v>9.4549648000000008</v>
      </c>
      <c r="Q183">
        <v>1800.7293199999999</v>
      </c>
      <c r="R183">
        <f t="shared" si="23"/>
        <v>9.0036465999999997</v>
      </c>
    </row>
    <row r="184" spans="1:18" x14ac:dyDescent="0.3">
      <c r="A184">
        <v>9.5299999999999994</v>
      </c>
      <c r="B184">
        <f t="shared" si="17"/>
        <v>1905.9999999999998</v>
      </c>
      <c r="C184">
        <v>0.33700000000000002</v>
      </c>
      <c r="D184" s="1">
        <v>2.4296250194311142E-2</v>
      </c>
      <c r="E184">
        <f t="shared" si="18"/>
        <v>1905.9999999999998</v>
      </c>
      <c r="F184">
        <f t="shared" si="19"/>
        <v>1.9796250194311141E-2</v>
      </c>
      <c r="I184">
        <f t="shared" si="16"/>
        <v>0.56854326435178515</v>
      </c>
      <c r="K184">
        <f t="shared" si="20"/>
        <v>0.57521460066726804</v>
      </c>
      <c r="L184">
        <f t="shared" si="21"/>
        <v>-0.60469597230874395</v>
      </c>
      <c r="N184">
        <v>1901.0748000000001</v>
      </c>
      <c r="O184">
        <f t="shared" si="22"/>
        <v>9.5053739999999998</v>
      </c>
      <c r="Q184">
        <v>1810.6652300000001</v>
      </c>
      <c r="R184">
        <f t="shared" si="23"/>
        <v>9.0533261500000002</v>
      </c>
    </row>
    <row r="185" spans="1:18" x14ac:dyDescent="0.3">
      <c r="A185">
        <v>9.58</v>
      </c>
      <c r="B185">
        <f t="shared" si="17"/>
        <v>1916</v>
      </c>
      <c r="C185">
        <v>0.33500000000000002</v>
      </c>
      <c r="D185" s="1">
        <v>2.4016488343477249E-2</v>
      </c>
      <c r="E185">
        <f t="shared" si="18"/>
        <v>1916</v>
      </c>
      <c r="F185">
        <f t="shared" si="19"/>
        <v>1.9516488343477249E-2</v>
      </c>
      <c r="I185">
        <f t="shared" si="16"/>
        <v>0.56507795833051211</v>
      </c>
      <c r="K185">
        <f t="shared" si="20"/>
        <v>0.57161598192557694</v>
      </c>
      <c r="L185">
        <f t="shared" si="21"/>
        <v>-0.60829459105043504</v>
      </c>
      <c r="N185">
        <v>1911.1566399999999</v>
      </c>
      <c r="O185">
        <f t="shared" si="22"/>
        <v>9.5557832000000005</v>
      </c>
      <c r="Q185">
        <v>1820.40644</v>
      </c>
      <c r="R185">
        <f t="shared" si="23"/>
        <v>9.1020322</v>
      </c>
    </row>
    <row r="186" spans="1:18" x14ac:dyDescent="0.3">
      <c r="A186">
        <v>9.6300000000000008</v>
      </c>
      <c r="B186">
        <f t="shared" si="17"/>
        <v>1926.0000000000002</v>
      </c>
      <c r="C186">
        <v>0.33300000000000002</v>
      </c>
      <c r="D186" s="1">
        <v>2.4950046092271805E-2</v>
      </c>
      <c r="E186">
        <f t="shared" si="18"/>
        <v>1926.0000000000002</v>
      </c>
      <c r="F186">
        <f t="shared" si="19"/>
        <v>2.0450046092271804E-2</v>
      </c>
      <c r="I186">
        <f t="shared" si="16"/>
        <v>0.57326894386857752</v>
      </c>
      <c r="K186">
        <f t="shared" si="20"/>
        <v>0.58007880921730404</v>
      </c>
      <c r="L186">
        <f t="shared" si="21"/>
        <v>-0.59983176375870795</v>
      </c>
      <c r="N186">
        <v>1921.74746</v>
      </c>
      <c r="O186">
        <f t="shared" si="22"/>
        <v>9.6087372999999996</v>
      </c>
      <c r="Q186">
        <v>1830.43967</v>
      </c>
      <c r="R186">
        <f t="shared" si="23"/>
        <v>9.152198349999999</v>
      </c>
    </row>
    <row r="187" spans="1:18" x14ac:dyDescent="0.3">
      <c r="A187">
        <v>9.69</v>
      </c>
      <c r="B187">
        <f t="shared" si="17"/>
        <v>1938</v>
      </c>
      <c r="C187">
        <v>0.33</v>
      </c>
      <c r="D187" s="1">
        <v>2.4746935814619064E-2</v>
      </c>
      <c r="E187">
        <f t="shared" si="18"/>
        <v>1938</v>
      </c>
      <c r="F187">
        <f t="shared" si="19"/>
        <v>2.0246935814619064E-2</v>
      </c>
      <c r="I187">
        <f t="shared" si="16"/>
        <v>0.56979780804365876</v>
      </c>
      <c r="K187">
        <f t="shared" si="20"/>
        <v>0.576479296862483</v>
      </c>
      <c r="L187">
        <f t="shared" si="21"/>
        <v>-0.60343127611352898</v>
      </c>
      <c r="N187">
        <v>1931.9312600000001</v>
      </c>
      <c r="O187">
        <f t="shared" si="22"/>
        <v>9.6596563</v>
      </c>
    </row>
    <row r="188" spans="1:18" x14ac:dyDescent="0.3">
      <c r="A188">
        <v>9.74</v>
      </c>
      <c r="B188">
        <f t="shared" si="17"/>
        <v>1948</v>
      </c>
      <c r="C188">
        <v>0.32800000000000001</v>
      </c>
      <c r="D188" s="1">
        <v>2.47977115213871E-2</v>
      </c>
      <c r="E188">
        <f t="shared" si="18"/>
        <v>1948</v>
      </c>
      <c r="F188">
        <f t="shared" si="19"/>
        <v>2.02977115213871E-2</v>
      </c>
      <c r="I188">
        <f t="shared" si="16"/>
        <v>0.56952971021831034</v>
      </c>
      <c r="K188">
        <f t="shared" si="20"/>
        <v>0.57618735959732525</v>
      </c>
      <c r="L188">
        <f t="shared" si="21"/>
        <v>-0.60372321337868673</v>
      </c>
      <c r="N188">
        <v>1942.4203199999999</v>
      </c>
      <c r="O188">
        <f t="shared" si="22"/>
        <v>9.7121016000000004</v>
      </c>
    </row>
    <row r="189" spans="1:18" x14ac:dyDescent="0.3">
      <c r="A189">
        <v>9.7899999999999991</v>
      </c>
      <c r="B189">
        <f t="shared" si="17"/>
        <v>1957.9999999999998</v>
      </c>
      <c r="C189">
        <v>0.32700000000000001</v>
      </c>
      <c r="D189" s="1">
        <v>2.4553913623094559E-2</v>
      </c>
      <c r="E189">
        <f t="shared" si="18"/>
        <v>1957.9999999999998</v>
      </c>
      <c r="F189">
        <f t="shared" si="19"/>
        <v>2.0053913623094558E-2</v>
      </c>
      <c r="I189">
        <f t="shared" si="16"/>
        <v>0.56738281437009574</v>
      </c>
      <c r="K189">
        <f t="shared" si="20"/>
        <v>0.57394044412484768</v>
      </c>
      <c r="L189">
        <f t="shared" si="21"/>
        <v>-0.6059701288511643</v>
      </c>
      <c r="N189">
        <v>1952.70606</v>
      </c>
      <c r="O189">
        <f t="shared" si="22"/>
        <v>9.7635302999999993</v>
      </c>
    </row>
    <row r="190" spans="1:18" x14ac:dyDescent="0.3">
      <c r="A190">
        <v>9.84</v>
      </c>
      <c r="B190">
        <f t="shared" si="17"/>
        <v>1968</v>
      </c>
      <c r="C190">
        <v>0.32400000000000001</v>
      </c>
      <c r="D190" s="1">
        <v>2.4869997054338455E-2</v>
      </c>
      <c r="E190">
        <f t="shared" si="18"/>
        <v>1968</v>
      </c>
      <c r="F190">
        <f t="shared" si="19"/>
        <v>2.0369997054338455E-2</v>
      </c>
      <c r="I190">
        <f t="shared" si="16"/>
        <v>0.56872077101469043</v>
      </c>
      <c r="K190">
        <f t="shared" si="20"/>
        <v>0.57532065006029609</v>
      </c>
      <c r="L190">
        <f t="shared" si="21"/>
        <v>-0.60458992291571589</v>
      </c>
      <c r="N190">
        <v>1962.8894600000001</v>
      </c>
      <c r="O190">
        <f t="shared" si="22"/>
        <v>9.8144473000000012</v>
      </c>
    </row>
    <row r="191" spans="1:18" x14ac:dyDescent="0.3">
      <c r="A191">
        <v>9.9</v>
      </c>
      <c r="B191">
        <f t="shared" si="17"/>
        <v>1980</v>
      </c>
      <c r="C191">
        <v>0.32200000000000001</v>
      </c>
      <c r="D191" s="1">
        <v>2.4348245933651924E-2</v>
      </c>
      <c r="E191">
        <f t="shared" si="18"/>
        <v>1980</v>
      </c>
      <c r="F191">
        <f t="shared" si="19"/>
        <v>1.9848245933651924E-2</v>
      </c>
      <c r="I191">
        <f t="shared" si="16"/>
        <v>0.56304763474315411</v>
      </c>
      <c r="K191">
        <f t="shared" si="20"/>
        <v>0.56943876993379006</v>
      </c>
      <c r="L191">
        <f t="shared" si="21"/>
        <v>-0.61047180304222193</v>
      </c>
      <c r="N191">
        <v>1973.0732399999999</v>
      </c>
      <c r="O191">
        <f t="shared" si="22"/>
        <v>9.8653662000000004</v>
      </c>
    </row>
    <row r="192" spans="1:18" x14ac:dyDescent="0.3">
      <c r="A192">
        <v>9.9499999999999993</v>
      </c>
      <c r="B192">
        <f t="shared" si="17"/>
        <v>1989.9999999999998</v>
      </c>
      <c r="C192">
        <v>0.32</v>
      </c>
      <c r="D192" s="1">
        <v>2.5444960221648216E-2</v>
      </c>
      <c r="E192">
        <f t="shared" si="18"/>
        <v>1989.9999999999998</v>
      </c>
      <c r="F192">
        <f t="shared" si="19"/>
        <v>2.0944960221648216E-2</v>
      </c>
      <c r="I192">
        <f t="shared" si="16"/>
        <v>0.57317735420539973</v>
      </c>
      <c r="K192">
        <f t="shared" si="20"/>
        <v>0.57987974147632715</v>
      </c>
      <c r="L192">
        <f t="shared" si="21"/>
        <v>-0.60003083149968484</v>
      </c>
      <c r="N192">
        <v>1983.25684</v>
      </c>
      <c r="O192">
        <f t="shared" si="22"/>
        <v>9.9162841999999998</v>
      </c>
    </row>
    <row r="193" spans="1:15" x14ac:dyDescent="0.3">
      <c r="A193">
        <v>10</v>
      </c>
      <c r="B193">
        <f t="shared" si="17"/>
        <v>2000</v>
      </c>
      <c r="C193">
        <v>0.317</v>
      </c>
      <c r="D193" s="1">
        <v>2.464304119348526E-2</v>
      </c>
      <c r="E193">
        <f t="shared" si="18"/>
        <v>2000</v>
      </c>
      <c r="F193">
        <f t="shared" si="19"/>
        <v>2.0143041193485259E-2</v>
      </c>
      <c r="I193">
        <f t="shared" si="16"/>
        <v>0.56343041193485255</v>
      </c>
      <c r="K193">
        <f t="shared" si="20"/>
        <v>0.56981575599318735</v>
      </c>
      <c r="L193">
        <f t="shared" si="21"/>
        <v>-0.61009481698282464</v>
      </c>
      <c r="N193">
        <v>1993.6443400000001</v>
      </c>
      <c r="O193">
        <f t="shared" si="22"/>
        <v>9.9682217000000009</v>
      </c>
    </row>
    <row r="194" spans="1:15" x14ac:dyDescent="0.3">
      <c r="A194">
        <v>10</v>
      </c>
      <c r="B194">
        <f t="shared" si="17"/>
        <v>2000</v>
      </c>
      <c r="C194">
        <v>0.315</v>
      </c>
      <c r="D194" s="1">
        <v>2.4760615080595016E-2</v>
      </c>
      <c r="E194">
        <f t="shared" si="18"/>
        <v>2000</v>
      </c>
      <c r="F194">
        <f t="shared" si="19"/>
        <v>2.0260615080595016E-2</v>
      </c>
      <c r="I194">
        <f t="shared" ref="I194:I223" si="24">C194+(D194*A194)</f>
        <v>0.56260615080595011</v>
      </c>
      <c r="K194">
        <f t="shared" si="20"/>
        <v>0.56898824455633756</v>
      </c>
      <c r="L194">
        <f t="shared" si="21"/>
        <v>-0.61092232841967442</v>
      </c>
      <c r="N194">
        <v>2004.2352000000001</v>
      </c>
      <c r="O194">
        <f t="shared" si="22"/>
        <v>10.021176000000001</v>
      </c>
    </row>
    <row r="195" spans="1:15" x14ac:dyDescent="0.3">
      <c r="A195">
        <v>10.1</v>
      </c>
      <c r="B195">
        <f t="shared" ref="B195:B223" si="25">A195*200</f>
        <v>2020</v>
      </c>
      <c r="C195">
        <v>0.313</v>
      </c>
      <c r="D195" s="1">
        <v>2.4760615080595016E-2</v>
      </c>
      <c r="E195">
        <f t="shared" ref="E195:E223" si="26">B195</f>
        <v>2020</v>
      </c>
      <c r="F195">
        <f t="shared" ref="F195" si="27">D195-0.0045</f>
        <v>2.0260615080595016E-2</v>
      </c>
      <c r="I195">
        <f t="shared" si="24"/>
        <v>0.56308221231400968</v>
      </c>
      <c r="K195">
        <f t="shared" ref="K195:K223" si="28">I195+(F195*C195)</f>
        <v>0.56942378483423595</v>
      </c>
      <c r="L195">
        <f t="shared" ref="L195:L223" si="29">K195-$I$1</f>
        <v>-0.61048678814177604</v>
      </c>
      <c r="N195">
        <v>2014.4190000000001</v>
      </c>
      <c r="O195">
        <f t="shared" ref="O195:O232" si="30">N195/200</f>
        <v>10.072095000000001</v>
      </c>
    </row>
    <row r="196" spans="1:15" x14ac:dyDescent="0.3">
      <c r="A196">
        <v>10.199999999999999</v>
      </c>
      <c r="B196">
        <f t="shared" si="25"/>
        <v>2039.9999999999998</v>
      </c>
      <c r="C196">
        <v>0.311</v>
      </c>
      <c r="D196" s="1">
        <v>2.4E-2</v>
      </c>
      <c r="E196">
        <f t="shared" si="26"/>
        <v>2039.9999999999998</v>
      </c>
      <c r="F196">
        <v>2.0369997054338455E-2</v>
      </c>
      <c r="I196">
        <f t="shared" si="24"/>
        <v>0.55579999999999996</v>
      </c>
      <c r="K196">
        <f t="shared" si="28"/>
        <v>0.56213506908389921</v>
      </c>
      <c r="L196">
        <f t="shared" si="29"/>
        <v>-0.61777550389211278</v>
      </c>
      <c r="N196">
        <v>2024.6025999999999</v>
      </c>
      <c r="O196">
        <f t="shared" si="30"/>
        <v>10.123013</v>
      </c>
    </row>
    <row r="197" spans="1:15" x14ac:dyDescent="0.3">
      <c r="A197">
        <v>10.199999999999999</v>
      </c>
      <c r="B197">
        <f t="shared" si="25"/>
        <v>2039.9999999999998</v>
      </c>
      <c r="C197">
        <v>0.309</v>
      </c>
      <c r="D197" s="1">
        <v>2.4E-2</v>
      </c>
      <c r="E197">
        <f t="shared" si="26"/>
        <v>2039.9999999999998</v>
      </c>
      <c r="F197">
        <v>1.9848245933651924E-2</v>
      </c>
      <c r="I197">
        <f t="shared" si="24"/>
        <v>0.55379999999999996</v>
      </c>
      <c r="K197">
        <f t="shared" si="28"/>
        <v>0.55993310799349838</v>
      </c>
      <c r="L197">
        <f t="shared" si="29"/>
        <v>-0.6199774649825136</v>
      </c>
      <c r="N197">
        <v>2035.0917999999999</v>
      </c>
      <c r="O197">
        <f t="shared" si="30"/>
        <v>10.175459</v>
      </c>
    </row>
    <row r="198" spans="1:15" x14ac:dyDescent="0.3">
      <c r="A198">
        <v>10.3</v>
      </c>
      <c r="B198">
        <f t="shared" si="25"/>
        <v>2060</v>
      </c>
      <c r="C198">
        <v>0.30599999999999999</v>
      </c>
      <c r="D198" s="1">
        <v>2.4E-2</v>
      </c>
      <c r="E198">
        <f t="shared" si="26"/>
        <v>2060</v>
      </c>
      <c r="F198">
        <v>2.0944960221648216E-2</v>
      </c>
      <c r="I198">
        <f t="shared" si="24"/>
        <v>0.55320000000000003</v>
      </c>
      <c r="K198">
        <f t="shared" si="28"/>
        <v>0.55960915782782439</v>
      </c>
      <c r="L198">
        <f t="shared" si="29"/>
        <v>-0.6203014151481876</v>
      </c>
      <c r="N198">
        <v>2045.1733999999999</v>
      </c>
      <c r="O198">
        <f t="shared" si="30"/>
        <v>10.225866999999999</v>
      </c>
    </row>
    <row r="199" spans="1:15" x14ac:dyDescent="0.3">
      <c r="A199">
        <v>10.3</v>
      </c>
      <c r="B199">
        <f t="shared" si="25"/>
        <v>2060</v>
      </c>
      <c r="C199">
        <v>0.30399999999999999</v>
      </c>
      <c r="D199" s="1">
        <v>2.4E-2</v>
      </c>
      <c r="E199">
        <f t="shared" si="26"/>
        <v>2060</v>
      </c>
      <c r="F199">
        <v>2.0143041193485259E-2</v>
      </c>
      <c r="I199">
        <f t="shared" si="24"/>
        <v>0.55120000000000002</v>
      </c>
      <c r="K199">
        <f t="shared" si="28"/>
        <v>0.55732348452281955</v>
      </c>
      <c r="L199">
        <f t="shared" si="29"/>
        <v>-0.62258708845319244</v>
      </c>
      <c r="N199">
        <v>2056.0700000000002</v>
      </c>
      <c r="O199">
        <f t="shared" si="30"/>
        <v>10.28035</v>
      </c>
    </row>
    <row r="200" spans="1:15" x14ac:dyDescent="0.3">
      <c r="A200">
        <v>10.4</v>
      </c>
      <c r="B200">
        <f t="shared" si="25"/>
        <v>2080</v>
      </c>
      <c r="C200">
        <v>0.30099999999999999</v>
      </c>
      <c r="D200" s="1">
        <v>2.4E-2</v>
      </c>
      <c r="E200">
        <f t="shared" si="26"/>
        <v>2080</v>
      </c>
      <c r="F200">
        <v>1.9744915693998336E-2</v>
      </c>
      <c r="I200">
        <f t="shared" si="24"/>
        <v>0.55059999999999998</v>
      </c>
      <c r="K200">
        <f t="shared" si="28"/>
        <v>0.55654321962389353</v>
      </c>
      <c r="L200">
        <f t="shared" si="29"/>
        <v>-0.62336735335211846</v>
      </c>
      <c r="N200">
        <v>2066.1518000000001</v>
      </c>
      <c r="O200">
        <f t="shared" si="30"/>
        <v>10.330759</v>
      </c>
    </row>
    <row r="201" spans="1:15" x14ac:dyDescent="0.3">
      <c r="A201">
        <v>10.4</v>
      </c>
      <c r="B201">
        <f t="shared" si="25"/>
        <v>2080</v>
      </c>
      <c r="C201">
        <v>0.29899999999999999</v>
      </c>
      <c r="D201" s="1">
        <v>2.4E-2</v>
      </c>
      <c r="E201">
        <f t="shared" si="26"/>
        <v>2080</v>
      </c>
      <c r="F201">
        <v>1.9829442530870437E-2</v>
      </c>
      <c r="I201">
        <f t="shared" si="24"/>
        <v>0.54859999999999998</v>
      </c>
      <c r="K201">
        <f t="shared" si="28"/>
        <v>0.55452900331673027</v>
      </c>
      <c r="L201">
        <f t="shared" si="29"/>
        <v>-0.62538156965928171</v>
      </c>
      <c r="N201">
        <v>2076.2338</v>
      </c>
      <c r="O201">
        <f t="shared" si="30"/>
        <v>10.381169</v>
      </c>
    </row>
    <row r="202" spans="1:15" x14ac:dyDescent="0.3">
      <c r="A202">
        <v>10.5</v>
      </c>
      <c r="B202">
        <f t="shared" si="25"/>
        <v>2100</v>
      </c>
      <c r="C202">
        <v>0.29699999999999999</v>
      </c>
      <c r="D202" s="1">
        <v>2.4E-2</v>
      </c>
      <c r="E202">
        <f t="shared" si="26"/>
        <v>2100</v>
      </c>
      <c r="F202">
        <v>2.0236572057008743E-2</v>
      </c>
      <c r="I202">
        <f t="shared" si="24"/>
        <v>0.54899999999999993</v>
      </c>
      <c r="K202">
        <f t="shared" si="28"/>
        <v>0.5550102619009315</v>
      </c>
      <c r="L202">
        <f t="shared" si="29"/>
        <v>-0.62490031107508048</v>
      </c>
      <c r="N202">
        <v>2086.5194000000001</v>
      </c>
      <c r="O202">
        <f t="shared" si="30"/>
        <v>10.432597000000001</v>
      </c>
    </row>
    <row r="203" spans="1:15" x14ac:dyDescent="0.3">
      <c r="A203">
        <v>10.5</v>
      </c>
      <c r="B203">
        <f t="shared" si="25"/>
        <v>2100</v>
      </c>
      <c r="C203">
        <v>0.29499999999999998</v>
      </c>
      <c r="D203" s="1">
        <v>2.4E-2</v>
      </c>
      <c r="E203">
        <f t="shared" si="26"/>
        <v>2100</v>
      </c>
      <c r="F203">
        <v>1.9775474250316619E-2</v>
      </c>
      <c r="I203">
        <f t="shared" si="24"/>
        <v>0.54699999999999993</v>
      </c>
      <c r="K203">
        <f t="shared" si="28"/>
        <v>0.55283376490384328</v>
      </c>
      <c r="L203">
        <f t="shared" si="29"/>
        <v>-0.6270768080721687</v>
      </c>
      <c r="N203">
        <v>2097.1102000000001</v>
      </c>
      <c r="O203">
        <f t="shared" si="30"/>
        <v>10.485551000000001</v>
      </c>
    </row>
    <row r="204" spans="1:15" x14ac:dyDescent="0.3">
      <c r="A204">
        <v>10.6</v>
      </c>
      <c r="B204">
        <f t="shared" si="25"/>
        <v>2120</v>
      </c>
      <c r="C204">
        <v>0.29299999999999998</v>
      </c>
      <c r="D204" s="1">
        <v>2.4E-2</v>
      </c>
      <c r="E204">
        <f t="shared" si="26"/>
        <v>2120</v>
      </c>
      <c r="F204">
        <v>1.9688827723264694E-2</v>
      </c>
      <c r="I204">
        <f t="shared" si="24"/>
        <v>0.5474</v>
      </c>
      <c r="K204">
        <f t="shared" si="28"/>
        <v>0.55316882652291655</v>
      </c>
      <c r="L204">
        <f t="shared" si="29"/>
        <v>-0.62674174645309544</v>
      </c>
      <c r="N204">
        <v>2107.2939999999999</v>
      </c>
      <c r="O204">
        <f t="shared" si="30"/>
        <v>10.53647</v>
      </c>
    </row>
    <row r="205" spans="1:15" x14ac:dyDescent="0.3">
      <c r="A205">
        <v>10.6</v>
      </c>
      <c r="B205">
        <f t="shared" si="25"/>
        <v>2120</v>
      </c>
      <c r="C205">
        <v>0.29099999999999998</v>
      </c>
      <c r="D205" s="1">
        <v>2.4E-2</v>
      </c>
      <c r="E205">
        <f t="shared" si="26"/>
        <v>2120</v>
      </c>
      <c r="F205">
        <v>2.0091587483882904E-2</v>
      </c>
      <c r="I205">
        <f t="shared" si="24"/>
        <v>0.5454</v>
      </c>
      <c r="K205">
        <f t="shared" si="28"/>
        <v>0.55124665195780997</v>
      </c>
      <c r="L205">
        <f t="shared" si="29"/>
        <v>-0.62866392101820201</v>
      </c>
      <c r="N205">
        <v>2117.4776000000002</v>
      </c>
      <c r="O205">
        <f t="shared" si="30"/>
        <v>10.587388000000001</v>
      </c>
    </row>
    <row r="206" spans="1:15" x14ac:dyDescent="0.3">
      <c r="A206">
        <v>10.7</v>
      </c>
      <c r="B206">
        <f t="shared" si="25"/>
        <v>2140</v>
      </c>
      <c r="C206">
        <v>0.28799999999999998</v>
      </c>
      <c r="D206" s="1">
        <v>2.4E-2</v>
      </c>
      <c r="E206">
        <f t="shared" si="26"/>
        <v>2140</v>
      </c>
      <c r="F206">
        <v>2.0372282519936561E-2</v>
      </c>
      <c r="I206">
        <f t="shared" si="24"/>
        <v>0.54479999999999995</v>
      </c>
      <c r="K206">
        <f t="shared" si="28"/>
        <v>0.55066721736574165</v>
      </c>
      <c r="L206">
        <f t="shared" si="29"/>
        <v>-0.62924335561027034</v>
      </c>
      <c r="N206">
        <v>2127.6614</v>
      </c>
      <c r="O206">
        <f t="shared" si="30"/>
        <v>10.638306999999999</v>
      </c>
    </row>
    <row r="207" spans="1:15" x14ac:dyDescent="0.3">
      <c r="A207">
        <v>10.7</v>
      </c>
      <c r="B207">
        <f t="shared" si="25"/>
        <v>2140</v>
      </c>
      <c r="C207">
        <v>0.28599999999999998</v>
      </c>
      <c r="D207" s="1">
        <v>2.4E-2</v>
      </c>
      <c r="E207">
        <f t="shared" si="26"/>
        <v>2140</v>
      </c>
      <c r="F207">
        <v>2.0065804749727249E-2</v>
      </c>
      <c r="I207">
        <f t="shared" si="24"/>
        <v>0.54279999999999995</v>
      </c>
      <c r="K207">
        <f t="shared" si="28"/>
        <v>0.54853882015842192</v>
      </c>
      <c r="L207">
        <f t="shared" si="29"/>
        <v>-0.63137175281759006</v>
      </c>
      <c r="N207">
        <v>2138.6596</v>
      </c>
      <c r="O207">
        <f t="shared" si="30"/>
        <v>10.693298</v>
      </c>
    </row>
    <row r="208" spans="1:15" x14ac:dyDescent="0.3">
      <c r="A208">
        <v>10.8</v>
      </c>
      <c r="B208">
        <f t="shared" si="25"/>
        <v>2160</v>
      </c>
      <c r="C208">
        <v>0.28399999999999997</v>
      </c>
      <c r="D208" s="1">
        <v>2.4E-2</v>
      </c>
      <c r="E208">
        <f t="shared" si="26"/>
        <v>2160</v>
      </c>
      <c r="F208">
        <v>1.9796250194311141E-2</v>
      </c>
      <c r="I208">
        <f t="shared" si="24"/>
        <v>0.54320000000000002</v>
      </c>
      <c r="K208">
        <f t="shared" si="28"/>
        <v>0.5488221350551844</v>
      </c>
      <c r="L208">
        <f t="shared" si="29"/>
        <v>-0.63108843792082758</v>
      </c>
      <c r="N208">
        <v>2149.3524000000002</v>
      </c>
      <c r="O208">
        <f t="shared" si="30"/>
        <v>10.746762</v>
      </c>
    </row>
    <row r="209" spans="1:15" x14ac:dyDescent="0.3">
      <c r="A209">
        <v>10.8</v>
      </c>
      <c r="B209">
        <f t="shared" si="25"/>
        <v>2160</v>
      </c>
      <c r="C209">
        <v>0.28199999999999997</v>
      </c>
      <c r="D209" s="1">
        <v>2.4E-2</v>
      </c>
      <c r="E209">
        <f t="shared" si="26"/>
        <v>2160</v>
      </c>
      <c r="F209">
        <v>1.9516488343477249E-2</v>
      </c>
      <c r="I209">
        <f t="shared" si="24"/>
        <v>0.54120000000000001</v>
      </c>
      <c r="K209">
        <f t="shared" si="28"/>
        <v>0.54670364971286056</v>
      </c>
      <c r="L209">
        <f t="shared" si="29"/>
        <v>-0.63320692326315142</v>
      </c>
      <c r="N209">
        <v>2159.4342000000001</v>
      </c>
      <c r="O209">
        <f t="shared" si="30"/>
        <v>10.797171000000001</v>
      </c>
    </row>
    <row r="210" spans="1:15" x14ac:dyDescent="0.3">
      <c r="A210">
        <v>10.9</v>
      </c>
      <c r="B210">
        <f t="shared" si="25"/>
        <v>2180</v>
      </c>
      <c r="C210">
        <v>0.27900000000000003</v>
      </c>
      <c r="D210" s="1">
        <v>2.4E-2</v>
      </c>
      <c r="E210">
        <f t="shared" si="26"/>
        <v>2180</v>
      </c>
      <c r="F210">
        <v>2.0450046092271804E-2</v>
      </c>
      <c r="I210">
        <f t="shared" si="24"/>
        <v>0.54059999999999997</v>
      </c>
      <c r="K210">
        <f t="shared" si="28"/>
        <v>0.54630556285974385</v>
      </c>
      <c r="L210">
        <f t="shared" si="29"/>
        <v>-0.63360501011626813</v>
      </c>
      <c r="N210">
        <v>2170.0252</v>
      </c>
      <c r="O210">
        <f t="shared" si="30"/>
        <v>10.850125999999999</v>
      </c>
    </row>
    <row r="211" spans="1:15" x14ac:dyDescent="0.3">
      <c r="A211">
        <v>10.9</v>
      </c>
      <c r="B211">
        <f t="shared" si="25"/>
        <v>2180</v>
      </c>
      <c r="C211">
        <v>0.27700000000000002</v>
      </c>
      <c r="D211" s="1">
        <v>2.4E-2</v>
      </c>
      <c r="E211">
        <f t="shared" si="26"/>
        <v>2180</v>
      </c>
      <c r="F211">
        <v>2.0246935814619064E-2</v>
      </c>
      <c r="I211">
        <f t="shared" si="24"/>
        <v>0.53859999999999997</v>
      </c>
      <c r="K211">
        <f t="shared" si="28"/>
        <v>0.5442084012206494</v>
      </c>
      <c r="L211">
        <f t="shared" si="29"/>
        <v>-0.63570217175536259</v>
      </c>
      <c r="N211">
        <v>2180.107</v>
      </c>
      <c r="O211">
        <f t="shared" si="30"/>
        <v>10.900535</v>
      </c>
    </row>
    <row r="212" spans="1:15" x14ac:dyDescent="0.3">
      <c r="A212">
        <v>11</v>
      </c>
      <c r="B212">
        <f t="shared" si="25"/>
        <v>2200</v>
      </c>
      <c r="C212">
        <v>0.27500000000000002</v>
      </c>
      <c r="D212" s="1">
        <v>2.4E-2</v>
      </c>
      <c r="E212">
        <f t="shared" si="26"/>
        <v>2200</v>
      </c>
      <c r="F212">
        <v>2.02977115213871E-2</v>
      </c>
      <c r="I212">
        <f t="shared" si="24"/>
        <v>0.53900000000000003</v>
      </c>
      <c r="K212">
        <f t="shared" si="28"/>
        <v>0.54458187066838148</v>
      </c>
      <c r="L212">
        <f t="shared" si="29"/>
        <v>-0.6353287023076305</v>
      </c>
      <c r="N212">
        <v>2190.6981999999998</v>
      </c>
      <c r="O212">
        <f t="shared" si="30"/>
        <v>10.953491</v>
      </c>
    </row>
    <row r="213" spans="1:15" x14ac:dyDescent="0.3">
      <c r="A213">
        <v>11</v>
      </c>
      <c r="B213">
        <f t="shared" si="25"/>
        <v>2200</v>
      </c>
      <c r="C213">
        <v>0.27200000000000002</v>
      </c>
      <c r="D213" s="1">
        <v>2.4E-2</v>
      </c>
      <c r="E213">
        <f t="shared" si="26"/>
        <v>2200</v>
      </c>
      <c r="F213">
        <v>2.0944960221648216E-2</v>
      </c>
      <c r="I213">
        <f t="shared" si="24"/>
        <v>0.53600000000000003</v>
      </c>
      <c r="K213">
        <f t="shared" si="28"/>
        <v>0.54169702918028839</v>
      </c>
      <c r="L213">
        <f t="shared" si="29"/>
        <v>-0.63821354379572359</v>
      </c>
      <c r="N213">
        <v>2200.7800000000002</v>
      </c>
      <c r="O213">
        <f t="shared" si="30"/>
        <v>11.003900000000002</v>
      </c>
    </row>
    <row r="214" spans="1:15" x14ac:dyDescent="0.3">
      <c r="A214">
        <v>11.1</v>
      </c>
      <c r="B214">
        <f t="shared" si="25"/>
        <v>2220</v>
      </c>
      <c r="C214">
        <v>0.27</v>
      </c>
      <c r="D214" s="1">
        <v>2.4E-2</v>
      </c>
      <c r="E214">
        <f t="shared" si="26"/>
        <v>2220</v>
      </c>
      <c r="F214">
        <v>2.0143041193485259E-2</v>
      </c>
      <c r="I214">
        <f t="shared" si="24"/>
        <v>0.53639999999999999</v>
      </c>
      <c r="K214">
        <f t="shared" si="28"/>
        <v>0.54183862112224102</v>
      </c>
      <c r="L214">
        <f t="shared" si="29"/>
        <v>-0.63807195185377097</v>
      </c>
      <c r="N214">
        <v>2211.0654</v>
      </c>
      <c r="O214">
        <f t="shared" si="30"/>
        <v>11.055327</v>
      </c>
    </row>
    <row r="215" spans="1:15" x14ac:dyDescent="0.3">
      <c r="A215">
        <v>11.1</v>
      </c>
      <c r="B215">
        <f t="shared" si="25"/>
        <v>2220</v>
      </c>
      <c r="C215">
        <v>0.26800000000000002</v>
      </c>
      <c r="D215" s="1">
        <v>2.4E-2</v>
      </c>
      <c r="E215">
        <f t="shared" si="26"/>
        <v>2220</v>
      </c>
      <c r="F215">
        <v>1.9744915693998336E-2</v>
      </c>
      <c r="I215">
        <f t="shared" si="24"/>
        <v>0.53439999999999999</v>
      </c>
      <c r="K215">
        <f t="shared" si="28"/>
        <v>0.53969163740599158</v>
      </c>
      <c r="L215">
        <f t="shared" si="29"/>
        <v>-0.64021893557002041</v>
      </c>
      <c r="N215">
        <v>2221.1469999999999</v>
      </c>
      <c r="O215">
        <f t="shared" si="30"/>
        <v>11.105734999999999</v>
      </c>
    </row>
    <row r="216" spans="1:15" x14ac:dyDescent="0.3">
      <c r="A216">
        <v>11.2</v>
      </c>
      <c r="B216">
        <f t="shared" si="25"/>
        <v>2240</v>
      </c>
      <c r="C216">
        <v>0.26500000000000001</v>
      </c>
      <c r="D216" s="1">
        <v>2.4E-2</v>
      </c>
      <c r="E216">
        <f t="shared" si="26"/>
        <v>2240</v>
      </c>
      <c r="F216">
        <v>1.9829442530870437E-2</v>
      </c>
      <c r="I216">
        <f t="shared" si="24"/>
        <v>0.53380000000000005</v>
      </c>
      <c r="K216">
        <f t="shared" si="28"/>
        <v>0.5390548022706807</v>
      </c>
      <c r="L216">
        <f t="shared" si="29"/>
        <v>-0.64085577070533128</v>
      </c>
      <c r="N216">
        <v>2231.6363999999999</v>
      </c>
      <c r="O216">
        <f t="shared" si="30"/>
        <v>11.158182</v>
      </c>
    </row>
    <row r="217" spans="1:15" x14ac:dyDescent="0.3">
      <c r="A217">
        <v>11.2</v>
      </c>
      <c r="B217">
        <f t="shared" si="25"/>
        <v>2240</v>
      </c>
      <c r="C217">
        <v>0.26300000000000001</v>
      </c>
      <c r="D217" s="1">
        <v>2.4E-2</v>
      </c>
      <c r="E217">
        <f t="shared" si="26"/>
        <v>2240</v>
      </c>
      <c r="F217">
        <v>2.0236572057008743E-2</v>
      </c>
      <c r="I217">
        <f t="shared" si="24"/>
        <v>0.53180000000000005</v>
      </c>
      <c r="K217">
        <f t="shared" si="28"/>
        <v>0.53712221845099339</v>
      </c>
      <c r="L217">
        <f t="shared" si="29"/>
        <v>-0.64278835452501859</v>
      </c>
      <c r="N217">
        <v>2241.8200000000002</v>
      </c>
      <c r="O217">
        <f t="shared" si="30"/>
        <v>11.209100000000001</v>
      </c>
    </row>
    <row r="218" spans="1:15" x14ac:dyDescent="0.3">
      <c r="A218">
        <v>11.3</v>
      </c>
      <c r="B218">
        <f t="shared" si="25"/>
        <v>2260</v>
      </c>
      <c r="C218">
        <v>0.26100000000000001</v>
      </c>
      <c r="D218" s="1">
        <v>2.4E-2</v>
      </c>
      <c r="E218">
        <f t="shared" si="26"/>
        <v>2260</v>
      </c>
      <c r="F218">
        <v>1.9775474250316619E-2</v>
      </c>
      <c r="I218">
        <f t="shared" si="24"/>
        <v>0.53220000000000001</v>
      </c>
      <c r="K218">
        <f t="shared" si="28"/>
        <v>0.53736139877933264</v>
      </c>
      <c r="L218">
        <f t="shared" si="29"/>
        <v>-0.64254917419667934</v>
      </c>
      <c r="N218">
        <v>2252.3092000000001</v>
      </c>
      <c r="O218">
        <f t="shared" si="30"/>
        <v>11.261546000000001</v>
      </c>
    </row>
    <row r="219" spans="1:15" x14ac:dyDescent="0.3">
      <c r="A219">
        <v>11.4</v>
      </c>
      <c r="B219">
        <f t="shared" si="25"/>
        <v>2280</v>
      </c>
      <c r="C219">
        <v>0.25900000000000001</v>
      </c>
      <c r="D219" s="1">
        <v>2.4E-2</v>
      </c>
      <c r="E219">
        <f t="shared" si="26"/>
        <v>2280</v>
      </c>
      <c r="F219">
        <v>1.9688827723264694E-2</v>
      </c>
      <c r="I219">
        <f t="shared" si="24"/>
        <v>0.53259999999999996</v>
      </c>
      <c r="K219">
        <f t="shared" si="28"/>
        <v>0.53769940638032554</v>
      </c>
      <c r="L219">
        <f t="shared" si="29"/>
        <v>-0.64221116659568644</v>
      </c>
      <c r="N219">
        <v>2262.4929999999999</v>
      </c>
      <c r="O219">
        <f t="shared" si="30"/>
        <v>11.312465</v>
      </c>
    </row>
    <row r="220" spans="1:15" x14ac:dyDescent="0.3">
      <c r="A220">
        <v>11.4</v>
      </c>
      <c r="B220">
        <f t="shared" si="25"/>
        <v>2280</v>
      </c>
      <c r="C220">
        <v>0.25600000000000001</v>
      </c>
      <c r="D220" s="1">
        <v>2.4E-2</v>
      </c>
      <c r="E220">
        <f t="shared" si="26"/>
        <v>2280</v>
      </c>
      <c r="F220">
        <v>2.0091587483882904E-2</v>
      </c>
      <c r="I220">
        <f t="shared" si="24"/>
        <v>0.52960000000000007</v>
      </c>
      <c r="K220">
        <f t="shared" si="28"/>
        <v>0.53474344639587412</v>
      </c>
      <c r="L220">
        <f t="shared" si="29"/>
        <v>-0.64516712658013786</v>
      </c>
      <c r="N220">
        <v>2272.982</v>
      </c>
      <c r="O220">
        <f t="shared" si="30"/>
        <v>11.36491</v>
      </c>
    </row>
    <row r="221" spans="1:15" x14ac:dyDescent="0.3">
      <c r="A221">
        <v>11.5</v>
      </c>
      <c r="B221">
        <f t="shared" si="25"/>
        <v>2300</v>
      </c>
      <c r="C221">
        <v>0.254</v>
      </c>
      <c r="D221" s="1">
        <v>2.4E-2</v>
      </c>
      <c r="E221">
        <f t="shared" si="26"/>
        <v>2300</v>
      </c>
      <c r="F221">
        <v>2.0944960221648216E-2</v>
      </c>
      <c r="I221">
        <f t="shared" si="24"/>
        <v>0.53</v>
      </c>
      <c r="K221">
        <f t="shared" si="28"/>
        <v>0.53532001989629863</v>
      </c>
      <c r="L221">
        <f t="shared" si="29"/>
        <v>-0.64459055307971336</v>
      </c>
      <c r="N221">
        <v>2283.1658000000002</v>
      </c>
      <c r="O221">
        <f t="shared" si="30"/>
        <v>11.415829</v>
      </c>
    </row>
    <row r="222" spans="1:15" x14ac:dyDescent="0.3">
      <c r="A222">
        <v>11.5</v>
      </c>
      <c r="B222">
        <f t="shared" si="25"/>
        <v>2300</v>
      </c>
      <c r="C222">
        <v>0.252</v>
      </c>
      <c r="D222" s="1">
        <v>2.4E-2</v>
      </c>
      <c r="E222">
        <f t="shared" si="26"/>
        <v>2300</v>
      </c>
      <c r="F222">
        <v>2.0143041193485259E-2</v>
      </c>
      <c r="I222">
        <f t="shared" si="24"/>
        <v>0.52800000000000002</v>
      </c>
      <c r="K222">
        <f t="shared" si="28"/>
        <v>0.53307604638075834</v>
      </c>
      <c r="L222">
        <f t="shared" si="29"/>
        <v>-0.64683452659525364</v>
      </c>
      <c r="N222">
        <v>2293.4512</v>
      </c>
      <c r="O222">
        <f t="shared" si="30"/>
        <v>11.467255999999999</v>
      </c>
    </row>
    <row r="223" spans="1:15" x14ac:dyDescent="0.3">
      <c r="A223">
        <v>11.5</v>
      </c>
      <c r="B223">
        <f t="shared" si="25"/>
        <v>2300</v>
      </c>
      <c r="C223">
        <v>0.252</v>
      </c>
      <c r="D223" s="1">
        <v>2.4E-2</v>
      </c>
      <c r="E223">
        <f t="shared" si="26"/>
        <v>2300</v>
      </c>
      <c r="F223">
        <v>1.9744915693998336E-2</v>
      </c>
      <c r="I223">
        <f t="shared" si="24"/>
        <v>0.52800000000000002</v>
      </c>
      <c r="K223">
        <f t="shared" si="28"/>
        <v>0.53297571875488758</v>
      </c>
      <c r="L223">
        <f t="shared" si="29"/>
        <v>-0.6469348542211244</v>
      </c>
      <c r="N223">
        <v>2303.5331999999999</v>
      </c>
      <c r="O223">
        <f t="shared" si="30"/>
        <v>11.517665999999998</v>
      </c>
    </row>
    <row r="224" spans="1:15" x14ac:dyDescent="0.3">
      <c r="N224">
        <v>2314.1242000000002</v>
      </c>
      <c r="O224">
        <f t="shared" si="30"/>
        <v>11.570621000000001</v>
      </c>
    </row>
    <row r="225" spans="14:15" x14ac:dyDescent="0.3">
      <c r="N225">
        <v>2325.4281999999998</v>
      </c>
      <c r="O225">
        <f t="shared" si="30"/>
        <v>11.627141</v>
      </c>
    </row>
    <row r="226" spans="14:15" x14ac:dyDescent="0.3">
      <c r="N226">
        <v>2335.8152</v>
      </c>
      <c r="O226">
        <f t="shared" si="30"/>
        <v>11.679076</v>
      </c>
    </row>
    <row r="227" spans="14:15" x14ac:dyDescent="0.3">
      <c r="N227">
        <v>2345.9987999999998</v>
      </c>
      <c r="O227">
        <f t="shared" si="30"/>
        <v>11.729994</v>
      </c>
    </row>
    <row r="228" spans="14:15" x14ac:dyDescent="0.3">
      <c r="N228">
        <v>2356.7937999999999</v>
      </c>
      <c r="O228">
        <f t="shared" si="30"/>
        <v>11.783968999999999</v>
      </c>
    </row>
    <row r="229" spans="14:15" x14ac:dyDescent="0.3">
      <c r="N229">
        <v>2366.8755999999998</v>
      </c>
      <c r="O229">
        <f t="shared" si="30"/>
        <v>11.834377999999999</v>
      </c>
    </row>
    <row r="230" spans="14:15" x14ac:dyDescent="0.3">
      <c r="N230">
        <v>2377.0594000000001</v>
      </c>
      <c r="O230">
        <f t="shared" si="30"/>
        <v>11.885297000000001</v>
      </c>
    </row>
    <row r="231" spans="14:15" x14ac:dyDescent="0.3">
      <c r="N231">
        <v>2387.1410000000001</v>
      </c>
      <c r="O231">
        <f t="shared" si="30"/>
        <v>11.935705</v>
      </c>
    </row>
    <row r="232" spans="14:15" x14ac:dyDescent="0.3">
      <c r="N232">
        <v>2394.0659999999998</v>
      </c>
      <c r="O232">
        <f t="shared" si="30"/>
        <v>11.970329999999999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2026-04-20T05:11:10Z</dcterms:modified>
</cp:coreProperties>
</file>