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\30K\"/>
    </mc:Choice>
  </mc:AlternateContent>
  <xr:revisionPtr revIDLastSave="0" documentId="13_ncr:1_{7FACA1C9-6CCD-4EFE-AE3F-9F66D325BE72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" i="3"/>
  <c r="F4" i="1" l="1"/>
  <c r="J164" i="1" l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4" i="1"/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6" i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M212" i="1" s="1"/>
  <c r="G212" i="1"/>
  <c r="C213" i="1"/>
  <c r="H213" i="1" s="1"/>
  <c r="F213" i="1"/>
  <c r="M213" i="1" s="1"/>
  <c r="G213" i="1"/>
  <c r="C214" i="1"/>
  <c r="H214" i="1" s="1"/>
  <c r="F214" i="1"/>
  <c r="M214" i="1" s="1"/>
  <c r="G214" i="1"/>
  <c r="C215" i="1"/>
  <c r="H215" i="1" s="1"/>
  <c r="F215" i="1"/>
  <c r="M215" i="1" s="1"/>
  <c r="G215" i="1"/>
  <c r="C216" i="1"/>
  <c r="H216" i="1" s="1"/>
  <c r="F216" i="1"/>
  <c r="M216" i="1" s="1"/>
  <c r="G216" i="1"/>
  <c r="C217" i="1"/>
  <c r="H217" i="1" s="1"/>
  <c r="F217" i="1"/>
  <c r="M217" i="1" s="1"/>
  <c r="G217" i="1"/>
  <c r="C218" i="1"/>
  <c r="H218" i="1" s="1"/>
  <c r="F218" i="1"/>
  <c r="M218" i="1" s="1"/>
  <c r="G218" i="1"/>
  <c r="C219" i="1"/>
  <c r="H219" i="1" s="1"/>
  <c r="F219" i="1"/>
  <c r="M219" i="1" s="1"/>
  <c r="G219" i="1"/>
  <c r="C220" i="1"/>
  <c r="H220" i="1" s="1"/>
  <c r="F220" i="1"/>
  <c r="M220" i="1" s="1"/>
  <c r="G220" i="1"/>
  <c r="C221" i="1"/>
  <c r="H221" i="1" s="1"/>
  <c r="F221" i="1"/>
  <c r="M221" i="1" s="1"/>
  <c r="G221" i="1"/>
  <c r="C222" i="1"/>
  <c r="H222" i="1" s="1"/>
  <c r="F222" i="1"/>
  <c r="M222" i="1" s="1"/>
  <c r="G222" i="1"/>
  <c r="C223" i="1"/>
  <c r="H223" i="1" s="1"/>
  <c r="F223" i="1"/>
  <c r="M223" i="1" s="1"/>
  <c r="G223" i="1"/>
  <c r="C224" i="1"/>
  <c r="H224" i="1" s="1"/>
  <c r="F224" i="1"/>
  <c r="M224" i="1" s="1"/>
  <c r="G224" i="1"/>
  <c r="C225" i="1"/>
  <c r="H225" i="1" s="1"/>
  <c r="F225" i="1"/>
  <c r="M225" i="1" s="1"/>
  <c r="G225" i="1"/>
  <c r="C226" i="1"/>
  <c r="H226" i="1" s="1"/>
  <c r="F226" i="1"/>
  <c r="M226" i="1" s="1"/>
  <c r="G226" i="1"/>
  <c r="C227" i="1"/>
  <c r="H227" i="1" s="1"/>
  <c r="F227" i="1"/>
  <c r="M227" i="1" s="1"/>
  <c r="G227" i="1"/>
  <c r="C228" i="1"/>
  <c r="H228" i="1" s="1"/>
  <c r="F228" i="1"/>
  <c r="M228" i="1" s="1"/>
  <c r="G228" i="1"/>
  <c r="C229" i="1"/>
  <c r="H229" i="1" s="1"/>
  <c r="F229" i="1"/>
  <c r="M229" i="1" s="1"/>
  <c r="G229" i="1"/>
  <c r="C230" i="1"/>
  <c r="H230" i="1" s="1"/>
  <c r="F230" i="1"/>
  <c r="M230" i="1" s="1"/>
  <c r="G230" i="1"/>
  <c r="C231" i="1"/>
  <c r="H231" i="1" s="1"/>
  <c r="F231" i="1"/>
  <c r="M231" i="1" s="1"/>
  <c r="G231" i="1"/>
  <c r="C232" i="1"/>
  <c r="H232" i="1" s="1"/>
  <c r="F232" i="1"/>
  <c r="M232" i="1" s="1"/>
  <c r="G232" i="1"/>
  <c r="C233" i="1"/>
  <c r="H233" i="1" s="1"/>
  <c r="F233" i="1"/>
  <c r="M233" i="1" s="1"/>
  <c r="G233" i="1"/>
  <c r="C234" i="1"/>
  <c r="H234" i="1" s="1"/>
  <c r="F234" i="1"/>
  <c r="M234" i="1" s="1"/>
  <c r="G234" i="1"/>
  <c r="C235" i="1"/>
  <c r="H235" i="1" s="1"/>
  <c r="F235" i="1"/>
  <c r="M235" i="1" s="1"/>
  <c r="G235" i="1"/>
  <c r="C236" i="1"/>
  <c r="H236" i="1" s="1"/>
  <c r="F236" i="1"/>
  <c r="M236" i="1" s="1"/>
  <c r="G236" i="1"/>
  <c r="C237" i="1"/>
  <c r="H237" i="1" s="1"/>
  <c r="F237" i="1"/>
  <c r="M237" i="1" s="1"/>
  <c r="G237" i="1"/>
  <c r="C238" i="1"/>
  <c r="H238" i="1" s="1"/>
  <c r="F238" i="1"/>
  <c r="M238" i="1" s="1"/>
  <c r="G238" i="1"/>
  <c r="C239" i="1"/>
  <c r="H239" i="1" s="1"/>
  <c r="F239" i="1"/>
  <c r="M239" i="1" s="1"/>
  <c r="G239" i="1"/>
  <c r="C240" i="1"/>
  <c r="H240" i="1" s="1"/>
  <c r="F240" i="1"/>
  <c r="M240" i="1" s="1"/>
  <c r="G240" i="1"/>
  <c r="C241" i="1"/>
  <c r="H241" i="1" s="1"/>
  <c r="F241" i="1"/>
  <c r="M241" i="1" s="1"/>
  <c r="G241" i="1"/>
  <c r="C242" i="1"/>
  <c r="H242" i="1" s="1"/>
  <c r="F242" i="1"/>
  <c r="M242" i="1" s="1"/>
  <c r="G242" i="1"/>
  <c r="C243" i="1"/>
  <c r="H243" i="1" s="1"/>
  <c r="F243" i="1"/>
  <c r="M243" i="1" s="1"/>
  <c r="G243" i="1"/>
  <c r="C244" i="1"/>
  <c r="H244" i="1" s="1"/>
  <c r="F244" i="1"/>
  <c r="M244" i="1" s="1"/>
  <c r="G244" i="1"/>
  <c r="C245" i="1"/>
  <c r="H245" i="1" s="1"/>
  <c r="F245" i="1"/>
  <c r="M245" i="1" s="1"/>
  <c r="G245" i="1"/>
  <c r="C246" i="1"/>
  <c r="H246" i="1" s="1"/>
  <c r="F246" i="1"/>
  <c r="M246" i="1" s="1"/>
  <c r="G246" i="1"/>
  <c r="C247" i="1"/>
  <c r="H247" i="1" s="1"/>
  <c r="F247" i="1"/>
  <c r="M247" i="1" s="1"/>
  <c r="G247" i="1"/>
  <c r="C248" i="1"/>
  <c r="H248" i="1" s="1"/>
  <c r="F248" i="1"/>
  <c r="M248" i="1" s="1"/>
  <c r="G248" i="1"/>
  <c r="C249" i="1"/>
  <c r="H249" i="1" s="1"/>
  <c r="F249" i="1"/>
  <c r="M249" i="1" s="1"/>
  <c r="G249" i="1"/>
  <c r="C250" i="1"/>
  <c r="H250" i="1" s="1"/>
  <c r="F250" i="1"/>
  <c r="M250" i="1" s="1"/>
  <c r="G250" i="1"/>
  <c r="C251" i="1"/>
  <c r="H251" i="1" s="1"/>
  <c r="F251" i="1"/>
  <c r="M251" i="1" s="1"/>
  <c r="G251" i="1"/>
  <c r="C252" i="1"/>
  <c r="H252" i="1" s="1"/>
  <c r="F252" i="1"/>
  <c r="M252" i="1" s="1"/>
  <c r="G252" i="1"/>
  <c r="C253" i="1"/>
  <c r="H253" i="1" s="1"/>
  <c r="F253" i="1"/>
  <c r="M253" i="1" s="1"/>
  <c r="G253" i="1"/>
  <c r="C254" i="1"/>
  <c r="H254" i="1" s="1"/>
  <c r="F254" i="1"/>
  <c r="M254" i="1" s="1"/>
  <c r="G254" i="1"/>
  <c r="C255" i="1"/>
  <c r="H255" i="1" s="1"/>
  <c r="F255" i="1"/>
  <c r="M255" i="1" s="1"/>
  <c r="G255" i="1"/>
  <c r="C256" i="1"/>
  <c r="H256" i="1" s="1"/>
  <c r="F256" i="1"/>
  <c r="M256" i="1" s="1"/>
  <c r="G256" i="1"/>
  <c r="C257" i="1"/>
  <c r="H257" i="1" s="1"/>
  <c r="F257" i="1"/>
  <c r="M257" i="1" s="1"/>
  <c r="G257" i="1"/>
  <c r="C258" i="1"/>
  <c r="H258" i="1" s="1"/>
  <c r="F258" i="1"/>
  <c r="M258" i="1" s="1"/>
  <c r="G258" i="1"/>
  <c r="C259" i="1"/>
  <c r="H259" i="1" s="1"/>
  <c r="F259" i="1"/>
  <c r="M259" i="1" s="1"/>
  <c r="G259" i="1"/>
  <c r="C260" i="1"/>
  <c r="H260" i="1" s="1"/>
  <c r="F260" i="1"/>
  <c r="M260" i="1" s="1"/>
  <c r="G260" i="1"/>
  <c r="C261" i="1"/>
  <c r="H261" i="1" s="1"/>
  <c r="F261" i="1"/>
  <c r="M261" i="1" s="1"/>
  <c r="G261" i="1"/>
  <c r="C262" i="1"/>
  <c r="H262" i="1" s="1"/>
  <c r="F262" i="1"/>
  <c r="M262" i="1" s="1"/>
  <c r="G262" i="1"/>
  <c r="C263" i="1"/>
  <c r="H263" i="1" s="1"/>
  <c r="F263" i="1"/>
  <c r="M263" i="1" s="1"/>
  <c r="G263" i="1"/>
  <c r="C264" i="1"/>
  <c r="H264" i="1" s="1"/>
  <c r="F264" i="1"/>
  <c r="M264" i="1" s="1"/>
  <c r="G264" i="1"/>
  <c r="C265" i="1"/>
  <c r="H265" i="1" s="1"/>
  <c r="F265" i="1"/>
  <c r="M265" i="1" s="1"/>
  <c r="G265" i="1"/>
  <c r="C266" i="1"/>
  <c r="H266" i="1" s="1"/>
  <c r="F266" i="1"/>
  <c r="M266" i="1" s="1"/>
  <c r="G266" i="1"/>
  <c r="C267" i="1"/>
  <c r="H267" i="1" s="1"/>
  <c r="F267" i="1"/>
  <c r="M267" i="1" s="1"/>
  <c r="G267" i="1"/>
  <c r="C268" i="1"/>
  <c r="H268" i="1" s="1"/>
  <c r="F268" i="1"/>
  <c r="M268" i="1" s="1"/>
  <c r="G268" i="1"/>
  <c r="C269" i="1"/>
  <c r="H269" i="1" s="1"/>
  <c r="F269" i="1"/>
  <c r="M269" i="1" s="1"/>
  <c r="G269" i="1"/>
  <c r="C270" i="1"/>
  <c r="H270" i="1" s="1"/>
  <c r="F270" i="1"/>
  <c r="M270" i="1" s="1"/>
  <c r="G270" i="1"/>
  <c r="C271" i="1"/>
  <c r="H271" i="1" s="1"/>
  <c r="F271" i="1"/>
  <c r="M271" i="1" s="1"/>
  <c r="G271" i="1"/>
  <c r="C272" i="1"/>
  <c r="H272" i="1" s="1"/>
  <c r="F272" i="1"/>
  <c r="M272" i="1" s="1"/>
  <c r="G272" i="1"/>
  <c r="C273" i="1"/>
  <c r="H273" i="1" s="1"/>
  <c r="F273" i="1"/>
  <c r="M273" i="1" s="1"/>
  <c r="G273" i="1"/>
  <c r="C274" i="1"/>
  <c r="H274" i="1" s="1"/>
  <c r="F274" i="1"/>
  <c r="M274" i="1" s="1"/>
  <c r="G274" i="1"/>
  <c r="C275" i="1"/>
  <c r="H275" i="1" s="1"/>
  <c r="F275" i="1"/>
  <c r="M275" i="1" s="1"/>
  <c r="G275" i="1"/>
  <c r="C276" i="1"/>
  <c r="H276" i="1" s="1"/>
  <c r="F276" i="1"/>
  <c r="M276" i="1" s="1"/>
  <c r="G276" i="1"/>
  <c r="C277" i="1"/>
  <c r="H277" i="1" s="1"/>
  <c r="F277" i="1"/>
  <c r="M277" i="1" s="1"/>
  <c r="G277" i="1"/>
  <c r="C278" i="1"/>
  <c r="H278" i="1" s="1"/>
  <c r="F278" i="1"/>
  <c r="M278" i="1" s="1"/>
  <c r="G278" i="1"/>
  <c r="C279" i="1"/>
  <c r="H279" i="1" s="1"/>
  <c r="F279" i="1"/>
  <c r="M279" i="1" s="1"/>
  <c r="G279" i="1"/>
  <c r="C280" i="1"/>
  <c r="H280" i="1" s="1"/>
  <c r="F280" i="1"/>
  <c r="M280" i="1" s="1"/>
  <c r="G280" i="1"/>
  <c r="C281" i="1"/>
  <c r="H281" i="1" s="1"/>
  <c r="F281" i="1"/>
  <c r="M281" i="1" s="1"/>
  <c r="G281" i="1"/>
  <c r="C282" i="1"/>
  <c r="H282" i="1" s="1"/>
  <c r="F282" i="1"/>
  <c r="M282" i="1" s="1"/>
  <c r="G282" i="1"/>
  <c r="C283" i="1"/>
  <c r="H283" i="1" s="1"/>
  <c r="F283" i="1"/>
  <c r="M283" i="1" s="1"/>
  <c r="G283" i="1"/>
  <c r="C284" i="1"/>
  <c r="H284" i="1" s="1"/>
  <c r="F284" i="1"/>
  <c r="M284" i="1" s="1"/>
  <c r="G284" i="1"/>
  <c r="C285" i="1"/>
  <c r="H285" i="1" s="1"/>
  <c r="F285" i="1"/>
  <c r="M285" i="1" s="1"/>
  <c r="G285" i="1"/>
  <c r="C286" i="1"/>
  <c r="H286" i="1" s="1"/>
  <c r="F286" i="1"/>
  <c r="M286" i="1" s="1"/>
  <c r="G286" i="1"/>
  <c r="C287" i="1"/>
  <c r="H287" i="1" s="1"/>
  <c r="F287" i="1"/>
  <c r="M287" i="1" s="1"/>
  <c r="G287" i="1"/>
  <c r="C288" i="1"/>
  <c r="H288" i="1" s="1"/>
  <c r="F288" i="1"/>
  <c r="M288" i="1" s="1"/>
  <c r="G288" i="1"/>
  <c r="C289" i="1"/>
  <c r="H289" i="1" s="1"/>
  <c r="F289" i="1"/>
  <c r="M289" i="1" s="1"/>
  <c r="G289" i="1"/>
  <c r="C290" i="1"/>
  <c r="H290" i="1" s="1"/>
  <c r="F290" i="1"/>
  <c r="M290" i="1" s="1"/>
  <c r="G290" i="1"/>
  <c r="C291" i="1"/>
  <c r="H291" i="1" s="1"/>
  <c r="F291" i="1"/>
  <c r="M291" i="1" s="1"/>
  <c r="G291" i="1"/>
  <c r="C292" i="1"/>
  <c r="H292" i="1" s="1"/>
  <c r="F292" i="1"/>
  <c r="M292" i="1" s="1"/>
  <c r="G292" i="1"/>
  <c r="C293" i="1"/>
  <c r="H293" i="1" s="1"/>
  <c r="F293" i="1"/>
  <c r="M293" i="1" s="1"/>
  <c r="G293" i="1"/>
  <c r="C294" i="1"/>
  <c r="H294" i="1" s="1"/>
  <c r="F294" i="1"/>
  <c r="M294" i="1" s="1"/>
  <c r="G294" i="1"/>
  <c r="C295" i="1"/>
  <c r="H295" i="1" s="1"/>
  <c r="F295" i="1"/>
  <c r="M295" i="1" s="1"/>
  <c r="G295" i="1"/>
  <c r="C296" i="1"/>
  <c r="H296" i="1" s="1"/>
  <c r="F296" i="1"/>
  <c r="M296" i="1" s="1"/>
  <c r="G296" i="1"/>
  <c r="C297" i="1"/>
  <c r="H297" i="1" s="1"/>
  <c r="F297" i="1"/>
  <c r="M297" i="1" s="1"/>
  <c r="G297" i="1"/>
  <c r="C298" i="1"/>
  <c r="H298" i="1" s="1"/>
  <c r="F298" i="1"/>
  <c r="M298" i="1" s="1"/>
  <c r="G298" i="1"/>
  <c r="C299" i="1"/>
  <c r="H299" i="1" s="1"/>
  <c r="F299" i="1"/>
  <c r="M299" i="1" s="1"/>
  <c r="G299" i="1"/>
  <c r="C300" i="1"/>
  <c r="H300" i="1" s="1"/>
  <c r="F300" i="1"/>
  <c r="M300" i="1" s="1"/>
  <c r="G300" i="1"/>
  <c r="C301" i="1"/>
  <c r="H301" i="1" s="1"/>
  <c r="F301" i="1"/>
  <c r="M301" i="1" s="1"/>
  <c r="G301" i="1"/>
  <c r="C302" i="1"/>
  <c r="H302" i="1" s="1"/>
  <c r="F302" i="1"/>
  <c r="M302" i="1" s="1"/>
  <c r="G302" i="1"/>
  <c r="C303" i="1"/>
  <c r="H303" i="1" s="1"/>
  <c r="F303" i="1"/>
  <c r="M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M188" i="1" s="1"/>
  <c r="G188" i="1"/>
  <c r="F189" i="1"/>
  <c r="M189" i="1" s="1"/>
  <c r="G189" i="1"/>
  <c r="F190" i="1"/>
  <c r="M190" i="1" s="1"/>
  <c r="G190" i="1"/>
  <c r="F191" i="1"/>
  <c r="M191" i="1" s="1"/>
  <c r="G191" i="1"/>
  <c r="F192" i="1"/>
  <c r="M192" i="1" s="1"/>
  <c r="G192" i="1"/>
  <c r="F193" i="1"/>
  <c r="M193" i="1" s="1"/>
  <c r="G193" i="1"/>
  <c r="F194" i="1"/>
  <c r="M194" i="1" s="1"/>
  <c r="G194" i="1"/>
  <c r="F195" i="1"/>
  <c r="M195" i="1" s="1"/>
  <c r="G195" i="1"/>
  <c r="F196" i="1"/>
  <c r="M196" i="1" s="1"/>
  <c r="G196" i="1"/>
  <c r="F197" i="1"/>
  <c r="M197" i="1" s="1"/>
  <c r="G197" i="1"/>
  <c r="F198" i="1"/>
  <c r="M198" i="1" s="1"/>
  <c r="G198" i="1"/>
  <c r="F199" i="1"/>
  <c r="M199" i="1" s="1"/>
  <c r="G199" i="1"/>
  <c r="F200" i="1"/>
  <c r="M200" i="1" s="1"/>
  <c r="G200" i="1"/>
  <c r="F201" i="1"/>
  <c r="M201" i="1" s="1"/>
  <c r="G201" i="1"/>
  <c r="F202" i="1"/>
  <c r="M202" i="1" s="1"/>
  <c r="G202" i="1"/>
  <c r="F203" i="1"/>
  <c r="M203" i="1" s="1"/>
  <c r="G203" i="1"/>
  <c r="F204" i="1"/>
  <c r="M204" i="1" s="1"/>
  <c r="G204" i="1"/>
  <c r="F205" i="1"/>
  <c r="M205" i="1" s="1"/>
  <c r="G205" i="1"/>
  <c r="F206" i="1"/>
  <c r="M206" i="1" s="1"/>
  <c r="G206" i="1"/>
  <c r="F207" i="1"/>
  <c r="M207" i="1" s="1"/>
  <c r="G207" i="1"/>
  <c r="F208" i="1"/>
  <c r="M208" i="1" s="1"/>
  <c r="G208" i="1"/>
  <c r="F209" i="1"/>
  <c r="M209" i="1" s="1"/>
  <c r="G209" i="1"/>
  <c r="F210" i="1"/>
  <c r="M210" i="1" s="1"/>
  <c r="G210" i="1"/>
  <c r="F211" i="1"/>
  <c r="M211" i="1" s="1"/>
  <c r="G211" i="1"/>
  <c r="F5" i="1"/>
  <c r="J5" i="1" s="1"/>
  <c r="G5" i="1"/>
  <c r="F6" i="1"/>
  <c r="J6" i="1" s="1"/>
  <c r="G6" i="1"/>
  <c r="F7" i="1"/>
  <c r="J7" i="1" s="1"/>
  <c r="G7" i="1"/>
  <c r="F8" i="1"/>
  <c r="J8" i="1" s="1"/>
  <c r="G8" i="1"/>
  <c r="F9" i="1"/>
  <c r="J9" i="1" s="1"/>
  <c r="G9" i="1"/>
  <c r="F10" i="1"/>
  <c r="J10" i="1" s="1"/>
  <c r="G10" i="1"/>
  <c r="F11" i="1"/>
  <c r="J11" i="1" s="1"/>
  <c r="G11" i="1"/>
  <c r="F12" i="1"/>
  <c r="J12" i="1" s="1"/>
  <c r="G12" i="1"/>
  <c r="F13" i="1"/>
  <c r="J13" i="1" s="1"/>
  <c r="G13" i="1"/>
  <c r="F14" i="1"/>
  <c r="J14" i="1" s="1"/>
  <c r="G14" i="1"/>
  <c r="F15" i="1"/>
  <c r="J15" i="1" s="1"/>
  <c r="G15" i="1"/>
  <c r="F16" i="1"/>
  <c r="J16" i="1" s="1"/>
  <c r="G16" i="1"/>
  <c r="F17" i="1"/>
  <c r="J17" i="1" s="1"/>
  <c r="G17" i="1"/>
  <c r="F18" i="1"/>
  <c r="J18" i="1" s="1"/>
  <c r="G18" i="1"/>
  <c r="F19" i="1"/>
  <c r="J19" i="1" s="1"/>
  <c r="G19" i="1"/>
  <c r="F20" i="1"/>
  <c r="J20" i="1" s="1"/>
  <c r="G20" i="1"/>
  <c r="F21" i="1"/>
  <c r="J21" i="1" s="1"/>
  <c r="G21" i="1"/>
  <c r="F22" i="1"/>
  <c r="J22" i="1" s="1"/>
  <c r="G22" i="1"/>
  <c r="F23" i="1"/>
  <c r="J23" i="1" s="1"/>
  <c r="G23" i="1"/>
  <c r="F24" i="1"/>
  <c r="J24" i="1" s="1"/>
  <c r="G24" i="1"/>
  <c r="F25" i="1"/>
  <c r="J25" i="1" s="1"/>
  <c r="G25" i="1"/>
  <c r="F26" i="1"/>
  <c r="J26" i="1" s="1"/>
  <c r="G26" i="1"/>
  <c r="F27" i="1"/>
  <c r="J27" i="1" s="1"/>
  <c r="G27" i="1"/>
  <c r="F28" i="1"/>
  <c r="J28" i="1" s="1"/>
  <c r="G28" i="1"/>
  <c r="F29" i="1"/>
  <c r="J29" i="1" s="1"/>
  <c r="G29" i="1"/>
  <c r="F30" i="1"/>
  <c r="J30" i="1" s="1"/>
  <c r="G30" i="1"/>
  <c r="F31" i="1"/>
  <c r="J31" i="1" s="1"/>
  <c r="G31" i="1"/>
  <c r="F32" i="1"/>
  <c r="J32" i="1" s="1"/>
  <c r="G32" i="1"/>
  <c r="F33" i="1"/>
  <c r="J33" i="1" s="1"/>
  <c r="G33" i="1"/>
  <c r="F34" i="1"/>
  <c r="J34" i="1" s="1"/>
  <c r="G34" i="1"/>
  <c r="F35" i="1"/>
  <c r="J35" i="1" s="1"/>
  <c r="G35" i="1"/>
  <c r="F36" i="1"/>
  <c r="J36" i="1" s="1"/>
  <c r="G36" i="1"/>
  <c r="F37" i="1"/>
  <c r="J37" i="1" s="1"/>
  <c r="G37" i="1"/>
  <c r="F38" i="1"/>
  <c r="J38" i="1" s="1"/>
  <c r="G38" i="1"/>
  <c r="F39" i="1"/>
  <c r="J39" i="1" s="1"/>
  <c r="G39" i="1"/>
  <c r="F40" i="1"/>
  <c r="J40" i="1" s="1"/>
  <c r="G40" i="1"/>
  <c r="F41" i="1"/>
  <c r="J41" i="1" s="1"/>
  <c r="G41" i="1"/>
  <c r="F42" i="1"/>
  <c r="J42" i="1" s="1"/>
  <c r="G42" i="1"/>
  <c r="F43" i="1"/>
  <c r="J43" i="1" s="1"/>
  <c r="G43" i="1"/>
  <c r="F44" i="1"/>
  <c r="J44" i="1" s="1"/>
  <c r="G44" i="1"/>
  <c r="F45" i="1"/>
  <c r="J45" i="1" s="1"/>
  <c r="G45" i="1"/>
  <c r="F46" i="1"/>
  <c r="J46" i="1" s="1"/>
  <c r="G46" i="1"/>
  <c r="F47" i="1"/>
  <c r="J47" i="1" s="1"/>
  <c r="G47" i="1"/>
  <c r="F48" i="1"/>
  <c r="J48" i="1" s="1"/>
  <c r="G48" i="1"/>
  <c r="F49" i="1"/>
  <c r="J49" i="1" s="1"/>
  <c r="G49" i="1"/>
  <c r="F50" i="1"/>
  <c r="J50" i="1" s="1"/>
  <c r="G50" i="1"/>
  <c r="F51" i="1"/>
  <c r="J51" i="1" s="1"/>
  <c r="G51" i="1"/>
  <c r="F52" i="1"/>
  <c r="J52" i="1" s="1"/>
  <c r="G52" i="1"/>
  <c r="F53" i="1"/>
  <c r="J53" i="1" s="1"/>
  <c r="G53" i="1"/>
  <c r="F54" i="1"/>
  <c r="J54" i="1" s="1"/>
  <c r="G54" i="1"/>
  <c r="F55" i="1"/>
  <c r="J55" i="1" s="1"/>
  <c r="G55" i="1"/>
  <c r="F56" i="1"/>
  <c r="J56" i="1" s="1"/>
  <c r="G56" i="1"/>
  <c r="F57" i="1"/>
  <c r="J57" i="1" s="1"/>
  <c r="G57" i="1"/>
  <c r="F58" i="1"/>
  <c r="J58" i="1" s="1"/>
  <c r="G58" i="1"/>
  <c r="F59" i="1"/>
  <c r="J59" i="1" s="1"/>
  <c r="G59" i="1"/>
  <c r="F60" i="1"/>
  <c r="J60" i="1" s="1"/>
  <c r="G60" i="1"/>
  <c r="F61" i="1"/>
  <c r="J61" i="1" s="1"/>
  <c r="G61" i="1"/>
  <c r="F62" i="1"/>
  <c r="J62" i="1" s="1"/>
  <c r="G62" i="1"/>
  <c r="F63" i="1"/>
  <c r="J63" i="1" s="1"/>
  <c r="G63" i="1"/>
  <c r="F64" i="1"/>
  <c r="J64" i="1" s="1"/>
  <c r="G64" i="1"/>
  <c r="F65" i="1"/>
  <c r="J65" i="1" s="1"/>
  <c r="G65" i="1"/>
  <c r="F66" i="1"/>
  <c r="J66" i="1" s="1"/>
  <c r="G66" i="1"/>
  <c r="F67" i="1"/>
  <c r="J67" i="1" s="1"/>
  <c r="G67" i="1"/>
  <c r="F68" i="1"/>
  <c r="J68" i="1" s="1"/>
  <c r="G68" i="1"/>
  <c r="F69" i="1"/>
  <c r="J69" i="1" s="1"/>
  <c r="G69" i="1"/>
  <c r="F70" i="1"/>
  <c r="J70" i="1" s="1"/>
  <c r="G70" i="1"/>
  <c r="F71" i="1"/>
  <c r="J71" i="1" s="1"/>
  <c r="G71" i="1"/>
  <c r="F72" i="1"/>
  <c r="J72" i="1" s="1"/>
  <c r="G72" i="1"/>
  <c r="F73" i="1"/>
  <c r="J73" i="1" s="1"/>
  <c r="G73" i="1"/>
  <c r="F74" i="1"/>
  <c r="J74" i="1" s="1"/>
  <c r="G74" i="1"/>
  <c r="F75" i="1"/>
  <c r="J75" i="1" s="1"/>
  <c r="G75" i="1"/>
  <c r="F76" i="1"/>
  <c r="J76" i="1" s="1"/>
  <c r="G76" i="1"/>
  <c r="F77" i="1"/>
  <c r="J77" i="1" s="1"/>
  <c r="G77" i="1"/>
  <c r="F78" i="1"/>
  <c r="J78" i="1" s="1"/>
  <c r="G78" i="1"/>
  <c r="F79" i="1"/>
  <c r="J79" i="1" s="1"/>
  <c r="G79" i="1"/>
  <c r="F80" i="1"/>
  <c r="J80" i="1" s="1"/>
  <c r="G80" i="1"/>
  <c r="F81" i="1"/>
  <c r="J81" i="1" s="1"/>
  <c r="G81" i="1"/>
  <c r="F82" i="1"/>
  <c r="J82" i="1" s="1"/>
  <c r="G82" i="1"/>
  <c r="F83" i="1"/>
  <c r="J83" i="1" s="1"/>
  <c r="G83" i="1"/>
  <c r="F84" i="1"/>
  <c r="J84" i="1" s="1"/>
  <c r="G84" i="1"/>
  <c r="F85" i="1"/>
  <c r="J85" i="1" s="1"/>
  <c r="G85" i="1"/>
  <c r="F86" i="1"/>
  <c r="J86" i="1" s="1"/>
  <c r="G86" i="1"/>
  <c r="F87" i="1"/>
  <c r="J87" i="1" s="1"/>
  <c r="G87" i="1"/>
  <c r="F88" i="1"/>
  <c r="J88" i="1" s="1"/>
  <c r="G88" i="1"/>
  <c r="F89" i="1"/>
  <c r="J89" i="1" s="1"/>
  <c r="G89" i="1"/>
  <c r="F90" i="1"/>
  <c r="J90" i="1" s="1"/>
  <c r="G90" i="1"/>
  <c r="F91" i="1"/>
  <c r="J91" i="1" s="1"/>
  <c r="G91" i="1"/>
  <c r="F92" i="1"/>
  <c r="J92" i="1" s="1"/>
  <c r="G92" i="1"/>
  <c r="F93" i="1"/>
  <c r="J93" i="1" s="1"/>
  <c r="G93" i="1"/>
  <c r="F94" i="1"/>
  <c r="J94" i="1" s="1"/>
  <c r="G94" i="1"/>
  <c r="F95" i="1"/>
  <c r="J95" i="1" s="1"/>
  <c r="G95" i="1"/>
  <c r="F96" i="1"/>
  <c r="J96" i="1" s="1"/>
  <c r="G96" i="1"/>
  <c r="F97" i="1"/>
  <c r="J97" i="1" s="1"/>
  <c r="G97" i="1"/>
  <c r="F98" i="1"/>
  <c r="J98" i="1" s="1"/>
  <c r="G98" i="1"/>
  <c r="F99" i="1"/>
  <c r="J99" i="1" s="1"/>
  <c r="G99" i="1"/>
  <c r="F100" i="1"/>
  <c r="J100" i="1" s="1"/>
  <c r="G100" i="1"/>
  <c r="F101" i="1"/>
  <c r="J101" i="1" s="1"/>
  <c r="G101" i="1"/>
  <c r="F102" i="1"/>
  <c r="J102" i="1" s="1"/>
  <c r="G102" i="1"/>
  <c r="F103" i="1"/>
  <c r="J103" i="1" s="1"/>
  <c r="G103" i="1"/>
  <c r="F104" i="1"/>
  <c r="J104" i="1" s="1"/>
  <c r="G104" i="1"/>
  <c r="F105" i="1"/>
  <c r="J105" i="1" s="1"/>
  <c r="G105" i="1"/>
  <c r="F106" i="1"/>
  <c r="J106" i="1" s="1"/>
  <c r="G106" i="1"/>
  <c r="F107" i="1"/>
  <c r="J107" i="1" s="1"/>
  <c r="G107" i="1"/>
  <c r="F108" i="1"/>
  <c r="J108" i="1" s="1"/>
  <c r="G108" i="1"/>
  <c r="F109" i="1"/>
  <c r="J109" i="1" s="1"/>
  <c r="G109" i="1"/>
  <c r="F110" i="1"/>
  <c r="J110" i="1" s="1"/>
  <c r="G110" i="1"/>
  <c r="F111" i="1"/>
  <c r="J111" i="1" s="1"/>
  <c r="G111" i="1"/>
  <c r="F112" i="1"/>
  <c r="J112" i="1" s="1"/>
  <c r="G112" i="1"/>
  <c r="F113" i="1"/>
  <c r="J113" i="1" s="1"/>
  <c r="G113" i="1"/>
  <c r="F114" i="1"/>
  <c r="J114" i="1" s="1"/>
  <c r="G114" i="1"/>
  <c r="F115" i="1"/>
  <c r="J115" i="1" s="1"/>
  <c r="G115" i="1"/>
  <c r="F116" i="1"/>
  <c r="J116" i="1" s="1"/>
  <c r="G116" i="1"/>
  <c r="F117" i="1"/>
  <c r="J117" i="1" s="1"/>
  <c r="G117" i="1"/>
  <c r="F118" i="1"/>
  <c r="J118" i="1" s="1"/>
  <c r="G118" i="1"/>
  <c r="F119" i="1"/>
  <c r="J119" i="1" s="1"/>
  <c r="G119" i="1"/>
  <c r="F120" i="1"/>
  <c r="J120" i="1" s="1"/>
  <c r="G120" i="1"/>
  <c r="F121" i="1"/>
  <c r="J121" i="1" s="1"/>
  <c r="G121" i="1"/>
  <c r="F122" i="1"/>
  <c r="J122" i="1" s="1"/>
  <c r="G122" i="1"/>
  <c r="F123" i="1"/>
  <c r="J123" i="1" s="1"/>
  <c r="G123" i="1"/>
  <c r="F124" i="1"/>
  <c r="J124" i="1" s="1"/>
  <c r="G124" i="1"/>
  <c r="F125" i="1"/>
  <c r="J125" i="1" s="1"/>
  <c r="G125" i="1"/>
  <c r="F126" i="1"/>
  <c r="J126" i="1" s="1"/>
  <c r="G126" i="1"/>
  <c r="F127" i="1"/>
  <c r="J127" i="1" s="1"/>
  <c r="G127" i="1"/>
  <c r="F128" i="1"/>
  <c r="J128" i="1" s="1"/>
  <c r="G128" i="1"/>
  <c r="F129" i="1"/>
  <c r="J129" i="1" s="1"/>
  <c r="G129" i="1"/>
  <c r="F130" i="1"/>
  <c r="J130" i="1" s="1"/>
  <c r="G130" i="1"/>
  <c r="F131" i="1"/>
  <c r="J131" i="1" s="1"/>
  <c r="G131" i="1"/>
  <c r="F132" i="1"/>
  <c r="J132" i="1" s="1"/>
  <c r="G132" i="1"/>
  <c r="F133" i="1"/>
  <c r="J133" i="1" s="1"/>
  <c r="G133" i="1"/>
  <c r="F134" i="1"/>
  <c r="J134" i="1" s="1"/>
  <c r="G134" i="1"/>
  <c r="F135" i="1"/>
  <c r="J135" i="1" s="1"/>
  <c r="G135" i="1"/>
  <c r="F136" i="1"/>
  <c r="J136" i="1" s="1"/>
  <c r="G136" i="1"/>
  <c r="F137" i="1"/>
  <c r="J137" i="1" s="1"/>
  <c r="G137" i="1"/>
  <c r="F138" i="1"/>
  <c r="J138" i="1" s="1"/>
  <c r="G138" i="1"/>
  <c r="F139" i="1"/>
  <c r="J139" i="1" s="1"/>
  <c r="G139" i="1"/>
  <c r="F140" i="1"/>
  <c r="J140" i="1" s="1"/>
  <c r="G140" i="1"/>
  <c r="F141" i="1"/>
  <c r="J141" i="1" s="1"/>
  <c r="G141" i="1"/>
  <c r="F142" i="1"/>
  <c r="J142" i="1" s="1"/>
  <c r="G142" i="1"/>
  <c r="F143" i="1"/>
  <c r="J143" i="1" s="1"/>
  <c r="G143" i="1"/>
  <c r="F144" i="1"/>
  <c r="J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J145" i="1" s="1"/>
  <c r="G145" i="1"/>
  <c r="F146" i="1"/>
  <c r="J146" i="1" s="1"/>
  <c r="G146" i="1"/>
  <c r="F147" i="1"/>
  <c r="J147" i="1" s="1"/>
  <c r="G147" i="1"/>
  <c r="F148" i="1"/>
  <c r="J148" i="1" s="1"/>
  <c r="G148" i="1"/>
  <c r="F149" i="1"/>
  <c r="J149" i="1" s="1"/>
  <c r="G149" i="1"/>
  <c r="F150" i="1"/>
  <c r="J150" i="1" s="1"/>
  <c r="G150" i="1"/>
  <c r="F151" i="1"/>
  <c r="J151" i="1" s="1"/>
  <c r="G151" i="1"/>
  <c r="F152" i="1"/>
  <c r="J152" i="1" s="1"/>
  <c r="G152" i="1"/>
  <c r="F153" i="1"/>
  <c r="J153" i="1" s="1"/>
  <c r="G153" i="1"/>
  <c r="F154" i="1"/>
  <c r="J154" i="1" s="1"/>
  <c r="G154" i="1"/>
  <c r="F155" i="1"/>
  <c r="J155" i="1" s="1"/>
  <c r="G155" i="1"/>
  <c r="F156" i="1"/>
  <c r="J156" i="1" s="1"/>
  <c r="G156" i="1"/>
  <c r="F157" i="1"/>
  <c r="J157" i="1" s="1"/>
  <c r="G157" i="1"/>
  <c r="F158" i="1"/>
  <c r="J158" i="1" s="1"/>
  <c r="G158" i="1"/>
  <c r="F159" i="1"/>
  <c r="J159" i="1" s="1"/>
  <c r="G159" i="1"/>
  <c r="F160" i="1"/>
  <c r="J160" i="1" s="1"/>
  <c r="G160" i="1"/>
  <c r="F161" i="1"/>
  <c r="J161" i="1" s="1"/>
  <c r="G161" i="1"/>
  <c r="F162" i="1"/>
  <c r="J162" i="1" s="1"/>
  <c r="G162" i="1"/>
  <c r="F163" i="1"/>
  <c r="J163" i="1" s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N4" i="1" l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K288" i="1" l="1"/>
  <c r="P288" i="1" s="1"/>
  <c r="K292" i="1"/>
  <c r="P292" i="1" s="1"/>
  <c r="K228" i="1"/>
  <c r="P228" i="1" s="1"/>
  <c r="K293" i="1"/>
  <c r="P293" i="1" s="1"/>
  <c r="K277" i="1"/>
  <c r="P277" i="1" s="1"/>
  <c r="K261" i="1"/>
  <c r="P261" i="1" s="1"/>
  <c r="K245" i="1"/>
  <c r="P245" i="1" s="1"/>
  <c r="K229" i="1"/>
  <c r="P229" i="1" s="1"/>
  <c r="K213" i="1"/>
  <c r="P213" i="1" s="1"/>
  <c r="K260" i="1"/>
  <c r="P260" i="1" s="1"/>
  <c r="K216" i="1"/>
  <c r="P216" i="1" s="1"/>
  <c r="K290" i="1"/>
  <c r="P290" i="1" s="1"/>
  <c r="K274" i="1"/>
  <c r="P274" i="1" s="1"/>
  <c r="K258" i="1"/>
  <c r="P258" i="1" s="1"/>
  <c r="K242" i="1"/>
  <c r="P242" i="1" s="1"/>
  <c r="K226" i="1"/>
  <c r="P226" i="1" s="1"/>
  <c r="K296" i="1"/>
  <c r="P296" i="1" s="1"/>
  <c r="K244" i="1"/>
  <c r="P244" i="1" s="1"/>
  <c r="K303" i="1"/>
  <c r="P303" i="1" s="1"/>
  <c r="K287" i="1"/>
  <c r="P287" i="1" s="1"/>
  <c r="K271" i="1"/>
  <c r="P271" i="1" s="1"/>
  <c r="K255" i="1"/>
  <c r="P255" i="1" s="1"/>
  <c r="K239" i="1"/>
  <c r="P239" i="1" s="1"/>
  <c r="K223" i="1"/>
  <c r="P223" i="1" s="1"/>
  <c r="K272" i="1"/>
  <c r="P272" i="1" s="1"/>
  <c r="K220" i="1"/>
  <c r="P220" i="1" s="1"/>
  <c r="K289" i="1"/>
  <c r="P289" i="1" s="1"/>
  <c r="K273" i="1"/>
  <c r="P273" i="1" s="1"/>
  <c r="K257" i="1"/>
  <c r="P257" i="1" s="1"/>
  <c r="K241" i="1"/>
  <c r="P241" i="1" s="1"/>
  <c r="K225" i="1"/>
  <c r="P225" i="1" s="1"/>
  <c r="K300" i="1"/>
  <c r="P300" i="1" s="1"/>
  <c r="K252" i="1"/>
  <c r="P252" i="1" s="1"/>
  <c r="K302" i="1"/>
  <c r="P302" i="1" s="1"/>
  <c r="K286" i="1"/>
  <c r="P286" i="1" s="1"/>
  <c r="K270" i="1"/>
  <c r="P270" i="1" s="1"/>
  <c r="K254" i="1"/>
  <c r="P254" i="1" s="1"/>
  <c r="K238" i="1"/>
  <c r="P238" i="1" s="1"/>
  <c r="K222" i="1"/>
  <c r="P222" i="1" s="1"/>
  <c r="K280" i="1"/>
  <c r="P280" i="1" s="1"/>
  <c r="K236" i="1"/>
  <c r="P236" i="1" s="1"/>
  <c r="K299" i="1"/>
  <c r="P299" i="1" s="1"/>
  <c r="K283" i="1"/>
  <c r="P283" i="1" s="1"/>
  <c r="K267" i="1"/>
  <c r="P267" i="1" s="1"/>
  <c r="K251" i="1"/>
  <c r="P251" i="1" s="1"/>
  <c r="K235" i="1"/>
  <c r="P235" i="1" s="1"/>
  <c r="K219" i="1"/>
  <c r="P219" i="1" s="1"/>
  <c r="K256" i="1"/>
  <c r="P256" i="1" s="1"/>
  <c r="K301" i="1"/>
  <c r="P301" i="1" s="1"/>
  <c r="K285" i="1"/>
  <c r="P285" i="1" s="1"/>
  <c r="K269" i="1"/>
  <c r="P269" i="1" s="1"/>
  <c r="K253" i="1"/>
  <c r="P253" i="1" s="1"/>
  <c r="K237" i="1"/>
  <c r="P237" i="1" s="1"/>
  <c r="K221" i="1"/>
  <c r="P221" i="1" s="1"/>
  <c r="K284" i="1"/>
  <c r="P284" i="1" s="1"/>
  <c r="K240" i="1"/>
  <c r="P240" i="1" s="1"/>
  <c r="K298" i="1"/>
  <c r="P298" i="1" s="1"/>
  <c r="K282" i="1"/>
  <c r="P282" i="1" s="1"/>
  <c r="K266" i="1"/>
  <c r="P266" i="1" s="1"/>
  <c r="K250" i="1"/>
  <c r="P250" i="1" s="1"/>
  <c r="K234" i="1"/>
  <c r="P234" i="1" s="1"/>
  <c r="K218" i="1"/>
  <c r="P218" i="1" s="1"/>
  <c r="K276" i="1"/>
  <c r="P276" i="1" s="1"/>
  <c r="K224" i="1"/>
  <c r="P224" i="1" s="1"/>
  <c r="K295" i="1"/>
  <c r="P295" i="1" s="1"/>
  <c r="K279" i="1"/>
  <c r="P279" i="1" s="1"/>
  <c r="K263" i="1"/>
  <c r="P263" i="1" s="1"/>
  <c r="K247" i="1"/>
  <c r="P247" i="1" s="1"/>
  <c r="K231" i="1"/>
  <c r="P231" i="1" s="1"/>
  <c r="K215" i="1"/>
  <c r="P215" i="1" s="1"/>
  <c r="K248" i="1"/>
  <c r="P248" i="1" s="1"/>
  <c r="K249" i="1"/>
  <c r="P249" i="1" s="1"/>
  <c r="K232" i="1"/>
  <c r="P232" i="1" s="1"/>
  <c r="K246" i="1"/>
  <c r="P246" i="1" s="1"/>
  <c r="K212" i="1"/>
  <c r="P212" i="1" s="1"/>
  <c r="K243" i="1"/>
  <c r="P243" i="1" s="1"/>
  <c r="K297" i="1"/>
  <c r="P297" i="1" s="1"/>
  <c r="K233" i="1"/>
  <c r="P233" i="1" s="1"/>
  <c r="K281" i="1"/>
  <c r="P281" i="1" s="1"/>
  <c r="K217" i="1"/>
  <c r="P217" i="1" s="1"/>
  <c r="K278" i="1"/>
  <c r="P278" i="1" s="1"/>
  <c r="K214" i="1"/>
  <c r="P214" i="1" s="1"/>
  <c r="K275" i="1"/>
  <c r="P275" i="1" s="1"/>
  <c r="K265" i="1"/>
  <c r="P265" i="1" s="1"/>
  <c r="K230" i="1"/>
  <c r="P230" i="1" s="1"/>
  <c r="K227" i="1"/>
  <c r="P227" i="1" s="1"/>
  <c r="K259" i="1"/>
  <c r="P259" i="1" s="1"/>
  <c r="K268" i="1"/>
  <c r="P268" i="1" s="1"/>
  <c r="K264" i="1"/>
  <c r="P264" i="1" s="1"/>
  <c r="K294" i="1"/>
  <c r="P294" i="1" s="1"/>
  <c r="K291" i="1"/>
  <c r="P291" i="1" s="1"/>
  <c r="K262" i="1"/>
  <c r="P262" i="1" s="1"/>
  <c r="K184" i="1"/>
  <c r="K160" i="1"/>
  <c r="P160" i="1" s="1"/>
  <c r="K180" i="1"/>
  <c r="K156" i="1"/>
  <c r="K179" i="1"/>
  <c r="K171" i="1"/>
  <c r="P171" i="1" s="1"/>
  <c r="K163" i="1"/>
  <c r="P163" i="1" s="1"/>
  <c r="K155" i="1"/>
  <c r="K147" i="1"/>
  <c r="K170" i="1"/>
  <c r="P170" i="1" s="1"/>
  <c r="K146" i="1"/>
  <c r="P146" i="1" s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05" i="1"/>
  <c r="P205" i="1" s="1"/>
  <c r="K197" i="1"/>
  <c r="P197" i="1" s="1"/>
  <c r="K189" i="1"/>
  <c r="P189" i="1" s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08" i="1"/>
  <c r="P208" i="1" s="1"/>
  <c r="K200" i="1"/>
  <c r="P200" i="1" s="1"/>
  <c r="K192" i="1"/>
  <c r="P192" i="1" s="1"/>
  <c r="K186" i="1"/>
  <c r="K56" i="1"/>
  <c r="K199" i="1"/>
  <c r="P199" i="1" s="1"/>
  <c r="K107" i="1"/>
  <c r="K75" i="1"/>
  <c r="K43" i="1"/>
  <c r="K19" i="1"/>
  <c r="K194" i="1"/>
  <c r="P194" i="1" s="1"/>
  <c r="K178" i="1"/>
  <c r="K154" i="1"/>
  <c r="P154" i="1" s="1"/>
  <c r="K174" i="1"/>
  <c r="K150" i="1"/>
  <c r="K177" i="1"/>
  <c r="K169" i="1"/>
  <c r="P169" i="1" s="1"/>
  <c r="K161" i="1"/>
  <c r="P161" i="1" s="1"/>
  <c r="K153" i="1"/>
  <c r="K145" i="1"/>
  <c r="K164" i="1"/>
  <c r="P164" i="1" s="1"/>
  <c r="K185" i="1"/>
  <c r="K140" i="1"/>
  <c r="K132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211" i="1"/>
  <c r="P211" i="1" s="1"/>
  <c r="K203" i="1"/>
  <c r="P203" i="1" s="1"/>
  <c r="K195" i="1"/>
  <c r="P195" i="1" s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06" i="1"/>
  <c r="P206" i="1" s="1"/>
  <c r="K198" i="1"/>
  <c r="P198" i="1" s="1"/>
  <c r="K190" i="1"/>
  <c r="P190" i="1" s="1"/>
  <c r="K162" i="1"/>
  <c r="K183" i="1"/>
  <c r="P183" i="1" s="1"/>
  <c r="K173" i="1"/>
  <c r="K157" i="1"/>
  <c r="K176" i="1"/>
  <c r="K144" i="1"/>
  <c r="K128" i="1"/>
  <c r="K112" i="1"/>
  <c r="K96" i="1"/>
  <c r="K80" i="1"/>
  <c r="K64" i="1"/>
  <c r="K40" i="1"/>
  <c r="K24" i="1"/>
  <c r="K8" i="1"/>
  <c r="K191" i="1"/>
  <c r="P191" i="1" s="1"/>
  <c r="K131" i="1"/>
  <c r="K115" i="1"/>
  <c r="K91" i="1"/>
  <c r="K67" i="1"/>
  <c r="K51" i="1"/>
  <c r="K27" i="1"/>
  <c r="K210" i="1"/>
  <c r="P210" i="1" s="1"/>
  <c r="K172" i="1"/>
  <c r="K148" i="1"/>
  <c r="K168" i="1"/>
  <c r="P168" i="1" s="1"/>
  <c r="K187" i="1"/>
  <c r="P187" i="1" s="1"/>
  <c r="K175" i="1"/>
  <c r="K167" i="1"/>
  <c r="K159" i="1"/>
  <c r="K151" i="1"/>
  <c r="P151" i="1" s="1"/>
  <c r="K182" i="1"/>
  <c r="K158" i="1"/>
  <c r="K181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209" i="1"/>
  <c r="P209" i="1" s="1"/>
  <c r="K201" i="1"/>
  <c r="P201" i="1" s="1"/>
  <c r="K193" i="1"/>
  <c r="P193" i="1" s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204" i="1"/>
  <c r="P204" i="1" s="1"/>
  <c r="K196" i="1"/>
  <c r="P196" i="1" s="1"/>
  <c r="K188" i="1"/>
  <c r="P188" i="1" s="1"/>
  <c r="K166" i="1"/>
  <c r="K165" i="1"/>
  <c r="P165" i="1" s="1"/>
  <c r="K149" i="1"/>
  <c r="K152" i="1"/>
  <c r="P152" i="1" s="1"/>
  <c r="K136" i="1"/>
  <c r="K120" i="1"/>
  <c r="K104" i="1"/>
  <c r="K88" i="1"/>
  <c r="K72" i="1"/>
  <c r="K48" i="1"/>
  <c r="K32" i="1"/>
  <c r="K16" i="1"/>
  <c r="K207" i="1"/>
  <c r="P207" i="1" s="1"/>
  <c r="K139" i="1"/>
  <c r="K123" i="1"/>
  <c r="K99" i="1"/>
  <c r="K83" i="1"/>
  <c r="K59" i="1"/>
  <c r="K35" i="1"/>
  <c r="K11" i="1"/>
  <c r="K202" i="1"/>
  <c r="P202" i="1" s="1"/>
  <c r="P148" i="1"/>
  <c r="P150" i="1"/>
  <c r="P156" i="1"/>
  <c r="P158" i="1"/>
  <c r="P162" i="1"/>
  <c r="P166" i="1"/>
  <c r="P172" i="1"/>
  <c r="P174" i="1"/>
  <c r="P176" i="1"/>
  <c r="P178" i="1"/>
  <c r="P180" i="1"/>
  <c r="P182" i="1"/>
  <c r="P184" i="1"/>
  <c r="P186" i="1"/>
  <c r="P149" i="1"/>
  <c r="P157" i="1"/>
  <c r="P173" i="1"/>
  <c r="P181" i="1"/>
  <c r="P159" i="1"/>
  <c r="P167" i="1"/>
  <c r="P175" i="1"/>
  <c r="P145" i="1"/>
  <c r="P153" i="1"/>
  <c r="P177" i="1"/>
  <c r="P185" i="1"/>
  <c r="P147" i="1"/>
  <c r="P155" i="1"/>
  <c r="P179" i="1"/>
  <c r="M4" i="1"/>
  <c r="G4" i="1" l="1"/>
  <c r="K4" i="1" l="1"/>
  <c r="P4" i="1" s="1"/>
  <c r="M144" i="1"/>
  <c r="P144" i="1" s="1"/>
  <c r="M136" i="1"/>
  <c r="P136" i="1" s="1"/>
  <c r="M128" i="1"/>
  <c r="M18" i="1"/>
  <c r="M122" i="1"/>
  <c r="M106" i="1"/>
  <c r="M90" i="1"/>
  <c r="M74" i="1"/>
  <c r="M62" i="1"/>
  <c r="M58" i="1"/>
  <c r="M46" i="1"/>
  <c r="M140" i="1"/>
  <c r="M132" i="1"/>
  <c r="P132" i="1" s="1"/>
  <c r="M5" i="1"/>
  <c r="M129" i="1"/>
  <c r="P129" i="1" s="1"/>
  <c r="M135" i="1"/>
  <c r="M137" i="1"/>
  <c r="M138" i="1"/>
  <c r="M139" i="1"/>
  <c r="M141" i="1"/>
  <c r="M143" i="1"/>
  <c r="M7" i="1"/>
  <c r="M9" i="1"/>
  <c r="M11" i="1"/>
  <c r="M13" i="1"/>
  <c r="M15" i="1"/>
  <c r="M17" i="1"/>
  <c r="M19" i="1"/>
  <c r="M21" i="1"/>
  <c r="M23" i="1"/>
  <c r="M25" i="1"/>
  <c r="M27" i="1"/>
  <c r="M29" i="1"/>
  <c r="M31" i="1"/>
  <c r="M33" i="1"/>
  <c r="M34" i="1"/>
  <c r="M35" i="1"/>
  <c r="M37" i="1"/>
  <c r="M39" i="1"/>
  <c r="M41" i="1"/>
  <c r="M43" i="1"/>
  <c r="M45" i="1"/>
  <c r="M47" i="1"/>
  <c r="M49" i="1"/>
  <c r="M51" i="1"/>
  <c r="M53" i="1"/>
  <c r="M55" i="1"/>
  <c r="M57" i="1"/>
  <c r="M59" i="1"/>
  <c r="M61" i="1"/>
  <c r="M63" i="1"/>
  <c r="M65" i="1"/>
  <c r="M67" i="1"/>
  <c r="M69" i="1"/>
  <c r="M71" i="1"/>
  <c r="M73" i="1"/>
  <c r="M75" i="1"/>
  <c r="M77" i="1"/>
  <c r="M79" i="1"/>
  <c r="M81" i="1"/>
  <c r="M82" i="1"/>
  <c r="M83" i="1"/>
  <c r="M85" i="1"/>
  <c r="M87" i="1"/>
  <c r="M89" i="1"/>
  <c r="M91" i="1"/>
  <c r="M93" i="1"/>
  <c r="M95" i="1"/>
  <c r="M97" i="1"/>
  <c r="M98" i="1"/>
  <c r="M99" i="1"/>
  <c r="M101" i="1"/>
  <c r="M103" i="1"/>
  <c r="M105" i="1"/>
  <c r="M107" i="1"/>
  <c r="M109" i="1"/>
  <c r="M111" i="1"/>
  <c r="M113" i="1"/>
  <c r="M114" i="1"/>
  <c r="M115" i="1"/>
  <c r="M117" i="1"/>
  <c r="M119" i="1"/>
  <c r="M121" i="1"/>
  <c r="M123" i="1"/>
  <c r="M125" i="1"/>
  <c r="M127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M78" i="1"/>
  <c r="P78" i="1" s="1"/>
  <c r="M94" i="1"/>
  <c r="P94" i="1" s="1"/>
  <c r="M110" i="1"/>
  <c r="P110" i="1" s="1"/>
  <c r="M126" i="1"/>
  <c r="P126" i="1" s="1"/>
  <c r="M134" i="1"/>
  <c r="P134" i="1" s="1"/>
  <c r="M133" i="1"/>
  <c r="P133" i="1" s="1"/>
  <c r="M26" i="1"/>
  <c r="P26" i="1" s="1"/>
  <c r="M42" i="1"/>
  <c r="P42" i="1" s="1"/>
  <c r="M142" i="1"/>
  <c r="P142" i="1" s="1"/>
  <c r="M66" i="1"/>
  <c r="P66" i="1" s="1"/>
  <c r="M14" i="1"/>
  <c r="P14" i="1" s="1"/>
  <c r="M30" i="1"/>
  <c r="P30" i="1" s="1"/>
  <c r="M50" i="1"/>
  <c r="P50" i="1" s="1"/>
  <c r="M10" i="1"/>
  <c r="P10" i="1" s="1"/>
  <c r="H4" i="1"/>
  <c r="M131" i="1"/>
  <c r="P131" i="1" s="1"/>
  <c r="M102" i="1"/>
  <c r="P102" i="1" s="1"/>
  <c r="M86" i="1"/>
  <c r="P86" i="1" s="1"/>
  <c r="M70" i="1"/>
  <c r="P70" i="1" s="1"/>
  <c r="M54" i="1"/>
  <c r="P54" i="1" s="1"/>
  <c r="M38" i="1"/>
  <c r="P38" i="1" s="1"/>
  <c r="M22" i="1"/>
  <c r="P22" i="1" s="1"/>
  <c r="M6" i="1"/>
  <c r="P6" i="1" s="1"/>
  <c r="M130" i="1"/>
  <c r="P130" i="1" s="1"/>
  <c r="M118" i="1"/>
  <c r="P118" i="1" s="1"/>
  <c r="M124" i="1"/>
  <c r="P124" i="1" s="1"/>
  <c r="M120" i="1"/>
  <c r="P120" i="1" s="1"/>
  <c r="M116" i="1"/>
  <c r="P116" i="1" s="1"/>
  <c r="M112" i="1"/>
  <c r="P112" i="1" s="1"/>
  <c r="M108" i="1"/>
  <c r="P108" i="1" s="1"/>
  <c r="M104" i="1"/>
  <c r="P104" i="1" s="1"/>
  <c r="M100" i="1"/>
  <c r="P100" i="1" s="1"/>
  <c r="M96" i="1"/>
  <c r="P96" i="1" s="1"/>
  <c r="M92" i="1"/>
  <c r="P92" i="1" s="1"/>
  <c r="M88" i="1"/>
  <c r="P88" i="1" s="1"/>
  <c r="M84" i="1"/>
  <c r="P84" i="1" s="1"/>
  <c r="M80" i="1"/>
  <c r="P80" i="1" s="1"/>
  <c r="M76" i="1"/>
  <c r="P76" i="1" s="1"/>
  <c r="M72" i="1"/>
  <c r="P72" i="1" s="1"/>
  <c r="M68" i="1"/>
  <c r="P68" i="1" s="1"/>
  <c r="M64" i="1"/>
  <c r="P64" i="1" s="1"/>
  <c r="M60" i="1"/>
  <c r="P60" i="1" s="1"/>
  <c r="M56" i="1"/>
  <c r="P56" i="1" s="1"/>
  <c r="M52" i="1"/>
  <c r="P52" i="1" s="1"/>
  <c r="M48" i="1"/>
  <c r="P48" i="1" s="1"/>
  <c r="M44" i="1"/>
  <c r="P44" i="1" s="1"/>
  <c r="M40" i="1"/>
  <c r="P40" i="1" s="1"/>
  <c r="M36" i="1"/>
  <c r="P36" i="1" s="1"/>
  <c r="M32" i="1"/>
  <c r="P32" i="1" s="1"/>
  <c r="M28" i="1"/>
  <c r="P28" i="1" s="1"/>
  <c r="M24" i="1"/>
  <c r="P24" i="1" s="1"/>
  <c r="M20" i="1"/>
  <c r="P20" i="1" s="1"/>
  <c r="M16" i="1"/>
  <c r="P16" i="1" s="1"/>
  <c r="M12" i="1"/>
  <c r="P12" i="1" s="1"/>
  <c r="M8" i="1"/>
  <c r="P8" i="1" s="1"/>
</calcChain>
</file>

<file path=xl/sharedStrings.xml><?xml version="1.0" encoding="utf-8"?>
<sst xmlns="http://schemas.openxmlformats.org/spreadsheetml/2006/main" count="27" uniqueCount="24">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</sst>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W305"/>
  <sheetViews>
    <sheetView tabSelected="1" zoomScale="70" zoomScaleNormal="70" workbookViewId="0">
      <selection activeCell="D4" sqref="D4"/>
    </sheetView>
  </sheetViews>
  <sheetFormatPr defaultRowHeight="16.5" x14ac:dyDescent="0.3"/>
  <cols>
    <col min="10" max="10" width="12.25" customWidth="1"/>
    <col min="11" max="11" width="13.625" bestFit="1" customWidth="1"/>
  </cols>
  <sheetData>
    <row r="1" spans="1:23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3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</row>
    <row r="4" spans="1:23" x14ac:dyDescent="0.3">
      <c r="A4">
        <v>5.5730849999999998E-2</v>
      </c>
      <c r="B4">
        <v>0.80232999999999999</v>
      </c>
      <c r="C4">
        <f>A4*B4</f>
        <v>4.4714532880500001E-2</v>
      </c>
      <c r="D4" s="1">
        <v>2.1000000000000001E-2</v>
      </c>
      <c r="E4" s="1">
        <v>1.41E-2</v>
      </c>
      <c r="F4">
        <f>A4*200</f>
        <v>11.14617</v>
      </c>
      <c r="G4">
        <f>-B4</f>
        <v>-0.80232999999999999</v>
      </c>
      <c r="H4">
        <f t="shared" ref="H4" si="0">-C4*200</f>
        <v>-8.9429065761000004</v>
      </c>
      <c r="I4">
        <v>1</v>
      </c>
      <c r="J4">
        <f>LN(F4/1000)</f>
        <v>-4.4966593378427246</v>
      </c>
      <c r="K4">
        <f>((-G4)-$N$2)</f>
        <v>-0.377580572976012</v>
      </c>
      <c r="L4">
        <v>1</v>
      </c>
      <c r="M4">
        <f>-1*($S$4+($S$5*J4))</f>
        <v>0.35516725724172038</v>
      </c>
      <c r="N4">
        <f>D4*A4</f>
        <v>1.17034785E-3</v>
      </c>
      <c r="O4">
        <f>E4*A4</f>
        <v>7.8580498499999994E-4</v>
      </c>
      <c r="P4">
        <f>-K4-M4-N4-O4</f>
        <v>2.0457162899291618E-2</v>
      </c>
      <c r="R4" s="2" t="s">
        <v>16</v>
      </c>
      <c r="S4">
        <v>-0.51300000000000001</v>
      </c>
    </row>
    <row r="5" spans="1:23" x14ac:dyDescent="0.3">
      <c r="A5">
        <v>0.10504530000000001</v>
      </c>
      <c r="B5">
        <v>0.79232000000000002</v>
      </c>
      <c r="C5">
        <f t="shared" ref="C5:C68" si="1">A5*B5</f>
        <v>8.3229492096000016E-2</v>
      </c>
      <c r="D5" s="1">
        <v>2.1000000000000001E-2</v>
      </c>
      <c r="E5" s="1">
        <v>1.41E-2</v>
      </c>
      <c r="F5">
        <f t="shared" ref="F5:F68" si="2">A5*200</f>
        <v>21.009060000000002</v>
      </c>
      <c r="G5">
        <f t="shared" ref="G5:G68" si="3">-B5</f>
        <v>-0.79232000000000002</v>
      </c>
      <c r="H5">
        <f t="shared" ref="H5:H68" si="4">-C5*200</f>
        <v>-16.645898419200002</v>
      </c>
      <c r="I5">
        <v>1</v>
      </c>
      <c r="J5">
        <f t="shared" ref="J5:J68" si="5">LN(F5/1000)</f>
        <v>-3.8628015057258329</v>
      </c>
      <c r="K5">
        <f t="shared" ref="K5:K68" si="6">((-G5)-$N$2)</f>
        <v>-0.38759057297601196</v>
      </c>
      <c r="L5">
        <v>1</v>
      </c>
      <c r="M5">
        <f>-1*($S$4+($S$5*J5))</f>
        <v>0.3774156671490233</v>
      </c>
      <c r="N5">
        <f t="shared" ref="N5:N6" si="7">D5*A5</f>
        <v>2.2059513000000004E-3</v>
      </c>
      <c r="O5">
        <f>E5*A5</f>
        <v>1.48113873E-3</v>
      </c>
      <c r="P5">
        <f>-K5-M5-N5-O5</f>
        <v>6.4878157969886566E-3</v>
      </c>
      <c r="R5" s="2" t="s">
        <v>17</v>
      </c>
      <c r="S5">
        <v>-3.5099999999999999E-2</v>
      </c>
      <c r="V5" t="s">
        <v>22</v>
      </c>
      <c r="W5" t="s">
        <v>23</v>
      </c>
    </row>
    <row r="6" spans="1:23" x14ac:dyDescent="0.3">
      <c r="A6">
        <v>0.15435974999999999</v>
      </c>
      <c r="B6">
        <v>0.77958000000000005</v>
      </c>
      <c r="C6">
        <f t="shared" si="1"/>
        <v>0.120335773905</v>
      </c>
      <c r="D6" s="1">
        <v>2.1000000000000001E-2</v>
      </c>
      <c r="E6" s="1">
        <v>1.41E-2</v>
      </c>
      <c r="F6">
        <f t="shared" si="2"/>
        <v>30.871949999999998</v>
      </c>
      <c r="G6">
        <f t="shared" si="3"/>
        <v>-0.77958000000000005</v>
      </c>
      <c r="H6">
        <f t="shared" si="4"/>
        <v>-24.067154780999999</v>
      </c>
      <c r="I6">
        <v>1</v>
      </c>
      <c r="J6">
        <f t="shared" si="5"/>
        <v>-3.4779072743386985</v>
      </c>
      <c r="K6">
        <f t="shared" si="6"/>
        <v>-0.40033057297601193</v>
      </c>
      <c r="L6">
        <v>1</v>
      </c>
      <c r="M6">
        <f t="shared" ref="M6:M69" si="8">-1*($S$4+($S$5*J6))</f>
        <v>0.39092545467071171</v>
      </c>
      <c r="N6">
        <f t="shared" si="7"/>
        <v>3.2415547499999998E-3</v>
      </c>
      <c r="O6">
        <f t="shared" ref="O6:O69" si="9">E6*A6</f>
        <v>2.1764724749999999E-3</v>
      </c>
      <c r="P6">
        <f t="shared" ref="P6:P69" si="10">-K6-M6-N6-O6</f>
        <v>3.9870910803002195E-3</v>
      </c>
      <c r="V6">
        <v>-6</v>
      </c>
      <c r="W6">
        <f>V6*$S$5+$S$4</f>
        <v>-0.3024</v>
      </c>
    </row>
    <row r="7" spans="1:23" x14ac:dyDescent="0.3">
      <c r="A7">
        <v>0.20516860000000001</v>
      </c>
      <c r="B7">
        <v>0.76881999999999995</v>
      </c>
      <c r="C7">
        <f t="shared" si="1"/>
        <v>0.15773772305199998</v>
      </c>
      <c r="D7" s="1">
        <v>2.1000000000000001E-2</v>
      </c>
      <c r="E7" s="1">
        <v>1.41E-2</v>
      </c>
      <c r="F7">
        <f t="shared" si="2"/>
        <v>41.033720000000002</v>
      </c>
      <c r="G7">
        <f t="shared" si="3"/>
        <v>-0.76881999999999995</v>
      </c>
      <c r="H7">
        <f t="shared" si="4"/>
        <v>-31.547544610399996</v>
      </c>
      <c r="I7">
        <v>1</v>
      </c>
      <c r="J7">
        <f t="shared" si="5"/>
        <v>-3.1933611112710936</v>
      </c>
      <c r="K7">
        <f t="shared" si="6"/>
        <v>-0.41109057297601204</v>
      </c>
      <c r="L7">
        <v>1</v>
      </c>
      <c r="M7">
        <f t="shared" si="8"/>
        <v>0.40091302499438464</v>
      </c>
      <c r="N7">
        <f t="shared" ref="N7:N70" si="11">D7*A7</f>
        <v>4.3085406000000007E-3</v>
      </c>
      <c r="O7">
        <f t="shared" si="9"/>
        <v>2.8928772600000001E-3</v>
      </c>
      <c r="P7">
        <f t="shared" si="10"/>
        <v>2.9761301216273987E-3</v>
      </c>
      <c r="V7">
        <v>-5.9</v>
      </c>
      <c r="W7">
        <f t="shared" ref="W7:W70" si="12">V7*$S$5+$S$4</f>
        <v>-0.30591000000000002</v>
      </c>
    </row>
    <row r="8" spans="1:23" x14ac:dyDescent="0.3">
      <c r="A8">
        <v>0.25697365</v>
      </c>
      <c r="B8">
        <v>0.75936999999999999</v>
      </c>
      <c r="C8">
        <f t="shared" si="1"/>
        <v>0.1951380806005</v>
      </c>
      <c r="D8" s="1">
        <v>2.1000000000000001E-2</v>
      </c>
      <c r="E8" s="1">
        <v>1.41E-2</v>
      </c>
      <c r="F8">
        <f t="shared" si="2"/>
        <v>51.394730000000003</v>
      </c>
      <c r="G8">
        <f t="shared" si="3"/>
        <v>-0.75936999999999999</v>
      </c>
      <c r="H8">
        <f t="shared" si="4"/>
        <v>-39.027616120099999</v>
      </c>
      <c r="I8">
        <v>1</v>
      </c>
      <c r="J8">
        <f t="shared" si="5"/>
        <v>-2.9682196409603732</v>
      </c>
      <c r="K8">
        <f t="shared" si="6"/>
        <v>-0.42054057297601199</v>
      </c>
      <c r="L8">
        <v>1</v>
      </c>
      <c r="M8">
        <f t="shared" si="8"/>
        <v>0.40881549060229094</v>
      </c>
      <c r="N8">
        <f t="shared" si="11"/>
        <v>5.3964466500000001E-3</v>
      </c>
      <c r="O8">
        <f t="shared" si="9"/>
        <v>3.6233284649999998E-3</v>
      </c>
      <c r="P8">
        <f t="shared" si="10"/>
        <v>2.7053072587210521E-3</v>
      </c>
      <c r="V8">
        <v>-5.8</v>
      </c>
      <c r="W8">
        <f t="shared" si="12"/>
        <v>-0.30942000000000003</v>
      </c>
    </row>
    <row r="9" spans="1:23" x14ac:dyDescent="0.3">
      <c r="A9">
        <v>0.30828060000000002</v>
      </c>
      <c r="B9">
        <v>0.75002000000000002</v>
      </c>
      <c r="C9">
        <f t="shared" si="1"/>
        <v>0.23121661561200002</v>
      </c>
      <c r="D9" s="1">
        <v>2.1000000000000001E-2</v>
      </c>
      <c r="E9" s="1">
        <v>1.41E-2</v>
      </c>
      <c r="F9">
        <f t="shared" si="2"/>
        <v>61.656120000000001</v>
      </c>
      <c r="G9">
        <f t="shared" si="3"/>
        <v>-0.75002000000000002</v>
      </c>
      <c r="H9">
        <f t="shared" si="4"/>
        <v>-46.243323122400007</v>
      </c>
      <c r="I9">
        <v>1</v>
      </c>
      <c r="J9">
        <f t="shared" si="5"/>
        <v>-2.7861827842257387</v>
      </c>
      <c r="K9">
        <f t="shared" si="6"/>
        <v>-0.42989057297601196</v>
      </c>
      <c r="L9">
        <v>1</v>
      </c>
      <c r="M9">
        <f t="shared" si="8"/>
        <v>0.41520498427367658</v>
      </c>
      <c r="N9">
        <f t="shared" si="11"/>
        <v>6.4738926000000004E-3</v>
      </c>
      <c r="O9">
        <f t="shared" si="9"/>
        <v>4.3467564600000001E-3</v>
      </c>
      <c r="P9">
        <f t="shared" si="10"/>
        <v>3.8649396423353841E-3</v>
      </c>
      <c r="V9">
        <v>-5.7</v>
      </c>
      <c r="W9">
        <f t="shared" si="12"/>
        <v>-0.31293000000000004</v>
      </c>
    </row>
    <row r="10" spans="1:23" x14ac:dyDescent="0.3">
      <c r="A10">
        <v>0.3590894</v>
      </c>
      <c r="B10">
        <v>0.74121999999999999</v>
      </c>
      <c r="C10">
        <f t="shared" si="1"/>
        <v>0.26616424506800002</v>
      </c>
      <c r="D10" s="1">
        <v>2.1000000000000001E-2</v>
      </c>
      <c r="E10" s="1">
        <v>1.41E-2</v>
      </c>
      <c r="F10">
        <f t="shared" si="2"/>
        <v>71.817880000000002</v>
      </c>
      <c r="G10">
        <f t="shared" si="3"/>
        <v>-0.74121999999999999</v>
      </c>
      <c r="H10">
        <f t="shared" si="4"/>
        <v>-53.232849013600003</v>
      </c>
      <c r="I10">
        <v>1</v>
      </c>
      <c r="J10">
        <f t="shared" si="5"/>
        <v>-2.6336218088599166</v>
      </c>
      <c r="K10">
        <f t="shared" si="6"/>
        <v>-0.43869057297601199</v>
      </c>
      <c r="L10">
        <v>1</v>
      </c>
      <c r="M10">
        <f t="shared" si="8"/>
        <v>0.42055987450901694</v>
      </c>
      <c r="N10">
        <f t="shared" si="11"/>
        <v>7.5408774000000007E-3</v>
      </c>
      <c r="O10">
        <f t="shared" si="9"/>
        <v>5.0631605400000002E-3</v>
      </c>
      <c r="P10">
        <f t="shared" si="10"/>
        <v>5.5266605269950544E-3</v>
      </c>
      <c r="V10">
        <v>-5.6</v>
      </c>
      <c r="W10">
        <f t="shared" si="12"/>
        <v>-0.31644000000000005</v>
      </c>
    </row>
    <row r="11" spans="1:23" x14ac:dyDescent="0.3">
      <c r="A11">
        <v>0.40840389999999999</v>
      </c>
      <c r="B11">
        <v>0.73370999999999997</v>
      </c>
      <c r="C11">
        <f t="shared" si="1"/>
        <v>0.29965002546899999</v>
      </c>
      <c r="D11" s="1">
        <v>2.1000000000000001E-2</v>
      </c>
      <c r="E11" s="1">
        <v>1.41E-2</v>
      </c>
      <c r="F11">
        <f t="shared" si="2"/>
        <v>81.680779999999999</v>
      </c>
      <c r="G11">
        <f t="shared" si="3"/>
        <v>-0.73370999999999997</v>
      </c>
      <c r="H11">
        <f t="shared" si="4"/>
        <v>-59.930005093799998</v>
      </c>
      <c r="I11">
        <v>1</v>
      </c>
      <c r="J11">
        <f t="shared" si="5"/>
        <v>-2.5049365557100103</v>
      </c>
      <c r="K11">
        <f t="shared" si="6"/>
        <v>-0.44620057297601201</v>
      </c>
      <c r="L11">
        <v>1</v>
      </c>
      <c r="M11">
        <f t="shared" si="8"/>
        <v>0.42507672689457865</v>
      </c>
      <c r="N11">
        <f t="shared" si="11"/>
        <v>8.5764819000000003E-3</v>
      </c>
      <c r="O11">
        <f t="shared" si="9"/>
        <v>5.7584949899999998E-3</v>
      </c>
      <c r="P11">
        <f t="shared" si="10"/>
        <v>6.7888691914333617E-3</v>
      </c>
      <c r="V11">
        <v>-5.5</v>
      </c>
      <c r="W11">
        <f t="shared" si="12"/>
        <v>-0.31995000000000001</v>
      </c>
    </row>
    <row r="12" spans="1:23" x14ac:dyDescent="0.3">
      <c r="A12">
        <v>0.45821640000000002</v>
      </c>
      <c r="B12">
        <v>0.72543000000000002</v>
      </c>
      <c r="C12">
        <f t="shared" si="1"/>
        <v>0.33240392305200001</v>
      </c>
      <c r="D12" s="1">
        <v>2.1000000000000001E-2</v>
      </c>
      <c r="E12" s="1">
        <v>1.41E-2</v>
      </c>
      <c r="F12">
        <f t="shared" si="2"/>
        <v>91.643280000000004</v>
      </c>
      <c r="G12">
        <f t="shared" si="3"/>
        <v>-0.72543000000000002</v>
      </c>
      <c r="H12">
        <f t="shared" si="4"/>
        <v>-66.480784610400008</v>
      </c>
      <c r="I12">
        <v>1</v>
      </c>
      <c r="J12">
        <f t="shared" si="5"/>
        <v>-2.3898516298069019</v>
      </c>
      <c r="K12">
        <f t="shared" si="6"/>
        <v>-0.45448057297601197</v>
      </c>
      <c r="L12">
        <v>1</v>
      </c>
      <c r="M12">
        <f t="shared" si="8"/>
        <v>0.42911620779377774</v>
      </c>
      <c r="N12">
        <f t="shared" si="11"/>
        <v>9.6225444000000004E-3</v>
      </c>
      <c r="O12">
        <f t="shared" si="9"/>
        <v>6.46085124E-3</v>
      </c>
      <c r="P12">
        <f t="shared" si="10"/>
        <v>9.2809695422342263E-3</v>
      </c>
      <c r="V12">
        <v>-5.4</v>
      </c>
      <c r="W12">
        <f t="shared" si="12"/>
        <v>-0.32345999999999997</v>
      </c>
    </row>
    <row r="13" spans="1:23" x14ac:dyDescent="0.3">
      <c r="A13">
        <v>0.50753095000000004</v>
      </c>
      <c r="B13">
        <v>0.71889000000000003</v>
      </c>
      <c r="C13">
        <f t="shared" si="1"/>
        <v>0.36485892464550002</v>
      </c>
      <c r="D13" s="1">
        <v>2.1000000000000001E-2</v>
      </c>
      <c r="E13" s="1">
        <v>1.41E-2</v>
      </c>
      <c r="F13">
        <f t="shared" si="2"/>
        <v>101.50619</v>
      </c>
      <c r="G13">
        <f t="shared" si="3"/>
        <v>-0.71889000000000003</v>
      </c>
      <c r="H13">
        <f t="shared" si="4"/>
        <v>-72.971784929099996</v>
      </c>
      <c r="I13">
        <v>1</v>
      </c>
      <c r="J13">
        <f t="shared" si="5"/>
        <v>-2.287635497138143</v>
      </c>
      <c r="K13">
        <f t="shared" si="6"/>
        <v>-0.46102057297601196</v>
      </c>
      <c r="L13">
        <v>1</v>
      </c>
      <c r="M13">
        <f t="shared" si="8"/>
        <v>0.43270399405045118</v>
      </c>
      <c r="N13">
        <f t="shared" si="11"/>
        <v>1.0658149950000001E-2</v>
      </c>
      <c r="O13">
        <f t="shared" si="9"/>
        <v>7.1561863950000007E-3</v>
      </c>
      <c r="P13">
        <f t="shared" si="10"/>
        <v>1.0502242580560775E-2</v>
      </c>
      <c r="V13">
        <v>-5.3</v>
      </c>
      <c r="W13">
        <f t="shared" si="12"/>
        <v>-0.32696999999999998</v>
      </c>
    </row>
    <row r="14" spans="1:23" x14ac:dyDescent="0.3">
      <c r="A14">
        <v>0.55784160000000005</v>
      </c>
      <c r="B14">
        <v>0.71223999999999998</v>
      </c>
      <c r="C14">
        <f t="shared" si="1"/>
        <v>0.39731710118400004</v>
      </c>
      <c r="D14" s="1">
        <v>2.1000000000000001E-2</v>
      </c>
      <c r="E14" s="1">
        <v>1.41E-2</v>
      </c>
      <c r="F14">
        <f t="shared" si="2"/>
        <v>111.56832000000001</v>
      </c>
      <c r="G14">
        <f t="shared" si="3"/>
        <v>-0.71223999999999998</v>
      </c>
      <c r="H14">
        <f t="shared" si="4"/>
        <v>-79.463420236800005</v>
      </c>
      <c r="I14">
        <v>1</v>
      </c>
      <c r="J14">
        <f t="shared" si="5"/>
        <v>-2.193118140301658</v>
      </c>
      <c r="K14">
        <f t="shared" si="6"/>
        <v>-0.467670572976012</v>
      </c>
      <c r="L14">
        <v>1</v>
      </c>
      <c r="M14">
        <f t="shared" si="8"/>
        <v>0.43602155327541181</v>
      </c>
      <c r="N14">
        <f t="shared" si="11"/>
        <v>1.1714673600000001E-2</v>
      </c>
      <c r="O14">
        <f t="shared" si="9"/>
        <v>7.8655665600000004E-3</v>
      </c>
      <c r="P14">
        <f t="shared" si="10"/>
        <v>1.2068779540600186E-2</v>
      </c>
      <c r="V14">
        <v>-5.2</v>
      </c>
      <c r="W14">
        <f t="shared" si="12"/>
        <v>-0.33048</v>
      </c>
    </row>
    <row r="15" spans="1:23" x14ac:dyDescent="0.3">
      <c r="A15">
        <v>0.61064295000000002</v>
      </c>
      <c r="B15">
        <v>0.70538000000000001</v>
      </c>
      <c r="C15">
        <f t="shared" si="1"/>
        <v>0.43073532407100001</v>
      </c>
      <c r="D15" s="1">
        <v>2.1000000000000001E-2</v>
      </c>
      <c r="E15" s="1">
        <v>1.41E-2</v>
      </c>
      <c r="F15">
        <f t="shared" si="2"/>
        <v>122.12859</v>
      </c>
      <c r="G15">
        <f t="shared" si="3"/>
        <v>-0.70538000000000001</v>
      </c>
      <c r="H15">
        <f t="shared" si="4"/>
        <v>-86.147064814200007</v>
      </c>
      <c r="I15">
        <v>1</v>
      </c>
      <c r="J15">
        <f t="shared" si="5"/>
        <v>-2.1026807729407051</v>
      </c>
      <c r="K15">
        <f t="shared" si="6"/>
        <v>-0.47453057297601198</v>
      </c>
      <c r="L15">
        <v>1</v>
      </c>
      <c r="M15">
        <f t="shared" si="8"/>
        <v>0.43919590486978127</v>
      </c>
      <c r="N15">
        <f t="shared" si="11"/>
        <v>1.2823501950000002E-2</v>
      </c>
      <c r="O15">
        <f t="shared" si="9"/>
        <v>8.6100655950000007E-3</v>
      </c>
      <c r="P15">
        <f t="shared" si="10"/>
        <v>1.39011005612307E-2</v>
      </c>
      <c r="V15">
        <v>-5.0999999999999996</v>
      </c>
      <c r="W15">
        <f t="shared" si="12"/>
        <v>-0.33399000000000001</v>
      </c>
    </row>
    <row r="16" spans="1:23" x14ac:dyDescent="0.3">
      <c r="A16">
        <v>0.66244795000000001</v>
      </c>
      <c r="B16">
        <v>0.69894999999999996</v>
      </c>
      <c r="C16">
        <f t="shared" si="1"/>
        <v>0.46301799465249999</v>
      </c>
      <c r="D16" s="1">
        <v>2.1000000000000001E-2</v>
      </c>
      <c r="E16" s="1">
        <v>1.41E-2</v>
      </c>
      <c r="F16">
        <f t="shared" si="2"/>
        <v>132.48958999999999</v>
      </c>
      <c r="G16">
        <f t="shared" si="3"/>
        <v>-0.69894999999999996</v>
      </c>
      <c r="H16">
        <f t="shared" si="4"/>
        <v>-92.603598930499999</v>
      </c>
      <c r="I16">
        <v>1</v>
      </c>
      <c r="J16">
        <f t="shared" si="5"/>
        <v>-2.0212512026800691</v>
      </c>
      <c r="K16">
        <f t="shared" si="6"/>
        <v>-0.48096057297601202</v>
      </c>
      <c r="L16">
        <v>1</v>
      </c>
      <c r="M16">
        <f t="shared" si="8"/>
        <v>0.44205408278592961</v>
      </c>
      <c r="N16">
        <f t="shared" si="11"/>
        <v>1.3911406950000002E-2</v>
      </c>
      <c r="O16">
        <f t="shared" si="9"/>
        <v>9.3405160949999993E-3</v>
      </c>
      <c r="P16">
        <f t="shared" si="10"/>
        <v>1.5654567145082406E-2</v>
      </c>
      <c r="V16">
        <v>-5</v>
      </c>
      <c r="W16">
        <f t="shared" si="12"/>
        <v>-0.33750000000000002</v>
      </c>
    </row>
    <row r="17" spans="1:23" x14ac:dyDescent="0.3">
      <c r="A17">
        <v>0.71275864999999994</v>
      </c>
      <c r="B17">
        <v>0.69254000000000004</v>
      </c>
      <c r="C17">
        <f t="shared" si="1"/>
        <v>0.493613875471</v>
      </c>
      <c r="D17" s="1">
        <v>2.1000000000000001E-2</v>
      </c>
      <c r="E17" s="1">
        <v>1.41E-2</v>
      </c>
      <c r="F17">
        <f t="shared" si="2"/>
        <v>142.55172999999999</v>
      </c>
      <c r="G17">
        <f t="shared" si="3"/>
        <v>-0.69254000000000004</v>
      </c>
      <c r="H17">
        <f t="shared" si="4"/>
        <v>-98.722775094200003</v>
      </c>
      <c r="I17">
        <v>1</v>
      </c>
      <c r="J17">
        <f t="shared" si="5"/>
        <v>-1.9480503276044989</v>
      </c>
      <c r="K17">
        <f t="shared" si="6"/>
        <v>-0.48737057297601194</v>
      </c>
      <c r="L17">
        <v>1</v>
      </c>
      <c r="M17">
        <f t="shared" si="8"/>
        <v>0.44462343350108213</v>
      </c>
      <c r="N17">
        <f t="shared" si="11"/>
        <v>1.496793165E-2</v>
      </c>
      <c r="O17">
        <f t="shared" si="9"/>
        <v>1.0049896964999999E-2</v>
      </c>
      <c r="P17">
        <f t="shared" si="10"/>
        <v>1.7729310859929806E-2</v>
      </c>
      <c r="V17">
        <v>-4.9000000000000004</v>
      </c>
      <c r="W17">
        <f t="shared" si="12"/>
        <v>-0.34101000000000004</v>
      </c>
    </row>
    <row r="18" spans="1:23" x14ac:dyDescent="0.3">
      <c r="A18">
        <v>0.76257125000000003</v>
      </c>
      <c r="B18">
        <v>0.68647999999999998</v>
      </c>
      <c r="C18">
        <f t="shared" si="1"/>
        <v>0.52348991170000003</v>
      </c>
      <c r="D18" s="1">
        <v>2.1000000000000001E-2</v>
      </c>
      <c r="E18" s="1">
        <v>1.41E-2</v>
      </c>
      <c r="F18">
        <f t="shared" si="2"/>
        <v>152.51425</v>
      </c>
      <c r="G18">
        <f t="shared" si="3"/>
        <v>-0.68647999999999998</v>
      </c>
      <c r="H18">
        <f t="shared" si="4"/>
        <v>-104.69798234000001</v>
      </c>
      <c r="I18">
        <v>1</v>
      </c>
      <c r="J18">
        <f t="shared" si="5"/>
        <v>-1.8804972446772097</v>
      </c>
      <c r="K18">
        <f t="shared" si="6"/>
        <v>-0.49343057297601201</v>
      </c>
      <c r="L18">
        <v>1</v>
      </c>
      <c r="M18">
        <f t="shared" si="8"/>
        <v>0.44699454671182992</v>
      </c>
      <c r="N18">
        <f t="shared" si="11"/>
        <v>1.6013996250000002E-2</v>
      </c>
      <c r="O18">
        <f t="shared" si="9"/>
        <v>1.0752254625000001E-2</v>
      </c>
      <c r="P18">
        <f t="shared" si="10"/>
        <v>1.9669775389182083E-2</v>
      </c>
      <c r="V18">
        <v>-4.8</v>
      </c>
      <c r="W18">
        <f t="shared" si="12"/>
        <v>-0.34452000000000005</v>
      </c>
    </row>
    <row r="19" spans="1:23" x14ac:dyDescent="0.3">
      <c r="A19">
        <v>0.81686689999999995</v>
      </c>
      <c r="B19">
        <v>0.68161000000000005</v>
      </c>
      <c r="C19">
        <f t="shared" si="1"/>
        <v>0.55678464770900005</v>
      </c>
      <c r="D19" s="1">
        <v>2.1000000000000001E-2</v>
      </c>
      <c r="E19" s="1">
        <v>1.41E-2</v>
      </c>
      <c r="F19">
        <f t="shared" si="2"/>
        <v>163.37338</v>
      </c>
      <c r="G19">
        <f t="shared" si="3"/>
        <v>-0.68161000000000005</v>
      </c>
      <c r="H19">
        <f t="shared" si="4"/>
        <v>-111.35692954180001</v>
      </c>
      <c r="I19">
        <v>1</v>
      </c>
      <c r="J19">
        <f t="shared" si="5"/>
        <v>-1.8117170229247099</v>
      </c>
      <c r="K19">
        <f t="shared" si="6"/>
        <v>-0.49830057297601194</v>
      </c>
      <c r="L19">
        <v>1</v>
      </c>
      <c r="M19">
        <f t="shared" si="8"/>
        <v>0.44940873249534269</v>
      </c>
      <c r="N19">
        <f t="shared" si="11"/>
        <v>1.7154204900000001E-2</v>
      </c>
      <c r="O19">
        <f t="shared" si="9"/>
        <v>1.151782329E-2</v>
      </c>
      <c r="P19">
        <f t="shared" si="10"/>
        <v>2.0219812290669249E-2</v>
      </c>
      <c r="V19">
        <v>-4.7</v>
      </c>
      <c r="W19">
        <f t="shared" si="12"/>
        <v>-0.34803000000000001</v>
      </c>
    </row>
    <row r="20" spans="1:23" x14ac:dyDescent="0.3">
      <c r="A20">
        <v>0.868672</v>
      </c>
      <c r="B20">
        <v>0.67523999999999995</v>
      </c>
      <c r="C20">
        <f t="shared" si="1"/>
        <v>0.58656208127999998</v>
      </c>
      <c r="D20" s="1">
        <v>2.1000000000000001E-2</v>
      </c>
      <c r="E20" s="1">
        <v>1.41E-2</v>
      </c>
      <c r="F20">
        <f t="shared" si="2"/>
        <v>173.73439999999999</v>
      </c>
      <c r="G20">
        <f t="shared" si="3"/>
        <v>-0.67523999999999995</v>
      </c>
      <c r="H20">
        <f t="shared" si="4"/>
        <v>-117.31241625599999</v>
      </c>
      <c r="I20">
        <v>1</v>
      </c>
      <c r="J20">
        <f t="shared" si="5"/>
        <v>-1.7502275827407376</v>
      </c>
      <c r="K20">
        <f t="shared" si="6"/>
        <v>-0.50467057297601203</v>
      </c>
      <c r="L20">
        <v>1</v>
      </c>
      <c r="M20">
        <f t="shared" si="8"/>
        <v>0.45156701184580011</v>
      </c>
      <c r="N20">
        <f t="shared" si="11"/>
        <v>1.8242112000000001E-2</v>
      </c>
      <c r="O20">
        <f t="shared" si="9"/>
        <v>1.22482752E-2</v>
      </c>
      <c r="P20">
        <f t="shared" si="10"/>
        <v>2.2613173930211915E-2</v>
      </c>
      <c r="V20">
        <v>-4.5999999999999996</v>
      </c>
      <c r="W20">
        <f t="shared" si="12"/>
        <v>-0.35154000000000002</v>
      </c>
    </row>
    <row r="21" spans="1:23" x14ac:dyDescent="0.3">
      <c r="A21">
        <v>0.92246954999999997</v>
      </c>
      <c r="B21">
        <v>0.66932999999999998</v>
      </c>
      <c r="C21">
        <f t="shared" si="1"/>
        <v>0.61743654390149993</v>
      </c>
      <c r="D21" s="1">
        <v>2.1000000000000001E-2</v>
      </c>
      <c r="E21" s="1">
        <v>1.41E-2</v>
      </c>
      <c r="F21">
        <f t="shared" si="2"/>
        <v>184.49391</v>
      </c>
      <c r="G21">
        <f t="shared" si="3"/>
        <v>-0.66932999999999998</v>
      </c>
      <c r="H21">
        <f t="shared" si="4"/>
        <v>-123.48730878029998</v>
      </c>
      <c r="I21">
        <v>1</v>
      </c>
      <c r="J21">
        <f t="shared" si="5"/>
        <v>-1.6901388241764168</v>
      </c>
      <c r="K21">
        <f t="shared" si="6"/>
        <v>-0.510580572976012</v>
      </c>
      <c r="L21">
        <v>1</v>
      </c>
      <c r="M21">
        <f t="shared" si="8"/>
        <v>0.45367612727140777</v>
      </c>
      <c r="N21">
        <f t="shared" si="11"/>
        <v>1.9371860550000002E-2</v>
      </c>
      <c r="O21">
        <f t="shared" si="9"/>
        <v>1.3006820654999999E-2</v>
      </c>
      <c r="P21">
        <f t="shared" si="10"/>
        <v>2.4525764499604231E-2</v>
      </c>
      <c r="V21">
        <v>-4.5000000000000098</v>
      </c>
      <c r="W21">
        <f t="shared" si="12"/>
        <v>-0.35504999999999964</v>
      </c>
    </row>
    <row r="22" spans="1:23" x14ac:dyDescent="0.3">
      <c r="A22">
        <v>0.97228215000000007</v>
      </c>
      <c r="B22">
        <v>0.66403000000000001</v>
      </c>
      <c r="C22">
        <f t="shared" si="1"/>
        <v>0.6456245160645</v>
      </c>
      <c r="D22" s="1">
        <v>2.1000000000000001E-2</v>
      </c>
      <c r="E22" s="1">
        <v>1.41E-2</v>
      </c>
      <c r="F22">
        <f t="shared" si="2"/>
        <v>194.45643000000001</v>
      </c>
      <c r="G22">
        <f t="shared" si="3"/>
        <v>-0.66403000000000001</v>
      </c>
      <c r="H22">
        <f t="shared" si="4"/>
        <v>-129.12490321289999</v>
      </c>
      <c r="I22">
        <v>1</v>
      </c>
      <c r="J22">
        <f t="shared" si="5"/>
        <v>-1.6375471513004634</v>
      </c>
      <c r="K22">
        <f t="shared" si="6"/>
        <v>-0.51588057297601198</v>
      </c>
      <c r="L22">
        <v>1</v>
      </c>
      <c r="M22">
        <f t="shared" si="8"/>
        <v>0.45552209498935375</v>
      </c>
      <c r="N22">
        <f t="shared" si="11"/>
        <v>2.0417925150000002E-2</v>
      </c>
      <c r="O22">
        <f t="shared" si="9"/>
        <v>1.3709178315000001E-2</v>
      </c>
      <c r="P22">
        <f t="shared" si="10"/>
        <v>2.6231374521658218E-2</v>
      </c>
      <c r="V22">
        <v>-4.4000000000000101</v>
      </c>
      <c r="W22">
        <f t="shared" si="12"/>
        <v>-0.35855999999999966</v>
      </c>
    </row>
    <row r="23" spans="1:23" x14ac:dyDescent="0.3">
      <c r="A23">
        <v>1.0255816500000001</v>
      </c>
      <c r="B23">
        <v>0.65885000000000005</v>
      </c>
      <c r="C23">
        <f t="shared" si="1"/>
        <v>0.67570447010250012</v>
      </c>
      <c r="D23" s="1">
        <v>2.1000000000000001E-2</v>
      </c>
      <c r="E23" s="1">
        <v>1.41E-2</v>
      </c>
      <c r="F23">
        <f t="shared" si="2"/>
        <v>205.11633000000003</v>
      </c>
      <c r="G23">
        <f t="shared" si="3"/>
        <v>-0.65885000000000005</v>
      </c>
      <c r="H23">
        <f t="shared" si="4"/>
        <v>-135.14089402050001</v>
      </c>
      <c r="I23">
        <v>1</v>
      </c>
      <c r="J23">
        <f t="shared" si="5"/>
        <v>-1.5841779973755734</v>
      </c>
      <c r="K23">
        <f t="shared" si="6"/>
        <v>-0.52106057297601194</v>
      </c>
      <c r="L23">
        <v>1</v>
      </c>
      <c r="M23">
        <f t="shared" si="8"/>
        <v>0.45739535229211736</v>
      </c>
      <c r="N23">
        <f t="shared" si="11"/>
        <v>2.1537214650000004E-2</v>
      </c>
      <c r="O23">
        <f t="shared" si="9"/>
        <v>1.4460701265000002E-2</v>
      </c>
      <c r="P23">
        <f t="shared" si="10"/>
        <v>2.766730476889457E-2</v>
      </c>
      <c r="V23">
        <v>-4.3000000000000096</v>
      </c>
      <c r="W23">
        <f t="shared" si="12"/>
        <v>-0.36206999999999967</v>
      </c>
    </row>
    <row r="24" spans="1:23" x14ac:dyDescent="0.3">
      <c r="A24">
        <v>1.0748961500000001</v>
      </c>
      <c r="B24">
        <v>0.65327999999999997</v>
      </c>
      <c r="C24">
        <f t="shared" si="1"/>
        <v>0.702208156872</v>
      </c>
      <c r="D24" s="1">
        <v>2.1000000000000001E-2</v>
      </c>
      <c r="E24" s="1">
        <v>1.41E-2</v>
      </c>
      <c r="F24">
        <f t="shared" si="2"/>
        <v>214.97923</v>
      </c>
      <c r="G24">
        <f t="shared" si="3"/>
        <v>-0.65327999999999997</v>
      </c>
      <c r="H24">
        <f t="shared" si="4"/>
        <v>-140.4416313744</v>
      </c>
      <c r="I24">
        <v>1</v>
      </c>
      <c r="J24">
        <f t="shared" si="5"/>
        <v>-1.537213860172167</v>
      </c>
      <c r="K24">
        <f t="shared" si="6"/>
        <v>-0.52663057297601201</v>
      </c>
      <c r="L24">
        <v>1</v>
      </c>
      <c r="M24">
        <f t="shared" si="8"/>
        <v>0.45904379350795693</v>
      </c>
      <c r="N24">
        <f t="shared" si="11"/>
        <v>2.2572819150000003E-2</v>
      </c>
      <c r="O24">
        <f t="shared" si="9"/>
        <v>1.5156035715E-2</v>
      </c>
      <c r="P24">
        <f t="shared" si="10"/>
        <v>2.9857924603055072E-2</v>
      </c>
      <c r="V24">
        <v>-4.2000000000000099</v>
      </c>
      <c r="W24">
        <f t="shared" si="12"/>
        <v>-0.36557999999999968</v>
      </c>
    </row>
    <row r="25" spans="1:23" x14ac:dyDescent="0.3">
      <c r="A25">
        <v>1.12570485</v>
      </c>
      <c r="B25">
        <v>0.64875000000000005</v>
      </c>
      <c r="C25">
        <f t="shared" si="1"/>
        <v>0.73030102143750009</v>
      </c>
      <c r="D25" s="1">
        <v>2.1000000000000001E-2</v>
      </c>
      <c r="E25" s="1">
        <v>1.41E-2</v>
      </c>
      <c r="F25">
        <f t="shared" si="2"/>
        <v>225.14096999999998</v>
      </c>
      <c r="G25">
        <f t="shared" si="3"/>
        <v>-0.64875000000000005</v>
      </c>
      <c r="H25">
        <f t="shared" si="4"/>
        <v>-146.06020428750003</v>
      </c>
      <c r="I25">
        <v>1</v>
      </c>
      <c r="J25">
        <f t="shared" si="5"/>
        <v>-1.4910285396344505</v>
      </c>
      <c r="K25">
        <f t="shared" si="6"/>
        <v>-0.53116057297601194</v>
      </c>
      <c r="L25">
        <v>1</v>
      </c>
      <c r="M25">
        <f t="shared" si="8"/>
        <v>0.46066489825883078</v>
      </c>
      <c r="N25">
        <f t="shared" si="11"/>
        <v>2.3639801849999999E-2</v>
      </c>
      <c r="O25">
        <f t="shared" si="9"/>
        <v>1.5872438385E-2</v>
      </c>
      <c r="P25">
        <f t="shared" si="10"/>
        <v>3.0983434482181153E-2</v>
      </c>
      <c r="V25">
        <v>-4.1000000000000103</v>
      </c>
      <c r="W25">
        <f t="shared" si="12"/>
        <v>-0.36908999999999964</v>
      </c>
    </row>
    <row r="26" spans="1:23" x14ac:dyDescent="0.3">
      <c r="A26">
        <v>1.1760156499999999</v>
      </c>
      <c r="B26">
        <v>0.64354999999999996</v>
      </c>
      <c r="C26">
        <f t="shared" si="1"/>
        <v>0.75682487155749989</v>
      </c>
      <c r="D26" s="1">
        <v>2.1000000000000001E-2</v>
      </c>
      <c r="E26" s="1">
        <v>1.41E-2</v>
      </c>
      <c r="F26">
        <f t="shared" si="2"/>
        <v>235.20312999999996</v>
      </c>
      <c r="G26">
        <f t="shared" si="3"/>
        <v>-0.64354999999999996</v>
      </c>
      <c r="H26">
        <f t="shared" si="4"/>
        <v>-151.36497431149996</v>
      </c>
      <c r="I26">
        <v>1</v>
      </c>
      <c r="J26">
        <f t="shared" si="5"/>
        <v>-1.4473057552230844</v>
      </c>
      <c r="K26">
        <f t="shared" si="6"/>
        <v>-0.53636057297601203</v>
      </c>
      <c r="L26">
        <v>1</v>
      </c>
      <c r="M26">
        <f t="shared" si="8"/>
        <v>0.46219956799166972</v>
      </c>
      <c r="N26">
        <f t="shared" si="11"/>
        <v>2.4696328649999998E-2</v>
      </c>
      <c r="O26">
        <f t="shared" si="9"/>
        <v>1.6581820664999997E-2</v>
      </c>
      <c r="P26">
        <f t="shared" si="10"/>
        <v>3.2882855669342306E-2</v>
      </c>
      <c r="V26">
        <v>-4.0000000000000098</v>
      </c>
      <c r="W26">
        <f t="shared" si="12"/>
        <v>-0.37259999999999971</v>
      </c>
    </row>
    <row r="27" spans="1:23" x14ac:dyDescent="0.3">
      <c r="A27">
        <v>1.2258282</v>
      </c>
      <c r="B27">
        <v>0.6391</v>
      </c>
      <c r="C27">
        <f t="shared" si="1"/>
        <v>0.78342680261999997</v>
      </c>
      <c r="D27" s="1">
        <v>2.1000000000000001E-2</v>
      </c>
      <c r="E27" s="1">
        <v>1.41E-2</v>
      </c>
      <c r="F27">
        <f t="shared" si="2"/>
        <v>245.16564</v>
      </c>
      <c r="G27">
        <f t="shared" si="3"/>
        <v>-0.6391</v>
      </c>
      <c r="H27">
        <f t="shared" si="4"/>
        <v>-156.685360524</v>
      </c>
      <c r="I27">
        <v>1</v>
      </c>
      <c r="J27">
        <f t="shared" si="5"/>
        <v>-1.4058212152449869</v>
      </c>
      <c r="K27">
        <f t="shared" si="6"/>
        <v>-0.54081057297601198</v>
      </c>
      <c r="L27">
        <v>1</v>
      </c>
      <c r="M27">
        <f t="shared" si="8"/>
        <v>0.46365567534490099</v>
      </c>
      <c r="N27">
        <f t="shared" si="11"/>
        <v>2.5742392200000002E-2</v>
      </c>
      <c r="O27">
        <f t="shared" si="9"/>
        <v>1.7284177620000001E-2</v>
      </c>
      <c r="P27">
        <f t="shared" si="10"/>
        <v>3.4128327811110991E-2</v>
      </c>
      <c r="V27">
        <v>-3.9000000000000101</v>
      </c>
      <c r="W27">
        <f t="shared" si="12"/>
        <v>-0.37610999999999967</v>
      </c>
    </row>
    <row r="28" spans="1:23" x14ac:dyDescent="0.3">
      <c r="A28">
        <v>1.2756407000000001</v>
      </c>
      <c r="B28">
        <v>0.63429999999999997</v>
      </c>
      <c r="C28">
        <f t="shared" si="1"/>
        <v>0.80913889601</v>
      </c>
      <c r="D28" s="1">
        <v>2.1000000000000001E-2</v>
      </c>
      <c r="E28" s="1">
        <v>1.41E-2</v>
      </c>
      <c r="F28">
        <f t="shared" si="2"/>
        <v>255.12814</v>
      </c>
      <c r="G28">
        <f t="shared" si="3"/>
        <v>-0.63429999999999997</v>
      </c>
      <c r="H28">
        <f t="shared" si="4"/>
        <v>-161.82777920199999</v>
      </c>
      <c r="I28">
        <v>1</v>
      </c>
      <c r="J28">
        <f t="shared" si="5"/>
        <v>-1.3659893502355596</v>
      </c>
      <c r="K28">
        <f t="shared" si="6"/>
        <v>-0.54561057297601201</v>
      </c>
      <c r="L28">
        <v>1</v>
      </c>
      <c r="M28">
        <f t="shared" si="8"/>
        <v>0.46505377380673185</v>
      </c>
      <c r="N28">
        <f t="shared" si="11"/>
        <v>2.6788454700000002E-2</v>
      </c>
      <c r="O28">
        <f t="shared" si="9"/>
        <v>1.7986533870000002E-2</v>
      </c>
      <c r="P28">
        <f t="shared" si="10"/>
        <v>3.5781810599280151E-2</v>
      </c>
      <c r="V28">
        <v>-3.80000000000001</v>
      </c>
      <c r="W28">
        <f t="shared" si="12"/>
        <v>-0.37961999999999962</v>
      </c>
    </row>
    <row r="29" spans="1:23" x14ac:dyDescent="0.3">
      <c r="A29">
        <v>1.3259513999999999</v>
      </c>
      <c r="B29">
        <v>0.62949999999999995</v>
      </c>
      <c r="C29">
        <f t="shared" si="1"/>
        <v>0.83468640629999991</v>
      </c>
      <c r="D29" s="1">
        <v>2.1000000000000001E-2</v>
      </c>
      <c r="E29" s="1">
        <v>1.41E-2</v>
      </c>
      <c r="F29">
        <f t="shared" si="2"/>
        <v>265.19027999999997</v>
      </c>
      <c r="G29">
        <f t="shared" si="3"/>
        <v>-0.62949999999999995</v>
      </c>
      <c r="H29">
        <f t="shared" si="4"/>
        <v>-166.93728125999999</v>
      </c>
      <c r="I29">
        <v>1</v>
      </c>
      <c r="J29">
        <f t="shared" si="5"/>
        <v>-1.3273076729258257</v>
      </c>
      <c r="K29">
        <f t="shared" si="6"/>
        <v>-0.55041057297601204</v>
      </c>
      <c r="L29">
        <v>1</v>
      </c>
      <c r="M29">
        <f t="shared" si="8"/>
        <v>0.46641150068030351</v>
      </c>
      <c r="N29">
        <f t="shared" si="11"/>
        <v>2.7844979400000001E-2</v>
      </c>
      <c r="O29">
        <f t="shared" si="9"/>
        <v>1.869591474E-2</v>
      </c>
      <c r="P29">
        <f t="shared" si="10"/>
        <v>3.7458178155708524E-2</v>
      </c>
      <c r="V29">
        <v>-3.7000000000000099</v>
      </c>
      <c r="W29">
        <f t="shared" si="12"/>
        <v>-0.38312999999999964</v>
      </c>
    </row>
    <row r="30" spans="1:23" x14ac:dyDescent="0.3">
      <c r="A30">
        <v>1.3752659</v>
      </c>
      <c r="B30">
        <v>0.62522999999999995</v>
      </c>
      <c r="C30">
        <f t="shared" si="1"/>
        <v>0.85985749865700001</v>
      </c>
      <c r="D30" s="1">
        <v>2.1000000000000001E-2</v>
      </c>
      <c r="E30" s="1">
        <v>1.41E-2</v>
      </c>
      <c r="F30">
        <f t="shared" si="2"/>
        <v>275.05318</v>
      </c>
      <c r="G30">
        <f t="shared" si="3"/>
        <v>-0.62522999999999995</v>
      </c>
      <c r="H30">
        <f t="shared" si="4"/>
        <v>-171.9714997314</v>
      </c>
      <c r="I30">
        <v>1</v>
      </c>
      <c r="J30">
        <f t="shared" si="5"/>
        <v>-1.2907908181932375</v>
      </c>
      <c r="K30">
        <f t="shared" si="6"/>
        <v>-0.55468057297601203</v>
      </c>
      <c r="L30">
        <v>1</v>
      </c>
      <c r="M30">
        <f t="shared" si="8"/>
        <v>0.4676932422814174</v>
      </c>
      <c r="N30">
        <f t="shared" si="11"/>
        <v>2.8880583900000003E-2</v>
      </c>
      <c r="O30">
        <f t="shared" si="9"/>
        <v>1.9391249190000001E-2</v>
      </c>
      <c r="P30">
        <f t="shared" si="10"/>
        <v>3.8715497604594626E-2</v>
      </c>
      <c r="V30">
        <v>-3.6000000000000099</v>
      </c>
      <c r="W30">
        <f t="shared" si="12"/>
        <v>-0.38663999999999965</v>
      </c>
    </row>
    <row r="31" spans="1:23" x14ac:dyDescent="0.3">
      <c r="A31">
        <v>1.4245802000000001</v>
      </c>
      <c r="B31">
        <v>0.62060999999999999</v>
      </c>
      <c r="C31">
        <f t="shared" si="1"/>
        <v>0.88410871792200008</v>
      </c>
      <c r="D31" s="1">
        <v>2.1000000000000001E-2</v>
      </c>
      <c r="E31" s="1">
        <v>1.41E-2</v>
      </c>
      <c r="F31">
        <f t="shared" si="2"/>
        <v>284.91604000000001</v>
      </c>
      <c r="G31">
        <f t="shared" si="3"/>
        <v>-0.62060999999999999</v>
      </c>
      <c r="H31">
        <f t="shared" si="4"/>
        <v>-176.82174358440002</v>
      </c>
      <c r="I31">
        <v>1</v>
      </c>
      <c r="J31">
        <f t="shared" si="5"/>
        <v>-1.2555607386067851</v>
      </c>
      <c r="K31">
        <f t="shared" si="6"/>
        <v>-0.55930057297601199</v>
      </c>
      <c r="L31">
        <v>1</v>
      </c>
      <c r="M31">
        <f t="shared" si="8"/>
        <v>0.46892981807490186</v>
      </c>
      <c r="N31">
        <f t="shared" si="11"/>
        <v>2.9916184200000005E-2</v>
      </c>
      <c r="O31">
        <f t="shared" si="9"/>
        <v>2.0086580820000002E-2</v>
      </c>
      <c r="P31">
        <f t="shared" si="10"/>
        <v>4.0367989881110122E-2</v>
      </c>
      <c r="V31">
        <v>-3.5000000000000102</v>
      </c>
      <c r="W31">
        <f t="shared" si="12"/>
        <v>-0.39014999999999966</v>
      </c>
    </row>
    <row r="32" spans="1:23" x14ac:dyDescent="0.3">
      <c r="A32">
        <v>1.47538915</v>
      </c>
      <c r="B32">
        <v>0.61665000000000003</v>
      </c>
      <c r="C32">
        <f t="shared" si="1"/>
        <v>0.90979871934750012</v>
      </c>
      <c r="D32" s="1">
        <v>2.1000000000000001E-2</v>
      </c>
      <c r="E32" s="1">
        <v>1.41E-2</v>
      </c>
      <c r="F32">
        <f t="shared" si="2"/>
        <v>295.07783000000001</v>
      </c>
      <c r="G32">
        <f t="shared" si="3"/>
        <v>-0.61665000000000003</v>
      </c>
      <c r="H32">
        <f t="shared" si="4"/>
        <v>-181.95974386950002</v>
      </c>
      <c r="I32">
        <v>1</v>
      </c>
      <c r="J32">
        <f t="shared" si="5"/>
        <v>-1.220516126930991</v>
      </c>
      <c r="K32">
        <f t="shared" si="6"/>
        <v>-0.56326057297601195</v>
      </c>
      <c r="L32">
        <v>1</v>
      </c>
      <c r="M32">
        <f t="shared" si="8"/>
        <v>0.47015988394472225</v>
      </c>
      <c r="N32">
        <f t="shared" si="11"/>
        <v>3.0983172150000002E-2</v>
      </c>
      <c r="O32">
        <f t="shared" si="9"/>
        <v>2.0802987015E-2</v>
      </c>
      <c r="P32">
        <f t="shared" si="10"/>
        <v>4.1314529866289709E-2</v>
      </c>
      <c r="V32">
        <v>-3.4000000000000101</v>
      </c>
      <c r="W32">
        <f t="shared" si="12"/>
        <v>-0.39365999999999968</v>
      </c>
    </row>
    <row r="33" spans="1:23" x14ac:dyDescent="0.3">
      <c r="A33">
        <v>1.52470365</v>
      </c>
      <c r="B33">
        <v>0.61221000000000003</v>
      </c>
      <c r="C33">
        <f t="shared" si="1"/>
        <v>0.93343882156650004</v>
      </c>
      <c r="D33" s="1">
        <v>2.1000000000000001E-2</v>
      </c>
      <c r="E33" s="1">
        <v>1.41E-2</v>
      </c>
      <c r="F33">
        <f t="shared" si="2"/>
        <v>304.94072999999997</v>
      </c>
      <c r="G33">
        <f t="shared" si="3"/>
        <v>-0.61221000000000003</v>
      </c>
      <c r="H33">
        <f t="shared" si="4"/>
        <v>-186.68776431330002</v>
      </c>
      <c r="I33">
        <v>1</v>
      </c>
      <c r="J33">
        <f t="shared" si="5"/>
        <v>-1.1876378491276847</v>
      </c>
      <c r="K33">
        <f t="shared" si="6"/>
        <v>-0.56770057297601195</v>
      </c>
      <c r="L33">
        <v>1</v>
      </c>
      <c r="M33">
        <f t="shared" si="8"/>
        <v>0.4713139114956183</v>
      </c>
      <c r="N33">
        <f t="shared" si="11"/>
        <v>3.2018776650000004E-2</v>
      </c>
      <c r="O33">
        <f t="shared" si="9"/>
        <v>2.1498321464999998E-2</v>
      </c>
      <c r="P33">
        <f t="shared" si="10"/>
        <v>4.2869563365393659E-2</v>
      </c>
      <c r="V33">
        <v>-3.30000000000001</v>
      </c>
      <c r="W33">
        <f t="shared" si="12"/>
        <v>-0.39716999999999969</v>
      </c>
    </row>
    <row r="34" spans="1:23" x14ac:dyDescent="0.3">
      <c r="A34">
        <v>1.5770068000000002</v>
      </c>
      <c r="B34">
        <v>0.60743999999999998</v>
      </c>
      <c r="C34">
        <f t="shared" si="1"/>
        <v>0.95793701059200009</v>
      </c>
      <c r="D34" s="1">
        <v>2.1000000000000001E-2</v>
      </c>
      <c r="E34" s="1">
        <v>1.41E-2</v>
      </c>
      <c r="F34">
        <f t="shared" si="2"/>
        <v>315.40136000000001</v>
      </c>
      <c r="G34">
        <f t="shared" si="3"/>
        <v>-0.60743999999999998</v>
      </c>
      <c r="H34">
        <f t="shared" si="4"/>
        <v>-191.58740211840001</v>
      </c>
      <c r="I34">
        <v>1</v>
      </c>
      <c r="J34">
        <f t="shared" si="5"/>
        <v>-1.1539092924777143</v>
      </c>
      <c r="K34">
        <f t="shared" si="6"/>
        <v>-0.572470572976012</v>
      </c>
      <c r="L34">
        <v>1</v>
      </c>
      <c r="M34">
        <f t="shared" si="8"/>
        <v>0.47249778383403224</v>
      </c>
      <c r="N34">
        <f t="shared" si="11"/>
        <v>3.3117142800000006E-2</v>
      </c>
      <c r="O34">
        <f t="shared" si="9"/>
        <v>2.2235795880000003E-2</v>
      </c>
      <c r="P34">
        <f t="shared" si="10"/>
        <v>4.4619850461979763E-2</v>
      </c>
      <c r="V34">
        <v>-3.2000000000000099</v>
      </c>
      <c r="W34">
        <f t="shared" si="12"/>
        <v>-0.40067999999999965</v>
      </c>
    </row>
    <row r="35" spans="1:23" x14ac:dyDescent="0.3">
      <c r="A35">
        <v>1.6263212999999999</v>
      </c>
      <c r="B35">
        <v>0.60341999999999996</v>
      </c>
      <c r="C35">
        <f t="shared" si="1"/>
        <v>0.98135479884599985</v>
      </c>
      <c r="D35" s="1">
        <v>2.1000000000000001E-2</v>
      </c>
      <c r="E35" s="1">
        <v>1.41E-2</v>
      </c>
      <c r="F35">
        <f t="shared" si="2"/>
        <v>325.26425999999998</v>
      </c>
      <c r="G35">
        <f t="shared" si="3"/>
        <v>-0.60341999999999996</v>
      </c>
      <c r="H35">
        <f t="shared" si="4"/>
        <v>-196.27095976919998</v>
      </c>
      <c r="I35">
        <v>1</v>
      </c>
      <c r="J35">
        <f t="shared" si="5"/>
        <v>-1.123117319353067</v>
      </c>
      <c r="K35">
        <f t="shared" si="6"/>
        <v>-0.57649057297601203</v>
      </c>
      <c r="L35">
        <v>1</v>
      </c>
      <c r="M35">
        <f t="shared" si="8"/>
        <v>0.47357858209070736</v>
      </c>
      <c r="N35">
        <f t="shared" si="11"/>
        <v>3.4152747300000001E-2</v>
      </c>
      <c r="O35">
        <f t="shared" si="9"/>
        <v>2.2931130329999997E-2</v>
      </c>
      <c r="P35">
        <f t="shared" si="10"/>
        <v>4.582811325530467E-2</v>
      </c>
      <c r="V35">
        <v>-3.1000000000000099</v>
      </c>
      <c r="W35">
        <f t="shared" si="12"/>
        <v>-0.40418999999999966</v>
      </c>
    </row>
    <row r="36" spans="1:23" x14ac:dyDescent="0.3">
      <c r="A36">
        <v>1.6756355999999999</v>
      </c>
      <c r="B36">
        <v>0.59914999999999996</v>
      </c>
      <c r="C36">
        <f t="shared" si="1"/>
        <v>1.0039570697399998</v>
      </c>
      <c r="D36" s="1">
        <v>2.1000000000000001E-2</v>
      </c>
      <c r="E36" s="1">
        <v>1.41E-2</v>
      </c>
      <c r="F36">
        <f t="shared" si="2"/>
        <v>335.12711999999999</v>
      </c>
      <c r="G36">
        <f t="shared" si="3"/>
        <v>-0.59914999999999996</v>
      </c>
      <c r="H36">
        <f t="shared" si="4"/>
        <v>-200.79141394799996</v>
      </c>
      <c r="I36">
        <v>1</v>
      </c>
      <c r="J36">
        <f t="shared" si="5"/>
        <v>-1.0932453564482607</v>
      </c>
      <c r="K36">
        <f t="shared" si="6"/>
        <v>-0.58076057297601202</v>
      </c>
      <c r="L36">
        <v>1</v>
      </c>
      <c r="M36">
        <f t="shared" si="8"/>
        <v>0.47462708798866604</v>
      </c>
      <c r="N36">
        <f t="shared" si="11"/>
        <v>3.5188347600000003E-2</v>
      </c>
      <c r="O36">
        <f t="shared" si="9"/>
        <v>2.3626461959999998E-2</v>
      </c>
      <c r="P36">
        <f t="shared" si="10"/>
        <v>4.7318675427345983E-2</v>
      </c>
      <c r="V36">
        <v>-3.0000000000000102</v>
      </c>
      <c r="W36">
        <f t="shared" si="12"/>
        <v>-0.40769999999999967</v>
      </c>
    </row>
    <row r="37" spans="1:23" x14ac:dyDescent="0.3">
      <c r="A37">
        <v>1.7289349999999999</v>
      </c>
      <c r="B37">
        <v>0.59506000000000003</v>
      </c>
      <c r="C37">
        <f t="shared" si="1"/>
        <v>1.0288200611</v>
      </c>
      <c r="D37" s="1">
        <v>2.1000000000000001E-2</v>
      </c>
      <c r="E37" s="1">
        <v>1.41E-2</v>
      </c>
      <c r="F37">
        <f t="shared" si="2"/>
        <v>345.78699999999998</v>
      </c>
      <c r="G37">
        <f t="shared" si="3"/>
        <v>-0.59506000000000003</v>
      </c>
      <c r="H37">
        <f t="shared" si="4"/>
        <v>-205.76401222000001</v>
      </c>
      <c r="I37">
        <v>1</v>
      </c>
      <c r="J37">
        <f t="shared" si="5"/>
        <v>-1.0619323004245811</v>
      </c>
      <c r="K37">
        <f t="shared" si="6"/>
        <v>-0.58485057297601195</v>
      </c>
      <c r="L37">
        <v>1</v>
      </c>
      <c r="M37">
        <f t="shared" si="8"/>
        <v>0.47572617625509722</v>
      </c>
      <c r="N37">
        <f t="shared" si="11"/>
        <v>3.6307634999999998E-2</v>
      </c>
      <c r="O37">
        <f t="shared" si="9"/>
        <v>2.4377983499999999E-2</v>
      </c>
      <c r="P37">
        <f t="shared" si="10"/>
        <v>4.8438778220914726E-2</v>
      </c>
      <c r="V37">
        <v>-2.9000000000000101</v>
      </c>
      <c r="W37">
        <f t="shared" si="12"/>
        <v>-0.41120999999999963</v>
      </c>
    </row>
    <row r="38" spans="1:23" x14ac:dyDescent="0.3">
      <c r="A38">
        <v>1.7782495</v>
      </c>
      <c r="B38">
        <v>0.59087000000000001</v>
      </c>
      <c r="C38">
        <f t="shared" si="1"/>
        <v>1.0507142820649999</v>
      </c>
      <c r="D38" s="1">
        <v>2.1000000000000001E-2</v>
      </c>
      <c r="E38" s="1">
        <v>1.41E-2</v>
      </c>
      <c r="F38">
        <f t="shared" si="2"/>
        <v>355.6499</v>
      </c>
      <c r="G38">
        <f t="shared" si="3"/>
        <v>-0.59087000000000001</v>
      </c>
      <c r="H38">
        <f t="shared" si="4"/>
        <v>-210.142856413</v>
      </c>
      <c r="I38">
        <v>1</v>
      </c>
      <c r="J38">
        <f t="shared" si="5"/>
        <v>-1.0338084589779653</v>
      </c>
      <c r="K38">
        <f t="shared" si="6"/>
        <v>-0.58904057297601198</v>
      </c>
      <c r="L38">
        <v>1</v>
      </c>
      <c r="M38">
        <f t="shared" si="8"/>
        <v>0.47671332308987341</v>
      </c>
      <c r="N38">
        <f t="shared" si="11"/>
        <v>3.73432395E-2</v>
      </c>
      <c r="O38">
        <f t="shared" si="9"/>
        <v>2.507331795E-2</v>
      </c>
      <c r="P38">
        <f t="shared" si="10"/>
        <v>4.9910692436138569E-2</v>
      </c>
      <c r="V38">
        <v>-2.80000000000001</v>
      </c>
      <c r="W38">
        <f t="shared" si="12"/>
        <v>-0.41471999999999964</v>
      </c>
    </row>
    <row r="39" spans="1:23" x14ac:dyDescent="0.3">
      <c r="A39">
        <v>1.8275638000000001</v>
      </c>
      <c r="B39">
        <v>0.58762000000000003</v>
      </c>
      <c r="C39">
        <f t="shared" si="1"/>
        <v>1.0739130401560002</v>
      </c>
      <c r="D39" s="1">
        <v>2.1000000000000001E-2</v>
      </c>
      <c r="E39" s="1">
        <v>1.41E-2</v>
      </c>
      <c r="F39">
        <f t="shared" si="2"/>
        <v>365.51276000000001</v>
      </c>
      <c r="G39">
        <f t="shared" si="3"/>
        <v>-0.58762000000000003</v>
      </c>
      <c r="H39">
        <f t="shared" si="4"/>
        <v>-214.78260803120003</v>
      </c>
      <c r="I39">
        <v>1</v>
      </c>
      <c r="J39">
        <f t="shared" si="5"/>
        <v>-1.0064540893209701</v>
      </c>
      <c r="K39">
        <f t="shared" si="6"/>
        <v>-0.59229057297601195</v>
      </c>
      <c r="L39">
        <v>1</v>
      </c>
      <c r="M39">
        <f t="shared" si="8"/>
        <v>0.47767346146483397</v>
      </c>
      <c r="N39">
        <f t="shared" si="11"/>
        <v>3.8378839800000002E-2</v>
      </c>
      <c r="O39">
        <f t="shared" si="9"/>
        <v>2.5768649580000001E-2</v>
      </c>
      <c r="P39">
        <f t="shared" si="10"/>
        <v>5.0469622131177977E-2</v>
      </c>
      <c r="V39">
        <v>-2.7000000000000099</v>
      </c>
      <c r="W39">
        <f t="shared" si="12"/>
        <v>-0.41822999999999966</v>
      </c>
    </row>
    <row r="40" spans="1:23" x14ac:dyDescent="0.3">
      <c r="A40">
        <v>1.8768783999999998</v>
      </c>
      <c r="B40">
        <v>0.58328999999999998</v>
      </c>
      <c r="C40">
        <f t="shared" si="1"/>
        <v>1.0947644019359999</v>
      </c>
      <c r="D40" s="1">
        <v>2.1000000000000001E-2</v>
      </c>
      <c r="E40" s="1">
        <v>1.41E-2</v>
      </c>
      <c r="F40">
        <f t="shared" si="2"/>
        <v>375.37567999999999</v>
      </c>
      <c r="G40">
        <f t="shared" si="3"/>
        <v>-0.58328999999999998</v>
      </c>
      <c r="H40">
        <f t="shared" si="4"/>
        <v>-218.95288038719997</v>
      </c>
      <c r="I40">
        <v>1</v>
      </c>
      <c r="J40">
        <f t="shared" si="5"/>
        <v>-0.97982794115847205</v>
      </c>
      <c r="K40">
        <f t="shared" si="6"/>
        <v>-0.59662057297601201</v>
      </c>
      <c r="L40">
        <v>1</v>
      </c>
      <c r="M40">
        <f t="shared" si="8"/>
        <v>0.47860803926533763</v>
      </c>
      <c r="N40">
        <f t="shared" si="11"/>
        <v>3.9414446399999997E-2</v>
      </c>
      <c r="O40">
        <f t="shared" si="9"/>
        <v>2.6463985439999997E-2</v>
      </c>
      <c r="P40">
        <f t="shared" si="10"/>
        <v>5.2134101870674389E-2</v>
      </c>
      <c r="V40">
        <v>-2.6000000000000099</v>
      </c>
      <c r="W40">
        <f t="shared" si="12"/>
        <v>-0.42173999999999967</v>
      </c>
    </row>
    <row r="41" spans="1:23" x14ac:dyDescent="0.3">
      <c r="A41">
        <v>1.9281854</v>
      </c>
      <c r="B41">
        <v>0.57918999999999998</v>
      </c>
      <c r="C41">
        <f t="shared" si="1"/>
        <v>1.1167857018259999</v>
      </c>
      <c r="D41" s="1">
        <v>2.1000000000000001E-2</v>
      </c>
      <c r="E41" s="1">
        <v>1.41E-2</v>
      </c>
      <c r="F41">
        <f t="shared" si="2"/>
        <v>385.63708000000003</v>
      </c>
      <c r="G41">
        <f t="shared" si="3"/>
        <v>-0.57918999999999998</v>
      </c>
      <c r="H41">
        <f t="shared" si="4"/>
        <v>-223.35714036519997</v>
      </c>
      <c r="I41">
        <v>1</v>
      </c>
      <c r="J41">
        <f t="shared" si="5"/>
        <v>-0.95285855904327232</v>
      </c>
      <c r="K41">
        <f t="shared" si="6"/>
        <v>-0.600720572976012</v>
      </c>
      <c r="L41">
        <v>1</v>
      </c>
      <c r="M41">
        <f t="shared" si="8"/>
        <v>0.47955466457758117</v>
      </c>
      <c r="N41">
        <f t="shared" si="11"/>
        <v>4.0491893400000006E-2</v>
      </c>
      <c r="O41">
        <f t="shared" si="9"/>
        <v>2.7187414140000001E-2</v>
      </c>
      <c r="P41">
        <f t="shared" si="10"/>
        <v>5.3486600858430822E-2</v>
      </c>
      <c r="V41">
        <v>-2.5000000000000102</v>
      </c>
      <c r="W41">
        <f t="shared" si="12"/>
        <v>-0.42524999999999968</v>
      </c>
    </row>
    <row r="42" spans="1:23" x14ac:dyDescent="0.3">
      <c r="A42">
        <v>1.9779979000000001</v>
      </c>
      <c r="B42">
        <v>0.57511000000000001</v>
      </c>
      <c r="C42">
        <f t="shared" si="1"/>
        <v>1.1375663722690001</v>
      </c>
      <c r="D42" s="1">
        <v>2.1000000000000001E-2</v>
      </c>
      <c r="E42" s="1">
        <v>1.41E-2</v>
      </c>
      <c r="F42">
        <f t="shared" si="2"/>
        <v>395.59958</v>
      </c>
      <c r="G42">
        <f t="shared" si="3"/>
        <v>-0.57511000000000001</v>
      </c>
      <c r="H42">
        <f t="shared" si="4"/>
        <v>-227.51327445380002</v>
      </c>
      <c r="I42">
        <v>1</v>
      </c>
      <c r="J42">
        <f t="shared" si="5"/>
        <v>-0.92735274091260667</v>
      </c>
      <c r="K42">
        <f t="shared" si="6"/>
        <v>-0.60480057297601197</v>
      </c>
      <c r="L42">
        <v>1</v>
      </c>
      <c r="M42">
        <f t="shared" si="8"/>
        <v>0.48044991879396753</v>
      </c>
      <c r="N42">
        <f t="shared" si="11"/>
        <v>4.1537955900000006E-2</v>
      </c>
      <c r="O42">
        <f t="shared" si="9"/>
        <v>2.7889770390000002E-2</v>
      </c>
      <c r="P42">
        <f t="shared" si="10"/>
        <v>5.4922927892044435E-2</v>
      </c>
      <c r="V42">
        <v>-2.4000000000000101</v>
      </c>
      <c r="W42">
        <f t="shared" si="12"/>
        <v>-0.42875999999999964</v>
      </c>
    </row>
    <row r="43" spans="1:23" x14ac:dyDescent="0.3">
      <c r="A43">
        <v>2.0278105499999999</v>
      </c>
      <c r="B43">
        <v>0.57145000000000001</v>
      </c>
      <c r="C43">
        <f t="shared" si="1"/>
        <v>1.1587923387974999</v>
      </c>
      <c r="D43" s="1">
        <v>2.1000000000000001E-2</v>
      </c>
      <c r="E43" s="1">
        <v>1.41E-2</v>
      </c>
      <c r="F43">
        <f t="shared" si="2"/>
        <v>405.56210999999996</v>
      </c>
      <c r="G43">
        <f t="shared" si="3"/>
        <v>-0.57145000000000001</v>
      </c>
      <c r="H43">
        <f t="shared" si="4"/>
        <v>-231.75846775949998</v>
      </c>
      <c r="I43">
        <v>1</v>
      </c>
      <c r="J43">
        <f t="shared" si="5"/>
        <v>-0.90248124822858167</v>
      </c>
      <c r="K43">
        <f t="shared" si="6"/>
        <v>-0.60846057297601197</v>
      </c>
      <c r="L43">
        <v>1</v>
      </c>
      <c r="M43">
        <f t="shared" si="8"/>
        <v>0.48132290818717682</v>
      </c>
      <c r="N43">
        <f t="shared" si="11"/>
        <v>4.2584021550000004E-2</v>
      </c>
      <c r="O43">
        <f t="shared" si="9"/>
        <v>2.8592128754999998E-2</v>
      </c>
      <c r="P43">
        <f t="shared" si="10"/>
        <v>5.5961514483835142E-2</v>
      </c>
      <c r="V43">
        <v>-2.30000000000001</v>
      </c>
      <c r="W43">
        <f t="shared" si="12"/>
        <v>-0.43226999999999965</v>
      </c>
    </row>
    <row r="44" spans="1:23" x14ac:dyDescent="0.3">
      <c r="A44">
        <v>2.0791176999999998</v>
      </c>
      <c r="B44">
        <v>0.56762000000000001</v>
      </c>
      <c r="C44">
        <f t="shared" si="1"/>
        <v>1.1801487888739999</v>
      </c>
      <c r="D44" s="1">
        <v>2.1000000000000001E-2</v>
      </c>
      <c r="E44" s="1">
        <v>1.41E-2</v>
      </c>
      <c r="F44">
        <f t="shared" si="2"/>
        <v>415.82353999999998</v>
      </c>
      <c r="G44">
        <f t="shared" si="3"/>
        <v>-0.56762000000000001</v>
      </c>
      <c r="H44">
        <f t="shared" si="4"/>
        <v>-236.02975777479998</v>
      </c>
      <c r="I44">
        <v>1</v>
      </c>
      <c r="J44">
        <f t="shared" si="5"/>
        <v>-0.87749429140410895</v>
      </c>
      <c r="K44">
        <f t="shared" si="6"/>
        <v>-0.61229057297601197</v>
      </c>
      <c r="L44">
        <v>1</v>
      </c>
      <c r="M44">
        <f t="shared" si="8"/>
        <v>0.48219995037171581</v>
      </c>
      <c r="N44">
        <f t="shared" si="11"/>
        <v>4.3661471700000003E-2</v>
      </c>
      <c r="O44">
        <f t="shared" si="9"/>
        <v>2.9315559569999997E-2</v>
      </c>
      <c r="P44">
        <f t="shared" si="10"/>
        <v>5.7113591334296152E-2</v>
      </c>
      <c r="V44">
        <v>-2.2000000000000099</v>
      </c>
      <c r="W44">
        <f t="shared" si="12"/>
        <v>-0.43577999999999967</v>
      </c>
    </row>
    <row r="45" spans="1:23" x14ac:dyDescent="0.3">
      <c r="A45">
        <v>2.1299263499999999</v>
      </c>
      <c r="B45">
        <v>0.56367999999999996</v>
      </c>
      <c r="C45">
        <f t="shared" si="1"/>
        <v>1.2005968849679998</v>
      </c>
      <c r="D45" s="1">
        <v>2.1000000000000001E-2</v>
      </c>
      <c r="E45" s="1">
        <v>1.41E-2</v>
      </c>
      <c r="F45">
        <f t="shared" si="2"/>
        <v>425.98526999999996</v>
      </c>
      <c r="G45">
        <f t="shared" si="3"/>
        <v>-0.56367999999999996</v>
      </c>
      <c r="H45">
        <f t="shared" si="4"/>
        <v>-240.11937699359996</v>
      </c>
      <c r="I45">
        <v>1</v>
      </c>
      <c r="J45">
        <f t="shared" si="5"/>
        <v>-0.85335051077536972</v>
      </c>
      <c r="K45">
        <f t="shared" si="6"/>
        <v>-0.61623057297601203</v>
      </c>
      <c r="L45">
        <v>1</v>
      </c>
      <c r="M45">
        <f t="shared" si="8"/>
        <v>0.48304739707178451</v>
      </c>
      <c r="N45">
        <f t="shared" si="11"/>
        <v>4.4728453350000003E-2</v>
      </c>
      <c r="O45">
        <f t="shared" si="9"/>
        <v>3.0031961534999999E-2</v>
      </c>
      <c r="P45">
        <f t="shared" si="10"/>
        <v>5.8422761019227512E-2</v>
      </c>
      <c r="V45">
        <v>-2.1000000000000099</v>
      </c>
      <c r="W45">
        <f t="shared" si="12"/>
        <v>-0.43928999999999968</v>
      </c>
    </row>
    <row r="46" spans="1:23" x14ac:dyDescent="0.3">
      <c r="A46">
        <v>2.18173145</v>
      </c>
      <c r="B46">
        <v>0.56028</v>
      </c>
      <c r="C46">
        <f t="shared" si="1"/>
        <v>1.2223804968059999</v>
      </c>
      <c r="D46" s="1">
        <v>2.1000000000000001E-2</v>
      </c>
      <c r="E46" s="1">
        <v>1.41E-2</v>
      </c>
      <c r="F46">
        <f t="shared" si="2"/>
        <v>436.34629000000001</v>
      </c>
      <c r="G46">
        <f t="shared" si="3"/>
        <v>-0.56028</v>
      </c>
      <c r="H46">
        <f t="shared" si="4"/>
        <v>-244.47609936119997</v>
      </c>
      <c r="I46">
        <v>1</v>
      </c>
      <c r="J46">
        <f t="shared" si="5"/>
        <v>-0.82931910775799356</v>
      </c>
      <c r="K46">
        <f t="shared" si="6"/>
        <v>-0.61963057297601198</v>
      </c>
      <c r="L46">
        <v>1</v>
      </c>
      <c r="M46">
        <f t="shared" si="8"/>
        <v>0.48389089931769447</v>
      </c>
      <c r="N46">
        <f t="shared" si="11"/>
        <v>4.5816360450000003E-2</v>
      </c>
      <c r="O46">
        <f t="shared" si="9"/>
        <v>3.0762413445000001E-2</v>
      </c>
      <c r="P46">
        <f t="shared" si="10"/>
        <v>5.9160899763317509E-2</v>
      </c>
      <c r="V46">
        <v>-2.0000000000000102</v>
      </c>
      <c r="W46">
        <f t="shared" si="12"/>
        <v>-0.44279999999999964</v>
      </c>
    </row>
    <row r="47" spans="1:23" x14ac:dyDescent="0.3">
      <c r="A47">
        <v>2.2310458499999997</v>
      </c>
      <c r="B47">
        <v>0.55652999999999997</v>
      </c>
      <c r="C47">
        <f t="shared" si="1"/>
        <v>1.2416439469004998</v>
      </c>
      <c r="D47" s="1">
        <v>2.1000000000000001E-2</v>
      </c>
      <c r="E47" s="1">
        <v>1.41E-2</v>
      </c>
      <c r="F47">
        <f t="shared" si="2"/>
        <v>446.20916999999992</v>
      </c>
      <c r="G47">
        <f t="shared" si="3"/>
        <v>-0.55652999999999997</v>
      </c>
      <c r="H47">
        <f t="shared" si="4"/>
        <v>-248.32878938009998</v>
      </c>
      <c r="I47">
        <v>1</v>
      </c>
      <c r="J47">
        <f t="shared" si="5"/>
        <v>-0.80696744587260361</v>
      </c>
      <c r="K47">
        <f t="shared" si="6"/>
        <v>-0.62338057297601202</v>
      </c>
      <c r="L47">
        <v>1</v>
      </c>
      <c r="M47">
        <f t="shared" si="8"/>
        <v>0.48467544264987161</v>
      </c>
      <c r="N47">
        <f t="shared" si="11"/>
        <v>4.6851962849999998E-2</v>
      </c>
      <c r="O47">
        <f t="shared" si="9"/>
        <v>3.1457746484999993E-2</v>
      </c>
      <c r="P47">
        <f t="shared" si="10"/>
        <v>6.0395420991140411E-2</v>
      </c>
      <c r="V47">
        <v>-1.9000000000000099</v>
      </c>
      <c r="W47">
        <f t="shared" si="12"/>
        <v>-0.44630999999999965</v>
      </c>
    </row>
    <row r="48" spans="1:23" x14ac:dyDescent="0.3">
      <c r="A48">
        <v>2.2838471500000002</v>
      </c>
      <c r="B48">
        <v>0.55289999999999995</v>
      </c>
      <c r="C48">
        <f t="shared" si="1"/>
        <v>1.2627390892349999</v>
      </c>
      <c r="D48" s="1">
        <v>2.1000000000000001E-2</v>
      </c>
      <c r="E48" s="1">
        <v>1.41E-2</v>
      </c>
      <c r="F48">
        <f t="shared" si="2"/>
        <v>456.76943000000006</v>
      </c>
      <c r="G48">
        <f t="shared" si="3"/>
        <v>-0.55289999999999995</v>
      </c>
      <c r="H48">
        <f t="shared" si="4"/>
        <v>-252.54781784699998</v>
      </c>
      <c r="I48">
        <v>1</v>
      </c>
      <c r="J48">
        <f t="shared" si="5"/>
        <v>-0.78357654494626783</v>
      </c>
      <c r="K48">
        <f t="shared" si="6"/>
        <v>-0.62701057297601204</v>
      </c>
      <c r="L48">
        <v>1</v>
      </c>
      <c r="M48">
        <f t="shared" si="8"/>
        <v>0.48549646327238599</v>
      </c>
      <c r="N48">
        <f t="shared" si="11"/>
        <v>4.7960790150000009E-2</v>
      </c>
      <c r="O48">
        <f t="shared" si="9"/>
        <v>3.2202244815000003E-2</v>
      </c>
      <c r="P48">
        <f t="shared" si="10"/>
        <v>6.1351074738626027E-2</v>
      </c>
      <c r="V48">
        <v>-1.80000000000001</v>
      </c>
      <c r="W48">
        <f t="shared" si="12"/>
        <v>-0.44981999999999966</v>
      </c>
    </row>
    <row r="49" spans="1:23" x14ac:dyDescent="0.3">
      <c r="A49">
        <v>2.3331616500000001</v>
      </c>
      <c r="B49">
        <v>0.54891999999999996</v>
      </c>
      <c r="C49">
        <f t="shared" si="1"/>
        <v>1.2807190929179999</v>
      </c>
      <c r="D49" s="1">
        <v>2.1000000000000001E-2</v>
      </c>
      <c r="E49" s="1">
        <v>1.41E-2</v>
      </c>
      <c r="F49">
        <f t="shared" si="2"/>
        <v>466.63233000000002</v>
      </c>
      <c r="G49">
        <f t="shared" si="3"/>
        <v>-0.54891999999999996</v>
      </c>
      <c r="H49">
        <f t="shared" si="4"/>
        <v>-256.14381858359997</v>
      </c>
      <c r="I49">
        <v>1</v>
      </c>
      <c r="J49">
        <f t="shared" si="5"/>
        <v>-0.76221363332536107</v>
      </c>
      <c r="K49">
        <f t="shared" si="6"/>
        <v>-0.63099057297601202</v>
      </c>
      <c r="L49">
        <v>1</v>
      </c>
      <c r="M49">
        <f t="shared" si="8"/>
        <v>0.48624630147027986</v>
      </c>
      <c r="N49">
        <f t="shared" si="11"/>
        <v>4.8996394650000004E-2</v>
      </c>
      <c r="O49">
        <f t="shared" si="9"/>
        <v>3.2897579264999997E-2</v>
      </c>
      <c r="P49">
        <f t="shared" si="10"/>
        <v>6.2850297590732157E-2</v>
      </c>
      <c r="V49">
        <v>-1.7000000000000199</v>
      </c>
      <c r="W49">
        <f t="shared" si="12"/>
        <v>-0.45332999999999929</v>
      </c>
    </row>
    <row r="50" spans="1:23" x14ac:dyDescent="0.3">
      <c r="A50">
        <v>2.3829744000000002</v>
      </c>
      <c r="B50">
        <v>0.54551000000000005</v>
      </c>
      <c r="C50">
        <f t="shared" si="1"/>
        <v>1.2999363649440001</v>
      </c>
      <c r="D50" s="1">
        <v>2.1000000000000001E-2</v>
      </c>
      <c r="E50" s="1">
        <v>1.41E-2</v>
      </c>
      <c r="F50">
        <f t="shared" si="2"/>
        <v>476.59488000000005</v>
      </c>
      <c r="G50">
        <f t="shared" si="3"/>
        <v>-0.54551000000000005</v>
      </c>
      <c r="H50">
        <f t="shared" si="4"/>
        <v>-259.98727298880004</v>
      </c>
      <c r="I50">
        <v>1</v>
      </c>
      <c r="J50">
        <f t="shared" si="5"/>
        <v>-0.74108845713642446</v>
      </c>
      <c r="K50">
        <f t="shared" si="6"/>
        <v>-0.63440057297601193</v>
      </c>
      <c r="L50">
        <v>1</v>
      </c>
      <c r="M50">
        <f t="shared" si="8"/>
        <v>0.48698779515451152</v>
      </c>
      <c r="N50">
        <f t="shared" si="11"/>
        <v>5.0042462400000008E-2</v>
      </c>
      <c r="O50">
        <f t="shared" si="9"/>
        <v>3.3599939039999999E-2</v>
      </c>
      <c r="P50">
        <f t="shared" si="10"/>
        <v>6.3770376381500404E-2</v>
      </c>
      <c r="V50">
        <v>-1.6000000000000201</v>
      </c>
      <c r="W50">
        <f t="shared" si="12"/>
        <v>-0.4568399999999993</v>
      </c>
    </row>
    <row r="51" spans="1:23" x14ac:dyDescent="0.3">
      <c r="A51">
        <v>2.4382661999999997</v>
      </c>
      <c r="B51">
        <v>0.54185000000000005</v>
      </c>
      <c r="C51">
        <f t="shared" si="1"/>
        <v>1.3211745404699999</v>
      </c>
      <c r="D51" s="1">
        <v>2.1000000000000001E-2</v>
      </c>
      <c r="E51" s="1">
        <v>1.41E-2</v>
      </c>
      <c r="F51">
        <f t="shared" si="2"/>
        <v>487.65323999999993</v>
      </c>
      <c r="G51">
        <f t="shared" si="3"/>
        <v>-0.54185000000000005</v>
      </c>
      <c r="H51">
        <f t="shared" si="4"/>
        <v>-264.23490809399999</v>
      </c>
      <c r="I51">
        <v>1</v>
      </c>
      <c r="J51">
        <f t="shared" si="5"/>
        <v>-0.71815069947668042</v>
      </c>
      <c r="K51">
        <f t="shared" si="6"/>
        <v>-0.63806057297601193</v>
      </c>
      <c r="L51">
        <v>1</v>
      </c>
      <c r="M51">
        <f t="shared" si="8"/>
        <v>0.48779291044836853</v>
      </c>
      <c r="N51">
        <f t="shared" si="11"/>
        <v>5.1203590199999996E-2</v>
      </c>
      <c r="O51">
        <f t="shared" si="9"/>
        <v>3.4379553419999993E-2</v>
      </c>
      <c r="P51">
        <f t="shared" si="10"/>
        <v>6.4684518907643401E-2</v>
      </c>
      <c r="V51">
        <v>-1.50000000000002</v>
      </c>
      <c r="W51">
        <f t="shared" si="12"/>
        <v>-0.46034999999999932</v>
      </c>
    </row>
    <row r="52" spans="1:23" x14ac:dyDescent="0.3">
      <c r="A52">
        <v>2.4885767000000003</v>
      </c>
      <c r="B52">
        <v>0.53815000000000002</v>
      </c>
      <c r="C52">
        <f t="shared" si="1"/>
        <v>1.3392275511050002</v>
      </c>
      <c r="D52" s="1">
        <v>2.1000000000000001E-2</v>
      </c>
      <c r="E52" s="1">
        <v>1.41E-2</v>
      </c>
      <c r="F52">
        <f t="shared" si="2"/>
        <v>497.71534000000008</v>
      </c>
      <c r="G52">
        <f t="shared" si="3"/>
        <v>-0.53815000000000002</v>
      </c>
      <c r="H52">
        <f t="shared" si="4"/>
        <v>-267.84551022100004</v>
      </c>
      <c r="I52">
        <v>1</v>
      </c>
      <c r="J52">
        <f t="shared" si="5"/>
        <v>-0.69772697181242083</v>
      </c>
      <c r="K52">
        <f t="shared" si="6"/>
        <v>-0.64176057297601197</v>
      </c>
      <c r="L52">
        <v>1</v>
      </c>
      <c r="M52">
        <f t="shared" si="8"/>
        <v>0.48850978328938405</v>
      </c>
      <c r="N52">
        <f t="shared" si="11"/>
        <v>5.2260110700000008E-2</v>
      </c>
      <c r="O52">
        <f t="shared" si="9"/>
        <v>3.5088931470000001E-2</v>
      </c>
      <c r="P52">
        <f t="shared" si="10"/>
        <v>6.5901747516627918E-2</v>
      </c>
      <c r="V52">
        <v>-1.4000000000000199</v>
      </c>
      <c r="W52">
        <f t="shared" si="12"/>
        <v>-0.46385999999999933</v>
      </c>
    </row>
    <row r="53" spans="1:23" x14ac:dyDescent="0.3">
      <c r="A53">
        <v>2.5403818</v>
      </c>
      <c r="B53">
        <v>0.53495000000000004</v>
      </c>
      <c r="C53">
        <f t="shared" si="1"/>
        <v>1.3589772439100001</v>
      </c>
      <c r="D53" s="1">
        <v>2.1000000000000001E-2</v>
      </c>
      <c r="E53" s="1">
        <v>1.41E-2</v>
      </c>
      <c r="F53">
        <f t="shared" si="2"/>
        <v>508.07636000000002</v>
      </c>
      <c r="G53">
        <f t="shared" si="3"/>
        <v>-0.53495000000000004</v>
      </c>
      <c r="H53">
        <f t="shared" si="4"/>
        <v>-271.79544878199999</v>
      </c>
      <c r="I53">
        <v>1</v>
      </c>
      <c r="J53">
        <f t="shared" si="5"/>
        <v>-0.67712352773918694</v>
      </c>
      <c r="K53">
        <f t="shared" si="6"/>
        <v>-0.64496057297601195</v>
      </c>
      <c r="L53">
        <v>1</v>
      </c>
      <c r="M53">
        <f t="shared" si="8"/>
        <v>0.48923296417635453</v>
      </c>
      <c r="N53">
        <f t="shared" si="11"/>
        <v>5.3348017800000001E-2</v>
      </c>
      <c r="O53">
        <f t="shared" si="9"/>
        <v>3.581938338E-2</v>
      </c>
      <c r="P53">
        <f t="shared" si="10"/>
        <v>6.6560207619657405E-2</v>
      </c>
      <c r="V53">
        <v>-1.30000000000002</v>
      </c>
      <c r="W53">
        <f t="shared" si="12"/>
        <v>-0.46736999999999929</v>
      </c>
    </row>
    <row r="54" spans="1:23" x14ac:dyDescent="0.3">
      <c r="A54">
        <v>2.5896962000000001</v>
      </c>
      <c r="B54">
        <v>0.53122999999999998</v>
      </c>
      <c r="C54">
        <f t="shared" si="1"/>
        <v>1.3757243123259999</v>
      </c>
      <c r="D54" s="1">
        <v>2.1000000000000001E-2</v>
      </c>
      <c r="E54" s="1">
        <v>1.41E-2</v>
      </c>
      <c r="F54">
        <f t="shared" si="2"/>
        <v>517.93924000000004</v>
      </c>
      <c r="G54">
        <f t="shared" si="3"/>
        <v>-0.53122999999999998</v>
      </c>
      <c r="H54">
        <f t="shared" si="4"/>
        <v>-275.14486246519999</v>
      </c>
      <c r="I54">
        <v>1</v>
      </c>
      <c r="J54">
        <f t="shared" si="5"/>
        <v>-0.65789734089981722</v>
      </c>
      <c r="K54">
        <f t="shared" si="6"/>
        <v>-0.648680572976012</v>
      </c>
      <c r="L54">
        <v>1</v>
      </c>
      <c r="M54">
        <f t="shared" si="8"/>
        <v>0.48990780333441641</v>
      </c>
      <c r="N54">
        <f t="shared" si="11"/>
        <v>5.4383620200000003E-2</v>
      </c>
      <c r="O54">
        <f t="shared" si="9"/>
        <v>3.6514716420000003E-2</v>
      </c>
      <c r="P54">
        <f t="shared" si="10"/>
        <v>6.787443302159557E-2</v>
      </c>
      <c r="V54">
        <v>-1.2000000000000199</v>
      </c>
      <c r="W54">
        <f t="shared" si="12"/>
        <v>-0.4708799999999993</v>
      </c>
    </row>
    <row r="55" spans="1:23" x14ac:dyDescent="0.3">
      <c r="A55">
        <v>2.6390107</v>
      </c>
      <c r="B55">
        <v>0.52781</v>
      </c>
      <c r="C55">
        <f t="shared" si="1"/>
        <v>1.392896237567</v>
      </c>
      <c r="D55" s="1">
        <v>2.1000000000000001E-2</v>
      </c>
      <c r="E55" s="1">
        <v>1.41E-2</v>
      </c>
      <c r="F55">
        <f t="shared" si="2"/>
        <v>527.80214000000001</v>
      </c>
      <c r="G55">
        <f t="shared" si="3"/>
        <v>-0.52781</v>
      </c>
      <c r="H55">
        <f t="shared" si="4"/>
        <v>-278.57924751339999</v>
      </c>
      <c r="I55">
        <v>1</v>
      </c>
      <c r="J55">
        <f t="shared" si="5"/>
        <v>-0.63903380035500945</v>
      </c>
      <c r="K55">
        <f t="shared" si="6"/>
        <v>-0.65210057297601198</v>
      </c>
      <c r="L55">
        <v>1</v>
      </c>
      <c r="M55">
        <f t="shared" si="8"/>
        <v>0.49056991360753921</v>
      </c>
      <c r="N55">
        <f t="shared" si="11"/>
        <v>5.5419224700000005E-2</v>
      </c>
      <c r="O55">
        <f t="shared" si="9"/>
        <v>3.7210050869999997E-2</v>
      </c>
      <c r="P55">
        <f t="shared" si="10"/>
        <v>6.8901383798472771E-2</v>
      </c>
      <c r="V55">
        <v>-1.1000000000000201</v>
      </c>
      <c r="W55">
        <f t="shared" si="12"/>
        <v>-0.47438999999999931</v>
      </c>
    </row>
    <row r="56" spans="1:23" x14ac:dyDescent="0.3">
      <c r="A56">
        <v>2.6888234499999997</v>
      </c>
      <c r="B56">
        <v>0.52458000000000005</v>
      </c>
      <c r="C56">
        <f t="shared" si="1"/>
        <v>1.4105030054009999</v>
      </c>
      <c r="D56" s="1">
        <v>2.1000000000000001E-2</v>
      </c>
      <c r="E56" s="1">
        <v>1.41E-2</v>
      </c>
      <c r="F56">
        <f t="shared" si="2"/>
        <v>537.76468999999997</v>
      </c>
      <c r="G56">
        <f t="shared" si="3"/>
        <v>-0.52458000000000005</v>
      </c>
      <c r="H56">
        <f t="shared" si="4"/>
        <v>-282.10060108019997</v>
      </c>
      <c r="I56">
        <v>1</v>
      </c>
      <c r="J56">
        <f t="shared" si="5"/>
        <v>-0.62033419368068288</v>
      </c>
      <c r="K56">
        <f t="shared" si="6"/>
        <v>-0.65533057297601194</v>
      </c>
      <c r="L56">
        <v>1</v>
      </c>
      <c r="M56">
        <f t="shared" si="8"/>
        <v>0.49122626980180806</v>
      </c>
      <c r="N56">
        <f t="shared" si="11"/>
        <v>5.6465292449999996E-2</v>
      </c>
      <c r="O56">
        <f t="shared" si="9"/>
        <v>3.7912410644999991E-2</v>
      </c>
      <c r="P56">
        <f t="shared" si="10"/>
        <v>6.9726600079203893E-2</v>
      </c>
      <c r="V56">
        <v>-1.00000000000002</v>
      </c>
      <c r="W56">
        <f t="shared" si="12"/>
        <v>-0.47789999999999933</v>
      </c>
    </row>
    <row r="57" spans="1:23" x14ac:dyDescent="0.3">
      <c r="A57">
        <v>2.7446136000000001</v>
      </c>
      <c r="B57">
        <v>0.52127000000000001</v>
      </c>
      <c r="C57">
        <f t="shared" si="1"/>
        <v>1.4306847312720001</v>
      </c>
      <c r="D57" s="1">
        <v>2.1000000000000001E-2</v>
      </c>
      <c r="E57" s="1">
        <v>1.41E-2</v>
      </c>
      <c r="F57">
        <f t="shared" si="2"/>
        <v>548.92272000000003</v>
      </c>
      <c r="G57">
        <f t="shared" si="3"/>
        <v>-0.52127000000000001</v>
      </c>
      <c r="H57">
        <f t="shared" si="4"/>
        <v>-286.13694625440002</v>
      </c>
      <c r="I57">
        <v>1</v>
      </c>
      <c r="J57">
        <f t="shared" si="5"/>
        <v>-0.59979761240825513</v>
      </c>
      <c r="K57">
        <f t="shared" si="6"/>
        <v>-0.65864057297601197</v>
      </c>
      <c r="L57">
        <v>1</v>
      </c>
      <c r="M57">
        <f t="shared" si="8"/>
        <v>0.49194710380447026</v>
      </c>
      <c r="N57">
        <f t="shared" si="11"/>
        <v>5.7636885600000007E-2</v>
      </c>
      <c r="O57">
        <f t="shared" si="9"/>
        <v>3.8699051759999999E-2</v>
      </c>
      <c r="P57">
        <f t="shared" si="10"/>
        <v>7.0357531811541696E-2</v>
      </c>
      <c r="V57">
        <v>-0.90000000000002001</v>
      </c>
      <c r="W57">
        <f t="shared" si="12"/>
        <v>-0.48140999999999934</v>
      </c>
    </row>
    <row r="58" spans="1:23" x14ac:dyDescent="0.3">
      <c r="A58">
        <v>2.7994072499999998</v>
      </c>
      <c r="B58">
        <v>0.51763999999999999</v>
      </c>
      <c r="C58">
        <f t="shared" si="1"/>
        <v>1.4490851688899999</v>
      </c>
      <c r="D58" s="1">
        <v>2.1000000000000001E-2</v>
      </c>
      <c r="E58" s="1">
        <v>1.41E-2</v>
      </c>
      <c r="F58">
        <f t="shared" si="2"/>
        <v>559.88144999999997</v>
      </c>
      <c r="G58">
        <f t="shared" si="3"/>
        <v>-0.51763999999999999</v>
      </c>
      <c r="H58">
        <f t="shared" si="4"/>
        <v>-289.817033778</v>
      </c>
      <c r="I58">
        <v>1</v>
      </c>
      <c r="J58">
        <f t="shared" si="5"/>
        <v>-0.58003021409236544</v>
      </c>
      <c r="K58">
        <f t="shared" si="6"/>
        <v>-0.662270572976012</v>
      </c>
      <c r="L58">
        <v>1</v>
      </c>
      <c r="M58">
        <f t="shared" si="8"/>
        <v>0.49264093948535798</v>
      </c>
      <c r="N58">
        <f t="shared" si="11"/>
        <v>5.878755225E-2</v>
      </c>
      <c r="O58">
        <f t="shared" si="9"/>
        <v>3.9471642224999999E-2</v>
      </c>
      <c r="P58">
        <f t="shared" si="10"/>
        <v>7.1370439015654014E-2</v>
      </c>
      <c r="V58">
        <v>-0.80000000000002003</v>
      </c>
      <c r="W58">
        <f t="shared" si="12"/>
        <v>-0.4849199999999993</v>
      </c>
    </row>
    <row r="59" spans="1:23" x14ac:dyDescent="0.3">
      <c r="A59">
        <v>2.8492199</v>
      </c>
      <c r="B59">
        <v>0.51449999999999996</v>
      </c>
      <c r="C59">
        <f t="shared" si="1"/>
        <v>1.4659236385499999</v>
      </c>
      <c r="D59" s="1">
        <v>2.1000000000000001E-2</v>
      </c>
      <c r="E59" s="1">
        <v>1.41E-2</v>
      </c>
      <c r="F59">
        <f t="shared" si="2"/>
        <v>569.84397999999999</v>
      </c>
      <c r="G59">
        <f t="shared" si="3"/>
        <v>-0.51449999999999996</v>
      </c>
      <c r="H59">
        <f t="shared" si="4"/>
        <v>-293.18472770999995</v>
      </c>
      <c r="I59">
        <v>1</v>
      </c>
      <c r="J59">
        <f t="shared" si="5"/>
        <v>-0.5623926749197512</v>
      </c>
      <c r="K59">
        <f t="shared" si="6"/>
        <v>-0.66541057297601203</v>
      </c>
      <c r="L59">
        <v>1</v>
      </c>
      <c r="M59">
        <f t="shared" si="8"/>
        <v>0.49326001711031675</v>
      </c>
      <c r="N59">
        <f t="shared" si="11"/>
        <v>5.9833617900000004E-2</v>
      </c>
      <c r="O59">
        <f t="shared" si="9"/>
        <v>4.0174000590000002E-2</v>
      </c>
      <c r="P59">
        <f t="shared" si="10"/>
        <v>7.2142937375695271E-2</v>
      </c>
      <c r="V59">
        <v>-0.70000000000002005</v>
      </c>
      <c r="W59">
        <f t="shared" si="12"/>
        <v>-0.48842999999999931</v>
      </c>
    </row>
    <row r="60" spans="1:23" x14ac:dyDescent="0.3">
      <c r="A60">
        <v>2.8985344</v>
      </c>
      <c r="B60">
        <v>0.51083000000000001</v>
      </c>
      <c r="C60">
        <f t="shared" si="1"/>
        <v>1.480658327552</v>
      </c>
      <c r="D60" s="1">
        <v>2.1000000000000001E-2</v>
      </c>
      <c r="E60" s="1">
        <v>1.41E-2</v>
      </c>
      <c r="F60">
        <f t="shared" si="2"/>
        <v>579.70687999999996</v>
      </c>
      <c r="G60">
        <f t="shared" si="3"/>
        <v>-0.51083000000000001</v>
      </c>
      <c r="H60">
        <f t="shared" si="4"/>
        <v>-296.13166551040001</v>
      </c>
      <c r="I60">
        <v>1</v>
      </c>
      <c r="J60">
        <f t="shared" si="5"/>
        <v>-0.545232682499183</v>
      </c>
      <c r="K60">
        <f t="shared" si="6"/>
        <v>-0.66908057297601198</v>
      </c>
      <c r="L60">
        <v>1</v>
      </c>
      <c r="M60">
        <f t="shared" si="8"/>
        <v>0.49386233284427872</v>
      </c>
      <c r="N60">
        <f t="shared" si="11"/>
        <v>6.0869222400000006E-2</v>
      </c>
      <c r="O60">
        <f t="shared" si="9"/>
        <v>4.0869335039999996E-2</v>
      </c>
      <c r="P60">
        <f t="shared" si="10"/>
        <v>7.3479682691733259E-2</v>
      </c>
      <c r="V60">
        <v>-0.60000000000001996</v>
      </c>
      <c r="W60">
        <f t="shared" si="12"/>
        <v>-0.49193999999999932</v>
      </c>
    </row>
    <row r="61" spans="1:23" x14ac:dyDescent="0.3">
      <c r="A61">
        <v>2.9518338999999996</v>
      </c>
      <c r="B61">
        <v>0.50761999999999996</v>
      </c>
      <c r="C61">
        <f t="shared" si="1"/>
        <v>1.4984099243179996</v>
      </c>
      <c r="D61" s="1">
        <v>2.1000000000000001E-2</v>
      </c>
      <c r="E61" s="1">
        <v>1.41E-2</v>
      </c>
      <c r="F61">
        <f t="shared" si="2"/>
        <v>590.36677999999995</v>
      </c>
      <c r="G61">
        <f t="shared" si="3"/>
        <v>-0.50761999999999996</v>
      </c>
      <c r="H61">
        <f t="shared" si="4"/>
        <v>-299.68198486359989</v>
      </c>
      <c r="I61">
        <v>1</v>
      </c>
      <c r="J61">
        <f t="shared" si="5"/>
        <v>-0.52701127421658722</v>
      </c>
      <c r="K61">
        <f t="shared" si="6"/>
        <v>-0.67229057297601202</v>
      </c>
      <c r="L61">
        <v>1</v>
      </c>
      <c r="M61">
        <f t="shared" si="8"/>
        <v>0.49450190427499779</v>
      </c>
      <c r="N61">
        <f t="shared" si="11"/>
        <v>6.1988511899999994E-2</v>
      </c>
      <c r="O61">
        <f t="shared" si="9"/>
        <v>4.1620857989999996E-2</v>
      </c>
      <c r="P61">
        <f t="shared" si="10"/>
        <v>7.4179298811014246E-2</v>
      </c>
      <c r="V61">
        <v>-0.50000000000001998</v>
      </c>
      <c r="W61">
        <f t="shared" si="12"/>
        <v>-0.49544999999999934</v>
      </c>
    </row>
    <row r="62" spans="1:23" x14ac:dyDescent="0.3">
      <c r="A62">
        <v>3.0011482999999997</v>
      </c>
      <c r="B62">
        <v>0.50449999999999995</v>
      </c>
      <c r="C62">
        <f t="shared" si="1"/>
        <v>1.5140793173499996</v>
      </c>
      <c r="D62" s="1">
        <v>2.1000000000000001E-2</v>
      </c>
      <c r="E62" s="1">
        <v>1.41E-2</v>
      </c>
      <c r="F62">
        <f t="shared" si="2"/>
        <v>600.22965999999997</v>
      </c>
      <c r="G62">
        <f t="shared" si="3"/>
        <v>-0.50449999999999995</v>
      </c>
      <c r="H62">
        <f t="shared" si="4"/>
        <v>-302.8158634699999</v>
      </c>
      <c r="I62">
        <v>1</v>
      </c>
      <c r="J62">
        <f t="shared" si="5"/>
        <v>-0.5104429303357968</v>
      </c>
      <c r="K62">
        <f t="shared" si="6"/>
        <v>-0.67541057297601204</v>
      </c>
      <c r="L62">
        <v>1</v>
      </c>
      <c r="M62">
        <f t="shared" si="8"/>
        <v>0.49508345314521357</v>
      </c>
      <c r="N62">
        <f t="shared" si="11"/>
        <v>6.3024114300000003E-2</v>
      </c>
      <c r="O62">
        <f t="shared" si="9"/>
        <v>4.2316191029999992E-2</v>
      </c>
      <c r="P62">
        <f t="shared" si="10"/>
        <v>7.4986814500798471E-2</v>
      </c>
      <c r="V62">
        <v>-0.40000000000002001</v>
      </c>
      <c r="W62">
        <f t="shared" si="12"/>
        <v>-0.49895999999999929</v>
      </c>
    </row>
    <row r="63" spans="1:23" x14ac:dyDescent="0.3">
      <c r="A63">
        <v>3.0554438499999996</v>
      </c>
      <c r="B63">
        <v>0.50166999999999995</v>
      </c>
      <c r="C63">
        <f t="shared" si="1"/>
        <v>1.5328245162294996</v>
      </c>
      <c r="D63" s="1">
        <v>2.1000000000000001E-2</v>
      </c>
      <c r="E63" s="1">
        <v>1.41E-2</v>
      </c>
      <c r="F63">
        <f t="shared" si="2"/>
        <v>611.08876999999995</v>
      </c>
      <c r="G63">
        <f t="shared" si="3"/>
        <v>-0.50166999999999995</v>
      </c>
      <c r="H63">
        <f t="shared" si="4"/>
        <v>-306.56490324589993</v>
      </c>
      <c r="I63">
        <v>1</v>
      </c>
      <c r="J63">
        <f t="shared" si="5"/>
        <v>-0.49251304394787904</v>
      </c>
      <c r="K63">
        <f t="shared" si="6"/>
        <v>-0.67824057297601203</v>
      </c>
      <c r="L63">
        <v>1</v>
      </c>
      <c r="M63">
        <f t="shared" si="8"/>
        <v>0.49571279215742947</v>
      </c>
      <c r="N63">
        <f t="shared" si="11"/>
        <v>6.4164320849999998E-2</v>
      </c>
      <c r="O63">
        <f t="shared" si="9"/>
        <v>4.3081758284999994E-2</v>
      </c>
      <c r="P63">
        <f t="shared" si="10"/>
        <v>7.5281701683582572E-2</v>
      </c>
      <c r="V63">
        <v>-0.30000000000001997</v>
      </c>
      <c r="W63">
        <f t="shared" si="12"/>
        <v>-0.50246999999999931</v>
      </c>
    </row>
    <row r="64" spans="1:23" x14ac:dyDescent="0.3">
      <c r="A64">
        <v>3.1052562999999997</v>
      </c>
      <c r="B64">
        <v>0.49791000000000002</v>
      </c>
      <c r="C64">
        <f t="shared" si="1"/>
        <v>1.5461381643329999</v>
      </c>
      <c r="D64" s="1">
        <v>2.1000000000000001E-2</v>
      </c>
      <c r="E64" s="1">
        <v>1.41E-2</v>
      </c>
      <c r="F64">
        <f t="shared" si="2"/>
        <v>621.05125999999996</v>
      </c>
      <c r="G64">
        <f t="shared" si="3"/>
        <v>-0.49791000000000002</v>
      </c>
      <c r="H64">
        <f t="shared" si="4"/>
        <v>-309.2276328666</v>
      </c>
      <c r="I64">
        <v>1</v>
      </c>
      <c r="J64">
        <f t="shared" si="5"/>
        <v>-0.47634165617183633</v>
      </c>
      <c r="K64">
        <f t="shared" si="6"/>
        <v>-0.68200057297601191</v>
      </c>
      <c r="L64">
        <v>1</v>
      </c>
      <c r="M64">
        <f t="shared" si="8"/>
        <v>0.49628040786836858</v>
      </c>
      <c r="N64">
        <f t="shared" si="11"/>
        <v>6.5210382299999994E-2</v>
      </c>
      <c r="O64">
        <f t="shared" si="9"/>
        <v>4.3784113829999999E-2</v>
      </c>
      <c r="P64">
        <f t="shared" si="10"/>
        <v>7.6725668977643338E-2</v>
      </c>
      <c r="V64">
        <v>-0.20000000000002</v>
      </c>
      <c r="W64">
        <f t="shared" si="12"/>
        <v>-0.50597999999999932</v>
      </c>
    </row>
    <row r="65" spans="1:23" x14ac:dyDescent="0.3">
      <c r="A65">
        <v>3.15506895</v>
      </c>
      <c r="B65">
        <v>0.49513000000000001</v>
      </c>
      <c r="C65">
        <f t="shared" si="1"/>
        <v>1.5621692892135</v>
      </c>
      <c r="D65" s="1">
        <v>2.1000000000000001E-2</v>
      </c>
      <c r="E65" s="1">
        <v>1.41E-2</v>
      </c>
      <c r="F65">
        <f t="shared" si="2"/>
        <v>631.01378999999997</v>
      </c>
      <c r="G65">
        <f t="shared" si="3"/>
        <v>-0.49513000000000001</v>
      </c>
      <c r="H65">
        <f t="shared" si="4"/>
        <v>-312.43385784269998</v>
      </c>
      <c r="I65">
        <v>1</v>
      </c>
      <c r="J65">
        <f t="shared" si="5"/>
        <v>-0.46042756248004035</v>
      </c>
      <c r="K65">
        <f t="shared" si="6"/>
        <v>-0.68478057297601191</v>
      </c>
      <c r="L65">
        <v>1</v>
      </c>
      <c r="M65">
        <f t="shared" si="8"/>
        <v>0.49683899255695058</v>
      </c>
      <c r="N65">
        <f t="shared" si="11"/>
        <v>6.6256447950000005E-2</v>
      </c>
      <c r="O65">
        <f t="shared" si="9"/>
        <v>4.4486472195000001E-2</v>
      </c>
      <c r="P65">
        <f t="shared" si="10"/>
        <v>7.7198660274061331E-2</v>
      </c>
      <c r="V65">
        <v>-0.10000000000002</v>
      </c>
      <c r="W65">
        <f t="shared" si="12"/>
        <v>-0.50948999999999933</v>
      </c>
    </row>
    <row r="66" spans="1:23" x14ac:dyDescent="0.3">
      <c r="A66">
        <v>3.2063758</v>
      </c>
      <c r="B66">
        <v>0.49158000000000002</v>
      </c>
      <c r="C66">
        <f t="shared" si="1"/>
        <v>1.576190215764</v>
      </c>
      <c r="D66" s="1">
        <v>2.1000000000000001E-2</v>
      </c>
      <c r="E66" s="1">
        <v>1.41E-2</v>
      </c>
      <c r="F66">
        <f t="shared" si="2"/>
        <v>641.27516000000003</v>
      </c>
      <c r="G66">
        <f t="shared" si="3"/>
        <v>-0.49158000000000002</v>
      </c>
      <c r="H66">
        <f t="shared" si="4"/>
        <v>-315.2380431528</v>
      </c>
      <c r="I66">
        <v>1</v>
      </c>
      <c r="J66">
        <f t="shared" si="5"/>
        <v>-0.44429664739941777</v>
      </c>
      <c r="K66">
        <f t="shared" si="6"/>
        <v>-0.68833057297601197</v>
      </c>
      <c r="L66">
        <v>1</v>
      </c>
      <c r="M66">
        <f t="shared" si="8"/>
        <v>0.49740518767628045</v>
      </c>
      <c r="N66">
        <f t="shared" si="11"/>
        <v>6.7333891800000004E-2</v>
      </c>
      <c r="O66">
        <f t="shared" si="9"/>
        <v>4.520989878E-2</v>
      </c>
      <c r="P66">
        <f t="shared" si="10"/>
        <v>7.8381594719731523E-2</v>
      </c>
      <c r="V66">
        <v>-2.0428103653102899E-14</v>
      </c>
      <c r="W66">
        <f t="shared" si="12"/>
        <v>-0.51299999999999935</v>
      </c>
    </row>
    <row r="67" spans="1:23" x14ac:dyDescent="0.3">
      <c r="A67">
        <v>3.25768265</v>
      </c>
      <c r="B67">
        <v>0.48857</v>
      </c>
      <c r="C67">
        <f t="shared" si="1"/>
        <v>1.5916060123105</v>
      </c>
      <c r="D67" s="1">
        <v>2.1000000000000001E-2</v>
      </c>
      <c r="E67" s="1">
        <v>1.41E-2</v>
      </c>
      <c r="F67">
        <f t="shared" si="2"/>
        <v>651.53652999999997</v>
      </c>
      <c r="G67">
        <f t="shared" si="3"/>
        <v>-0.48857</v>
      </c>
      <c r="H67">
        <f t="shared" si="4"/>
        <v>-318.32120246210002</v>
      </c>
      <c r="I67">
        <v>1</v>
      </c>
      <c r="J67">
        <f t="shared" si="5"/>
        <v>-0.42842181338284174</v>
      </c>
      <c r="K67">
        <f t="shared" si="6"/>
        <v>-0.69134057297601204</v>
      </c>
      <c r="L67">
        <v>1</v>
      </c>
      <c r="M67">
        <f t="shared" si="8"/>
        <v>0.49796239435026224</v>
      </c>
      <c r="N67">
        <f t="shared" si="11"/>
        <v>6.8411335650000002E-2</v>
      </c>
      <c r="O67">
        <f t="shared" si="9"/>
        <v>4.5933325365E-2</v>
      </c>
      <c r="P67">
        <f t="shared" si="10"/>
        <v>7.9033517610749796E-2</v>
      </c>
      <c r="V67">
        <v>9.9999999999980105E-2</v>
      </c>
      <c r="W67">
        <f t="shared" si="12"/>
        <v>-0.51650999999999936</v>
      </c>
    </row>
    <row r="68" spans="1:23" x14ac:dyDescent="0.3">
      <c r="A68">
        <v>3.3089898499999997</v>
      </c>
      <c r="B68">
        <v>0.48526999999999998</v>
      </c>
      <c r="C68">
        <f t="shared" si="1"/>
        <v>1.6057535045094997</v>
      </c>
      <c r="D68" s="1">
        <v>2.1000000000000001E-2</v>
      </c>
      <c r="E68" s="1">
        <v>1.41E-2</v>
      </c>
      <c r="F68">
        <f t="shared" si="2"/>
        <v>661.79796999999996</v>
      </c>
      <c r="G68">
        <f t="shared" si="3"/>
        <v>-0.48526999999999998</v>
      </c>
      <c r="H68">
        <f t="shared" si="4"/>
        <v>-321.15070090189994</v>
      </c>
      <c r="I68">
        <v>1</v>
      </c>
      <c r="J68">
        <f t="shared" si="5"/>
        <v>-0.41279495089129109</v>
      </c>
      <c r="K68">
        <f t="shared" si="6"/>
        <v>-0.69464057297601201</v>
      </c>
      <c r="L68">
        <v>1</v>
      </c>
      <c r="M68">
        <f t="shared" si="8"/>
        <v>0.49851089722371572</v>
      </c>
      <c r="N68">
        <f t="shared" si="11"/>
        <v>6.9488786849999998E-2</v>
      </c>
      <c r="O68">
        <f t="shared" si="9"/>
        <v>4.6656756884999998E-2</v>
      </c>
      <c r="P68">
        <f t="shared" si="10"/>
        <v>7.9984132017296303E-2</v>
      </c>
      <c r="V68">
        <v>0.19999999999998</v>
      </c>
      <c r="W68">
        <f t="shared" si="12"/>
        <v>-0.52001999999999926</v>
      </c>
    </row>
    <row r="69" spans="1:23" x14ac:dyDescent="0.3">
      <c r="A69">
        <v>3.35830435</v>
      </c>
      <c r="B69">
        <v>0.48244999999999999</v>
      </c>
      <c r="C69">
        <f t="shared" ref="C69:C132" si="13">A69*B69</f>
        <v>1.6202139336574999</v>
      </c>
      <c r="D69" s="1">
        <v>2.1000000000000001E-2</v>
      </c>
      <c r="E69" s="1">
        <v>1.41E-2</v>
      </c>
      <c r="F69">
        <f t="shared" ref="F69:F132" si="14">A69*200</f>
        <v>671.66087000000005</v>
      </c>
      <c r="G69">
        <f t="shared" ref="G69:G132" si="15">-B69</f>
        <v>-0.48244999999999999</v>
      </c>
      <c r="H69">
        <f t="shared" ref="H69:H132" si="16">-C69*200</f>
        <v>-324.04278673149997</v>
      </c>
      <c r="I69">
        <v>1</v>
      </c>
      <c r="J69">
        <f t="shared" ref="J69:J132" si="17">LN(F69/1000)</f>
        <v>-0.39800172357965713</v>
      </c>
      <c r="K69">
        <f t="shared" ref="K69:K132" si="18">((-G69)-$N$2)</f>
        <v>-0.69746057297601194</v>
      </c>
      <c r="L69">
        <v>1</v>
      </c>
      <c r="M69">
        <f t="shared" si="8"/>
        <v>0.49903013950235403</v>
      </c>
      <c r="N69">
        <f t="shared" si="11"/>
        <v>7.0524391350000007E-2</v>
      </c>
      <c r="O69">
        <f t="shared" si="9"/>
        <v>4.7352091334999999E-2</v>
      </c>
      <c r="P69">
        <f t="shared" si="10"/>
        <v>8.0553950788657916E-2</v>
      </c>
      <c r="V69">
        <v>0.29999999999998</v>
      </c>
      <c r="W69">
        <f t="shared" si="12"/>
        <v>-0.52352999999999927</v>
      </c>
    </row>
    <row r="70" spans="1:23" x14ac:dyDescent="0.3">
      <c r="A70">
        <v>3.4081168000000002</v>
      </c>
      <c r="B70">
        <v>0.47957</v>
      </c>
      <c r="C70">
        <f t="shared" si="13"/>
        <v>1.6344305737760001</v>
      </c>
      <c r="D70" s="1">
        <v>2.1000000000000001E-2</v>
      </c>
      <c r="E70" s="1">
        <v>1.41E-2</v>
      </c>
      <c r="F70">
        <f t="shared" si="14"/>
        <v>681.62336000000005</v>
      </c>
      <c r="G70">
        <f t="shared" si="15"/>
        <v>-0.47957</v>
      </c>
      <c r="H70">
        <f t="shared" si="16"/>
        <v>-326.88611475520003</v>
      </c>
      <c r="I70">
        <v>1</v>
      </c>
      <c r="J70">
        <f t="shared" si="17"/>
        <v>-0.38327803175384345</v>
      </c>
      <c r="K70">
        <f t="shared" si="18"/>
        <v>-0.70034057297601193</v>
      </c>
      <c r="L70">
        <v>1</v>
      </c>
      <c r="M70">
        <f t="shared" ref="M70:M133" si="19">-1*($S$4+($S$5*J70))</f>
        <v>0.49954694108544012</v>
      </c>
      <c r="N70">
        <f t="shared" si="11"/>
        <v>7.1570452800000003E-2</v>
      </c>
      <c r="O70">
        <f t="shared" ref="O70:O133" si="20">E70*A70</f>
        <v>4.8054446880000004E-2</v>
      </c>
      <c r="P70">
        <f t="shared" ref="P70:P133" si="21">-K70-M70-N70-O70</f>
        <v>8.116873221057179E-2</v>
      </c>
      <c r="V70">
        <v>0.39999999999997998</v>
      </c>
      <c r="W70">
        <f t="shared" si="12"/>
        <v>-0.52703999999999929</v>
      </c>
    </row>
    <row r="71" spans="1:23" x14ac:dyDescent="0.3">
      <c r="A71">
        <v>3.4574312500000004</v>
      </c>
      <c r="B71">
        <v>0.47711999999999999</v>
      </c>
      <c r="C71">
        <f t="shared" si="13"/>
        <v>1.6496095980000001</v>
      </c>
      <c r="D71" s="1">
        <v>2.1000000000000001E-2</v>
      </c>
      <c r="E71" s="1">
        <v>1.41E-2</v>
      </c>
      <c r="F71">
        <f t="shared" si="14"/>
        <v>691.48625000000004</v>
      </c>
      <c r="G71">
        <f t="shared" si="15"/>
        <v>-0.47711999999999999</v>
      </c>
      <c r="H71">
        <f t="shared" si="16"/>
        <v>-329.92191960000002</v>
      </c>
      <c r="I71">
        <v>1</v>
      </c>
      <c r="J71">
        <f t="shared" si="17"/>
        <v>-0.36891201238449173</v>
      </c>
      <c r="K71">
        <f t="shared" si="18"/>
        <v>-0.702790572976012</v>
      </c>
      <c r="L71">
        <v>1</v>
      </c>
      <c r="M71">
        <f t="shared" si="19"/>
        <v>0.50005118836530438</v>
      </c>
      <c r="N71">
        <f t="shared" ref="N71:N134" si="22">D71*A71</f>
        <v>7.2606056250000009E-2</v>
      </c>
      <c r="O71">
        <f t="shared" si="20"/>
        <v>4.8749780625000003E-2</v>
      </c>
      <c r="P71">
        <f t="shared" si="21"/>
        <v>8.138354773570762E-2</v>
      </c>
      <c r="V71">
        <v>0.49999999999998002</v>
      </c>
      <c r="W71">
        <f t="shared" ref="W71:W134" si="23">V71*$S$5+$S$4</f>
        <v>-0.5305499999999993</v>
      </c>
    </row>
    <row r="72" spans="1:23" x14ac:dyDescent="0.3">
      <c r="A72">
        <v>3.5077419500000002</v>
      </c>
      <c r="B72">
        <v>0.47361999999999999</v>
      </c>
      <c r="C72">
        <f t="shared" si="13"/>
        <v>1.661336742359</v>
      </c>
      <c r="D72" s="1">
        <v>2.1000000000000001E-2</v>
      </c>
      <c r="E72" s="1">
        <v>1.41E-2</v>
      </c>
      <c r="F72">
        <f t="shared" si="14"/>
        <v>701.54839000000004</v>
      </c>
      <c r="G72">
        <f t="shared" si="15"/>
        <v>-0.47361999999999999</v>
      </c>
      <c r="H72">
        <f t="shared" si="16"/>
        <v>-332.26734847180001</v>
      </c>
      <c r="I72">
        <v>1</v>
      </c>
      <c r="J72">
        <f t="shared" si="17"/>
        <v>-0.35446540106316043</v>
      </c>
      <c r="K72">
        <f t="shared" si="18"/>
        <v>-0.70629057297601205</v>
      </c>
      <c r="L72">
        <v>1</v>
      </c>
      <c r="M72">
        <f t="shared" si="19"/>
        <v>0.50055826442268303</v>
      </c>
      <c r="N72">
        <f t="shared" si="22"/>
        <v>7.3662580950000014E-2</v>
      </c>
      <c r="O72">
        <f t="shared" si="20"/>
        <v>4.9459161495000001E-2</v>
      </c>
      <c r="P72">
        <f t="shared" si="21"/>
        <v>8.2610566108329023E-2</v>
      </c>
      <c r="V72">
        <v>0.59999999999997999</v>
      </c>
      <c r="W72">
        <f t="shared" si="23"/>
        <v>-0.53405999999999931</v>
      </c>
    </row>
    <row r="73" spans="1:23" x14ac:dyDescent="0.3">
      <c r="A73">
        <v>3.5570563499999999</v>
      </c>
      <c r="B73">
        <v>0.47064</v>
      </c>
      <c r="C73">
        <f t="shared" si="13"/>
        <v>1.674093000564</v>
      </c>
      <c r="D73" s="1">
        <v>2.1000000000000001E-2</v>
      </c>
      <c r="E73" s="1">
        <v>1.41E-2</v>
      </c>
      <c r="F73">
        <f t="shared" si="14"/>
        <v>711.41126999999994</v>
      </c>
      <c r="G73">
        <f t="shared" si="15"/>
        <v>-0.47064</v>
      </c>
      <c r="H73">
        <f t="shared" si="16"/>
        <v>-334.81860011280003</v>
      </c>
      <c r="I73">
        <v>1</v>
      </c>
      <c r="J73">
        <f t="shared" si="17"/>
        <v>-0.34050457759157871</v>
      </c>
      <c r="K73">
        <f t="shared" si="18"/>
        <v>-0.70927057297601204</v>
      </c>
      <c r="L73">
        <v>1</v>
      </c>
      <c r="M73">
        <f t="shared" si="19"/>
        <v>0.50104828932653556</v>
      </c>
      <c r="N73">
        <f t="shared" si="22"/>
        <v>7.4698183350000003E-2</v>
      </c>
      <c r="O73">
        <f t="shared" si="20"/>
        <v>5.0154494534999997E-2</v>
      </c>
      <c r="P73">
        <f t="shared" si="21"/>
        <v>8.3369605764476482E-2</v>
      </c>
      <c r="V73">
        <v>0.69999999999997997</v>
      </c>
      <c r="W73">
        <f t="shared" si="23"/>
        <v>-0.53756999999999933</v>
      </c>
    </row>
    <row r="74" spans="1:23" x14ac:dyDescent="0.3">
      <c r="A74">
        <v>3.6063708500000002</v>
      </c>
      <c r="B74">
        <v>0.46790999999999999</v>
      </c>
      <c r="C74">
        <f t="shared" si="13"/>
        <v>1.6874569844235001</v>
      </c>
      <c r="D74" s="1">
        <v>2.1000000000000001E-2</v>
      </c>
      <c r="E74" s="1">
        <v>1.41E-2</v>
      </c>
      <c r="F74">
        <f t="shared" si="14"/>
        <v>721.27417000000003</v>
      </c>
      <c r="G74">
        <f t="shared" si="15"/>
        <v>-0.46790999999999999</v>
      </c>
      <c r="H74">
        <f t="shared" si="16"/>
        <v>-337.49139688470001</v>
      </c>
      <c r="I74">
        <v>1</v>
      </c>
      <c r="J74">
        <f t="shared" si="17"/>
        <v>-0.32673595045615295</v>
      </c>
      <c r="K74">
        <f t="shared" si="18"/>
        <v>-0.71200057297601194</v>
      </c>
      <c r="L74">
        <v>1</v>
      </c>
      <c r="M74">
        <f t="shared" si="19"/>
        <v>0.50153156813898903</v>
      </c>
      <c r="N74">
        <f t="shared" si="22"/>
        <v>7.5733787850000012E-2</v>
      </c>
      <c r="O74">
        <f t="shared" si="20"/>
        <v>5.0849828985000005E-2</v>
      </c>
      <c r="P74">
        <f t="shared" si="21"/>
        <v>8.3885388002022887E-2</v>
      </c>
      <c r="V74">
        <v>0.79999999999997995</v>
      </c>
      <c r="W74">
        <f t="shared" si="23"/>
        <v>-0.54107999999999934</v>
      </c>
    </row>
    <row r="75" spans="1:23" x14ac:dyDescent="0.3">
      <c r="A75">
        <v>3.65817565</v>
      </c>
      <c r="B75">
        <v>0.46494000000000002</v>
      </c>
      <c r="C75">
        <f t="shared" si="13"/>
        <v>1.7008321867110001</v>
      </c>
      <c r="D75" s="1">
        <v>2.1000000000000001E-2</v>
      </c>
      <c r="E75" s="1">
        <v>1.41E-2</v>
      </c>
      <c r="F75">
        <f t="shared" si="14"/>
        <v>731.63513</v>
      </c>
      <c r="G75">
        <f t="shared" si="15"/>
        <v>-0.46494000000000002</v>
      </c>
      <c r="H75">
        <f t="shared" si="16"/>
        <v>-340.16643734220003</v>
      </c>
      <c r="I75">
        <v>1</v>
      </c>
      <c r="J75">
        <f t="shared" si="17"/>
        <v>-0.31247334557560946</v>
      </c>
      <c r="K75">
        <f t="shared" si="18"/>
        <v>-0.71497057297601196</v>
      </c>
      <c r="L75">
        <v>1</v>
      </c>
      <c r="M75">
        <f t="shared" si="19"/>
        <v>0.50203218557029616</v>
      </c>
      <c r="N75">
        <f t="shared" si="22"/>
        <v>7.6821688650000011E-2</v>
      </c>
      <c r="O75">
        <f t="shared" si="20"/>
        <v>5.1580276665000001E-2</v>
      </c>
      <c r="P75">
        <f t="shared" si="21"/>
        <v>8.4536422090715796E-2</v>
      </c>
      <c r="V75">
        <v>0.89999999999998004</v>
      </c>
      <c r="W75">
        <f t="shared" si="23"/>
        <v>-0.54458999999999935</v>
      </c>
    </row>
    <row r="76" spans="1:23" x14ac:dyDescent="0.3">
      <c r="A76">
        <v>3.7079885999999997</v>
      </c>
      <c r="B76">
        <v>0.46235999999999999</v>
      </c>
      <c r="C76">
        <f t="shared" si="13"/>
        <v>1.7144256090959999</v>
      </c>
      <c r="D76" s="1">
        <v>2.1000000000000001E-2</v>
      </c>
      <c r="E76" s="1">
        <v>1.41E-2</v>
      </c>
      <c r="F76">
        <f t="shared" si="14"/>
        <v>741.59771999999998</v>
      </c>
      <c r="G76">
        <f t="shared" si="15"/>
        <v>-0.46235999999999999</v>
      </c>
      <c r="H76">
        <f t="shared" si="16"/>
        <v>-342.88512181919998</v>
      </c>
      <c r="I76">
        <v>1</v>
      </c>
      <c r="J76">
        <f t="shared" si="17"/>
        <v>-0.2989483391688747</v>
      </c>
      <c r="K76">
        <f t="shared" si="18"/>
        <v>-0.71755057297601199</v>
      </c>
      <c r="L76">
        <v>1</v>
      </c>
      <c r="M76">
        <f t="shared" si="19"/>
        <v>0.5025069132951725</v>
      </c>
      <c r="N76">
        <f t="shared" si="22"/>
        <v>7.7867760600000002E-2</v>
      </c>
      <c r="O76">
        <f t="shared" si="20"/>
        <v>5.2282639259999993E-2</v>
      </c>
      <c r="P76">
        <f t="shared" si="21"/>
        <v>8.4893259820839506E-2</v>
      </c>
      <c r="V76">
        <v>0.99999999999998002</v>
      </c>
      <c r="W76">
        <f t="shared" si="23"/>
        <v>-0.54809999999999937</v>
      </c>
    </row>
    <row r="77" spans="1:23" x14ac:dyDescent="0.3">
      <c r="A77">
        <v>3.7592954500000002</v>
      </c>
      <c r="B77">
        <v>0.45929999999999999</v>
      </c>
      <c r="C77">
        <f t="shared" si="13"/>
        <v>1.7266444001850001</v>
      </c>
      <c r="D77" s="1">
        <v>2.1000000000000001E-2</v>
      </c>
      <c r="E77" s="1">
        <v>1.41E-2</v>
      </c>
      <c r="F77">
        <f t="shared" si="14"/>
        <v>751.85909000000004</v>
      </c>
      <c r="G77">
        <f t="shared" si="15"/>
        <v>-0.45929999999999999</v>
      </c>
      <c r="H77">
        <f t="shared" si="16"/>
        <v>-345.32888003700003</v>
      </c>
      <c r="I77">
        <v>1</v>
      </c>
      <c r="J77">
        <f t="shared" si="17"/>
        <v>-0.28520635290933144</v>
      </c>
      <c r="K77">
        <f t="shared" si="18"/>
        <v>-0.72061057297601194</v>
      </c>
      <c r="L77">
        <v>1</v>
      </c>
      <c r="M77">
        <f t="shared" si="19"/>
        <v>0.50298925701288244</v>
      </c>
      <c r="N77">
        <f t="shared" si="22"/>
        <v>7.8945204450000014E-2</v>
      </c>
      <c r="O77">
        <f t="shared" si="20"/>
        <v>5.3006065844999999E-2</v>
      </c>
      <c r="P77">
        <f t="shared" si="21"/>
        <v>8.5670045668129469E-2</v>
      </c>
      <c r="V77">
        <v>1.0999999999999699</v>
      </c>
      <c r="W77">
        <f t="shared" si="23"/>
        <v>-0.55160999999999893</v>
      </c>
    </row>
    <row r="78" spans="1:23" x14ac:dyDescent="0.3">
      <c r="A78">
        <v>3.8101042000000001</v>
      </c>
      <c r="B78">
        <v>0.45640999999999998</v>
      </c>
      <c r="C78">
        <f t="shared" si="13"/>
        <v>1.738969657922</v>
      </c>
      <c r="D78" s="1">
        <v>2.1000000000000001E-2</v>
      </c>
      <c r="E78" s="1">
        <v>1.41E-2</v>
      </c>
      <c r="F78">
        <f t="shared" si="14"/>
        <v>762.02084000000002</v>
      </c>
      <c r="G78">
        <f t="shared" si="15"/>
        <v>-0.45640999999999998</v>
      </c>
      <c r="H78">
        <f t="shared" si="16"/>
        <v>-347.79393158440001</v>
      </c>
      <c r="I78">
        <v>1</v>
      </c>
      <c r="J78">
        <f t="shared" si="17"/>
        <v>-0.2717813745881052</v>
      </c>
      <c r="K78">
        <f t="shared" si="18"/>
        <v>-0.723500572976012</v>
      </c>
      <c r="L78">
        <v>1</v>
      </c>
      <c r="M78">
        <f t="shared" si="19"/>
        <v>0.50346047375195757</v>
      </c>
      <c r="N78">
        <f t="shared" si="22"/>
        <v>8.0012188200000001E-2</v>
      </c>
      <c r="O78">
        <f t="shared" si="20"/>
        <v>5.3722469219999999E-2</v>
      </c>
      <c r="P78">
        <f t="shared" si="21"/>
        <v>8.6305441804054431E-2</v>
      </c>
      <c r="V78">
        <v>1.19999999999997</v>
      </c>
      <c r="W78">
        <f t="shared" si="23"/>
        <v>-0.55511999999999895</v>
      </c>
    </row>
    <row r="79" spans="1:23" x14ac:dyDescent="0.3">
      <c r="A79">
        <v>3.8599166500000002</v>
      </c>
      <c r="B79">
        <v>0.45363999999999999</v>
      </c>
      <c r="C79">
        <f t="shared" si="13"/>
        <v>1.751012589106</v>
      </c>
      <c r="D79" s="1">
        <v>2.1000000000000001E-2</v>
      </c>
      <c r="E79" s="1">
        <v>1.41E-2</v>
      </c>
      <c r="F79">
        <f t="shared" si="14"/>
        <v>771.98333000000002</v>
      </c>
      <c r="G79">
        <f t="shared" si="15"/>
        <v>-0.45363999999999999</v>
      </c>
      <c r="H79">
        <f t="shared" si="16"/>
        <v>-350.20251782119999</v>
      </c>
      <c r="I79">
        <v>1</v>
      </c>
      <c r="J79">
        <f t="shared" si="17"/>
        <v>-0.25879232245474737</v>
      </c>
      <c r="K79">
        <f t="shared" si="18"/>
        <v>-0.72627057297601194</v>
      </c>
      <c r="L79">
        <v>1</v>
      </c>
      <c r="M79">
        <f t="shared" si="19"/>
        <v>0.50391638948183837</v>
      </c>
      <c r="N79">
        <f t="shared" si="22"/>
        <v>8.1058249650000011E-2</v>
      </c>
      <c r="O79">
        <f t="shared" si="20"/>
        <v>5.4424824765000004E-2</v>
      </c>
      <c r="P79">
        <f t="shared" si="21"/>
        <v>8.6871109079173545E-2</v>
      </c>
      <c r="V79">
        <v>1.2999999999999701</v>
      </c>
      <c r="W79">
        <f t="shared" si="23"/>
        <v>-0.55862999999999896</v>
      </c>
    </row>
    <row r="80" spans="1:23" x14ac:dyDescent="0.3">
      <c r="A80">
        <v>3.9092311500000001</v>
      </c>
      <c r="B80">
        <v>0.45063999999999999</v>
      </c>
      <c r="C80">
        <f t="shared" si="13"/>
        <v>1.761655925436</v>
      </c>
      <c r="D80" s="1">
        <v>2.1000000000000001E-2</v>
      </c>
      <c r="E80" s="1">
        <v>1.41E-2</v>
      </c>
      <c r="F80">
        <f t="shared" si="14"/>
        <v>781.84622999999999</v>
      </c>
      <c r="G80">
        <f t="shared" si="15"/>
        <v>-0.45063999999999999</v>
      </c>
      <c r="H80">
        <f t="shared" si="16"/>
        <v>-352.33118508720003</v>
      </c>
      <c r="I80">
        <v>1</v>
      </c>
      <c r="J80">
        <f t="shared" si="17"/>
        <v>-0.24609719460102647</v>
      </c>
      <c r="K80">
        <f t="shared" si="18"/>
        <v>-0.72927057297601205</v>
      </c>
      <c r="L80">
        <v>1</v>
      </c>
      <c r="M80">
        <f t="shared" si="19"/>
        <v>0.50436198846950397</v>
      </c>
      <c r="N80">
        <f t="shared" si="22"/>
        <v>8.2093854150000006E-2</v>
      </c>
      <c r="O80">
        <f t="shared" si="20"/>
        <v>5.5120159214999999E-2</v>
      </c>
      <c r="P80">
        <f t="shared" si="21"/>
        <v>8.7694571141508082E-2</v>
      </c>
      <c r="V80">
        <v>1.3999999999999699</v>
      </c>
      <c r="W80">
        <f t="shared" si="23"/>
        <v>-0.56213999999999897</v>
      </c>
    </row>
    <row r="81" spans="1:23" x14ac:dyDescent="0.3">
      <c r="A81">
        <v>3.9595420000000003</v>
      </c>
      <c r="B81">
        <v>0.44764999999999999</v>
      </c>
      <c r="C81">
        <f t="shared" si="13"/>
        <v>1.7724889763</v>
      </c>
      <c r="D81" s="1">
        <v>2.1000000000000001E-2</v>
      </c>
      <c r="E81" s="1">
        <v>1.41E-2</v>
      </c>
      <c r="F81">
        <f t="shared" si="14"/>
        <v>791.90840000000003</v>
      </c>
      <c r="G81">
        <f t="shared" si="15"/>
        <v>-0.44764999999999999</v>
      </c>
      <c r="H81">
        <f t="shared" si="16"/>
        <v>-354.49779525999998</v>
      </c>
      <c r="I81">
        <v>1</v>
      </c>
      <c r="J81">
        <f t="shared" si="17"/>
        <v>-0.233309550422104</v>
      </c>
      <c r="K81">
        <f t="shared" si="18"/>
        <v>-0.73226057297601199</v>
      </c>
      <c r="L81">
        <v>1</v>
      </c>
      <c r="M81">
        <f t="shared" si="19"/>
        <v>0.50481083478018418</v>
      </c>
      <c r="N81">
        <f t="shared" si="22"/>
        <v>8.3150382000000009E-2</v>
      </c>
      <c r="O81">
        <f t="shared" si="20"/>
        <v>5.5829542200000006E-2</v>
      </c>
      <c r="P81">
        <f t="shared" si="21"/>
        <v>8.846981399582779E-2</v>
      </c>
      <c r="V81">
        <v>1.49999999999997</v>
      </c>
      <c r="W81">
        <f t="shared" si="23"/>
        <v>-0.56564999999999899</v>
      </c>
    </row>
    <row r="82" spans="1:23" x14ac:dyDescent="0.3">
      <c r="A82">
        <v>4.0103506499999995</v>
      </c>
      <c r="B82">
        <v>0.44514999999999999</v>
      </c>
      <c r="C82">
        <f t="shared" si="13"/>
        <v>1.7852075918474997</v>
      </c>
      <c r="D82" s="1">
        <v>2.1000000000000001E-2</v>
      </c>
      <c r="E82" s="1">
        <v>1.41E-2</v>
      </c>
      <c r="F82">
        <f t="shared" si="14"/>
        <v>802.07012999999984</v>
      </c>
      <c r="G82">
        <f t="shared" si="15"/>
        <v>-0.44514999999999999</v>
      </c>
      <c r="H82">
        <f t="shared" si="16"/>
        <v>-357.04151836949995</v>
      </c>
      <c r="I82">
        <v>1</v>
      </c>
      <c r="J82">
        <f t="shared" si="17"/>
        <v>-0.22055923104834257</v>
      </c>
      <c r="K82">
        <f t="shared" si="18"/>
        <v>-0.73476057297601205</v>
      </c>
      <c r="L82">
        <v>1</v>
      </c>
      <c r="M82">
        <f t="shared" si="19"/>
        <v>0.50525837099020321</v>
      </c>
      <c r="N82">
        <f t="shared" si="22"/>
        <v>8.4217363649999988E-2</v>
      </c>
      <c r="O82">
        <f t="shared" si="20"/>
        <v>5.6545944164999994E-2</v>
      </c>
      <c r="P82">
        <f t="shared" si="21"/>
        <v>8.8738894170808852E-2</v>
      </c>
      <c r="V82">
        <v>1.5999999999999699</v>
      </c>
      <c r="W82">
        <f t="shared" si="23"/>
        <v>-0.569159999999999</v>
      </c>
    </row>
    <row r="83" spans="1:23" x14ac:dyDescent="0.3">
      <c r="A83">
        <v>4.0621562500000001</v>
      </c>
      <c r="B83">
        <v>0.44246999999999997</v>
      </c>
      <c r="C83">
        <f t="shared" si="13"/>
        <v>1.7973822759375</v>
      </c>
      <c r="D83" s="1">
        <v>2.1000000000000001E-2</v>
      </c>
      <c r="E83" s="1">
        <v>1.41E-2</v>
      </c>
      <c r="F83">
        <f t="shared" si="14"/>
        <v>812.43124999999998</v>
      </c>
      <c r="G83">
        <f t="shared" si="15"/>
        <v>-0.44246999999999997</v>
      </c>
      <c r="H83">
        <f t="shared" si="16"/>
        <v>-359.47645518749999</v>
      </c>
      <c r="I83">
        <v>1</v>
      </c>
      <c r="J83">
        <f t="shared" si="17"/>
        <v>-0.20772398374294357</v>
      </c>
      <c r="K83">
        <f t="shared" si="18"/>
        <v>-0.73744057297601207</v>
      </c>
      <c r="L83">
        <v>1</v>
      </c>
      <c r="M83">
        <f t="shared" si="19"/>
        <v>0.50570888817062265</v>
      </c>
      <c r="N83">
        <f t="shared" si="22"/>
        <v>8.5305281250000004E-2</v>
      </c>
      <c r="O83">
        <f t="shared" si="20"/>
        <v>5.7276403125E-2</v>
      </c>
      <c r="P83">
        <f t="shared" si="21"/>
        <v>8.9150000430389412E-2</v>
      </c>
      <c r="V83">
        <v>1.69999999999997</v>
      </c>
      <c r="W83">
        <f t="shared" si="23"/>
        <v>-0.5726699999999989</v>
      </c>
    </row>
    <row r="84" spans="1:23" x14ac:dyDescent="0.3">
      <c r="A84">
        <v>4.1134626499999998</v>
      </c>
      <c r="B84">
        <v>0.43980999999999998</v>
      </c>
      <c r="C84">
        <f t="shared" si="13"/>
        <v>1.8091420080964997</v>
      </c>
      <c r="D84" s="1">
        <v>2.1000000000000001E-2</v>
      </c>
      <c r="E84" s="1">
        <v>1.41E-2</v>
      </c>
      <c r="F84">
        <f t="shared" si="14"/>
        <v>822.69252999999992</v>
      </c>
      <c r="G84">
        <f t="shared" si="15"/>
        <v>-0.43980999999999998</v>
      </c>
      <c r="H84">
        <f t="shared" si="16"/>
        <v>-361.82840161929994</v>
      </c>
      <c r="I84">
        <v>1</v>
      </c>
      <c r="J84">
        <f t="shared" si="17"/>
        <v>-0.19517274470747561</v>
      </c>
      <c r="K84">
        <f t="shared" si="18"/>
        <v>-0.74010057297601195</v>
      </c>
      <c r="L84">
        <v>1</v>
      </c>
      <c r="M84">
        <f t="shared" si="19"/>
        <v>0.50614943666076762</v>
      </c>
      <c r="N84">
        <f t="shared" si="22"/>
        <v>8.6382715649999997E-2</v>
      </c>
      <c r="O84">
        <f t="shared" si="20"/>
        <v>5.7999823364999994E-2</v>
      </c>
      <c r="P84">
        <f t="shared" si="21"/>
        <v>8.9568597300244343E-2</v>
      </c>
      <c r="V84">
        <v>1.7999999999999701</v>
      </c>
      <c r="W84">
        <f t="shared" si="23"/>
        <v>-0.57617999999999892</v>
      </c>
    </row>
    <row r="85" spans="1:23" x14ac:dyDescent="0.3">
      <c r="A85">
        <v>4.1627771500000001</v>
      </c>
      <c r="B85">
        <v>0.43697000000000003</v>
      </c>
      <c r="C85">
        <f t="shared" si="13"/>
        <v>1.8190087312355001</v>
      </c>
      <c r="D85" s="1">
        <v>2.1000000000000001E-2</v>
      </c>
      <c r="E85" s="1">
        <v>1.41E-2</v>
      </c>
      <c r="F85">
        <f t="shared" si="14"/>
        <v>832.55543</v>
      </c>
      <c r="G85">
        <f t="shared" si="15"/>
        <v>-0.43697000000000003</v>
      </c>
      <c r="H85">
        <f t="shared" si="16"/>
        <v>-363.80174624710003</v>
      </c>
      <c r="I85">
        <v>1</v>
      </c>
      <c r="J85">
        <f t="shared" si="17"/>
        <v>-0.18325547676147735</v>
      </c>
      <c r="K85">
        <f t="shared" si="18"/>
        <v>-0.7429405729760119</v>
      </c>
      <c r="L85">
        <v>1</v>
      </c>
      <c r="M85">
        <f t="shared" si="19"/>
        <v>0.50656773276567213</v>
      </c>
      <c r="N85">
        <f t="shared" si="22"/>
        <v>8.7418320150000006E-2</v>
      </c>
      <c r="O85">
        <f t="shared" si="20"/>
        <v>5.8695157815000003E-2</v>
      </c>
      <c r="P85">
        <f t="shared" si="21"/>
        <v>9.0259362245339758E-2</v>
      </c>
      <c r="V85">
        <v>1.8999999999999699</v>
      </c>
      <c r="W85">
        <f t="shared" si="23"/>
        <v>-0.57968999999999893</v>
      </c>
    </row>
    <row r="86" spans="1:23" x14ac:dyDescent="0.3">
      <c r="A86">
        <v>4.2120915999999999</v>
      </c>
      <c r="B86">
        <v>0.43413000000000002</v>
      </c>
      <c r="C86">
        <f t="shared" si="13"/>
        <v>1.8285953263080001</v>
      </c>
      <c r="D86" s="1">
        <v>2.1000000000000001E-2</v>
      </c>
      <c r="E86" s="1">
        <v>1.41E-2</v>
      </c>
      <c r="F86">
        <f t="shared" si="14"/>
        <v>842.41831999999999</v>
      </c>
      <c r="G86">
        <f t="shared" si="15"/>
        <v>-0.43413000000000002</v>
      </c>
      <c r="H86">
        <f t="shared" si="16"/>
        <v>-365.71906526160001</v>
      </c>
      <c r="I86">
        <v>1</v>
      </c>
      <c r="J86">
        <f t="shared" si="17"/>
        <v>-0.17147857101042835</v>
      </c>
      <c r="K86">
        <f t="shared" si="18"/>
        <v>-0.74578057297601197</v>
      </c>
      <c r="L86">
        <v>1</v>
      </c>
      <c r="M86">
        <f t="shared" si="19"/>
        <v>0.506981102157534</v>
      </c>
      <c r="N86">
        <f t="shared" si="22"/>
        <v>8.8453923599999998E-2</v>
      </c>
      <c r="O86">
        <f t="shared" si="20"/>
        <v>5.9390491559999994E-2</v>
      </c>
      <c r="P86">
        <f t="shared" si="21"/>
        <v>9.0955055658477987E-2</v>
      </c>
      <c r="V86">
        <v>1.99999999999997</v>
      </c>
      <c r="W86">
        <f t="shared" si="23"/>
        <v>-0.58319999999999894</v>
      </c>
    </row>
    <row r="87" spans="1:23" x14ac:dyDescent="0.3">
      <c r="A87">
        <v>4.2619047500000002</v>
      </c>
      <c r="B87">
        <v>0.43147999999999997</v>
      </c>
      <c r="C87">
        <f t="shared" si="13"/>
        <v>1.83892666153</v>
      </c>
      <c r="D87" s="1">
        <v>2.1000000000000001E-2</v>
      </c>
      <c r="E87" s="1">
        <v>1.41E-2</v>
      </c>
      <c r="F87">
        <f t="shared" si="14"/>
        <v>852.3809500000001</v>
      </c>
      <c r="G87">
        <f t="shared" si="15"/>
        <v>-0.43147999999999997</v>
      </c>
      <c r="H87">
        <f t="shared" si="16"/>
        <v>-367.78533230599999</v>
      </c>
      <c r="I87">
        <v>1</v>
      </c>
      <c r="J87">
        <f t="shared" si="17"/>
        <v>-0.15972172767000961</v>
      </c>
      <c r="K87">
        <f t="shared" si="18"/>
        <v>-0.74843057297601201</v>
      </c>
      <c r="L87">
        <v>1</v>
      </c>
      <c r="M87">
        <f t="shared" si="19"/>
        <v>0.50739376735878272</v>
      </c>
      <c r="N87">
        <f t="shared" si="22"/>
        <v>8.9499999750000017E-2</v>
      </c>
      <c r="O87">
        <f t="shared" si="20"/>
        <v>6.0092856975000004E-2</v>
      </c>
      <c r="P87">
        <f t="shared" si="21"/>
        <v>9.1443948892229288E-2</v>
      </c>
      <c r="V87">
        <v>2.0999999999999699</v>
      </c>
      <c r="W87">
        <f t="shared" si="23"/>
        <v>-0.58670999999999895</v>
      </c>
    </row>
    <row r="88" spans="1:23" x14ac:dyDescent="0.3">
      <c r="A88">
        <v>4.31719645</v>
      </c>
      <c r="B88">
        <v>0.42880000000000001</v>
      </c>
      <c r="C88">
        <f t="shared" si="13"/>
        <v>1.85121383776</v>
      </c>
      <c r="D88" s="1">
        <v>2.1000000000000001E-2</v>
      </c>
      <c r="E88" s="1">
        <v>1.41E-2</v>
      </c>
      <c r="F88">
        <f t="shared" si="14"/>
        <v>863.43929000000003</v>
      </c>
      <c r="G88">
        <f t="shared" si="15"/>
        <v>-0.42880000000000001</v>
      </c>
      <c r="H88">
        <f t="shared" si="16"/>
        <v>-370.24276755200003</v>
      </c>
      <c r="I88">
        <v>1</v>
      </c>
      <c r="J88">
        <f t="shared" si="17"/>
        <v>-0.1468316907576106</v>
      </c>
      <c r="K88">
        <f t="shared" si="18"/>
        <v>-0.75111057297601191</v>
      </c>
      <c r="L88">
        <v>1</v>
      </c>
      <c r="M88">
        <f t="shared" si="19"/>
        <v>0.50784620765440791</v>
      </c>
      <c r="N88">
        <f t="shared" si="22"/>
        <v>9.0661125450000005E-2</v>
      </c>
      <c r="O88">
        <f t="shared" si="20"/>
        <v>6.0872469945E-2</v>
      </c>
      <c r="P88">
        <f t="shared" si="21"/>
        <v>9.1730769926604006E-2</v>
      </c>
      <c r="V88">
        <v>2.19999999999997</v>
      </c>
      <c r="W88">
        <f t="shared" si="23"/>
        <v>-0.59021999999999897</v>
      </c>
    </row>
    <row r="89" spans="1:23" x14ac:dyDescent="0.3">
      <c r="A89">
        <v>4.3690014999999995</v>
      </c>
      <c r="B89">
        <v>0.42564999999999997</v>
      </c>
      <c r="C89">
        <f t="shared" si="13"/>
        <v>1.8596654884749997</v>
      </c>
      <c r="D89" s="1">
        <v>2.1000000000000001E-2</v>
      </c>
      <c r="E89" s="1">
        <v>1.41E-2</v>
      </c>
      <c r="F89">
        <f t="shared" si="14"/>
        <v>873.80029999999988</v>
      </c>
      <c r="G89">
        <f t="shared" si="15"/>
        <v>-0.42564999999999997</v>
      </c>
      <c r="H89">
        <f t="shared" si="16"/>
        <v>-371.93309769499996</v>
      </c>
      <c r="I89">
        <v>1</v>
      </c>
      <c r="J89">
        <f t="shared" si="17"/>
        <v>-0.13490341913686796</v>
      </c>
      <c r="K89">
        <f t="shared" si="18"/>
        <v>-0.75426057297601201</v>
      </c>
      <c r="L89">
        <v>1</v>
      </c>
      <c r="M89">
        <f t="shared" si="19"/>
        <v>0.508264889988296</v>
      </c>
      <c r="N89">
        <f t="shared" si="22"/>
        <v>9.1749031499999995E-2</v>
      </c>
      <c r="O89">
        <f t="shared" si="20"/>
        <v>6.160292114999999E-2</v>
      </c>
      <c r="P89">
        <f t="shared" si="21"/>
        <v>9.2643730337716029E-2</v>
      </c>
      <c r="V89">
        <v>2.2999999999999701</v>
      </c>
      <c r="W89">
        <f t="shared" si="23"/>
        <v>-0.59372999999999898</v>
      </c>
    </row>
    <row r="90" spans="1:23" x14ac:dyDescent="0.3">
      <c r="A90">
        <v>4.4208066000000006</v>
      </c>
      <c r="B90">
        <v>0.42291000000000001</v>
      </c>
      <c r="C90">
        <f t="shared" si="13"/>
        <v>1.8696033192060002</v>
      </c>
      <c r="D90" s="1">
        <v>2.1000000000000001E-2</v>
      </c>
      <c r="E90" s="1">
        <v>1.41E-2</v>
      </c>
      <c r="F90">
        <f t="shared" si="14"/>
        <v>884.16132000000016</v>
      </c>
      <c r="G90">
        <f t="shared" si="15"/>
        <v>-0.42291000000000001</v>
      </c>
      <c r="H90">
        <f t="shared" si="16"/>
        <v>-373.92066384120005</v>
      </c>
      <c r="I90">
        <v>1</v>
      </c>
      <c r="J90">
        <f t="shared" si="17"/>
        <v>-0.12311574430574576</v>
      </c>
      <c r="K90">
        <f t="shared" si="18"/>
        <v>-0.75700057297601198</v>
      </c>
      <c r="L90">
        <v>1</v>
      </c>
      <c r="M90">
        <f t="shared" si="19"/>
        <v>0.50867863737486829</v>
      </c>
      <c r="N90">
        <f t="shared" si="22"/>
        <v>9.2836938600000016E-2</v>
      </c>
      <c r="O90">
        <f t="shared" si="20"/>
        <v>6.2333373060000009E-2</v>
      </c>
      <c r="P90">
        <f t="shared" si="21"/>
        <v>9.3151623941143652E-2</v>
      </c>
      <c r="V90">
        <v>2.3999999999999702</v>
      </c>
      <c r="W90">
        <f t="shared" si="23"/>
        <v>-0.59723999999999899</v>
      </c>
    </row>
    <row r="91" spans="1:23" x14ac:dyDescent="0.3">
      <c r="A91">
        <v>4.4711174499999995</v>
      </c>
      <c r="B91">
        <v>0.42021999999999998</v>
      </c>
      <c r="C91">
        <f t="shared" si="13"/>
        <v>1.8788529748389997</v>
      </c>
      <c r="D91" s="1">
        <v>2.1000000000000001E-2</v>
      </c>
      <c r="E91" s="1">
        <v>1.41E-2</v>
      </c>
      <c r="F91">
        <f t="shared" si="14"/>
        <v>894.22348999999986</v>
      </c>
      <c r="G91">
        <f t="shared" si="15"/>
        <v>-0.42021999999999998</v>
      </c>
      <c r="H91">
        <f t="shared" si="16"/>
        <v>-375.77059496779992</v>
      </c>
      <c r="I91">
        <v>1</v>
      </c>
      <c r="J91">
        <f t="shared" si="17"/>
        <v>-0.11179954623630234</v>
      </c>
      <c r="K91">
        <f t="shared" si="18"/>
        <v>-0.75969057297601195</v>
      </c>
      <c r="L91">
        <v>1</v>
      </c>
      <c r="M91">
        <f t="shared" si="19"/>
        <v>0.50907583592710581</v>
      </c>
      <c r="N91">
        <f t="shared" si="22"/>
        <v>9.389346644999999E-2</v>
      </c>
      <c r="O91">
        <f t="shared" si="20"/>
        <v>6.3042756044999995E-2</v>
      </c>
      <c r="P91">
        <f t="shared" si="21"/>
        <v>9.3678514553906148E-2</v>
      </c>
      <c r="V91">
        <v>2.4999999999999698</v>
      </c>
      <c r="W91">
        <f t="shared" si="23"/>
        <v>-0.60074999999999901</v>
      </c>
    </row>
    <row r="92" spans="1:23" x14ac:dyDescent="0.3">
      <c r="A92">
        <v>4.5209296999999999</v>
      </c>
      <c r="B92">
        <v>0.41774</v>
      </c>
      <c r="C92">
        <f t="shared" si="13"/>
        <v>1.888573172878</v>
      </c>
      <c r="D92" s="1">
        <v>2.1000000000000001E-2</v>
      </c>
      <c r="E92" s="1">
        <v>1.41E-2</v>
      </c>
      <c r="F92">
        <f t="shared" si="14"/>
        <v>904.18593999999996</v>
      </c>
      <c r="G92">
        <f t="shared" si="15"/>
        <v>-0.41774</v>
      </c>
      <c r="H92">
        <f t="shared" si="16"/>
        <v>-377.71463457559997</v>
      </c>
      <c r="I92">
        <v>1</v>
      </c>
      <c r="J92">
        <f t="shared" si="17"/>
        <v>-0.10072025389968499</v>
      </c>
      <c r="K92">
        <f t="shared" si="18"/>
        <v>-0.76217057297601198</v>
      </c>
      <c r="L92">
        <v>1</v>
      </c>
      <c r="M92">
        <f t="shared" si="19"/>
        <v>0.50946471908812108</v>
      </c>
      <c r="N92">
        <f t="shared" si="22"/>
        <v>9.49395237E-2</v>
      </c>
      <c r="O92">
        <f t="shared" si="20"/>
        <v>6.3745108770000003E-2</v>
      </c>
      <c r="P92">
        <f t="shared" si="21"/>
        <v>9.4021221417890904E-2</v>
      </c>
      <c r="V92">
        <v>2.5999999999999699</v>
      </c>
      <c r="W92">
        <f t="shared" si="23"/>
        <v>-0.60425999999999891</v>
      </c>
    </row>
    <row r="93" spans="1:23" x14ac:dyDescent="0.3">
      <c r="A93">
        <v>4.57173885</v>
      </c>
      <c r="B93">
        <v>0.41520000000000001</v>
      </c>
      <c r="C93">
        <f t="shared" si="13"/>
        <v>1.8981859705200002</v>
      </c>
      <c r="D93" s="1">
        <v>2.1000000000000001E-2</v>
      </c>
      <c r="E93" s="1">
        <v>1.41E-2</v>
      </c>
      <c r="F93">
        <f t="shared" si="14"/>
        <v>914.34776999999997</v>
      </c>
      <c r="G93">
        <f t="shared" si="15"/>
        <v>-0.41520000000000001</v>
      </c>
      <c r="H93">
        <f t="shared" si="16"/>
        <v>-379.63719410400006</v>
      </c>
      <c r="I93">
        <v>1</v>
      </c>
      <c r="J93">
        <f t="shared" si="17"/>
        <v>-8.9544287555484672E-2</v>
      </c>
      <c r="K93">
        <f t="shared" si="18"/>
        <v>-0.76471057297601197</v>
      </c>
      <c r="L93">
        <v>1</v>
      </c>
      <c r="M93">
        <f t="shared" si="19"/>
        <v>0.50985699550680252</v>
      </c>
      <c r="N93">
        <f t="shared" si="22"/>
        <v>9.6006515850000002E-2</v>
      </c>
      <c r="O93">
        <f t="shared" si="20"/>
        <v>6.4461517785000005E-2</v>
      </c>
      <c r="P93">
        <f t="shared" si="21"/>
        <v>9.438554383420944E-2</v>
      </c>
      <c r="V93">
        <v>2.69999999999997</v>
      </c>
      <c r="W93">
        <f t="shared" si="23"/>
        <v>-0.60776999999999892</v>
      </c>
    </row>
    <row r="94" spans="1:23" x14ac:dyDescent="0.3">
      <c r="A94">
        <v>4.6225474499999999</v>
      </c>
      <c r="B94">
        <v>0.41227999999999998</v>
      </c>
      <c r="C94">
        <f t="shared" si="13"/>
        <v>1.9057838626859998</v>
      </c>
      <c r="D94" s="1">
        <v>2.1000000000000001E-2</v>
      </c>
      <c r="E94" s="1">
        <v>1.41E-2</v>
      </c>
      <c r="F94">
        <f t="shared" si="14"/>
        <v>924.50949000000003</v>
      </c>
      <c r="G94">
        <f t="shared" si="15"/>
        <v>-0.41227999999999998</v>
      </c>
      <c r="H94">
        <f t="shared" si="16"/>
        <v>-381.15677253719997</v>
      </c>
      <c r="I94">
        <v>1</v>
      </c>
      <c r="J94">
        <f t="shared" si="17"/>
        <v>-7.8491963199529807E-2</v>
      </c>
      <c r="K94">
        <f t="shared" si="18"/>
        <v>-0.767630572976012</v>
      </c>
      <c r="L94">
        <v>1</v>
      </c>
      <c r="M94">
        <f t="shared" si="19"/>
        <v>0.51024493209169652</v>
      </c>
      <c r="N94">
        <f t="shared" si="22"/>
        <v>9.7073496450000005E-2</v>
      </c>
      <c r="O94">
        <f t="shared" si="20"/>
        <v>6.5177919044999991E-2</v>
      </c>
      <c r="P94">
        <f t="shared" si="21"/>
        <v>9.5134225389315472E-2</v>
      </c>
      <c r="V94">
        <v>2.7999999999999701</v>
      </c>
      <c r="W94">
        <f t="shared" si="23"/>
        <v>-0.61127999999999894</v>
      </c>
    </row>
    <row r="95" spans="1:23" x14ac:dyDescent="0.3">
      <c r="A95">
        <v>4.6723597000000003</v>
      </c>
      <c r="B95">
        <v>0.40971999999999997</v>
      </c>
      <c r="C95">
        <f t="shared" si="13"/>
        <v>1.914359216284</v>
      </c>
      <c r="D95" s="1">
        <v>2.1000000000000001E-2</v>
      </c>
      <c r="E95" s="1">
        <v>1.41E-2</v>
      </c>
      <c r="F95">
        <f t="shared" si="14"/>
        <v>934.47194000000002</v>
      </c>
      <c r="G95">
        <f t="shared" si="15"/>
        <v>-0.40971999999999997</v>
      </c>
      <c r="H95">
        <f t="shared" si="16"/>
        <v>-382.87184325679999</v>
      </c>
      <c r="I95">
        <v>1</v>
      </c>
      <c r="J95">
        <f t="shared" si="17"/>
        <v>-6.7773679289605412E-2</v>
      </c>
      <c r="K95">
        <f t="shared" si="18"/>
        <v>-0.77019057297601201</v>
      </c>
      <c r="L95">
        <v>1</v>
      </c>
      <c r="M95">
        <f t="shared" si="19"/>
        <v>0.51062114385693491</v>
      </c>
      <c r="N95">
        <f t="shared" si="22"/>
        <v>9.8119553700000015E-2</v>
      </c>
      <c r="O95">
        <f t="shared" si="20"/>
        <v>6.5880271769999998E-2</v>
      </c>
      <c r="P95">
        <f t="shared" si="21"/>
        <v>9.5569603649077073E-2</v>
      </c>
      <c r="V95">
        <v>2.8999999999999702</v>
      </c>
      <c r="W95">
        <f t="shared" si="23"/>
        <v>-0.61478999999999895</v>
      </c>
    </row>
    <row r="96" spans="1:23" x14ac:dyDescent="0.3">
      <c r="A96">
        <v>4.7261572000000003</v>
      </c>
      <c r="B96">
        <v>0.40711999999999998</v>
      </c>
      <c r="C96">
        <f t="shared" si="13"/>
        <v>1.924113119264</v>
      </c>
      <c r="D96" s="1">
        <v>2.1000000000000001E-2</v>
      </c>
      <c r="E96" s="1">
        <v>1.41E-2</v>
      </c>
      <c r="F96">
        <f t="shared" si="14"/>
        <v>945.23144000000002</v>
      </c>
      <c r="G96">
        <f t="shared" si="15"/>
        <v>-0.40711999999999998</v>
      </c>
      <c r="H96">
        <f t="shared" si="16"/>
        <v>-384.82262385280001</v>
      </c>
      <c r="I96">
        <v>1</v>
      </c>
      <c r="J96">
        <f t="shared" si="17"/>
        <v>-5.632547142105547E-2</v>
      </c>
      <c r="K96">
        <f t="shared" si="18"/>
        <v>-0.77279057297601206</v>
      </c>
      <c r="L96">
        <v>1</v>
      </c>
      <c r="M96">
        <f t="shared" si="19"/>
        <v>0.51102297595312096</v>
      </c>
      <c r="N96">
        <f t="shared" si="22"/>
        <v>9.9249301200000015E-2</v>
      </c>
      <c r="O96">
        <f t="shared" si="20"/>
        <v>6.6638816520000005E-2</v>
      </c>
      <c r="P96">
        <f t="shared" si="21"/>
        <v>9.5879479302891063E-2</v>
      </c>
      <c r="V96">
        <v>2.9999999999999698</v>
      </c>
      <c r="W96">
        <f t="shared" si="23"/>
        <v>-0.61829999999999896</v>
      </c>
    </row>
    <row r="97" spans="1:23" x14ac:dyDescent="0.3">
      <c r="A97">
        <v>4.7759704000000003</v>
      </c>
      <c r="B97">
        <v>0.40442</v>
      </c>
      <c r="C97">
        <f t="shared" si="13"/>
        <v>1.9314979491680002</v>
      </c>
      <c r="D97" s="1">
        <v>2.1000000000000001E-2</v>
      </c>
      <c r="E97" s="1">
        <v>1.41E-2</v>
      </c>
      <c r="F97">
        <f t="shared" si="14"/>
        <v>955.1940800000001</v>
      </c>
      <c r="G97">
        <f t="shared" si="15"/>
        <v>-0.40442</v>
      </c>
      <c r="H97">
        <f t="shared" si="16"/>
        <v>-386.29958983360007</v>
      </c>
      <c r="I97">
        <v>1</v>
      </c>
      <c r="J97">
        <f t="shared" si="17"/>
        <v>-4.5840734017946271E-2</v>
      </c>
      <c r="K97">
        <f t="shared" si="18"/>
        <v>-0.77549057297601198</v>
      </c>
      <c r="L97">
        <v>1</v>
      </c>
      <c r="M97">
        <f t="shared" si="19"/>
        <v>0.51139099023597012</v>
      </c>
      <c r="N97">
        <f t="shared" si="22"/>
        <v>0.10029537840000001</v>
      </c>
      <c r="O97">
        <f t="shared" si="20"/>
        <v>6.7341182639999997E-2</v>
      </c>
      <c r="P97">
        <f t="shared" si="21"/>
        <v>9.646302170004184E-2</v>
      </c>
      <c r="V97">
        <v>3.0999999999999699</v>
      </c>
      <c r="W97">
        <f t="shared" si="23"/>
        <v>-0.62180999999999897</v>
      </c>
    </row>
    <row r="98" spans="1:23" x14ac:dyDescent="0.3">
      <c r="A98">
        <v>4.8252848000000004</v>
      </c>
      <c r="B98">
        <v>0.40172999999999998</v>
      </c>
      <c r="C98">
        <f t="shared" si="13"/>
        <v>1.9384616627040001</v>
      </c>
      <c r="D98" s="1">
        <v>2.1000000000000001E-2</v>
      </c>
      <c r="E98" s="1">
        <v>1.41E-2</v>
      </c>
      <c r="F98">
        <f t="shared" si="14"/>
        <v>965.05696000000012</v>
      </c>
      <c r="G98">
        <f t="shared" si="15"/>
        <v>-0.40172999999999998</v>
      </c>
      <c r="H98">
        <f t="shared" si="16"/>
        <v>-387.69233254080001</v>
      </c>
      <c r="I98">
        <v>1</v>
      </c>
      <c r="J98">
        <f t="shared" si="17"/>
        <v>-3.556815347837558E-2</v>
      </c>
      <c r="K98">
        <f t="shared" si="18"/>
        <v>-0.77818057297601206</v>
      </c>
      <c r="L98">
        <v>1</v>
      </c>
      <c r="M98">
        <f t="shared" si="19"/>
        <v>0.51175155781290904</v>
      </c>
      <c r="N98">
        <f t="shared" si="22"/>
        <v>0.10133098080000001</v>
      </c>
      <c r="O98">
        <f t="shared" si="20"/>
        <v>6.8036515680000006E-2</v>
      </c>
      <c r="P98">
        <f t="shared" si="21"/>
        <v>9.706151868310299E-2</v>
      </c>
      <c r="V98">
        <v>3.19999999999997</v>
      </c>
      <c r="W98">
        <f t="shared" si="23"/>
        <v>-0.62531999999999899</v>
      </c>
    </row>
    <row r="99" spans="1:23" x14ac:dyDescent="0.3">
      <c r="A99">
        <v>4.8750970499999999</v>
      </c>
      <c r="B99">
        <v>0.39943000000000001</v>
      </c>
      <c r="C99">
        <f t="shared" si="13"/>
        <v>1.9472600146815</v>
      </c>
      <c r="D99" s="1">
        <v>2.1000000000000001E-2</v>
      </c>
      <c r="E99" s="1">
        <v>1.41E-2</v>
      </c>
      <c r="F99">
        <f t="shared" si="14"/>
        <v>975.01940999999999</v>
      </c>
      <c r="G99">
        <f t="shared" si="15"/>
        <v>-0.39943000000000001</v>
      </c>
      <c r="H99">
        <f t="shared" si="16"/>
        <v>-389.4520029363</v>
      </c>
      <c r="I99">
        <v>1</v>
      </c>
      <c r="J99">
        <f t="shared" si="17"/>
        <v>-2.5297900490137627E-2</v>
      </c>
      <c r="K99">
        <f t="shared" si="18"/>
        <v>-0.78048057297601203</v>
      </c>
      <c r="L99">
        <v>1</v>
      </c>
      <c r="M99">
        <f t="shared" si="19"/>
        <v>0.51211204369279617</v>
      </c>
      <c r="N99">
        <f t="shared" si="22"/>
        <v>0.10237703805000001</v>
      </c>
      <c r="O99">
        <f t="shared" si="20"/>
        <v>6.8738868405E-2</v>
      </c>
      <c r="P99">
        <f t="shared" si="21"/>
        <v>9.7252622828215854E-2</v>
      </c>
      <c r="V99">
        <v>3.2999999999999701</v>
      </c>
      <c r="W99">
        <f t="shared" si="23"/>
        <v>-0.628829999999999</v>
      </c>
    </row>
    <row r="100" spans="1:23" x14ac:dyDescent="0.3">
      <c r="A100">
        <v>4.9249098</v>
      </c>
      <c r="B100">
        <v>0.39678999999999998</v>
      </c>
      <c r="C100">
        <f t="shared" si="13"/>
        <v>1.9541549595419998</v>
      </c>
      <c r="D100" s="1">
        <v>2.1000000000000001E-2</v>
      </c>
      <c r="E100" s="1">
        <v>1.41E-2</v>
      </c>
      <c r="F100">
        <f t="shared" si="14"/>
        <v>984.98195999999996</v>
      </c>
      <c r="G100">
        <f t="shared" si="15"/>
        <v>-0.39678999999999998</v>
      </c>
      <c r="H100">
        <f t="shared" si="16"/>
        <v>-390.83099190839994</v>
      </c>
      <c r="I100">
        <v>1</v>
      </c>
      <c r="J100">
        <f t="shared" si="17"/>
        <v>-1.5131952698576968E-2</v>
      </c>
      <c r="K100">
        <f t="shared" si="18"/>
        <v>-0.78312057297601201</v>
      </c>
      <c r="L100">
        <v>1</v>
      </c>
      <c r="M100">
        <f t="shared" si="19"/>
        <v>0.51246886846027995</v>
      </c>
      <c r="N100">
        <f t="shared" si="22"/>
        <v>0.10342310580000001</v>
      </c>
      <c r="O100">
        <f t="shared" si="20"/>
        <v>6.9441228179999995E-2</v>
      </c>
      <c r="P100">
        <f t="shared" si="21"/>
        <v>9.7787370535732041E-2</v>
      </c>
      <c r="V100">
        <v>3.3999999999999702</v>
      </c>
      <c r="W100">
        <f t="shared" si="23"/>
        <v>-0.63233999999999901</v>
      </c>
    </row>
    <row r="101" spans="1:23" x14ac:dyDescent="0.3">
      <c r="A101">
        <v>4.9752201999999999</v>
      </c>
      <c r="B101">
        <v>0.39445999999999998</v>
      </c>
      <c r="C101">
        <f t="shared" si="13"/>
        <v>1.9625253600919998</v>
      </c>
      <c r="D101" s="1">
        <v>2.1000000000000001E-2</v>
      </c>
      <c r="E101" s="1">
        <v>1.41E-2</v>
      </c>
      <c r="F101">
        <f t="shared" si="14"/>
        <v>995.04404</v>
      </c>
      <c r="G101">
        <f t="shared" si="15"/>
        <v>-0.39445999999999998</v>
      </c>
      <c r="H101">
        <f t="shared" si="16"/>
        <v>-392.50507201839997</v>
      </c>
      <c r="I101">
        <v>1</v>
      </c>
      <c r="J101">
        <f t="shared" si="17"/>
        <v>-4.9682814965143259E-3</v>
      </c>
      <c r="K101">
        <f t="shared" si="18"/>
        <v>-0.78545057297601195</v>
      </c>
      <c r="L101">
        <v>1</v>
      </c>
      <c r="M101">
        <f t="shared" si="19"/>
        <v>0.51282561331947241</v>
      </c>
      <c r="N101">
        <f t="shared" si="22"/>
        <v>0.10447962420000001</v>
      </c>
      <c r="O101">
        <f t="shared" si="20"/>
        <v>7.015060481999999E-2</v>
      </c>
      <c r="P101">
        <f t="shared" si="21"/>
        <v>9.7994730636539545E-2</v>
      </c>
      <c r="V101">
        <v>3.4999999999999698</v>
      </c>
      <c r="W101">
        <f t="shared" si="23"/>
        <v>-0.63584999999999892</v>
      </c>
    </row>
    <row r="102" spans="1:23" x14ac:dyDescent="0.3">
      <c r="A102">
        <v>5.0275235500000006</v>
      </c>
      <c r="B102">
        <v>0.39195000000000002</v>
      </c>
      <c r="C102">
        <f t="shared" si="13"/>
        <v>1.9705378554225004</v>
      </c>
      <c r="D102" s="1">
        <v>2.1000000000000001E-2</v>
      </c>
      <c r="E102" s="1">
        <v>1.41E-2</v>
      </c>
      <c r="F102">
        <f t="shared" si="14"/>
        <v>1005.5047100000002</v>
      </c>
      <c r="G102">
        <f t="shared" si="15"/>
        <v>-0.39195000000000002</v>
      </c>
      <c r="H102">
        <f t="shared" si="16"/>
        <v>-394.10757108450008</v>
      </c>
      <c r="I102">
        <v>1</v>
      </c>
      <c r="J102">
        <f t="shared" si="17"/>
        <v>5.4896144562969216E-3</v>
      </c>
      <c r="K102">
        <f t="shared" si="18"/>
        <v>-0.78796057297601196</v>
      </c>
      <c r="L102">
        <v>1</v>
      </c>
      <c r="M102">
        <f t="shared" si="19"/>
        <v>0.51319268546741603</v>
      </c>
      <c r="N102">
        <f t="shared" si="22"/>
        <v>0.10557799455000003</v>
      </c>
      <c r="O102">
        <f t="shared" si="20"/>
        <v>7.088808205500001E-2</v>
      </c>
      <c r="P102">
        <f t="shared" si="21"/>
        <v>9.8301810903595896E-2</v>
      </c>
      <c r="V102">
        <v>3.5999999999999699</v>
      </c>
      <c r="W102">
        <f t="shared" si="23"/>
        <v>-0.63935999999999893</v>
      </c>
    </row>
    <row r="103" spans="1:23" x14ac:dyDescent="0.3">
      <c r="A103">
        <v>5.0783321499999996</v>
      </c>
      <c r="B103">
        <v>0.38891999999999999</v>
      </c>
      <c r="C103">
        <f t="shared" si="13"/>
        <v>1.9750649397779998</v>
      </c>
      <c r="D103" s="1">
        <v>2.1000000000000001E-2</v>
      </c>
      <c r="E103" s="1">
        <v>1.41E-2</v>
      </c>
      <c r="F103">
        <f t="shared" si="14"/>
        <v>1015.6664299999999</v>
      </c>
      <c r="G103">
        <f t="shared" si="15"/>
        <v>-0.38891999999999999</v>
      </c>
      <c r="H103">
        <f t="shared" si="16"/>
        <v>-395.01298795559995</v>
      </c>
      <c r="I103">
        <v>1</v>
      </c>
      <c r="J103">
        <f t="shared" si="17"/>
        <v>1.5544978319353552E-2</v>
      </c>
      <c r="K103">
        <f t="shared" si="18"/>
        <v>-0.79099057297601205</v>
      </c>
      <c r="L103">
        <v>1</v>
      </c>
      <c r="M103">
        <f t="shared" si="19"/>
        <v>0.51354562873900933</v>
      </c>
      <c r="N103">
        <f t="shared" si="22"/>
        <v>0.10664497515</v>
      </c>
      <c r="O103">
        <f t="shared" si="20"/>
        <v>7.1604483314999995E-2</v>
      </c>
      <c r="P103">
        <f t="shared" si="21"/>
        <v>9.9195485772002739E-2</v>
      </c>
      <c r="V103">
        <v>3.69999999999997</v>
      </c>
      <c r="W103">
        <f t="shared" si="23"/>
        <v>-0.64286999999999894</v>
      </c>
    </row>
    <row r="104" spans="1:23" x14ac:dyDescent="0.3">
      <c r="A104">
        <v>5.1311336500000007</v>
      </c>
      <c r="B104">
        <v>0.38662000000000002</v>
      </c>
      <c r="C104">
        <f t="shared" si="13"/>
        <v>1.9837988917630003</v>
      </c>
      <c r="D104" s="1">
        <v>2.1000000000000001E-2</v>
      </c>
      <c r="E104" s="1">
        <v>1.41E-2</v>
      </c>
      <c r="F104">
        <f t="shared" si="14"/>
        <v>1026.2267300000001</v>
      </c>
      <c r="G104">
        <f t="shared" si="15"/>
        <v>-0.38662000000000002</v>
      </c>
      <c r="H104">
        <f t="shared" si="16"/>
        <v>-396.75977835260005</v>
      </c>
      <c r="I104">
        <v>1</v>
      </c>
      <c r="J104">
        <f t="shared" si="17"/>
        <v>2.5888706740578835E-2</v>
      </c>
      <c r="K104">
        <f t="shared" si="18"/>
        <v>-0.79329057297601202</v>
      </c>
      <c r="L104">
        <v>1</v>
      </c>
      <c r="M104">
        <f t="shared" si="19"/>
        <v>0.5139086936065943</v>
      </c>
      <c r="N104">
        <f t="shared" si="22"/>
        <v>0.10775380665000002</v>
      </c>
      <c r="O104">
        <f t="shared" si="20"/>
        <v>7.2348984465000002E-2</v>
      </c>
      <c r="P104">
        <f t="shared" si="21"/>
        <v>9.9279088254417711E-2</v>
      </c>
      <c r="V104">
        <v>3.7999999999999701</v>
      </c>
      <c r="W104">
        <f t="shared" si="23"/>
        <v>-0.64637999999999896</v>
      </c>
    </row>
    <row r="105" spans="1:23" x14ac:dyDescent="0.3">
      <c r="A105">
        <v>5.1809463999999998</v>
      </c>
      <c r="B105">
        <v>0.38411000000000001</v>
      </c>
      <c r="C105">
        <f t="shared" si="13"/>
        <v>1.990053321704</v>
      </c>
      <c r="D105" s="1">
        <v>2.1000000000000001E-2</v>
      </c>
      <c r="E105" s="1">
        <v>1.41E-2</v>
      </c>
      <c r="F105">
        <f t="shared" si="14"/>
        <v>1036.1892800000001</v>
      </c>
      <c r="G105">
        <f t="shared" si="15"/>
        <v>-0.38411000000000001</v>
      </c>
      <c r="H105">
        <f t="shared" si="16"/>
        <v>-398.01066434079996</v>
      </c>
      <c r="I105">
        <v>1</v>
      </c>
      <c r="J105">
        <f t="shared" si="17"/>
        <v>3.554982985188794E-2</v>
      </c>
      <c r="K105">
        <f t="shared" si="18"/>
        <v>-0.79580057297601203</v>
      </c>
      <c r="L105">
        <v>1</v>
      </c>
      <c r="M105">
        <f t="shared" si="19"/>
        <v>0.51424779902780127</v>
      </c>
      <c r="N105">
        <f t="shared" si="22"/>
        <v>0.10879987440000001</v>
      </c>
      <c r="O105">
        <f t="shared" si="20"/>
        <v>7.3051344239999996E-2</v>
      </c>
      <c r="P105">
        <f t="shared" si="21"/>
        <v>9.9701555308210774E-2</v>
      </c>
      <c r="V105">
        <v>3.8999999999999599</v>
      </c>
      <c r="W105">
        <f t="shared" si="23"/>
        <v>-0.64988999999999864</v>
      </c>
    </row>
    <row r="106" spans="1:23" x14ac:dyDescent="0.3">
      <c r="A106">
        <v>5.2302608999999993</v>
      </c>
      <c r="B106">
        <v>0.38147999999999999</v>
      </c>
      <c r="C106">
        <f t="shared" si="13"/>
        <v>1.9952399281319997</v>
      </c>
      <c r="D106" s="1">
        <v>2.1000000000000001E-2</v>
      </c>
      <c r="E106" s="1">
        <v>1.41E-2</v>
      </c>
      <c r="F106">
        <f t="shared" si="14"/>
        <v>1046.0521799999999</v>
      </c>
      <c r="G106">
        <f t="shared" si="15"/>
        <v>-0.38147999999999999</v>
      </c>
      <c r="H106">
        <f t="shared" si="16"/>
        <v>-399.04798562639996</v>
      </c>
      <c r="I106">
        <v>1</v>
      </c>
      <c r="J106">
        <f t="shared" si="17"/>
        <v>4.5023249675748743E-2</v>
      </c>
      <c r="K106">
        <f t="shared" si="18"/>
        <v>-0.79843057297601194</v>
      </c>
      <c r="L106">
        <v>1</v>
      </c>
      <c r="M106">
        <f t="shared" si="19"/>
        <v>0.51458031606361876</v>
      </c>
      <c r="N106">
        <f t="shared" si="22"/>
        <v>0.10983547889999999</v>
      </c>
      <c r="O106">
        <f t="shared" si="20"/>
        <v>7.3746678689999984E-2</v>
      </c>
      <c r="P106">
        <f t="shared" si="21"/>
        <v>0.10026809932239319</v>
      </c>
      <c r="V106">
        <v>3.99999999999996</v>
      </c>
      <c r="W106">
        <f t="shared" si="23"/>
        <v>-0.65339999999999865</v>
      </c>
    </row>
    <row r="107" spans="1:23" x14ac:dyDescent="0.3">
      <c r="A107">
        <v>5.2815677500000007</v>
      </c>
      <c r="B107">
        <v>0.37901000000000001</v>
      </c>
      <c r="C107">
        <f t="shared" si="13"/>
        <v>2.0017669929275002</v>
      </c>
      <c r="D107" s="1">
        <v>2.1000000000000001E-2</v>
      </c>
      <c r="E107" s="1">
        <v>1.41E-2</v>
      </c>
      <c r="F107">
        <f t="shared" si="14"/>
        <v>1056.3135500000001</v>
      </c>
      <c r="G107">
        <f t="shared" si="15"/>
        <v>-0.37901000000000001</v>
      </c>
      <c r="H107">
        <f t="shared" si="16"/>
        <v>-400.35339858550003</v>
      </c>
      <c r="I107">
        <v>1</v>
      </c>
      <c r="J107">
        <f t="shared" si="17"/>
        <v>5.4785063559838004E-2</v>
      </c>
      <c r="K107">
        <f t="shared" si="18"/>
        <v>-0.80090057297601192</v>
      </c>
      <c r="L107">
        <v>1</v>
      </c>
      <c r="M107">
        <f t="shared" si="19"/>
        <v>0.51492295573095037</v>
      </c>
      <c r="N107">
        <f t="shared" si="22"/>
        <v>0.11091292275000002</v>
      </c>
      <c r="O107">
        <f t="shared" si="20"/>
        <v>7.4470105275000004E-2</v>
      </c>
      <c r="P107">
        <f t="shared" si="21"/>
        <v>0.10059458922006151</v>
      </c>
      <c r="V107">
        <v>4.0999999999999996</v>
      </c>
      <c r="W107">
        <f t="shared" si="23"/>
        <v>-0.65690999999999999</v>
      </c>
    </row>
    <row r="108" spans="1:23" x14ac:dyDescent="0.3">
      <c r="A108">
        <v>5.3308817999999993</v>
      </c>
      <c r="B108">
        <v>0.37686999999999998</v>
      </c>
      <c r="C108">
        <f t="shared" si="13"/>
        <v>2.0090494239659997</v>
      </c>
      <c r="D108" s="1">
        <v>2.1000000000000001E-2</v>
      </c>
      <c r="E108" s="1">
        <v>1.41E-2</v>
      </c>
      <c r="F108">
        <f t="shared" si="14"/>
        <v>1066.1763599999999</v>
      </c>
      <c r="G108">
        <f t="shared" si="15"/>
        <v>-0.37686999999999998</v>
      </c>
      <c r="H108">
        <f t="shared" si="16"/>
        <v>-401.80988479319996</v>
      </c>
      <c r="I108">
        <v>1</v>
      </c>
      <c r="J108">
        <f t="shared" si="17"/>
        <v>6.4078752960378918E-2</v>
      </c>
      <c r="K108">
        <f t="shared" si="18"/>
        <v>-0.80304057297601195</v>
      </c>
      <c r="L108">
        <v>1</v>
      </c>
      <c r="M108">
        <f t="shared" si="19"/>
        <v>0.51524916422890932</v>
      </c>
      <c r="N108">
        <f t="shared" si="22"/>
        <v>0.11194851779999999</v>
      </c>
      <c r="O108">
        <f t="shared" si="20"/>
        <v>7.5165433379999994E-2</v>
      </c>
      <c r="P108">
        <f t="shared" si="21"/>
        <v>0.10067745756710265</v>
      </c>
      <c r="V108">
        <v>4.2</v>
      </c>
      <c r="W108">
        <f t="shared" si="23"/>
        <v>-0.66042000000000001</v>
      </c>
    </row>
    <row r="109" spans="1:23" x14ac:dyDescent="0.3">
      <c r="A109">
        <v>5.3801966500000002</v>
      </c>
      <c r="B109">
        <v>0.37420999999999999</v>
      </c>
      <c r="C109">
        <f t="shared" si="13"/>
        <v>2.0133233883965</v>
      </c>
      <c r="D109" s="1">
        <v>2.1000000000000001E-2</v>
      </c>
      <c r="E109" s="1">
        <v>1.41E-2</v>
      </c>
      <c r="F109">
        <f t="shared" si="14"/>
        <v>1076.0393300000001</v>
      </c>
      <c r="G109">
        <f t="shared" si="15"/>
        <v>-0.37420999999999999</v>
      </c>
      <c r="H109">
        <f t="shared" si="16"/>
        <v>-402.66467767929998</v>
      </c>
      <c r="I109">
        <v>1</v>
      </c>
      <c r="J109">
        <f t="shared" si="17"/>
        <v>7.3287013116192595E-2</v>
      </c>
      <c r="K109">
        <f t="shared" si="18"/>
        <v>-0.80570057297601205</v>
      </c>
      <c r="L109">
        <v>1</v>
      </c>
      <c r="M109">
        <f t="shared" si="19"/>
        <v>0.51557237416037838</v>
      </c>
      <c r="N109">
        <f t="shared" si="22"/>
        <v>0.11298412965000001</v>
      </c>
      <c r="O109">
        <f t="shared" si="20"/>
        <v>7.5860772765000001E-2</v>
      </c>
      <c r="P109">
        <f t="shared" si="21"/>
        <v>0.10128329640063366</v>
      </c>
      <c r="V109">
        <v>4.3</v>
      </c>
      <c r="W109">
        <f t="shared" si="23"/>
        <v>-0.66393000000000002</v>
      </c>
    </row>
    <row r="110" spans="1:23" x14ac:dyDescent="0.3">
      <c r="A110">
        <v>5.4305076499999991</v>
      </c>
      <c r="B110">
        <v>0.37181999999999998</v>
      </c>
      <c r="C110">
        <f t="shared" si="13"/>
        <v>2.0191713544229994</v>
      </c>
      <c r="D110" s="1">
        <v>2.1000000000000001E-2</v>
      </c>
      <c r="E110" s="1">
        <v>1.41E-2</v>
      </c>
      <c r="F110">
        <f t="shared" si="14"/>
        <v>1086.1015299999999</v>
      </c>
      <c r="G110">
        <f t="shared" si="15"/>
        <v>-0.37181999999999998</v>
      </c>
      <c r="H110">
        <f t="shared" si="16"/>
        <v>-403.8342708845999</v>
      </c>
      <c r="I110">
        <v>1</v>
      </c>
      <c r="J110">
        <f t="shared" si="17"/>
        <v>8.2594707012924498E-2</v>
      </c>
      <c r="K110">
        <f t="shared" si="18"/>
        <v>-0.80809057297601194</v>
      </c>
      <c r="L110">
        <v>1</v>
      </c>
      <c r="M110">
        <f t="shared" si="19"/>
        <v>0.51589907421615366</v>
      </c>
      <c r="N110">
        <f t="shared" si="22"/>
        <v>0.11404066064999999</v>
      </c>
      <c r="O110">
        <f t="shared" si="20"/>
        <v>7.6570157864999988E-2</v>
      </c>
      <c r="P110">
        <f t="shared" si="21"/>
        <v>0.10158068024485831</v>
      </c>
      <c r="V110">
        <v>4.4000000000000004</v>
      </c>
      <c r="W110">
        <f t="shared" si="23"/>
        <v>-0.66744000000000003</v>
      </c>
    </row>
    <row r="111" spans="1:23" x14ac:dyDescent="0.3">
      <c r="A111">
        <v>5.4828104</v>
      </c>
      <c r="B111">
        <v>0.36945</v>
      </c>
      <c r="C111">
        <f t="shared" si="13"/>
        <v>2.0256243022799998</v>
      </c>
      <c r="D111" s="1">
        <v>2.1000000000000001E-2</v>
      </c>
      <c r="E111" s="1">
        <v>1.41E-2</v>
      </c>
      <c r="F111">
        <f t="shared" si="14"/>
        <v>1096.5620799999999</v>
      </c>
      <c r="G111">
        <f t="shared" si="15"/>
        <v>-0.36945</v>
      </c>
      <c r="H111">
        <f t="shared" si="16"/>
        <v>-405.12486045599996</v>
      </c>
      <c r="I111">
        <v>1</v>
      </c>
      <c r="J111">
        <f t="shared" si="17"/>
        <v>9.2179903780219827E-2</v>
      </c>
      <c r="K111">
        <f t="shared" si="18"/>
        <v>-0.81046057297601193</v>
      </c>
      <c r="L111">
        <v>1</v>
      </c>
      <c r="M111">
        <f t="shared" si="19"/>
        <v>0.51623551462268569</v>
      </c>
      <c r="N111">
        <f t="shared" si="22"/>
        <v>0.1151390184</v>
      </c>
      <c r="O111">
        <f t="shared" si="20"/>
        <v>7.7307626640000002E-2</v>
      </c>
      <c r="P111">
        <f t="shared" si="21"/>
        <v>0.10177841331332622</v>
      </c>
      <c r="V111">
        <v>4.5</v>
      </c>
      <c r="W111">
        <f t="shared" si="23"/>
        <v>-0.67095000000000005</v>
      </c>
    </row>
    <row r="112" spans="1:23" x14ac:dyDescent="0.3">
      <c r="A112">
        <v>5.5331213999999997</v>
      </c>
      <c r="B112">
        <v>0.36667</v>
      </c>
      <c r="C112">
        <f t="shared" si="13"/>
        <v>2.0288296237379999</v>
      </c>
      <c r="D112" s="1">
        <v>2.1000000000000001E-2</v>
      </c>
      <c r="E112" s="1">
        <v>1.41E-2</v>
      </c>
      <c r="F112">
        <f t="shared" si="14"/>
        <v>1106.62428</v>
      </c>
      <c r="G112">
        <f t="shared" si="15"/>
        <v>-0.36667</v>
      </c>
      <c r="H112">
        <f t="shared" si="16"/>
        <v>-405.76592474759997</v>
      </c>
      <c r="I112">
        <v>1</v>
      </c>
      <c r="J112">
        <f t="shared" si="17"/>
        <v>0.10131419232195825</v>
      </c>
      <c r="K112">
        <f t="shared" si="18"/>
        <v>-0.81324057297601193</v>
      </c>
      <c r="L112">
        <v>1</v>
      </c>
      <c r="M112">
        <f t="shared" si="19"/>
        <v>0.51655612815050078</v>
      </c>
      <c r="N112">
        <f t="shared" si="22"/>
        <v>0.1161955494</v>
      </c>
      <c r="O112">
        <f t="shared" si="20"/>
        <v>7.8017011739999989E-2</v>
      </c>
      <c r="P112">
        <f t="shared" si="21"/>
        <v>0.10247188368551118</v>
      </c>
      <c r="V112">
        <v>4.5999999999999996</v>
      </c>
      <c r="W112">
        <f t="shared" si="23"/>
        <v>-0.67446000000000006</v>
      </c>
    </row>
    <row r="113" spans="1:23" x14ac:dyDescent="0.3">
      <c r="A113">
        <v>5.5834317499999999</v>
      </c>
      <c r="B113">
        <v>0.36446000000000001</v>
      </c>
      <c r="C113">
        <f t="shared" si="13"/>
        <v>2.0349375356050001</v>
      </c>
      <c r="D113" s="1">
        <v>2.1000000000000001E-2</v>
      </c>
      <c r="E113" s="1">
        <v>1.41E-2</v>
      </c>
      <c r="F113">
        <f t="shared" si="14"/>
        <v>1116.6863499999999</v>
      </c>
      <c r="G113">
        <f t="shared" si="15"/>
        <v>-0.36446000000000001</v>
      </c>
      <c r="H113">
        <f t="shared" si="16"/>
        <v>-406.98750712100002</v>
      </c>
      <c r="I113">
        <v>1</v>
      </c>
      <c r="J113">
        <f t="shared" si="17"/>
        <v>0.11036568387918559</v>
      </c>
      <c r="K113">
        <f t="shared" si="18"/>
        <v>-0.81545057297601198</v>
      </c>
      <c r="L113">
        <v>1</v>
      </c>
      <c r="M113">
        <f t="shared" si="19"/>
        <v>0.51687383550415944</v>
      </c>
      <c r="N113">
        <f t="shared" si="22"/>
        <v>0.11725206675000001</v>
      </c>
      <c r="O113">
        <f t="shared" si="20"/>
        <v>7.8726387674999995E-2</v>
      </c>
      <c r="P113">
        <f t="shared" si="21"/>
        <v>0.10259828304685255</v>
      </c>
      <c r="V113">
        <v>4.7</v>
      </c>
      <c r="W113">
        <f t="shared" si="23"/>
        <v>-0.67796999999999996</v>
      </c>
    </row>
    <row r="114" spans="1:23" x14ac:dyDescent="0.3">
      <c r="A114">
        <v>5.6332445</v>
      </c>
      <c r="B114">
        <v>0.36203000000000002</v>
      </c>
      <c r="C114">
        <f t="shared" si="13"/>
        <v>2.0394035063350002</v>
      </c>
      <c r="D114" s="1">
        <v>2.1000000000000001E-2</v>
      </c>
      <c r="E114" s="1">
        <v>1.41E-2</v>
      </c>
      <c r="F114">
        <f t="shared" si="14"/>
        <v>1126.6488999999999</v>
      </c>
      <c r="G114">
        <f t="shared" si="15"/>
        <v>-0.36203000000000002</v>
      </c>
      <c r="H114">
        <f t="shared" si="16"/>
        <v>-407.88070126700006</v>
      </c>
      <c r="I114">
        <v>1</v>
      </c>
      <c r="J114">
        <f t="shared" si="17"/>
        <v>0.11924765147171282</v>
      </c>
      <c r="K114">
        <f t="shared" si="18"/>
        <v>-0.81788057297601191</v>
      </c>
      <c r="L114">
        <v>1</v>
      </c>
      <c r="M114">
        <f t="shared" si="19"/>
        <v>0.51718559256665708</v>
      </c>
      <c r="N114">
        <f t="shared" si="22"/>
        <v>0.11829813450000001</v>
      </c>
      <c r="O114">
        <f t="shared" si="20"/>
        <v>7.9428747450000003E-2</v>
      </c>
      <c r="P114">
        <f t="shared" si="21"/>
        <v>0.10296809845935481</v>
      </c>
      <c r="V114">
        <v>4.8</v>
      </c>
      <c r="W114">
        <f t="shared" si="23"/>
        <v>-0.68147999999999997</v>
      </c>
    </row>
    <row r="115" spans="1:23" x14ac:dyDescent="0.3">
      <c r="A115">
        <v>5.6835554000000004</v>
      </c>
      <c r="B115">
        <v>0.35930000000000001</v>
      </c>
      <c r="C115">
        <f t="shared" si="13"/>
        <v>2.0421014552200001</v>
      </c>
      <c r="D115" s="1">
        <v>2.1000000000000001E-2</v>
      </c>
      <c r="E115" s="1">
        <v>1.41E-2</v>
      </c>
      <c r="F115">
        <f t="shared" si="14"/>
        <v>1136.71108</v>
      </c>
      <c r="G115">
        <f t="shared" si="15"/>
        <v>-0.35930000000000001</v>
      </c>
      <c r="H115">
        <f t="shared" si="16"/>
        <v>-408.42029104400001</v>
      </c>
      <c r="I115">
        <v>1</v>
      </c>
      <c r="J115">
        <f t="shared" si="17"/>
        <v>0.12813907517775666</v>
      </c>
      <c r="K115">
        <f t="shared" si="18"/>
        <v>-0.82061057297601203</v>
      </c>
      <c r="L115">
        <v>1</v>
      </c>
      <c r="M115">
        <f t="shared" si="19"/>
        <v>0.51749768153873932</v>
      </c>
      <c r="N115">
        <f t="shared" si="22"/>
        <v>0.11935466340000002</v>
      </c>
      <c r="O115">
        <f t="shared" si="20"/>
        <v>8.0138131139999999E-2</v>
      </c>
      <c r="P115">
        <f t="shared" si="21"/>
        <v>0.10362009689727271</v>
      </c>
      <c r="V115">
        <v>4.9000000000000004</v>
      </c>
      <c r="W115">
        <f t="shared" si="23"/>
        <v>-0.68498999999999999</v>
      </c>
    </row>
    <row r="116" spans="1:23" x14ac:dyDescent="0.3">
      <c r="A116">
        <v>5.7328693999999993</v>
      </c>
      <c r="B116">
        <v>0.35726999999999998</v>
      </c>
      <c r="C116">
        <f t="shared" si="13"/>
        <v>2.0481822505379998</v>
      </c>
      <c r="D116" s="1">
        <v>2.1000000000000001E-2</v>
      </c>
      <c r="E116" s="1">
        <v>1.41E-2</v>
      </c>
      <c r="F116">
        <f t="shared" si="14"/>
        <v>1146.5738799999999</v>
      </c>
      <c r="G116">
        <f t="shared" si="15"/>
        <v>-0.35726999999999998</v>
      </c>
      <c r="H116">
        <f t="shared" si="16"/>
        <v>-409.63645010759996</v>
      </c>
      <c r="I116">
        <v>1</v>
      </c>
      <c r="J116">
        <f t="shared" si="17"/>
        <v>0.13677826083845906</v>
      </c>
      <c r="K116">
        <f t="shared" si="18"/>
        <v>-0.82264057297601201</v>
      </c>
      <c r="L116">
        <v>1</v>
      </c>
      <c r="M116">
        <f t="shared" si="19"/>
        <v>0.51780091695542996</v>
      </c>
      <c r="N116">
        <f t="shared" si="22"/>
        <v>0.12039025739999999</v>
      </c>
      <c r="O116">
        <f t="shared" si="20"/>
        <v>8.0833458539999986E-2</v>
      </c>
      <c r="P116">
        <f t="shared" si="21"/>
        <v>0.10361594008058209</v>
      </c>
      <c r="V116">
        <v>5</v>
      </c>
      <c r="W116">
        <f t="shared" si="23"/>
        <v>-0.6885</v>
      </c>
    </row>
    <row r="117" spans="1:23" x14ac:dyDescent="0.3">
      <c r="A117">
        <v>5.78268205</v>
      </c>
      <c r="B117">
        <v>0.35488999999999998</v>
      </c>
      <c r="C117">
        <f t="shared" si="13"/>
        <v>2.0522160327245</v>
      </c>
      <c r="D117" s="1">
        <v>2.1000000000000001E-2</v>
      </c>
      <c r="E117" s="1">
        <v>1.41E-2</v>
      </c>
      <c r="F117">
        <f t="shared" si="14"/>
        <v>1156.5364099999999</v>
      </c>
      <c r="G117">
        <f t="shared" si="15"/>
        <v>-0.35488999999999998</v>
      </c>
      <c r="H117">
        <f t="shared" si="16"/>
        <v>-410.44320654490002</v>
      </c>
      <c r="I117">
        <v>1</v>
      </c>
      <c r="J117">
        <f t="shared" si="17"/>
        <v>0.14542968511639132</v>
      </c>
      <c r="K117">
        <f t="shared" si="18"/>
        <v>-0.82502057297601206</v>
      </c>
      <c r="L117">
        <v>1</v>
      </c>
      <c r="M117">
        <f t="shared" si="19"/>
        <v>0.51810458194758535</v>
      </c>
      <c r="N117">
        <f t="shared" si="22"/>
        <v>0.12143632305</v>
      </c>
      <c r="O117">
        <f t="shared" si="20"/>
        <v>8.1535816905000003E-2</v>
      </c>
      <c r="P117">
        <f t="shared" si="21"/>
        <v>0.10394385107342669</v>
      </c>
      <c r="V117">
        <v>5.0999999999999996</v>
      </c>
      <c r="W117">
        <f t="shared" si="23"/>
        <v>-0.69201000000000001</v>
      </c>
    </row>
    <row r="118" spans="1:23" x14ac:dyDescent="0.3">
      <c r="A118">
        <v>5.8344871500000002</v>
      </c>
      <c r="B118">
        <v>0.35241</v>
      </c>
      <c r="C118">
        <f t="shared" si="13"/>
        <v>2.0561316165315002</v>
      </c>
      <c r="D118" s="1">
        <v>2.1000000000000001E-2</v>
      </c>
      <c r="E118" s="1">
        <v>1.41E-2</v>
      </c>
      <c r="F118">
        <f t="shared" si="14"/>
        <v>1166.89743</v>
      </c>
      <c r="G118">
        <f t="shared" si="15"/>
        <v>-0.35241</v>
      </c>
      <c r="H118">
        <f t="shared" si="16"/>
        <v>-411.22632330630006</v>
      </c>
      <c r="I118">
        <v>1</v>
      </c>
      <c r="J118">
        <f t="shared" si="17"/>
        <v>0.15434845741083963</v>
      </c>
      <c r="K118">
        <f t="shared" si="18"/>
        <v>-0.82750057297601198</v>
      </c>
      <c r="L118">
        <v>1</v>
      </c>
      <c r="M118">
        <f t="shared" si="19"/>
        <v>0.51841763085512049</v>
      </c>
      <c r="N118">
        <f t="shared" si="22"/>
        <v>0.12252423015000001</v>
      </c>
      <c r="O118">
        <f t="shared" si="20"/>
        <v>8.2266268815000002E-2</v>
      </c>
      <c r="P118">
        <f t="shared" si="21"/>
        <v>0.10429244315589146</v>
      </c>
      <c r="V118">
        <v>5.2</v>
      </c>
      <c r="W118">
        <f t="shared" si="23"/>
        <v>-0.69552000000000003</v>
      </c>
    </row>
    <row r="119" spans="1:23" x14ac:dyDescent="0.3">
      <c r="A119">
        <v>5.8862922500000003</v>
      </c>
      <c r="B119">
        <v>0.34984999999999999</v>
      </c>
      <c r="C119">
        <f t="shared" si="13"/>
        <v>2.0593193436625001</v>
      </c>
      <c r="D119" s="1">
        <v>2.1000000000000001E-2</v>
      </c>
      <c r="E119" s="1">
        <v>1.41E-2</v>
      </c>
      <c r="F119">
        <f t="shared" si="14"/>
        <v>1177.25845</v>
      </c>
      <c r="G119">
        <f t="shared" si="15"/>
        <v>-0.34984999999999999</v>
      </c>
      <c r="H119">
        <f t="shared" si="16"/>
        <v>-411.86386873250001</v>
      </c>
      <c r="I119">
        <v>1</v>
      </c>
      <c r="J119">
        <f t="shared" si="17"/>
        <v>0.16318838786051118</v>
      </c>
      <c r="K119">
        <f t="shared" si="18"/>
        <v>-0.83006057297601199</v>
      </c>
      <c r="L119">
        <v>1</v>
      </c>
      <c r="M119">
        <f t="shared" si="19"/>
        <v>0.51872791241390392</v>
      </c>
      <c r="N119">
        <f t="shared" si="22"/>
        <v>0.12361213725000002</v>
      </c>
      <c r="O119">
        <f t="shared" si="20"/>
        <v>8.2996720725000001E-2</v>
      </c>
      <c r="P119">
        <f t="shared" si="21"/>
        <v>0.10472380258710803</v>
      </c>
      <c r="V119">
        <v>5.3</v>
      </c>
      <c r="W119">
        <f t="shared" si="23"/>
        <v>-0.69903000000000004</v>
      </c>
    </row>
    <row r="120" spans="1:23" x14ac:dyDescent="0.3">
      <c r="A120">
        <v>5.9385956000000002</v>
      </c>
      <c r="B120">
        <v>0.34749999999999998</v>
      </c>
      <c r="C120">
        <f t="shared" si="13"/>
        <v>2.0636619709999997</v>
      </c>
      <c r="D120" s="1">
        <v>2.1000000000000001E-2</v>
      </c>
      <c r="E120" s="1">
        <v>1.41E-2</v>
      </c>
      <c r="F120">
        <f t="shared" si="14"/>
        <v>1187.71912</v>
      </c>
      <c r="G120">
        <f t="shared" si="15"/>
        <v>-0.34749999999999998</v>
      </c>
      <c r="H120">
        <f t="shared" si="16"/>
        <v>-412.73239419999993</v>
      </c>
      <c r="I120">
        <v>1</v>
      </c>
      <c r="J120">
        <f t="shared" si="17"/>
        <v>0.17203476200981258</v>
      </c>
      <c r="K120">
        <f t="shared" si="18"/>
        <v>-0.83241057297601206</v>
      </c>
      <c r="L120">
        <v>1</v>
      </c>
      <c r="M120">
        <f t="shared" si="19"/>
        <v>0.51903842014654444</v>
      </c>
      <c r="N120">
        <f t="shared" si="22"/>
        <v>0.12471050760000001</v>
      </c>
      <c r="O120">
        <f t="shared" si="20"/>
        <v>8.3734197960000006E-2</v>
      </c>
      <c r="P120">
        <f t="shared" si="21"/>
        <v>0.10492744726946759</v>
      </c>
      <c r="V120">
        <v>5.4</v>
      </c>
      <c r="W120">
        <f t="shared" si="23"/>
        <v>-0.70254000000000005</v>
      </c>
    </row>
    <row r="121" spans="1:23" x14ac:dyDescent="0.3">
      <c r="A121">
        <v>5.9904006000000001</v>
      </c>
      <c r="B121">
        <v>0.34509000000000001</v>
      </c>
      <c r="C121">
        <f t="shared" si="13"/>
        <v>2.0672273430540002</v>
      </c>
      <c r="D121" s="1">
        <v>2.1000000000000001E-2</v>
      </c>
      <c r="E121" s="1">
        <v>1.41E-2</v>
      </c>
      <c r="F121">
        <f t="shared" si="14"/>
        <v>1198.0801200000001</v>
      </c>
      <c r="G121">
        <f t="shared" si="15"/>
        <v>-0.34509000000000001</v>
      </c>
      <c r="H121">
        <f t="shared" si="16"/>
        <v>-413.44546861080005</v>
      </c>
      <c r="I121">
        <v>1</v>
      </c>
      <c r="J121">
        <f t="shared" si="17"/>
        <v>0.18072037558723217</v>
      </c>
      <c r="K121">
        <f t="shared" si="18"/>
        <v>-0.83482057297601198</v>
      </c>
      <c r="L121">
        <v>1</v>
      </c>
      <c r="M121">
        <f t="shared" si="19"/>
        <v>0.5193432851831119</v>
      </c>
      <c r="N121">
        <f t="shared" si="22"/>
        <v>0.12579841260000002</v>
      </c>
      <c r="O121">
        <f t="shared" si="20"/>
        <v>8.446464846E-2</v>
      </c>
      <c r="P121">
        <f t="shared" si="21"/>
        <v>0.10521422673290005</v>
      </c>
      <c r="V121">
        <v>5.5</v>
      </c>
      <c r="W121">
        <f t="shared" si="23"/>
        <v>-0.70605000000000007</v>
      </c>
    </row>
    <row r="122" spans="1:23" x14ac:dyDescent="0.3">
      <c r="A122">
        <v>6.0476852000000001</v>
      </c>
      <c r="B122">
        <v>0.34254000000000001</v>
      </c>
      <c r="C122">
        <f t="shared" si="13"/>
        <v>2.0715740884080001</v>
      </c>
      <c r="D122" s="1">
        <v>2.1000000000000001E-2</v>
      </c>
      <c r="E122" s="1">
        <v>1.41E-2</v>
      </c>
      <c r="F122">
        <f t="shared" si="14"/>
        <v>1209.5370399999999</v>
      </c>
      <c r="G122">
        <f t="shared" si="15"/>
        <v>-0.34254000000000001</v>
      </c>
      <c r="H122">
        <f t="shared" si="16"/>
        <v>-414.3148176816</v>
      </c>
      <c r="I122">
        <v>1</v>
      </c>
      <c r="J122">
        <f t="shared" si="17"/>
        <v>0.19023767482391907</v>
      </c>
      <c r="K122">
        <f t="shared" si="18"/>
        <v>-0.83737057297601192</v>
      </c>
      <c r="L122">
        <v>1</v>
      </c>
      <c r="M122">
        <f t="shared" si="19"/>
        <v>0.51967734238631957</v>
      </c>
      <c r="N122">
        <f t="shared" si="22"/>
        <v>0.12700138920000001</v>
      </c>
      <c r="O122">
        <f t="shared" si="20"/>
        <v>8.5272361320000004E-2</v>
      </c>
      <c r="P122">
        <f t="shared" si="21"/>
        <v>0.10541948006969233</v>
      </c>
      <c r="V122">
        <v>5.6</v>
      </c>
      <c r="W122">
        <f t="shared" si="23"/>
        <v>-0.70955999999999997</v>
      </c>
    </row>
    <row r="123" spans="1:23" x14ac:dyDescent="0.3">
      <c r="A123">
        <v>6.0969992</v>
      </c>
      <c r="B123">
        <v>0.34025</v>
      </c>
      <c r="C123">
        <f t="shared" si="13"/>
        <v>2.0745039778000001</v>
      </c>
      <c r="D123" s="1">
        <v>2.1000000000000001E-2</v>
      </c>
      <c r="E123" s="1">
        <v>1.41E-2</v>
      </c>
      <c r="F123">
        <f t="shared" si="14"/>
        <v>1219.39984</v>
      </c>
      <c r="G123">
        <f t="shared" si="15"/>
        <v>-0.34025</v>
      </c>
      <c r="H123">
        <f t="shared" si="16"/>
        <v>-414.90079556000001</v>
      </c>
      <c r="I123">
        <v>1</v>
      </c>
      <c r="J123">
        <f t="shared" si="17"/>
        <v>0.19835880327949865</v>
      </c>
      <c r="K123">
        <f t="shared" si="18"/>
        <v>-0.83966057297601204</v>
      </c>
      <c r="L123">
        <v>1</v>
      </c>
      <c r="M123">
        <f t="shared" si="19"/>
        <v>0.51996239399511046</v>
      </c>
      <c r="N123">
        <f t="shared" si="22"/>
        <v>0.12803698320000001</v>
      </c>
      <c r="O123">
        <f t="shared" si="20"/>
        <v>8.5967688719999991E-2</v>
      </c>
      <c r="P123">
        <f t="shared" si="21"/>
        <v>0.10569350706090158</v>
      </c>
      <c r="V123">
        <v>5.7</v>
      </c>
      <c r="W123">
        <f t="shared" si="23"/>
        <v>-0.71306999999999998</v>
      </c>
    </row>
    <row r="124" spans="1:23" x14ac:dyDescent="0.3">
      <c r="A124">
        <v>6.1463136999999994</v>
      </c>
      <c r="B124">
        <v>0.33765000000000001</v>
      </c>
      <c r="C124">
        <f t="shared" si="13"/>
        <v>2.0753028208049997</v>
      </c>
      <c r="D124" s="1">
        <v>2.1000000000000001E-2</v>
      </c>
      <c r="E124" s="1">
        <v>1.41E-2</v>
      </c>
      <c r="F124">
        <f t="shared" si="14"/>
        <v>1229.2627399999999</v>
      </c>
      <c r="G124">
        <f t="shared" si="15"/>
        <v>-0.33765000000000001</v>
      </c>
      <c r="H124">
        <f t="shared" si="16"/>
        <v>-415.06056416099995</v>
      </c>
      <c r="I124">
        <v>1</v>
      </c>
      <c r="J124">
        <f t="shared" si="17"/>
        <v>0.20641459129932094</v>
      </c>
      <c r="K124">
        <f t="shared" si="18"/>
        <v>-0.84226057297601198</v>
      </c>
      <c r="L124">
        <v>1</v>
      </c>
      <c r="M124">
        <f t="shared" si="19"/>
        <v>0.52024515215460621</v>
      </c>
      <c r="N124">
        <f t="shared" si="22"/>
        <v>0.12907258769999999</v>
      </c>
      <c r="O124">
        <f t="shared" si="20"/>
        <v>8.6663023169999992E-2</v>
      </c>
      <c r="P124">
        <f t="shared" si="21"/>
        <v>0.10627980995140579</v>
      </c>
      <c r="V124">
        <v>5.8</v>
      </c>
      <c r="W124">
        <f t="shared" si="23"/>
        <v>-0.71657999999999999</v>
      </c>
    </row>
    <row r="125" spans="1:23" x14ac:dyDescent="0.3">
      <c r="A125">
        <v>6.1986164499999994</v>
      </c>
      <c r="B125">
        <v>0.33537</v>
      </c>
      <c r="C125">
        <f t="shared" si="13"/>
        <v>2.0788299988365</v>
      </c>
      <c r="D125" s="1">
        <v>2.1000000000000001E-2</v>
      </c>
      <c r="E125" s="1">
        <v>1.41E-2</v>
      </c>
      <c r="F125">
        <f t="shared" si="14"/>
        <v>1239.7232899999999</v>
      </c>
      <c r="G125">
        <f t="shared" si="15"/>
        <v>-0.33537</v>
      </c>
      <c r="H125">
        <f t="shared" si="16"/>
        <v>-415.7659997673</v>
      </c>
      <c r="I125">
        <v>1</v>
      </c>
      <c r="J125">
        <f t="shared" si="17"/>
        <v>0.21488820148875312</v>
      </c>
      <c r="K125">
        <f t="shared" si="18"/>
        <v>-0.84454057297601204</v>
      </c>
      <c r="L125">
        <v>1</v>
      </c>
      <c r="M125">
        <f t="shared" si="19"/>
        <v>0.52054257587225528</v>
      </c>
      <c r="N125">
        <f t="shared" si="22"/>
        <v>0.13017094544999999</v>
      </c>
      <c r="O125">
        <f t="shared" si="20"/>
        <v>8.7400491944999992E-2</v>
      </c>
      <c r="P125">
        <f t="shared" si="21"/>
        <v>0.10642655970875678</v>
      </c>
      <c r="V125">
        <v>5.9</v>
      </c>
      <c r="W125">
        <f t="shared" si="23"/>
        <v>-0.72009000000000001</v>
      </c>
    </row>
    <row r="126" spans="1:23" x14ac:dyDescent="0.3">
      <c r="A126">
        <v>6.2494260499999994</v>
      </c>
      <c r="B126">
        <v>0.33300999999999997</v>
      </c>
      <c r="C126">
        <f t="shared" si="13"/>
        <v>2.0811213689104995</v>
      </c>
      <c r="D126" s="1">
        <v>2.1000000000000001E-2</v>
      </c>
      <c r="E126" s="1">
        <v>1.41E-2</v>
      </c>
      <c r="F126">
        <f t="shared" si="14"/>
        <v>1249.8852099999999</v>
      </c>
      <c r="G126">
        <f t="shared" si="15"/>
        <v>-0.33300999999999997</v>
      </c>
      <c r="H126">
        <f t="shared" si="16"/>
        <v>-416.22427378209989</v>
      </c>
      <c r="I126">
        <v>1</v>
      </c>
      <c r="J126">
        <f t="shared" si="17"/>
        <v>0.22305171509739347</v>
      </c>
      <c r="K126">
        <f t="shared" si="18"/>
        <v>-0.84690057297601196</v>
      </c>
      <c r="L126">
        <v>1</v>
      </c>
      <c r="M126">
        <f t="shared" si="19"/>
        <v>0.52082911519991848</v>
      </c>
      <c r="N126">
        <f t="shared" si="22"/>
        <v>0.13123794705</v>
      </c>
      <c r="O126">
        <f t="shared" si="20"/>
        <v>8.8116907304999992E-2</v>
      </c>
      <c r="P126">
        <f t="shared" si="21"/>
        <v>0.10671660342109349</v>
      </c>
      <c r="V126">
        <v>6</v>
      </c>
      <c r="W126">
        <f t="shared" si="23"/>
        <v>-0.72360000000000002</v>
      </c>
    </row>
    <row r="127" spans="1:23" x14ac:dyDescent="0.3">
      <c r="A127">
        <v>6.3012302</v>
      </c>
      <c r="B127">
        <v>0.33056999999999997</v>
      </c>
      <c r="C127">
        <f t="shared" si="13"/>
        <v>2.0829976672139998</v>
      </c>
      <c r="D127" s="1">
        <v>2.1000000000000001E-2</v>
      </c>
      <c r="E127" s="1">
        <v>1.41E-2</v>
      </c>
      <c r="F127">
        <f t="shared" si="14"/>
        <v>1260.24604</v>
      </c>
      <c r="G127">
        <f t="shared" si="15"/>
        <v>-0.33056999999999997</v>
      </c>
      <c r="H127">
        <f t="shared" si="16"/>
        <v>-416.59953344279995</v>
      </c>
      <c r="I127">
        <v>1</v>
      </c>
      <c r="J127">
        <f t="shared" si="17"/>
        <v>0.23130697174198253</v>
      </c>
      <c r="K127">
        <f t="shared" si="18"/>
        <v>-0.84934057297601195</v>
      </c>
      <c r="L127">
        <v>1</v>
      </c>
      <c r="M127">
        <f t="shared" si="19"/>
        <v>0.52111887470814355</v>
      </c>
      <c r="N127">
        <f t="shared" si="22"/>
        <v>0.13232583420000002</v>
      </c>
      <c r="O127">
        <f t="shared" si="20"/>
        <v>8.8847345819999993E-2</v>
      </c>
      <c r="P127">
        <f t="shared" si="21"/>
        <v>0.10704851824786839</v>
      </c>
      <c r="V127">
        <v>6.1</v>
      </c>
      <c r="W127">
        <f t="shared" si="23"/>
        <v>-0.72711000000000003</v>
      </c>
    </row>
    <row r="128" spans="1:23" x14ac:dyDescent="0.3">
      <c r="A128">
        <v>6.3540322000000007</v>
      </c>
      <c r="B128">
        <v>0.32797999999999999</v>
      </c>
      <c r="C128">
        <f t="shared" si="13"/>
        <v>2.0839954809560002</v>
      </c>
      <c r="D128" s="1">
        <v>2.1000000000000001E-2</v>
      </c>
      <c r="E128" s="1">
        <v>1.41E-2</v>
      </c>
      <c r="F128">
        <f t="shared" si="14"/>
        <v>1270.8064400000001</v>
      </c>
      <c r="G128">
        <f t="shared" si="15"/>
        <v>-0.32797999999999999</v>
      </c>
      <c r="H128">
        <f t="shared" si="16"/>
        <v>-416.79909619120002</v>
      </c>
      <c r="I128">
        <v>1</v>
      </c>
      <c r="J128">
        <f t="shared" si="17"/>
        <v>0.23965169107428969</v>
      </c>
      <c r="K128">
        <f t="shared" si="18"/>
        <v>-0.85193057297601205</v>
      </c>
      <c r="L128">
        <v>1</v>
      </c>
      <c r="M128">
        <f t="shared" si="19"/>
        <v>0.5214117743567076</v>
      </c>
      <c r="N128">
        <f t="shared" si="22"/>
        <v>0.13343467620000002</v>
      </c>
      <c r="O128">
        <f t="shared" si="20"/>
        <v>8.9591854020000014E-2</v>
      </c>
      <c r="P128">
        <f t="shared" si="21"/>
        <v>0.10749226839930441</v>
      </c>
      <c r="V128">
        <v>6.2</v>
      </c>
      <c r="W128">
        <f t="shared" si="23"/>
        <v>-0.73062000000000005</v>
      </c>
    </row>
    <row r="129" spans="1:23" x14ac:dyDescent="0.3">
      <c r="A129">
        <v>6.4033461999999997</v>
      </c>
      <c r="B129">
        <v>0.32596000000000003</v>
      </c>
      <c r="C129">
        <f t="shared" si="13"/>
        <v>2.087234727352</v>
      </c>
      <c r="D129" s="1">
        <v>2.1000000000000001E-2</v>
      </c>
      <c r="E129" s="1">
        <v>1.41E-2</v>
      </c>
      <c r="F129">
        <f t="shared" si="14"/>
        <v>1280.6692399999999</v>
      </c>
      <c r="G129">
        <f t="shared" si="15"/>
        <v>-0.32596000000000003</v>
      </c>
      <c r="H129">
        <f t="shared" si="16"/>
        <v>-417.44694547040001</v>
      </c>
      <c r="I129">
        <v>1</v>
      </c>
      <c r="J129">
        <f t="shared" si="17"/>
        <v>0.24738278504635611</v>
      </c>
      <c r="K129">
        <f t="shared" si="18"/>
        <v>-0.85395057297601196</v>
      </c>
      <c r="L129">
        <v>1</v>
      </c>
      <c r="M129">
        <f t="shared" si="19"/>
        <v>0.52168313575512715</v>
      </c>
      <c r="N129">
        <f t="shared" si="22"/>
        <v>0.13447027019999999</v>
      </c>
      <c r="O129">
        <f t="shared" si="20"/>
        <v>9.0287181419999987E-2</v>
      </c>
      <c r="P129">
        <f t="shared" si="21"/>
        <v>0.10750998560088483</v>
      </c>
      <c r="V129">
        <v>6.3</v>
      </c>
      <c r="W129">
        <f t="shared" si="23"/>
        <v>-0.73412999999999995</v>
      </c>
    </row>
    <row r="130" spans="1:23" x14ac:dyDescent="0.3">
      <c r="A130">
        <v>6.4531593999999997</v>
      </c>
      <c r="B130">
        <v>0.32329000000000002</v>
      </c>
      <c r="C130">
        <f t="shared" si="13"/>
        <v>2.0862419024259999</v>
      </c>
      <c r="D130" s="1">
        <v>2.1000000000000001E-2</v>
      </c>
      <c r="E130" s="1">
        <v>1.41E-2</v>
      </c>
      <c r="F130">
        <f t="shared" si="14"/>
        <v>1290.6318799999999</v>
      </c>
      <c r="G130">
        <f t="shared" si="15"/>
        <v>-0.32329000000000002</v>
      </c>
      <c r="H130">
        <f t="shared" si="16"/>
        <v>-417.24838048519996</v>
      </c>
      <c r="I130">
        <v>1</v>
      </c>
      <c r="J130">
        <f t="shared" si="17"/>
        <v>0.25513192790365735</v>
      </c>
      <c r="K130">
        <f t="shared" si="18"/>
        <v>-0.85662057297601191</v>
      </c>
      <c r="L130">
        <v>1</v>
      </c>
      <c r="M130">
        <f t="shared" si="19"/>
        <v>0.52195513066941834</v>
      </c>
      <c r="N130">
        <f t="shared" si="22"/>
        <v>0.13551634740000001</v>
      </c>
      <c r="O130">
        <f t="shared" si="20"/>
        <v>9.0989547539999993E-2</v>
      </c>
      <c r="P130">
        <f t="shared" si="21"/>
        <v>0.10815954736659356</v>
      </c>
      <c r="V130">
        <v>6.4</v>
      </c>
      <c r="W130">
        <f t="shared" si="23"/>
        <v>-0.73764000000000007</v>
      </c>
    </row>
    <row r="131" spans="1:23" x14ac:dyDescent="0.3">
      <c r="A131">
        <v>6.5029715499999998</v>
      </c>
      <c r="B131">
        <v>0.32135999999999998</v>
      </c>
      <c r="C131">
        <f t="shared" si="13"/>
        <v>2.0897949373079996</v>
      </c>
      <c r="D131" s="1">
        <v>2.1000000000000001E-2</v>
      </c>
      <c r="E131" s="1">
        <v>1.41E-2</v>
      </c>
      <c r="F131">
        <f t="shared" si="14"/>
        <v>1300.59431</v>
      </c>
      <c r="G131">
        <f t="shared" si="15"/>
        <v>-0.32135999999999998</v>
      </c>
      <c r="H131">
        <f t="shared" si="16"/>
        <v>-417.95898746159992</v>
      </c>
      <c r="I131">
        <v>1</v>
      </c>
      <c r="J131">
        <f t="shared" si="17"/>
        <v>0.26282132153945392</v>
      </c>
      <c r="K131">
        <f t="shared" si="18"/>
        <v>-0.85855057297601201</v>
      </c>
      <c r="L131">
        <v>1</v>
      </c>
      <c r="M131">
        <f t="shared" si="19"/>
        <v>0.5222250283860348</v>
      </c>
      <c r="N131">
        <f t="shared" si="22"/>
        <v>0.13656240255000002</v>
      </c>
      <c r="O131">
        <f t="shared" si="20"/>
        <v>9.1691898854999995E-2</v>
      </c>
      <c r="P131">
        <f t="shared" si="21"/>
        <v>0.1080712431849772</v>
      </c>
      <c r="V131">
        <v>6.5</v>
      </c>
      <c r="W131">
        <f t="shared" si="23"/>
        <v>-0.74114999999999998</v>
      </c>
    </row>
    <row r="132" spans="1:23" x14ac:dyDescent="0.3">
      <c r="A132">
        <v>6.5542789000000008</v>
      </c>
      <c r="B132">
        <v>0.31897999999999999</v>
      </c>
      <c r="C132">
        <f t="shared" si="13"/>
        <v>2.0906838835220003</v>
      </c>
      <c r="D132" s="1">
        <v>2.1000000000000001E-2</v>
      </c>
      <c r="E132" s="1">
        <v>1.41E-2</v>
      </c>
      <c r="F132">
        <f t="shared" si="14"/>
        <v>1310.8557800000001</v>
      </c>
      <c r="G132">
        <f t="shared" si="15"/>
        <v>-0.31897999999999999</v>
      </c>
      <c r="H132">
        <f t="shared" si="16"/>
        <v>-418.13677670440006</v>
      </c>
      <c r="I132">
        <v>1</v>
      </c>
      <c r="J132">
        <f t="shared" si="17"/>
        <v>0.27068019110251484</v>
      </c>
      <c r="K132">
        <f t="shared" si="18"/>
        <v>-0.86093057297601194</v>
      </c>
      <c r="L132">
        <v>1</v>
      </c>
      <c r="M132">
        <f t="shared" si="19"/>
        <v>0.52250087470769824</v>
      </c>
      <c r="N132">
        <f t="shared" si="22"/>
        <v>0.13763985690000002</v>
      </c>
      <c r="O132">
        <f t="shared" si="20"/>
        <v>9.2415332490000016E-2</v>
      </c>
      <c r="P132">
        <f t="shared" si="21"/>
        <v>0.10837450887831367</v>
      </c>
      <c r="V132">
        <v>6.6</v>
      </c>
      <c r="W132">
        <f t="shared" si="23"/>
        <v>-0.74465999999999999</v>
      </c>
    </row>
    <row r="133" spans="1:23" x14ac:dyDescent="0.3">
      <c r="A133">
        <v>6.6050876500000006</v>
      </c>
      <c r="B133">
        <v>0.31664999999999999</v>
      </c>
      <c r="C133">
        <f t="shared" ref="C133:C196" si="24">A133*B133</f>
        <v>2.0915010043725002</v>
      </c>
      <c r="D133" s="1">
        <v>2.1000000000000001E-2</v>
      </c>
      <c r="E133" s="1">
        <v>1.41E-2</v>
      </c>
      <c r="F133">
        <f t="shared" ref="F133:F144" si="25">A133*200</f>
        <v>1321.0175300000001</v>
      </c>
      <c r="G133">
        <f t="shared" ref="G133:G144" si="26">-B133</f>
        <v>-0.31664999999999999</v>
      </c>
      <c r="H133">
        <f t="shared" ref="H133:H196" si="27">-C133*200</f>
        <v>-418.30020087450004</v>
      </c>
      <c r="I133">
        <v>1</v>
      </c>
      <c r="J133">
        <f t="shared" ref="J133:J196" si="28">LN(F133/1000)</f>
        <v>0.27840229570195002</v>
      </c>
      <c r="K133">
        <f t="shared" ref="K133:K187" si="29">((-G133)-$N$2)</f>
        <v>-0.863260572976012</v>
      </c>
      <c r="L133">
        <v>1</v>
      </c>
      <c r="M133">
        <f t="shared" si="19"/>
        <v>0.52277192057913846</v>
      </c>
      <c r="N133">
        <f t="shared" si="22"/>
        <v>0.13870684065000002</v>
      </c>
      <c r="O133">
        <f t="shared" si="20"/>
        <v>9.3131735865000009E-2</v>
      </c>
      <c r="P133">
        <f t="shared" si="21"/>
        <v>0.1086500758818735</v>
      </c>
      <c r="V133">
        <v>6.7</v>
      </c>
      <c r="W133">
        <f t="shared" si="23"/>
        <v>-0.74817</v>
      </c>
    </row>
    <row r="134" spans="1:23" x14ac:dyDescent="0.3">
      <c r="A134">
        <v>6.6563945000000002</v>
      </c>
      <c r="B134">
        <v>0.31434000000000001</v>
      </c>
      <c r="C134">
        <f t="shared" si="24"/>
        <v>2.0923710471300003</v>
      </c>
      <c r="D134" s="1">
        <v>2.1000000000000001E-2</v>
      </c>
      <c r="E134" s="1">
        <v>1.41E-2</v>
      </c>
      <c r="F134">
        <f t="shared" si="25"/>
        <v>1331.2789</v>
      </c>
      <c r="G134">
        <f t="shared" si="26"/>
        <v>-0.31434000000000001</v>
      </c>
      <c r="H134">
        <f t="shared" si="27"/>
        <v>-418.47420942600007</v>
      </c>
      <c r="I134">
        <v>1</v>
      </c>
      <c r="J134">
        <f t="shared" si="28"/>
        <v>0.28614005916015084</v>
      </c>
      <c r="K134">
        <f t="shared" si="29"/>
        <v>-0.86557057297601192</v>
      </c>
      <c r="L134">
        <v>1</v>
      </c>
      <c r="M134">
        <f t="shared" ref="M134:M144" si="30">-1*($S$4+($S$5*J134))</f>
        <v>0.52304351607652133</v>
      </c>
      <c r="N134">
        <f t="shared" si="22"/>
        <v>0.13978428450000002</v>
      </c>
      <c r="O134">
        <f t="shared" ref="O134:O144" si="31">E134*A134</f>
        <v>9.3855162450000001E-2</v>
      </c>
      <c r="P134">
        <f t="shared" ref="P134:P144" si="32">-K134-M134-N134-O134</f>
        <v>0.10888760994949057</v>
      </c>
      <c r="V134">
        <v>6.8</v>
      </c>
      <c r="W134">
        <f t="shared" si="23"/>
        <v>-0.75168000000000001</v>
      </c>
    </row>
    <row r="135" spans="1:23" x14ac:dyDescent="0.3">
      <c r="A135">
        <v>6.7057088999999994</v>
      </c>
      <c r="B135">
        <v>0.31212000000000001</v>
      </c>
      <c r="C135">
        <f t="shared" si="24"/>
        <v>2.0929858618679997</v>
      </c>
      <c r="D135" s="1">
        <v>2.1000000000000001E-2</v>
      </c>
      <c r="E135" s="1">
        <v>1.41E-2</v>
      </c>
      <c r="F135">
        <f t="shared" si="25"/>
        <v>1341.1417799999999</v>
      </c>
      <c r="G135">
        <f t="shared" si="26"/>
        <v>-0.31212000000000001</v>
      </c>
      <c r="H135">
        <f t="shared" si="27"/>
        <v>-418.59717237359996</v>
      </c>
      <c r="I135">
        <v>1</v>
      </c>
      <c r="J135">
        <f t="shared" si="28"/>
        <v>0.29352132578017992</v>
      </c>
      <c r="K135">
        <f t="shared" si="29"/>
        <v>-0.86779057297601203</v>
      </c>
      <c r="L135">
        <v>1</v>
      </c>
      <c r="M135">
        <f t="shared" si="30"/>
        <v>0.52330259853488437</v>
      </c>
      <c r="N135">
        <f t="shared" ref="N135:N144" si="33">D135*A135</f>
        <v>0.1408198869</v>
      </c>
      <c r="O135">
        <f t="shared" si="31"/>
        <v>9.4550495489999983E-2</v>
      </c>
      <c r="P135">
        <f t="shared" si="32"/>
        <v>0.10911759205112768</v>
      </c>
      <c r="V135">
        <v>6.9</v>
      </c>
      <c r="W135">
        <f t="shared" ref="W135:W198" si="34">V135*$S$5+$S$4</f>
        <v>-0.75519000000000003</v>
      </c>
    </row>
    <row r="136" spans="1:23" x14ac:dyDescent="0.3">
      <c r="A136">
        <v>6.7560194000000005</v>
      </c>
      <c r="B136">
        <v>0.31012000000000001</v>
      </c>
      <c r="C136">
        <f t="shared" si="24"/>
        <v>2.0951767363280003</v>
      </c>
      <c r="D136" s="1">
        <v>2.1000000000000001E-2</v>
      </c>
      <c r="E136" s="1">
        <v>1.41E-2</v>
      </c>
      <c r="F136">
        <f t="shared" si="25"/>
        <v>1351.20388</v>
      </c>
      <c r="G136">
        <f t="shared" si="26"/>
        <v>-0.31012000000000001</v>
      </c>
      <c r="H136">
        <f t="shared" si="27"/>
        <v>-419.03534726560008</v>
      </c>
      <c r="I136">
        <v>1</v>
      </c>
      <c r="J136">
        <f t="shared" si="28"/>
        <v>0.30099595802894097</v>
      </c>
      <c r="K136">
        <f t="shared" si="29"/>
        <v>-0.86979057297601203</v>
      </c>
      <c r="L136">
        <v>1</v>
      </c>
      <c r="M136">
        <f t="shared" si="30"/>
        <v>0.5235649581268158</v>
      </c>
      <c r="N136">
        <f t="shared" si="33"/>
        <v>0.14187640740000002</v>
      </c>
      <c r="O136">
        <f t="shared" si="31"/>
        <v>9.5259873539999998E-2</v>
      </c>
      <c r="P136">
        <f t="shared" si="32"/>
        <v>0.10908933390919621</v>
      </c>
      <c r="V136">
        <v>7</v>
      </c>
      <c r="W136">
        <f t="shared" si="34"/>
        <v>-0.75870000000000004</v>
      </c>
    </row>
    <row r="137" spans="1:23" x14ac:dyDescent="0.3">
      <c r="A137">
        <v>6.8058320500000002</v>
      </c>
      <c r="B137">
        <v>0.30775999999999998</v>
      </c>
      <c r="C137">
        <f t="shared" si="24"/>
        <v>2.0945628717079998</v>
      </c>
      <c r="D137" s="1">
        <v>2.1000000000000001E-2</v>
      </c>
      <c r="E137" s="1">
        <v>1.41E-2</v>
      </c>
      <c r="F137">
        <f t="shared" si="25"/>
        <v>1361.16641</v>
      </c>
      <c r="G137">
        <f t="shared" si="26"/>
        <v>-0.30775999999999998</v>
      </c>
      <c r="H137">
        <f t="shared" si="27"/>
        <v>-418.91257434159996</v>
      </c>
      <c r="I137">
        <v>1</v>
      </c>
      <c r="J137">
        <f t="shared" si="28"/>
        <v>0.30834198658433382</v>
      </c>
      <c r="K137">
        <f t="shared" si="29"/>
        <v>-0.87215057297601195</v>
      </c>
      <c r="L137">
        <v>1</v>
      </c>
      <c r="M137">
        <f t="shared" si="30"/>
        <v>0.52382280372911016</v>
      </c>
      <c r="N137">
        <f t="shared" si="33"/>
        <v>0.14292247305000003</v>
      </c>
      <c r="O137">
        <f t="shared" si="31"/>
        <v>9.5962231905000001E-2</v>
      </c>
      <c r="P137">
        <f t="shared" si="32"/>
        <v>0.10944306429190176</v>
      </c>
      <c r="V137">
        <v>7.1</v>
      </c>
      <c r="W137">
        <f t="shared" si="34"/>
        <v>-0.76221000000000005</v>
      </c>
    </row>
    <row r="138" spans="1:23" x14ac:dyDescent="0.3">
      <c r="A138">
        <v>6.8561429999999994</v>
      </c>
      <c r="B138">
        <v>0.30562</v>
      </c>
      <c r="C138">
        <f t="shared" si="24"/>
        <v>2.09537442366</v>
      </c>
      <c r="D138" s="1">
        <v>2.1000000000000001E-2</v>
      </c>
      <c r="E138" s="1">
        <v>1.41E-2</v>
      </c>
      <c r="F138">
        <f t="shared" si="25"/>
        <v>1371.2285999999999</v>
      </c>
      <c r="G138">
        <f t="shared" si="26"/>
        <v>-0.30562</v>
      </c>
      <c r="H138">
        <f t="shared" si="27"/>
        <v>-419.07488473199999</v>
      </c>
      <c r="I138">
        <v>1</v>
      </c>
      <c r="J138">
        <f t="shared" si="28"/>
        <v>0.3157071262868012</v>
      </c>
      <c r="K138">
        <f t="shared" si="29"/>
        <v>-0.87429057297601198</v>
      </c>
      <c r="L138">
        <v>1</v>
      </c>
      <c r="M138">
        <f t="shared" si="30"/>
        <v>0.52408132013266673</v>
      </c>
      <c r="N138">
        <f t="shared" si="33"/>
        <v>0.14397900299999999</v>
      </c>
      <c r="O138">
        <f t="shared" si="31"/>
        <v>9.6671616299999985E-2</v>
      </c>
      <c r="P138">
        <f t="shared" si="32"/>
        <v>0.10955863354334527</v>
      </c>
      <c r="V138">
        <v>7.2</v>
      </c>
      <c r="W138">
        <f t="shared" si="34"/>
        <v>-0.76571999999999996</v>
      </c>
    </row>
    <row r="139" spans="1:23" x14ac:dyDescent="0.3">
      <c r="A139">
        <v>6.9074499000000005</v>
      </c>
      <c r="B139">
        <v>0.30348000000000003</v>
      </c>
      <c r="C139">
        <f t="shared" si="24"/>
        <v>2.0962728956520005</v>
      </c>
      <c r="D139" s="1">
        <v>2.1000000000000001E-2</v>
      </c>
      <c r="E139" s="1">
        <v>1.41E-2</v>
      </c>
      <c r="F139">
        <f t="shared" si="25"/>
        <v>1381.4899800000001</v>
      </c>
      <c r="G139">
        <f t="shared" si="26"/>
        <v>-0.30348000000000003</v>
      </c>
      <c r="H139">
        <f t="shared" si="27"/>
        <v>-419.25457913040009</v>
      </c>
      <c r="I139">
        <v>1</v>
      </c>
      <c r="J139">
        <f t="shared" si="28"/>
        <v>0.32316261236914623</v>
      </c>
      <c r="K139">
        <f t="shared" si="29"/>
        <v>-0.87643057297601201</v>
      </c>
      <c r="L139">
        <v>1</v>
      </c>
      <c r="M139">
        <f t="shared" si="30"/>
        <v>0.52434300769415709</v>
      </c>
      <c r="N139">
        <f t="shared" si="33"/>
        <v>0.14505644790000002</v>
      </c>
      <c r="O139">
        <f t="shared" si="31"/>
        <v>9.7395043590000008E-2</v>
      </c>
      <c r="P139">
        <f t="shared" si="32"/>
        <v>0.10963607379185489</v>
      </c>
      <c r="V139">
        <v>7.3</v>
      </c>
      <c r="W139">
        <f t="shared" si="34"/>
        <v>-0.76923000000000008</v>
      </c>
    </row>
    <row r="140" spans="1:23" x14ac:dyDescent="0.3">
      <c r="A140">
        <v>6.9567644</v>
      </c>
      <c r="B140">
        <v>0.30114000000000002</v>
      </c>
      <c r="C140">
        <f t="shared" si="24"/>
        <v>2.094960031416</v>
      </c>
      <c r="D140" s="1">
        <v>2.1000000000000001E-2</v>
      </c>
      <c r="E140" s="1">
        <v>1.41E-2</v>
      </c>
      <c r="F140">
        <f t="shared" si="25"/>
        <v>1391.3528799999999</v>
      </c>
      <c r="G140">
        <f t="shared" si="26"/>
        <v>-0.30114000000000002</v>
      </c>
      <c r="H140">
        <f t="shared" si="27"/>
        <v>-418.9920062832</v>
      </c>
      <c r="I140">
        <v>1</v>
      </c>
      <c r="J140">
        <f t="shared" si="28"/>
        <v>0.33027656876219652</v>
      </c>
      <c r="K140">
        <f t="shared" si="29"/>
        <v>-0.87877057297601202</v>
      </c>
      <c r="L140">
        <v>1</v>
      </c>
      <c r="M140">
        <f t="shared" si="30"/>
        <v>0.52459270756355314</v>
      </c>
      <c r="N140">
        <f t="shared" si="33"/>
        <v>0.14609205240000001</v>
      </c>
      <c r="O140">
        <f t="shared" si="31"/>
        <v>9.8090378039999995E-2</v>
      </c>
      <c r="P140">
        <f t="shared" si="32"/>
        <v>0.10999543497245888</v>
      </c>
      <c r="V140">
        <v>7.4</v>
      </c>
      <c r="W140">
        <f t="shared" si="34"/>
        <v>-0.77273999999999998</v>
      </c>
    </row>
    <row r="141" spans="1:23" x14ac:dyDescent="0.3">
      <c r="A141">
        <v>7.0080707500000008</v>
      </c>
      <c r="B141">
        <v>0.29898999999999998</v>
      </c>
      <c r="C141">
        <f t="shared" si="24"/>
        <v>2.0953430735425003</v>
      </c>
      <c r="D141" s="1">
        <v>2.1000000000000001E-2</v>
      </c>
      <c r="E141" s="1">
        <v>1.41E-2</v>
      </c>
      <c r="F141">
        <f t="shared" si="25"/>
        <v>1401.6141500000001</v>
      </c>
      <c r="G141">
        <f t="shared" si="26"/>
        <v>-0.29898999999999998</v>
      </c>
      <c r="H141">
        <f t="shared" si="27"/>
        <v>-419.06861470850004</v>
      </c>
      <c r="I141">
        <v>1</v>
      </c>
      <c r="J141">
        <f t="shared" si="28"/>
        <v>0.33762453675405257</v>
      </c>
      <c r="K141">
        <f t="shared" si="29"/>
        <v>-0.88092057297601201</v>
      </c>
      <c r="L141">
        <v>1</v>
      </c>
      <c r="M141">
        <f t="shared" si="30"/>
        <v>0.52485062124006721</v>
      </c>
      <c r="N141">
        <f t="shared" si="33"/>
        <v>0.14716948575000002</v>
      </c>
      <c r="O141">
        <f t="shared" si="31"/>
        <v>9.8813797575000015E-2</v>
      </c>
      <c r="P141">
        <f t="shared" si="32"/>
        <v>0.11008666841094476</v>
      </c>
      <c r="V141">
        <v>7.5</v>
      </c>
      <c r="W141">
        <f t="shared" si="34"/>
        <v>-0.77625</v>
      </c>
    </row>
    <row r="142" spans="1:23" x14ac:dyDescent="0.3">
      <c r="A142">
        <v>7.0603740000000004</v>
      </c>
      <c r="B142">
        <v>0.29659999999999997</v>
      </c>
      <c r="C142">
        <f t="shared" si="24"/>
        <v>2.0941069284</v>
      </c>
      <c r="D142" s="1">
        <v>2.1000000000000001E-2</v>
      </c>
      <c r="E142" s="1">
        <v>1.41E-2</v>
      </c>
      <c r="F142">
        <f t="shared" si="25"/>
        <v>1412.0748000000001</v>
      </c>
      <c r="G142">
        <f t="shared" si="26"/>
        <v>-0.29659999999999997</v>
      </c>
      <c r="H142">
        <f t="shared" si="27"/>
        <v>-418.82138567999999</v>
      </c>
      <c r="I142">
        <v>1</v>
      </c>
      <c r="J142">
        <f t="shared" si="28"/>
        <v>0.34506011217220017</v>
      </c>
      <c r="K142">
        <f t="shared" si="29"/>
        <v>-0.88331057297601201</v>
      </c>
      <c r="L142">
        <v>1</v>
      </c>
      <c r="M142">
        <f t="shared" si="30"/>
        <v>0.52511160993724426</v>
      </c>
      <c r="N142">
        <f t="shared" si="33"/>
        <v>0.148267854</v>
      </c>
      <c r="O142">
        <f t="shared" si="31"/>
        <v>9.9551273400000001E-2</v>
      </c>
      <c r="P142">
        <f t="shared" si="32"/>
        <v>0.11037983563876774</v>
      </c>
      <c r="V142">
        <v>7.6</v>
      </c>
      <c r="W142">
        <f t="shared" si="34"/>
        <v>-0.77976000000000001</v>
      </c>
    </row>
    <row r="143" spans="1:23" x14ac:dyDescent="0.3">
      <c r="A143">
        <v>7.1106850000000001</v>
      </c>
      <c r="B143">
        <v>0.29437000000000002</v>
      </c>
      <c r="C143">
        <f t="shared" si="24"/>
        <v>2.09317234345</v>
      </c>
      <c r="D143" s="1">
        <v>2.1000000000000001E-2</v>
      </c>
      <c r="E143" s="1">
        <v>1.41E-2</v>
      </c>
      <c r="F143">
        <f t="shared" si="25"/>
        <v>1422.1369999999999</v>
      </c>
      <c r="G143">
        <f t="shared" si="26"/>
        <v>-0.29437000000000002</v>
      </c>
      <c r="H143">
        <f t="shared" si="27"/>
        <v>-418.63446869000001</v>
      </c>
      <c r="I143">
        <v>1</v>
      </c>
      <c r="J143">
        <f t="shared" si="28"/>
        <v>0.35216066991896483</v>
      </c>
      <c r="K143">
        <f t="shared" si="29"/>
        <v>-0.88554057297601196</v>
      </c>
      <c r="L143">
        <v>1</v>
      </c>
      <c r="M143">
        <f t="shared" si="30"/>
        <v>0.52536083951415569</v>
      </c>
      <c r="N143">
        <f t="shared" si="33"/>
        <v>0.149324385</v>
      </c>
      <c r="O143">
        <f t="shared" si="31"/>
        <v>0.1002606585</v>
      </c>
      <c r="P143">
        <f t="shared" si="32"/>
        <v>0.11059468996185627</v>
      </c>
      <c r="V143">
        <v>7.7</v>
      </c>
      <c r="W143">
        <f t="shared" si="34"/>
        <v>-0.78327000000000002</v>
      </c>
    </row>
    <row r="144" spans="1:23" x14ac:dyDescent="0.3">
      <c r="A144">
        <v>7.1624905000000005</v>
      </c>
      <c r="B144">
        <v>0.29214000000000001</v>
      </c>
      <c r="C144">
        <f t="shared" si="24"/>
        <v>2.09244997467</v>
      </c>
      <c r="D144" s="1">
        <v>2.1000000000000001E-2</v>
      </c>
      <c r="E144" s="1">
        <v>1.41E-2</v>
      </c>
      <c r="F144">
        <f t="shared" si="25"/>
        <v>1432.4981</v>
      </c>
      <c r="G144">
        <f t="shared" si="26"/>
        <v>-0.29214000000000001</v>
      </c>
      <c r="H144">
        <f t="shared" si="27"/>
        <v>-418.48999493400004</v>
      </c>
      <c r="I144">
        <v>1</v>
      </c>
      <c r="J144">
        <f t="shared" si="28"/>
        <v>0.35941984325334753</v>
      </c>
      <c r="K144">
        <f t="shared" si="29"/>
        <v>-0.88777057297601192</v>
      </c>
      <c r="L144">
        <v>1</v>
      </c>
      <c r="M144">
        <f t="shared" si="30"/>
        <v>0.52561563649819254</v>
      </c>
      <c r="N144">
        <f t="shared" si="33"/>
        <v>0.15041230050000001</v>
      </c>
      <c r="O144">
        <f t="shared" si="31"/>
        <v>0.10099111605000001</v>
      </c>
      <c r="P144">
        <f t="shared" si="32"/>
        <v>0.11075151992781936</v>
      </c>
      <c r="V144">
        <v>7.8</v>
      </c>
      <c r="W144">
        <f t="shared" si="34"/>
        <v>-0.78678000000000003</v>
      </c>
    </row>
    <row r="145" spans="1:23" x14ac:dyDescent="0.3">
      <c r="A145">
        <v>7.2142951000000002</v>
      </c>
      <c r="B145">
        <v>0.28991</v>
      </c>
      <c r="C145">
        <f t="shared" si="24"/>
        <v>2.0914962924410001</v>
      </c>
      <c r="D145" s="1">
        <v>2.1000000000000001E-2</v>
      </c>
      <c r="E145" s="1">
        <v>1.41E-2</v>
      </c>
      <c r="F145">
        <f t="shared" ref="F145:F187" si="35">A145*200</f>
        <v>1442.8590200000001</v>
      </c>
      <c r="G145">
        <f t="shared" ref="G145:G187" si="36">-B145</f>
        <v>-0.28991</v>
      </c>
      <c r="H145">
        <f t="shared" si="27"/>
        <v>-418.2992584882</v>
      </c>
      <c r="I145">
        <v>1</v>
      </c>
      <c r="J145">
        <f t="shared" si="28"/>
        <v>0.36662657578115315</v>
      </c>
      <c r="K145">
        <f t="shared" si="29"/>
        <v>-0.89000057297601198</v>
      </c>
      <c r="L145">
        <v>1</v>
      </c>
      <c r="M145">
        <f t="shared" ref="M145:M187" si="37">-1*($S$4+($S$5*J145))</f>
        <v>0.52586859280991849</v>
      </c>
      <c r="N145">
        <f t="shared" ref="N145:N187" si="38">D145*A145</f>
        <v>0.15150019710000001</v>
      </c>
      <c r="O145">
        <f t="shared" ref="O145:O187" si="39">E145*A145</f>
        <v>0.10172156090999999</v>
      </c>
      <c r="P145">
        <f t="shared" ref="P145:P187" si="40">-K145-M145-N145-O145</f>
        <v>0.11091022215609349</v>
      </c>
      <c r="V145">
        <v>7.9</v>
      </c>
      <c r="W145">
        <f t="shared" si="34"/>
        <v>-0.79028999999999994</v>
      </c>
    </row>
    <row r="146" spans="1:23" x14ac:dyDescent="0.3">
      <c r="A146">
        <v>7.2685908500000007</v>
      </c>
      <c r="B146">
        <v>0.28750999999999999</v>
      </c>
      <c r="C146">
        <f t="shared" si="24"/>
        <v>2.0897925552835002</v>
      </c>
      <c r="D146" s="1">
        <v>2.1000000000000001E-2</v>
      </c>
      <c r="E146" s="1">
        <v>1.41E-2</v>
      </c>
      <c r="F146">
        <f t="shared" si="35"/>
        <v>1453.7181700000001</v>
      </c>
      <c r="G146">
        <f t="shared" si="36"/>
        <v>-0.28750999999999999</v>
      </c>
      <c r="H146">
        <f t="shared" si="27"/>
        <v>-417.95851105670005</v>
      </c>
      <c r="I146">
        <v>1</v>
      </c>
      <c r="J146">
        <f t="shared" si="28"/>
        <v>0.37412452951215386</v>
      </c>
      <c r="K146">
        <f t="shared" si="29"/>
        <v>-0.89240057297601205</v>
      </c>
      <c r="L146">
        <v>1</v>
      </c>
      <c r="M146">
        <f t="shared" si="37"/>
        <v>0.5261317709858766</v>
      </c>
      <c r="N146">
        <f t="shared" si="38"/>
        <v>0.15264040785000002</v>
      </c>
      <c r="O146">
        <f t="shared" si="39"/>
        <v>0.10248713098500001</v>
      </c>
      <c r="P146">
        <f t="shared" si="40"/>
        <v>0.11114126315513542</v>
      </c>
      <c r="V146">
        <v>8</v>
      </c>
      <c r="W146">
        <f t="shared" si="34"/>
        <v>-0.79380000000000006</v>
      </c>
    </row>
    <row r="147" spans="1:23" x14ac:dyDescent="0.3">
      <c r="A147">
        <v>7.3189012499999997</v>
      </c>
      <c r="B147">
        <v>0.28521999999999997</v>
      </c>
      <c r="C147">
        <f t="shared" si="24"/>
        <v>2.0874970145249998</v>
      </c>
      <c r="D147" s="1">
        <v>2.1000000000000001E-2</v>
      </c>
      <c r="E147" s="1">
        <v>1.41E-2</v>
      </c>
      <c r="F147">
        <f t="shared" si="35"/>
        <v>1463.78025</v>
      </c>
      <c r="G147">
        <f t="shared" si="36"/>
        <v>-0.28521999999999997</v>
      </c>
      <c r="H147">
        <f t="shared" si="27"/>
        <v>-417.49940290499995</v>
      </c>
      <c r="I147">
        <v>1</v>
      </c>
      <c r="J147">
        <f t="shared" si="28"/>
        <v>0.38102230181360197</v>
      </c>
      <c r="K147">
        <f t="shared" si="29"/>
        <v>-0.89469057297601196</v>
      </c>
      <c r="L147">
        <v>1</v>
      </c>
      <c r="M147">
        <f t="shared" si="37"/>
        <v>0.52637388279365749</v>
      </c>
      <c r="N147">
        <f t="shared" si="38"/>
        <v>0.15369692625</v>
      </c>
      <c r="O147">
        <f t="shared" si="39"/>
        <v>0.10319650762499999</v>
      </c>
      <c r="P147">
        <f t="shared" si="40"/>
        <v>0.11142325630735447</v>
      </c>
      <c r="V147">
        <v>8.0999999999999002</v>
      </c>
      <c r="W147">
        <f t="shared" si="34"/>
        <v>-0.79730999999999652</v>
      </c>
    </row>
    <row r="148" spans="1:23" x14ac:dyDescent="0.3">
      <c r="A148">
        <v>7.3726986999999999</v>
      </c>
      <c r="B148">
        <v>0.28298000000000001</v>
      </c>
      <c r="C148">
        <f t="shared" si="24"/>
        <v>2.0863262781260001</v>
      </c>
      <c r="D148" s="1">
        <v>2.1000000000000001E-2</v>
      </c>
      <c r="E148" s="1">
        <v>1.41E-2</v>
      </c>
      <c r="F148">
        <f t="shared" si="35"/>
        <v>1474.5397399999999</v>
      </c>
      <c r="G148">
        <f t="shared" si="36"/>
        <v>-0.28298000000000001</v>
      </c>
      <c r="H148">
        <f t="shared" si="27"/>
        <v>-417.26525562520004</v>
      </c>
      <c r="I148">
        <v>1</v>
      </c>
      <c r="J148">
        <f t="shared" si="28"/>
        <v>0.38834590041899458</v>
      </c>
      <c r="K148">
        <f t="shared" si="29"/>
        <v>-0.89693057297601197</v>
      </c>
      <c r="L148">
        <v>1</v>
      </c>
      <c r="M148">
        <f t="shared" si="37"/>
        <v>0.52663094110470676</v>
      </c>
      <c r="N148">
        <f t="shared" si="38"/>
        <v>0.1548266727</v>
      </c>
      <c r="O148">
        <f t="shared" si="39"/>
        <v>0.10395505166999999</v>
      </c>
      <c r="P148">
        <f t="shared" si="40"/>
        <v>0.11151790750130522</v>
      </c>
      <c r="V148">
        <v>8.1999999999998998</v>
      </c>
      <c r="W148">
        <f t="shared" si="34"/>
        <v>-0.80081999999999653</v>
      </c>
    </row>
    <row r="149" spans="1:23" x14ac:dyDescent="0.3">
      <c r="A149">
        <v>7.4240061000000006</v>
      </c>
      <c r="B149">
        <v>0.28072000000000003</v>
      </c>
      <c r="C149">
        <f t="shared" si="24"/>
        <v>2.0840669923920006</v>
      </c>
      <c r="D149" s="1">
        <v>2.1000000000000001E-2</v>
      </c>
      <c r="E149" s="1">
        <v>1.41E-2</v>
      </c>
      <c r="F149">
        <f t="shared" si="35"/>
        <v>1484.8012200000001</v>
      </c>
      <c r="G149">
        <f t="shared" si="36"/>
        <v>-0.28072000000000003</v>
      </c>
      <c r="H149">
        <f t="shared" si="27"/>
        <v>-416.81339847840013</v>
      </c>
      <c r="I149">
        <v>1</v>
      </c>
      <c r="J149">
        <f t="shared" si="28"/>
        <v>0.39528090470894428</v>
      </c>
      <c r="K149">
        <f t="shared" si="29"/>
        <v>-0.8991905729760119</v>
      </c>
      <c r="L149">
        <v>1</v>
      </c>
      <c r="M149">
        <f t="shared" si="37"/>
        <v>0.52687435975528396</v>
      </c>
      <c r="N149">
        <f t="shared" si="38"/>
        <v>0.15590412810000001</v>
      </c>
      <c r="O149">
        <f t="shared" si="39"/>
        <v>0.10467848601</v>
      </c>
      <c r="P149">
        <f t="shared" si="40"/>
        <v>0.11173359911072793</v>
      </c>
      <c r="V149">
        <v>8.2999999999998995</v>
      </c>
      <c r="W149">
        <f t="shared" si="34"/>
        <v>-0.80432999999999644</v>
      </c>
    </row>
    <row r="150" spans="1:23" x14ac:dyDescent="0.3">
      <c r="A150">
        <v>7.4738188000000001</v>
      </c>
      <c r="B150">
        <v>0.27864</v>
      </c>
      <c r="C150">
        <f t="shared" si="24"/>
        <v>2.0825048704319999</v>
      </c>
      <c r="D150" s="1">
        <v>2.1000000000000001E-2</v>
      </c>
      <c r="E150" s="1">
        <v>1.41E-2</v>
      </c>
      <c r="F150">
        <f t="shared" si="35"/>
        <v>1494.76376</v>
      </c>
      <c r="G150">
        <f t="shared" si="36"/>
        <v>-0.27864</v>
      </c>
      <c r="H150">
        <f t="shared" si="27"/>
        <v>-416.50097408639999</v>
      </c>
      <c r="I150">
        <v>1</v>
      </c>
      <c r="J150">
        <f t="shared" si="28"/>
        <v>0.40196817428927401</v>
      </c>
      <c r="K150">
        <f t="shared" si="29"/>
        <v>-0.90127057297601199</v>
      </c>
      <c r="L150">
        <v>1</v>
      </c>
      <c r="M150">
        <f t="shared" si="37"/>
        <v>0.52710908291755354</v>
      </c>
      <c r="N150">
        <f t="shared" si="38"/>
        <v>0.1569501948</v>
      </c>
      <c r="O150">
        <f t="shared" si="39"/>
        <v>0.10538084507999999</v>
      </c>
      <c r="P150">
        <f t="shared" si="40"/>
        <v>0.11183045017845845</v>
      </c>
      <c r="V150">
        <v>8.3999999999999009</v>
      </c>
      <c r="W150">
        <f t="shared" si="34"/>
        <v>-0.80783999999999656</v>
      </c>
    </row>
    <row r="151" spans="1:23" x14ac:dyDescent="0.3">
      <c r="A151">
        <v>7.5241292</v>
      </c>
      <c r="B151">
        <v>0.27650999999999998</v>
      </c>
      <c r="C151">
        <f t="shared" si="24"/>
        <v>2.0804969650919998</v>
      </c>
      <c r="D151" s="1">
        <v>2.1000000000000001E-2</v>
      </c>
      <c r="E151" s="1">
        <v>1.41E-2</v>
      </c>
      <c r="F151">
        <f t="shared" si="35"/>
        <v>1504.82584</v>
      </c>
      <c r="G151">
        <f t="shared" si="36"/>
        <v>-0.27650999999999998</v>
      </c>
      <c r="H151">
        <f t="shared" si="27"/>
        <v>-416.09939301839995</v>
      </c>
      <c r="I151">
        <v>1</v>
      </c>
      <c r="J151">
        <f t="shared" si="28"/>
        <v>0.4086771705744231</v>
      </c>
      <c r="K151">
        <f t="shared" si="29"/>
        <v>-0.90340057297601195</v>
      </c>
      <c r="L151">
        <v>1</v>
      </c>
      <c r="M151">
        <f t="shared" si="37"/>
        <v>0.52734456868716229</v>
      </c>
      <c r="N151">
        <f t="shared" si="38"/>
        <v>0.15800671320000001</v>
      </c>
      <c r="O151">
        <f t="shared" si="39"/>
        <v>0.10609022172</v>
      </c>
      <c r="P151">
        <f t="shared" si="40"/>
        <v>0.11195906936884965</v>
      </c>
      <c r="V151">
        <v>8.4999999999999005</v>
      </c>
      <c r="W151">
        <f t="shared" si="34"/>
        <v>-0.81134999999999646</v>
      </c>
    </row>
    <row r="152" spans="1:23" x14ac:dyDescent="0.3">
      <c r="A152">
        <v>7.5754365499999992</v>
      </c>
      <c r="B152">
        <v>0.27415</v>
      </c>
      <c r="C152">
        <f t="shared" si="24"/>
        <v>2.0768059301824997</v>
      </c>
      <c r="D152" s="1">
        <v>2.1000000000000001E-2</v>
      </c>
      <c r="E152" s="1">
        <v>1.41E-2</v>
      </c>
      <c r="F152">
        <f t="shared" si="35"/>
        <v>1515.0873099999999</v>
      </c>
      <c r="G152">
        <f t="shared" si="36"/>
        <v>-0.27415</v>
      </c>
      <c r="H152">
        <f t="shared" si="27"/>
        <v>-415.36118603649993</v>
      </c>
      <c r="I152">
        <v>1</v>
      </c>
      <c r="J152">
        <f t="shared" si="28"/>
        <v>0.41547306766380315</v>
      </c>
      <c r="K152">
        <f t="shared" si="29"/>
        <v>-0.90576057297601198</v>
      </c>
      <c r="L152">
        <v>1</v>
      </c>
      <c r="M152">
        <f t="shared" si="37"/>
        <v>0.52758310467499947</v>
      </c>
      <c r="N152">
        <f t="shared" si="38"/>
        <v>0.15908416754999999</v>
      </c>
      <c r="O152">
        <f t="shared" si="39"/>
        <v>0.10681365535499998</v>
      </c>
      <c r="P152">
        <f t="shared" si="40"/>
        <v>0.11227964539601254</v>
      </c>
      <c r="V152">
        <v>8.5999999999999002</v>
      </c>
      <c r="W152">
        <f t="shared" si="34"/>
        <v>-0.81485999999999648</v>
      </c>
    </row>
    <row r="153" spans="1:23" x14ac:dyDescent="0.3">
      <c r="A153">
        <v>7.6252488000000005</v>
      </c>
      <c r="B153">
        <v>0.27245000000000003</v>
      </c>
      <c r="C153">
        <f t="shared" si="24"/>
        <v>2.0774990355600003</v>
      </c>
      <c r="D153" s="1">
        <v>2.1000000000000001E-2</v>
      </c>
      <c r="E153" s="1">
        <v>1.41E-2</v>
      </c>
      <c r="F153">
        <f t="shared" si="35"/>
        <v>1525.0497600000001</v>
      </c>
      <c r="G153">
        <f t="shared" si="36"/>
        <v>-0.27245000000000003</v>
      </c>
      <c r="H153">
        <f t="shared" si="27"/>
        <v>-415.49980711200004</v>
      </c>
      <c r="I153">
        <v>1</v>
      </c>
      <c r="J153">
        <f t="shared" si="28"/>
        <v>0.42202703903524091</v>
      </c>
      <c r="K153">
        <f t="shared" si="29"/>
        <v>-0.9074605729760119</v>
      </c>
      <c r="L153">
        <v>1</v>
      </c>
      <c r="M153">
        <f t="shared" si="37"/>
        <v>0.52781314907013699</v>
      </c>
      <c r="N153">
        <f t="shared" si="38"/>
        <v>0.16013022480000003</v>
      </c>
      <c r="O153">
        <f t="shared" si="39"/>
        <v>0.10751600808</v>
      </c>
      <c r="P153">
        <f t="shared" si="40"/>
        <v>0.11200119102587489</v>
      </c>
      <c r="V153">
        <v>8.6999999999998998</v>
      </c>
      <c r="W153">
        <f t="shared" si="34"/>
        <v>-0.81836999999999649</v>
      </c>
    </row>
    <row r="154" spans="1:23" x14ac:dyDescent="0.3">
      <c r="A154">
        <v>7.6750614499999994</v>
      </c>
      <c r="B154">
        <v>0.27012999999999998</v>
      </c>
      <c r="C154">
        <f t="shared" si="24"/>
        <v>2.0732643494884999</v>
      </c>
      <c r="D154" s="1">
        <v>2.1000000000000001E-2</v>
      </c>
      <c r="E154" s="1">
        <v>1.41E-2</v>
      </c>
      <c r="F154">
        <f t="shared" si="35"/>
        <v>1535.0122899999999</v>
      </c>
      <c r="G154">
        <f t="shared" si="36"/>
        <v>-0.27012999999999998</v>
      </c>
      <c r="H154">
        <f t="shared" si="27"/>
        <v>-414.65286989769999</v>
      </c>
      <c r="I154">
        <v>1</v>
      </c>
      <c r="J154">
        <f t="shared" si="28"/>
        <v>0.42853838752176637</v>
      </c>
      <c r="K154">
        <f t="shared" si="29"/>
        <v>-0.909780572976012</v>
      </c>
      <c r="L154">
        <v>1</v>
      </c>
      <c r="M154">
        <f t="shared" si="37"/>
        <v>0.52804169740201401</v>
      </c>
      <c r="N154">
        <f t="shared" si="38"/>
        <v>0.16117629045000001</v>
      </c>
      <c r="O154">
        <f t="shared" si="39"/>
        <v>0.10821836644499999</v>
      </c>
      <c r="P154">
        <f t="shared" si="40"/>
        <v>0.11234421867899799</v>
      </c>
      <c r="V154">
        <v>8.7999999999998995</v>
      </c>
      <c r="W154">
        <f t="shared" si="34"/>
        <v>-0.8218799999999965</v>
      </c>
    </row>
    <row r="155" spans="1:23" x14ac:dyDescent="0.3">
      <c r="A155">
        <v>7.7243759499999998</v>
      </c>
      <c r="B155">
        <v>0.26812000000000002</v>
      </c>
      <c r="C155">
        <f t="shared" si="24"/>
        <v>2.0710596797140002</v>
      </c>
      <c r="D155" s="1">
        <v>2.1000000000000001E-2</v>
      </c>
      <c r="E155" s="1">
        <v>1.41E-2</v>
      </c>
      <c r="F155">
        <f t="shared" si="35"/>
        <v>1544.87519</v>
      </c>
      <c r="G155">
        <f t="shared" si="36"/>
        <v>-0.26812000000000002</v>
      </c>
      <c r="H155">
        <f t="shared" si="27"/>
        <v>-414.21193594280004</v>
      </c>
      <c r="I155">
        <v>1</v>
      </c>
      <c r="J155">
        <f t="shared" si="28"/>
        <v>0.43494312391505158</v>
      </c>
      <c r="K155">
        <f t="shared" si="29"/>
        <v>-0.91179057297601196</v>
      </c>
      <c r="L155">
        <v>1</v>
      </c>
      <c r="M155">
        <f t="shared" si="37"/>
        <v>0.5282665036494183</v>
      </c>
      <c r="N155">
        <f t="shared" si="38"/>
        <v>0.16221189495000002</v>
      </c>
      <c r="O155">
        <f t="shared" si="39"/>
        <v>0.10891370089499999</v>
      </c>
      <c r="P155">
        <f t="shared" si="40"/>
        <v>0.11239847348159365</v>
      </c>
      <c r="V155">
        <v>8.8999999999999009</v>
      </c>
      <c r="W155">
        <f t="shared" si="34"/>
        <v>-0.82538999999999652</v>
      </c>
    </row>
    <row r="156" spans="1:23" x14ac:dyDescent="0.3">
      <c r="A156">
        <v>7.7781734500000006</v>
      </c>
      <c r="B156">
        <v>0.26566000000000001</v>
      </c>
      <c r="C156">
        <f t="shared" si="24"/>
        <v>2.0663495587270004</v>
      </c>
      <c r="D156" s="1">
        <v>2.1000000000000001E-2</v>
      </c>
      <c r="E156" s="1">
        <v>1.41E-2</v>
      </c>
      <c r="F156">
        <f t="shared" si="35"/>
        <v>1555.6346900000001</v>
      </c>
      <c r="G156">
        <f t="shared" si="36"/>
        <v>-0.26566000000000001</v>
      </c>
      <c r="H156">
        <f t="shared" si="27"/>
        <v>-413.26991174540007</v>
      </c>
      <c r="I156">
        <v>1</v>
      </c>
      <c r="J156">
        <f t="shared" si="28"/>
        <v>0.44188362312795276</v>
      </c>
      <c r="K156">
        <f t="shared" si="29"/>
        <v>-0.91425057297601198</v>
      </c>
      <c r="L156">
        <v>1</v>
      </c>
      <c r="M156">
        <f t="shared" si="37"/>
        <v>0.52851011517179114</v>
      </c>
      <c r="N156">
        <f t="shared" si="38"/>
        <v>0.16334164245000002</v>
      </c>
      <c r="O156">
        <f t="shared" si="39"/>
        <v>0.109672245645</v>
      </c>
      <c r="P156">
        <f t="shared" si="40"/>
        <v>0.11272656970922082</v>
      </c>
      <c r="V156">
        <v>8.9999999999999005</v>
      </c>
      <c r="W156">
        <f t="shared" si="34"/>
        <v>-0.82889999999999653</v>
      </c>
    </row>
    <row r="157" spans="1:23" x14ac:dyDescent="0.3">
      <c r="A157">
        <v>7.8274879500000001</v>
      </c>
      <c r="B157">
        <v>0.26373999999999997</v>
      </c>
      <c r="C157">
        <f t="shared" si="24"/>
        <v>2.0644216719329997</v>
      </c>
      <c r="D157" s="1">
        <v>2.1000000000000001E-2</v>
      </c>
      <c r="E157" s="1">
        <v>1.41E-2</v>
      </c>
      <c r="F157">
        <f t="shared" si="35"/>
        <v>1565.4975899999999</v>
      </c>
      <c r="G157">
        <f t="shared" si="36"/>
        <v>-0.26373999999999997</v>
      </c>
      <c r="H157">
        <f t="shared" si="27"/>
        <v>-412.88433438659996</v>
      </c>
      <c r="I157">
        <v>1</v>
      </c>
      <c r="J157">
        <f t="shared" si="28"/>
        <v>0.44820372233887129</v>
      </c>
      <c r="K157">
        <f t="shared" si="29"/>
        <v>-0.91617057297601201</v>
      </c>
      <c r="L157">
        <v>1</v>
      </c>
      <c r="M157">
        <f t="shared" si="37"/>
        <v>0.5287319506540944</v>
      </c>
      <c r="N157">
        <f t="shared" si="38"/>
        <v>0.16437724695</v>
      </c>
      <c r="O157">
        <f t="shared" si="39"/>
        <v>0.110367580095</v>
      </c>
      <c r="P157">
        <f t="shared" si="40"/>
        <v>0.11269379527691761</v>
      </c>
      <c r="V157">
        <v>9.0999999999999002</v>
      </c>
      <c r="W157">
        <f t="shared" si="34"/>
        <v>-0.83240999999999654</v>
      </c>
    </row>
    <row r="158" spans="1:23" x14ac:dyDescent="0.3">
      <c r="A158">
        <v>7.8807866999999998</v>
      </c>
      <c r="B158">
        <v>0.26149</v>
      </c>
      <c r="C158">
        <f t="shared" si="24"/>
        <v>2.0607469141829999</v>
      </c>
      <c r="D158" s="1">
        <v>2.1000000000000001E-2</v>
      </c>
      <c r="E158" s="1">
        <v>1.41E-2</v>
      </c>
      <c r="F158">
        <f t="shared" si="35"/>
        <v>1576.15734</v>
      </c>
      <c r="G158">
        <f t="shared" si="36"/>
        <v>-0.26149</v>
      </c>
      <c r="H158">
        <f t="shared" si="27"/>
        <v>-412.14938283660001</v>
      </c>
      <c r="I158">
        <v>1</v>
      </c>
      <c r="J158">
        <f t="shared" si="28"/>
        <v>0.45498982147788358</v>
      </c>
      <c r="K158">
        <f t="shared" si="29"/>
        <v>-0.91842057297601198</v>
      </c>
      <c r="L158">
        <v>1</v>
      </c>
      <c r="M158">
        <f t="shared" si="37"/>
        <v>0.52897014273387377</v>
      </c>
      <c r="N158">
        <f t="shared" si="38"/>
        <v>0.16549652070000001</v>
      </c>
      <c r="O158">
        <f t="shared" si="39"/>
        <v>0.11111909247</v>
      </c>
      <c r="P158">
        <f t="shared" si="40"/>
        <v>0.1128348170721382</v>
      </c>
      <c r="V158">
        <v>9.1999999999998998</v>
      </c>
      <c r="W158">
        <f t="shared" si="34"/>
        <v>-0.83591999999999644</v>
      </c>
    </row>
    <row r="159" spans="1:23" x14ac:dyDescent="0.3">
      <c r="A159">
        <v>7.9330900499999997</v>
      </c>
      <c r="B159">
        <v>0.25911000000000001</v>
      </c>
      <c r="C159">
        <f t="shared" si="24"/>
        <v>2.0555429628554998</v>
      </c>
      <c r="D159" s="1">
        <v>2.1000000000000001E-2</v>
      </c>
      <c r="E159" s="1">
        <v>1.41E-2</v>
      </c>
      <c r="F159">
        <f t="shared" si="35"/>
        <v>1586.6180099999999</v>
      </c>
      <c r="G159">
        <f t="shared" si="36"/>
        <v>-0.25911000000000001</v>
      </c>
      <c r="H159">
        <f t="shared" si="27"/>
        <v>-411.10859257109996</v>
      </c>
      <c r="I159">
        <v>1</v>
      </c>
      <c r="J159">
        <f t="shared" si="28"/>
        <v>0.46160471313862206</v>
      </c>
      <c r="K159">
        <f t="shared" si="29"/>
        <v>-0.92080057297601203</v>
      </c>
      <c r="L159">
        <v>1</v>
      </c>
      <c r="M159">
        <f t="shared" si="37"/>
        <v>0.52920232543116563</v>
      </c>
      <c r="N159">
        <f t="shared" si="38"/>
        <v>0.16659489105</v>
      </c>
      <c r="O159">
        <f t="shared" si="39"/>
        <v>0.11185656970499999</v>
      </c>
      <c r="P159">
        <f t="shared" si="40"/>
        <v>0.11314678678984641</v>
      </c>
      <c r="V159">
        <v>9.2999999999998995</v>
      </c>
      <c r="W159">
        <f t="shared" si="34"/>
        <v>-0.83942999999999646</v>
      </c>
    </row>
    <row r="160" spans="1:23" x14ac:dyDescent="0.3">
      <c r="A160">
        <v>7.9848956499999995</v>
      </c>
      <c r="B160">
        <v>0.25694</v>
      </c>
      <c r="C160">
        <f t="shared" si="24"/>
        <v>2.0516390883110001</v>
      </c>
      <c r="D160" s="1">
        <v>2.1000000000000001E-2</v>
      </c>
      <c r="E160" s="1">
        <v>1.41E-2</v>
      </c>
      <c r="F160">
        <f t="shared" si="35"/>
        <v>1596.9791299999999</v>
      </c>
      <c r="G160">
        <f t="shared" si="36"/>
        <v>-0.25694</v>
      </c>
      <c r="H160">
        <f t="shared" si="27"/>
        <v>-410.3278176622</v>
      </c>
      <c r="I160">
        <v>1</v>
      </c>
      <c r="J160">
        <f t="shared" si="28"/>
        <v>0.46811380089451071</v>
      </c>
      <c r="K160">
        <f t="shared" si="29"/>
        <v>-0.92297057297601204</v>
      </c>
      <c r="L160">
        <v>1</v>
      </c>
      <c r="M160">
        <f t="shared" si="37"/>
        <v>0.52943079441139729</v>
      </c>
      <c r="N160">
        <f t="shared" si="38"/>
        <v>0.16768280864999999</v>
      </c>
      <c r="O160">
        <f t="shared" si="39"/>
        <v>0.11258702866499999</v>
      </c>
      <c r="P160">
        <f t="shared" si="40"/>
        <v>0.11326994124961477</v>
      </c>
      <c r="V160">
        <v>9.3999999999999009</v>
      </c>
      <c r="W160">
        <f t="shared" si="34"/>
        <v>-0.84293999999999647</v>
      </c>
    </row>
    <row r="161" spans="1:23" x14ac:dyDescent="0.3">
      <c r="A161">
        <v>8.0362030000000004</v>
      </c>
      <c r="B161">
        <v>0.25478000000000001</v>
      </c>
      <c r="C161">
        <f t="shared" si="24"/>
        <v>2.0474638003400001</v>
      </c>
      <c r="D161" s="1">
        <v>2.1000000000000001E-2</v>
      </c>
      <c r="E161" s="1">
        <v>1.41E-2</v>
      </c>
      <c r="F161">
        <f t="shared" si="35"/>
        <v>1607.2406000000001</v>
      </c>
      <c r="G161">
        <f t="shared" si="36"/>
        <v>-0.25478000000000001</v>
      </c>
      <c r="H161">
        <f t="shared" si="27"/>
        <v>-409.492760068</v>
      </c>
      <c r="I161">
        <v>1</v>
      </c>
      <c r="J161">
        <f t="shared" si="28"/>
        <v>0.47451879552356763</v>
      </c>
      <c r="K161">
        <f t="shared" si="29"/>
        <v>-0.92513057297601198</v>
      </c>
      <c r="L161">
        <v>1</v>
      </c>
      <c r="M161">
        <f t="shared" si="37"/>
        <v>0.52965560972287729</v>
      </c>
      <c r="N161">
        <f t="shared" si="38"/>
        <v>0.16876026300000002</v>
      </c>
      <c r="O161">
        <f t="shared" si="39"/>
        <v>0.1133104623</v>
      </c>
      <c r="P161">
        <f t="shared" si="40"/>
        <v>0.11340423795313467</v>
      </c>
      <c r="V161">
        <v>9.4999999999999005</v>
      </c>
      <c r="W161">
        <f t="shared" si="34"/>
        <v>-0.84644999999999659</v>
      </c>
    </row>
    <row r="162" spans="1:23" x14ac:dyDescent="0.3">
      <c r="A162">
        <v>8.0875093499999995</v>
      </c>
      <c r="B162">
        <v>0.25263000000000002</v>
      </c>
      <c r="C162">
        <f t="shared" si="24"/>
        <v>2.0431474870905002</v>
      </c>
      <c r="D162" s="1">
        <v>2.1000000000000001E-2</v>
      </c>
      <c r="E162" s="1">
        <v>1.41E-2</v>
      </c>
      <c r="F162">
        <f t="shared" si="35"/>
        <v>1617.5018699999998</v>
      </c>
      <c r="G162">
        <f t="shared" si="36"/>
        <v>-0.25263000000000002</v>
      </c>
      <c r="H162">
        <f t="shared" si="27"/>
        <v>-408.62949741810002</v>
      </c>
      <c r="I162">
        <v>1</v>
      </c>
      <c r="J162">
        <f t="shared" si="28"/>
        <v>0.48088290349735069</v>
      </c>
      <c r="K162">
        <f t="shared" si="29"/>
        <v>-0.92728057297601196</v>
      </c>
      <c r="L162">
        <v>1</v>
      </c>
      <c r="M162">
        <f t="shared" si="37"/>
        <v>0.52987898991275706</v>
      </c>
      <c r="N162">
        <f t="shared" si="38"/>
        <v>0.16983769635000001</v>
      </c>
      <c r="O162">
        <f t="shared" si="39"/>
        <v>0.11403388183499999</v>
      </c>
      <c r="P162">
        <f t="shared" si="40"/>
        <v>0.1135300048782549</v>
      </c>
      <c r="V162">
        <v>9.5999999999999002</v>
      </c>
      <c r="W162">
        <f t="shared" si="34"/>
        <v>-0.8499599999999965</v>
      </c>
    </row>
    <row r="163" spans="1:23" x14ac:dyDescent="0.3">
      <c r="A163">
        <v>8.1253681499999999</v>
      </c>
      <c r="B163">
        <v>0.25119999999999998</v>
      </c>
      <c r="C163">
        <f t="shared" si="24"/>
        <v>2.0410924792799996</v>
      </c>
      <c r="D163" s="1">
        <v>2.1000000000000001E-2</v>
      </c>
      <c r="E163" s="1">
        <v>1.41E-2</v>
      </c>
      <c r="F163">
        <f t="shared" si="35"/>
        <v>1625.0736299999999</v>
      </c>
      <c r="G163">
        <f t="shared" si="36"/>
        <v>-0.25119999999999998</v>
      </c>
      <c r="H163">
        <f t="shared" si="27"/>
        <v>-408.21849585599989</v>
      </c>
      <c r="I163">
        <v>1</v>
      </c>
      <c r="J163">
        <f t="shared" si="28"/>
        <v>0.48555312552442964</v>
      </c>
      <c r="K163">
        <f t="shared" si="29"/>
        <v>-0.92871057297601201</v>
      </c>
      <c r="L163">
        <v>1</v>
      </c>
      <c r="M163">
        <f t="shared" si="37"/>
        <v>0.53004291470590748</v>
      </c>
      <c r="N163">
        <f t="shared" si="38"/>
        <v>0.17063273115000002</v>
      </c>
      <c r="O163">
        <f t="shared" si="39"/>
        <v>0.11456769091499999</v>
      </c>
      <c r="P163">
        <f>-K163-M163-N163-O163</f>
        <v>0.11346723620510452</v>
      </c>
      <c r="V163">
        <v>9.6999999999998998</v>
      </c>
      <c r="W163">
        <f t="shared" si="34"/>
        <v>-0.85346999999999651</v>
      </c>
    </row>
    <row r="164" spans="1:23" x14ac:dyDescent="0.3">
      <c r="C164">
        <f t="shared" si="24"/>
        <v>0</v>
      </c>
      <c r="D164" s="1">
        <v>2.1000000000000001E-2</v>
      </c>
      <c r="E164" s="1">
        <v>1.41E-2</v>
      </c>
      <c r="F164">
        <f t="shared" si="35"/>
        <v>0</v>
      </c>
      <c r="G164">
        <f t="shared" si="36"/>
        <v>0</v>
      </c>
      <c r="H164">
        <f t="shared" si="27"/>
        <v>0</v>
      </c>
      <c r="I164">
        <v>1</v>
      </c>
      <c r="J164" t="e">
        <f t="shared" si="28"/>
        <v>#NUM!</v>
      </c>
      <c r="K164">
        <f t="shared" si="29"/>
        <v>-1.179910572976012</v>
      </c>
      <c r="L164">
        <v>1</v>
      </c>
      <c r="M164" t="e">
        <f t="shared" si="37"/>
        <v>#NUM!</v>
      </c>
      <c r="N164">
        <f t="shared" si="38"/>
        <v>0</v>
      </c>
      <c r="O164">
        <f t="shared" si="39"/>
        <v>0</v>
      </c>
      <c r="P164" t="e">
        <f t="shared" si="40"/>
        <v>#NUM!</v>
      </c>
      <c r="V164">
        <v>9.7999999999998995</v>
      </c>
      <c r="W164">
        <f t="shared" si="34"/>
        <v>-0.85697999999999652</v>
      </c>
    </row>
    <row r="165" spans="1:23" x14ac:dyDescent="0.3">
      <c r="C165">
        <f t="shared" si="24"/>
        <v>0</v>
      </c>
      <c r="D165" s="1">
        <v>2.1000000000000001E-2</v>
      </c>
      <c r="E165" s="1">
        <v>1.41E-2</v>
      </c>
      <c r="F165">
        <f t="shared" si="35"/>
        <v>0</v>
      </c>
      <c r="G165">
        <f t="shared" si="36"/>
        <v>0</v>
      </c>
      <c r="H165">
        <f t="shared" si="27"/>
        <v>0</v>
      </c>
      <c r="I165">
        <v>1</v>
      </c>
      <c r="J165" t="e">
        <f t="shared" si="28"/>
        <v>#NUM!</v>
      </c>
      <c r="K165">
        <f t="shared" si="29"/>
        <v>-1.179910572976012</v>
      </c>
      <c r="L165">
        <v>1</v>
      </c>
      <c r="M165" t="e">
        <f t="shared" si="37"/>
        <v>#NUM!</v>
      </c>
      <c r="N165">
        <f t="shared" si="38"/>
        <v>0</v>
      </c>
      <c r="O165">
        <f t="shared" si="39"/>
        <v>0</v>
      </c>
      <c r="P165" t="e">
        <f t="shared" si="40"/>
        <v>#NUM!</v>
      </c>
      <c r="V165">
        <v>9.8999999999999009</v>
      </c>
      <c r="W165">
        <f t="shared" si="34"/>
        <v>-0.86048999999999654</v>
      </c>
    </row>
    <row r="166" spans="1:23" x14ac:dyDescent="0.3">
      <c r="C166">
        <f t="shared" si="24"/>
        <v>0</v>
      </c>
      <c r="D166" s="1">
        <v>2.1000000000000001E-2</v>
      </c>
      <c r="E166" s="1">
        <v>1.41E-2</v>
      </c>
      <c r="F166">
        <f t="shared" si="35"/>
        <v>0</v>
      </c>
      <c r="G166">
        <f t="shared" si="36"/>
        <v>0</v>
      </c>
      <c r="H166">
        <f t="shared" si="27"/>
        <v>0</v>
      </c>
      <c r="I166">
        <v>1</v>
      </c>
      <c r="J166" t="e">
        <f t="shared" si="28"/>
        <v>#NUM!</v>
      </c>
      <c r="K166">
        <f t="shared" si="29"/>
        <v>-1.179910572976012</v>
      </c>
      <c r="L166">
        <v>1</v>
      </c>
      <c r="M166" t="e">
        <f t="shared" si="37"/>
        <v>#NUM!</v>
      </c>
      <c r="N166">
        <f t="shared" si="38"/>
        <v>0</v>
      </c>
      <c r="O166">
        <f t="shared" si="39"/>
        <v>0</v>
      </c>
      <c r="P166" t="e">
        <f t="shared" si="40"/>
        <v>#NUM!</v>
      </c>
      <c r="V166">
        <v>9.9999999999999005</v>
      </c>
      <c r="W166">
        <f t="shared" si="34"/>
        <v>-0.86399999999999655</v>
      </c>
    </row>
    <row r="167" spans="1:23" x14ac:dyDescent="0.3">
      <c r="C167">
        <f t="shared" si="24"/>
        <v>0</v>
      </c>
      <c r="D167" s="1">
        <v>2.1000000000000001E-2</v>
      </c>
      <c r="E167" s="1">
        <v>1.41E-2</v>
      </c>
      <c r="F167">
        <f t="shared" si="35"/>
        <v>0</v>
      </c>
      <c r="G167">
        <f t="shared" si="36"/>
        <v>0</v>
      </c>
      <c r="H167">
        <f t="shared" si="27"/>
        <v>0</v>
      </c>
      <c r="I167">
        <v>1</v>
      </c>
      <c r="J167" t="e">
        <f t="shared" si="28"/>
        <v>#NUM!</v>
      </c>
      <c r="K167">
        <f t="shared" si="29"/>
        <v>-1.179910572976012</v>
      </c>
      <c r="L167">
        <v>1</v>
      </c>
      <c r="M167" t="e">
        <f t="shared" si="37"/>
        <v>#NUM!</v>
      </c>
      <c r="N167">
        <f t="shared" si="38"/>
        <v>0</v>
      </c>
      <c r="O167">
        <f t="shared" si="39"/>
        <v>0</v>
      </c>
      <c r="P167" t="e">
        <f t="shared" si="40"/>
        <v>#NUM!</v>
      </c>
      <c r="V167">
        <v>10.0999999999999</v>
      </c>
      <c r="W167">
        <f t="shared" si="34"/>
        <v>-0.86750999999999645</v>
      </c>
    </row>
    <row r="168" spans="1:23" x14ac:dyDescent="0.3">
      <c r="C168">
        <f t="shared" si="24"/>
        <v>0</v>
      </c>
      <c r="D168" s="1">
        <v>2.1000000000000001E-2</v>
      </c>
      <c r="E168" s="1">
        <v>1.41E-2</v>
      </c>
      <c r="F168">
        <f t="shared" si="35"/>
        <v>0</v>
      </c>
      <c r="G168">
        <f t="shared" si="36"/>
        <v>0</v>
      </c>
      <c r="H168">
        <f t="shared" si="27"/>
        <v>0</v>
      </c>
      <c r="I168">
        <v>1</v>
      </c>
      <c r="J168" t="e">
        <f t="shared" si="28"/>
        <v>#NUM!</v>
      </c>
      <c r="K168">
        <f t="shared" si="29"/>
        <v>-1.179910572976012</v>
      </c>
      <c r="L168">
        <v>1</v>
      </c>
      <c r="M168" t="e">
        <f t="shared" si="37"/>
        <v>#NUM!</v>
      </c>
      <c r="N168">
        <f t="shared" si="38"/>
        <v>0</v>
      </c>
      <c r="O168">
        <f t="shared" si="39"/>
        <v>0</v>
      </c>
      <c r="P168" t="e">
        <f t="shared" si="40"/>
        <v>#NUM!</v>
      </c>
      <c r="V168">
        <v>10.1999999999999</v>
      </c>
      <c r="W168">
        <f t="shared" si="34"/>
        <v>-0.87101999999999646</v>
      </c>
    </row>
    <row r="169" spans="1:23" x14ac:dyDescent="0.3">
      <c r="C169">
        <f t="shared" si="24"/>
        <v>0</v>
      </c>
      <c r="D169" s="1">
        <v>2.1000000000000001E-2</v>
      </c>
      <c r="E169" s="1">
        <v>1.41E-2</v>
      </c>
      <c r="F169">
        <f t="shared" si="35"/>
        <v>0</v>
      </c>
      <c r="G169">
        <f t="shared" si="36"/>
        <v>0</v>
      </c>
      <c r="H169">
        <f t="shared" si="27"/>
        <v>0</v>
      </c>
      <c r="I169">
        <v>1</v>
      </c>
      <c r="J169" t="e">
        <f t="shared" si="28"/>
        <v>#NUM!</v>
      </c>
      <c r="K169">
        <f t="shared" si="29"/>
        <v>-1.179910572976012</v>
      </c>
      <c r="L169">
        <v>1</v>
      </c>
      <c r="M169" t="e">
        <f t="shared" si="37"/>
        <v>#NUM!</v>
      </c>
      <c r="N169">
        <f t="shared" si="38"/>
        <v>0</v>
      </c>
      <c r="O169">
        <f t="shared" si="39"/>
        <v>0</v>
      </c>
      <c r="P169" t="e">
        <f t="shared" si="40"/>
        <v>#NUM!</v>
      </c>
      <c r="V169">
        <v>10.299999999999899</v>
      </c>
      <c r="W169">
        <f t="shared" si="34"/>
        <v>-0.87452999999999648</v>
      </c>
    </row>
    <row r="170" spans="1:23" x14ac:dyDescent="0.3">
      <c r="C170">
        <f t="shared" si="24"/>
        <v>0</v>
      </c>
      <c r="D170" s="1">
        <v>2.1000000000000001E-2</v>
      </c>
      <c r="E170" s="1">
        <v>1.41E-2</v>
      </c>
      <c r="F170">
        <f t="shared" si="35"/>
        <v>0</v>
      </c>
      <c r="G170">
        <f t="shared" si="36"/>
        <v>0</v>
      </c>
      <c r="H170">
        <f t="shared" si="27"/>
        <v>0</v>
      </c>
      <c r="I170">
        <v>1</v>
      </c>
      <c r="J170" t="e">
        <f t="shared" si="28"/>
        <v>#NUM!</v>
      </c>
      <c r="K170">
        <f t="shared" si="29"/>
        <v>-1.179910572976012</v>
      </c>
      <c r="L170">
        <v>1</v>
      </c>
      <c r="M170" t="e">
        <f t="shared" si="37"/>
        <v>#NUM!</v>
      </c>
      <c r="N170">
        <f t="shared" si="38"/>
        <v>0</v>
      </c>
      <c r="O170">
        <f t="shared" si="39"/>
        <v>0</v>
      </c>
      <c r="P170" t="e">
        <f t="shared" si="40"/>
        <v>#NUM!</v>
      </c>
      <c r="V170">
        <v>10.399999999999901</v>
      </c>
      <c r="W170">
        <f t="shared" si="34"/>
        <v>-0.8780399999999966</v>
      </c>
    </row>
    <row r="171" spans="1:23" x14ac:dyDescent="0.3">
      <c r="C171">
        <f t="shared" si="24"/>
        <v>0</v>
      </c>
      <c r="D171" s="1">
        <v>2.1000000000000001E-2</v>
      </c>
      <c r="E171" s="1">
        <v>1.41E-2</v>
      </c>
      <c r="F171">
        <f t="shared" si="35"/>
        <v>0</v>
      </c>
      <c r="G171">
        <f t="shared" si="36"/>
        <v>0</v>
      </c>
      <c r="H171">
        <f t="shared" si="27"/>
        <v>0</v>
      </c>
      <c r="I171">
        <v>1</v>
      </c>
      <c r="J171" t="e">
        <f t="shared" si="28"/>
        <v>#NUM!</v>
      </c>
      <c r="K171">
        <f t="shared" si="29"/>
        <v>-1.179910572976012</v>
      </c>
      <c r="L171">
        <v>1</v>
      </c>
      <c r="M171" t="e">
        <f t="shared" si="37"/>
        <v>#NUM!</v>
      </c>
      <c r="N171">
        <f t="shared" si="38"/>
        <v>0</v>
      </c>
      <c r="O171">
        <f t="shared" si="39"/>
        <v>0</v>
      </c>
      <c r="P171" t="e">
        <f t="shared" si="40"/>
        <v>#NUM!</v>
      </c>
      <c r="V171">
        <v>10.499999999999901</v>
      </c>
      <c r="W171">
        <f t="shared" si="34"/>
        <v>-0.8815499999999965</v>
      </c>
    </row>
    <row r="172" spans="1:23" x14ac:dyDescent="0.3">
      <c r="C172">
        <f t="shared" si="24"/>
        <v>0</v>
      </c>
      <c r="D172" s="1">
        <v>2.1000000000000001E-2</v>
      </c>
      <c r="E172" s="1">
        <v>1.41E-2</v>
      </c>
      <c r="F172">
        <f t="shared" si="35"/>
        <v>0</v>
      </c>
      <c r="G172">
        <f t="shared" si="36"/>
        <v>0</v>
      </c>
      <c r="H172">
        <f t="shared" si="27"/>
        <v>0</v>
      </c>
      <c r="I172">
        <v>1</v>
      </c>
      <c r="J172" t="e">
        <f t="shared" si="28"/>
        <v>#NUM!</v>
      </c>
      <c r="K172">
        <f t="shared" si="29"/>
        <v>-1.179910572976012</v>
      </c>
      <c r="L172">
        <v>1</v>
      </c>
      <c r="M172" t="e">
        <f t="shared" si="37"/>
        <v>#NUM!</v>
      </c>
      <c r="N172">
        <f t="shared" si="38"/>
        <v>0</v>
      </c>
      <c r="O172">
        <f t="shared" si="39"/>
        <v>0</v>
      </c>
      <c r="P172" t="e">
        <f t="shared" si="40"/>
        <v>#NUM!</v>
      </c>
      <c r="V172">
        <v>10.5999999999999</v>
      </c>
      <c r="W172">
        <f t="shared" si="34"/>
        <v>-0.88505999999999652</v>
      </c>
    </row>
    <row r="173" spans="1:23" x14ac:dyDescent="0.3">
      <c r="C173">
        <f t="shared" si="24"/>
        <v>0</v>
      </c>
      <c r="D173" s="1">
        <v>2.1000000000000001E-2</v>
      </c>
      <c r="E173" s="1">
        <v>1.41E-2</v>
      </c>
      <c r="F173">
        <f t="shared" si="35"/>
        <v>0</v>
      </c>
      <c r="G173">
        <f t="shared" si="36"/>
        <v>0</v>
      </c>
      <c r="H173">
        <f t="shared" si="27"/>
        <v>0</v>
      </c>
      <c r="I173">
        <v>1</v>
      </c>
      <c r="J173" t="e">
        <f t="shared" si="28"/>
        <v>#NUM!</v>
      </c>
      <c r="K173">
        <f t="shared" si="29"/>
        <v>-1.179910572976012</v>
      </c>
      <c r="L173">
        <v>1</v>
      </c>
      <c r="M173" t="e">
        <f t="shared" si="37"/>
        <v>#NUM!</v>
      </c>
      <c r="N173">
        <f t="shared" si="38"/>
        <v>0</v>
      </c>
      <c r="O173">
        <f t="shared" si="39"/>
        <v>0</v>
      </c>
      <c r="P173" t="e">
        <f t="shared" si="40"/>
        <v>#NUM!</v>
      </c>
      <c r="V173">
        <v>10.6999999999999</v>
      </c>
      <c r="W173">
        <f t="shared" si="34"/>
        <v>-0.88856999999999653</v>
      </c>
    </row>
    <row r="174" spans="1:23" x14ac:dyDescent="0.3">
      <c r="C174">
        <f t="shared" si="24"/>
        <v>0</v>
      </c>
      <c r="D174" s="1">
        <v>2.1000000000000001E-2</v>
      </c>
      <c r="E174" s="1">
        <v>1.41E-2</v>
      </c>
      <c r="F174">
        <f t="shared" si="35"/>
        <v>0</v>
      </c>
      <c r="G174">
        <f t="shared" si="36"/>
        <v>0</v>
      </c>
      <c r="H174">
        <f t="shared" si="27"/>
        <v>0</v>
      </c>
      <c r="I174">
        <v>1</v>
      </c>
      <c r="J174" t="e">
        <f t="shared" si="28"/>
        <v>#NUM!</v>
      </c>
      <c r="K174">
        <f t="shared" si="29"/>
        <v>-1.179910572976012</v>
      </c>
      <c r="L174">
        <v>1</v>
      </c>
      <c r="M174" t="e">
        <f t="shared" si="37"/>
        <v>#NUM!</v>
      </c>
      <c r="N174">
        <f t="shared" si="38"/>
        <v>0</v>
      </c>
      <c r="O174">
        <f t="shared" si="39"/>
        <v>0</v>
      </c>
      <c r="P174" t="e">
        <f t="shared" si="40"/>
        <v>#NUM!</v>
      </c>
      <c r="V174">
        <v>10.799999999999899</v>
      </c>
      <c r="W174">
        <f t="shared" si="34"/>
        <v>-0.89207999999999643</v>
      </c>
    </row>
    <row r="175" spans="1:23" x14ac:dyDescent="0.3">
      <c r="C175">
        <f t="shared" si="24"/>
        <v>0</v>
      </c>
      <c r="D175" s="1">
        <v>2.1000000000000001E-2</v>
      </c>
      <c r="E175" s="1">
        <v>1.41E-2</v>
      </c>
      <c r="F175">
        <f t="shared" si="35"/>
        <v>0</v>
      </c>
      <c r="G175">
        <f t="shared" si="36"/>
        <v>0</v>
      </c>
      <c r="H175">
        <f t="shared" si="27"/>
        <v>0</v>
      </c>
      <c r="I175">
        <v>1</v>
      </c>
      <c r="J175" t="e">
        <f t="shared" si="28"/>
        <v>#NUM!</v>
      </c>
      <c r="K175">
        <f t="shared" si="29"/>
        <v>-1.179910572976012</v>
      </c>
      <c r="L175">
        <v>1</v>
      </c>
      <c r="M175" t="e">
        <f t="shared" si="37"/>
        <v>#NUM!</v>
      </c>
      <c r="N175">
        <f t="shared" si="38"/>
        <v>0</v>
      </c>
      <c r="O175">
        <f t="shared" si="39"/>
        <v>0</v>
      </c>
      <c r="P175" t="e">
        <f t="shared" si="40"/>
        <v>#NUM!</v>
      </c>
      <c r="V175">
        <v>10.899999999999901</v>
      </c>
      <c r="W175">
        <f t="shared" si="34"/>
        <v>-0.89558999999999656</v>
      </c>
    </row>
    <row r="176" spans="1:23" x14ac:dyDescent="0.3">
      <c r="C176">
        <f t="shared" si="24"/>
        <v>0</v>
      </c>
      <c r="D176" s="1">
        <v>2.1000000000000001E-2</v>
      </c>
      <c r="E176" s="1">
        <v>1.41E-2</v>
      </c>
      <c r="F176">
        <f t="shared" si="35"/>
        <v>0</v>
      </c>
      <c r="G176">
        <f t="shared" si="36"/>
        <v>0</v>
      </c>
      <c r="H176">
        <f t="shared" si="27"/>
        <v>0</v>
      </c>
      <c r="I176">
        <v>1</v>
      </c>
      <c r="J176" t="e">
        <f t="shared" si="28"/>
        <v>#NUM!</v>
      </c>
      <c r="K176">
        <f t="shared" si="29"/>
        <v>-1.179910572976012</v>
      </c>
      <c r="L176">
        <v>1</v>
      </c>
      <c r="M176" t="e">
        <f t="shared" si="37"/>
        <v>#NUM!</v>
      </c>
      <c r="N176">
        <f t="shared" si="38"/>
        <v>0</v>
      </c>
      <c r="O176">
        <f t="shared" si="39"/>
        <v>0</v>
      </c>
      <c r="P176" t="e">
        <f t="shared" si="40"/>
        <v>#NUM!</v>
      </c>
      <c r="V176">
        <v>10.999999999999901</v>
      </c>
      <c r="W176">
        <f t="shared" si="34"/>
        <v>-0.89909999999999646</v>
      </c>
    </row>
    <row r="177" spans="3:23" x14ac:dyDescent="0.3">
      <c r="C177">
        <f t="shared" si="24"/>
        <v>0</v>
      </c>
      <c r="D177" s="1">
        <v>2.1000000000000001E-2</v>
      </c>
      <c r="E177" s="1">
        <v>1.41E-2</v>
      </c>
      <c r="F177">
        <f t="shared" si="35"/>
        <v>0</v>
      </c>
      <c r="G177">
        <f t="shared" si="36"/>
        <v>0</v>
      </c>
      <c r="H177">
        <f t="shared" si="27"/>
        <v>0</v>
      </c>
      <c r="I177">
        <v>1</v>
      </c>
      <c r="J177" t="e">
        <f t="shared" si="28"/>
        <v>#NUM!</v>
      </c>
      <c r="K177">
        <f t="shared" si="29"/>
        <v>-1.179910572976012</v>
      </c>
      <c r="L177">
        <v>1</v>
      </c>
      <c r="M177" t="e">
        <f t="shared" si="37"/>
        <v>#NUM!</v>
      </c>
      <c r="N177">
        <f t="shared" si="38"/>
        <v>0</v>
      </c>
      <c r="O177">
        <f t="shared" si="39"/>
        <v>0</v>
      </c>
      <c r="P177" t="e">
        <f t="shared" si="40"/>
        <v>#NUM!</v>
      </c>
      <c r="V177">
        <v>11.0999999999999</v>
      </c>
      <c r="W177">
        <f t="shared" si="34"/>
        <v>-0.90260999999999658</v>
      </c>
    </row>
    <row r="178" spans="3:23" x14ac:dyDescent="0.3">
      <c r="C178">
        <f t="shared" si="24"/>
        <v>0</v>
      </c>
      <c r="D178" s="1">
        <v>2.1000000000000001E-2</v>
      </c>
      <c r="E178" s="1">
        <v>1.41E-2</v>
      </c>
      <c r="F178">
        <f t="shared" si="35"/>
        <v>0</v>
      </c>
      <c r="G178">
        <f t="shared" si="36"/>
        <v>0</v>
      </c>
      <c r="H178">
        <f t="shared" si="27"/>
        <v>0</v>
      </c>
      <c r="I178">
        <v>1</v>
      </c>
      <c r="J178" t="e">
        <f t="shared" si="28"/>
        <v>#NUM!</v>
      </c>
      <c r="K178">
        <f t="shared" si="29"/>
        <v>-1.179910572976012</v>
      </c>
      <c r="L178">
        <v>1</v>
      </c>
      <c r="M178" t="e">
        <f t="shared" si="37"/>
        <v>#NUM!</v>
      </c>
      <c r="N178">
        <f t="shared" si="38"/>
        <v>0</v>
      </c>
      <c r="O178">
        <f t="shared" si="39"/>
        <v>0</v>
      </c>
      <c r="P178" t="e">
        <f t="shared" si="40"/>
        <v>#NUM!</v>
      </c>
      <c r="V178">
        <v>11.1999999999999</v>
      </c>
      <c r="W178">
        <f t="shared" si="34"/>
        <v>-0.90611999999999648</v>
      </c>
    </row>
    <row r="179" spans="3:23" x14ac:dyDescent="0.3">
      <c r="C179">
        <f t="shared" si="24"/>
        <v>0</v>
      </c>
      <c r="D179" s="1">
        <v>2.1000000000000001E-2</v>
      </c>
      <c r="E179" s="1">
        <v>1.41E-2</v>
      </c>
      <c r="F179">
        <f t="shared" si="35"/>
        <v>0</v>
      </c>
      <c r="G179">
        <f t="shared" si="36"/>
        <v>0</v>
      </c>
      <c r="H179">
        <f t="shared" si="27"/>
        <v>0</v>
      </c>
      <c r="I179">
        <v>1</v>
      </c>
      <c r="J179" t="e">
        <f t="shared" si="28"/>
        <v>#NUM!</v>
      </c>
      <c r="K179">
        <f t="shared" si="29"/>
        <v>-1.179910572976012</v>
      </c>
      <c r="L179">
        <v>1</v>
      </c>
      <c r="M179" t="e">
        <f t="shared" si="37"/>
        <v>#NUM!</v>
      </c>
      <c r="N179">
        <f t="shared" si="38"/>
        <v>0</v>
      </c>
      <c r="O179">
        <f t="shared" si="39"/>
        <v>0</v>
      </c>
      <c r="P179" t="e">
        <f t="shared" si="40"/>
        <v>#NUM!</v>
      </c>
      <c r="V179">
        <v>11.299999999999899</v>
      </c>
      <c r="W179">
        <f t="shared" si="34"/>
        <v>-0.9096299999999965</v>
      </c>
    </row>
    <row r="180" spans="3:23" x14ac:dyDescent="0.3">
      <c r="C180">
        <f t="shared" si="24"/>
        <v>0</v>
      </c>
      <c r="D180" s="1">
        <v>2.1000000000000001E-2</v>
      </c>
      <c r="E180" s="1">
        <v>1.41E-2</v>
      </c>
      <c r="F180">
        <f t="shared" si="35"/>
        <v>0</v>
      </c>
      <c r="G180">
        <f t="shared" si="36"/>
        <v>0</v>
      </c>
      <c r="H180">
        <f t="shared" si="27"/>
        <v>0</v>
      </c>
      <c r="I180">
        <v>1</v>
      </c>
      <c r="J180" t="e">
        <f t="shared" si="28"/>
        <v>#NUM!</v>
      </c>
      <c r="K180">
        <f t="shared" si="29"/>
        <v>-1.179910572976012</v>
      </c>
      <c r="L180">
        <v>1</v>
      </c>
      <c r="M180" t="e">
        <f t="shared" si="37"/>
        <v>#NUM!</v>
      </c>
      <c r="N180">
        <f t="shared" si="38"/>
        <v>0</v>
      </c>
      <c r="O180">
        <f t="shared" si="39"/>
        <v>0</v>
      </c>
      <c r="P180" t="e">
        <f t="shared" si="40"/>
        <v>#NUM!</v>
      </c>
      <c r="V180">
        <v>11.399999999999901</v>
      </c>
      <c r="W180">
        <f t="shared" si="34"/>
        <v>-0.91313999999999651</v>
      </c>
    </row>
    <row r="181" spans="3:23" x14ac:dyDescent="0.3">
      <c r="C181">
        <f t="shared" si="24"/>
        <v>0</v>
      </c>
      <c r="D181" s="1">
        <v>2.1000000000000001E-2</v>
      </c>
      <c r="E181" s="1">
        <v>1.41E-2</v>
      </c>
      <c r="F181">
        <f t="shared" si="35"/>
        <v>0</v>
      </c>
      <c r="G181">
        <f t="shared" si="36"/>
        <v>0</v>
      </c>
      <c r="H181">
        <f t="shared" si="27"/>
        <v>0</v>
      </c>
      <c r="I181">
        <v>1</v>
      </c>
      <c r="J181" t="e">
        <f t="shared" si="28"/>
        <v>#NUM!</v>
      </c>
      <c r="K181">
        <f t="shared" si="29"/>
        <v>-1.179910572976012</v>
      </c>
      <c r="L181">
        <v>1</v>
      </c>
      <c r="M181" t="e">
        <f t="shared" si="37"/>
        <v>#NUM!</v>
      </c>
      <c r="N181">
        <f t="shared" si="38"/>
        <v>0</v>
      </c>
      <c r="O181">
        <f t="shared" si="39"/>
        <v>0</v>
      </c>
      <c r="P181" t="e">
        <f t="shared" si="40"/>
        <v>#NUM!</v>
      </c>
      <c r="V181">
        <v>11.499999999999901</v>
      </c>
      <c r="W181">
        <f t="shared" si="34"/>
        <v>-0.91664999999999652</v>
      </c>
    </row>
    <row r="182" spans="3:23" x14ac:dyDescent="0.3">
      <c r="C182">
        <f t="shared" si="24"/>
        <v>0</v>
      </c>
      <c r="D182" s="1">
        <v>2.1000000000000001E-2</v>
      </c>
      <c r="E182" s="1">
        <v>1.41E-2</v>
      </c>
      <c r="F182">
        <f t="shared" si="35"/>
        <v>0</v>
      </c>
      <c r="G182">
        <f t="shared" si="36"/>
        <v>0</v>
      </c>
      <c r="H182">
        <f t="shared" si="27"/>
        <v>0</v>
      </c>
      <c r="I182">
        <v>1</v>
      </c>
      <c r="J182" t="e">
        <f t="shared" si="28"/>
        <v>#NUM!</v>
      </c>
      <c r="K182">
        <f t="shared" si="29"/>
        <v>-1.179910572976012</v>
      </c>
      <c r="L182">
        <v>1</v>
      </c>
      <c r="M182" t="e">
        <f t="shared" si="37"/>
        <v>#NUM!</v>
      </c>
      <c r="N182">
        <f t="shared" si="38"/>
        <v>0</v>
      </c>
      <c r="O182">
        <f t="shared" si="39"/>
        <v>0</v>
      </c>
      <c r="P182" t="e">
        <f t="shared" si="40"/>
        <v>#NUM!</v>
      </c>
      <c r="V182">
        <v>11.5999999999999</v>
      </c>
      <c r="W182">
        <f t="shared" si="34"/>
        <v>-0.92015999999999654</v>
      </c>
    </row>
    <row r="183" spans="3:23" x14ac:dyDescent="0.3">
      <c r="C183">
        <f t="shared" si="24"/>
        <v>0</v>
      </c>
      <c r="D183" s="1">
        <v>2.1000000000000001E-2</v>
      </c>
      <c r="E183" s="1">
        <v>1.41E-2</v>
      </c>
      <c r="F183">
        <f t="shared" si="35"/>
        <v>0</v>
      </c>
      <c r="G183">
        <f t="shared" si="36"/>
        <v>0</v>
      </c>
      <c r="H183">
        <f t="shared" si="27"/>
        <v>0</v>
      </c>
      <c r="I183">
        <v>1</v>
      </c>
      <c r="J183" t="e">
        <f t="shared" si="28"/>
        <v>#NUM!</v>
      </c>
      <c r="K183">
        <f t="shared" si="29"/>
        <v>-1.179910572976012</v>
      </c>
      <c r="L183">
        <v>1</v>
      </c>
      <c r="M183" t="e">
        <f t="shared" si="37"/>
        <v>#NUM!</v>
      </c>
      <c r="N183">
        <f t="shared" si="38"/>
        <v>0</v>
      </c>
      <c r="O183">
        <f t="shared" si="39"/>
        <v>0</v>
      </c>
      <c r="P183" t="e">
        <f t="shared" si="40"/>
        <v>#NUM!</v>
      </c>
      <c r="V183">
        <v>11.6999999999999</v>
      </c>
      <c r="W183">
        <f t="shared" si="34"/>
        <v>-0.92366999999999644</v>
      </c>
    </row>
    <row r="184" spans="3:23" x14ac:dyDescent="0.3">
      <c r="C184">
        <f t="shared" si="24"/>
        <v>0</v>
      </c>
      <c r="D184" s="1">
        <v>2.1000000000000001E-2</v>
      </c>
      <c r="E184" s="1">
        <v>1.41E-2</v>
      </c>
      <c r="F184">
        <f t="shared" si="35"/>
        <v>0</v>
      </c>
      <c r="G184">
        <f t="shared" si="36"/>
        <v>0</v>
      </c>
      <c r="H184">
        <f t="shared" si="27"/>
        <v>0</v>
      </c>
      <c r="I184">
        <v>1</v>
      </c>
      <c r="J184" t="e">
        <f t="shared" si="28"/>
        <v>#NUM!</v>
      </c>
      <c r="K184">
        <f t="shared" si="29"/>
        <v>-1.179910572976012</v>
      </c>
      <c r="L184">
        <v>1</v>
      </c>
      <c r="M184" t="e">
        <f t="shared" si="37"/>
        <v>#NUM!</v>
      </c>
      <c r="N184">
        <f t="shared" si="38"/>
        <v>0</v>
      </c>
      <c r="O184">
        <f t="shared" si="39"/>
        <v>0</v>
      </c>
      <c r="P184" t="e">
        <f t="shared" si="40"/>
        <v>#NUM!</v>
      </c>
      <c r="V184">
        <v>11.799999999999899</v>
      </c>
      <c r="W184">
        <f t="shared" si="34"/>
        <v>-0.92717999999999645</v>
      </c>
    </row>
    <row r="185" spans="3:23" x14ac:dyDescent="0.3">
      <c r="C185">
        <f t="shared" si="24"/>
        <v>0</v>
      </c>
      <c r="D185" s="1">
        <v>2.1000000000000001E-2</v>
      </c>
      <c r="E185" s="1">
        <v>1.41E-2</v>
      </c>
      <c r="F185">
        <f t="shared" si="35"/>
        <v>0</v>
      </c>
      <c r="G185">
        <f t="shared" si="36"/>
        <v>0</v>
      </c>
      <c r="H185">
        <f t="shared" si="27"/>
        <v>0</v>
      </c>
      <c r="I185">
        <v>1</v>
      </c>
      <c r="J185" t="e">
        <f t="shared" si="28"/>
        <v>#NUM!</v>
      </c>
      <c r="K185">
        <f t="shared" si="29"/>
        <v>-1.179910572976012</v>
      </c>
      <c r="L185">
        <v>1</v>
      </c>
      <c r="M185" t="e">
        <f t="shared" si="37"/>
        <v>#NUM!</v>
      </c>
      <c r="N185">
        <f t="shared" si="38"/>
        <v>0</v>
      </c>
      <c r="O185">
        <f t="shared" si="39"/>
        <v>0</v>
      </c>
      <c r="P185" t="e">
        <f t="shared" si="40"/>
        <v>#NUM!</v>
      </c>
      <c r="V185">
        <v>11.899999999999901</v>
      </c>
      <c r="W185">
        <f t="shared" si="34"/>
        <v>-0.93068999999999646</v>
      </c>
    </row>
    <row r="186" spans="3:23" x14ac:dyDescent="0.3">
      <c r="C186">
        <f t="shared" si="24"/>
        <v>0</v>
      </c>
      <c r="D186" s="1">
        <v>2.1000000000000001E-2</v>
      </c>
      <c r="E186" s="1">
        <v>1.41E-2</v>
      </c>
      <c r="F186">
        <f t="shared" si="35"/>
        <v>0</v>
      </c>
      <c r="G186">
        <f t="shared" si="36"/>
        <v>0</v>
      </c>
      <c r="H186">
        <f t="shared" si="27"/>
        <v>0</v>
      </c>
      <c r="I186">
        <v>1</v>
      </c>
      <c r="J186" t="e">
        <f t="shared" si="28"/>
        <v>#NUM!</v>
      </c>
      <c r="K186">
        <f t="shared" si="29"/>
        <v>-1.179910572976012</v>
      </c>
      <c r="L186">
        <v>1</v>
      </c>
      <c r="M186" t="e">
        <f t="shared" si="37"/>
        <v>#NUM!</v>
      </c>
      <c r="N186">
        <f t="shared" si="38"/>
        <v>0</v>
      </c>
      <c r="O186">
        <f t="shared" si="39"/>
        <v>0</v>
      </c>
      <c r="P186" t="e">
        <f t="shared" si="40"/>
        <v>#NUM!</v>
      </c>
      <c r="V186">
        <v>11.999999999999901</v>
      </c>
      <c r="W186">
        <f t="shared" si="34"/>
        <v>-0.93419999999999659</v>
      </c>
    </row>
    <row r="187" spans="3:23" x14ac:dyDescent="0.3">
      <c r="C187">
        <f t="shared" si="24"/>
        <v>0</v>
      </c>
      <c r="D187" s="1">
        <v>2.1000000000000001E-2</v>
      </c>
      <c r="E187" s="1">
        <v>1.41E-2</v>
      </c>
      <c r="F187">
        <f t="shared" si="35"/>
        <v>0</v>
      </c>
      <c r="G187">
        <f t="shared" si="36"/>
        <v>0</v>
      </c>
      <c r="H187">
        <f t="shared" si="27"/>
        <v>0</v>
      </c>
      <c r="I187">
        <v>1</v>
      </c>
      <c r="J187" t="e">
        <f t="shared" si="28"/>
        <v>#NUM!</v>
      </c>
      <c r="K187">
        <f t="shared" si="29"/>
        <v>-1.179910572976012</v>
      </c>
      <c r="L187">
        <v>1</v>
      </c>
      <c r="M187" t="e">
        <f t="shared" si="37"/>
        <v>#NUM!</v>
      </c>
      <c r="N187">
        <f t="shared" si="38"/>
        <v>0</v>
      </c>
      <c r="O187">
        <f t="shared" si="39"/>
        <v>0</v>
      </c>
      <c r="P187" t="e">
        <f t="shared" si="40"/>
        <v>#NUM!</v>
      </c>
      <c r="V187">
        <v>12.0999999999999</v>
      </c>
      <c r="W187">
        <f t="shared" si="34"/>
        <v>-0.93770999999999649</v>
      </c>
    </row>
    <row r="188" spans="3:23" x14ac:dyDescent="0.3">
      <c r="C188">
        <f t="shared" si="24"/>
        <v>0</v>
      </c>
      <c r="D188" s="1">
        <v>2.1000000000000001E-2</v>
      </c>
      <c r="E188" s="1">
        <v>1.41E-2</v>
      </c>
      <c r="F188">
        <f t="shared" ref="F188:F211" si="41">A188*200</f>
        <v>0</v>
      </c>
      <c r="G188">
        <f t="shared" ref="G188:G211" si="42">-B188</f>
        <v>0</v>
      </c>
      <c r="H188">
        <f t="shared" si="27"/>
        <v>0</v>
      </c>
      <c r="I188">
        <v>1</v>
      </c>
      <c r="J188" t="e">
        <f t="shared" si="28"/>
        <v>#NUM!</v>
      </c>
      <c r="K188">
        <f t="shared" ref="K188:K211" si="43">((-G188)-$N$2)</f>
        <v>-1.179910572976012</v>
      </c>
      <c r="L188">
        <v>1</v>
      </c>
      <c r="M188" t="e">
        <f t="shared" ref="M188:M211" si="44">-1*($S$4+($S$5*J188))</f>
        <v>#NUM!</v>
      </c>
      <c r="N188">
        <f t="shared" ref="N188:N211" si="45">D188*A188</f>
        <v>0</v>
      </c>
      <c r="O188">
        <f t="shared" ref="O188:O211" si="46">E188*A188</f>
        <v>0</v>
      </c>
      <c r="P188" t="e">
        <f t="shared" ref="P188:P211" si="47">-K188-M188-N188-O188</f>
        <v>#NUM!</v>
      </c>
      <c r="V188">
        <v>12.1999999999999</v>
      </c>
      <c r="W188">
        <f t="shared" si="34"/>
        <v>-0.9412199999999965</v>
      </c>
    </row>
    <row r="189" spans="3:23" x14ac:dyDescent="0.3">
      <c r="C189">
        <f t="shared" si="24"/>
        <v>0</v>
      </c>
      <c r="D189" s="1">
        <v>2.1000000000000001E-2</v>
      </c>
      <c r="E189" s="1">
        <v>1.41E-2</v>
      </c>
      <c r="F189">
        <f t="shared" si="41"/>
        <v>0</v>
      </c>
      <c r="G189">
        <f t="shared" si="42"/>
        <v>0</v>
      </c>
      <c r="H189">
        <f t="shared" si="27"/>
        <v>0</v>
      </c>
      <c r="I189">
        <v>1</v>
      </c>
      <c r="J189" t="e">
        <f t="shared" si="28"/>
        <v>#NUM!</v>
      </c>
      <c r="K189">
        <f t="shared" si="43"/>
        <v>-1.179910572976012</v>
      </c>
      <c r="L189">
        <v>1</v>
      </c>
      <c r="M189" t="e">
        <f t="shared" si="44"/>
        <v>#NUM!</v>
      </c>
      <c r="N189">
        <f t="shared" si="45"/>
        <v>0</v>
      </c>
      <c r="O189">
        <f t="shared" si="46"/>
        <v>0</v>
      </c>
      <c r="P189" t="e">
        <f t="shared" si="47"/>
        <v>#NUM!</v>
      </c>
      <c r="V189">
        <v>12.299999999999899</v>
      </c>
      <c r="W189">
        <f t="shared" si="34"/>
        <v>-0.94472999999999652</v>
      </c>
    </row>
    <row r="190" spans="3:23" x14ac:dyDescent="0.3">
      <c r="C190">
        <f t="shared" si="24"/>
        <v>0</v>
      </c>
      <c r="D190" s="1">
        <v>2.1000000000000001E-2</v>
      </c>
      <c r="E190" s="1">
        <v>1.41E-2</v>
      </c>
      <c r="F190">
        <f t="shared" si="41"/>
        <v>0</v>
      </c>
      <c r="G190">
        <f t="shared" si="42"/>
        <v>0</v>
      </c>
      <c r="H190">
        <f t="shared" si="27"/>
        <v>0</v>
      </c>
      <c r="I190">
        <v>1</v>
      </c>
      <c r="J190" t="e">
        <f t="shared" si="28"/>
        <v>#NUM!</v>
      </c>
      <c r="K190">
        <f t="shared" si="43"/>
        <v>-1.179910572976012</v>
      </c>
      <c r="L190">
        <v>1</v>
      </c>
      <c r="M190" t="e">
        <f t="shared" si="44"/>
        <v>#NUM!</v>
      </c>
      <c r="N190">
        <f t="shared" si="45"/>
        <v>0</v>
      </c>
      <c r="O190">
        <f t="shared" si="46"/>
        <v>0</v>
      </c>
      <c r="P190" t="e">
        <f t="shared" si="47"/>
        <v>#NUM!</v>
      </c>
      <c r="V190">
        <v>12.399999999999901</v>
      </c>
      <c r="W190">
        <f t="shared" si="34"/>
        <v>-0.94823999999999653</v>
      </c>
    </row>
    <row r="191" spans="3:23" x14ac:dyDescent="0.3">
      <c r="C191">
        <f t="shared" si="24"/>
        <v>0</v>
      </c>
      <c r="D191" s="1">
        <v>2.1000000000000001E-2</v>
      </c>
      <c r="E191" s="1">
        <v>1.41E-2</v>
      </c>
      <c r="F191">
        <f t="shared" si="41"/>
        <v>0</v>
      </c>
      <c r="G191">
        <f t="shared" si="42"/>
        <v>0</v>
      </c>
      <c r="H191">
        <f t="shared" si="27"/>
        <v>0</v>
      </c>
      <c r="I191">
        <v>1</v>
      </c>
      <c r="J191" t="e">
        <f t="shared" si="28"/>
        <v>#NUM!</v>
      </c>
      <c r="K191">
        <f t="shared" si="43"/>
        <v>-1.179910572976012</v>
      </c>
      <c r="L191">
        <v>1</v>
      </c>
      <c r="M191" t="e">
        <f t="shared" si="44"/>
        <v>#NUM!</v>
      </c>
      <c r="N191">
        <f t="shared" si="45"/>
        <v>0</v>
      </c>
      <c r="O191">
        <f t="shared" si="46"/>
        <v>0</v>
      </c>
      <c r="P191" t="e">
        <f t="shared" si="47"/>
        <v>#NUM!</v>
      </c>
      <c r="V191">
        <v>12.499999999999901</v>
      </c>
      <c r="W191">
        <f t="shared" si="34"/>
        <v>-0.95174999999999654</v>
      </c>
    </row>
    <row r="192" spans="3:23" x14ac:dyDescent="0.3">
      <c r="C192">
        <f t="shared" si="24"/>
        <v>0</v>
      </c>
      <c r="D192" s="1">
        <v>2.1000000000000001E-2</v>
      </c>
      <c r="E192" s="1">
        <v>1.41E-2</v>
      </c>
      <c r="F192">
        <f t="shared" si="41"/>
        <v>0</v>
      </c>
      <c r="G192">
        <f t="shared" si="42"/>
        <v>0</v>
      </c>
      <c r="H192">
        <f t="shared" si="27"/>
        <v>0</v>
      </c>
      <c r="I192">
        <v>1</v>
      </c>
      <c r="J192" t="e">
        <f t="shared" si="28"/>
        <v>#NUM!</v>
      </c>
      <c r="K192">
        <f t="shared" si="43"/>
        <v>-1.179910572976012</v>
      </c>
      <c r="L192">
        <v>1</v>
      </c>
      <c r="M192" t="e">
        <f t="shared" si="44"/>
        <v>#NUM!</v>
      </c>
      <c r="N192">
        <f t="shared" si="45"/>
        <v>0</v>
      </c>
      <c r="O192">
        <f t="shared" si="46"/>
        <v>0</v>
      </c>
      <c r="P192" t="e">
        <f t="shared" si="47"/>
        <v>#NUM!</v>
      </c>
      <c r="V192">
        <v>12.5999999999999</v>
      </c>
      <c r="W192">
        <f t="shared" si="34"/>
        <v>-0.95525999999999645</v>
      </c>
    </row>
    <row r="193" spans="3:23" x14ac:dyDescent="0.3">
      <c r="C193">
        <f t="shared" si="24"/>
        <v>0</v>
      </c>
      <c r="D193" s="1">
        <v>2.1000000000000001E-2</v>
      </c>
      <c r="E193" s="1">
        <v>1.41E-2</v>
      </c>
      <c r="F193">
        <f t="shared" si="41"/>
        <v>0</v>
      </c>
      <c r="G193">
        <f t="shared" si="42"/>
        <v>0</v>
      </c>
      <c r="H193">
        <f t="shared" si="27"/>
        <v>0</v>
      </c>
      <c r="I193">
        <v>1</v>
      </c>
      <c r="J193" t="e">
        <f t="shared" si="28"/>
        <v>#NUM!</v>
      </c>
      <c r="K193">
        <f t="shared" si="43"/>
        <v>-1.179910572976012</v>
      </c>
      <c r="L193">
        <v>1</v>
      </c>
      <c r="M193" t="e">
        <f t="shared" si="44"/>
        <v>#NUM!</v>
      </c>
      <c r="N193">
        <f t="shared" si="45"/>
        <v>0</v>
      </c>
      <c r="O193">
        <f t="shared" si="46"/>
        <v>0</v>
      </c>
      <c r="P193" t="e">
        <f t="shared" si="47"/>
        <v>#NUM!</v>
      </c>
      <c r="V193">
        <v>12.6999999999999</v>
      </c>
      <c r="W193">
        <f t="shared" si="34"/>
        <v>-0.95876999999999646</v>
      </c>
    </row>
    <row r="194" spans="3:23" x14ac:dyDescent="0.3">
      <c r="C194">
        <f t="shared" si="24"/>
        <v>0</v>
      </c>
      <c r="D194" s="1">
        <v>2.1000000000000001E-2</v>
      </c>
      <c r="E194" s="1">
        <v>1.41E-2</v>
      </c>
      <c r="F194">
        <f t="shared" si="41"/>
        <v>0</v>
      </c>
      <c r="G194">
        <f t="shared" si="42"/>
        <v>0</v>
      </c>
      <c r="H194">
        <f t="shared" si="27"/>
        <v>0</v>
      </c>
      <c r="I194">
        <v>1</v>
      </c>
      <c r="J194" t="e">
        <f t="shared" si="28"/>
        <v>#NUM!</v>
      </c>
      <c r="K194">
        <f t="shared" si="43"/>
        <v>-1.179910572976012</v>
      </c>
      <c r="L194">
        <v>1</v>
      </c>
      <c r="M194" t="e">
        <f t="shared" si="44"/>
        <v>#NUM!</v>
      </c>
      <c r="N194">
        <f t="shared" si="45"/>
        <v>0</v>
      </c>
      <c r="O194">
        <f t="shared" si="46"/>
        <v>0</v>
      </c>
      <c r="P194" t="e">
        <f t="shared" si="47"/>
        <v>#NUM!</v>
      </c>
      <c r="V194">
        <v>12.799999999999899</v>
      </c>
      <c r="W194">
        <f t="shared" si="34"/>
        <v>-0.96227999999999647</v>
      </c>
    </row>
    <row r="195" spans="3:23" x14ac:dyDescent="0.3">
      <c r="C195">
        <f t="shared" si="24"/>
        <v>0</v>
      </c>
      <c r="D195" s="1">
        <v>2.1000000000000001E-2</v>
      </c>
      <c r="E195" s="1">
        <v>1.41E-2</v>
      </c>
      <c r="F195">
        <f t="shared" si="41"/>
        <v>0</v>
      </c>
      <c r="G195">
        <f t="shared" si="42"/>
        <v>0</v>
      </c>
      <c r="H195">
        <f t="shared" si="27"/>
        <v>0</v>
      </c>
      <c r="I195">
        <v>1</v>
      </c>
      <c r="J195" t="e">
        <f t="shared" si="28"/>
        <v>#NUM!</v>
      </c>
      <c r="K195">
        <f t="shared" si="43"/>
        <v>-1.179910572976012</v>
      </c>
      <c r="L195">
        <v>1</v>
      </c>
      <c r="M195" t="e">
        <f t="shared" si="44"/>
        <v>#NUM!</v>
      </c>
      <c r="N195">
        <f t="shared" si="45"/>
        <v>0</v>
      </c>
      <c r="O195">
        <f t="shared" si="46"/>
        <v>0</v>
      </c>
      <c r="P195" t="e">
        <f t="shared" si="47"/>
        <v>#NUM!</v>
      </c>
      <c r="V195">
        <v>12.899999999999901</v>
      </c>
      <c r="W195">
        <f t="shared" si="34"/>
        <v>-0.9657899999999966</v>
      </c>
    </row>
    <row r="196" spans="3:23" x14ac:dyDescent="0.3">
      <c r="C196">
        <f t="shared" si="24"/>
        <v>0</v>
      </c>
      <c r="D196" s="1">
        <v>2.1000000000000001E-2</v>
      </c>
      <c r="E196" s="1">
        <v>1.41E-2</v>
      </c>
      <c r="F196">
        <f t="shared" si="41"/>
        <v>0</v>
      </c>
      <c r="G196">
        <f t="shared" si="42"/>
        <v>0</v>
      </c>
      <c r="H196">
        <f t="shared" si="27"/>
        <v>0</v>
      </c>
      <c r="I196">
        <v>1</v>
      </c>
      <c r="J196" t="e">
        <f t="shared" si="28"/>
        <v>#NUM!</v>
      </c>
      <c r="K196">
        <f t="shared" si="43"/>
        <v>-1.179910572976012</v>
      </c>
      <c r="L196">
        <v>1</v>
      </c>
      <c r="M196" t="e">
        <f t="shared" si="44"/>
        <v>#NUM!</v>
      </c>
      <c r="N196">
        <f t="shared" si="45"/>
        <v>0</v>
      </c>
      <c r="O196">
        <f t="shared" si="46"/>
        <v>0</v>
      </c>
      <c r="P196" t="e">
        <f t="shared" si="47"/>
        <v>#NUM!</v>
      </c>
      <c r="V196">
        <v>12.999999999999901</v>
      </c>
      <c r="W196">
        <f t="shared" si="34"/>
        <v>-0.9692999999999965</v>
      </c>
    </row>
    <row r="197" spans="3:23" x14ac:dyDescent="0.3">
      <c r="C197">
        <f t="shared" ref="C197:C211" si="48">A197*B197</f>
        <v>0</v>
      </c>
      <c r="D197" s="1">
        <v>2.1000000000000001E-2</v>
      </c>
      <c r="E197" s="1">
        <v>1.41E-2</v>
      </c>
      <c r="F197">
        <f t="shared" si="41"/>
        <v>0</v>
      </c>
      <c r="G197">
        <f t="shared" si="42"/>
        <v>0</v>
      </c>
      <c r="H197">
        <f t="shared" ref="H197:H211" si="49">-C197*200</f>
        <v>0</v>
      </c>
      <c r="I197">
        <v>1</v>
      </c>
      <c r="J197" t="e">
        <f t="shared" ref="J197:J260" si="50">LN(F197/1000)</f>
        <v>#NUM!</v>
      </c>
      <c r="K197">
        <f t="shared" si="43"/>
        <v>-1.179910572976012</v>
      </c>
      <c r="L197">
        <v>1</v>
      </c>
      <c r="M197" t="e">
        <f t="shared" si="44"/>
        <v>#NUM!</v>
      </c>
      <c r="N197">
        <f t="shared" si="45"/>
        <v>0</v>
      </c>
      <c r="O197">
        <f t="shared" si="46"/>
        <v>0</v>
      </c>
      <c r="P197" t="e">
        <f t="shared" si="47"/>
        <v>#NUM!</v>
      </c>
      <c r="V197">
        <v>13.0999999999999</v>
      </c>
      <c r="W197">
        <f t="shared" si="34"/>
        <v>-0.97280999999999651</v>
      </c>
    </row>
    <row r="198" spans="3:23" x14ac:dyDescent="0.3">
      <c r="C198">
        <f t="shared" si="48"/>
        <v>0</v>
      </c>
      <c r="D198" s="1">
        <v>2.1000000000000001E-2</v>
      </c>
      <c r="E198" s="1">
        <v>1.41E-2</v>
      </c>
      <c r="F198">
        <f t="shared" si="41"/>
        <v>0</v>
      </c>
      <c r="G198">
        <f t="shared" si="42"/>
        <v>0</v>
      </c>
      <c r="H198">
        <f t="shared" si="49"/>
        <v>0</v>
      </c>
      <c r="I198">
        <v>1</v>
      </c>
      <c r="J198" t="e">
        <f t="shared" si="50"/>
        <v>#NUM!</v>
      </c>
      <c r="K198">
        <f t="shared" si="43"/>
        <v>-1.179910572976012</v>
      </c>
      <c r="L198">
        <v>1</v>
      </c>
      <c r="M198" t="e">
        <f t="shared" si="44"/>
        <v>#NUM!</v>
      </c>
      <c r="N198">
        <f t="shared" si="45"/>
        <v>0</v>
      </c>
      <c r="O198">
        <f t="shared" si="46"/>
        <v>0</v>
      </c>
      <c r="P198" t="e">
        <f t="shared" si="47"/>
        <v>#NUM!</v>
      </c>
      <c r="V198">
        <v>13.1999999999999</v>
      </c>
      <c r="W198">
        <f t="shared" si="34"/>
        <v>-0.97631999999999652</v>
      </c>
    </row>
    <row r="199" spans="3:23" x14ac:dyDescent="0.3">
      <c r="C199">
        <f t="shared" si="48"/>
        <v>0</v>
      </c>
      <c r="D199" s="1">
        <v>2.1000000000000001E-2</v>
      </c>
      <c r="E199" s="1">
        <v>1.41E-2</v>
      </c>
      <c r="F199">
        <f t="shared" si="41"/>
        <v>0</v>
      </c>
      <c r="G199">
        <f t="shared" si="42"/>
        <v>0</v>
      </c>
      <c r="H199">
        <f t="shared" si="49"/>
        <v>0</v>
      </c>
      <c r="I199">
        <v>1</v>
      </c>
      <c r="J199" t="e">
        <f t="shared" si="50"/>
        <v>#NUM!</v>
      </c>
      <c r="K199">
        <f t="shared" si="43"/>
        <v>-1.179910572976012</v>
      </c>
      <c r="L199">
        <v>1</v>
      </c>
      <c r="M199" t="e">
        <f t="shared" si="44"/>
        <v>#NUM!</v>
      </c>
      <c r="N199">
        <f t="shared" si="45"/>
        <v>0</v>
      </c>
      <c r="O199">
        <f t="shared" si="46"/>
        <v>0</v>
      </c>
      <c r="P199" t="e">
        <f t="shared" si="47"/>
        <v>#NUM!</v>
      </c>
      <c r="V199">
        <v>13.299999999999899</v>
      </c>
      <c r="W199">
        <f t="shared" ref="W199:W262" si="51">V199*$S$5+$S$4</f>
        <v>-0.97982999999999643</v>
      </c>
    </row>
    <row r="200" spans="3:23" x14ac:dyDescent="0.3">
      <c r="C200">
        <f t="shared" si="48"/>
        <v>0</v>
      </c>
      <c r="D200" s="1">
        <v>2.1000000000000001E-2</v>
      </c>
      <c r="E200" s="1">
        <v>1.41E-2</v>
      </c>
      <c r="F200">
        <f t="shared" si="41"/>
        <v>0</v>
      </c>
      <c r="G200">
        <f t="shared" si="42"/>
        <v>0</v>
      </c>
      <c r="H200">
        <f t="shared" si="49"/>
        <v>0</v>
      </c>
      <c r="I200">
        <v>1</v>
      </c>
      <c r="J200" t="e">
        <f t="shared" si="50"/>
        <v>#NUM!</v>
      </c>
      <c r="K200">
        <f t="shared" si="43"/>
        <v>-1.179910572976012</v>
      </c>
      <c r="L200">
        <v>1</v>
      </c>
      <c r="M200" t="e">
        <f t="shared" si="44"/>
        <v>#NUM!</v>
      </c>
      <c r="N200">
        <f t="shared" si="45"/>
        <v>0</v>
      </c>
      <c r="O200">
        <f t="shared" si="46"/>
        <v>0</v>
      </c>
      <c r="P200" t="e">
        <f t="shared" si="47"/>
        <v>#NUM!</v>
      </c>
      <c r="V200">
        <v>13.399999999999901</v>
      </c>
      <c r="W200">
        <f t="shared" si="51"/>
        <v>-0.98333999999999655</v>
      </c>
    </row>
    <row r="201" spans="3:23" x14ac:dyDescent="0.3">
      <c r="C201">
        <f t="shared" si="48"/>
        <v>0</v>
      </c>
      <c r="D201" s="1">
        <v>2.1000000000000001E-2</v>
      </c>
      <c r="E201" s="1">
        <v>1.41E-2</v>
      </c>
      <c r="F201">
        <f t="shared" si="41"/>
        <v>0</v>
      </c>
      <c r="G201">
        <f t="shared" si="42"/>
        <v>0</v>
      </c>
      <c r="H201">
        <f t="shared" si="49"/>
        <v>0</v>
      </c>
      <c r="I201">
        <v>1</v>
      </c>
      <c r="J201" t="e">
        <f t="shared" si="50"/>
        <v>#NUM!</v>
      </c>
      <c r="K201">
        <f t="shared" si="43"/>
        <v>-1.179910572976012</v>
      </c>
      <c r="L201">
        <v>1</v>
      </c>
      <c r="M201" t="e">
        <f t="shared" si="44"/>
        <v>#NUM!</v>
      </c>
      <c r="N201">
        <f t="shared" si="45"/>
        <v>0</v>
      </c>
      <c r="O201">
        <f t="shared" si="46"/>
        <v>0</v>
      </c>
      <c r="P201" t="e">
        <f t="shared" si="47"/>
        <v>#NUM!</v>
      </c>
      <c r="V201">
        <v>13.499999999999901</v>
      </c>
      <c r="W201">
        <f t="shared" si="51"/>
        <v>-0.98684999999999645</v>
      </c>
    </row>
    <row r="202" spans="3:23" x14ac:dyDescent="0.3">
      <c r="C202">
        <f t="shared" si="48"/>
        <v>0</v>
      </c>
      <c r="D202" s="1">
        <v>2.1000000000000001E-2</v>
      </c>
      <c r="E202" s="1">
        <v>1.41E-2</v>
      </c>
      <c r="F202">
        <f t="shared" si="41"/>
        <v>0</v>
      </c>
      <c r="G202">
        <f t="shared" si="42"/>
        <v>0</v>
      </c>
      <c r="H202">
        <f t="shared" si="49"/>
        <v>0</v>
      </c>
      <c r="I202">
        <v>1</v>
      </c>
      <c r="J202" t="e">
        <f t="shared" si="50"/>
        <v>#NUM!</v>
      </c>
      <c r="K202">
        <f t="shared" si="43"/>
        <v>-1.179910572976012</v>
      </c>
      <c r="L202">
        <v>1</v>
      </c>
      <c r="M202" t="e">
        <f t="shared" si="44"/>
        <v>#NUM!</v>
      </c>
      <c r="N202">
        <f t="shared" si="45"/>
        <v>0</v>
      </c>
      <c r="O202">
        <f t="shared" si="46"/>
        <v>0</v>
      </c>
      <c r="P202" t="e">
        <f t="shared" si="47"/>
        <v>#NUM!</v>
      </c>
      <c r="V202">
        <v>13.5999999999999</v>
      </c>
      <c r="W202">
        <f t="shared" si="51"/>
        <v>-0.99035999999999658</v>
      </c>
    </row>
    <row r="203" spans="3:23" x14ac:dyDescent="0.3">
      <c r="C203">
        <f t="shared" si="48"/>
        <v>0</v>
      </c>
      <c r="D203" s="1">
        <v>2.1000000000000001E-2</v>
      </c>
      <c r="E203" s="1">
        <v>1.41E-2</v>
      </c>
      <c r="F203">
        <f t="shared" si="41"/>
        <v>0</v>
      </c>
      <c r="G203">
        <f t="shared" si="42"/>
        <v>0</v>
      </c>
      <c r="H203">
        <f t="shared" si="49"/>
        <v>0</v>
      </c>
      <c r="I203">
        <v>1</v>
      </c>
      <c r="J203" t="e">
        <f t="shared" si="50"/>
        <v>#NUM!</v>
      </c>
      <c r="K203">
        <f t="shared" si="43"/>
        <v>-1.179910572976012</v>
      </c>
      <c r="L203">
        <v>1</v>
      </c>
      <c r="M203" t="e">
        <f t="shared" si="44"/>
        <v>#NUM!</v>
      </c>
      <c r="N203">
        <f t="shared" si="45"/>
        <v>0</v>
      </c>
      <c r="O203">
        <f t="shared" si="46"/>
        <v>0</v>
      </c>
      <c r="P203" t="e">
        <f t="shared" si="47"/>
        <v>#NUM!</v>
      </c>
      <c r="V203">
        <v>13.6999999999999</v>
      </c>
      <c r="W203">
        <f t="shared" si="51"/>
        <v>-0.99386999999999648</v>
      </c>
    </row>
    <row r="204" spans="3:23" x14ac:dyDescent="0.3">
      <c r="C204">
        <f t="shared" si="48"/>
        <v>0</v>
      </c>
      <c r="D204" s="1">
        <v>2.1000000000000001E-2</v>
      </c>
      <c r="E204" s="1">
        <v>1.41E-2</v>
      </c>
      <c r="F204">
        <f t="shared" si="41"/>
        <v>0</v>
      </c>
      <c r="G204">
        <f t="shared" si="42"/>
        <v>0</v>
      </c>
      <c r="H204">
        <f t="shared" si="49"/>
        <v>0</v>
      </c>
      <c r="I204">
        <v>1</v>
      </c>
      <c r="J204" t="e">
        <f t="shared" si="50"/>
        <v>#NUM!</v>
      </c>
      <c r="K204">
        <f t="shared" si="43"/>
        <v>-1.179910572976012</v>
      </c>
      <c r="L204">
        <v>1</v>
      </c>
      <c r="M204" t="e">
        <f t="shared" si="44"/>
        <v>#NUM!</v>
      </c>
      <c r="N204">
        <f t="shared" si="45"/>
        <v>0</v>
      </c>
      <c r="O204">
        <f t="shared" si="46"/>
        <v>0</v>
      </c>
      <c r="P204" t="e">
        <f t="shared" si="47"/>
        <v>#NUM!</v>
      </c>
      <c r="V204">
        <v>13.799999999999899</v>
      </c>
      <c r="W204">
        <f t="shared" si="51"/>
        <v>-0.99737999999999649</v>
      </c>
    </row>
    <row r="205" spans="3:23" x14ac:dyDescent="0.3">
      <c r="C205">
        <f t="shared" si="48"/>
        <v>0</v>
      </c>
      <c r="D205" s="1">
        <v>2.1000000000000001E-2</v>
      </c>
      <c r="E205" s="1">
        <v>1.41E-2</v>
      </c>
      <c r="F205">
        <f t="shared" si="41"/>
        <v>0</v>
      </c>
      <c r="G205">
        <f t="shared" si="42"/>
        <v>0</v>
      </c>
      <c r="H205">
        <f t="shared" si="49"/>
        <v>0</v>
      </c>
      <c r="I205">
        <v>1</v>
      </c>
      <c r="J205" t="e">
        <f t="shared" si="50"/>
        <v>#NUM!</v>
      </c>
      <c r="K205">
        <f t="shared" si="43"/>
        <v>-1.179910572976012</v>
      </c>
      <c r="L205">
        <v>1</v>
      </c>
      <c r="M205" t="e">
        <f t="shared" si="44"/>
        <v>#NUM!</v>
      </c>
      <c r="N205">
        <f t="shared" si="45"/>
        <v>0</v>
      </c>
      <c r="O205">
        <f t="shared" si="46"/>
        <v>0</v>
      </c>
      <c r="P205" t="e">
        <f t="shared" si="47"/>
        <v>#NUM!</v>
      </c>
      <c r="V205">
        <v>13.899999999999901</v>
      </c>
      <c r="W205">
        <f t="shared" si="51"/>
        <v>-1.0008899999999965</v>
      </c>
    </row>
    <row r="206" spans="3:23" x14ac:dyDescent="0.3">
      <c r="C206">
        <f t="shared" si="48"/>
        <v>0</v>
      </c>
      <c r="D206" s="1">
        <v>2.1000000000000001E-2</v>
      </c>
      <c r="E206" s="1">
        <v>1.41E-2</v>
      </c>
      <c r="F206">
        <f t="shared" si="41"/>
        <v>0</v>
      </c>
      <c r="G206">
        <f t="shared" si="42"/>
        <v>0</v>
      </c>
      <c r="H206">
        <f t="shared" si="49"/>
        <v>0</v>
      </c>
      <c r="I206">
        <v>1</v>
      </c>
      <c r="J206" t="e">
        <f t="shared" si="50"/>
        <v>#NUM!</v>
      </c>
      <c r="K206">
        <f t="shared" si="43"/>
        <v>-1.179910572976012</v>
      </c>
      <c r="L206">
        <v>1</v>
      </c>
      <c r="M206" t="e">
        <f t="shared" si="44"/>
        <v>#NUM!</v>
      </c>
      <c r="N206">
        <f t="shared" si="45"/>
        <v>0</v>
      </c>
      <c r="O206">
        <f t="shared" si="46"/>
        <v>0</v>
      </c>
      <c r="P206" t="e">
        <f t="shared" si="47"/>
        <v>#NUM!</v>
      </c>
      <c r="V206">
        <v>13.999999999999901</v>
      </c>
      <c r="W206">
        <f t="shared" si="51"/>
        <v>-1.0043999999999964</v>
      </c>
    </row>
    <row r="207" spans="3:23" x14ac:dyDescent="0.3">
      <c r="C207">
        <f t="shared" si="48"/>
        <v>0</v>
      </c>
      <c r="D207" s="1">
        <v>2.1000000000000001E-2</v>
      </c>
      <c r="E207" s="1">
        <v>1.41E-2</v>
      </c>
      <c r="F207">
        <f t="shared" si="41"/>
        <v>0</v>
      </c>
      <c r="G207">
        <f t="shared" si="42"/>
        <v>0</v>
      </c>
      <c r="H207">
        <f t="shared" si="49"/>
        <v>0</v>
      </c>
      <c r="I207">
        <v>1</v>
      </c>
      <c r="J207" t="e">
        <f t="shared" si="50"/>
        <v>#NUM!</v>
      </c>
      <c r="K207">
        <f t="shared" si="43"/>
        <v>-1.179910572976012</v>
      </c>
      <c r="L207">
        <v>1</v>
      </c>
      <c r="M207" t="e">
        <f t="shared" si="44"/>
        <v>#NUM!</v>
      </c>
      <c r="N207">
        <f t="shared" si="45"/>
        <v>0</v>
      </c>
      <c r="O207">
        <f t="shared" si="46"/>
        <v>0</v>
      </c>
      <c r="P207" t="e">
        <f t="shared" si="47"/>
        <v>#NUM!</v>
      </c>
      <c r="V207">
        <v>14.0999999999999</v>
      </c>
      <c r="W207">
        <f t="shared" si="51"/>
        <v>-1.0079099999999965</v>
      </c>
    </row>
    <row r="208" spans="3:23" x14ac:dyDescent="0.3">
      <c r="C208">
        <f t="shared" si="48"/>
        <v>0</v>
      </c>
      <c r="D208" s="1">
        <v>2.1000000000000001E-2</v>
      </c>
      <c r="E208" s="1">
        <v>1.41E-2</v>
      </c>
      <c r="F208">
        <f t="shared" si="41"/>
        <v>0</v>
      </c>
      <c r="G208">
        <f t="shared" si="42"/>
        <v>0</v>
      </c>
      <c r="H208">
        <f t="shared" si="49"/>
        <v>0</v>
      </c>
      <c r="I208">
        <v>1</v>
      </c>
      <c r="J208" t="e">
        <f t="shared" si="50"/>
        <v>#NUM!</v>
      </c>
      <c r="K208">
        <f t="shared" si="43"/>
        <v>-1.179910572976012</v>
      </c>
      <c r="L208">
        <v>1</v>
      </c>
      <c r="M208" t="e">
        <f t="shared" si="44"/>
        <v>#NUM!</v>
      </c>
      <c r="N208">
        <f t="shared" si="45"/>
        <v>0</v>
      </c>
      <c r="O208">
        <f t="shared" si="46"/>
        <v>0</v>
      </c>
      <c r="P208" t="e">
        <f t="shared" si="47"/>
        <v>#NUM!</v>
      </c>
      <c r="V208">
        <v>14.1999999999999</v>
      </c>
      <c r="W208">
        <f t="shared" si="51"/>
        <v>-1.0114199999999964</v>
      </c>
    </row>
    <row r="209" spans="3:23" x14ac:dyDescent="0.3">
      <c r="C209">
        <f t="shared" si="48"/>
        <v>0</v>
      </c>
      <c r="D209" s="1">
        <v>2.1000000000000001E-2</v>
      </c>
      <c r="E209" s="1">
        <v>1.41E-2</v>
      </c>
      <c r="F209">
        <f t="shared" si="41"/>
        <v>0</v>
      </c>
      <c r="G209">
        <f t="shared" si="42"/>
        <v>0</v>
      </c>
      <c r="H209">
        <f t="shared" si="49"/>
        <v>0</v>
      </c>
      <c r="I209">
        <v>1</v>
      </c>
      <c r="J209" t="e">
        <f t="shared" si="50"/>
        <v>#NUM!</v>
      </c>
      <c r="K209">
        <f t="shared" si="43"/>
        <v>-1.179910572976012</v>
      </c>
      <c r="L209">
        <v>1</v>
      </c>
      <c r="M209" t="e">
        <f t="shared" si="44"/>
        <v>#NUM!</v>
      </c>
      <c r="N209">
        <f t="shared" si="45"/>
        <v>0</v>
      </c>
      <c r="O209">
        <f t="shared" si="46"/>
        <v>0</v>
      </c>
      <c r="P209" t="e">
        <f t="shared" si="47"/>
        <v>#NUM!</v>
      </c>
      <c r="V209">
        <v>14.299999999999899</v>
      </c>
      <c r="W209">
        <f t="shared" si="51"/>
        <v>-1.0149299999999966</v>
      </c>
    </row>
    <row r="210" spans="3:23" x14ac:dyDescent="0.3">
      <c r="C210">
        <f t="shared" si="48"/>
        <v>0</v>
      </c>
      <c r="D210" s="1">
        <v>2.1000000000000001E-2</v>
      </c>
      <c r="E210" s="1">
        <v>1.41E-2</v>
      </c>
      <c r="F210">
        <f t="shared" si="41"/>
        <v>0</v>
      </c>
      <c r="G210">
        <f t="shared" si="42"/>
        <v>0</v>
      </c>
      <c r="H210">
        <f t="shared" si="49"/>
        <v>0</v>
      </c>
      <c r="I210">
        <v>1</v>
      </c>
      <c r="J210" t="e">
        <f t="shared" si="50"/>
        <v>#NUM!</v>
      </c>
      <c r="K210">
        <f t="shared" si="43"/>
        <v>-1.179910572976012</v>
      </c>
      <c r="L210">
        <v>1</v>
      </c>
      <c r="M210" t="e">
        <f t="shared" si="44"/>
        <v>#NUM!</v>
      </c>
      <c r="N210">
        <f t="shared" si="45"/>
        <v>0</v>
      </c>
      <c r="O210">
        <f t="shared" si="46"/>
        <v>0</v>
      </c>
      <c r="P210" t="e">
        <f t="shared" si="47"/>
        <v>#NUM!</v>
      </c>
      <c r="V210">
        <v>14.399999999999901</v>
      </c>
      <c r="W210">
        <f t="shared" si="51"/>
        <v>-1.0184399999999965</v>
      </c>
    </row>
    <row r="211" spans="3:23" x14ac:dyDescent="0.3">
      <c r="C211">
        <f t="shared" si="48"/>
        <v>0</v>
      </c>
      <c r="D211" s="1">
        <v>2.1000000000000001E-2</v>
      </c>
      <c r="E211" s="1">
        <v>1.41E-2</v>
      </c>
      <c r="F211">
        <f t="shared" si="41"/>
        <v>0</v>
      </c>
      <c r="G211">
        <f t="shared" si="42"/>
        <v>0</v>
      </c>
      <c r="H211">
        <f t="shared" si="49"/>
        <v>0</v>
      </c>
      <c r="I211">
        <v>1</v>
      </c>
      <c r="J211" t="e">
        <f t="shared" si="50"/>
        <v>#NUM!</v>
      </c>
      <c r="K211">
        <f t="shared" si="43"/>
        <v>-1.179910572976012</v>
      </c>
      <c r="L211">
        <v>1</v>
      </c>
      <c r="M211" t="e">
        <f t="shared" si="44"/>
        <v>#NUM!</v>
      </c>
      <c r="N211">
        <f t="shared" si="45"/>
        <v>0</v>
      </c>
      <c r="O211">
        <f t="shared" si="46"/>
        <v>0</v>
      </c>
      <c r="P211" t="e">
        <f t="shared" si="47"/>
        <v>#NUM!</v>
      </c>
      <c r="V211">
        <v>14.499999999999901</v>
      </c>
      <c r="W211">
        <f t="shared" si="51"/>
        <v>-1.0219499999999964</v>
      </c>
    </row>
    <row r="212" spans="3:23" x14ac:dyDescent="0.3">
      <c r="C212">
        <f t="shared" ref="C212:C275" si="52">A212*B212</f>
        <v>0</v>
      </c>
      <c r="D212" s="1">
        <v>2.1000000000000001E-2</v>
      </c>
      <c r="E212" s="1">
        <v>1.41E-2</v>
      </c>
      <c r="F212">
        <f t="shared" ref="F212:F275" si="53">A212*200</f>
        <v>0</v>
      </c>
      <c r="G212">
        <f t="shared" ref="G212:G275" si="54">-B212</f>
        <v>0</v>
      </c>
      <c r="H212">
        <f t="shared" ref="H212:H275" si="55">-C212*200</f>
        <v>0</v>
      </c>
      <c r="I212">
        <v>1</v>
      </c>
      <c r="J212" t="e">
        <f t="shared" si="50"/>
        <v>#NUM!</v>
      </c>
      <c r="K212">
        <f t="shared" ref="K212:K275" si="56">((-G212)-$N$2)</f>
        <v>-1.179910572976012</v>
      </c>
      <c r="L212">
        <v>1</v>
      </c>
      <c r="M212" t="e">
        <f t="shared" ref="M212:M275" si="57">-1*($S$4+($S$5*J212))</f>
        <v>#NUM!</v>
      </c>
      <c r="N212">
        <f t="shared" ref="N212:N275" si="58">D212*A212</f>
        <v>0</v>
      </c>
      <c r="O212">
        <f t="shared" ref="O212:O275" si="59">E212*A212</f>
        <v>0</v>
      </c>
      <c r="P212" t="e">
        <f t="shared" ref="P212:P275" si="60">-K212-M212-N212-O212</f>
        <v>#NUM!</v>
      </c>
      <c r="V212">
        <v>14.5999999999999</v>
      </c>
      <c r="W212">
        <f t="shared" si="51"/>
        <v>-1.0254599999999965</v>
      </c>
    </row>
    <row r="213" spans="3:23" x14ac:dyDescent="0.3">
      <c r="C213">
        <f t="shared" si="52"/>
        <v>0</v>
      </c>
      <c r="D213" s="1">
        <v>2.1000000000000001E-2</v>
      </c>
      <c r="E213" s="1">
        <v>1.41E-2</v>
      </c>
      <c r="F213">
        <f t="shared" si="53"/>
        <v>0</v>
      </c>
      <c r="G213">
        <f t="shared" si="54"/>
        <v>0</v>
      </c>
      <c r="H213">
        <f t="shared" si="55"/>
        <v>0</v>
      </c>
      <c r="I213">
        <v>1</v>
      </c>
      <c r="J213" t="e">
        <f t="shared" si="50"/>
        <v>#NUM!</v>
      </c>
      <c r="K213">
        <f t="shared" si="56"/>
        <v>-1.179910572976012</v>
      </c>
      <c r="L213">
        <v>1</v>
      </c>
      <c r="M213" t="e">
        <f t="shared" si="57"/>
        <v>#NUM!</v>
      </c>
      <c r="N213">
        <f t="shared" si="58"/>
        <v>0</v>
      </c>
      <c r="O213">
        <f t="shared" si="59"/>
        <v>0</v>
      </c>
      <c r="P213" t="e">
        <f t="shared" si="60"/>
        <v>#NUM!</v>
      </c>
      <c r="V213">
        <v>14.6999999999999</v>
      </c>
      <c r="W213">
        <f t="shared" si="51"/>
        <v>-1.0289699999999966</v>
      </c>
    </row>
    <row r="214" spans="3:23" x14ac:dyDescent="0.3">
      <c r="C214">
        <f t="shared" si="52"/>
        <v>0</v>
      </c>
      <c r="D214" s="1">
        <v>2.1000000000000001E-2</v>
      </c>
      <c r="E214" s="1">
        <v>1.41E-2</v>
      </c>
      <c r="F214">
        <f t="shared" si="53"/>
        <v>0</v>
      </c>
      <c r="G214">
        <f t="shared" si="54"/>
        <v>0</v>
      </c>
      <c r="H214">
        <f t="shared" si="55"/>
        <v>0</v>
      </c>
      <c r="I214">
        <v>1</v>
      </c>
      <c r="J214" t="e">
        <f t="shared" si="50"/>
        <v>#NUM!</v>
      </c>
      <c r="K214">
        <f t="shared" si="56"/>
        <v>-1.179910572976012</v>
      </c>
      <c r="L214">
        <v>1</v>
      </c>
      <c r="M214" t="e">
        <f t="shared" si="57"/>
        <v>#NUM!</v>
      </c>
      <c r="N214">
        <f t="shared" si="58"/>
        <v>0</v>
      </c>
      <c r="O214">
        <f t="shared" si="59"/>
        <v>0</v>
      </c>
      <c r="P214" t="e">
        <f t="shared" si="60"/>
        <v>#NUM!</v>
      </c>
      <c r="V214">
        <v>14.799999999999899</v>
      </c>
      <c r="W214">
        <f t="shared" si="51"/>
        <v>-1.0324799999999965</v>
      </c>
    </row>
    <row r="215" spans="3:23" x14ac:dyDescent="0.3">
      <c r="C215">
        <f t="shared" si="52"/>
        <v>0</v>
      </c>
      <c r="D215" s="1">
        <v>2.1000000000000001E-2</v>
      </c>
      <c r="E215" s="1">
        <v>1.41E-2</v>
      </c>
      <c r="F215">
        <f t="shared" si="53"/>
        <v>0</v>
      </c>
      <c r="G215">
        <f t="shared" si="54"/>
        <v>0</v>
      </c>
      <c r="H215">
        <f t="shared" si="55"/>
        <v>0</v>
      </c>
      <c r="I215">
        <v>1</v>
      </c>
      <c r="J215" t="e">
        <f t="shared" si="50"/>
        <v>#NUM!</v>
      </c>
      <c r="K215">
        <f t="shared" si="56"/>
        <v>-1.179910572976012</v>
      </c>
      <c r="L215">
        <v>1</v>
      </c>
      <c r="M215" t="e">
        <f t="shared" si="57"/>
        <v>#NUM!</v>
      </c>
      <c r="N215">
        <f t="shared" si="58"/>
        <v>0</v>
      </c>
      <c r="O215">
        <f t="shared" si="59"/>
        <v>0</v>
      </c>
      <c r="P215" t="e">
        <f t="shared" si="60"/>
        <v>#NUM!</v>
      </c>
      <c r="V215">
        <v>14.899999999999901</v>
      </c>
      <c r="W215">
        <f t="shared" si="51"/>
        <v>-1.0359899999999964</v>
      </c>
    </row>
    <row r="216" spans="3:23" x14ac:dyDescent="0.3">
      <c r="C216">
        <f t="shared" si="52"/>
        <v>0</v>
      </c>
      <c r="D216" s="1">
        <v>2.1000000000000001E-2</v>
      </c>
      <c r="E216" s="1">
        <v>1.41E-2</v>
      </c>
      <c r="F216">
        <f t="shared" si="53"/>
        <v>0</v>
      </c>
      <c r="G216">
        <f t="shared" si="54"/>
        <v>0</v>
      </c>
      <c r="H216">
        <f t="shared" si="55"/>
        <v>0</v>
      </c>
      <c r="I216">
        <v>1</v>
      </c>
      <c r="J216" t="e">
        <f t="shared" si="50"/>
        <v>#NUM!</v>
      </c>
      <c r="K216">
        <f t="shared" si="56"/>
        <v>-1.179910572976012</v>
      </c>
      <c r="L216">
        <v>1</v>
      </c>
      <c r="M216" t="e">
        <f t="shared" si="57"/>
        <v>#NUM!</v>
      </c>
      <c r="N216">
        <f t="shared" si="58"/>
        <v>0</v>
      </c>
      <c r="O216">
        <f t="shared" si="59"/>
        <v>0</v>
      </c>
      <c r="P216" t="e">
        <f t="shared" si="60"/>
        <v>#NUM!</v>
      </c>
      <c r="V216">
        <v>14.999999999999901</v>
      </c>
      <c r="W216">
        <f t="shared" si="51"/>
        <v>-1.0394999999999965</v>
      </c>
    </row>
    <row r="217" spans="3:23" x14ac:dyDescent="0.3">
      <c r="C217">
        <f t="shared" si="52"/>
        <v>0</v>
      </c>
      <c r="D217" s="1">
        <v>2.1000000000000001E-2</v>
      </c>
      <c r="E217" s="1">
        <v>1.41E-2</v>
      </c>
      <c r="F217">
        <f t="shared" si="53"/>
        <v>0</v>
      </c>
      <c r="G217">
        <f t="shared" si="54"/>
        <v>0</v>
      </c>
      <c r="H217">
        <f t="shared" si="55"/>
        <v>0</v>
      </c>
      <c r="I217">
        <v>1</v>
      </c>
      <c r="J217" t="e">
        <f t="shared" si="50"/>
        <v>#NUM!</v>
      </c>
      <c r="K217">
        <f t="shared" si="56"/>
        <v>-1.179910572976012</v>
      </c>
      <c r="L217">
        <v>1</v>
      </c>
      <c r="M217" t="e">
        <f t="shared" si="57"/>
        <v>#NUM!</v>
      </c>
      <c r="N217">
        <f t="shared" si="58"/>
        <v>0</v>
      </c>
      <c r="O217">
        <f t="shared" si="59"/>
        <v>0</v>
      </c>
      <c r="P217" t="e">
        <f t="shared" si="60"/>
        <v>#NUM!</v>
      </c>
      <c r="V217">
        <v>15.0999999999999</v>
      </c>
      <c r="W217">
        <f t="shared" si="51"/>
        <v>-1.0430099999999967</v>
      </c>
    </row>
    <row r="218" spans="3:23" x14ac:dyDescent="0.3">
      <c r="C218">
        <f t="shared" si="52"/>
        <v>0</v>
      </c>
      <c r="D218" s="1">
        <v>2.1000000000000001E-2</v>
      </c>
      <c r="E218" s="1">
        <v>1.41E-2</v>
      </c>
      <c r="F218">
        <f t="shared" si="53"/>
        <v>0</v>
      </c>
      <c r="G218">
        <f t="shared" si="54"/>
        <v>0</v>
      </c>
      <c r="H218">
        <f t="shared" si="55"/>
        <v>0</v>
      </c>
      <c r="I218">
        <v>1</v>
      </c>
      <c r="J218" t="e">
        <f t="shared" si="50"/>
        <v>#NUM!</v>
      </c>
      <c r="K218">
        <f t="shared" si="56"/>
        <v>-1.179910572976012</v>
      </c>
      <c r="L218">
        <v>1</v>
      </c>
      <c r="M218" t="e">
        <f t="shared" si="57"/>
        <v>#NUM!</v>
      </c>
      <c r="N218">
        <f t="shared" si="58"/>
        <v>0</v>
      </c>
      <c r="O218">
        <f t="shared" si="59"/>
        <v>0</v>
      </c>
      <c r="P218" t="e">
        <f t="shared" si="60"/>
        <v>#NUM!</v>
      </c>
      <c r="V218">
        <v>15.1999999999999</v>
      </c>
      <c r="W218">
        <f t="shared" si="51"/>
        <v>-1.0465199999999966</v>
      </c>
    </row>
    <row r="219" spans="3:23" x14ac:dyDescent="0.3">
      <c r="C219">
        <f t="shared" si="52"/>
        <v>0</v>
      </c>
      <c r="D219" s="1">
        <v>2.1000000000000001E-2</v>
      </c>
      <c r="E219" s="1">
        <v>1.41E-2</v>
      </c>
      <c r="F219">
        <f t="shared" si="53"/>
        <v>0</v>
      </c>
      <c r="G219">
        <f t="shared" si="54"/>
        <v>0</v>
      </c>
      <c r="H219">
        <f t="shared" si="55"/>
        <v>0</v>
      </c>
      <c r="I219">
        <v>1</v>
      </c>
      <c r="J219" t="e">
        <f t="shared" si="50"/>
        <v>#NUM!</v>
      </c>
      <c r="K219">
        <f t="shared" si="56"/>
        <v>-1.179910572976012</v>
      </c>
      <c r="L219">
        <v>1</v>
      </c>
      <c r="M219" t="e">
        <f t="shared" si="57"/>
        <v>#NUM!</v>
      </c>
      <c r="N219">
        <f t="shared" si="58"/>
        <v>0</v>
      </c>
      <c r="O219">
        <f t="shared" si="59"/>
        <v>0</v>
      </c>
      <c r="P219" t="e">
        <f t="shared" si="60"/>
        <v>#NUM!</v>
      </c>
      <c r="V219">
        <v>15.299999999999899</v>
      </c>
      <c r="W219">
        <f t="shared" si="51"/>
        <v>-1.0500299999999965</v>
      </c>
    </row>
    <row r="220" spans="3:23" x14ac:dyDescent="0.3">
      <c r="C220">
        <f t="shared" si="52"/>
        <v>0</v>
      </c>
      <c r="D220" s="1">
        <v>2.1000000000000001E-2</v>
      </c>
      <c r="E220" s="1">
        <v>1.41E-2</v>
      </c>
      <c r="F220">
        <f t="shared" si="53"/>
        <v>0</v>
      </c>
      <c r="G220">
        <f t="shared" si="54"/>
        <v>0</v>
      </c>
      <c r="H220">
        <f t="shared" si="55"/>
        <v>0</v>
      </c>
      <c r="I220">
        <v>1</v>
      </c>
      <c r="J220" t="e">
        <f t="shared" si="50"/>
        <v>#NUM!</v>
      </c>
      <c r="K220">
        <f t="shared" si="56"/>
        <v>-1.179910572976012</v>
      </c>
      <c r="L220">
        <v>1</v>
      </c>
      <c r="M220" t="e">
        <f t="shared" si="57"/>
        <v>#NUM!</v>
      </c>
      <c r="N220">
        <f t="shared" si="58"/>
        <v>0</v>
      </c>
      <c r="O220">
        <f t="shared" si="59"/>
        <v>0</v>
      </c>
      <c r="P220" t="e">
        <f t="shared" si="60"/>
        <v>#NUM!</v>
      </c>
      <c r="V220">
        <v>15.399999999999901</v>
      </c>
      <c r="W220">
        <f t="shared" si="51"/>
        <v>-1.0535399999999964</v>
      </c>
    </row>
    <row r="221" spans="3:23" x14ac:dyDescent="0.3">
      <c r="C221">
        <f t="shared" si="52"/>
        <v>0</v>
      </c>
      <c r="D221" s="1">
        <v>2.1000000000000001E-2</v>
      </c>
      <c r="E221" s="1">
        <v>1.41E-2</v>
      </c>
      <c r="F221">
        <f t="shared" si="53"/>
        <v>0</v>
      </c>
      <c r="G221">
        <f t="shared" si="54"/>
        <v>0</v>
      </c>
      <c r="H221">
        <f t="shared" si="55"/>
        <v>0</v>
      </c>
      <c r="I221">
        <v>1</v>
      </c>
      <c r="J221" t="e">
        <f t="shared" si="50"/>
        <v>#NUM!</v>
      </c>
      <c r="K221">
        <f t="shared" si="56"/>
        <v>-1.179910572976012</v>
      </c>
      <c r="L221">
        <v>1</v>
      </c>
      <c r="M221" t="e">
        <f t="shared" si="57"/>
        <v>#NUM!</v>
      </c>
      <c r="N221">
        <f t="shared" si="58"/>
        <v>0</v>
      </c>
      <c r="O221">
        <f t="shared" si="59"/>
        <v>0</v>
      </c>
      <c r="P221" t="e">
        <f t="shared" si="60"/>
        <v>#NUM!</v>
      </c>
      <c r="V221">
        <v>15.499999999999901</v>
      </c>
      <c r="W221">
        <f t="shared" si="51"/>
        <v>-1.0570499999999965</v>
      </c>
    </row>
    <row r="222" spans="3:23" x14ac:dyDescent="0.3">
      <c r="C222">
        <f t="shared" si="52"/>
        <v>0</v>
      </c>
      <c r="D222" s="1">
        <v>2.1000000000000001E-2</v>
      </c>
      <c r="E222" s="1">
        <v>1.41E-2</v>
      </c>
      <c r="F222">
        <f t="shared" si="53"/>
        <v>0</v>
      </c>
      <c r="G222">
        <f t="shared" si="54"/>
        <v>0</v>
      </c>
      <c r="H222">
        <f t="shared" si="55"/>
        <v>0</v>
      </c>
      <c r="I222">
        <v>1</v>
      </c>
      <c r="J222" t="e">
        <f t="shared" si="50"/>
        <v>#NUM!</v>
      </c>
      <c r="K222">
        <f t="shared" si="56"/>
        <v>-1.179910572976012</v>
      </c>
      <c r="L222">
        <v>1</v>
      </c>
      <c r="M222" t="e">
        <f t="shared" si="57"/>
        <v>#NUM!</v>
      </c>
      <c r="N222">
        <f t="shared" si="58"/>
        <v>0</v>
      </c>
      <c r="O222">
        <f t="shared" si="59"/>
        <v>0</v>
      </c>
      <c r="P222" t="e">
        <f t="shared" si="60"/>
        <v>#NUM!</v>
      </c>
      <c r="V222">
        <v>15.5999999999999</v>
      </c>
      <c r="W222">
        <f t="shared" si="51"/>
        <v>-1.0605599999999966</v>
      </c>
    </row>
    <row r="223" spans="3:23" x14ac:dyDescent="0.3">
      <c r="C223">
        <f t="shared" si="52"/>
        <v>0</v>
      </c>
      <c r="D223" s="1">
        <v>2.1000000000000001E-2</v>
      </c>
      <c r="E223" s="1">
        <v>1.41E-2</v>
      </c>
      <c r="F223">
        <f t="shared" si="53"/>
        <v>0</v>
      </c>
      <c r="G223">
        <f t="shared" si="54"/>
        <v>0</v>
      </c>
      <c r="H223">
        <f t="shared" si="55"/>
        <v>0</v>
      </c>
      <c r="I223">
        <v>1</v>
      </c>
      <c r="J223" t="e">
        <f t="shared" si="50"/>
        <v>#NUM!</v>
      </c>
      <c r="K223">
        <f t="shared" si="56"/>
        <v>-1.179910572976012</v>
      </c>
      <c r="L223">
        <v>1</v>
      </c>
      <c r="M223" t="e">
        <f t="shared" si="57"/>
        <v>#NUM!</v>
      </c>
      <c r="N223">
        <f t="shared" si="58"/>
        <v>0</v>
      </c>
      <c r="O223">
        <f t="shared" si="59"/>
        <v>0</v>
      </c>
      <c r="P223" t="e">
        <f t="shared" si="60"/>
        <v>#NUM!</v>
      </c>
      <c r="V223">
        <v>15.6999999999999</v>
      </c>
      <c r="W223">
        <f t="shared" si="51"/>
        <v>-1.0640699999999965</v>
      </c>
    </row>
    <row r="224" spans="3:23" x14ac:dyDescent="0.3">
      <c r="C224">
        <f t="shared" si="52"/>
        <v>0</v>
      </c>
      <c r="D224" s="1">
        <v>2.1000000000000001E-2</v>
      </c>
      <c r="E224" s="1">
        <v>1.41E-2</v>
      </c>
      <c r="F224">
        <f t="shared" si="53"/>
        <v>0</v>
      </c>
      <c r="G224">
        <f t="shared" si="54"/>
        <v>0</v>
      </c>
      <c r="H224">
        <f t="shared" si="55"/>
        <v>0</v>
      </c>
      <c r="I224">
        <v>1</v>
      </c>
      <c r="J224" t="e">
        <f t="shared" si="50"/>
        <v>#NUM!</v>
      </c>
      <c r="K224">
        <f t="shared" si="56"/>
        <v>-1.179910572976012</v>
      </c>
      <c r="L224">
        <v>1</v>
      </c>
      <c r="M224" t="e">
        <f t="shared" si="57"/>
        <v>#NUM!</v>
      </c>
      <c r="N224">
        <f t="shared" si="58"/>
        <v>0</v>
      </c>
      <c r="O224">
        <f t="shared" si="59"/>
        <v>0</v>
      </c>
      <c r="P224" t="e">
        <f t="shared" si="60"/>
        <v>#NUM!</v>
      </c>
      <c r="V224">
        <v>15.799999999999899</v>
      </c>
      <c r="W224">
        <f t="shared" si="51"/>
        <v>-1.0675799999999964</v>
      </c>
    </row>
    <row r="225" spans="3:23" x14ac:dyDescent="0.3">
      <c r="C225">
        <f t="shared" si="52"/>
        <v>0</v>
      </c>
      <c r="D225" s="1">
        <v>2.1000000000000001E-2</v>
      </c>
      <c r="E225" s="1">
        <v>1.41E-2</v>
      </c>
      <c r="F225">
        <f t="shared" si="53"/>
        <v>0</v>
      </c>
      <c r="G225">
        <f t="shared" si="54"/>
        <v>0</v>
      </c>
      <c r="H225">
        <f t="shared" si="55"/>
        <v>0</v>
      </c>
      <c r="I225">
        <v>1</v>
      </c>
      <c r="J225" t="e">
        <f t="shared" si="50"/>
        <v>#NUM!</v>
      </c>
      <c r="K225">
        <f t="shared" si="56"/>
        <v>-1.179910572976012</v>
      </c>
      <c r="L225">
        <v>1</v>
      </c>
      <c r="M225" t="e">
        <f t="shared" si="57"/>
        <v>#NUM!</v>
      </c>
      <c r="N225">
        <f t="shared" si="58"/>
        <v>0</v>
      </c>
      <c r="O225">
        <f t="shared" si="59"/>
        <v>0</v>
      </c>
      <c r="P225" t="e">
        <f t="shared" si="60"/>
        <v>#NUM!</v>
      </c>
      <c r="R225" t="e">
        <f>O225+N225+M225</f>
        <v>#NUM!</v>
      </c>
      <c r="V225">
        <v>15.899999999999901</v>
      </c>
      <c r="W225">
        <f t="shared" si="51"/>
        <v>-1.0710899999999965</v>
      </c>
    </row>
    <row r="226" spans="3:23" x14ac:dyDescent="0.3">
      <c r="C226">
        <f t="shared" si="52"/>
        <v>0</v>
      </c>
      <c r="D226" s="1">
        <v>2.1000000000000001E-2</v>
      </c>
      <c r="E226" s="1">
        <v>1.41E-2</v>
      </c>
      <c r="F226">
        <f t="shared" si="53"/>
        <v>0</v>
      </c>
      <c r="G226">
        <f t="shared" si="54"/>
        <v>0</v>
      </c>
      <c r="H226">
        <f t="shared" si="55"/>
        <v>0</v>
      </c>
      <c r="I226">
        <v>1</v>
      </c>
      <c r="J226" t="e">
        <f t="shared" si="50"/>
        <v>#NUM!</v>
      </c>
      <c r="K226">
        <f t="shared" si="56"/>
        <v>-1.179910572976012</v>
      </c>
      <c r="L226">
        <v>1</v>
      </c>
      <c r="M226" t="e">
        <f t="shared" si="57"/>
        <v>#NUM!</v>
      </c>
      <c r="N226">
        <f t="shared" si="58"/>
        <v>0</v>
      </c>
      <c r="O226">
        <f t="shared" si="59"/>
        <v>0</v>
      </c>
      <c r="P226" t="e">
        <f t="shared" si="60"/>
        <v>#NUM!</v>
      </c>
      <c r="V226">
        <v>15.999999999999901</v>
      </c>
      <c r="W226">
        <f t="shared" si="51"/>
        <v>-1.0745999999999967</v>
      </c>
    </row>
    <row r="227" spans="3:23" x14ac:dyDescent="0.3">
      <c r="C227">
        <f t="shared" si="52"/>
        <v>0</v>
      </c>
      <c r="D227" s="1">
        <v>2.1000000000000001E-2</v>
      </c>
      <c r="E227" s="1">
        <v>1.41E-2</v>
      </c>
      <c r="F227">
        <f t="shared" si="53"/>
        <v>0</v>
      </c>
      <c r="G227">
        <f t="shared" si="54"/>
        <v>0</v>
      </c>
      <c r="H227">
        <f t="shared" si="55"/>
        <v>0</v>
      </c>
      <c r="I227">
        <v>1</v>
      </c>
      <c r="J227" t="e">
        <f t="shared" si="50"/>
        <v>#NUM!</v>
      </c>
      <c r="K227">
        <f t="shared" si="56"/>
        <v>-1.179910572976012</v>
      </c>
      <c r="L227">
        <v>1</v>
      </c>
      <c r="M227" t="e">
        <f t="shared" si="57"/>
        <v>#NUM!</v>
      </c>
      <c r="N227">
        <f t="shared" si="58"/>
        <v>0</v>
      </c>
      <c r="O227">
        <f t="shared" si="59"/>
        <v>0</v>
      </c>
      <c r="P227" t="e">
        <f t="shared" si="60"/>
        <v>#NUM!</v>
      </c>
      <c r="V227">
        <v>16.099999999999898</v>
      </c>
      <c r="W227">
        <f t="shared" si="51"/>
        <v>-1.0781099999999966</v>
      </c>
    </row>
    <row r="228" spans="3:23" x14ac:dyDescent="0.3">
      <c r="C228">
        <f t="shared" si="52"/>
        <v>0</v>
      </c>
      <c r="D228" s="1">
        <v>2.1000000000000001E-2</v>
      </c>
      <c r="E228" s="1">
        <v>1.41E-2</v>
      </c>
      <c r="F228">
        <f t="shared" si="53"/>
        <v>0</v>
      </c>
      <c r="G228">
        <f t="shared" si="54"/>
        <v>0</v>
      </c>
      <c r="H228">
        <f t="shared" si="55"/>
        <v>0</v>
      </c>
      <c r="I228">
        <v>1</v>
      </c>
      <c r="J228" t="e">
        <f t="shared" si="50"/>
        <v>#NUM!</v>
      </c>
      <c r="K228">
        <f t="shared" si="56"/>
        <v>-1.179910572976012</v>
      </c>
      <c r="L228">
        <v>1</v>
      </c>
      <c r="M228" t="e">
        <f t="shared" si="57"/>
        <v>#NUM!</v>
      </c>
      <c r="N228">
        <f t="shared" si="58"/>
        <v>0</v>
      </c>
      <c r="O228">
        <f t="shared" si="59"/>
        <v>0</v>
      </c>
      <c r="P228" t="e">
        <f t="shared" si="60"/>
        <v>#NUM!</v>
      </c>
      <c r="V228">
        <v>16.1999999999999</v>
      </c>
      <c r="W228">
        <f t="shared" si="51"/>
        <v>-1.0816199999999965</v>
      </c>
    </row>
    <row r="229" spans="3:23" x14ac:dyDescent="0.3">
      <c r="C229">
        <f t="shared" si="52"/>
        <v>0</v>
      </c>
      <c r="D229" s="1">
        <v>2.1000000000000001E-2</v>
      </c>
      <c r="E229" s="1">
        <v>1.41E-2</v>
      </c>
      <c r="F229">
        <f t="shared" si="53"/>
        <v>0</v>
      </c>
      <c r="G229">
        <f t="shared" si="54"/>
        <v>0</v>
      </c>
      <c r="H229">
        <f t="shared" si="55"/>
        <v>0</v>
      </c>
      <c r="I229">
        <v>1</v>
      </c>
      <c r="J229" t="e">
        <f t="shared" si="50"/>
        <v>#NUM!</v>
      </c>
      <c r="K229">
        <f t="shared" si="56"/>
        <v>-1.179910572976012</v>
      </c>
      <c r="L229">
        <v>1</v>
      </c>
      <c r="M229" t="e">
        <f t="shared" si="57"/>
        <v>#NUM!</v>
      </c>
      <c r="N229">
        <f t="shared" si="58"/>
        <v>0</v>
      </c>
      <c r="O229">
        <f t="shared" si="59"/>
        <v>0</v>
      </c>
      <c r="P229" t="e">
        <f t="shared" si="60"/>
        <v>#NUM!</v>
      </c>
      <c r="V229">
        <v>16.299999999999901</v>
      </c>
      <c r="W229">
        <f t="shared" si="51"/>
        <v>-1.0851299999999964</v>
      </c>
    </row>
    <row r="230" spans="3:23" x14ac:dyDescent="0.3">
      <c r="C230">
        <f t="shared" si="52"/>
        <v>0</v>
      </c>
      <c r="D230" s="1">
        <v>2.1000000000000001E-2</v>
      </c>
      <c r="E230" s="1">
        <v>1.41E-2</v>
      </c>
      <c r="F230">
        <f t="shared" si="53"/>
        <v>0</v>
      </c>
      <c r="G230">
        <f t="shared" si="54"/>
        <v>0</v>
      </c>
      <c r="H230">
        <f t="shared" si="55"/>
        <v>0</v>
      </c>
      <c r="I230">
        <v>1</v>
      </c>
      <c r="J230" t="e">
        <f t="shared" si="50"/>
        <v>#NUM!</v>
      </c>
      <c r="K230">
        <f t="shared" si="56"/>
        <v>-1.179910572976012</v>
      </c>
      <c r="L230">
        <v>1</v>
      </c>
      <c r="M230" t="e">
        <f t="shared" si="57"/>
        <v>#NUM!</v>
      </c>
      <c r="N230">
        <f t="shared" si="58"/>
        <v>0</v>
      </c>
      <c r="O230">
        <f t="shared" si="59"/>
        <v>0</v>
      </c>
      <c r="P230" t="e">
        <f t="shared" si="60"/>
        <v>#NUM!</v>
      </c>
      <c r="V230">
        <v>16.399999999999899</v>
      </c>
      <c r="W230">
        <f t="shared" si="51"/>
        <v>-1.0886399999999965</v>
      </c>
    </row>
    <row r="231" spans="3:23" x14ac:dyDescent="0.3">
      <c r="C231">
        <f t="shared" si="52"/>
        <v>0</v>
      </c>
      <c r="D231" s="1">
        <v>2.1000000000000001E-2</v>
      </c>
      <c r="E231" s="1">
        <v>1.41E-2</v>
      </c>
      <c r="F231">
        <f t="shared" si="53"/>
        <v>0</v>
      </c>
      <c r="G231">
        <f t="shared" si="54"/>
        <v>0</v>
      </c>
      <c r="H231">
        <f t="shared" si="55"/>
        <v>0</v>
      </c>
      <c r="I231">
        <v>1</v>
      </c>
      <c r="J231" t="e">
        <f t="shared" si="50"/>
        <v>#NUM!</v>
      </c>
      <c r="K231">
        <f t="shared" si="56"/>
        <v>-1.179910572976012</v>
      </c>
      <c r="L231">
        <v>1</v>
      </c>
      <c r="M231" t="e">
        <f t="shared" si="57"/>
        <v>#NUM!</v>
      </c>
      <c r="N231">
        <f t="shared" si="58"/>
        <v>0</v>
      </c>
      <c r="O231">
        <f t="shared" si="59"/>
        <v>0</v>
      </c>
      <c r="P231" t="e">
        <f t="shared" si="60"/>
        <v>#NUM!</v>
      </c>
      <c r="V231">
        <v>16.499999999999901</v>
      </c>
      <c r="W231">
        <f t="shared" si="51"/>
        <v>-1.0921499999999966</v>
      </c>
    </row>
    <row r="232" spans="3:23" x14ac:dyDescent="0.3">
      <c r="C232">
        <f t="shared" si="52"/>
        <v>0</v>
      </c>
      <c r="D232" s="1">
        <v>2.1000000000000001E-2</v>
      </c>
      <c r="E232" s="1">
        <v>1.41E-2</v>
      </c>
      <c r="F232">
        <f t="shared" si="53"/>
        <v>0</v>
      </c>
      <c r="G232">
        <f t="shared" si="54"/>
        <v>0</v>
      </c>
      <c r="H232">
        <f t="shared" si="55"/>
        <v>0</v>
      </c>
      <c r="I232">
        <v>1</v>
      </c>
      <c r="J232" t="e">
        <f t="shared" si="50"/>
        <v>#NUM!</v>
      </c>
      <c r="K232">
        <f t="shared" si="56"/>
        <v>-1.179910572976012</v>
      </c>
      <c r="L232">
        <v>1</v>
      </c>
      <c r="M232" t="e">
        <f t="shared" si="57"/>
        <v>#NUM!</v>
      </c>
      <c r="N232">
        <f t="shared" si="58"/>
        <v>0</v>
      </c>
      <c r="O232">
        <f t="shared" si="59"/>
        <v>0</v>
      </c>
      <c r="P232" t="e">
        <f t="shared" si="60"/>
        <v>#NUM!</v>
      </c>
      <c r="V232">
        <v>16.599999999999898</v>
      </c>
      <c r="W232">
        <f t="shared" si="51"/>
        <v>-1.0956599999999965</v>
      </c>
    </row>
    <row r="233" spans="3:23" x14ac:dyDescent="0.3">
      <c r="C233">
        <f t="shared" si="52"/>
        <v>0</v>
      </c>
      <c r="D233" s="1">
        <v>2.1000000000000001E-2</v>
      </c>
      <c r="E233" s="1">
        <v>1.41E-2</v>
      </c>
      <c r="F233">
        <f t="shared" si="53"/>
        <v>0</v>
      </c>
      <c r="G233">
        <f t="shared" si="54"/>
        <v>0</v>
      </c>
      <c r="H233">
        <f t="shared" si="55"/>
        <v>0</v>
      </c>
      <c r="I233">
        <v>1</v>
      </c>
      <c r="J233" t="e">
        <f t="shared" si="50"/>
        <v>#NUM!</v>
      </c>
      <c r="K233">
        <f t="shared" si="56"/>
        <v>-1.179910572976012</v>
      </c>
      <c r="L233">
        <v>1</v>
      </c>
      <c r="M233" t="e">
        <f t="shared" si="57"/>
        <v>#NUM!</v>
      </c>
      <c r="N233">
        <f t="shared" si="58"/>
        <v>0</v>
      </c>
      <c r="O233">
        <f t="shared" si="59"/>
        <v>0</v>
      </c>
      <c r="P233" t="e">
        <f t="shared" si="60"/>
        <v>#NUM!</v>
      </c>
      <c r="V233">
        <v>16.6999999999999</v>
      </c>
      <c r="W233">
        <f t="shared" si="51"/>
        <v>-1.0991699999999964</v>
      </c>
    </row>
    <row r="234" spans="3:23" x14ac:dyDescent="0.3">
      <c r="C234">
        <f t="shared" si="52"/>
        <v>0</v>
      </c>
      <c r="D234" s="1">
        <v>2.1000000000000001E-2</v>
      </c>
      <c r="E234" s="1">
        <v>1.41E-2</v>
      </c>
      <c r="F234">
        <f t="shared" si="53"/>
        <v>0</v>
      </c>
      <c r="G234">
        <f t="shared" si="54"/>
        <v>0</v>
      </c>
      <c r="H234">
        <f t="shared" si="55"/>
        <v>0</v>
      </c>
      <c r="I234">
        <v>1</v>
      </c>
      <c r="J234" t="e">
        <f t="shared" si="50"/>
        <v>#NUM!</v>
      </c>
      <c r="K234">
        <f t="shared" si="56"/>
        <v>-1.179910572976012</v>
      </c>
      <c r="L234">
        <v>1</v>
      </c>
      <c r="M234" t="e">
        <f t="shared" si="57"/>
        <v>#NUM!</v>
      </c>
      <c r="N234">
        <f t="shared" si="58"/>
        <v>0</v>
      </c>
      <c r="O234">
        <f t="shared" si="59"/>
        <v>0</v>
      </c>
      <c r="P234" t="e">
        <f t="shared" si="60"/>
        <v>#NUM!</v>
      </c>
      <c r="V234">
        <v>16.799999999999901</v>
      </c>
      <c r="W234">
        <f t="shared" si="51"/>
        <v>-1.1026799999999966</v>
      </c>
    </row>
    <row r="235" spans="3:23" x14ac:dyDescent="0.3">
      <c r="C235">
        <f t="shared" si="52"/>
        <v>0</v>
      </c>
      <c r="D235" s="1">
        <v>2.1000000000000001E-2</v>
      </c>
      <c r="E235" s="1">
        <v>1.41E-2</v>
      </c>
      <c r="F235">
        <f t="shared" si="53"/>
        <v>0</v>
      </c>
      <c r="G235">
        <f t="shared" si="54"/>
        <v>0</v>
      </c>
      <c r="H235">
        <f t="shared" si="55"/>
        <v>0</v>
      </c>
      <c r="I235">
        <v>1</v>
      </c>
      <c r="J235" t="e">
        <f t="shared" si="50"/>
        <v>#NUM!</v>
      </c>
      <c r="K235">
        <f t="shared" si="56"/>
        <v>-1.179910572976012</v>
      </c>
      <c r="L235">
        <v>1</v>
      </c>
      <c r="M235" t="e">
        <f t="shared" si="57"/>
        <v>#NUM!</v>
      </c>
      <c r="N235">
        <f t="shared" si="58"/>
        <v>0</v>
      </c>
      <c r="O235">
        <f t="shared" si="59"/>
        <v>0</v>
      </c>
      <c r="P235" t="e">
        <f t="shared" si="60"/>
        <v>#NUM!</v>
      </c>
      <c r="V235">
        <v>16.899999999999899</v>
      </c>
      <c r="W235">
        <f t="shared" si="51"/>
        <v>-1.1061899999999965</v>
      </c>
    </row>
    <row r="236" spans="3:23" x14ac:dyDescent="0.3">
      <c r="C236">
        <f t="shared" si="52"/>
        <v>0</v>
      </c>
      <c r="D236" s="1">
        <v>2.1000000000000001E-2</v>
      </c>
      <c r="E236" s="1">
        <v>1.41E-2</v>
      </c>
      <c r="F236">
        <f t="shared" si="53"/>
        <v>0</v>
      </c>
      <c r="G236">
        <f t="shared" si="54"/>
        <v>0</v>
      </c>
      <c r="H236">
        <f t="shared" si="55"/>
        <v>0</v>
      </c>
      <c r="I236">
        <v>1</v>
      </c>
      <c r="J236" t="e">
        <f t="shared" si="50"/>
        <v>#NUM!</v>
      </c>
      <c r="K236">
        <f t="shared" si="56"/>
        <v>-1.179910572976012</v>
      </c>
      <c r="L236">
        <v>1</v>
      </c>
      <c r="M236" t="e">
        <f t="shared" si="57"/>
        <v>#NUM!</v>
      </c>
      <c r="N236">
        <f t="shared" si="58"/>
        <v>0</v>
      </c>
      <c r="O236">
        <f t="shared" si="59"/>
        <v>0</v>
      </c>
      <c r="P236" t="e">
        <f t="shared" si="60"/>
        <v>#NUM!</v>
      </c>
      <c r="V236">
        <v>16.999999999999901</v>
      </c>
      <c r="W236">
        <f t="shared" si="51"/>
        <v>-1.1096999999999966</v>
      </c>
    </row>
    <row r="237" spans="3:23" x14ac:dyDescent="0.3">
      <c r="C237">
        <f t="shared" si="52"/>
        <v>0</v>
      </c>
      <c r="D237" s="1">
        <v>2.1000000000000001E-2</v>
      </c>
      <c r="E237" s="1">
        <v>1.41E-2</v>
      </c>
      <c r="F237">
        <f t="shared" si="53"/>
        <v>0</v>
      </c>
      <c r="G237">
        <f t="shared" si="54"/>
        <v>0</v>
      </c>
      <c r="H237">
        <f t="shared" si="55"/>
        <v>0</v>
      </c>
      <c r="I237">
        <v>1</v>
      </c>
      <c r="J237" t="e">
        <f t="shared" si="50"/>
        <v>#NUM!</v>
      </c>
      <c r="K237">
        <f t="shared" si="56"/>
        <v>-1.179910572976012</v>
      </c>
      <c r="L237">
        <v>1</v>
      </c>
      <c r="M237" t="e">
        <f t="shared" si="57"/>
        <v>#NUM!</v>
      </c>
      <c r="N237">
        <f t="shared" si="58"/>
        <v>0</v>
      </c>
      <c r="O237">
        <f t="shared" si="59"/>
        <v>0</v>
      </c>
      <c r="P237" t="e">
        <f t="shared" si="60"/>
        <v>#NUM!</v>
      </c>
      <c r="V237">
        <v>17.099999999999898</v>
      </c>
      <c r="W237">
        <f t="shared" si="51"/>
        <v>-1.1132099999999965</v>
      </c>
    </row>
    <row r="238" spans="3:23" x14ac:dyDescent="0.3">
      <c r="C238">
        <f t="shared" si="52"/>
        <v>0</v>
      </c>
      <c r="D238" s="1">
        <v>2.1000000000000001E-2</v>
      </c>
      <c r="E238" s="1">
        <v>1.41E-2</v>
      </c>
      <c r="F238">
        <f t="shared" si="53"/>
        <v>0</v>
      </c>
      <c r="G238">
        <f t="shared" si="54"/>
        <v>0</v>
      </c>
      <c r="H238">
        <f t="shared" si="55"/>
        <v>0</v>
      </c>
      <c r="I238">
        <v>1</v>
      </c>
      <c r="J238" t="e">
        <f t="shared" si="50"/>
        <v>#NUM!</v>
      </c>
      <c r="K238">
        <f t="shared" si="56"/>
        <v>-1.179910572976012</v>
      </c>
      <c r="L238">
        <v>1</v>
      </c>
      <c r="M238" t="e">
        <f t="shared" si="57"/>
        <v>#NUM!</v>
      </c>
      <c r="N238">
        <f t="shared" si="58"/>
        <v>0</v>
      </c>
      <c r="O238">
        <f t="shared" si="59"/>
        <v>0</v>
      </c>
      <c r="P238" t="e">
        <f t="shared" si="60"/>
        <v>#NUM!</v>
      </c>
      <c r="V238">
        <v>17.1999999999999</v>
      </c>
      <c r="W238">
        <f t="shared" si="51"/>
        <v>-1.1167199999999964</v>
      </c>
    </row>
    <row r="239" spans="3:23" x14ac:dyDescent="0.3">
      <c r="C239">
        <f t="shared" si="52"/>
        <v>0</v>
      </c>
      <c r="D239" s="1">
        <v>2.1000000000000001E-2</v>
      </c>
      <c r="E239" s="1">
        <v>1.41E-2</v>
      </c>
      <c r="F239">
        <f t="shared" si="53"/>
        <v>0</v>
      </c>
      <c r="G239">
        <f t="shared" si="54"/>
        <v>0</v>
      </c>
      <c r="H239">
        <f t="shared" si="55"/>
        <v>0</v>
      </c>
      <c r="I239">
        <v>1</v>
      </c>
      <c r="J239" t="e">
        <f t="shared" si="50"/>
        <v>#NUM!</v>
      </c>
      <c r="K239">
        <f t="shared" si="56"/>
        <v>-1.179910572976012</v>
      </c>
      <c r="L239">
        <v>1</v>
      </c>
      <c r="M239" t="e">
        <f t="shared" si="57"/>
        <v>#NUM!</v>
      </c>
      <c r="N239">
        <f t="shared" si="58"/>
        <v>0</v>
      </c>
      <c r="O239">
        <f t="shared" si="59"/>
        <v>0</v>
      </c>
      <c r="P239" t="e">
        <f t="shared" si="60"/>
        <v>#NUM!</v>
      </c>
      <c r="V239">
        <v>17.299999999999901</v>
      </c>
      <c r="W239">
        <f t="shared" si="51"/>
        <v>-1.1202299999999965</v>
      </c>
    </row>
    <row r="240" spans="3:23" x14ac:dyDescent="0.3">
      <c r="C240">
        <f t="shared" si="52"/>
        <v>0</v>
      </c>
      <c r="D240" s="1">
        <v>2.1000000000000001E-2</v>
      </c>
      <c r="E240" s="1">
        <v>1.41E-2</v>
      </c>
      <c r="F240">
        <f t="shared" si="53"/>
        <v>0</v>
      </c>
      <c r="G240">
        <f t="shared" si="54"/>
        <v>0</v>
      </c>
      <c r="H240">
        <f t="shared" si="55"/>
        <v>0</v>
      </c>
      <c r="I240">
        <v>1</v>
      </c>
      <c r="J240" t="e">
        <f t="shared" si="50"/>
        <v>#NUM!</v>
      </c>
      <c r="K240">
        <f t="shared" si="56"/>
        <v>-1.179910572976012</v>
      </c>
      <c r="L240">
        <v>1</v>
      </c>
      <c r="M240" t="e">
        <f t="shared" si="57"/>
        <v>#NUM!</v>
      </c>
      <c r="N240">
        <f t="shared" si="58"/>
        <v>0</v>
      </c>
      <c r="O240">
        <f t="shared" si="59"/>
        <v>0</v>
      </c>
      <c r="P240" t="e">
        <f t="shared" si="60"/>
        <v>#NUM!</v>
      </c>
      <c r="V240">
        <v>17.399999999999899</v>
      </c>
      <c r="W240">
        <f t="shared" si="51"/>
        <v>-1.1237399999999964</v>
      </c>
    </row>
    <row r="241" spans="3:23" x14ac:dyDescent="0.3">
      <c r="C241">
        <f t="shared" si="52"/>
        <v>0</v>
      </c>
      <c r="D241" s="1">
        <v>2.1000000000000001E-2</v>
      </c>
      <c r="E241" s="1">
        <v>1.41E-2</v>
      </c>
      <c r="F241">
        <f t="shared" si="53"/>
        <v>0</v>
      </c>
      <c r="G241">
        <f t="shared" si="54"/>
        <v>0</v>
      </c>
      <c r="H241">
        <f t="shared" si="55"/>
        <v>0</v>
      </c>
      <c r="I241">
        <v>1</v>
      </c>
      <c r="J241" t="e">
        <f t="shared" si="50"/>
        <v>#NUM!</v>
      </c>
      <c r="K241">
        <f t="shared" si="56"/>
        <v>-1.179910572976012</v>
      </c>
      <c r="L241">
        <v>1</v>
      </c>
      <c r="M241" t="e">
        <f t="shared" si="57"/>
        <v>#NUM!</v>
      </c>
      <c r="N241">
        <f t="shared" si="58"/>
        <v>0</v>
      </c>
      <c r="O241">
        <f t="shared" si="59"/>
        <v>0</v>
      </c>
      <c r="P241" t="e">
        <f t="shared" si="60"/>
        <v>#NUM!</v>
      </c>
      <c r="V241">
        <v>17.499999999999901</v>
      </c>
      <c r="W241">
        <f t="shared" si="51"/>
        <v>-1.1272499999999965</v>
      </c>
    </row>
    <row r="242" spans="3:23" x14ac:dyDescent="0.3">
      <c r="C242">
        <f t="shared" si="52"/>
        <v>0</v>
      </c>
      <c r="D242" s="1">
        <v>2.1000000000000001E-2</v>
      </c>
      <c r="E242" s="1">
        <v>1.41E-2</v>
      </c>
      <c r="F242">
        <f t="shared" si="53"/>
        <v>0</v>
      </c>
      <c r="G242">
        <f t="shared" si="54"/>
        <v>0</v>
      </c>
      <c r="H242">
        <f t="shared" si="55"/>
        <v>0</v>
      </c>
      <c r="I242">
        <v>1</v>
      </c>
      <c r="J242" t="e">
        <f t="shared" si="50"/>
        <v>#NUM!</v>
      </c>
      <c r="K242">
        <f t="shared" si="56"/>
        <v>-1.179910572976012</v>
      </c>
      <c r="L242">
        <v>1</v>
      </c>
      <c r="M242" t="e">
        <f t="shared" si="57"/>
        <v>#NUM!</v>
      </c>
      <c r="N242">
        <f t="shared" si="58"/>
        <v>0</v>
      </c>
      <c r="O242">
        <f t="shared" si="59"/>
        <v>0</v>
      </c>
      <c r="P242" t="e">
        <f t="shared" si="60"/>
        <v>#NUM!</v>
      </c>
      <c r="V242">
        <v>17.599999999999898</v>
      </c>
      <c r="W242">
        <f t="shared" si="51"/>
        <v>-1.1307599999999964</v>
      </c>
    </row>
    <row r="243" spans="3:23" x14ac:dyDescent="0.3">
      <c r="C243">
        <f t="shared" si="52"/>
        <v>0</v>
      </c>
      <c r="D243" s="1">
        <v>2.1000000000000001E-2</v>
      </c>
      <c r="E243" s="1">
        <v>1.41E-2</v>
      </c>
      <c r="F243">
        <f t="shared" si="53"/>
        <v>0</v>
      </c>
      <c r="G243">
        <f t="shared" si="54"/>
        <v>0</v>
      </c>
      <c r="H243">
        <f t="shared" si="55"/>
        <v>0</v>
      </c>
      <c r="I243">
        <v>1</v>
      </c>
      <c r="J243" t="e">
        <f t="shared" si="50"/>
        <v>#NUM!</v>
      </c>
      <c r="K243">
        <f t="shared" si="56"/>
        <v>-1.179910572976012</v>
      </c>
      <c r="L243">
        <v>1</v>
      </c>
      <c r="M243" t="e">
        <f t="shared" si="57"/>
        <v>#NUM!</v>
      </c>
      <c r="N243">
        <f t="shared" si="58"/>
        <v>0</v>
      </c>
      <c r="O243">
        <f t="shared" si="59"/>
        <v>0</v>
      </c>
      <c r="P243" t="e">
        <f t="shared" si="60"/>
        <v>#NUM!</v>
      </c>
      <c r="V243">
        <v>17.6999999999999</v>
      </c>
      <c r="W243">
        <f t="shared" si="51"/>
        <v>-1.1342699999999963</v>
      </c>
    </row>
    <row r="244" spans="3:23" x14ac:dyDescent="0.3">
      <c r="C244">
        <f t="shared" si="52"/>
        <v>0</v>
      </c>
      <c r="D244" s="1">
        <v>2.1000000000000001E-2</v>
      </c>
      <c r="E244" s="1">
        <v>1.41E-2</v>
      </c>
      <c r="F244">
        <f t="shared" si="53"/>
        <v>0</v>
      </c>
      <c r="G244">
        <f t="shared" si="54"/>
        <v>0</v>
      </c>
      <c r="H244">
        <f t="shared" si="55"/>
        <v>0</v>
      </c>
      <c r="I244">
        <v>1</v>
      </c>
      <c r="J244" t="e">
        <f t="shared" si="50"/>
        <v>#NUM!</v>
      </c>
      <c r="K244">
        <f t="shared" si="56"/>
        <v>-1.179910572976012</v>
      </c>
      <c r="L244">
        <v>1</v>
      </c>
      <c r="M244" t="e">
        <f t="shared" si="57"/>
        <v>#NUM!</v>
      </c>
      <c r="N244">
        <f t="shared" si="58"/>
        <v>0</v>
      </c>
      <c r="O244">
        <f t="shared" si="59"/>
        <v>0</v>
      </c>
      <c r="P244" t="e">
        <f t="shared" si="60"/>
        <v>#NUM!</v>
      </c>
      <c r="V244">
        <v>17.799999999999901</v>
      </c>
      <c r="W244">
        <f t="shared" si="51"/>
        <v>-1.1377799999999967</v>
      </c>
    </row>
    <row r="245" spans="3:23" x14ac:dyDescent="0.3">
      <c r="C245">
        <f t="shared" si="52"/>
        <v>0</v>
      </c>
      <c r="D245" s="1">
        <v>2.1000000000000001E-2</v>
      </c>
      <c r="E245" s="1">
        <v>1.41E-2</v>
      </c>
      <c r="F245">
        <f t="shared" si="53"/>
        <v>0</v>
      </c>
      <c r="G245">
        <f t="shared" si="54"/>
        <v>0</v>
      </c>
      <c r="H245">
        <f t="shared" si="55"/>
        <v>0</v>
      </c>
      <c r="I245">
        <v>1</v>
      </c>
      <c r="J245" t="e">
        <f t="shared" si="50"/>
        <v>#NUM!</v>
      </c>
      <c r="K245">
        <f t="shared" si="56"/>
        <v>-1.179910572976012</v>
      </c>
      <c r="L245">
        <v>1</v>
      </c>
      <c r="M245" t="e">
        <f t="shared" si="57"/>
        <v>#NUM!</v>
      </c>
      <c r="N245">
        <f t="shared" si="58"/>
        <v>0</v>
      </c>
      <c r="O245">
        <f t="shared" si="59"/>
        <v>0</v>
      </c>
      <c r="P245" t="e">
        <f t="shared" si="60"/>
        <v>#NUM!</v>
      </c>
      <c r="V245">
        <v>17.899999999999899</v>
      </c>
      <c r="W245">
        <f t="shared" si="51"/>
        <v>-1.1412899999999966</v>
      </c>
    </row>
    <row r="246" spans="3:23" x14ac:dyDescent="0.3">
      <c r="C246">
        <f t="shared" si="52"/>
        <v>0</v>
      </c>
      <c r="D246" s="1">
        <v>2.1000000000000001E-2</v>
      </c>
      <c r="E246" s="1">
        <v>1.41E-2</v>
      </c>
      <c r="F246">
        <f t="shared" si="53"/>
        <v>0</v>
      </c>
      <c r="G246">
        <f t="shared" si="54"/>
        <v>0</v>
      </c>
      <c r="H246">
        <f t="shared" si="55"/>
        <v>0</v>
      </c>
      <c r="I246">
        <v>1</v>
      </c>
      <c r="J246" t="e">
        <f t="shared" si="50"/>
        <v>#NUM!</v>
      </c>
      <c r="K246">
        <f t="shared" si="56"/>
        <v>-1.179910572976012</v>
      </c>
      <c r="L246">
        <v>1</v>
      </c>
      <c r="M246" t="e">
        <f t="shared" si="57"/>
        <v>#NUM!</v>
      </c>
      <c r="N246">
        <f t="shared" si="58"/>
        <v>0</v>
      </c>
      <c r="O246">
        <f t="shared" si="59"/>
        <v>0</v>
      </c>
      <c r="P246" t="e">
        <f t="shared" si="60"/>
        <v>#NUM!</v>
      </c>
      <c r="V246">
        <v>17.999999999999901</v>
      </c>
      <c r="W246">
        <f t="shared" si="51"/>
        <v>-1.1447999999999965</v>
      </c>
    </row>
    <row r="247" spans="3:23" x14ac:dyDescent="0.3">
      <c r="C247">
        <f t="shared" si="52"/>
        <v>0</v>
      </c>
      <c r="D247" s="1">
        <v>2.1000000000000001E-2</v>
      </c>
      <c r="E247" s="1">
        <v>1.41E-2</v>
      </c>
      <c r="F247">
        <f t="shared" si="53"/>
        <v>0</v>
      </c>
      <c r="G247">
        <f t="shared" si="54"/>
        <v>0</v>
      </c>
      <c r="H247">
        <f t="shared" si="55"/>
        <v>0</v>
      </c>
      <c r="I247">
        <v>1</v>
      </c>
      <c r="J247" t="e">
        <f t="shared" si="50"/>
        <v>#NUM!</v>
      </c>
      <c r="K247">
        <f t="shared" si="56"/>
        <v>-1.179910572976012</v>
      </c>
      <c r="L247">
        <v>1</v>
      </c>
      <c r="M247" t="e">
        <f t="shared" si="57"/>
        <v>#NUM!</v>
      </c>
      <c r="N247">
        <f t="shared" si="58"/>
        <v>0</v>
      </c>
      <c r="O247">
        <f t="shared" si="59"/>
        <v>0</v>
      </c>
      <c r="P247" t="e">
        <f t="shared" si="60"/>
        <v>#NUM!</v>
      </c>
      <c r="V247">
        <v>18.099999999999898</v>
      </c>
      <c r="W247">
        <f t="shared" si="51"/>
        <v>-1.1483099999999964</v>
      </c>
    </row>
    <row r="248" spans="3:23" x14ac:dyDescent="0.3">
      <c r="C248">
        <f t="shared" si="52"/>
        <v>0</v>
      </c>
      <c r="D248" s="1">
        <v>2.1000000000000001E-2</v>
      </c>
      <c r="E248" s="1">
        <v>1.41E-2</v>
      </c>
      <c r="F248">
        <f t="shared" si="53"/>
        <v>0</v>
      </c>
      <c r="G248">
        <f t="shared" si="54"/>
        <v>0</v>
      </c>
      <c r="H248">
        <f t="shared" si="55"/>
        <v>0</v>
      </c>
      <c r="I248">
        <v>1</v>
      </c>
      <c r="J248" t="e">
        <f t="shared" si="50"/>
        <v>#NUM!</v>
      </c>
      <c r="K248">
        <f t="shared" si="56"/>
        <v>-1.179910572976012</v>
      </c>
      <c r="L248">
        <v>1</v>
      </c>
      <c r="M248" t="e">
        <f t="shared" si="57"/>
        <v>#NUM!</v>
      </c>
      <c r="N248">
        <f t="shared" si="58"/>
        <v>0</v>
      </c>
      <c r="O248">
        <f t="shared" si="59"/>
        <v>0</v>
      </c>
      <c r="P248" t="e">
        <f t="shared" si="60"/>
        <v>#NUM!</v>
      </c>
      <c r="V248">
        <v>18.1999999999999</v>
      </c>
      <c r="W248">
        <f t="shared" si="51"/>
        <v>-1.1518199999999965</v>
      </c>
    </row>
    <row r="249" spans="3:23" x14ac:dyDescent="0.3">
      <c r="C249">
        <f t="shared" si="52"/>
        <v>0</v>
      </c>
      <c r="D249" s="1">
        <v>2.1000000000000001E-2</v>
      </c>
      <c r="E249" s="1">
        <v>1.41E-2</v>
      </c>
      <c r="F249">
        <f t="shared" si="53"/>
        <v>0</v>
      </c>
      <c r="G249">
        <f t="shared" si="54"/>
        <v>0</v>
      </c>
      <c r="H249">
        <f t="shared" si="55"/>
        <v>0</v>
      </c>
      <c r="I249">
        <v>1</v>
      </c>
      <c r="J249" t="e">
        <f t="shared" si="50"/>
        <v>#NUM!</v>
      </c>
      <c r="K249">
        <f t="shared" si="56"/>
        <v>-1.179910572976012</v>
      </c>
      <c r="L249">
        <v>1</v>
      </c>
      <c r="M249" t="e">
        <f t="shared" si="57"/>
        <v>#NUM!</v>
      </c>
      <c r="N249">
        <f t="shared" si="58"/>
        <v>0</v>
      </c>
      <c r="O249">
        <f t="shared" si="59"/>
        <v>0</v>
      </c>
      <c r="P249" t="e">
        <f t="shared" si="60"/>
        <v>#NUM!</v>
      </c>
      <c r="V249">
        <v>18.299999999999901</v>
      </c>
      <c r="W249">
        <f t="shared" si="51"/>
        <v>-1.1553299999999966</v>
      </c>
    </row>
    <row r="250" spans="3:23" x14ac:dyDescent="0.3">
      <c r="C250">
        <f t="shared" si="52"/>
        <v>0</v>
      </c>
      <c r="D250" s="1">
        <v>2.1000000000000001E-2</v>
      </c>
      <c r="E250" s="1">
        <v>1.41E-2</v>
      </c>
      <c r="F250">
        <f t="shared" si="53"/>
        <v>0</v>
      </c>
      <c r="G250">
        <f t="shared" si="54"/>
        <v>0</v>
      </c>
      <c r="H250">
        <f t="shared" si="55"/>
        <v>0</v>
      </c>
      <c r="I250">
        <v>1</v>
      </c>
      <c r="J250" t="e">
        <f t="shared" si="50"/>
        <v>#NUM!</v>
      </c>
      <c r="K250">
        <f t="shared" si="56"/>
        <v>-1.179910572976012</v>
      </c>
      <c r="L250">
        <v>1</v>
      </c>
      <c r="M250" t="e">
        <f t="shared" si="57"/>
        <v>#NUM!</v>
      </c>
      <c r="N250">
        <f t="shared" si="58"/>
        <v>0</v>
      </c>
      <c r="O250">
        <f t="shared" si="59"/>
        <v>0</v>
      </c>
      <c r="P250" t="e">
        <f t="shared" si="60"/>
        <v>#NUM!</v>
      </c>
      <c r="V250">
        <v>18.399999999999899</v>
      </c>
      <c r="W250">
        <f t="shared" si="51"/>
        <v>-1.1588399999999965</v>
      </c>
    </row>
    <row r="251" spans="3:23" x14ac:dyDescent="0.3">
      <c r="C251">
        <f t="shared" si="52"/>
        <v>0</v>
      </c>
      <c r="D251" s="1">
        <v>2.1000000000000001E-2</v>
      </c>
      <c r="E251" s="1">
        <v>1.41E-2</v>
      </c>
      <c r="F251">
        <f t="shared" si="53"/>
        <v>0</v>
      </c>
      <c r="G251">
        <f t="shared" si="54"/>
        <v>0</v>
      </c>
      <c r="H251">
        <f t="shared" si="55"/>
        <v>0</v>
      </c>
      <c r="I251">
        <v>1</v>
      </c>
      <c r="J251" t="e">
        <f t="shared" si="50"/>
        <v>#NUM!</v>
      </c>
      <c r="K251">
        <f t="shared" si="56"/>
        <v>-1.179910572976012</v>
      </c>
      <c r="L251">
        <v>1</v>
      </c>
      <c r="M251" t="e">
        <f t="shared" si="57"/>
        <v>#NUM!</v>
      </c>
      <c r="N251">
        <f t="shared" si="58"/>
        <v>0</v>
      </c>
      <c r="O251">
        <f t="shared" si="59"/>
        <v>0</v>
      </c>
      <c r="P251" t="e">
        <f t="shared" si="60"/>
        <v>#NUM!</v>
      </c>
      <c r="V251">
        <v>18.499999999999901</v>
      </c>
      <c r="W251">
        <f t="shared" si="51"/>
        <v>-1.1623499999999964</v>
      </c>
    </row>
    <row r="252" spans="3:23" x14ac:dyDescent="0.3">
      <c r="C252">
        <f t="shared" si="52"/>
        <v>0</v>
      </c>
      <c r="D252" s="1">
        <v>2.1000000000000001E-2</v>
      </c>
      <c r="E252" s="1">
        <v>1.41E-2</v>
      </c>
      <c r="F252">
        <f t="shared" si="53"/>
        <v>0</v>
      </c>
      <c r="G252">
        <f t="shared" si="54"/>
        <v>0</v>
      </c>
      <c r="H252">
        <f t="shared" si="55"/>
        <v>0</v>
      </c>
      <c r="I252">
        <v>1</v>
      </c>
      <c r="J252" t="e">
        <f t="shared" si="50"/>
        <v>#NUM!</v>
      </c>
      <c r="K252">
        <f t="shared" si="56"/>
        <v>-1.179910572976012</v>
      </c>
      <c r="L252">
        <v>1</v>
      </c>
      <c r="M252" t="e">
        <f t="shared" si="57"/>
        <v>#NUM!</v>
      </c>
      <c r="N252">
        <f t="shared" si="58"/>
        <v>0</v>
      </c>
      <c r="O252">
        <f t="shared" si="59"/>
        <v>0</v>
      </c>
      <c r="P252" t="e">
        <f t="shared" si="60"/>
        <v>#NUM!</v>
      </c>
      <c r="V252">
        <v>18.599999999999898</v>
      </c>
      <c r="W252">
        <f t="shared" si="51"/>
        <v>-1.1658599999999963</v>
      </c>
    </row>
    <row r="253" spans="3:23" x14ac:dyDescent="0.3">
      <c r="C253">
        <f t="shared" si="52"/>
        <v>0</v>
      </c>
      <c r="D253" s="1">
        <v>2.1000000000000001E-2</v>
      </c>
      <c r="E253" s="1">
        <v>1.41E-2</v>
      </c>
      <c r="F253">
        <f t="shared" si="53"/>
        <v>0</v>
      </c>
      <c r="G253">
        <f t="shared" si="54"/>
        <v>0</v>
      </c>
      <c r="H253">
        <f t="shared" si="55"/>
        <v>0</v>
      </c>
      <c r="I253">
        <v>1</v>
      </c>
      <c r="J253" t="e">
        <f t="shared" si="50"/>
        <v>#NUM!</v>
      </c>
      <c r="K253">
        <f t="shared" si="56"/>
        <v>-1.179910572976012</v>
      </c>
      <c r="L253">
        <v>1</v>
      </c>
      <c r="M253" t="e">
        <f t="shared" si="57"/>
        <v>#NUM!</v>
      </c>
      <c r="N253">
        <f t="shared" si="58"/>
        <v>0</v>
      </c>
      <c r="O253">
        <f t="shared" si="59"/>
        <v>0</v>
      </c>
      <c r="P253" t="e">
        <f t="shared" si="60"/>
        <v>#NUM!</v>
      </c>
      <c r="V253">
        <v>18.6999999999999</v>
      </c>
      <c r="W253">
        <f t="shared" si="51"/>
        <v>-1.1693699999999965</v>
      </c>
    </row>
    <row r="254" spans="3:23" x14ac:dyDescent="0.3">
      <c r="C254">
        <f t="shared" si="52"/>
        <v>0</v>
      </c>
      <c r="D254" s="1">
        <v>2.1000000000000001E-2</v>
      </c>
      <c r="E254" s="1">
        <v>1.41E-2</v>
      </c>
      <c r="F254">
        <f t="shared" si="53"/>
        <v>0</v>
      </c>
      <c r="G254">
        <f t="shared" si="54"/>
        <v>0</v>
      </c>
      <c r="H254">
        <f t="shared" si="55"/>
        <v>0</v>
      </c>
      <c r="I254">
        <v>1</v>
      </c>
      <c r="J254" t="e">
        <f t="shared" si="50"/>
        <v>#NUM!</v>
      </c>
      <c r="K254">
        <f t="shared" si="56"/>
        <v>-1.179910572976012</v>
      </c>
      <c r="L254">
        <v>1</v>
      </c>
      <c r="M254" t="e">
        <f t="shared" si="57"/>
        <v>#NUM!</v>
      </c>
      <c r="N254">
        <f t="shared" si="58"/>
        <v>0</v>
      </c>
      <c r="O254">
        <f t="shared" si="59"/>
        <v>0</v>
      </c>
      <c r="P254" t="e">
        <f t="shared" si="60"/>
        <v>#NUM!</v>
      </c>
      <c r="V254">
        <v>18.799999999999901</v>
      </c>
      <c r="W254">
        <f t="shared" si="51"/>
        <v>-1.1728799999999966</v>
      </c>
    </row>
    <row r="255" spans="3:23" x14ac:dyDescent="0.3">
      <c r="C255">
        <f t="shared" si="52"/>
        <v>0</v>
      </c>
      <c r="D255" s="1">
        <v>2.1000000000000001E-2</v>
      </c>
      <c r="E255" s="1">
        <v>1.41E-2</v>
      </c>
      <c r="F255">
        <f t="shared" si="53"/>
        <v>0</v>
      </c>
      <c r="G255">
        <f t="shared" si="54"/>
        <v>0</v>
      </c>
      <c r="H255">
        <f t="shared" si="55"/>
        <v>0</v>
      </c>
      <c r="I255">
        <v>1</v>
      </c>
      <c r="J255" t="e">
        <f t="shared" si="50"/>
        <v>#NUM!</v>
      </c>
      <c r="K255">
        <f t="shared" si="56"/>
        <v>-1.179910572976012</v>
      </c>
      <c r="L255">
        <v>1</v>
      </c>
      <c r="M255" t="e">
        <f t="shared" si="57"/>
        <v>#NUM!</v>
      </c>
      <c r="N255">
        <f t="shared" si="58"/>
        <v>0</v>
      </c>
      <c r="O255">
        <f t="shared" si="59"/>
        <v>0</v>
      </c>
      <c r="P255" t="e">
        <f t="shared" si="60"/>
        <v>#NUM!</v>
      </c>
      <c r="V255">
        <v>18.899999999999899</v>
      </c>
      <c r="W255">
        <f t="shared" si="51"/>
        <v>-1.1763899999999965</v>
      </c>
    </row>
    <row r="256" spans="3:23" x14ac:dyDescent="0.3">
      <c r="C256">
        <f t="shared" si="52"/>
        <v>0</v>
      </c>
      <c r="D256" s="1">
        <v>2.1000000000000001E-2</v>
      </c>
      <c r="E256" s="1">
        <v>1.41E-2</v>
      </c>
      <c r="F256">
        <f t="shared" si="53"/>
        <v>0</v>
      </c>
      <c r="G256">
        <f t="shared" si="54"/>
        <v>0</v>
      </c>
      <c r="H256">
        <f t="shared" si="55"/>
        <v>0</v>
      </c>
      <c r="I256">
        <v>1</v>
      </c>
      <c r="J256" t="e">
        <f t="shared" si="50"/>
        <v>#NUM!</v>
      </c>
      <c r="K256">
        <f t="shared" si="56"/>
        <v>-1.179910572976012</v>
      </c>
      <c r="L256">
        <v>1</v>
      </c>
      <c r="M256" t="e">
        <f t="shared" si="57"/>
        <v>#NUM!</v>
      </c>
      <c r="N256">
        <f t="shared" si="58"/>
        <v>0</v>
      </c>
      <c r="O256">
        <f t="shared" si="59"/>
        <v>0</v>
      </c>
      <c r="P256" t="e">
        <f t="shared" si="60"/>
        <v>#NUM!</v>
      </c>
      <c r="V256">
        <v>18.999999999999901</v>
      </c>
      <c r="W256">
        <f t="shared" si="51"/>
        <v>-1.1798999999999964</v>
      </c>
    </row>
    <row r="257" spans="3:23" x14ac:dyDescent="0.3">
      <c r="C257">
        <f t="shared" si="52"/>
        <v>0</v>
      </c>
      <c r="D257" s="1">
        <v>2.1000000000000001E-2</v>
      </c>
      <c r="E257" s="1">
        <v>1.41E-2</v>
      </c>
      <c r="F257">
        <f t="shared" si="53"/>
        <v>0</v>
      </c>
      <c r="G257">
        <f t="shared" si="54"/>
        <v>0</v>
      </c>
      <c r="H257">
        <f t="shared" si="55"/>
        <v>0</v>
      </c>
      <c r="I257">
        <v>1</v>
      </c>
      <c r="J257" t="e">
        <f t="shared" si="50"/>
        <v>#NUM!</v>
      </c>
      <c r="K257">
        <f t="shared" si="56"/>
        <v>-1.179910572976012</v>
      </c>
      <c r="L257">
        <v>1</v>
      </c>
      <c r="M257" t="e">
        <f t="shared" si="57"/>
        <v>#NUM!</v>
      </c>
      <c r="N257">
        <f t="shared" si="58"/>
        <v>0</v>
      </c>
      <c r="O257">
        <f t="shared" si="59"/>
        <v>0</v>
      </c>
      <c r="P257" t="e">
        <f t="shared" si="60"/>
        <v>#NUM!</v>
      </c>
      <c r="V257">
        <v>19.099999999999898</v>
      </c>
      <c r="W257">
        <f t="shared" si="51"/>
        <v>-1.1834099999999963</v>
      </c>
    </row>
    <row r="258" spans="3:23" x14ac:dyDescent="0.3">
      <c r="C258">
        <f t="shared" si="52"/>
        <v>0</v>
      </c>
      <c r="D258" s="1">
        <v>2.1000000000000001E-2</v>
      </c>
      <c r="E258" s="1">
        <v>1.41E-2</v>
      </c>
      <c r="F258">
        <f t="shared" si="53"/>
        <v>0</v>
      </c>
      <c r="G258">
        <f t="shared" si="54"/>
        <v>0</v>
      </c>
      <c r="H258">
        <f t="shared" si="55"/>
        <v>0</v>
      </c>
      <c r="I258">
        <v>1</v>
      </c>
      <c r="J258" t="e">
        <f t="shared" si="50"/>
        <v>#NUM!</v>
      </c>
      <c r="K258">
        <f t="shared" si="56"/>
        <v>-1.179910572976012</v>
      </c>
      <c r="L258">
        <v>1</v>
      </c>
      <c r="M258" t="e">
        <f t="shared" si="57"/>
        <v>#NUM!</v>
      </c>
      <c r="N258">
        <f t="shared" si="58"/>
        <v>0</v>
      </c>
      <c r="O258">
        <f t="shared" si="59"/>
        <v>0</v>
      </c>
      <c r="P258" t="e">
        <f t="shared" si="60"/>
        <v>#NUM!</v>
      </c>
      <c r="V258">
        <v>19.1999999999999</v>
      </c>
      <c r="W258">
        <f t="shared" si="51"/>
        <v>-1.1869199999999966</v>
      </c>
    </row>
    <row r="259" spans="3:23" x14ac:dyDescent="0.3">
      <c r="C259">
        <f t="shared" si="52"/>
        <v>0</v>
      </c>
      <c r="D259" s="1">
        <v>2.1000000000000001E-2</v>
      </c>
      <c r="E259" s="1">
        <v>1.41E-2</v>
      </c>
      <c r="F259">
        <f t="shared" si="53"/>
        <v>0</v>
      </c>
      <c r="G259">
        <f t="shared" si="54"/>
        <v>0</v>
      </c>
      <c r="H259">
        <f t="shared" si="55"/>
        <v>0</v>
      </c>
      <c r="I259">
        <v>1</v>
      </c>
      <c r="J259" t="e">
        <f t="shared" si="50"/>
        <v>#NUM!</v>
      </c>
      <c r="K259">
        <f t="shared" si="56"/>
        <v>-1.179910572976012</v>
      </c>
      <c r="L259">
        <v>1</v>
      </c>
      <c r="M259" t="e">
        <f t="shared" si="57"/>
        <v>#NUM!</v>
      </c>
      <c r="N259">
        <f t="shared" si="58"/>
        <v>0</v>
      </c>
      <c r="O259">
        <f t="shared" si="59"/>
        <v>0</v>
      </c>
      <c r="P259" t="e">
        <f t="shared" si="60"/>
        <v>#NUM!</v>
      </c>
      <c r="V259">
        <v>19.299999999999901</v>
      </c>
      <c r="W259">
        <f t="shared" si="51"/>
        <v>-1.1904299999999965</v>
      </c>
    </row>
    <row r="260" spans="3:23" x14ac:dyDescent="0.3">
      <c r="C260">
        <f t="shared" si="52"/>
        <v>0</v>
      </c>
      <c r="D260" s="1">
        <v>2.1000000000000001E-2</v>
      </c>
      <c r="E260" s="1">
        <v>1.41E-2</v>
      </c>
      <c r="F260">
        <f t="shared" si="53"/>
        <v>0</v>
      </c>
      <c r="G260">
        <f t="shared" si="54"/>
        <v>0</v>
      </c>
      <c r="H260">
        <f t="shared" si="55"/>
        <v>0</v>
      </c>
      <c r="I260">
        <v>1</v>
      </c>
      <c r="J260" t="e">
        <f t="shared" si="50"/>
        <v>#NUM!</v>
      </c>
      <c r="K260">
        <f t="shared" si="56"/>
        <v>-1.179910572976012</v>
      </c>
      <c r="L260">
        <v>1</v>
      </c>
      <c r="M260" t="e">
        <f t="shared" si="57"/>
        <v>#NUM!</v>
      </c>
      <c r="N260">
        <f t="shared" si="58"/>
        <v>0</v>
      </c>
      <c r="O260">
        <f t="shared" si="59"/>
        <v>0</v>
      </c>
      <c r="P260" t="e">
        <f t="shared" si="60"/>
        <v>#NUM!</v>
      </c>
      <c r="V260">
        <v>19.399999999999899</v>
      </c>
      <c r="W260">
        <f t="shared" si="51"/>
        <v>-1.1939399999999964</v>
      </c>
    </row>
    <row r="261" spans="3:23" x14ac:dyDescent="0.3">
      <c r="C261">
        <f t="shared" si="52"/>
        <v>0</v>
      </c>
      <c r="D261" s="1">
        <v>2.1000000000000001E-2</v>
      </c>
      <c r="E261" s="1">
        <v>1.41E-2</v>
      </c>
      <c r="F261">
        <f t="shared" si="53"/>
        <v>0</v>
      </c>
      <c r="G261">
        <f t="shared" si="54"/>
        <v>0</v>
      </c>
      <c r="H261">
        <f t="shared" si="55"/>
        <v>0</v>
      </c>
      <c r="I261">
        <v>1</v>
      </c>
      <c r="J261" t="e">
        <f t="shared" ref="J261:J303" si="61">LN(F261/1000)</f>
        <v>#NUM!</v>
      </c>
      <c r="K261">
        <f t="shared" si="56"/>
        <v>-1.179910572976012</v>
      </c>
      <c r="L261">
        <v>1</v>
      </c>
      <c r="M261" t="e">
        <f t="shared" si="57"/>
        <v>#NUM!</v>
      </c>
      <c r="N261">
        <f t="shared" si="58"/>
        <v>0</v>
      </c>
      <c r="O261">
        <f t="shared" si="59"/>
        <v>0</v>
      </c>
      <c r="P261" t="e">
        <f t="shared" si="60"/>
        <v>#NUM!</v>
      </c>
      <c r="V261">
        <v>19.499999999999901</v>
      </c>
      <c r="W261">
        <f t="shared" si="51"/>
        <v>-1.1974499999999964</v>
      </c>
    </row>
    <row r="262" spans="3:23" x14ac:dyDescent="0.3">
      <c r="C262">
        <f t="shared" si="52"/>
        <v>0</v>
      </c>
      <c r="D262" s="1">
        <v>2.1000000000000001E-2</v>
      </c>
      <c r="E262" s="1">
        <v>1.41E-2</v>
      </c>
      <c r="F262">
        <f t="shared" si="53"/>
        <v>0</v>
      </c>
      <c r="G262">
        <f t="shared" si="54"/>
        <v>0</v>
      </c>
      <c r="H262">
        <f t="shared" si="55"/>
        <v>0</v>
      </c>
      <c r="I262">
        <v>1</v>
      </c>
      <c r="J262" t="e">
        <f t="shared" si="61"/>
        <v>#NUM!</v>
      </c>
      <c r="K262">
        <f t="shared" si="56"/>
        <v>-1.179910572976012</v>
      </c>
      <c r="L262">
        <v>1</v>
      </c>
      <c r="M262" t="e">
        <f t="shared" si="57"/>
        <v>#NUM!</v>
      </c>
      <c r="N262">
        <f t="shared" si="58"/>
        <v>0</v>
      </c>
      <c r="O262">
        <f t="shared" si="59"/>
        <v>0</v>
      </c>
      <c r="P262" t="e">
        <f t="shared" si="60"/>
        <v>#NUM!</v>
      </c>
      <c r="V262">
        <v>19.599999999999898</v>
      </c>
      <c r="W262">
        <f t="shared" si="51"/>
        <v>-1.2009599999999965</v>
      </c>
    </row>
    <row r="263" spans="3:23" x14ac:dyDescent="0.3">
      <c r="C263">
        <f t="shared" si="52"/>
        <v>0</v>
      </c>
      <c r="D263" s="1">
        <v>2.1000000000000001E-2</v>
      </c>
      <c r="E263" s="1">
        <v>1.41E-2</v>
      </c>
      <c r="F263">
        <f t="shared" si="53"/>
        <v>0</v>
      </c>
      <c r="G263">
        <f t="shared" si="54"/>
        <v>0</v>
      </c>
      <c r="H263">
        <f t="shared" si="55"/>
        <v>0</v>
      </c>
      <c r="I263">
        <v>1</v>
      </c>
      <c r="J263" t="e">
        <f t="shared" si="61"/>
        <v>#NUM!</v>
      </c>
      <c r="K263">
        <f t="shared" si="56"/>
        <v>-1.179910572976012</v>
      </c>
      <c r="L263">
        <v>1</v>
      </c>
      <c r="M263" t="e">
        <f t="shared" si="57"/>
        <v>#NUM!</v>
      </c>
      <c r="N263">
        <f t="shared" si="58"/>
        <v>0</v>
      </c>
      <c r="O263">
        <f t="shared" si="59"/>
        <v>0</v>
      </c>
      <c r="P263" t="e">
        <f t="shared" si="60"/>
        <v>#NUM!</v>
      </c>
      <c r="V263">
        <v>19.6999999999999</v>
      </c>
      <c r="W263">
        <f t="shared" ref="W263:W305" si="62">V263*$S$5+$S$4</f>
        <v>-1.2044699999999966</v>
      </c>
    </row>
    <row r="264" spans="3:23" x14ac:dyDescent="0.3">
      <c r="C264">
        <f t="shared" si="52"/>
        <v>0</v>
      </c>
      <c r="D264" s="1">
        <v>2.1000000000000001E-2</v>
      </c>
      <c r="E264" s="1">
        <v>1.41E-2</v>
      </c>
      <c r="F264">
        <f t="shared" si="53"/>
        <v>0</v>
      </c>
      <c r="G264">
        <f t="shared" si="54"/>
        <v>0</v>
      </c>
      <c r="H264">
        <f t="shared" si="55"/>
        <v>0</v>
      </c>
      <c r="I264">
        <v>1</v>
      </c>
      <c r="J264" t="e">
        <f t="shared" si="61"/>
        <v>#NUM!</v>
      </c>
      <c r="K264">
        <f t="shared" si="56"/>
        <v>-1.179910572976012</v>
      </c>
      <c r="L264">
        <v>1</v>
      </c>
      <c r="M264" t="e">
        <f t="shared" si="57"/>
        <v>#NUM!</v>
      </c>
      <c r="N264">
        <f t="shared" si="58"/>
        <v>0</v>
      </c>
      <c r="O264">
        <f t="shared" si="59"/>
        <v>0</v>
      </c>
      <c r="P264" t="e">
        <f t="shared" si="60"/>
        <v>#NUM!</v>
      </c>
      <c r="V264">
        <v>19.799999999999901</v>
      </c>
      <c r="W264">
        <f t="shared" si="62"/>
        <v>-1.2079799999999965</v>
      </c>
    </row>
    <row r="265" spans="3:23" x14ac:dyDescent="0.3">
      <c r="C265">
        <f t="shared" si="52"/>
        <v>0</v>
      </c>
      <c r="D265" s="1">
        <v>2.1000000000000001E-2</v>
      </c>
      <c r="E265" s="1">
        <v>1.41E-2</v>
      </c>
      <c r="F265">
        <f t="shared" si="53"/>
        <v>0</v>
      </c>
      <c r="G265">
        <f t="shared" si="54"/>
        <v>0</v>
      </c>
      <c r="H265">
        <f t="shared" si="55"/>
        <v>0</v>
      </c>
      <c r="I265">
        <v>1</v>
      </c>
      <c r="J265" t="e">
        <f t="shared" si="61"/>
        <v>#NUM!</v>
      </c>
      <c r="K265">
        <f t="shared" si="56"/>
        <v>-1.179910572976012</v>
      </c>
      <c r="L265">
        <v>1</v>
      </c>
      <c r="M265" t="e">
        <f t="shared" si="57"/>
        <v>#NUM!</v>
      </c>
      <c r="N265">
        <f t="shared" si="58"/>
        <v>0</v>
      </c>
      <c r="O265">
        <f t="shared" si="59"/>
        <v>0</v>
      </c>
      <c r="P265" t="e">
        <f t="shared" si="60"/>
        <v>#NUM!</v>
      </c>
      <c r="V265">
        <v>19.899999999999899</v>
      </c>
      <c r="W265">
        <f t="shared" si="62"/>
        <v>-1.2114899999999964</v>
      </c>
    </row>
    <row r="266" spans="3:23" x14ac:dyDescent="0.3">
      <c r="C266">
        <f t="shared" si="52"/>
        <v>0</v>
      </c>
      <c r="D266" s="1">
        <v>2.1000000000000001E-2</v>
      </c>
      <c r="E266" s="1">
        <v>1.41E-2</v>
      </c>
      <c r="F266">
        <f t="shared" si="53"/>
        <v>0</v>
      </c>
      <c r="G266">
        <f t="shared" si="54"/>
        <v>0</v>
      </c>
      <c r="H266">
        <f t="shared" si="55"/>
        <v>0</v>
      </c>
      <c r="I266">
        <v>1</v>
      </c>
      <c r="J266" t="e">
        <f t="shared" si="61"/>
        <v>#NUM!</v>
      </c>
      <c r="K266">
        <f t="shared" si="56"/>
        <v>-1.179910572976012</v>
      </c>
      <c r="L266">
        <v>1</v>
      </c>
      <c r="M266" t="e">
        <f t="shared" si="57"/>
        <v>#NUM!</v>
      </c>
      <c r="N266">
        <f t="shared" si="58"/>
        <v>0</v>
      </c>
      <c r="O266">
        <f t="shared" si="59"/>
        <v>0</v>
      </c>
      <c r="P266" t="e">
        <f t="shared" si="60"/>
        <v>#NUM!</v>
      </c>
      <c r="V266">
        <v>19.999999999999901</v>
      </c>
      <c r="W266">
        <f t="shared" si="62"/>
        <v>-1.2149999999999965</v>
      </c>
    </row>
    <row r="267" spans="3:23" x14ac:dyDescent="0.3">
      <c r="C267">
        <f t="shared" si="52"/>
        <v>0</v>
      </c>
      <c r="D267" s="1">
        <v>2.1000000000000001E-2</v>
      </c>
      <c r="E267" s="1">
        <v>1.41E-2</v>
      </c>
      <c r="F267">
        <f t="shared" si="53"/>
        <v>0</v>
      </c>
      <c r="G267">
        <f t="shared" si="54"/>
        <v>0</v>
      </c>
      <c r="H267">
        <f t="shared" si="55"/>
        <v>0</v>
      </c>
      <c r="I267">
        <v>1</v>
      </c>
      <c r="J267" t="e">
        <f t="shared" si="61"/>
        <v>#NUM!</v>
      </c>
      <c r="K267">
        <f t="shared" si="56"/>
        <v>-1.179910572976012</v>
      </c>
      <c r="L267">
        <v>1</v>
      </c>
      <c r="M267" t="e">
        <f t="shared" si="57"/>
        <v>#NUM!</v>
      </c>
      <c r="N267">
        <f t="shared" si="58"/>
        <v>0</v>
      </c>
      <c r="O267">
        <f t="shared" si="59"/>
        <v>0</v>
      </c>
      <c r="P267" t="e">
        <f t="shared" si="60"/>
        <v>#NUM!</v>
      </c>
      <c r="V267">
        <v>20.099999999999898</v>
      </c>
      <c r="W267">
        <f t="shared" si="62"/>
        <v>-1.2185099999999964</v>
      </c>
    </row>
    <row r="268" spans="3:23" x14ac:dyDescent="0.3">
      <c r="C268">
        <f t="shared" si="52"/>
        <v>0</v>
      </c>
      <c r="D268" s="1">
        <v>2.1000000000000001E-2</v>
      </c>
      <c r="E268" s="1">
        <v>1.41E-2</v>
      </c>
      <c r="F268">
        <f t="shared" si="53"/>
        <v>0</v>
      </c>
      <c r="G268">
        <f t="shared" si="54"/>
        <v>0</v>
      </c>
      <c r="H268">
        <f t="shared" si="55"/>
        <v>0</v>
      </c>
      <c r="I268">
        <v>1</v>
      </c>
      <c r="J268" t="e">
        <f t="shared" si="61"/>
        <v>#NUM!</v>
      </c>
      <c r="K268">
        <f t="shared" si="56"/>
        <v>-1.179910572976012</v>
      </c>
      <c r="L268">
        <v>1</v>
      </c>
      <c r="M268" t="e">
        <f t="shared" si="57"/>
        <v>#NUM!</v>
      </c>
      <c r="N268">
        <f t="shared" si="58"/>
        <v>0</v>
      </c>
      <c r="O268">
        <f t="shared" si="59"/>
        <v>0</v>
      </c>
      <c r="P268" t="e">
        <f t="shared" si="60"/>
        <v>#NUM!</v>
      </c>
      <c r="V268">
        <v>20.1999999999999</v>
      </c>
      <c r="W268">
        <f t="shared" si="62"/>
        <v>-1.2220199999999966</v>
      </c>
    </row>
    <row r="269" spans="3:23" x14ac:dyDescent="0.3">
      <c r="C269">
        <f t="shared" si="52"/>
        <v>0</v>
      </c>
      <c r="D269" s="1">
        <v>2.1000000000000001E-2</v>
      </c>
      <c r="E269" s="1">
        <v>1.41E-2</v>
      </c>
      <c r="F269">
        <f t="shared" si="53"/>
        <v>0</v>
      </c>
      <c r="G269">
        <f t="shared" si="54"/>
        <v>0</v>
      </c>
      <c r="H269">
        <f t="shared" si="55"/>
        <v>0</v>
      </c>
      <c r="I269">
        <v>1</v>
      </c>
      <c r="J269" t="e">
        <f t="shared" si="61"/>
        <v>#NUM!</v>
      </c>
      <c r="K269">
        <f t="shared" si="56"/>
        <v>-1.179910572976012</v>
      </c>
      <c r="L269">
        <v>1</v>
      </c>
      <c r="M269" t="e">
        <f t="shared" si="57"/>
        <v>#NUM!</v>
      </c>
      <c r="N269">
        <f t="shared" si="58"/>
        <v>0</v>
      </c>
      <c r="O269">
        <f t="shared" si="59"/>
        <v>0</v>
      </c>
      <c r="P269" t="e">
        <f t="shared" si="60"/>
        <v>#NUM!</v>
      </c>
      <c r="V269">
        <v>20.299999999999901</v>
      </c>
      <c r="W269">
        <f t="shared" si="62"/>
        <v>-1.2255299999999965</v>
      </c>
    </row>
    <row r="270" spans="3:23" x14ac:dyDescent="0.3">
      <c r="C270">
        <f t="shared" si="52"/>
        <v>0</v>
      </c>
      <c r="D270" s="1">
        <v>2.1000000000000001E-2</v>
      </c>
      <c r="E270" s="1">
        <v>1.41E-2</v>
      </c>
      <c r="F270">
        <f t="shared" si="53"/>
        <v>0</v>
      </c>
      <c r="G270">
        <f t="shared" si="54"/>
        <v>0</v>
      </c>
      <c r="H270">
        <f t="shared" si="55"/>
        <v>0</v>
      </c>
      <c r="I270">
        <v>1</v>
      </c>
      <c r="J270" t="e">
        <f t="shared" si="61"/>
        <v>#NUM!</v>
      </c>
      <c r="K270">
        <f t="shared" si="56"/>
        <v>-1.179910572976012</v>
      </c>
      <c r="L270">
        <v>1</v>
      </c>
      <c r="M270" t="e">
        <f t="shared" si="57"/>
        <v>#NUM!</v>
      </c>
      <c r="N270">
        <f t="shared" si="58"/>
        <v>0</v>
      </c>
      <c r="O270">
        <f t="shared" si="59"/>
        <v>0</v>
      </c>
      <c r="P270" t="e">
        <f t="shared" si="60"/>
        <v>#NUM!</v>
      </c>
      <c r="V270">
        <v>20.399999999999899</v>
      </c>
      <c r="W270">
        <f t="shared" si="62"/>
        <v>-1.2290399999999964</v>
      </c>
    </row>
    <row r="271" spans="3:23" x14ac:dyDescent="0.3">
      <c r="C271">
        <f t="shared" si="52"/>
        <v>0</v>
      </c>
      <c r="D271" s="1">
        <v>2.1000000000000001E-2</v>
      </c>
      <c r="E271" s="1">
        <v>1.41E-2</v>
      </c>
      <c r="F271">
        <f t="shared" si="53"/>
        <v>0</v>
      </c>
      <c r="G271">
        <f t="shared" si="54"/>
        <v>0</v>
      </c>
      <c r="H271">
        <f t="shared" si="55"/>
        <v>0</v>
      </c>
      <c r="I271">
        <v>1</v>
      </c>
      <c r="J271" t="e">
        <f t="shared" si="61"/>
        <v>#NUM!</v>
      </c>
      <c r="K271">
        <f t="shared" si="56"/>
        <v>-1.179910572976012</v>
      </c>
      <c r="L271">
        <v>1</v>
      </c>
      <c r="M271" t="e">
        <f t="shared" si="57"/>
        <v>#NUM!</v>
      </c>
      <c r="N271">
        <f t="shared" si="58"/>
        <v>0</v>
      </c>
      <c r="O271">
        <f t="shared" si="59"/>
        <v>0</v>
      </c>
      <c r="P271" t="e">
        <f t="shared" si="60"/>
        <v>#NUM!</v>
      </c>
      <c r="V271">
        <v>20.499999999999901</v>
      </c>
      <c r="W271">
        <f t="shared" si="62"/>
        <v>-1.2325499999999965</v>
      </c>
    </row>
    <row r="272" spans="3:23" x14ac:dyDescent="0.3">
      <c r="C272">
        <f t="shared" si="52"/>
        <v>0</v>
      </c>
      <c r="D272" s="1">
        <v>2.1000000000000001E-2</v>
      </c>
      <c r="E272" s="1">
        <v>1.41E-2</v>
      </c>
      <c r="F272">
        <f t="shared" si="53"/>
        <v>0</v>
      </c>
      <c r="G272">
        <f t="shared" si="54"/>
        <v>0</v>
      </c>
      <c r="H272">
        <f t="shared" si="55"/>
        <v>0</v>
      </c>
      <c r="I272">
        <v>1</v>
      </c>
      <c r="J272" t="e">
        <f t="shared" si="61"/>
        <v>#NUM!</v>
      </c>
      <c r="K272">
        <f t="shared" si="56"/>
        <v>-1.179910572976012</v>
      </c>
      <c r="L272">
        <v>1</v>
      </c>
      <c r="M272" t="e">
        <f t="shared" si="57"/>
        <v>#NUM!</v>
      </c>
      <c r="N272">
        <f t="shared" si="58"/>
        <v>0</v>
      </c>
      <c r="O272">
        <f t="shared" si="59"/>
        <v>0</v>
      </c>
      <c r="P272" t="e">
        <f t="shared" si="60"/>
        <v>#NUM!</v>
      </c>
      <c r="V272">
        <v>20.599999999999898</v>
      </c>
      <c r="W272">
        <f t="shared" si="62"/>
        <v>-1.2360599999999964</v>
      </c>
    </row>
    <row r="273" spans="3:23" x14ac:dyDescent="0.3">
      <c r="C273">
        <f t="shared" si="52"/>
        <v>0</v>
      </c>
      <c r="D273" s="1">
        <v>2.1000000000000001E-2</v>
      </c>
      <c r="E273" s="1">
        <v>1.41E-2</v>
      </c>
      <c r="F273">
        <f t="shared" si="53"/>
        <v>0</v>
      </c>
      <c r="G273">
        <f t="shared" si="54"/>
        <v>0</v>
      </c>
      <c r="H273">
        <f t="shared" si="55"/>
        <v>0</v>
      </c>
      <c r="I273">
        <v>1</v>
      </c>
      <c r="J273" t="e">
        <f t="shared" si="61"/>
        <v>#NUM!</v>
      </c>
      <c r="K273">
        <f t="shared" si="56"/>
        <v>-1.179910572976012</v>
      </c>
      <c r="L273">
        <v>1</v>
      </c>
      <c r="M273" t="e">
        <f t="shared" si="57"/>
        <v>#NUM!</v>
      </c>
      <c r="N273">
        <f t="shared" si="58"/>
        <v>0</v>
      </c>
      <c r="O273">
        <f t="shared" si="59"/>
        <v>0</v>
      </c>
      <c r="P273" t="e">
        <f t="shared" si="60"/>
        <v>#NUM!</v>
      </c>
      <c r="V273">
        <v>20.6999999999999</v>
      </c>
      <c r="W273">
        <f t="shared" si="62"/>
        <v>-1.2395699999999965</v>
      </c>
    </row>
    <row r="274" spans="3:23" x14ac:dyDescent="0.3">
      <c r="C274">
        <f t="shared" si="52"/>
        <v>0</v>
      </c>
      <c r="D274" s="1">
        <v>2.1000000000000001E-2</v>
      </c>
      <c r="E274" s="1">
        <v>1.41E-2</v>
      </c>
      <c r="F274">
        <f t="shared" si="53"/>
        <v>0</v>
      </c>
      <c r="G274">
        <f t="shared" si="54"/>
        <v>0</v>
      </c>
      <c r="H274">
        <f t="shared" si="55"/>
        <v>0</v>
      </c>
      <c r="I274">
        <v>1</v>
      </c>
      <c r="J274" t="e">
        <f t="shared" si="61"/>
        <v>#NUM!</v>
      </c>
      <c r="K274">
        <f t="shared" si="56"/>
        <v>-1.179910572976012</v>
      </c>
      <c r="L274">
        <v>1</v>
      </c>
      <c r="M274" t="e">
        <f t="shared" si="57"/>
        <v>#NUM!</v>
      </c>
      <c r="N274">
        <f t="shared" si="58"/>
        <v>0</v>
      </c>
      <c r="O274">
        <f t="shared" si="59"/>
        <v>0</v>
      </c>
      <c r="P274" t="e">
        <f t="shared" si="60"/>
        <v>#NUM!</v>
      </c>
      <c r="V274">
        <v>20.799999999999901</v>
      </c>
      <c r="W274">
        <f t="shared" si="62"/>
        <v>-1.2430799999999964</v>
      </c>
    </row>
    <row r="275" spans="3:23" x14ac:dyDescent="0.3">
      <c r="C275">
        <f t="shared" si="52"/>
        <v>0</v>
      </c>
      <c r="D275" s="1">
        <v>2.1000000000000001E-2</v>
      </c>
      <c r="E275" s="1">
        <v>1.41E-2</v>
      </c>
      <c r="F275">
        <f t="shared" si="53"/>
        <v>0</v>
      </c>
      <c r="G275">
        <f t="shared" si="54"/>
        <v>0</v>
      </c>
      <c r="H275">
        <f t="shared" si="55"/>
        <v>0</v>
      </c>
      <c r="I275">
        <v>1</v>
      </c>
      <c r="J275" t="e">
        <f t="shared" si="61"/>
        <v>#NUM!</v>
      </c>
      <c r="K275">
        <f t="shared" si="56"/>
        <v>-1.179910572976012</v>
      </c>
      <c r="L275">
        <v>1</v>
      </c>
      <c r="M275" t="e">
        <f t="shared" si="57"/>
        <v>#NUM!</v>
      </c>
      <c r="N275">
        <f t="shared" si="58"/>
        <v>0</v>
      </c>
      <c r="O275">
        <f t="shared" si="59"/>
        <v>0</v>
      </c>
      <c r="P275" t="e">
        <f t="shared" si="60"/>
        <v>#NUM!</v>
      </c>
      <c r="V275">
        <v>20.899999999999899</v>
      </c>
      <c r="W275">
        <f t="shared" si="62"/>
        <v>-1.2465899999999963</v>
      </c>
    </row>
    <row r="276" spans="3:23" x14ac:dyDescent="0.3">
      <c r="C276">
        <f t="shared" ref="C276:C303" si="63">A276*B276</f>
        <v>0</v>
      </c>
      <c r="D276" s="1">
        <v>2.1000000000000001E-2</v>
      </c>
      <c r="E276" s="1">
        <v>1.41E-2</v>
      </c>
      <c r="F276">
        <f t="shared" ref="F276:F303" si="64">A276*200</f>
        <v>0</v>
      </c>
      <c r="G276">
        <f t="shared" ref="G276:G303" si="65">-B276</f>
        <v>0</v>
      </c>
      <c r="H276">
        <f t="shared" ref="H276:H303" si="66">-C276*200</f>
        <v>0</v>
      </c>
      <c r="I276">
        <v>1</v>
      </c>
      <c r="J276" t="e">
        <f t="shared" si="61"/>
        <v>#NUM!</v>
      </c>
      <c r="K276">
        <f t="shared" ref="K276:K303" si="67">((-G276)-$N$2)</f>
        <v>-1.179910572976012</v>
      </c>
      <c r="L276">
        <v>1</v>
      </c>
      <c r="M276" t="e">
        <f t="shared" ref="M276:M303" si="68">-1*($S$4+($S$5*J276))</f>
        <v>#NUM!</v>
      </c>
      <c r="N276">
        <f t="shared" ref="N276:N303" si="69">D276*A276</f>
        <v>0</v>
      </c>
      <c r="O276">
        <f t="shared" ref="O276:O303" si="70">E276*A276</f>
        <v>0</v>
      </c>
      <c r="P276" t="e">
        <f t="shared" ref="P276:P303" si="71">-K276-M276-N276-O276</f>
        <v>#NUM!</v>
      </c>
      <c r="V276">
        <v>20.999999999999901</v>
      </c>
      <c r="W276">
        <f t="shared" si="62"/>
        <v>-1.2500999999999967</v>
      </c>
    </row>
    <row r="277" spans="3:23" x14ac:dyDescent="0.3">
      <c r="C277">
        <f t="shared" si="63"/>
        <v>0</v>
      </c>
      <c r="D277" s="1">
        <v>2.1000000000000001E-2</v>
      </c>
      <c r="E277" s="1">
        <v>1.41E-2</v>
      </c>
      <c r="F277">
        <f t="shared" si="64"/>
        <v>0</v>
      </c>
      <c r="G277">
        <f t="shared" si="65"/>
        <v>0</v>
      </c>
      <c r="H277">
        <f t="shared" si="66"/>
        <v>0</v>
      </c>
      <c r="I277">
        <v>1</v>
      </c>
      <c r="J277" t="e">
        <f t="shared" si="61"/>
        <v>#NUM!</v>
      </c>
      <c r="K277">
        <f t="shared" si="67"/>
        <v>-1.179910572976012</v>
      </c>
      <c r="L277">
        <v>1</v>
      </c>
      <c r="M277" t="e">
        <f t="shared" si="68"/>
        <v>#NUM!</v>
      </c>
      <c r="N277">
        <f t="shared" si="69"/>
        <v>0</v>
      </c>
      <c r="O277">
        <f t="shared" si="70"/>
        <v>0</v>
      </c>
      <c r="P277" t="e">
        <f t="shared" si="71"/>
        <v>#NUM!</v>
      </c>
      <c r="V277">
        <v>21.099999999999898</v>
      </c>
      <c r="W277">
        <f t="shared" si="62"/>
        <v>-1.2536099999999966</v>
      </c>
    </row>
    <row r="278" spans="3:23" x14ac:dyDescent="0.3">
      <c r="C278">
        <f t="shared" si="63"/>
        <v>0</v>
      </c>
      <c r="D278" s="1">
        <v>2.1000000000000001E-2</v>
      </c>
      <c r="E278" s="1">
        <v>1.41E-2</v>
      </c>
      <c r="F278">
        <f t="shared" si="64"/>
        <v>0</v>
      </c>
      <c r="G278">
        <f t="shared" si="65"/>
        <v>0</v>
      </c>
      <c r="H278">
        <f t="shared" si="66"/>
        <v>0</v>
      </c>
      <c r="I278">
        <v>1</v>
      </c>
      <c r="J278" t="e">
        <f t="shared" si="61"/>
        <v>#NUM!</v>
      </c>
      <c r="K278">
        <f t="shared" si="67"/>
        <v>-1.179910572976012</v>
      </c>
      <c r="L278">
        <v>1</v>
      </c>
      <c r="M278" t="e">
        <f t="shared" si="68"/>
        <v>#NUM!</v>
      </c>
      <c r="N278">
        <f t="shared" si="69"/>
        <v>0</v>
      </c>
      <c r="O278">
        <f t="shared" si="70"/>
        <v>0</v>
      </c>
      <c r="P278" t="e">
        <f t="shared" si="71"/>
        <v>#NUM!</v>
      </c>
      <c r="V278">
        <v>21.1999999999999</v>
      </c>
      <c r="W278">
        <f t="shared" si="62"/>
        <v>-1.2571199999999965</v>
      </c>
    </row>
    <row r="279" spans="3:23" x14ac:dyDescent="0.3">
      <c r="C279">
        <f t="shared" si="63"/>
        <v>0</v>
      </c>
      <c r="D279" s="1">
        <v>2.1000000000000001E-2</v>
      </c>
      <c r="E279" s="1">
        <v>1.41E-2</v>
      </c>
      <c r="F279">
        <f t="shared" si="64"/>
        <v>0</v>
      </c>
      <c r="G279">
        <f t="shared" si="65"/>
        <v>0</v>
      </c>
      <c r="H279">
        <f t="shared" si="66"/>
        <v>0</v>
      </c>
      <c r="I279">
        <v>1</v>
      </c>
      <c r="J279" t="e">
        <f t="shared" si="61"/>
        <v>#NUM!</v>
      </c>
      <c r="K279">
        <f t="shared" si="67"/>
        <v>-1.179910572976012</v>
      </c>
      <c r="L279">
        <v>1</v>
      </c>
      <c r="M279" t="e">
        <f t="shared" si="68"/>
        <v>#NUM!</v>
      </c>
      <c r="N279">
        <f t="shared" si="69"/>
        <v>0</v>
      </c>
      <c r="O279">
        <f t="shared" si="70"/>
        <v>0</v>
      </c>
      <c r="P279" t="e">
        <f t="shared" si="71"/>
        <v>#NUM!</v>
      </c>
      <c r="V279">
        <v>21.299999999999901</v>
      </c>
      <c r="W279">
        <f t="shared" si="62"/>
        <v>-1.2606299999999964</v>
      </c>
    </row>
    <row r="280" spans="3:23" x14ac:dyDescent="0.3">
      <c r="C280">
        <f t="shared" si="63"/>
        <v>0</v>
      </c>
      <c r="D280" s="1">
        <v>2.1000000000000001E-2</v>
      </c>
      <c r="E280" s="1">
        <v>1.41E-2</v>
      </c>
      <c r="F280">
        <f t="shared" si="64"/>
        <v>0</v>
      </c>
      <c r="G280">
        <f t="shared" si="65"/>
        <v>0</v>
      </c>
      <c r="H280">
        <f t="shared" si="66"/>
        <v>0</v>
      </c>
      <c r="I280">
        <v>1</v>
      </c>
      <c r="J280" t="e">
        <f t="shared" si="61"/>
        <v>#NUM!</v>
      </c>
      <c r="K280">
        <f t="shared" si="67"/>
        <v>-1.179910572976012</v>
      </c>
      <c r="L280">
        <v>1</v>
      </c>
      <c r="M280" t="e">
        <f t="shared" si="68"/>
        <v>#NUM!</v>
      </c>
      <c r="N280">
        <f t="shared" si="69"/>
        <v>0</v>
      </c>
      <c r="O280">
        <f t="shared" si="70"/>
        <v>0</v>
      </c>
      <c r="P280" t="e">
        <f t="shared" si="71"/>
        <v>#NUM!</v>
      </c>
      <c r="V280">
        <v>21.399999999999899</v>
      </c>
      <c r="W280">
        <f t="shared" si="62"/>
        <v>-1.2641399999999965</v>
      </c>
    </row>
    <row r="281" spans="3:23" x14ac:dyDescent="0.3">
      <c r="C281">
        <f t="shared" si="63"/>
        <v>0</v>
      </c>
      <c r="D281" s="1">
        <v>2.1000000000000001E-2</v>
      </c>
      <c r="E281" s="1">
        <v>1.41E-2</v>
      </c>
      <c r="F281">
        <f t="shared" si="64"/>
        <v>0</v>
      </c>
      <c r="G281">
        <f t="shared" si="65"/>
        <v>0</v>
      </c>
      <c r="H281">
        <f t="shared" si="66"/>
        <v>0</v>
      </c>
      <c r="I281">
        <v>1</v>
      </c>
      <c r="J281" t="e">
        <f t="shared" si="61"/>
        <v>#NUM!</v>
      </c>
      <c r="K281">
        <f t="shared" si="67"/>
        <v>-1.179910572976012</v>
      </c>
      <c r="L281">
        <v>1</v>
      </c>
      <c r="M281" t="e">
        <f t="shared" si="68"/>
        <v>#NUM!</v>
      </c>
      <c r="N281">
        <f t="shared" si="69"/>
        <v>0</v>
      </c>
      <c r="O281">
        <f t="shared" si="70"/>
        <v>0</v>
      </c>
      <c r="P281" t="e">
        <f t="shared" si="71"/>
        <v>#NUM!</v>
      </c>
      <c r="V281">
        <v>21.499999999999901</v>
      </c>
      <c r="W281">
        <f t="shared" si="62"/>
        <v>-1.2676499999999966</v>
      </c>
    </row>
    <row r="282" spans="3:23" x14ac:dyDescent="0.3">
      <c r="C282">
        <f t="shared" si="63"/>
        <v>0</v>
      </c>
      <c r="D282" s="1">
        <v>2.1000000000000001E-2</v>
      </c>
      <c r="E282" s="1">
        <v>1.41E-2</v>
      </c>
      <c r="F282">
        <f t="shared" si="64"/>
        <v>0</v>
      </c>
      <c r="G282">
        <f t="shared" si="65"/>
        <v>0</v>
      </c>
      <c r="H282">
        <f t="shared" si="66"/>
        <v>0</v>
      </c>
      <c r="I282">
        <v>1</v>
      </c>
      <c r="J282" t="e">
        <f t="shared" si="61"/>
        <v>#NUM!</v>
      </c>
      <c r="K282">
        <f t="shared" si="67"/>
        <v>-1.179910572976012</v>
      </c>
      <c r="L282">
        <v>1</v>
      </c>
      <c r="M282" t="e">
        <f t="shared" si="68"/>
        <v>#NUM!</v>
      </c>
      <c r="N282">
        <f t="shared" si="69"/>
        <v>0</v>
      </c>
      <c r="O282">
        <f t="shared" si="70"/>
        <v>0</v>
      </c>
      <c r="P282" t="e">
        <f t="shared" si="71"/>
        <v>#NUM!</v>
      </c>
      <c r="V282">
        <v>21.599999999999898</v>
      </c>
      <c r="W282">
        <f t="shared" si="62"/>
        <v>-1.2711599999999965</v>
      </c>
    </row>
    <row r="283" spans="3:23" x14ac:dyDescent="0.3">
      <c r="C283">
        <f t="shared" si="63"/>
        <v>0</v>
      </c>
      <c r="D283" s="1">
        <v>2.1000000000000001E-2</v>
      </c>
      <c r="E283" s="1">
        <v>1.41E-2</v>
      </c>
      <c r="F283">
        <f t="shared" si="64"/>
        <v>0</v>
      </c>
      <c r="G283">
        <f t="shared" si="65"/>
        <v>0</v>
      </c>
      <c r="H283">
        <f t="shared" si="66"/>
        <v>0</v>
      </c>
      <c r="I283">
        <v>1</v>
      </c>
      <c r="J283" t="e">
        <f t="shared" si="61"/>
        <v>#NUM!</v>
      </c>
      <c r="K283">
        <f t="shared" si="67"/>
        <v>-1.179910572976012</v>
      </c>
      <c r="L283">
        <v>1</v>
      </c>
      <c r="M283" t="e">
        <f t="shared" si="68"/>
        <v>#NUM!</v>
      </c>
      <c r="N283">
        <f t="shared" si="69"/>
        <v>0</v>
      </c>
      <c r="O283">
        <f t="shared" si="70"/>
        <v>0</v>
      </c>
      <c r="P283" t="e">
        <f t="shared" si="71"/>
        <v>#NUM!</v>
      </c>
      <c r="V283">
        <v>21.6999999999999</v>
      </c>
      <c r="W283">
        <f t="shared" si="62"/>
        <v>-1.2746699999999964</v>
      </c>
    </row>
    <row r="284" spans="3:23" x14ac:dyDescent="0.3">
      <c r="C284">
        <f t="shared" si="63"/>
        <v>0</v>
      </c>
      <c r="D284" s="1">
        <v>2.1000000000000001E-2</v>
      </c>
      <c r="E284" s="1">
        <v>1.41E-2</v>
      </c>
      <c r="F284">
        <f t="shared" si="64"/>
        <v>0</v>
      </c>
      <c r="G284">
        <f t="shared" si="65"/>
        <v>0</v>
      </c>
      <c r="H284">
        <f t="shared" si="66"/>
        <v>0</v>
      </c>
      <c r="I284">
        <v>1</v>
      </c>
      <c r="J284" t="e">
        <f t="shared" si="61"/>
        <v>#NUM!</v>
      </c>
      <c r="K284">
        <f t="shared" si="67"/>
        <v>-1.179910572976012</v>
      </c>
      <c r="L284">
        <v>1</v>
      </c>
      <c r="M284" t="e">
        <f t="shared" si="68"/>
        <v>#NUM!</v>
      </c>
      <c r="N284">
        <f t="shared" si="69"/>
        <v>0</v>
      </c>
      <c r="O284">
        <f t="shared" si="70"/>
        <v>0</v>
      </c>
      <c r="P284" t="e">
        <f t="shared" si="71"/>
        <v>#NUM!</v>
      </c>
      <c r="V284">
        <v>21.799999999999901</v>
      </c>
      <c r="W284">
        <f t="shared" si="62"/>
        <v>-1.2781799999999965</v>
      </c>
    </row>
    <row r="285" spans="3:23" x14ac:dyDescent="0.3">
      <c r="C285">
        <f t="shared" si="63"/>
        <v>0</v>
      </c>
      <c r="D285" s="1">
        <v>2.1000000000000001E-2</v>
      </c>
      <c r="E285" s="1">
        <v>1.41E-2</v>
      </c>
      <c r="F285">
        <f t="shared" si="64"/>
        <v>0</v>
      </c>
      <c r="G285">
        <f t="shared" si="65"/>
        <v>0</v>
      </c>
      <c r="H285">
        <f t="shared" si="66"/>
        <v>0</v>
      </c>
      <c r="I285">
        <v>1</v>
      </c>
      <c r="J285" t="e">
        <f t="shared" si="61"/>
        <v>#NUM!</v>
      </c>
      <c r="K285">
        <f t="shared" si="67"/>
        <v>-1.179910572976012</v>
      </c>
      <c r="L285">
        <v>1</v>
      </c>
      <c r="M285" t="e">
        <f t="shared" si="68"/>
        <v>#NUM!</v>
      </c>
      <c r="N285">
        <f t="shared" si="69"/>
        <v>0</v>
      </c>
      <c r="O285">
        <f t="shared" si="70"/>
        <v>0</v>
      </c>
      <c r="P285" t="e">
        <f t="shared" si="71"/>
        <v>#NUM!</v>
      </c>
      <c r="V285">
        <v>21.899999999999899</v>
      </c>
      <c r="W285">
        <f t="shared" si="62"/>
        <v>-1.2816899999999964</v>
      </c>
    </row>
    <row r="286" spans="3:23" x14ac:dyDescent="0.3">
      <c r="C286">
        <f t="shared" si="63"/>
        <v>0</v>
      </c>
      <c r="D286" s="1">
        <v>2.1000000000000001E-2</v>
      </c>
      <c r="E286" s="1">
        <v>1.41E-2</v>
      </c>
      <c r="F286">
        <f t="shared" si="64"/>
        <v>0</v>
      </c>
      <c r="G286">
        <f t="shared" si="65"/>
        <v>0</v>
      </c>
      <c r="H286">
        <f t="shared" si="66"/>
        <v>0</v>
      </c>
      <c r="I286">
        <v>1</v>
      </c>
      <c r="J286" t="e">
        <f t="shared" si="61"/>
        <v>#NUM!</v>
      </c>
      <c r="K286">
        <f t="shared" si="67"/>
        <v>-1.179910572976012</v>
      </c>
      <c r="L286">
        <v>1</v>
      </c>
      <c r="M286" t="e">
        <f t="shared" si="68"/>
        <v>#NUM!</v>
      </c>
      <c r="N286">
        <f t="shared" si="69"/>
        <v>0</v>
      </c>
      <c r="O286">
        <f t="shared" si="70"/>
        <v>0</v>
      </c>
      <c r="P286" t="e">
        <f t="shared" si="71"/>
        <v>#NUM!</v>
      </c>
      <c r="V286">
        <v>21.999999999999901</v>
      </c>
      <c r="W286">
        <f t="shared" si="62"/>
        <v>-1.2851999999999966</v>
      </c>
    </row>
    <row r="287" spans="3:23" x14ac:dyDescent="0.3">
      <c r="C287">
        <f t="shared" si="63"/>
        <v>0</v>
      </c>
      <c r="D287" s="1">
        <v>2.1000000000000001E-2</v>
      </c>
      <c r="E287" s="1">
        <v>1.41E-2</v>
      </c>
      <c r="F287">
        <f t="shared" si="64"/>
        <v>0</v>
      </c>
      <c r="G287">
        <f t="shared" si="65"/>
        <v>0</v>
      </c>
      <c r="H287">
        <f t="shared" si="66"/>
        <v>0</v>
      </c>
      <c r="I287">
        <v>1</v>
      </c>
      <c r="J287" t="e">
        <f t="shared" si="61"/>
        <v>#NUM!</v>
      </c>
      <c r="K287">
        <f t="shared" si="67"/>
        <v>-1.179910572976012</v>
      </c>
      <c r="L287">
        <v>1</v>
      </c>
      <c r="M287" t="e">
        <f t="shared" si="68"/>
        <v>#NUM!</v>
      </c>
      <c r="N287">
        <f t="shared" si="69"/>
        <v>0</v>
      </c>
      <c r="O287">
        <f t="shared" si="70"/>
        <v>0</v>
      </c>
      <c r="P287" t="e">
        <f t="shared" si="71"/>
        <v>#NUM!</v>
      </c>
      <c r="V287">
        <v>22.099999999999898</v>
      </c>
      <c r="W287">
        <f t="shared" si="62"/>
        <v>-1.2887099999999965</v>
      </c>
    </row>
    <row r="288" spans="3:23" x14ac:dyDescent="0.3">
      <c r="C288">
        <f t="shared" si="63"/>
        <v>0</v>
      </c>
      <c r="D288" s="1">
        <v>2.1000000000000001E-2</v>
      </c>
      <c r="E288" s="1">
        <v>1.41E-2</v>
      </c>
      <c r="F288">
        <f t="shared" si="64"/>
        <v>0</v>
      </c>
      <c r="G288">
        <f t="shared" si="65"/>
        <v>0</v>
      </c>
      <c r="H288">
        <f t="shared" si="66"/>
        <v>0</v>
      </c>
      <c r="I288">
        <v>1</v>
      </c>
      <c r="J288" t="e">
        <f t="shared" si="61"/>
        <v>#NUM!</v>
      </c>
      <c r="K288">
        <f t="shared" si="67"/>
        <v>-1.179910572976012</v>
      </c>
      <c r="L288">
        <v>1</v>
      </c>
      <c r="M288" t="e">
        <f t="shared" si="68"/>
        <v>#NUM!</v>
      </c>
      <c r="N288">
        <f t="shared" si="69"/>
        <v>0</v>
      </c>
      <c r="O288">
        <f t="shared" si="70"/>
        <v>0</v>
      </c>
      <c r="P288" t="e">
        <f t="shared" si="71"/>
        <v>#NUM!</v>
      </c>
      <c r="V288">
        <v>22.1999999999999</v>
      </c>
      <c r="W288">
        <f t="shared" si="62"/>
        <v>-1.2922199999999964</v>
      </c>
    </row>
    <row r="289" spans="3:23" x14ac:dyDescent="0.3">
      <c r="C289">
        <f t="shared" si="63"/>
        <v>0</v>
      </c>
      <c r="D289" s="1">
        <v>2.1000000000000001E-2</v>
      </c>
      <c r="E289" s="1">
        <v>1.41E-2</v>
      </c>
      <c r="F289">
        <f t="shared" si="64"/>
        <v>0</v>
      </c>
      <c r="G289">
        <f t="shared" si="65"/>
        <v>0</v>
      </c>
      <c r="H289">
        <f t="shared" si="66"/>
        <v>0</v>
      </c>
      <c r="I289">
        <v>1</v>
      </c>
      <c r="J289" t="e">
        <f t="shared" si="61"/>
        <v>#NUM!</v>
      </c>
      <c r="K289">
        <f t="shared" si="67"/>
        <v>-1.179910572976012</v>
      </c>
      <c r="L289">
        <v>1</v>
      </c>
      <c r="M289" t="e">
        <f t="shared" si="68"/>
        <v>#NUM!</v>
      </c>
      <c r="N289">
        <f t="shared" si="69"/>
        <v>0</v>
      </c>
      <c r="O289">
        <f t="shared" si="70"/>
        <v>0</v>
      </c>
      <c r="P289" t="e">
        <f t="shared" si="71"/>
        <v>#NUM!</v>
      </c>
      <c r="V289">
        <v>22.299999999999901</v>
      </c>
      <c r="W289">
        <f t="shared" si="62"/>
        <v>-1.2957299999999965</v>
      </c>
    </row>
    <row r="290" spans="3:23" x14ac:dyDescent="0.3">
      <c r="C290">
        <f t="shared" si="63"/>
        <v>0</v>
      </c>
      <c r="D290" s="1">
        <v>2.1000000000000001E-2</v>
      </c>
      <c r="E290" s="1">
        <v>1.41E-2</v>
      </c>
      <c r="F290">
        <f t="shared" si="64"/>
        <v>0</v>
      </c>
      <c r="G290">
        <f t="shared" si="65"/>
        <v>0</v>
      </c>
      <c r="H290">
        <f t="shared" si="66"/>
        <v>0</v>
      </c>
      <c r="I290">
        <v>1</v>
      </c>
      <c r="J290" t="e">
        <f t="shared" si="61"/>
        <v>#NUM!</v>
      </c>
      <c r="K290">
        <f t="shared" si="67"/>
        <v>-1.179910572976012</v>
      </c>
      <c r="L290">
        <v>1</v>
      </c>
      <c r="M290" t="e">
        <f t="shared" si="68"/>
        <v>#NUM!</v>
      </c>
      <c r="N290">
        <f t="shared" si="69"/>
        <v>0</v>
      </c>
      <c r="O290">
        <f t="shared" si="70"/>
        <v>0</v>
      </c>
      <c r="P290" t="e">
        <f t="shared" si="71"/>
        <v>#NUM!</v>
      </c>
      <c r="V290">
        <v>22.399999999999899</v>
      </c>
      <c r="W290">
        <f t="shared" si="62"/>
        <v>-1.2992399999999966</v>
      </c>
    </row>
    <row r="291" spans="3:23" x14ac:dyDescent="0.3">
      <c r="C291">
        <f t="shared" si="63"/>
        <v>0</v>
      </c>
      <c r="D291" s="1">
        <v>2.1000000000000001E-2</v>
      </c>
      <c r="E291" s="1">
        <v>1.41E-2</v>
      </c>
      <c r="F291">
        <f t="shared" si="64"/>
        <v>0</v>
      </c>
      <c r="G291">
        <f t="shared" si="65"/>
        <v>0</v>
      </c>
      <c r="H291">
        <f t="shared" si="66"/>
        <v>0</v>
      </c>
      <c r="I291">
        <v>1</v>
      </c>
      <c r="J291" t="e">
        <f t="shared" si="61"/>
        <v>#NUM!</v>
      </c>
      <c r="K291">
        <f t="shared" si="67"/>
        <v>-1.179910572976012</v>
      </c>
      <c r="L291">
        <v>1</v>
      </c>
      <c r="M291" t="e">
        <f t="shared" si="68"/>
        <v>#NUM!</v>
      </c>
      <c r="N291">
        <f t="shared" si="69"/>
        <v>0</v>
      </c>
      <c r="O291">
        <f t="shared" si="70"/>
        <v>0</v>
      </c>
      <c r="P291" t="e">
        <f t="shared" si="71"/>
        <v>#NUM!</v>
      </c>
      <c r="V291">
        <v>22.499999999999901</v>
      </c>
      <c r="W291">
        <f t="shared" si="62"/>
        <v>-1.3027499999999965</v>
      </c>
    </row>
    <row r="292" spans="3:23" x14ac:dyDescent="0.3">
      <c r="C292">
        <f t="shared" si="63"/>
        <v>0</v>
      </c>
      <c r="D292" s="1">
        <v>2.1000000000000001E-2</v>
      </c>
      <c r="E292" s="1">
        <v>1.41E-2</v>
      </c>
      <c r="F292">
        <f t="shared" si="64"/>
        <v>0</v>
      </c>
      <c r="G292">
        <f t="shared" si="65"/>
        <v>0</v>
      </c>
      <c r="H292">
        <f t="shared" si="66"/>
        <v>0</v>
      </c>
      <c r="I292">
        <v>1</v>
      </c>
      <c r="J292" t="e">
        <f t="shared" si="61"/>
        <v>#NUM!</v>
      </c>
      <c r="K292">
        <f t="shared" si="67"/>
        <v>-1.179910572976012</v>
      </c>
      <c r="L292">
        <v>1</v>
      </c>
      <c r="M292" t="e">
        <f t="shared" si="68"/>
        <v>#NUM!</v>
      </c>
      <c r="N292">
        <f t="shared" si="69"/>
        <v>0</v>
      </c>
      <c r="O292">
        <f t="shared" si="70"/>
        <v>0</v>
      </c>
      <c r="P292" t="e">
        <f t="shared" si="71"/>
        <v>#NUM!</v>
      </c>
      <c r="V292">
        <v>22.599999999999898</v>
      </c>
      <c r="W292">
        <f t="shared" si="62"/>
        <v>-1.3062599999999964</v>
      </c>
    </row>
    <row r="293" spans="3:23" x14ac:dyDescent="0.3">
      <c r="C293">
        <f t="shared" si="63"/>
        <v>0</v>
      </c>
      <c r="D293" s="1">
        <v>2.1000000000000001E-2</v>
      </c>
      <c r="E293" s="1">
        <v>1.41E-2</v>
      </c>
      <c r="F293">
        <f t="shared" si="64"/>
        <v>0</v>
      </c>
      <c r="G293">
        <f t="shared" si="65"/>
        <v>0</v>
      </c>
      <c r="H293">
        <f t="shared" si="66"/>
        <v>0</v>
      </c>
      <c r="I293">
        <v>1</v>
      </c>
      <c r="J293" t="e">
        <f t="shared" si="61"/>
        <v>#NUM!</v>
      </c>
      <c r="K293">
        <f t="shared" si="67"/>
        <v>-1.179910572976012</v>
      </c>
      <c r="L293">
        <v>1</v>
      </c>
      <c r="M293" t="e">
        <f t="shared" si="68"/>
        <v>#NUM!</v>
      </c>
      <c r="N293">
        <f t="shared" si="69"/>
        <v>0</v>
      </c>
      <c r="O293">
        <f t="shared" si="70"/>
        <v>0</v>
      </c>
      <c r="P293" t="e">
        <f t="shared" si="71"/>
        <v>#NUM!</v>
      </c>
      <c r="V293">
        <v>22.6999999999999</v>
      </c>
      <c r="W293">
        <f t="shared" si="62"/>
        <v>-1.3097699999999963</v>
      </c>
    </row>
    <row r="294" spans="3:23" x14ac:dyDescent="0.3">
      <c r="C294">
        <f t="shared" si="63"/>
        <v>0</v>
      </c>
      <c r="D294" s="1">
        <v>2.1000000000000001E-2</v>
      </c>
      <c r="E294" s="1">
        <v>1.41E-2</v>
      </c>
      <c r="F294">
        <f t="shared" si="64"/>
        <v>0</v>
      </c>
      <c r="G294">
        <f t="shared" si="65"/>
        <v>0</v>
      </c>
      <c r="H294">
        <f t="shared" si="66"/>
        <v>0</v>
      </c>
      <c r="I294">
        <v>1</v>
      </c>
      <c r="J294" t="e">
        <f t="shared" si="61"/>
        <v>#NUM!</v>
      </c>
      <c r="K294">
        <f t="shared" si="67"/>
        <v>-1.179910572976012</v>
      </c>
      <c r="L294">
        <v>1</v>
      </c>
      <c r="M294" t="e">
        <f t="shared" si="68"/>
        <v>#NUM!</v>
      </c>
      <c r="N294">
        <f t="shared" si="69"/>
        <v>0</v>
      </c>
      <c r="O294">
        <f t="shared" si="70"/>
        <v>0</v>
      </c>
      <c r="P294" t="e">
        <f t="shared" si="71"/>
        <v>#NUM!</v>
      </c>
      <c r="V294">
        <v>22.799999999999901</v>
      </c>
      <c r="W294">
        <f t="shared" si="62"/>
        <v>-1.3132799999999967</v>
      </c>
    </row>
    <row r="295" spans="3:23" x14ac:dyDescent="0.3">
      <c r="C295">
        <f t="shared" si="63"/>
        <v>0</v>
      </c>
      <c r="D295" s="1">
        <v>2.1000000000000001E-2</v>
      </c>
      <c r="E295" s="1">
        <v>1.41E-2</v>
      </c>
      <c r="F295">
        <f t="shared" si="64"/>
        <v>0</v>
      </c>
      <c r="G295">
        <f t="shared" si="65"/>
        <v>0</v>
      </c>
      <c r="H295">
        <f t="shared" si="66"/>
        <v>0</v>
      </c>
      <c r="I295">
        <v>1</v>
      </c>
      <c r="J295" t="e">
        <f t="shared" si="61"/>
        <v>#NUM!</v>
      </c>
      <c r="K295">
        <f t="shared" si="67"/>
        <v>-1.179910572976012</v>
      </c>
      <c r="L295">
        <v>1</v>
      </c>
      <c r="M295" t="e">
        <f t="shared" si="68"/>
        <v>#NUM!</v>
      </c>
      <c r="N295">
        <f t="shared" si="69"/>
        <v>0</v>
      </c>
      <c r="O295">
        <f t="shared" si="70"/>
        <v>0</v>
      </c>
      <c r="P295" t="e">
        <f t="shared" si="71"/>
        <v>#NUM!</v>
      </c>
      <c r="V295">
        <v>22.899999999999899</v>
      </c>
      <c r="W295">
        <f t="shared" si="62"/>
        <v>-1.3167899999999966</v>
      </c>
    </row>
    <row r="296" spans="3:23" x14ac:dyDescent="0.3">
      <c r="C296">
        <f t="shared" si="63"/>
        <v>0</v>
      </c>
      <c r="D296" s="1">
        <v>2.1000000000000001E-2</v>
      </c>
      <c r="E296" s="1">
        <v>1.41E-2</v>
      </c>
      <c r="F296">
        <f t="shared" si="64"/>
        <v>0</v>
      </c>
      <c r="G296">
        <f t="shared" si="65"/>
        <v>0</v>
      </c>
      <c r="H296">
        <f t="shared" si="66"/>
        <v>0</v>
      </c>
      <c r="I296">
        <v>1</v>
      </c>
      <c r="J296" t="e">
        <f t="shared" si="61"/>
        <v>#NUM!</v>
      </c>
      <c r="K296">
        <f t="shared" si="67"/>
        <v>-1.179910572976012</v>
      </c>
      <c r="L296">
        <v>1</v>
      </c>
      <c r="M296" t="e">
        <f t="shared" si="68"/>
        <v>#NUM!</v>
      </c>
      <c r="N296">
        <f t="shared" si="69"/>
        <v>0</v>
      </c>
      <c r="O296">
        <f t="shared" si="70"/>
        <v>0</v>
      </c>
      <c r="P296" t="e">
        <f t="shared" si="71"/>
        <v>#NUM!</v>
      </c>
      <c r="V296">
        <v>22.999999999999901</v>
      </c>
      <c r="W296">
        <f t="shared" si="62"/>
        <v>-1.3202999999999965</v>
      </c>
    </row>
    <row r="297" spans="3:23" x14ac:dyDescent="0.3">
      <c r="C297">
        <f t="shared" si="63"/>
        <v>0</v>
      </c>
      <c r="D297" s="1">
        <v>2.1000000000000001E-2</v>
      </c>
      <c r="E297" s="1">
        <v>1.41E-2</v>
      </c>
      <c r="F297">
        <f t="shared" si="64"/>
        <v>0</v>
      </c>
      <c r="G297">
        <f t="shared" si="65"/>
        <v>0</v>
      </c>
      <c r="H297">
        <f t="shared" si="66"/>
        <v>0</v>
      </c>
      <c r="I297">
        <v>1</v>
      </c>
      <c r="J297" t="e">
        <f t="shared" si="61"/>
        <v>#NUM!</v>
      </c>
      <c r="K297">
        <f t="shared" si="67"/>
        <v>-1.179910572976012</v>
      </c>
      <c r="L297">
        <v>1</v>
      </c>
      <c r="M297" t="e">
        <f t="shared" si="68"/>
        <v>#NUM!</v>
      </c>
      <c r="N297">
        <f t="shared" si="69"/>
        <v>0</v>
      </c>
      <c r="O297">
        <f t="shared" si="70"/>
        <v>0</v>
      </c>
      <c r="P297" t="e">
        <f t="shared" si="71"/>
        <v>#NUM!</v>
      </c>
      <c r="V297">
        <v>23.099999999999898</v>
      </c>
      <c r="W297">
        <f t="shared" si="62"/>
        <v>-1.3238099999999964</v>
      </c>
    </row>
    <row r="298" spans="3:23" x14ac:dyDescent="0.3">
      <c r="C298">
        <f t="shared" si="63"/>
        <v>0</v>
      </c>
      <c r="D298" s="1">
        <v>2.1000000000000001E-2</v>
      </c>
      <c r="E298" s="1">
        <v>1.41E-2</v>
      </c>
      <c r="F298">
        <f t="shared" si="64"/>
        <v>0</v>
      </c>
      <c r="G298">
        <f t="shared" si="65"/>
        <v>0</v>
      </c>
      <c r="H298">
        <f t="shared" si="66"/>
        <v>0</v>
      </c>
      <c r="I298">
        <v>1</v>
      </c>
      <c r="J298" t="e">
        <f t="shared" si="61"/>
        <v>#NUM!</v>
      </c>
      <c r="K298">
        <f t="shared" si="67"/>
        <v>-1.179910572976012</v>
      </c>
      <c r="L298">
        <v>1</v>
      </c>
      <c r="M298" t="e">
        <f t="shared" si="68"/>
        <v>#NUM!</v>
      </c>
      <c r="N298">
        <f t="shared" si="69"/>
        <v>0</v>
      </c>
      <c r="O298">
        <f t="shared" si="70"/>
        <v>0</v>
      </c>
      <c r="P298" t="e">
        <f t="shared" si="71"/>
        <v>#NUM!</v>
      </c>
      <c r="V298">
        <v>23.1999999999999</v>
      </c>
      <c r="W298">
        <f t="shared" si="62"/>
        <v>-1.3273199999999965</v>
      </c>
    </row>
    <row r="299" spans="3:23" x14ac:dyDescent="0.3">
      <c r="C299">
        <f t="shared" si="63"/>
        <v>0</v>
      </c>
      <c r="D299" s="1">
        <v>2.1000000000000001E-2</v>
      </c>
      <c r="E299" s="1">
        <v>1.41E-2</v>
      </c>
      <c r="F299">
        <f t="shared" si="64"/>
        <v>0</v>
      </c>
      <c r="G299">
        <f t="shared" si="65"/>
        <v>0</v>
      </c>
      <c r="H299">
        <f t="shared" si="66"/>
        <v>0</v>
      </c>
      <c r="I299">
        <v>1</v>
      </c>
      <c r="J299" t="e">
        <f t="shared" si="61"/>
        <v>#NUM!</v>
      </c>
      <c r="K299">
        <f t="shared" si="67"/>
        <v>-1.179910572976012</v>
      </c>
      <c r="L299">
        <v>1</v>
      </c>
      <c r="M299" t="e">
        <f t="shared" si="68"/>
        <v>#NUM!</v>
      </c>
      <c r="N299">
        <f t="shared" si="69"/>
        <v>0</v>
      </c>
      <c r="O299">
        <f t="shared" si="70"/>
        <v>0</v>
      </c>
      <c r="P299" t="e">
        <f t="shared" si="71"/>
        <v>#NUM!</v>
      </c>
      <c r="V299">
        <v>23.299999999999901</v>
      </c>
      <c r="W299">
        <f t="shared" si="62"/>
        <v>-1.3308299999999966</v>
      </c>
    </row>
    <row r="300" spans="3:23" x14ac:dyDescent="0.3">
      <c r="C300">
        <f t="shared" si="63"/>
        <v>0</v>
      </c>
      <c r="D300" s="1">
        <v>2.1000000000000001E-2</v>
      </c>
      <c r="E300" s="1">
        <v>1.41E-2</v>
      </c>
      <c r="F300">
        <f t="shared" si="64"/>
        <v>0</v>
      </c>
      <c r="G300">
        <f t="shared" si="65"/>
        <v>0</v>
      </c>
      <c r="H300">
        <f t="shared" si="66"/>
        <v>0</v>
      </c>
      <c r="I300">
        <v>1</v>
      </c>
      <c r="J300" t="e">
        <f t="shared" si="61"/>
        <v>#NUM!</v>
      </c>
      <c r="K300">
        <f t="shared" si="67"/>
        <v>-1.179910572976012</v>
      </c>
      <c r="L300">
        <v>1</v>
      </c>
      <c r="M300" t="e">
        <f t="shared" si="68"/>
        <v>#NUM!</v>
      </c>
      <c r="N300">
        <f t="shared" si="69"/>
        <v>0</v>
      </c>
      <c r="O300">
        <f t="shared" si="70"/>
        <v>0</v>
      </c>
      <c r="P300" t="e">
        <f t="shared" si="71"/>
        <v>#NUM!</v>
      </c>
      <c r="V300">
        <v>23.399999999999899</v>
      </c>
      <c r="W300">
        <f t="shared" si="62"/>
        <v>-1.3343399999999965</v>
      </c>
    </row>
    <row r="301" spans="3:23" x14ac:dyDescent="0.3">
      <c r="C301">
        <f t="shared" si="63"/>
        <v>0</v>
      </c>
      <c r="D301" s="1">
        <v>2.1000000000000001E-2</v>
      </c>
      <c r="E301" s="1">
        <v>1.41E-2</v>
      </c>
      <c r="F301">
        <f t="shared" si="64"/>
        <v>0</v>
      </c>
      <c r="G301">
        <f t="shared" si="65"/>
        <v>0</v>
      </c>
      <c r="H301">
        <f t="shared" si="66"/>
        <v>0</v>
      </c>
      <c r="I301">
        <v>1</v>
      </c>
      <c r="J301" t="e">
        <f t="shared" si="61"/>
        <v>#NUM!</v>
      </c>
      <c r="K301">
        <f t="shared" si="67"/>
        <v>-1.179910572976012</v>
      </c>
      <c r="L301">
        <v>1</v>
      </c>
      <c r="M301" t="e">
        <f t="shared" si="68"/>
        <v>#NUM!</v>
      </c>
      <c r="N301">
        <f t="shared" si="69"/>
        <v>0</v>
      </c>
      <c r="O301">
        <f t="shared" si="70"/>
        <v>0</v>
      </c>
      <c r="P301" t="e">
        <f t="shared" si="71"/>
        <v>#NUM!</v>
      </c>
      <c r="V301">
        <v>23.499999999999901</v>
      </c>
      <c r="W301">
        <f t="shared" si="62"/>
        <v>-1.3378499999999964</v>
      </c>
    </row>
    <row r="302" spans="3:23" x14ac:dyDescent="0.3">
      <c r="C302">
        <f t="shared" si="63"/>
        <v>0</v>
      </c>
      <c r="D302" s="1">
        <v>2.1000000000000001E-2</v>
      </c>
      <c r="E302" s="1">
        <v>1.41E-2</v>
      </c>
      <c r="F302">
        <f t="shared" si="64"/>
        <v>0</v>
      </c>
      <c r="G302">
        <f t="shared" si="65"/>
        <v>0</v>
      </c>
      <c r="H302">
        <f t="shared" si="66"/>
        <v>0</v>
      </c>
      <c r="I302">
        <v>1</v>
      </c>
      <c r="J302" t="e">
        <f t="shared" si="61"/>
        <v>#NUM!</v>
      </c>
      <c r="K302">
        <f t="shared" si="67"/>
        <v>-1.179910572976012</v>
      </c>
      <c r="L302">
        <v>1</v>
      </c>
      <c r="M302" t="e">
        <f t="shared" si="68"/>
        <v>#NUM!</v>
      </c>
      <c r="N302">
        <f t="shared" si="69"/>
        <v>0</v>
      </c>
      <c r="O302">
        <f t="shared" si="70"/>
        <v>0</v>
      </c>
      <c r="P302" t="e">
        <f t="shared" si="71"/>
        <v>#NUM!</v>
      </c>
      <c r="V302">
        <v>23.599999999999898</v>
      </c>
      <c r="W302">
        <f t="shared" si="62"/>
        <v>-1.3413599999999963</v>
      </c>
    </row>
    <row r="303" spans="3:23" x14ac:dyDescent="0.3">
      <c r="C303">
        <f t="shared" si="63"/>
        <v>0</v>
      </c>
      <c r="D303" s="1">
        <v>2.1000000000000001E-2</v>
      </c>
      <c r="E303" s="1">
        <v>1.41E-2</v>
      </c>
      <c r="F303">
        <f t="shared" si="64"/>
        <v>0</v>
      </c>
      <c r="G303">
        <f t="shared" si="65"/>
        <v>0</v>
      </c>
      <c r="H303">
        <f t="shared" si="66"/>
        <v>0</v>
      </c>
      <c r="I303">
        <v>1</v>
      </c>
      <c r="J303" t="e">
        <f t="shared" si="61"/>
        <v>#NUM!</v>
      </c>
      <c r="K303">
        <f t="shared" si="67"/>
        <v>-1.179910572976012</v>
      </c>
      <c r="L303">
        <v>1</v>
      </c>
      <c r="M303" t="e">
        <f t="shared" si="68"/>
        <v>#NUM!</v>
      </c>
      <c r="N303">
        <f t="shared" si="69"/>
        <v>0</v>
      </c>
      <c r="O303">
        <f t="shared" si="70"/>
        <v>0</v>
      </c>
      <c r="P303" t="e">
        <f t="shared" si="71"/>
        <v>#NUM!</v>
      </c>
      <c r="V303">
        <v>23.6999999999999</v>
      </c>
      <c r="W303">
        <f t="shared" si="62"/>
        <v>-1.3448699999999965</v>
      </c>
    </row>
    <row r="304" spans="3:23" x14ac:dyDescent="0.3">
      <c r="V304">
        <v>23.799999999999901</v>
      </c>
      <c r="W304">
        <f t="shared" si="62"/>
        <v>-1.3483799999999966</v>
      </c>
    </row>
    <row r="305" spans="22:23" x14ac:dyDescent="0.3">
      <c r="V305">
        <v>23.899999999999899</v>
      </c>
      <c r="W305">
        <f t="shared" si="62"/>
        <v>-1.3518899999999965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H301"/>
  <sheetViews>
    <sheetView topLeftCell="A131" workbookViewId="0">
      <selection activeCell="C1" sqref="C1:C160"/>
    </sheetView>
  </sheetViews>
  <sheetFormatPr defaultRowHeight="16.5" x14ac:dyDescent="0.3"/>
  <sheetData>
    <row r="1" spans="1:8" x14ac:dyDescent="0.3">
      <c r="A1">
        <v>11.14617</v>
      </c>
      <c r="B1">
        <v>0.80232999999999999</v>
      </c>
      <c r="C1">
        <f>A1/200</f>
        <v>5.5730849999999998E-2</v>
      </c>
    </row>
    <row r="2" spans="1:8" x14ac:dyDescent="0.3">
      <c r="A2">
        <v>21.009060000000002</v>
      </c>
      <c r="B2">
        <v>0.79232000000000002</v>
      </c>
      <c r="C2">
        <f t="shared" ref="C2:C65" si="0">A2/200</f>
        <v>0.10504530000000001</v>
      </c>
      <c r="H2" s="1"/>
    </row>
    <row r="3" spans="1:8" x14ac:dyDescent="0.3">
      <c r="A3">
        <v>30.871949999999998</v>
      </c>
      <c r="B3">
        <v>0.77958000000000005</v>
      </c>
      <c r="C3">
        <f t="shared" si="0"/>
        <v>0.15435974999999999</v>
      </c>
      <c r="H3" s="1"/>
    </row>
    <row r="4" spans="1:8" x14ac:dyDescent="0.3">
      <c r="A4">
        <v>41.033720000000002</v>
      </c>
      <c r="B4">
        <v>0.76881999999999995</v>
      </c>
      <c r="C4">
        <f t="shared" si="0"/>
        <v>0.20516860000000001</v>
      </c>
      <c r="H4" s="1"/>
    </row>
    <row r="5" spans="1:8" x14ac:dyDescent="0.3">
      <c r="A5">
        <v>51.394730000000003</v>
      </c>
      <c r="B5">
        <v>0.75936999999999999</v>
      </c>
      <c r="C5">
        <f t="shared" si="0"/>
        <v>0.25697365</v>
      </c>
      <c r="H5" s="1"/>
    </row>
    <row r="6" spans="1:8" x14ac:dyDescent="0.3">
      <c r="A6">
        <v>61.656120000000001</v>
      </c>
      <c r="B6">
        <v>0.75002000000000002</v>
      </c>
      <c r="C6">
        <f t="shared" si="0"/>
        <v>0.30828060000000002</v>
      </c>
      <c r="H6" s="1"/>
    </row>
    <row r="7" spans="1:8" x14ac:dyDescent="0.3">
      <c r="A7">
        <v>71.817880000000002</v>
      </c>
      <c r="B7">
        <v>0.74121999999999999</v>
      </c>
      <c r="C7">
        <f t="shared" si="0"/>
        <v>0.3590894</v>
      </c>
      <c r="H7" s="1"/>
    </row>
    <row r="8" spans="1:8" x14ac:dyDescent="0.3">
      <c r="A8">
        <v>81.680779999999999</v>
      </c>
      <c r="B8">
        <v>0.73370999999999997</v>
      </c>
      <c r="C8">
        <f t="shared" si="0"/>
        <v>0.40840389999999999</v>
      </c>
      <c r="H8" s="1"/>
    </row>
    <row r="9" spans="1:8" x14ac:dyDescent="0.3">
      <c r="A9">
        <v>91.643280000000004</v>
      </c>
      <c r="B9">
        <v>0.72543000000000002</v>
      </c>
      <c r="C9">
        <f t="shared" si="0"/>
        <v>0.45821640000000002</v>
      </c>
      <c r="H9" s="1"/>
    </row>
    <row r="10" spans="1:8" x14ac:dyDescent="0.3">
      <c r="A10">
        <v>101.50619</v>
      </c>
      <c r="B10">
        <v>0.71889000000000003</v>
      </c>
      <c r="C10">
        <f t="shared" si="0"/>
        <v>0.50753095000000004</v>
      </c>
      <c r="H10" s="1"/>
    </row>
    <row r="11" spans="1:8" x14ac:dyDescent="0.3">
      <c r="A11">
        <v>111.56832</v>
      </c>
      <c r="B11">
        <v>0.71223999999999998</v>
      </c>
      <c r="C11">
        <f t="shared" si="0"/>
        <v>0.55784160000000005</v>
      </c>
      <c r="H11" s="1"/>
    </row>
    <row r="12" spans="1:8" x14ac:dyDescent="0.3">
      <c r="A12">
        <v>122.12859</v>
      </c>
      <c r="B12">
        <v>0.70538000000000001</v>
      </c>
      <c r="C12">
        <f t="shared" si="0"/>
        <v>0.61064295000000002</v>
      </c>
      <c r="H12" s="1"/>
    </row>
    <row r="13" spans="1:8" x14ac:dyDescent="0.3">
      <c r="A13">
        <v>132.48958999999999</v>
      </c>
      <c r="B13">
        <v>0.69894999999999996</v>
      </c>
      <c r="C13">
        <f t="shared" si="0"/>
        <v>0.66244795000000001</v>
      </c>
      <c r="H13" s="1"/>
    </row>
    <row r="14" spans="1:8" x14ac:dyDescent="0.3">
      <c r="A14">
        <v>142.55172999999999</v>
      </c>
      <c r="B14">
        <v>0.69254000000000004</v>
      </c>
      <c r="C14">
        <f t="shared" si="0"/>
        <v>0.71275864999999994</v>
      </c>
      <c r="H14" s="1"/>
    </row>
    <row r="15" spans="1:8" x14ac:dyDescent="0.3">
      <c r="A15">
        <v>152.51425</v>
      </c>
      <c r="B15">
        <v>0.68647999999999998</v>
      </c>
      <c r="C15">
        <f t="shared" si="0"/>
        <v>0.76257125000000003</v>
      </c>
      <c r="H15" s="1"/>
    </row>
    <row r="16" spans="1:8" x14ac:dyDescent="0.3">
      <c r="A16">
        <v>163.37338</v>
      </c>
      <c r="B16">
        <v>0.68161000000000005</v>
      </c>
      <c r="C16">
        <f t="shared" si="0"/>
        <v>0.81686689999999995</v>
      </c>
      <c r="H16" s="1"/>
    </row>
    <row r="17" spans="1:8" x14ac:dyDescent="0.3">
      <c r="A17">
        <v>173.73439999999999</v>
      </c>
      <c r="B17">
        <v>0.67523999999999995</v>
      </c>
      <c r="C17">
        <f t="shared" si="0"/>
        <v>0.868672</v>
      </c>
      <c r="H17" s="1"/>
    </row>
    <row r="18" spans="1:8" x14ac:dyDescent="0.3">
      <c r="A18">
        <v>184.49391</v>
      </c>
      <c r="B18">
        <v>0.66932999999999998</v>
      </c>
      <c r="C18">
        <f t="shared" si="0"/>
        <v>0.92246954999999997</v>
      </c>
      <c r="H18" s="1"/>
    </row>
    <row r="19" spans="1:8" x14ac:dyDescent="0.3">
      <c r="A19">
        <v>194.45643000000001</v>
      </c>
      <c r="B19">
        <v>0.66403000000000001</v>
      </c>
      <c r="C19">
        <f t="shared" si="0"/>
        <v>0.97228215000000007</v>
      </c>
      <c r="H19" s="1"/>
    </row>
    <row r="20" spans="1:8" x14ac:dyDescent="0.3">
      <c r="A20">
        <v>205.11633</v>
      </c>
      <c r="B20">
        <v>0.65885000000000005</v>
      </c>
      <c r="C20">
        <f t="shared" si="0"/>
        <v>1.0255816500000001</v>
      </c>
      <c r="H20" s="1"/>
    </row>
    <row r="21" spans="1:8" x14ac:dyDescent="0.3">
      <c r="A21">
        <v>214.97923</v>
      </c>
      <c r="B21">
        <v>0.65327999999999997</v>
      </c>
      <c r="C21">
        <f t="shared" si="0"/>
        <v>1.0748961500000001</v>
      </c>
      <c r="H21" s="1"/>
    </row>
    <row r="22" spans="1:8" x14ac:dyDescent="0.3">
      <c r="A22">
        <v>225.14097000000001</v>
      </c>
      <c r="B22">
        <v>0.64875000000000005</v>
      </c>
      <c r="C22">
        <f t="shared" si="0"/>
        <v>1.12570485</v>
      </c>
      <c r="H22" s="1"/>
    </row>
    <row r="23" spans="1:8" x14ac:dyDescent="0.3">
      <c r="A23">
        <v>235.20312999999999</v>
      </c>
      <c r="B23">
        <v>0.64354999999999996</v>
      </c>
      <c r="C23">
        <f t="shared" si="0"/>
        <v>1.1760156499999999</v>
      </c>
      <c r="H23" s="1"/>
    </row>
    <row r="24" spans="1:8" x14ac:dyDescent="0.3">
      <c r="A24">
        <v>245.16564</v>
      </c>
      <c r="B24">
        <v>0.6391</v>
      </c>
      <c r="C24">
        <f t="shared" si="0"/>
        <v>1.2258282</v>
      </c>
      <c r="H24" s="1"/>
    </row>
    <row r="25" spans="1:8" x14ac:dyDescent="0.3">
      <c r="A25">
        <v>255.12814</v>
      </c>
      <c r="B25">
        <v>0.63429999999999997</v>
      </c>
      <c r="C25">
        <f t="shared" si="0"/>
        <v>1.2756407000000001</v>
      </c>
      <c r="H25" s="1"/>
    </row>
    <row r="26" spans="1:8" x14ac:dyDescent="0.3">
      <c r="A26">
        <v>265.19027999999997</v>
      </c>
      <c r="B26">
        <v>0.62949999999999995</v>
      </c>
      <c r="C26">
        <f t="shared" si="0"/>
        <v>1.3259513999999999</v>
      </c>
      <c r="H26" s="1"/>
    </row>
    <row r="27" spans="1:8" x14ac:dyDescent="0.3">
      <c r="A27">
        <v>275.05318</v>
      </c>
      <c r="B27">
        <v>0.62522999999999995</v>
      </c>
      <c r="C27">
        <f t="shared" si="0"/>
        <v>1.3752659</v>
      </c>
      <c r="H27" s="1"/>
    </row>
    <row r="28" spans="1:8" x14ac:dyDescent="0.3">
      <c r="A28">
        <v>284.91604000000001</v>
      </c>
      <c r="B28">
        <v>0.62060999999999999</v>
      </c>
      <c r="C28">
        <f t="shared" si="0"/>
        <v>1.4245802000000001</v>
      </c>
      <c r="H28" s="1"/>
    </row>
    <row r="29" spans="1:8" x14ac:dyDescent="0.3">
      <c r="A29">
        <v>295.07783000000001</v>
      </c>
      <c r="B29">
        <v>0.61665000000000003</v>
      </c>
      <c r="C29">
        <f t="shared" si="0"/>
        <v>1.47538915</v>
      </c>
      <c r="H29" s="1"/>
    </row>
    <row r="30" spans="1:8" x14ac:dyDescent="0.3">
      <c r="A30">
        <v>304.94072999999997</v>
      </c>
      <c r="B30">
        <v>0.61221000000000003</v>
      </c>
      <c r="C30">
        <f t="shared" si="0"/>
        <v>1.52470365</v>
      </c>
      <c r="H30" s="1"/>
    </row>
    <row r="31" spans="1:8" x14ac:dyDescent="0.3">
      <c r="A31">
        <v>315.40136000000001</v>
      </c>
      <c r="B31">
        <v>0.60743999999999998</v>
      </c>
      <c r="C31">
        <f t="shared" si="0"/>
        <v>1.5770068000000002</v>
      </c>
      <c r="H31" s="1"/>
    </row>
    <row r="32" spans="1:8" x14ac:dyDescent="0.3">
      <c r="A32">
        <v>325.26425999999998</v>
      </c>
      <c r="B32">
        <v>0.60341999999999996</v>
      </c>
      <c r="C32">
        <f t="shared" si="0"/>
        <v>1.6263212999999999</v>
      </c>
      <c r="H32" s="1"/>
    </row>
    <row r="33" spans="1:8" x14ac:dyDescent="0.3">
      <c r="A33">
        <v>335.12711999999999</v>
      </c>
      <c r="B33">
        <v>0.59914999999999996</v>
      </c>
      <c r="C33">
        <f t="shared" si="0"/>
        <v>1.6756355999999999</v>
      </c>
      <c r="H33" s="1"/>
    </row>
    <row r="34" spans="1:8" x14ac:dyDescent="0.3">
      <c r="A34">
        <v>345.78699999999998</v>
      </c>
      <c r="B34">
        <v>0.59506000000000003</v>
      </c>
      <c r="C34">
        <f t="shared" si="0"/>
        <v>1.7289349999999999</v>
      </c>
      <c r="H34" s="1"/>
    </row>
    <row r="35" spans="1:8" x14ac:dyDescent="0.3">
      <c r="A35">
        <v>355.6499</v>
      </c>
      <c r="B35">
        <v>0.59087000000000001</v>
      </c>
      <c r="C35">
        <f t="shared" si="0"/>
        <v>1.7782495</v>
      </c>
      <c r="H35" s="1"/>
    </row>
    <row r="36" spans="1:8" x14ac:dyDescent="0.3">
      <c r="A36">
        <v>365.51276000000001</v>
      </c>
      <c r="B36">
        <v>0.58762000000000003</v>
      </c>
      <c r="C36">
        <f t="shared" si="0"/>
        <v>1.8275638000000001</v>
      </c>
      <c r="H36" s="1"/>
    </row>
    <row r="37" spans="1:8" x14ac:dyDescent="0.3">
      <c r="A37">
        <v>375.37567999999999</v>
      </c>
      <c r="B37">
        <v>0.58328999999999998</v>
      </c>
      <c r="C37">
        <f t="shared" si="0"/>
        <v>1.8768783999999998</v>
      </c>
      <c r="H37" s="1"/>
    </row>
    <row r="38" spans="1:8" x14ac:dyDescent="0.3">
      <c r="A38">
        <v>385.63708000000003</v>
      </c>
      <c r="B38">
        <v>0.57918999999999998</v>
      </c>
      <c r="C38">
        <f t="shared" si="0"/>
        <v>1.9281854</v>
      </c>
      <c r="H38" s="1"/>
    </row>
    <row r="39" spans="1:8" x14ac:dyDescent="0.3">
      <c r="A39">
        <v>395.59958</v>
      </c>
      <c r="B39">
        <v>0.57511000000000001</v>
      </c>
      <c r="C39">
        <f t="shared" si="0"/>
        <v>1.9779979000000001</v>
      </c>
      <c r="H39" s="1"/>
    </row>
    <row r="40" spans="1:8" x14ac:dyDescent="0.3">
      <c r="A40">
        <v>405.56211000000002</v>
      </c>
      <c r="B40">
        <v>0.57145000000000001</v>
      </c>
      <c r="C40">
        <f t="shared" si="0"/>
        <v>2.0278105499999999</v>
      </c>
      <c r="H40" s="1"/>
    </row>
    <row r="41" spans="1:8" x14ac:dyDescent="0.3">
      <c r="A41">
        <v>415.82353999999998</v>
      </c>
      <c r="B41">
        <v>0.56762000000000001</v>
      </c>
      <c r="C41">
        <f t="shared" si="0"/>
        <v>2.0791176999999998</v>
      </c>
      <c r="H41" s="1"/>
    </row>
    <row r="42" spans="1:8" x14ac:dyDescent="0.3">
      <c r="A42">
        <v>425.98527000000001</v>
      </c>
      <c r="B42">
        <v>0.56367999999999996</v>
      </c>
      <c r="C42">
        <f t="shared" si="0"/>
        <v>2.1299263499999999</v>
      </c>
      <c r="H42" s="1"/>
    </row>
    <row r="43" spans="1:8" x14ac:dyDescent="0.3">
      <c r="A43">
        <v>436.34629000000001</v>
      </c>
      <c r="B43">
        <v>0.56028</v>
      </c>
      <c r="C43">
        <f t="shared" si="0"/>
        <v>2.18173145</v>
      </c>
      <c r="H43" s="1"/>
    </row>
    <row r="44" spans="1:8" x14ac:dyDescent="0.3">
      <c r="A44">
        <v>446.20916999999997</v>
      </c>
      <c r="B44">
        <v>0.55652999999999997</v>
      </c>
      <c r="C44">
        <f t="shared" si="0"/>
        <v>2.2310458499999997</v>
      </c>
      <c r="H44" s="1"/>
    </row>
    <row r="45" spans="1:8" x14ac:dyDescent="0.3">
      <c r="A45">
        <v>456.76943</v>
      </c>
      <c r="B45">
        <v>0.55289999999999995</v>
      </c>
      <c r="C45">
        <f t="shared" si="0"/>
        <v>2.2838471500000002</v>
      </c>
      <c r="H45" s="1"/>
    </row>
    <row r="46" spans="1:8" x14ac:dyDescent="0.3">
      <c r="A46">
        <v>466.63233000000002</v>
      </c>
      <c r="B46">
        <v>0.54891999999999996</v>
      </c>
      <c r="C46">
        <f t="shared" si="0"/>
        <v>2.3331616500000001</v>
      </c>
      <c r="H46" s="1"/>
    </row>
    <row r="47" spans="1:8" x14ac:dyDescent="0.3">
      <c r="A47">
        <v>476.59487999999999</v>
      </c>
      <c r="B47">
        <v>0.54551000000000005</v>
      </c>
      <c r="C47">
        <f t="shared" si="0"/>
        <v>2.3829744000000002</v>
      </c>
      <c r="H47" s="1"/>
    </row>
    <row r="48" spans="1:8" x14ac:dyDescent="0.3">
      <c r="A48">
        <v>487.65323999999998</v>
      </c>
      <c r="B48">
        <v>0.54185000000000005</v>
      </c>
      <c r="C48">
        <f t="shared" si="0"/>
        <v>2.4382661999999997</v>
      </c>
      <c r="H48" s="1"/>
    </row>
    <row r="49" spans="1:8" x14ac:dyDescent="0.3">
      <c r="A49">
        <v>497.71534000000003</v>
      </c>
      <c r="B49">
        <v>0.53815000000000002</v>
      </c>
      <c r="C49">
        <f t="shared" si="0"/>
        <v>2.4885767000000003</v>
      </c>
      <c r="H49" s="1"/>
    </row>
    <row r="50" spans="1:8" x14ac:dyDescent="0.3">
      <c r="A50">
        <v>508.07636000000002</v>
      </c>
      <c r="B50">
        <v>0.53495000000000004</v>
      </c>
      <c r="C50">
        <f t="shared" si="0"/>
        <v>2.5403818</v>
      </c>
      <c r="H50" s="1"/>
    </row>
    <row r="51" spans="1:8" x14ac:dyDescent="0.3">
      <c r="A51">
        <v>517.93924000000004</v>
      </c>
      <c r="B51">
        <v>0.53122999999999998</v>
      </c>
      <c r="C51">
        <f t="shared" si="0"/>
        <v>2.5896962000000001</v>
      </c>
      <c r="H51" s="1"/>
    </row>
    <row r="52" spans="1:8" x14ac:dyDescent="0.3">
      <c r="A52">
        <v>527.80214000000001</v>
      </c>
      <c r="B52">
        <v>0.52781</v>
      </c>
      <c r="C52">
        <f t="shared" si="0"/>
        <v>2.6390107</v>
      </c>
      <c r="H52" s="1"/>
    </row>
    <row r="53" spans="1:8" x14ac:dyDescent="0.3">
      <c r="A53">
        <v>537.76468999999997</v>
      </c>
      <c r="B53">
        <v>0.52458000000000005</v>
      </c>
      <c r="C53">
        <f t="shared" si="0"/>
        <v>2.6888234499999997</v>
      </c>
      <c r="H53" s="1"/>
    </row>
    <row r="54" spans="1:8" x14ac:dyDescent="0.3">
      <c r="A54">
        <v>548.92272000000003</v>
      </c>
      <c r="B54">
        <v>0.52127000000000001</v>
      </c>
      <c r="C54">
        <f t="shared" si="0"/>
        <v>2.7446136000000001</v>
      </c>
      <c r="H54" s="1"/>
    </row>
    <row r="55" spans="1:8" x14ac:dyDescent="0.3">
      <c r="A55">
        <v>559.88144999999997</v>
      </c>
      <c r="B55">
        <v>0.51763999999999999</v>
      </c>
      <c r="C55">
        <f t="shared" si="0"/>
        <v>2.7994072499999998</v>
      </c>
      <c r="H55" s="1"/>
    </row>
    <row r="56" spans="1:8" x14ac:dyDescent="0.3">
      <c r="A56">
        <v>569.84397999999999</v>
      </c>
      <c r="B56">
        <v>0.51449999999999996</v>
      </c>
      <c r="C56">
        <f t="shared" si="0"/>
        <v>2.8492199</v>
      </c>
      <c r="H56" s="1"/>
    </row>
    <row r="57" spans="1:8" x14ac:dyDescent="0.3">
      <c r="A57">
        <v>579.70687999999996</v>
      </c>
      <c r="B57">
        <v>0.51083000000000001</v>
      </c>
      <c r="C57">
        <f t="shared" si="0"/>
        <v>2.8985344</v>
      </c>
      <c r="H57" s="1"/>
    </row>
    <row r="58" spans="1:8" x14ac:dyDescent="0.3">
      <c r="A58">
        <v>590.36677999999995</v>
      </c>
      <c r="B58">
        <v>0.50761999999999996</v>
      </c>
      <c r="C58">
        <f t="shared" si="0"/>
        <v>2.9518338999999996</v>
      </c>
      <c r="H58" s="1"/>
    </row>
    <row r="59" spans="1:8" x14ac:dyDescent="0.3">
      <c r="A59">
        <v>600.22965999999997</v>
      </c>
      <c r="B59">
        <v>0.50449999999999995</v>
      </c>
      <c r="C59">
        <f t="shared" si="0"/>
        <v>3.0011482999999997</v>
      </c>
      <c r="H59" s="1"/>
    </row>
    <row r="60" spans="1:8" x14ac:dyDescent="0.3">
      <c r="A60">
        <v>611.08876999999995</v>
      </c>
      <c r="B60">
        <v>0.50166999999999995</v>
      </c>
      <c r="C60">
        <f t="shared" si="0"/>
        <v>3.0554438499999996</v>
      </c>
      <c r="H60" s="1"/>
    </row>
    <row r="61" spans="1:8" x14ac:dyDescent="0.3">
      <c r="A61">
        <v>621.05125999999996</v>
      </c>
      <c r="B61">
        <v>0.49791000000000002</v>
      </c>
      <c r="C61">
        <f t="shared" si="0"/>
        <v>3.1052562999999997</v>
      </c>
      <c r="H61" s="1"/>
    </row>
    <row r="62" spans="1:8" x14ac:dyDescent="0.3">
      <c r="A62">
        <v>631.01378999999997</v>
      </c>
      <c r="B62">
        <v>0.49513000000000001</v>
      </c>
      <c r="C62">
        <f t="shared" si="0"/>
        <v>3.15506895</v>
      </c>
      <c r="H62" s="1"/>
    </row>
    <row r="63" spans="1:8" x14ac:dyDescent="0.3">
      <c r="A63">
        <v>641.27516000000003</v>
      </c>
      <c r="B63">
        <v>0.49158000000000002</v>
      </c>
      <c r="C63">
        <f t="shared" si="0"/>
        <v>3.2063758</v>
      </c>
      <c r="H63" s="1"/>
    </row>
    <row r="64" spans="1:8" x14ac:dyDescent="0.3">
      <c r="A64">
        <v>651.53652999999997</v>
      </c>
      <c r="B64">
        <v>0.48857</v>
      </c>
      <c r="C64">
        <f t="shared" si="0"/>
        <v>3.25768265</v>
      </c>
      <c r="H64" s="1"/>
    </row>
    <row r="65" spans="1:8" x14ac:dyDescent="0.3">
      <c r="A65">
        <v>661.79796999999996</v>
      </c>
      <c r="B65">
        <v>0.48526999999999998</v>
      </c>
      <c r="C65">
        <f t="shared" si="0"/>
        <v>3.3089898499999997</v>
      </c>
      <c r="H65" s="1"/>
    </row>
    <row r="66" spans="1:8" x14ac:dyDescent="0.3">
      <c r="A66">
        <v>671.66087000000005</v>
      </c>
      <c r="B66">
        <v>0.48244999999999999</v>
      </c>
      <c r="C66">
        <f t="shared" ref="C66:C129" si="1">A66/200</f>
        <v>3.35830435</v>
      </c>
      <c r="H66" s="1"/>
    </row>
    <row r="67" spans="1:8" x14ac:dyDescent="0.3">
      <c r="A67">
        <v>681.62336000000005</v>
      </c>
      <c r="B67">
        <v>0.47957</v>
      </c>
      <c r="C67">
        <f t="shared" si="1"/>
        <v>3.4081168000000002</v>
      </c>
      <c r="H67" s="1"/>
    </row>
    <row r="68" spans="1:8" x14ac:dyDescent="0.3">
      <c r="A68">
        <v>691.48625000000004</v>
      </c>
      <c r="B68">
        <v>0.47711999999999999</v>
      </c>
      <c r="C68">
        <f t="shared" si="1"/>
        <v>3.4574312500000004</v>
      </c>
      <c r="H68" s="1"/>
    </row>
    <row r="69" spans="1:8" x14ac:dyDescent="0.3">
      <c r="A69">
        <v>701.54839000000004</v>
      </c>
      <c r="B69">
        <v>0.47361999999999999</v>
      </c>
      <c r="C69">
        <f t="shared" si="1"/>
        <v>3.5077419500000002</v>
      </c>
      <c r="H69" s="1"/>
    </row>
    <row r="70" spans="1:8" x14ac:dyDescent="0.3">
      <c r="A70">
        <v>711.41126999999994</v>
      </c>
      <c r="B70">
        <v>0.47064</v>
      </c>
      <c r="C70">
        <f t="shared" si="1"/>
        <v>3.5570563499999999</v>
      </c>
      <c r="H70" s="1"/>
    </row>
    <row r="71" spans="1:8" x14ac:dyDescent="0.3">
      <c r="A71">
        <v>721.27417000000003</v>
      </c>
      <c r="B71">
        <v>0.46790999999999999</v>
      </c>
      <c r="C71">
        <f t="shared" si="1"/>
        <v>3.6063708500000002</v>
      </c>
      <c r="H71" s="1"/>
    </row>
    <row r="72" spans="1:8" x14ac:dyDescent="0.3">
      <c r="A72">
        <v>731.63513</v>
      </c>
      <c r="B72">
        <v>0.46494000000000002</v>
      </c>
      <c r="C72">
        <f t="shared" si="1"/>
        <v>3.65817565</v>
      </c>
      <c r="H72" s="1"/>
    </row>
    <row r="73" spans="1:8" x14ac:dyDescent="0.3">
      <c r="A73">
        <v>741.59771999999998</v>
      </c>
      <c r="B73">
        <v>0.46235999999999999</v>
      </c>
      <c r="C73">
        <f t="shared" si="1"/>
        <v>3.7079885999999997</v>
      </c>
      <c r="H73" s="1"/>
    </row>
    <row r="74" spans="1:8" x14ac:dyDescent="0.3">
      <c r="A74">
        <v>751.85909000000004</v>
      </c>
      <c r="B74">
        <v>0.45929999999999999</v>
      </c>
      <c r="C74">
        <f t="shared" si="1"/>
        <v>3.7592954500000002</v>
      </c>
      <c r="H74" s="1"/>
    </row>
    <row r="75" spans="1:8" x14ac:dyDescent="0.3">
      <c r="A75">
        <v>762.02084000000002</v>
      </c>
      <c r="B75">
        <v>0.45640999999999998</v>
      </c>
      <c r="C75">
        <f t="shared" si="1"/>
        <v>3.8101042000000001</v>
      </c>
      <c r="H75" s="1"/>
    </row>
    <row r="76" spans="1:8" x14ac:dyDescent="0.3">
      <c r="A76">
        <v>771.98333000000002</v>
      </c>
      <c r="B76">
        <v>0.45363999999999999</v>
      </c>
      <c r="C76">
        <f t="shared" si="1"/>
        <v>3.8599166500000002</v>
      </c>
      <c r="H76" s="1"/>
    </row>
    <row r="77" spans="1:8" x14ac:dyDescent="0.3">
      <c r="A77">
        <v>781.84622999999999</v>
      </c>
      <c r="B77">
        <v>0.45063999999999999</v>
      </c>
      <c r="C77">
        <f t="shared" si="1"/>
        <v>3.9092311500000001</v>
      </c>
      <c r="H77" s="1"/>
    </row>
    <row r="78" spans="1:8" x14ac:dyDescent="0.3">
      <c r="A78">
        <v>791.90840000000003</v>
      </c>
      <c r="B78">
        <v>0.44764999999999999</v>
      </c>
      <c r="C78">
        <f t="shared" si="1"/>
        <v>3.9595420000000003</v>
      </c>
      <c r="H78" s="1"/>
    </row>
    <row r="79" spans="1:8" x14ac:dyDescent="0.3">
      <c r="A79">
        <v>802.07012999999995</v>
      </c>
      <c r="B79">
        <v>0.44514999999999999</v>
      </c>
      <c r="C79">
        <f t="shared" si="1"/>
        <v>4.0103506499999995</v>
      </c>
      <c r="H79" s="1"/>
    </row>
    <row r="80" spans="1:8" x14ac:dyDescent="0.3">
      <c r="A80">
        <v>812.43124999999998</v>
      </c>
      <c r="B80">
        <v>0.44246999999999997</v>
      </c>
      <c r="C80">
        <f t="shared" si="1"/>
        <v>4.0621562500000001</v>
      </c>
      <c r="H80" s="1"/>
    </row>
    <row r="81" spans="1:8" x14ac:dyDescent="0.3">
      <c r="A81">
        <v>822.69253000000003</v>
      </c>
      <c r="B81">
        <v>0.43980999999999998</v>
      </c>
      <c r="C81">
        <f t="shared" si="1"/>
        <v>4.1134626499999998</v>
      </c>
      <c r="H81" s="1"/>
    </row>
    <row r="82" spans="1:8" x14ac:dyDescent="0.3">
      <c r="A82">
        <v>832.55543</v>
      </c>
      <c r="B82">
        <v>0.43697000000000003</v>
      </c>
      <c r="C82">
        <f t="shared" si="1"/>
        <v>4.1627771500000001</v>
      </c>
      <c r="H82" s="1"/>
    </row>
    <row r="83" spans="1:8" x14ac:dyDescent="0.3">
      <c r="A83">
        <v>842.41831999999999</v>
      </c>
      <c r="B83">
        <v>0.43413000000000002</v>
      </c>
      <c r="C83">
        <f t="shared" si="1"/>
        <v>4.2120915999999999</v>
      </c>
      <c r="H83" s="1"/>
    </row>
    <row r="84" spans="1:8" x14ac:dyDescent="0.3">
      <c r="A84">
        <v>852.38094999999998</v>
      </c>
      <c r="B84">
        <v>0.43147999999999997</v>
      </c>
      <c r="C84">
        <f t="shared" si="1"/>
        <v>4.2619047500000002</v>
      </c>
      <c r="H84" s="1"/>
    </row>
    <row r="85" spans="1:8" x14ac:dyDescent="0.3">
      <c r="A85">
        <v>863.43929000000003</v>
      </c>
      <c r="B85">
        <v>0.42880000000000001</v>
      </c>
      <c r="C85">
        <f t="shared" si="1"/>
        <v>4.31719645</v>
      </c>
      <c r="H85" s="1"/>
    </row>
    <row r="86" spans="1:8" x14ac:dyDescent="0.3">
      <c r="A86">
        <v>873.80029999999999</v>
      </c>
      <c r="B86">
        <v>0.42564999999999997</v>
      </c>
      <c r="C86">
        <f t="shared" si="1"/>
        <v>4.3690014999999995</v>
      </c>
      <c r="H86" s="1"/>
    </row>
    <row r="87" spans="1:8" x14ac:dyDescent="0.3">
      <c r="A87">
        <v>884.16132000000005</v>
      </c>
      <c r="B87">
        <v>0.42291000000000001</v>
      </c>
      <c r="C87">
        <f t="shared" si="1"/>
        <v>4.4208066000000006</v>
      </c>
      <c r="H87" s="1"/>
    </row>
    <row r="88" spans="1:8" x14ac:dyDescent="0.3">
      <c r="A88">
        <v>894.22348999999997</v>
      </c>
      <c r="B88">
        <v>0.42021999999999998</v>
      </c>
      <c r="C88">
        <f t="shared" si="1"/>
        <v>4.4711174499999995</v>
      </c>
      <c r="H88" s="1"/>
    </row>
    <row r="89" spans="1:8" x14ac:dyDescent="0.3">
      <c r="A89">
        <v>904.18593999999996</v>
      </c>
      <c r="B89">
        <v>0.41774</v>
      </c>
      <c r="C89">
        <f t="shared" si="1"/>
        <v>4.5209296999999999</v>
      </c>
      <c r="H89" s="1"/>
    </row>
    <row r="90" spans="1:8" x14ac:dyDescent="0.3">
      <c r="A90">
        <v>914.34776999999997</v>
      </c>
      <c r="B90">
        <v>0.41520000000000001</v>
      </c>
      <c r="C90">
        <f t="shared" si="1"/>
        <v>4.57173885</v>
      </c>
      <c r="H90" s="1"/>
    </row>
    <row r="91" spans="1:8" x14ac:dyDescent="0.3">
      <c r="A91">
        <v>924.50949000000003</v>
      </c>
      <c r="B91">
        <v>0.41227999999999998</v>
      </c>
      <c r="C91">
        <f t="shared" si="1"/>
        <v>4.6225474499999999</v>
      </c>
      <c r="H91" s="1"/>
    </row>
    <row r="92" spans="1:8" x14ac:dyDescent="0.3">
      <c r="A92">
        <v>934.47194000000002</v>
      </c>
      <c r="B92">
        <v>0.40971999999999997</v>
      </c>
      <c r="C92">
        <f t="shared" si="1"/>
        <v>4.6723597000000003</v>
      </c>
      <c r="H92" s="1"/>
    </row>
    <row r="93" spans="1:8" x14ac:dyDescent="0.3">
      <c r="A93">
        <v>945.23144000000002</v>
      </c>
      <c r="B93">
        <v>0.40711999999999998</v>
      </c>
      <c r="C93">
        <f t="shared" si="1"/>
        <v>4.7261572000000003</v>
      </c>
      <c r="H93" s="1"/>
    </row>
    <row r="94" spans="1:8" x14ac:dyDescent="0.3">
      <c r="A94">
        <v>955.19407999999999</v>
      </c>
      <c r="B94">
        <v>0.40442</v>
      </c>
      <c r="C94">
        <f t="shared" si="1"/>
        <v>4.7759704000000003</v>
      </c>
      <c r="H94" s="1"/>
    </row>
    <row r="95" spans="1:8" x14ac:dyDescent="0.3">
      <c r="A95">
        <v>965.05696</v>
      </c>
      <c r="B95">
        <v>0.40172999999999998</v>
      </c>
      <c r="C95">
        <f t="shared" si="1"/>
        <v>4.8252848000000004</v>
      </c>
      <c r="H95" s="1"/>
    </row>
    <row r="96" spans="1:8" x14ac:dyDescent="0.3">
      <c r="A96">
        <v>975.01940999999999</v>
      </c>
      <c r="B96">
        <v>0.39943000000000001</v>
      </c>
      <c r="C96">
        <f t="shared" si="1"/>
        <v>4.8750970499999999</v>
      </c>
      <c r="H96" s="1"/>
    </row>
    <row r="97" spans="1:8" x14ac:dyDescent="0.3">
      <c r="A97">
        <v>984.98195999999996</v>
      </c>
      <c r="B97">
        <v>0.39678999999999998</v>
      </c>
      <c r="C97">
        <f t="shared" si="1"/>
        <v>4.9249098</v>
      </c>
      <c r="H97" s="1"/>
    </row>
    <row r="98" spans="1:8" x14ac:dyDescent="0.3">
      <c r="A98">
        <v>995.04404</v>
      </c>
      <c r="B98">
        <v>0.39445999999999998</v>
      </c>
      <c r="C98">
        <f t="shared" si="1"/>
        <v>4.9752201999999999</v>
      </c>
      <c r="H98" s="1"/>
    </row>
    <row r="99" spans="1:8" x14ac:dyDescent="0.3">
      <c r="A99">
        <v>1005.50471</v>
      </c>
      <c r="B99">
        <v>0.39195000000000002</v>
      </c>
      <c r="C99">
        <f t="shared" si="1"/>
        <v>5.0275235500000006</v>
      </c>
      <c r="H99" s="1"/>
    </row>
    <row r="100" spans="1:8" x14ac:dyDescent="0.3">
      <c r="A100">
        <v>1015.66643</v>
      </c>
      <c r="B100">
        <v>0.38891999999999999</v>
      </c>
      <c r="C100">
        <f t="shared" si="1"/>
        <v>5.0783321499999996</v>
      </c>
      <c r="H100" s="1"/>
    </row>
    <row r="101" spans="1:8" x14ac:dyDescent="0.3">
      <c r="A101">
        <v>1026.2267300000001</v>
      </c>
      <c r="B101">
        <v>0.38662000000000002</v>
      </c>
      <c r="C101">
        <f t="shared" si="1"/>
        <v>5.1311336500000007</v>
      </c>
      <c r="H101" s="1"/>
    </row>
    <row r="102" spans="1:8" x14ac:dyDescent="0.3">
      <c r="A102">
        <v>1036.1892800000001</v>
      </c>
      <c r="B102">
        <v>0.38411000000000001</v>
      </c>
      <c r="C102">
        <f t="shared" si="1"/>
        <v>5.1809463999999998</v>
      </c>
      <c r="H102" s="1"/>
    </row>
    <row r="103" spans="1:8" x14ac:dyDescent="0.3">
      <c r="A103">
        <v>1046.0521799999999</v>
      </c>
      <c r="B103">
        <v>0.38147999999999999</v>
      </c>
      <c r="C103">
        <f t="shared" si="1"/>
        <v>5.2302608999999993</v>
      </c>
      <c r="H103" s="1"/>
    </row>
    <row r="104" spans="1:8" x14ac:dyDescent="0.3">
      <c r="A104">
        <v>1056.3135500000001</v>
      </c>
      <c r="B104">
        <v>0.37901000000000001</v>
      </c>
      <c r="C104">
        <f t="shared" si="1"/>
        <v>5.2815677500000007</v>
      </c>
      <c r="H104" s="1"/>
    </row>
    <row r="105" spans="1:8" x14ac:dyDescent="0.3">
      <c r="A105">
        <v>1066.1763599999999</v>
      </c>
      <c r="B105">
        <v>0.37686999999999998</v>
      </c>
      <c r="C105">
        <f t="shared" si="1"/>
        <v>5.3308817999999993</v>
      </c>
      <c r="H105" s="1"/>
    </row>
    <row r="106" spans="1:8" x14ac:dyDescent="0.3">
      <c r="A106">
        <v>1076.0393300000001</v>
      </c>
      <c r="B106">
        <v>0.37420999999999999</v>
      </c>
      <c r="C106">
        <f t="shared" si="1"/>
        <v>5.3801966500000002</v>
      </c>
      <c r="H106" s="1"/>
    </row>
    <row r="107" spans="1:8" x14ac:dyDescent="0.3">
      <c r="A107">
        <v>1086.1015299999999</v>
      </c>
      <c r="B107">
        <v>0.37181999999999998</v>
      </c>
      <c r="C107">
        <f t="shared" si="1"/>
        <v>5.4305076499999991</v>
      </c>
      <c r="H107" s="1"/>
    </row>
    <row r="108" spans="1:8" x14ac:dyDescent="0.3">
      <c r="A108">
        <v>1096.5620799999999</v>
      </c>
      <c r="B108">
        <v>0.36945</v>
      </c>
      <c r="C108">
        <f t="shared" si="1"/>
        <v>5.4828104</v>
      </c>
      <c r="H108" s="1"/>
    </row>
    <row r="109" spans="1:8" x14ac:dyDescent="0.3">
      <c r="A109">
        <v>1106.62428</v>
      </c>
      <c r="B109">
        <v>0.36667</v>
      </c>
      <c r="C109">
        <f t="shared" si="1"/>
        <v>5.5331213999999997</v>
      </c>
      <c r="H109" s="1"/>
    </row>
    <row r="110" spans="1:8" x14ac:dyDescent="0.3">
      <c r="A110">
        <v>1116.6863499999999</v>
      </c>
      <c r="B110">
        <v>0.36446000000000001</v>
      </c>
      <c r="C110">
        <f t="shared" si="1"/>
        <v>5.5834317499999999</v>
      </c>
      <c r="H110" s="1"/>
    </row>
    <row r="111" spans="1:8" x14ac:dyDescent="0.3">
      <c r="A111">
        <v>1126.6488999999999</v>
      </c>
      <c r="B111">
        <v>0.36203000000000002</v>
      </c>
      <c r="C111">
        <f t="shared" si="1"/>
        <v>5.6332445</v>
      </c>
      <c r="H111" s="1"/>
    </row>
    <row r="112" spans="1:8" x14ac:dyDescent="0.3">
      <c r="A112">
        <v>1136.71108</v>
      </c>
      <c r="B112">
        <v>0.35930000000000001</v>
      </c>
      <c r="C112">
        <f t="shared" si="1"/>
        <v>5.6835554000000004</v>
      </c>
      <c r="H112" s="1"/>
    </row>
    <row r="113" spans="1:8" x14ac:dyDescent="0.3">
      <c r="A113">
        <v>1146.5738799999999</v>
      </c>
      <c r="B113">
        <v>0.35726999999999998</v>
      </c>
      <c r="C113">
        <f t="shared" si="1"/>
        <v>5.7328693999999993</v>
      </c>
      <c r="H113" s="1"/>
    </row>
    <row r="114" spans="1:8" x14ac:dyDescent="0.3">
      <c r="A114">
        <v>1156.5364099999999</v>
      </c>
      <c r="B114">
        <v>0.35488999999999998</v>
      </c>
      <c r="C114">
        <f t="shared" si="1"/>
        <v>5.78268205</v>
      </c>
      <c r="H114" s="1"/>
    </row>
    <row r="115" spans="1:8" x14ac:dyDescent="0.3">
      <c r="A115">
        <v>1166.89743</v>
      </c>
      <c r="B115">
        <v>0.35241</v>
      </c>
      <c r="C115">
        <f t="shared" si="1"/>
        <v>5.8344871500000002</v>
      </c>
      <c r="H115" s="1"/>
    </row>
    <row r="116" spans="1:8" x14ac:dyDescent="0.3">
      <c r="A116">
        <v>1177.25845</v>
      </c>
      <c r="B116">
        <v>0.34984999999999999</v>
      </c>
      <c r="C116">
        <f t="shared" si="1"/>
        <v>5.8862922500000003</v>
      </c>
      <c r="H116" s="1"/>
    </row>
    <row r="117" spans="1:8" x14ac:dyDescent="0.3">
      <c r="A117">
        <v>1187.71912</v>
      </c>
      <c r="B117">
        <v>0.34749999999999998</v>
      </c>
      <c r="C117">
        <f t="shared" si="1"/>
        <v>5.9385956000000002</v>
      </c>
      <c r="H117" s="1"/>
    </row>
    <row r="118" spans="1:8" x14ac:dyDescent="0.3">
      <c r="A118">
        <v>1198.0801200000001</v>
      </c>
      <c r="B118">
        <v>0.34509000000000001</v>
      </c>
      <c r="C118">
        <f t="shared" si="1"/>
        <v>5.9904006000000001</v>
      </c>
      <c r="H118" s="1"/>
    </row>
    <row r="119" spans="1:8" x14ac:dyDescent="0.3">
      <c r="A119">
        <v>1209.5370399999999</v>
      </c>
      <c r="B119">
        <v>0.34254000000000001</v>
      </c>
      <c r="C119">
        <f t="shared" si="1"/>
        <v>6.0476852000000001</v>
      </c>
      <c r="H119" s="1"/>
    </row>
    <row r="120" spans="1:8" x14ac:dyDescent="0.3">
      <c r="A120">
        <v>1219.39984</v>
      </c>
      <c r="B120">
        <v>0.34025</v>
      </c>
      <c r="C120">
        <f t="shared" si="1"/>
        <v>6.0969992</v>
      </c>
      <c r="H120" s="1"/>
    </row>
    <row r="121" spans="1:8" x14ac:dyDescent="0.3">
      <c r="A121">
        <v>1229.2627399999999</v>
      </c>
      <c r="B121">
        <v>0.33765000000000001</v>
      </c>
      <c r="C121">
        <f t="shared" si="1"/>
        <v>6.1463136999999994</v>
      </c>
      <c r="H121" s="1"/>
    </row>
    <row r="122" spans="1:8" x14ac:dyDescent="0.3">
      <c r="A122">
        <v>1239.7232899999999</v>
      </c>
      <c r="B122">
        <v>0.33537</v>
      </c>
      <c r="C122">
        <f t="shared" si="1"/>
        <v>6.1986164499999994</v>
      </c>
      <c r="H122" s="1"/>
    </row>
    <row r="123" spans="1:8" x14ac:dyDescent="0.3">
      <c r="A123">
        <v>1249.8852099999999</v>
      </c>
      <c r="B123">
        <v>0.33300999999999997</v>
      </c>
      <c r="C123">
        <f t="shared" si="1"/>
        <v>6.2494260499999994</v>
      </c>
      <c r="H123" s="1"/>
    </row>
    <row r="124" spans="1:8" x14ac:dyDescent="0.3">
      <c r="A124">
        <v>1260.24604</v>
      </c>
      <c r="B124">
        <v>0.33056999999999997</v>
      </c>
      <c r="C124">
        <f t="shared" si="1"/>
        <v>6.3012302</v>
      </c>
      <c r="H124" s="1"/>
    </row>
    <row r="125" spans="1:8" x14ac:dyDescent="0.3">
      <c r="A125">
        <v>1270.8064400000001</v>
      </c>
      <c r="B125">
        <v>0.32797999999999999</v>
      </c>
      <c r="C125">
        <f t="shared" si="1"/>
        <v>6.3540322000000007</v>
      </c>
      <c r="H125" s="1"/>
    </row>
    <row r="126" spans="1:8" x14ac:dyDescent="0.3">
      <c r="A126">
        <v>1280.6692399999999</v>
      </c>
      <c r="B126">
        <v>0.32596000000000003</v>
      </c>
      <c r="C126">
        <f t="shared" si="1"/>
        <v>6.4033461999999997</v>
      </c>
      <c r="H126" s="1"/>
    </row>
    <row r="127" spans="1:8" x14ac:dyDescent="0.3">
      <c r="A127">
        <v>1290.6318799999999</v>
      </c>
      <c r="B127">
        <v>0.32329000000000002</v>
      </c>
      <c r="C127">
        <f t="shared" si="1"/>
        <v>6.4531593999999997</v>
      </c>
      <c r="H127" s="1"/>
    </row>
    <row r="128" spans="1:8" x14ac:dyDescent="0.3">
      <c r="A128">
        <v>1300.59431</v>
      </c>
      <c r="B128">
        <v>0.32135999999999998</v>
      </c>
      <c r="C128">
        <f t="shared" si="1"/>
        <v>6.5029715499999998</v>
      </c>
      <c r="H128" s="1"/>
    </row>
    <row r="129" spans="1:8" x14ac:dyDescent="0.3">
      <c r="A129">
        <v>1310.8557800000001</v>
      </c>
      <c r="B129">
        <v>0.31897999999999999</v>
      </c>
      <c r="C129">
        <f t="shared" si="1"/>
        <v>6.5542789000000008</v>
      </c>
      <c r="H129" s="1"/>
    </row>
    <row r="130" spans="1:8" x14ac:dyDescent="0.3">
      <c r="A130">
        <v>1321.0175300000001</v>
      </c>
      <c r="B130">
        <v>0.31664999999999999</v>
      </c>
      <c r="C130">
        <f t="shared" ref="C130:C160" si="2">A130/200</f>
        <v>6.6050876500000006</v>
      </c>
      <c r="H130" s="1"/>
    </row>
    <row r="131" spans="1:8" x14ac:dyDescent="0.3">
      <c r="A131">
        <v>1331.2789</v>
      </c>
      <c r="B131">
        <v>0.31434000000000001</v>
      </c>
      <c r="C131">
        <f t="shared" si="2"/>
        <v>6.6563945000000002</v>
      </c>
      <c r="H131" s="1"/>
    </row>
    <row r="132" spans="1:8" x14ac:dyDescent="0.3">
      <c r="A132">
        <v>1341.1417799999999</v>
      </c>
      <c r="B132">
        <v>0.31212000000000001</v>
      </c>
      <c r="C132">
        <f t="shared" si="2"/>
        <v>6.7057088999999994</v>
      </c>
      <c r="H132" s="1"/>
    </row>
    <row r="133" spans="1:8" x14ac:dyDescent="0.3">
      <c r="A133">
        <v>1351.20388</v>
      </c>
      <c r="B133">
        <v>0.31012000000000001</v>
      </c>
      <c r="C133">
        <f t="shared" si="2"/>
        <v>6.7560194000000005</v>
      </c>
      <c r="H133" s="1"/>
    </row>
    <row r="134" spans="1:8" x14ac:dyDescent="0.3">
      <c r="A134" s="1">
        <v>1361.16641</v>
      </c>
      <c r="B134">
        <v>0.30775999999999998</v>
      </c>
      <c r="C134">
        <f t="shared" si="2"/>
        <v>6.8058320500000002</v>
      </c>
      <c r="H134" s="1"/>
    </row>
    <row r="135" spans="1:8" x14ac:dyDescent="0.3">
      <c r="A135" s="1">
        <v>1371.2285999999999</v>
      </c>
      <c r="B135">
        <v>0.30562</v>
      </c>
      <c r="C135">
        <f t="shared" si="2"/>
        <v>6.8561429999999994</v>
      </c>
      <c r="H135" s="1"/>
    </row>
    <row r="136" spans="1:8" x14ac:dyDescent="0.3">
      <c r="A136" s="1">
        <v>1381.4899800000001</v>
      </c>
      <c r="B136">
        <v>0.30348000000000003</v>
      </c>
      <c r="C136">
        <f t="shared" si="2"/>
        <v>6.9074499000000005</v>
      </c>
      <c r="H136" s="1"/>
    </row>
    <row r="137" spans="1:8" x14ac:dyDescent="0.3">
      <c r="A137" s="1">
        <v>1391.3528799999999</v>
      </c>
      <c r="B137">
        <v>0.30114000000000002</v>
      </c>
      <c r="C137">
        <f t="shared" si="2"/>
        <v>6.9567644</v>
      </c>
      <c r="H137" s="1"/>
    </row>
    <row r="138" spans="1:8" x14ac:dyDescent="0.3">
      <c r="A138" s="1">
        <v>1401.6141500000001</v>
      </c>
      <c r="B138">
        <v>0.29898999999999998</v>
      </c>
      <c r="C138">
        <f t="shared" si="2"/>
        <v>7.0080707500000008</v>
      </c>
      <c r="H138" s="1"/>
    </row>
    <row r="139" spans="1:8" x14ac:dyDescent="0.3">
      <c r="A139" s="1">
        <v>1412.0748000000001</v>
      </c>
      <c r="B139">
        <v>0.29659999999999997</v>
      </c>
      <c r="C139">
        <f t="shared" si="2"/>
        <v>7.0603740000000004</v>
      </c>
      <c r="H139" s="1"/>
    </row>
    <row r="140" spans="1:8" x14ac:dyDescent="0.3">
      <c r="A140" s="1">
        <v>1422.1369999999999</v>
      </c>
      <c r="B140">
        <v>0.29437000000000002</v>
      </c>
      <c r="C140">
        <f t="shared" si="2"/>
        <v>7.1106850000000001</v>
      </c>
      <c r="H140" s="1"/>
    </row>
    <row r="141" spans="1:8" x14ac:dyDescent="0.3">
      <c r="A141" s="1">
        <v>1432.4981</v>
      </c>
      <c r="B141">
        <v>0.29214000000000001</v>
      </c>
      <c r="C141">
        <f t="shared" si="2"/>
        <v>7.1624905000000005</v>
      </c>
      <c r="H141" s="1"/>
    </row>
    <row r="142" spans="1:8" x14ac:dyDescent="0.3">
      <c r="A142">
        <v>1442.8590200000001</v>
      </c>
      <c r="B142">
        <v>0.28991</v>
      </c>
      <c r="C142">
        <f t="shared" si="2"/>
        <v>7.2142951000000002</v>
      </c>
      <c r="H142" s="1"/>
    </row>
    <row r="143" spans="1:8" x14ac:dyDescent="0.3">
      <c r="A143">
        <v>1453.7181700000001</v>
      </c>
      <c r="B143">
        <v>0.28750999999999999</v>
      </c>
      <c r="C143">
        <f t="shared" si="2"/>
        <v>7.2685908500000007</v>
      </c>
      <c r="H143" s="1"/>
    </row>
    <row r="144" spans="1:8" x14ac:dyDescent="0.3">
      <c r="A144">
        <v>1463.78025</v>
      </c>
      <c r="B144">
        <v>0.28521999999999997</v>
      </c>
      <c r="C144">
        <f t="shared" si="2"/>
        <v>7.3189012499999997</v>
      </c>
      <c r="H144" s="1"/>
    </row>
    <row r="145" spans="1:8" x14ac:dyDescent="0.3">
      <c r="A145">
        <v>1474.5397399999999</v>
      </c>
      <c r="B145">
        <v>0.28298000000000001</v>
      </c>
      <c r="C145">
        <f t="shared" si="2"/>
        <v>7.3726986999999999</v>
      </c>
      <c r="H145" s="1"/>
    </row>
    <row r="146" spans="1:8" x14ac:dyDescent="0.3">
      <c r="A146">
        <v>1484.8012200000001</v>
      </c>
      <c r="B146">
        <v>0.28072000000000003</v>
      </c>
      <c r="C146">
        <f t="shared" si="2"/>
        <v>7.4240061000000006</v>
      </c>
      <c r="H146" s="1"/>
    </row>
    <row r="147" spans="1:8" x14ac:dyDescent="0.3">
      <c r="A147">
        <v>1494.76376</v>
      </c>
      <c r="B147">
        <v>0.27864</v>
      </c>
      <c r="C147">
        <f t="shared" si="2"/>
        <v>7.4738188000000001</v>
      </c>
      <c r="H147" s="1"/>
    </row>
    <row r="148" spans="1:8" x14ac:dyDescent="0.3">
      <c r="A148">
        <v>1504.82584</v>
      </c>
      <c r="B148">
        <v>0.27650999999999998</v>
      </c>
      <c r="C148">
        <f t="shared" si="2"/>
        <v>7.5241292</v>
      </c>
      <c r="H148" s="1"/>
    </row>
    <row r="149" spans="1:8" x14ac:dyDescent="0.3">
      <c r="A149">
        <v>1515.0873099999999</v>
      </c>
      <c r="B149">
        <v>0.27415</v>
      </c>
      <c r="C149">
        <f t="shared" si="2"/>
        <v>7.5754365499999992</v>
      </c>
      <c r="H149" s="1"/>
    </row>
    <row r="150" spans="1:8" x14ac:dyDescent="0.3">
      <c r="A150">
        <v>1525.0497600000001</v>
      </c>
      <c r="B150">
        <v>0.27245000000000003</v>
      </c>
      <c r="C150">
        <f t="shared" si="2"/>
        <v>7.6252488000000005</v>
      </c>
      <c r="H150" s="1"/>
    </row>
    <row r="151" spans="1:8" x14ac:dyDescent="0.3">
      <c r="A151">
        <v>1535.0122899999999</v>
      </c>
      <c r="B151">
        <v>0.27012999999999998</v>
      </c>
      <c r="C151">
        <f t="shared" si="2"/>
        <v>7.6750614499999994</v>
      </c>
      <c r="H151" s="1"/>
    </row>
    <row r="152" spans="1:8" x14ac:dyDescent="0.3">
      <c r="A152">
        <v>1544.87519</v>
      </c>
      <c r="B152">
        <v>0.26812000000000002</v>
      </c>
      <c r="C152">
        <f t="shared" si="2"/>
        <v>7.7243759499999998</v>
      </c>
      <c r="H152" s="1"/>
    </row>
    <row r="153" spans="1:8" x14ac:dyDescent="0.3">
      <c r="A153">
        <v>1555.6346900000001</v>
      </c>
      <c r="B153">
        <v>0.26566000000000001</v>
      </c>
      <c r="C153">
        <f t="shared" si="2"/>
        <v>7.7781734500000006</v>
      </c>
      <c r="H153" s="1"/>
    </row>
    <row r="154" spans="1:8" x14ac:dyDescent="0.3">
      <c r="A154">
        <v>1565.4975899999999</v>
      </c>
      <c r="B154">
        <v>0.26373999999999997</v>
      </c>
      <c r="C154">
        <f t="shared" si="2"/>
        <v>7.8274879500000001</v>
      </c>
      <c r="H154" s="1"/>
    </row>
    <row r="155" spans="1:8" x14ac:dyDescent="0.3">
      <c r="A155">
        <v>1576.15734</v>
      </c>
      <c r="B155">
        <v>0.26149</v>
      </c>
      <c r="C155">
        <f t="shared" si="2"/>
        <v>7.8807866999999998</v>
      </c>
      <c r="H155" s="1"/>
    </row>
    <row r="156" spans="1:8" x14ac:dyDescent="0.3">
      <c r="A156">
        <v>1586.6180099999999</v>
      </c>
      <c r="B156">
        <v>0.25911000000000001</v>
      </c>
      <c r="C156">
        <f t="shared" si="2"/>
        <v>7.9330900499999997</v>
      </c>
      <c r="H156" s="1"/>
    </row>
    <row r="157" spans="1:8" x14ac:dyDescent="0.3">
      <c r="A157">
        <v>1596.9791299999999</v>
      </c>
      <c r="B157">
        <v>0.25694</v>
      </c>
      <c r="C157">
        <f t="shared" si="2"/>
        <v>7.9848956499999995</v>
      </c>
      <c r="H157" s="1"/>
    </row>
    <row r="158" spans="1:8" x14ac:dyDescent="0.3">
      <c r="A158">
        <v>1607.2406000000001</v>
      </c>
      <c r="B158">
        <v>0.25478000000000001</v>
      </c>
      <c r="C158">
        <f t="shared" si="2"/>
        <v>8.0362030000000004</v>
      </c>
      <c r="H158" s="1"/>
    </row>
    <row r="159" spans="1:8" x14ac:dyDescent="0.3">
      <c r="A159">
        <v>1617.5018700000001</v>
      </c>
      <c r="B159">
        <v>0.25263000000000002</v>
      </c>
      <c r="C159">
        <f t="shared" si="2"/>
        <v>8.0875093499999995</v>
      </c>
      <c r="H159" s="1"/>
    </row>
    <row r="160" spans="1:8" x14ac:dyDescent="0.3">
      <c r="A160">
        <v>1625.0736300000001</v>
      </c>
      <c r="B160">
        <v>0.25119999999999998</v>
      </c>
      <c r="C160">
        <f t="shared" si="2"/>
        <v>8.1253681499999999</v>
      </c>
      <c r="H160" s="1"/>
    </row>
    <row r="161" spans="8:8" x14ac:dyDescent="0.3">
      <c r="H161" s="1"/>
    </row>
    <row r="162" spans="8:8" x14ac:dyDescent="0.3">
      <c r="H162" s="1"/>
    </row>
    <row r="163" spans="8:8" x14ac:dyDescent="0.3">
      <c r="H163" s="1"/>
    </row>
    <row r="164" spans="8:8" x14ac:dyDescent="0.3">
      <c r="H164" s="1"/>
    </row>
    <row r="165" spans="8:8" x14ac:dyDescent="0.3">
      <c r="H165" s="1"/>
    </row>
    <row r="166" spans="8:8" x14ac:dyDescent="0.3">
      <c r="H166" s="1"/>
    </row>
    <row r="167" spans="8:8" x14ac:dyDescent="0.3">
      <c r="H167" s="1"/>
    </row>
    <row r="168" spans="8:8" x14ac:dyDescent="0.3">
      <c r="H168" s="1"/>
    </row>
    <row r="169" spans="8:8" x14ac:dyDescent="0.3">
      <c r="H169" s="1"/>
    </row>
    <row r="170" spans="8:8" x14ac:dyDescent="0.3">
      <c r="H170" s="1"/>
    </row>
    <row r="171" spans="8:8" x14ac:dyDescent="0.3">
      <c r="H171" s="1"/>
    </row>
    <row r="172" spans="8:8" x14ac:dyDescent="0.3">
      <c r="H172" s="1"/>
    </row>
    <row r="173" spans="8:8" x14ac:dyDescent="0.3">
      <c r="H173" s="1"/>
    </row>
    <row r="174" spans="8:8" x14ac:dyDescent="0.3">
      <c r="H174" s="1"/>
    </row>
    <row r="175" spans="8:8" x14ac:dyDescent="0.3">
      <c r="H175" s="1"/>
    </row>
    <row r="176" spans="8:8" x14ac:dyDescent="0.3">
      <c r="H176" s="1"/>
    </row>
    <row r="177" spans="8:8" x14ac:dyDescent="0.3">
      <c r="H177" s="1"/>
    </row>
    <row r="178" spans="8:8" x14ac:dyDescent="0.3">
      <c r="H178" s="1"/>
    </row>
    <row r="179" spans="8:8" x14ac:dyDescent="0.3">
      <c r="H179" s="1"/>
    </row>
    <row r="180" spans="8:8" x14ac:dyDescent="0.3">
      <c r="H180" s="1"/>
    </row>
    <row r="181" spans="8:8" x14ac:dyDescent="0.3">
      <c r="H181" s="1"/>
    </row>
    <row r="182" spans="8:8" x14ac:dyDescent="0.3">
      <c r="H182" s="1"/>
    </row>
    <row r="183" spans="8:8" x14ac:dyDescent="0.3">
      <c r="H183" s="1"/>
    </row>
    <row r="184" spans="8:8" x14ac:dyDescent="0.3">
      <c r="H184" s="1"/>
    </row>
    <row r="185" spans="8:8" x14ac:dyDescent="0.3">
      <c r="H185" s="1"/>
    </row>
    <row r="186" spans="8:8" x14ac:dyDescent="0.3">
      <c r="H186" s="1"/>
    </row>
    <row r="187" spans="8:8" x14ac:dyDescent="0.3">
      <c r="H187" s="1"/>
    </row>
    <row r="188" spans="8:8" x14ac:dyDescent="0.3">
      <c r="H188" s="1"/>
    </row>
    <row r="189" spans="8:8" x14ac:dyDescent="0.3">
      <c r="H189" s="1"/>
    </row>
    <row r="190" spans="8:8" x14ac:dyDescent="0.3">
      <c r="H190" s="1"/>
    </row>
    <row r="191" spans="8:8" x14ac:dyDescent="0.3">
      <c r="H191" s="1"/>
    </row>
    <row r="192" spans="8:8" x14ac:dyDescent="0.3">
      <c r="H192" s="1"/>
    </row>
    <row r="193" spans="8:8" x14ac:dyDescent="0.3">
      <c r="H193" s="1"/>
    </row>
    <row r="194" spans="8:8" x14ac:dyDescent="0.3">
      <c r="H194" s="1"/>
    </row>
    <row r="195" spans="8:8" x14ac:dyDescent="0.3">
      <c r="H195" s="1"/>
    </row>
    <row r="196" spans="8:8" x14ac:dyDescent="0.3">
      <c r="H196" s="1"/>
    </row>
    <row r="197" spans="8:8" x14ac:dyDescent="0.3">
      <c r="H197" s="1"/>
    </row>
    <row r="198" spans="8:8" x14ac:dyDescent="0.3">
      <c r="H198" s="1"/>
    </row>
    <row r="199" spans="8:8" x14ac:dyDescent="0.3">
      <c r="H199" s="1"/>
    </row>
    <row r="200" spans="8:8" x14ac:dyDescent="0.3">
      <c r="H200" s="1"/>
    </row>
    <row r="201" spans="8:8" x14ac:dyDescent="0.3">
      <c r="H201" s="1"/>
    </row>
    <row r="202" spans="8:8" x14ac:dyDescent="0.3">
      <c r="H202" s="1"/>
    </row>
    <row r="203" spans="8:8" x14ac:dyDescent="0.3">
      <c r="H203" s="1"/>
    </row>
    <row r="204" spans="8:8" x14ac:dyDescent="0.3">
      <c r="H204" s="1"/>
    </row>
    <row r="205" spans="8:8" x14ac:dyDescent="0.3">
      <c r="H205" s="1"/>
    </row>
    <row r="206" spans="8:8" x14ac:dyDescent="0.3">
      <c r="H206" s="1"/>
    </row>
    <row r="207" spans="8:8" x14ac:dyDescent="0.3">
      <c r="H207" s="1"/>
    </row>
    <row r="208" spans="8:8" x14ac:dyDescent="0.3">
      <c r="H208" s="1"/>
    </row>
    <row r="209" spans="8:8" x14ac:dyDescent="0.3">
      <c r="H209" s="1"/>
    </row>
    <row r="210" spans="8:8" x14ac:dyDescent="0.3">
      <c r="H210" s="1"/>
    </row>
    <row r="211" spans="8:8" x14ac:dyDescent="0.3">
      <c r="H211" s="1"/>
    </row>
    <row r="212" spans="8:8" x14ac:dyDescent="0.3">
      <c r="H212" s="1"/>
    </row>
    <row r="213" spans="8:8" x14ac:dyDescent="0.3">
      <c r="H213" s="1"/>
    </row>
    <row r="214" spans="8:8" x14ac:dyDescent="0.3">
      <c r="H214" s="1"/>
    </row>
    <row r="215" spans="8:8" x14ac:dyDescent="0.3">
      <c r="H215" s="1"/>
    </row>
    <row r="216" spans="8:8" x14ac:dyDescent="0.3">
      <c r="H216" s="1"/>
    </row>
    <row r="217" spans="8:8" x14ac:dyDescent="0.3">
      <c r="H217" s="1"/>
    </row>
    <row r="218" spans="8:8" x14ac:dyDescent="0.3">
      <c r="H218" s="1"/>
    </row>
    <row r="219" spans="8:8" x14ac:dyDescent="0.3">
      <c r="H219" s="1"/>
    </row>
    <row r="220" spans="8:8" x14ac:dyDescent="0.3">
      <c r="H220" s="1"/>
    </row>
    <row r="221" spans="8:8" x14ac:dyDescent="0.3">
      <c r="H221" s="1"/>
    </row>
    <row r="222" spans="8:8" x14ac:dyDescent="0.3">
      <c r="H222" s="1"/>
    </row>
    <row r="223" spans="8:8" x14ac:dyDescent="0.3">
      <c r="H223" s="1"/>
    </row>
    <row r="224" spans="8:8" x14ac:dyDescent="0.3">
      <c r="H224" s="1"/>
    </row>
    <row r="225" spans="8:8" x14ac:dyDescent="0.3">
      <c r="H225" s="1"/>
    </row>
    <row r="226" spans="8:8" x14ac:dyDescent="0.3">
      <c r="H226" s="1"/>
    </row>
    <row r="227" spans="8:8" x14ac:dyDescent="0.3">
      <c r="H227" s="1"/>
    </row>
    <row r="228" spans="8:8" x14ac:dyDescent="0.3">
      <c r="H228" s="1"/>
    </row>
    <row r="229" spans="8:8" x14ac:dyDescent="0.3">
      <c r="H229" s="1"/>
    </row>
    <row r="230" spans="8:8" x14ac:dyDescent="0.3">
      <c r="H230" s="1"/>
    </row>
    <row r="231" spans="8:8" x14ac:dyDescent="0.3">
      <c r="H231" s="1"/>
    </row>
    <row r="232" spans="8:8" x14ac:dyDescent="0.3">
      <c r="H232" s="1"/>
    </row>
    <row r="233" spans="8:8" x14ac:dyDescent="0.3">
      <c r="H233" s="1"/>
    </row>
    <row r="234" spans="8:8" x14ac:dyDescent="0.3">
      <c r="H234" s="1"/>
    </row>
    <row r="235" spans="8:8" x14ac:dyDescent="0.3">
      <c r="H235" s="1"/>
    </row>
    <row r="236" spans="8:8" x14ac:dyDescent="0.3">
      <c r="H236" s="1"/>
    </row>
    <row r="237" spans="8:8" x14ac:dyDescent="0.3">
      <c r="H237" s="1"/>
    </row>
    <row r="238" spans="8:8" x14ac:dyDescent="0.3">
      <c r="H238" s="1"/>
    </row>
    <row r="239" spans="8:8" x14ac:dyDescent="0.3">
      <c r="H239" s="1"/>
    </row>
    <row r="240" spans="8:8" x14ac:dyDescent="0.3">
      <c r="H240" s="1"/>
    </row>
    <row r="241" spans="8:8" x14ac:dyDescent="0.3">
      <c r="H241" s="1"/>
    </row>
    <row r="242" spans="8:8" x14ac:dyDescent="0.3">
      <c r="H242" s="1"/>
    </row>
    <row r="243" spans="8:8" x14ac:dyDescent="0.3">
      <c r="H243" s="1"/>
    </row>
    <row r="244" spans="8:8" x14ac:dyDescent="0.3">
      <c r="H244" s="1"/>
    </row>
    <row r="245" spans="8:8" x14ac:dyDescent="0.3">
      <c r="H245" s="1"/>
    </row>
    <row r="246" spans="8:8" x14ac:dyDescent="0.3">
      <c r="H246" s="1"/>
    </row>
    <row r="247" spans="8:8" x14ac:dyDescent="0.3">
      <c r="H247" s="1"/>
    </row>
    <row r="248" spans="8:8" x14ac:dyDescent="0.3">
      <c r="H248" s="1"/>
    </row>
    <row r="249" spans="8:8" x14ac:dyDescent="0.3">
      <c r="H249" s="1"/>
    </row>
    <row r="250" spans="8:8" x14ac:dyDescent="0.3">
      <c r="H250" s="1"/>
    </row>
    <row r="251" spans="8:8" x14ac:dyDescent="0.3">
      <c r="H251" s="1"/>
    </row>
    <row r="252" spans="8:8" x14ac:dyDescent="0.3">
      <c r="H252" s="1"/>
    </row>
    <row r="253" spans="8:8" x14ac:dyDescent="0.3">
      <c r="H253" s="1"/>
    </row>
    <row r="254" spans="8:8" x14ac:dyDescent="0.3">
      <c r="H254" s="1"/>
    </row>
    <row r="255" spans="8:8" x14ac:dyDescent="0.3">
      <c r="H255" s="1"/>
    </row>
    <row r="256" spans="8:8" x14ac:dyDescent="0.3">
      <c r="H256" s="1"/>
    </row>
    <row r="257" spans="8:8" x14ac:dyDescent="0.3">
      <c r="H257" s="1"/>
    </row>
    <row r="258" spans="8:8" x14ac:dyDescent="0.3">
      <c r="H258" s="1"/>
    </row>
    <row r="259" spans="8:8" x14ac:dyDescent="0.3">
      <c r="H259" s="1"/>
    </row>
    <row r="260" spans="8:8" x14ac:dyDescent="0.3">
      <c r="H260" s="1"/>
    </row>
    <row r="261" spans="8:8" x14ac:dyDescent="0.3">
      <c r="H261" s="1"/>
    </row>
    <row r="262" spans="8:8" x14ac:dyDescent="0.3">
      <c r="H262" s="1"/>
    </row>
    <row r="263" spans="8:8" x14ac:dyDescent="0.3">
      <c r="H263" s="1"/>
    </row>
    <row r="264" spans="8:8" x14ac:dyDescent="0.3">
      <c r="H264" s="1"/>
    </row>
    <row r="265" spans="8:8" x14ac:dyDescent="0.3">
      <c r="H265" s="1"/>
    </row>
    <row r="266" spans="8:8" x14ac:dyDescent="0.3">
      <c r="H266" s="1"/>
    </row>
    <row r="267" spans="8:8" x14ac:dyDescent="0.3">
      <c r="H267" s="1"/>
    </row>
    <row r="268" spans="8:8" x14ac:dyDescent="0.3">
      <c r="H268" s="1"/>
    </row>
    <row r="269" spans="8:8" x14ac:dyDescent="0.3">
      <c r="H269" s="1"/>
    </row>
    <row r="270" spans="8:8" x14ac:dyDescent="0.3">
      <c r="H270" s="1"/>
    </row>
    <row r="271" spans="8:8" x14ac:dyDescent="0.3">
      <c r="H271" s="1"/>
    </row>
    <row r="272" spans="8:8" x14ac:dyDescent="0.3">
      <c r="H272" s="1"/>
    </row>
    <row r="273" spans="8:8" x14ac:dyDescent="0.3">
      <c r="H273" s="1"/>
    </row>
    <row r="274" spans="8:8" x14ac:dyDescent="0.3">
      <c r="H274" s="1"/>
    </row>
    <row r="275" spans="8:8" x14ac:dyDescent="0.3">
      <c r="H275" s="1"/>
    </row>
    <row r="276" spans="8:8" x14ac:dyDescent="0.3">
      <c r="H276" s="1"/>
    </row>
    <row r="277" spans="8:8" x14ac:dyDescent="0.3">
      <c r="H277" s="1"/>
    </row>
    <row r="278" spans="8:8" x14ac:dyDescent="0.3">
      <c r="H278" s="1"/>
    </row>
    <row r="279" spans="8:8" x14ac:dyDescent="0.3">
      <c r="H279" s="1"/>
    </row>
    <row r="280" spans="8:8" x14ac:dyDescent="0.3">
      <c r="H280" s="1"/>
    </row>
    <row r="281" spans="8:8" x14ac:dyDescent="0.3">
      <c r="H281" s="1"/>
    </row>
    <row r="282" spans="8:8" x14ac:dyDescent="0.3">
      <c r="H282" s="1"/>
    </row>
    <row r="283" spans="8:8" x14ac:dyDescent="0.3">
      <c r="H283" s="1"/>
    </row>
    <row r="284" spans="8:8" x14ac:dyDescent="0.3">
      <c r="H284" s="1"/>
    </row>
    <row r="285" spans="8:8" x14ac:dyDescent="0.3">
      <c r="H285" s="1"/>
    </row>
    <row r="286" spans="8:8" x14ac:dyDescent="0.3">
      <c r="H286" s="1"/>
    </row>
    <row r="287" spans="8:8" x14ac:dyDescent="0.3">
      <c r="H287" s="1"/>
    </row>
    <row r="288" spans="8:8" x14ac:dyDescent="0.3">
      <c r="H288" s="1"/>
    </row>
    <row r="289" spans="8:8" x14ac:dyDescent="0.3">
      <c r="H289" s="1"/>
    </row>
    <row r="290" spans="8:8" x14ac:dyDescent="0.3">
      <c r="H290" s="1"/>
    </row>
    <row r="291" spans="8:8" x14ac:dyDescent="0.3">
      <c r="H291" s="1"/>
    </row>
    <row r="292" spans="8:8" x14ac:dyDescent="0.3">
      <c r="H292" s="1"/>
    </row>
    <row r="293" spans="8:8" x14ac:dyDescent="0.3">
      <c r="H293" s="1"/>
    </row>
    <row r="294" spans="8:8" x14ac:dyDescent="0.3">
      <c r="H294" s="1"/>
    </row>
    <row r="295" spans="8:8" x14ac:dyDescent="0.3">
      <c r="H295" s="1"/>
    </row>
    <row r="296" spans="8:8" x14ac:dyDescent="0.3">
      <c r="H296" s="1"/>
    </row>
    <row r="297" spans="8:8" x14ac:dyDescent="0.3">
      <c r="H297" s="1"/>
    </row>
    <row r="298" spans="8:8" x14ac:dyDescent="0.3">
      <c r="H298" s="1"/>
    </row>
    <row r="299" spans="8:8" x14ac:dyDescent="0.3">
      <c r="H299" s="1"/>
    </row>
    <row r="300" spans="8:8" x14ac:dyDescent="0.3">
      <c r="H300" s="1"/>
    </row>
    <row r="301" spans="8:8" x14ac:dyDescent="0.3">
      <c r="H30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2026-04-27T10:43:05Z</dcterms:modified>
</cp:coreProperties>
</file>