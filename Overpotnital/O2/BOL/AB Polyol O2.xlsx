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\"/>
    </mc:Choice>
  </mc:AlternateContent>
  <xr:revisionPtr revIDLastSave="0" documentId="13_ncr:1_{C468F1D8-BF79-485C-9616-F4D1F0B2A5F6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3" sheetId="4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C213" i="1"/>
  <c r="H213" i="1" s="1"/>
  <c r="J213" i="1"/>
  <c r="M213" i="1" s="1"/>
  <c r="G213" i="1"/>
  <c r="C214" i="1"/>
  <c r="H214" i="1" s="1"/>
  <c r="J214" i="1"/>
  <c r="M214" i="1" s="1"/>
  <c r="G214" i="1"/>
  <c r="C215" i="1"/>
  <c r="H215" i="1" s="1"/>
  <c r="J215" i="1"/>
  <c r="M215" i="1" s="1"/>
  <c r="G215" i="1"/>
  <c r="C216" i="1"/>
  <c r="H216" i="1" s="1"/>
  <c r="J216" i="1"/>
  <c r="M216" i="1" s="1"/>
  <c r="G216" i="1"/>
  <c r="C217" i="1"/>
  <c r="H217" i="1" s="1"/>
  <c r="J217" i="1"/>
  <c r="M217" i="1" s="1"/>
  <c r="G217" i="1"/>
  <c r="C218" i="1"/>
  <c r="H218" i="1" s="1"/>
  <c r="J218" i="1"/>
  <c r="M218" i="1" s="1"/>
  <c r="G218" i="1"/>
  <c r="C219" i="1"/>
  <c r="H219" i="1" s="1"/>
  <c r="J219" i="1"/>
  <c r="M219" i="1" s="1"/>
  <c r="G219" i="1"/>
  <c r="C220" i="1"/>
  <c r="H220" i="1" s="1"/>
  <c r="J220" i="1"/>
  <c r="M220" i="1" s="1"/>
  <c r="G220" i="1"/>
  <c r="C221" i="1"/>
  <c r="H221" i="1" s="1"/>
  <c r="J221" i="1"/>
  <c r="M221" i="1" s="1"/>
  <c r="G221" i="1"/>
  <c r="C222" i="1"/>
  <c r="H222" i="1" s="1"/>
  <c r="J222" i="1"/>
  <c r="M222" i="1" s="1"/>
  <c r="G222" i="1"/>
  <c r="C223" i="1"/>
  <c r="H223" i="1" s="1"/>
  <c r="J223" i="1"/>
  <c r="M223" i="1" s="1"/>
  <c r="G223" i="1"/>
  <c r="C224" i="1"/>
  <c r="H224" i="1" s="1"/>
  <c r="J224" i="1"/>
  <c r="M224" i="1" s="1"/>
  <c r="G224" i="1"/>
  <c r="C225" i="1"/>
  <c r="H225" i="1" s="1"/>
  <c r="J225" i="1"/>
  <c r="M225" i="1" s="1"/>
  <c r="G225" i="1"/>
  <c r="C226" i="1"/>
  <c r="H226" i="1" s="1"/>
  <c r="J226" i="1"/>
  <c r="M226" i="1" s="1"/>
  <c r="G226" i="1"/>
  <c r="C227" i="1"/>
  <c r="H227" i="1" s="1"/>
  <c r="J227" i="1"/>
  <c r="M227" i="1" s="1"/>
  <c r="G227" i="1"/>
  <c r="C228" i="1"/>
  <c r="H228" i="1" s="1"/>
  <c r="J228" i="1"/>
  <c r="M228" i="1" s="1"/>
  <c r="G228" i="1"/>
  <c r="C229" i="1"/>
  <c r="H229" i="1" s="1"/>
  <c r="J229" i="1"/>
  <c r="M229" i="1" s="1"/>
  <c r="G229" i="1"/>
  <c r="C230" i="1"/>
  <c r="H230" i="1" s="1"/>
  <c r="J230" i="1"/>
  <c r="M230" i="1" s="1"/>
  <c r="G230" i="1"/>
  <c r="C231" i="1"/>
  <c r="H231" i="1" s="1"/>
  <c r="J231" i="1"/>
  <c r="M231" i="1" s="1"/>
  <c r="G231" i="1"/>
  <c r="C232" i="1"/>
  <c r="H232" i="1" s="1"/>
  <c r="J232" i="1"/>
  <c r="M232" i="1" s="1"/>
  <c r="G232" i="1"/>
  <c r="C233" i="1"/>
  <c r="H233" i="1" s="1"/>
  <c r="J233" i="1"/>
  <c r="M233" i="1" s="1"/>
  <c r="G233" i="1"/>
  <c r="C234" i="1"/>
  <c r="H234" i="1" s="1"/>
  <c r="J234" i="1"/>
  <c r="M234" i="1" s="1"/>
  <c r="G234" i="1"/>
  <c r="C235" i="1"/>
  <c r="H235" i="1" s="1"/>
  <c r="G235" i="1"/>
  <c r="C236" i="1"/>
  <c r="H236" i="1" s="1"/>
  <c r="G236" i="1"/>
  <c r="C237" i="1"/>
  <c r="H237" i="1" s="1"/>
  <c r="G237" i="1"/>
  <c r="C238" i="1"/>
  <c r="H238" i="1" s="1"/>
  <c r="G238" i="1"/>
  <c r="C239" i="1"/>
  <c r="H239" i="1" s="1"/>
  <c r="G239" i="1"/>
  <c r="C240" i="1"/>
  <c r="H240" i="1" s="1"/>
  <c r="G240" i="1"/>
  <c r="C241" i="1"/>
  <c r="H241" i="1" s="1"/>
  <c r="G241" i="1"/>
  <c r="C242" i="1"/>
  <c r="H242" i="1" s="1"/>
  <c r="G242" i="1"/>
  <c r="C243" i="1"/>
  <c r="H243" i="1" s="1"/>
  <c r="G243" i="1"/>
  <c r="C244" i="1"/>
  <c r="H244" i="1" s="1"/>
  <c r="G244" i="1"/>
  <c r="C245" i="1"/>
  <c r="H245" i="1" s="1"/>
  <c r="G245" i="1"/>
  <c r="C246" i="1"/>
  <c r="H246" i="1" s="1"/>
  <c r="G246" i="1"/>
  <c r="C247" i="1"/>
  <c r="H247" i="1" s="1"/>
  <c r="G247" i="1"/>
  <c r="C248" i="1"/>
  <c r="H248" i="1" s="1"/>
  <c r="G248" i="1"/>
  <c r="C249" i="1"/>
  <c r="H249" i="1" s="1"/>
  <c r="G249" i="1"/>
  <c r="C250" i="1"/>
  <c r="H250" i="1" s="1"/>
  <c r="G250" i="1"/>
  <c r="C251" i="1"/>
  <c r="H251" i="1" s="1"/>
  <c r="G251" i="1"/>
  <c r="C252" i="1"/>
  <c r="H252" i="1" s="1"/>
  <c r="G252" i="1"/>
  <c r="C253" i="1"/>
  <c r="H253" i="1" s="1"/>
  <c r="G253" i="1"/>
  <c r="C254" i="1"/>
  <c r="H254" i="1" s="1"/>
  <c r="G254" i="1"/>
  <c r="C255" i="1"/>
  <c r="H255" i="1" s="1"/>
  <c r="G255" i="1"/>
  <c r="C256" i="1"/>
  <c r="H256" i="1" s="1"/>
  <c r="G256" i="1"/>
  <c r="C257" i="1"/>
  <c r="H257" i="1" s="1"/>
  <c r="G257" i="1"/>
  <c r="C258" i="1"/>
  <c r="H258" i="1" s="1"/>
  <c r="G258" i="1"/>
  <c r="C259" i="1"/>
  <c r="H259" i="1" s="1"/>
  <c r="G259" i="1"/>
  <c r="C260" i="1"/>
  <c r="H260" i="1" s="1"/>
  <c r="G260" i="1"/>
  <c r="C261" i="1"/>
  <c r="H261" i="1" s="1"/>
  <c r="G261" i="1"/>
  <c r="C262" i="1"/>
  <c r="H262" i="1" s="1"/>
  <c r="G262" i="1"/>
  <c r="C263" i="1"/>
  <c r="H263" i="1" s="1"/>
  <c r="G263" i="1"/>
  <c r="C264" i="1"/>
  <c r="H264" i="1" s="1"/>
  <c r="G264" i="1"/>
  <c r="C265" i="1"/>
  <c r="H265" i="1" s="1"/>
  <c r="G265" i="1"/>
  <c r="C266" i="1"/>
  <c r="H266" i="1" s="1"/>
  <c r="G266" i="1"/>
  <c r="C267" i="1"/>
  <c r="H267" i="1" s="1"/>
  <c r="G267" i="1"/>
  <c r="C268" i="1"/>
  <c r="H268" i="1" s="1"/>
  <c r="G268" i="1"/>
  <c r="C269" i="1"/>
  <c r="H269" i="1" s="1"/>
  <c r="G269" i="1"/>
  <c r="C270" i="1"/>
  <c r="H270" i="1" s="1"/>
  <c r="G270" i="1"/>
  <c r="C271" i="1"/>
  <c r="H271" i="1" s="1"/>
  <c r="G271" i="1"/>
  <c r="C272" i="1"/>
  <c r="H272" i="1" s="1"/>
  <c r="G272" i="1"/>
  <c r="C273" i="1"/>
  <c r="H273" i="1" s="1"/>
  <c r="G273" i="1"/>
  <c r="C274" i="1"/>
  <c r="H274" i="1" s="1"/>
  <c r="G274" i="1"/>
  <c r="C275" i="1"/>
  <c r="H275" i="1" s="1"/>
  <c r="G275" i="1"/>
  <c r="C276" i="1"/>
  <c r="H276" i="1" s="1"/>
  <c r="G276" i="1"/>
  <c r="C277" i="1"/>
  <c r="H277" i="1" s="1"/>
  <c r="G277" i="1"/>
  <c r="C278" i="1"/>
  <c r="H278" i="1" s="1"/>
  <c r="G278" i="1"/>
  <c r="C279" i="1"/>
  <c r="H279" i="1" s="1"/>
  <c r="G279" i="1"/>
  <c r="C280" i="1"/>
  <c r="H280" i="1" s="1"/>
  <c r="G280" i="1"/>
  <c r="C281" i="1"/>
  <c r="H281" i="1" s="1"/>
  <c r="G281" i="1"/>
  <c r="C282" i="1"/>
  <c r="H282" i="1" s="1"/>
  <c r="G282" i="1"/>
  <c r="C283" i="1"/>
  <c r="H283" i="1" s="1"/>
  <c r="G283" i="1"/>
  <c r="C284" i="1"/>
  <c r="H284" i="1" s="1"/>
  <c r="G284" i="1"/>
  <c r="C285" i="1"/>
  <c r="H285" i="1" s="1"/>
  <c r="G285" i="1"/>
  <c r="C286" i="1"/>
  <c r="H286" i="1" s="1"/>
  <c r="G286" i="1"/>
  <c r="C287" i="1"/>
  <c r="H287" i="1" s="1"/>
  <c r="G287" i="1"/>
  <c r="C288" i="1"/>
  <c r="H288" i="1" s="1"/>
  <c r="G288" i="1"/>
  <c r="C289" i="1"/>
  <c r="H289" i="1" s="1"/>
  <c r="G289" i="1"/>
  <c r="C290" i="1"/>
  <c r="H290" i="1" s="1"/>
  <c r="G290" i="1"/>
  <c r="C291" i="1"/>
  <c r="H291" i="1" s="1"/>
  <c r="G291" i="1"/>
  <c r="C292" i="1"/>
  <c r="H292" i="1" s="1"/>
  <c r="G292" i="1"/>
  <c r="C293" i="1"/>
  <c r="H293" i="1" s="1"/>
  <c r="G293" i="1"/>
  <c r="C294" i="1"/>
  <c r="H294" i="1" s="1"/>
  <c r="G294" i="1"/>
  <c r="C295" i="1"/>
  <c r="H295" i="1" s="1"/>
  <c r="G295" i="1"/>
  <c r="C296" i="1"/>
  <c r="H296" i="1" s="1"/>
  <c r="G296" i="1"/>
  <c r="C297" i="1"/>
  <c r="H297" i="1" s="1"/>
  <c r="G297" i="1"/>
  <c r="C298" i="1"/>
  <c r="H298" i="1" s="1"/>
  <c r="G298" i="1"/>
  <c r="C299" i="1"/>
  <c r="H299" i="1" s="1"/>
  <c r="G299" i="1"/>
  <c r="C300" i="1"/>
  <c r="H300" i="1" s="1"/>
  <c r="G300" i="1"/>
  <c r="C301" i="1"/>
  <c r="H301" i="1" s="1"/>
  <c r="G301" i="1"/>
  <c r="C302" i="1"/>
  <c r="H302" i="1" s="1"/>
  <c r="G302" i="1"/>
  <c r="C303" i="1"/>
  <c r="H303" i="1" s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J189" i="1"/>
  <c r="M189" i="1" s="1"/>
  <c r="G189" i="1"/>
  <c r="J190" i="1"/>
  <c r="M190" i="1" s="1"/>
  <c r="G190" i="1"/>
  <c r="J191" i="1"/>
  <c r="M191" i="1" s="1"/>
  <c r="G191" i="1"/>
  <c r="J192" i="1"/>
  <c r="M192" i="1" s="1"/>
  <c r="G192" i="1"/>
  <c r="J193" i="1"/>
  <c r="M193" i="1" s="1"/>
  <c r="G193" i="1"/>
  <c r="J194" i="1"/>
  <c r="M194" i="1" s="1"/>
  <c r="G194" i="1"/>
  <c r="J195" i="1"/>
  <c r="M195" i="1" s="1"/>
  <c r="G195" i="1"/>
  <c r="J196" i="1"/>
  <c r="M196" i="1" s="1"/>
  <c r="G196" i="1"/>
  <c r="J197" i="1"/>
  <c r="M197" i="1" s="1"/>
  <c r="G197" i="1"/>
  <c r="J198" i="1"/>
  <c r="M198" i="1" s="1"/>
  <c r="G198" i="1"/>
  <c r="J199" i="1"/>
  <c r="M199" i="1" s="1"/>
  <c r="G199" i="1"/>
  <c r="J200" i="1"/>
  <c r="M200" i="1" s="1"/>
  <c r="G200" i="1"/>
  <c r="J201" i="1"/>
  <c r="M201" i="1" s="1"/>
  <c r="G201" i="1"/>
  <c r="J202" i="1"/>
  <c r="M202" i="1" s="1"/>
  <c r="G202" i="1"/>
  <c r="J203" i="1"/>
  <c r="M203" i="1" s="1"/>
  <c r="G203" i="1"/>
  <c r="J204" i="1"/>
  <c r="M204" i="1" s="1"/>
  <c r="G204" i="1"/>
  <c r="J205" i="1"/>
  <c r="M205" i="1" s="1"/>
  <c r="G205" i="1"/>
  <c r="J206" i="1"/>
  <c r="M206" i="1" s="1"/>
  <c r="G206" i="1"/>
  <c r="J207" i="1"/>
  <c r="M207" i="1" s="1"/>
  <c r="G207" i="1"/>
  <c r="J208" i="1"/>
  <c r="M208" i="1" s="1"/>
  <c r="G208" i="1"/>
  <c r="J209" i="1"/>
  <c r="M209" i="1" s="1"/>
  <c r="G209" i="1"/>
  <c r="J210" i="1"/>
  <c r="M210" i="1" s="1"/>
  <c r="G210" i="1"/>
  <c r="J211" i="1"/>
  <c r="M211" i="1" s="1"/>
  <c r="G211" i="1"/>
  <c r="J5" i="1"/>
  <c r="M5" i="1" s="1"/>
  <c r="G5" i="1"/>
  <c r="J6" i="1"/>
  <c r="M6" i="1" s="1"/>
  <c r="G6" i="1"/>
  <c r="J7" i="1"/>
  <c r="M7" i="1" s="1"/>
  <c r="G7" i="1"/>
  <c r="J8" i="1"/>
  <c r="M8" i="1" s="1"/>
  <c r="G8" i="1"/>
  <c r="J9" i="1"/>
  <c r="M9" i="1" s="1"/>
  <c r="G9" i="1"/>
  <c r="J10" i="1"/>
  <c r="M10" i="1" s="1"/>
  <c r="G10" i="1"/>
  <c r="J11" i="1"/>
  <c r="M11" i="1" s="1"/>
  <c r="G11" i="1"/>
  <c r="J12" i="1"/>
  <c r="M12" i="1" s="1"/>
  <c r="G12" i="1"/>
  <c r="J13" i="1"/>
  <c r="M13" i="1" s="1"/>
  <c r="G13" i="1"/>
  <c r="J14" i="1"/>
  <c r="M14" i="1" s="1"/>
  <c r="G14" i="1"/>
  <c r="J15" i="1"/>
  <c r="M15" i="1" s="1"/>
  <c r="G15" i="1"/>
  <c r="J16" i="1"/>
  <c r="M16" i="1" s="1"/>
  <c r="G16" i="1"/>
  <c r="J17" i="1"/>
  <c r="M17" i="1" s="1"/>
  <c r="G17" i="1"/>
  <c r="J18" i="1"/>
  <c r="M18" i="1" s="1"/>
  <c r="G18" i="1"/>
  <c r="J19" i="1"/>
  <c r="M19" i="1" s="1"/>
  <c r="G19" i="1"/>
  <c r="J20" i="1"/>
  <c r="M20" i="1" s="1"/>
  <c r="G20" i="1"/>
  <c r="J21" i="1"/>
  <c r="M21" i="1" s="1"/>
  <c r="G21" i="1"/>
  <c r="J22" i="1"/>
  <c r="M22" i="1" s="1"/>
  <c r="G22" i="1"/>
  <c r="J23" i="1"/>
  <c r="M23" i="1" s="1"/>
  <c r="G23" i="1"/>
  <c r="J24" i="1"/>
  <c r="M24" i="1" s="1"/>
  <c r="G24" i="1"/>
  <c r="J25" i="1"/>
  <c r="M25" i="1" s="1"/>
  <c r="G25" i="1"/>
  <c r="J26" i="1"/>
  <c r="M26" i="1" s="1"/>
  <c r="G26" i="1"/>
  <c r="J27" i="1"/>
  <c r="M27" i="1" s="1"/>
  <c r="G27" i="1"/>
  <c r="J28" i="1"/>
  <c r="M28" i="1" s="1"/>
  <c r="G28" i="1"/>
  <c r="J29" i="1"/>
  <c r="M29" i="1" s="1"/>
  <c r="G29" i="1"/>
  <c r="J30" i="1"/>
  <c r="M30" i="1" s="1"/>
  <c r="G30" i="1"/>
  <c r="J31" i="1"/>
  <c r="M31" i="1" s="1"/>
  <c r="G31" i="1"/>
  <c r="J32" i="1"/>
  <c r="M32" i="1" s="1"/>
  <c r="G32" i="1"/>
  <c r="J33" i="1"/>
  <c r="M33" i="1" s="1"/>
  <c r="G33" i="1"/>
  <c r="J34" i="1"/>
  <c r="M34" i="1" s="1"/>
  <c r="G34" i="1"/>
  <c r="J35" i="1"/>
  <c r="M35" i="1" s="1"/>
  <c r="G35" i="1"/>
  <c r="J36" i="1"/>
  <c r="M36" i="1" s="1"/>
  <c r="G36" i="1"/>
  <c r="J37" i="1"/>
  <c r="M37" i="1" s="1"/>
  <c r="G37" i="1"/>
  <c r="J38" i="1"/>
  <c r="M38" i="1" s="1"/>
  <c r="G38" i="1"/>
  <c r="J39" i="1"/>
  <c r="M39" i="1" s="1"/>
  <c r="G39" i="1"/>
  <c r="J40" i="1"/>
  <c r="M40" i="1" s="1"/>
  <c r="G40" i="1"/>
  <c r="J41" i="1"/>
  <c r="M41" i="1" s="1"/>
  <c r="G41" i="1"/>
  <c r="J42" i="1"/>
  <c r="M42" i="1" s="1"/>
  <c r="G42" i="1"/>
  <c r="J43" i="1"/>
  <c r="M43" i="1" s="1"/>
  <c r="G43" i="1"/>
  <c r="J44" i="1"/>
  <c r="M44" i="1" s="1"/>
  <c r="G44" i="1"/>
  <c r="J45" i="1"/>
  <c r="M45" i="1" s="1"/>
  <c r="G45" i="1"/>
  <c r="J46" i="1"/>
  <c r="M46" i="1" s="1"/>
  <c r="G46" i="1"/>
  <c r="J47" i="1"/>
  <c r="M47" i="1" s="1"/>
  <c r="G47" i="1"/>
  <c r="J48" i="1"/>
  <c r="M48" i="1" s="1"/>
  <c r="G48" i="1"/>
  <c r="J49" i="1"/>
  <c r="M49" i="1" s="1"/>
  <c r="G49" i="1"/>
  <c r="J50" i="1"/>
  <c r="M50" i="1" s="1"/>
  <c r="G50" i="1"/>
  <c r="J51" i="1"/>
  <c r="M51" i="1" s="1"/>
  <c r="G51" i="1"/>
  <c r="J52" i="1"/>
  <c r="M52" i="1" s="1"/>
  <c r="G52" i="1"/>
  <c r="J53" i="1"/>
  <c r="M53" i="1" s="1"/>
  <c r="G53" i="1"/>
  <c r="J54" i="1"/>
  <c r="M54" i="1" s="1"/>
  <c r="G54" i="1"/>
  <c r="J55" i="1"/>
  <c r="M55" i="1" s="1"/>
  <c r="G55" i="1"/>
  <c r="J56" i="1"/>
  <c r="M56" i="1" s="1"/>
  <c r="G56" i="1"/>
  <c r="J57" i="1"/>
  <c r="M57" i="1" s="1"/>
  <c r="G57" i="1"/>
  <c r="J58" i="1"/>
  <c r="M58" i="1" s="1"/>
  <c r="G58" i="1"/>
  <c r="J59" i="1"/>
  <c r="M59" i="1" s="1"/>
  <c r="G59" i="1"/>
  <c r="J60" i="1"/>
  <c r="M60" i="1" s="1"/>
  <c r="G60" i="1"/>
  <c r="J61" i="1"/>
  <c r="M61" i="1" s="1"/>
  <c r="G61" i="1"/>
  <c r="J62" i="1"/>
  <c r="M62" i="1" s="1"/>
  <c r="G62" i="1"/>
  <c r="J63" i="1"/>
  <c r="M63" i="1" s="1"/>
  <c r="G63" i="1"/>
  <c r="J64" i="1"/>
  <c r="M64" i="1" s="1"/>
  <c r="G64" i="1"/>
  <c r="J65" i="1"/>
  <c r="M65" i="1" s="1"/>
  <c r="G65" i="1"/>
  <c r="J66" i="1"/>
  <c r="M66" i="1" s="1"/>
  <c r="G66" i="1"/>
  <c r="J67" i="1"/>
  <c r="M67" i="1" s="1"/>
  <c r="G67" i="1"/>
  <c r="J68" i="1"/>
  <c r="M68" i="1" s="1"/>
  <c r="G68" i="1"/>
  <c r="J69" i="1"/>
  <c r="M69" i="1" s="1"/>
  <c r="G69" i="1"/>
  <c r="J70" i="1"/>
  <c r="M70" i="1" s="1"/>
  <c r="G70" i="1"/>
  <c r="J71" i="1"/>
  <c r="M71" i="1" s="1"/>
  <c r="G71" i="1"/>
  <c r="J72" i="1"/>
  <c r="M72" i="1" s="1"/>
  <c r="G72" i="1"/>
  <c r="J73" i="1"/>
  <c r="M73" i="1" s="1"/>
  <c r="G73" i="1"/>
  <c r="J74" i="1"/>
  <c r="M74" i="1" s="1"/>
  <c r="G74" i="1"/>
  <c r="J75" i="1"/>
  <c r="M75" i="1" s="1"/>
  <c r="G75" i="1"/>
  <c r="J76" i="1"/>
  <c r="M76" i="1" s="1"/>
  <c r="G76" i="1"/>
  <c r="J77" i="1"/>
  <c r="M77" i="1" s="1"/>
  <c r="G77" i="1"/>
  <c r="J78" i="1"/>
  <c r="M78" i="1" s="1"/>
  <c r="G78" i="1"/>
  <c r="J79" i="1"/>
  <c r="M79" i="1" s="1"/>
  <c r="G79" i="1"/>
  <c r="J80" i="1"/>
  <c r="M80" i="1" s="1"/>
  <c r="G80" i="1"/>
  <c r="J81" i="1"/>
  <c r="M81" i="1" s="1"/>
  <c r="G81" i="1"/>
  <c r="J82" i="1"/>
  <c r="M82" i="1" s="1"/>
  <c r="G82" i="1"/>
  <c r="J83" i="1"/>
  <c r="M83" i="1" s="1"/>
  <c r="G83" i="1"/>
  <c r="J84" i="1"/>
  <c r="M84" i="1" s="1"/>
  <c r="G84" i="1"/>
  <c r="J85" i="1"/>
  <c r="M85" i="1" s="1"/>
  <c r="G85" i="1"/>
  <c r="J86" i="1"/>
  <c r="M86" i="1" s="1"/>
  <c r="G86" i="1"/>
  <c r="J87" i="1"/>
  <c r="M87" i="1" s="1"/>
  <c r="G87" i="1"/>
  <c r="J88" i="1"/>
  <c r="M88" i="1" s="1"/>
  <c r="G88" i="1"/>
  <c r="J89" i="1"/>
  <c r="M89" i="1" s="1"/>
  <c r="G89" i="1"/>
  <c r="J90" i="1"/>
  <c r="M90" i="1" s="1"/>
  <c r="G90" i="1"/>
  <c r="J91" i="1"/>
  <c r="M91" i="1" s="1"/>
  <c r="G91" i="1"/>
  <c r="J92" i="1"/>
  <c r="M92" i="1" s="1"/>
  <c r="G92" i="1"/>
  <c r="J93" i="1"/>
  <c r="M93" i="1" s="1"/>
  <c r="G93" i="1"/>
  <c r="J94" i="1"/>
  <c r="M94" i="1" s="1"/>
  <c r="G94" i="1"/>
  <c r="J95" i="1"/>
  <c r="M95" i="1" s="1"/>
  <c r="G95" i="1"/>
  <c r="J96" i="1"/>
  <c r="M96" i="1" s="1"/>
  <c r="G96" i="1"/>
  <c r="J97" i="1"/>
  <c r="M97" i="1" s="1"/>
  <c r="G97" i="1"/>
  <c r="J98" i="1"/>
  <c r="M98" i="1" s="1"/>
  <c r="G98" i="1"/>
  <c r="J99" i="1"/>
  <c r="M99" i="1" s="1"/>
  <c r="G99" i="1"/>
  <c r="J100" i="1"/>
  <c r="M100" i="1" s="1"/>
  <c r="G100" i="1"/>
  <c r="J101" i="1"/>
  <c r="M101" i="1" s="1"/>
  <c r="G101" i="1"/>
  <c r="J102" i="1"/>
  <c r="M102" i="1" s="1"/>
  <c r="G102" i="1"/>
  <c r="J103" i="1"/>
  <c r="M103" i="1" s="1"/>
  <c r="G103" i="1"/>
  <c r="J104" i="1"/>
  <c r="M104" i="1" s="1"/>
  <c r="G104" i="1"/>
  <c r="J105" i="1"/>
  <c r="M105" i="1" s="1"/>
  <c r="G105" i="1"/>
  <c r="J106" i="1"/>
  <c r="M106" i="1" s="1"/>
  <c r="G106" i="1"/>
  <c r="J107" i="1"/>
  <c r="M107" i="1" s="1"/>
  <c r="G107" i="1"/>
  <c r="J108" i="1"/>
  <c r="M108" i="1" s="1"/>
  <c r="G108" i="1"/>
  <c r="J109" i="1"/>
  <c r="M109" i="1" s="1"/>
  <c r="G109" i="1"/>
  <c r="J110" i="1"/>
  <c r="M110" i="1" s="1"/>
  <c r="G110" i="1"/>
  <c r="J111" i="1"/>
  <c r="M111" i="1" s="1"/>
  <c r="G111" i="1"/>
  <c r="J112" i="1"/>
  <c r="M112" i="1" s="1"/>
  <c r="G112" i="1"/>
  <c r="J113" i="1"/>
  <c r="M113" i="1" s="1"/>
  <c r="G113" i="1"/>
  <c r="J114" i="1"/>
  <c r="M114" i="1" s="1"/>
  <c r="G114" i="1"/>
  <c r="J115" i="1"/>
  <c r="M115" i="1" s="1"/>
  <c r="G115" i="1"/>
  <c r="J116" i="1"/>
  <c r="M116" i="1" s="1"/>
  <c r="G116" i="1"/>
  <c r="J117" i="1"/>
  <c r="M117" i="1" s="1"/>
  <c r="G117" i="1"/>
  <c r="J118" i="1"/>
  <c r="M118" i="1" s="1"/>
  <c r="G118" i="1"/>
  <c r="J119" i="1"/>
  <c r="M119" i="1" s="1"/>
  <c r="G119" i="1"/>
  <c r="J120" i="1"/>
  <c r="M120" i="1" s="1"/>
  <c r="G120" i="1"/>
  <c r="J121" i="1"/>
  <c r="M121" i="1" s="1"/>
  <c r="G121" i="1"/>
  <c r="J122" i="1"/>
  <c r="M122" i="1" s="1"/>
  <c r="G122" i="1"/>
  <c r="J123" i="1"/>
  <c r="M123" i="1" s="1"/>
  <c r="G123" i="1"/>
  <c r="J124" i="1"/>
  <c r="M124" i="1" s="1"/>
  <c r="G124" i="1"/>
  <c r="J125" i="1"/>
  <c r="M125" i="1" s="1"/>
  <c r="G125" i="1"/>
  <c r="J126" i="1"/>
  <c r="M126" i="1" s="1"/>
  <c r="G126" i="1"/>
  <c r="J127" i="1"/>
  <c r="M127" i="1" s="1"/>
  <c r="G127" i="1"/>
  <c r="J128" i="1"/>
  <c r="M128" i="1" s="1"/>
  <c r="G128" i="1"/>
  <c r="J129" i="1"/>
  <c r="M129" i="1" s="1"/>
  <c r="G129" i="1"/>
  <c r="J130" i="1"/>
  <c r="M130" i="1" s="1"/>
  <c r="G130" i="1"/>
  <c r="J131" i="1"/>
  <c r="M131" i="1" s="1"/>
  <c r="G131" i="1"/>
  <c r="J132" i="1"/>
  <c r="M132" i="1" s="1"/>
  <c r="G132" i="1"/>
  <c r="J133" i="1"/>
  <c r="M133" i="1" s="1"/>
  <c r="G133" i="1"/>
  <c r="J134" i="1"/>
  <c r="M134" i="1" s="1"/>
  <c r="G134" i="1"/>
  <c r="J135" i="1"/>
  <c r="M135" i="1" s="1"/>
  <c r="G135" i="1"/>
  <c r="J136" i="1"/>
  <c r="M136" i="1" s="1"/>
  <c r="G136" i="1"/>
  <c r="J137" i="1"/>
  <c r="M137" i="1" s="1"/>
  <c r="G137" i="1"/>
  <c r="J138" i="1"/>
  <c r="M138" i="1" s="1"/>
  <c r="G138" i="1"/>
  <c r="J139" i="1"/>
  <c r="M139" i="1" s="1"/>
  <c r="G139" i="1"/>
  <c r="J140" i="1"/>
  <c r="M140" i="1" s="1"/>
  <c r="G140" i="1"/>
  <c r="J141" i="1"/>
  <c r="M141" i="1" s="1"/>
  <c r="G141" i="1"/>
  <c r="J142" i="1"/>
  <c r="M142" i="1" s="1"/>
  <c r="G142" i="1"/>
  <c r="J143" i="1"/>
  <c r="M143" i="1" s="1"/>
  <c r="G143" i="1"/>
  <c r="J144" i="1"/>
  <c r="M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J146" i="1"/>
  <c r="M146" i="1" s="1"/>
  <c r="G146" i="1"/>
  <c r="J147" i="1"/>
  <c r="M147" i="1" s="1"/>
  <c r="G147" i="1"/>
  <c r="J148" i="1"/>
  <c r="M148" i="1" s="1"/>
  <c r="G148" i="1"/>
  <c r="J149" i="1"/>
  <c r="M149" i="1" s="1"/>
  <c r="G149" i="1"/>
  <c r="J150" i="1"/>
  <c r="M150" i="1" s="1"/>
  <c r="G150" i="1"/>
  <c r="J151" i="1"/>
  <c r="M151" i="1" s="1"/>
  <c r="G151" i="1"/>
  <c r="J152" i="1"/>
  <c r="M152" i="1" s="1"/>
  <c r="G152" i="1"/>
  <c r="J153" i="1"/>
  <c r="M153" i="1" s="1"/>
  <c r="G153" i="1"/>
  <c r="J154" i="1"/>
  <c r="M154" i="1" s="1"/>
  <c r="G154" i="1"/>
  <c r="J155" i="1"/>
  <c r="M155" i="1" s="1"/>
  <c r="G155" i="1"/>
  <c r="J156" i="1"/>
  <c r="M156" i="1" s="1"/>
  <c r="G156" i="1"/>
  <c r="J157" i="1"/>
  <c r="M157" i="1" s="1"/>
  <c r="G157" i="1"/>
  <c r="J158" i="1"/>
  <c r="M158" i="1" s="1"/>
  <c r="G158" i="1"/>
  <c r="J159" i="1"/>
  <c r="M159" i="1" s="1"/>
  <c r="G159" i="1"/>
  <c r="J160" i="1"/>
  <c r="M160" i="1" s="1"/>
  <c r="G160" i="1"/>
  <c r="J161" i="1"/>
  <c r="M161" i="1" s="1"/>
  <c r="G161" i="1"/>
  <c r="J162" i="1"/>
  <c r="M162" i="1" s="1"/>
  <c r="G162" i="1"/>
  <c r="J163" i="1"/>
  <c r="M163" i="1" s="1"/>
  <c r="G163" i="1"/>
  <c r="J164" i="1"/>
  <c r="M164" i="1" s="1"/>
  <c r="G164" i="1"/>
  <c r="J165" i="1"/>
  <c r="M165" i="1" s="1"/>
  <c r="G165" i="1"/>
  <c r="J166" i="1"/>
  <c r="M166" i="1" s="1"/>
  <c r="G166" i="1"/>
  <c r="J167" i="1"/>
  <c r="M167" i="1" s="1"/>
  <c r="G167" i="1"/>
  <c r="J168" i="1"/>
  <c r="M168" i="1" s="1"/>
  <c r="G168" i="1"/>
  <c r="J169" i="1"/>
  <c r="M169" i="1" s="1"/>
  <c r="G169" i="1"/>
  <c r="J170" i="1"/>
  <c r="M170" i="1" s="1"/>
  <c r="G170" i="1"/>
  <c r="J171" i="1"/>
  <c r="M171" i="1" s="1"/>
  <c r="G171" i="1"/>
  <c r="J172" i="1"/>
  <c r="M172" i="1" s="1"/>
  <c r="G172" i="1"/>
  <c r="J173" i="1"/>
  <c r="M173" i="1" s="1"/>
  <c r="G173" i="1"/>
  <c r="J174" i="1"/>
  <c r="M174" i="1" s="1"/>
  <c r="G174" i="1"/>
  <c r="J175" i="1"/>
  <c r="M175" i="1" s="1"/>
  <c r="G175" i="1"/>
  <c r="J176" i="1"/>
  <c r="M176" i="1" s="1"/>
  <c r="G176" i="1"/>
  <c r="J177" i="1"/>
  <c r="M177" i="1" s="1"/>
  <c r="G177" i="1"/>
  <c r="J178" i="1"/>
  <c r="M178" i="1" s="1"/>
  <c r="G178" i="1"/>
  <c r="J179" i="1"/>
  <c r="M179" i="1" s="1"/>
  <c r="G179" i="1"/>
  <c r="J180" i="1"/>
  <c r="M180" i="1" s="1"/>
  <c r="G180" i="1"/>
  <c r="J181" i="1"/>
  <c r="M181" i="1" s="1"/>
  <c r="G181" i="1"/>
  <c r="J182" i="1"/>
  <c r="M182" i="1" s="1"/>
  <c r="G182" i="1"/>
  <c r="J183" i="1"/>
  <c r="M183" i="1" s="1"/>
  <c r="G183" i="1"/>
  <c r="J184" i="1"/>
  <c r="M184" i="1" s="1"/>
  <c r="G184" i="1"/>
  <c r="J185" i="1"/>
  <c r="M185" i="1" s="1"/>
  <c r="G185" i="1"/>
  <c r="J186" i="1"/>
  <c r="M186" i="1" s="1"/>
  <c r="G186" i="1"/>
  <c r="J187" i="1"/>
  <c r="M187" i="1" s="1"/>
  <c r="G187" i="1"/>
  <c r="N145" i="1" l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I1" i="3" l="1"/>
  <c r="K288" i="1"/>
  <c r="P288" i="1" s="1"/>
  <c r="K267" i="1"/>
  <c r="P267" i="1" s="1"/>
  <c r="K215" i="1"/>
  <c r="P215" i="1" s="1"/>
  <c r="K236" i="1"/>
  <c r="P236" i="1" s="1"/>
  <c r="K281" i="1"/>
  <c r="P281" i="1" s="1"/>
  <c r="K272" i="1"/>
  <c r="P272" i="1" s="1"/>
  <c r="K216" i="1"/>
  <c r="P216" i="1" s="1"/>
  <c r="K239" i="1"/>
  <c r="P239" i="1" s="1"/>
  <c r="K297" i="1"/>
  <c r="P297" i="1" s="1"/>
  <c r="K292" i="1"/>
  <c r="P292" i="1" s="1"/>
  <c r="K266" i="1"/>
  <c r="P266" i="1" s="1"/>
  <c r="K240" i="1"/>
  <c r="P240" i="1" s="1"/>
  <c r="K222" i="1"/>
  <c r="P222" i="1" s="1"/>
  <c r="K235" i="1"/>
  <c r="P235" i="1" s="1"/>
  <c r="K228" i="1"/>
  <c r="P228" i="1" s="1"/>
  <c r="K300" i="1"/>
  <c r="P300" i="1" s="1"/>
  <c r="K226" i="1"/>
  <c r="P226" i="1" s="1"/>
  <c r="K269" i="1"/>
  <c r="P269" i="1" s="1"/>
  <c r="K289" i="1"/>
  <c r="P289" i="1" s="1"/>
  <c r="K290" i="1"/>
  <c r="P290" i="1" s="1"/>
  <c r="K232" i="1"/>
  <c r="P232" i="1" s="1"/>
  <c r="K301" i="1"/>
  <c r="P301" i="1" s="1"/>
  <c r="K254" i="1"/>
  <c r="P254" i="1" s="1"/>
  <c r="K275" i="1"/>
  <c r="P275" i="1" s="1"/>
  <c r="K293" i="1"/>
  <c r="P293" i="1" s="1"/>
  <c r="K274" i="1"/>
  <c r="P274" i="1" s="1"/>
  <c r="K260" i="1"/>
  <c r="P260" i="1" s="1"/>
  <c r="K225" i="1"/>
  <c r="P225" i="1" s="1"/>
  <c r="K302" i="1"/>
  <c r="P302" i="1" s="1"/>
  <c r="K268" i="1"/>
  <c r="P268" i="1" s="1"/>
  <c r="K223" i="1"/>
  <c r="P223" i="1" s="1"/>
  <c r="K257" i="1"/>
  <c r="P257" i="1" s="1"/>
  <c r="K244" i="1"/>
  <c r="P244" i="1" s="1"/>
  <c r="K221" i="1"/>
  <c r="P221" i="1" s="1"/>
  <c r="K220" i="1"/>
  <c r="P220" i="1" s="1"/>
  <c r="K284" i="1"/>
  <c r="P284" i="1" s="1"/>
  <c r="K252" i="1"/>
  <c r="P252" i="1" s="1"/>
  <c r="K227" i="1"/>
  <c r="P227" i="1" s="1"/>
  <c r="K231" i="1"/>
  <c r="P231" i="1" s="1"/>
  <c r="K270" i="1"/>
  <c r="P270" i="1" s="1"/>
  <c r="K262" i="1"/>
  <c r="P262" i="1" s="1"/>
  <c r="K246" i="1"/>
  <c r="P246" i="1" s="1"/>
  <c r="K217" i="1"/>
  <c r="P217" i="1" s="1"/>
  <c r="K237" i="1"/>
  <c r="P237" i="1" s="1"/>
  <c r="K280" i="1"/>
  <c r="P280" i="1" s="1"/>
  <c r="K294" i="1"/>
  <c r="P294" i="1" s="1"/>
  <c r="K259" i="1"/>
  <c r="P259" i="1" s="1"/>
  <c r="K263" i="1"/>
  <c r="P263" i="1" s="1"/>
  <c r="K287" i="1"/>
  <c r="P287" i="1" s="1"/>
  <c r="K273" i="1"/>
  <c r="P273" i="1" s="1"/>
  <c r="K299" i="1"/>
  <c r="P299" i="1" s="1"/>
  <c r="K218" i="1"/>
  <c r="P218" i="1" s="1"/>
  <c r="K291" i="1"/>
  <c r="P291" i="1" s="1"/>
  <c r="K271" i="1"/>
  <c r="P271" i="1" s="1"/>
  <c r="K255" i="1"/>
  <c r="P255" i="1" s="1"/>
  <c r="K250" i="1"/>
  <c r="P250" i="1" s="1"/>
  <c r="K248" i="1"/>
  <c r="P248" i="1" s="1"/>
  <c r="K298" i="1"/>
  <c r="P298" i="1" s="1"/>
  <c r="K261" i="1"/>
  <c r="P261" i="1" s="1"/>
  <c r="K264" i="1"/>
  <c r="P264" i="1" s="1"/>
  <c r="K279" i="1"/>
  <c r="P279" i="1" s="1"/>
  <c r="K238" i="1"/>
  <c r="P238" i="1" s="1"/>
  <c r="K278" i="1"/>
  <c r="P278" i="1" s="1"/>
  <c r="K251" i="1"/>
  <c r="P251" i="1" s="1"/>
  <c r="K214" i="1"/>
  <c r="P214" i="1" s="1"/>
  <c r="K249" i="1"/>
  <c r="P249" i="1" s="1"/>
  <c r="K230" i="1"/>
  <c r="P230" i="1" s="1"/>
  <c r="K258" i="1"/>
  <c r="P258" i="1" s="1"/>
  <c r="K241" i="1"/>
  <c r="P241" i="1" s="1"/>
  <c r="K265" i="1"/>
  <c r="P265" i="1" s="1"/>
  <c r="K285" i="1"/>
  <c r="P285" i="1" s="1"/>
  <c r="K243" i="1"/>
  <c r="P243" i="1" s="1"/>
  <c r="K295" i="1"/>
  <c r="P295" i="1" s="1"/>
  <c r="K303" i="1"/>
  <c r="P303" i="1" s="1"/>
  <c r="K253" i="1"/>
  <c r="P253" i="1" s="1"/>
  <c r="K234" i="1"/>
  <c r="P234" i="1" s="1"/>
  <c r="K212" i="1"/>
  <c r="P212" i="1" s="1"/>
  <c r="K242" i="1"/>
  <c r="P242" i="1" s="1"/>
  <c r="K256" i="1"/>
  <c r="P256" i="1" s="1"/>
  <c r="K229" i="1"/>
  <c r="P229" i="1" s="1"/>
  <c r="K277" i="1"/>
  <c r="P277" i="1" s="1"/>
  <c r="K219" i="1"/>
  <c r="P219" i="1" s="1"/>
  <c r="K245" i="1"/>
  <c r="P245" i="1" s="1"/>
  <c r="K276" i="1"/>
  <c r="P276" i="1" s="1"/>
  <c r="K247" i="1"/>
  <c r="P247" i="1" s="1"/>
  <c r="K286" i="1"/>
  <c r="P286" i="1" s="1"/>
  <c r="K224" i="1"/>
  <c r="P224" i="1" s="1"/>
  <c r="K296" i="1"/>
  <c r="P296" i="1" s="1"/>
  <c r="K233" i="1"/>
  <c r="P233" i="1" s="1"/>
  <c r="K282" i="1"/>
  <c r="P282" i="1" s="1"/>
  <c r="K283" i="1"/>
  <c r="P283" i="1" s="1"/>
  <c r="K213" i="1"/>
  <c r="P213" i="1" s="1"/>
  <c r="K134" i="1"/>
  <c r="K201" i="1"/>
  <c r="P201" i="1" s="1"/>
  <c r="K71" i="1"/>
  <c r="K99" i="1"/>
  <c r="K108" i="1"/>
  <c r="K189" i="1"/>
  <c r="P189" i="1" s="1"/>
  <c r="K66" i="1"/>
  <c r="K47" i="1"/>
  <c r="K176" i="1"/>
  <c r="K25" i="1"/>
  <c r="K87" i="1"/>
  <c r="K26" i="1"/>
  <c r="K208" i="1"/>
  <c r="P208" i="1" s="1"/>
  <c r="K133" i="1"/>
  <c r="K19" i="1"/>
  <c r="K167" i="1"/>
  <c r="P167" i="1" s="1"/>
  <c r="K135" i="1"/>
  <c r="K206" i="1"/>
  <c r="P206" i="1" s="1"/>
  <c r="K92" i="1"/>
  <c r="K130" i="1"/>
  <c r="K183" i="1"/>
  <c r="P183" i="1" s="1"/>
  <c r="K175" i="1"/>
  <c r="P175" i="1" s="1"/>
  <c r="K95" i="1"/>
  <c r="K165" i="1"/>
  <c r="P165" i="1" s="1"/>
  <c r="K85" i="1"/>
  <c r="K146" i="1"/>
  <c r="P146" i="1" s="1"/>
  <c r="K145" i="1"/>
  <c r="P145" i="1" s="1"/>
  <c r="K64" i="1"/>
  <c r="K174" i="1"/>
  <c r="P174" i="1" s="1"/>
  <c r="K94" i="1"/>
  <c r="K81" i="1"/>
  <c r="K120" i="1"/>
  <c r="K89" i="1"/>
  <c r="K98" i="1"/>
  <c r="K178" i="1"/>
  <c r="P178" i="1" s="1"/>
  <c r="K56" i="1"/>
  <c r="K194" i="1"/>
  <c r="P194" i="1" s="1"/>
  <c r="K164" i="1"/>
  <c r="P164" i="1" s="1"/>
  <c r="K15" i="1"/>
  <c r="K17" i="1"/>
  <c r="K100" i="1"/>
  <c r="K49" i="1"/>
  <c r="K40" i="1"/>
  <c r="K172" i="1"/>
  <c r="P172" i="1" s="1"/>
  <c r="K161" i="1"/>
  <c r="P161" i="1" s="1"/>
  <c r="K28" i="1"/>
  <c r="K9" i="1"/>
  <c r="K8" i="1"/>
  <c r="K125" i="1"/>
  <c r="K114" i="1"/>
  <c r="K72" i="1"/>
  <c r="K22" i="1"/>
  <c r="K124" i="1"/>
  <c r="K91" i="1"/>
  <c r="K111" i="1"/>
  <c r="K53" i="1"/>
  <c r="K51" i="1"/>
  <c r="K123" i="1"/>
  <c r="K129" i="1"/>
  <c r="K86" i="1"/>
  <c r="K184" i="1"/>
  <c r="P184" i="1" s="1"/>
  <c r="K54" i="1"/>
  <c r="K41" i="1"/>
  <c r="K70" i="1"/>
  <c r="K79" i="1"/>
  <c r="K88" i="1"/>
  <c r="K121" i="1"/>
  <c r="K46" i="1"/>
  <c r="K163" i="1"/>
  <c r="P163" i="1" s="1"/>
  <c r="K127" i="1"/>
  <c r="K5" i="1"/>
  <c r="K173" i="1"/>
  <c r="P173" i="1" s="1"/>
  <c r="K68" i="1"/>
  <c r="K13" i="1"/>
  <c r="K16" i="1"/>
  <c r="K32" i="1"/>
  <c r="K148" i="1"/>
  <c r="P148" i="1" s="1"/>
  <c r="K43" i="1"/>
  <c r="K157" i="1"/>
  <c r="P157" i="1" s="1"/>
  <c r="K7" i="1"/>
  <c r="K42" i="1"/>
  <c r="K143" i="1"/>
  <c r="K153" i="1"/>
  <c r="P153" i="1" s="1"/>
  <c r="K83" i="1"/>
  <c r="K116" i="1"/>
  <c r="K210" i="1"/>
  <c r="P210" i="1" s="1"/>
  <c r="K156" i="1"/>
  <c r="P156" i="1" s="1"/>
  <c r="K104" i="1"/>
  <c r="K14" i="1"/>
  <c r="K31" i="1"/>
  <c r="K207" i="1"/>
  <c r="P207" i="1" s="1"/>
  <c r="K69" i="1"/>
  <c r="K78" i="1"/>
  <c r="K140" i="1"/>
  <c r="K36" i="1"/>
  <c r="K126" i="1"/>
  <c r="K97" i="1"/>
  <c r="K202" i="1"/>
  <c r="P202" i="1" s="1"/>
  <c r="K181" i="1"/>
  <c r="P181" i="1" s="1"/>
  <c r="K182" i="1"/>
  <c r="P182" i="1" s="1"/>
  <c r="K192" i="1"/>
  <c r="P192" i="1" s="1"/>
  <c r="K171" i="1"/>
  <c r="P171" i="1" s="1"/>
  <c r="K84" i="1"/>
  <c r="K58" i="1"/>
  <c r="K57" i="1"/>
  <c r="K177" i="1"/>
  <c r="P177" i="1" s="1"/>
  <c r="K18" i="1"/>
  <c r="K112" i="1"/>
  <c r="K101" i="1"/>
  <c r="K196" i="1"/>
  <c r="P196" i="1" s="1"/>
  <c r="K90" i="1"/>
  <c r="K142" i="1"/>
  <c r="K141" i="1"/>
  <c r="K197" i="1"/>
  <c r="P197" i="1" s="1"/>
  <c r="K155" i="1"/>
  <c r="P155" i="1" s="1"/>
  <c r="K75" i="1"/>
  <c r="K150" i="1"/>
  <c r="P150" i="1" s="1"/>
  <c r="K55" i="1"/>
  <c r="K199" i="1"/>
  <c r="P199" i="1" s="1"/>
  <c r="K160" i="1"/>
  <c r="P160" i="1" s="1"/>
  <c r="K11" i="1"/>
  <c r="K113" i="1"/>
  <c r="K59" i="1"/>
  <c r="K77" i="1"/>
  <c r="K169" i="1"/>
  <c r="P169" i="1" s="1"/>
  <c r="K107" i="1"/>
  <c r="K200" i="1"/>
  <c r="P200" i="1" s="1"/>
  <c r="K205" i="1"/>
  <c r="P205" i="1" s="1"/>
  <c r="K102" i="1"/>
  <c r="K50" i="1"/>
  <c r="K12" i="1"/>
  <c r="K110" i="1"/>
  <c r="K30" i="1"/>
  <c r="K138" i="1"/>
  <c r="K45" i="1"/>
  <c r="K191" i="1"/>
  <c r="P191" i="1" s="1"/>
  <c r="K198" i="1"/>
  <c r="P198" i="1" s="1"/>
  <c r="K179" i="1"/>
  <c r="P179" i="1" s="1"/>
  <c r="K39" i="1"/>
  <c r="K48" i="1"/>
  <c r="K10" i="1"/>
  <c r="K6" i="1"/>
  <c r="K162" i="1"/>
  <c r="P162" i="1" s="1"/>
  <c r="K37" i="1"/>
  <c r="K73" i="1"/>
  <c r="K151" i="1"/>
  <c r="P151" i="1" s="1"/>
  <c r="K93" i="1"/>
  <c r="K63" i="1"/>
  <c r="K67" i="1"/>
  <c r="K159" i="1"/>
  <c r="K115" i="1"/>
  <c r="K195" i="1"/>
  <c r="P195" i="1" s="1"/>
  <c r="K52" i="1"/>
  <c r="K21" i="1"/>
  <c r="K158" i="1"/>
  <c r="P158" i="1" s="1"/>
  <c r="K131" i="1"/>
  <c r="K23" i="1"/>
  <c r="K188" i="1"/>
  <c r="P188" i="1" s="1"/>
  <c r="K180" i="1"/>
  <c r="P180" i="1" s="1"/>
  <c r="K187" i="1"/>
  <c r="P187" i="1" s="1"/>
  <c r="K122" i="1"/>
  <c r="K29" i="1"/>
  <c r="K38" i="1"/>
  <c r="K166" i="1"/>
  <c r="P166" i="1" s="1"/>
  <c r="K203" i="1"/>
  <c r="P203" i="1" s="1"/>
  <c r="K152" i="1"/>
  <c r="P152" i="1" s="1"/>
  <c r="K27" i="1"/>
  <c r="K33" i="1"/>
  <c r="K144" i="1"/>
  <c r="K154" i="1"/>
  <c r="P154" i="1" s="1"/>
  <c r="K204" i="1"/>
  <c r="P204" i="1" s="1"/>
  <c r="K24" i="1"/>
  <c r="K190" i="1"/>
  <c r="P190" i="1" s="1"/>
  <c r="K147" i="1"/>
  <c r="P147" i="1" s="1"/>
  <c r="K185" i="1"/>
  <c r="K105" i="1"/>
  <c r="K103" i="1"/>
  <c r="K136" i="1"/>
  <c r="K74" i="1"/>
  <c r="K106" i="1"/>
  <c r="K80" i="1"/>
  <c r="K82" i="1"/>
  <c r="K149" i="1"/>
  <c r="P149" i="1" s="1"/>
  <c r="K193" i="1"/>
  <c r="P193" i="1" s="1"/>
  <c r="K170" i="1"/>
  <c r="P170" i="1" s="1"/>
  <c r="K132" i="1"/>
  <c r="K211" i="1"/>
  <c r="P211" i="1" s="1"/>
  <c r="K209" i="1"/>
  <c r="P209" i="1" s="1"/>
  <c r="K44" i="1"/>
  <c r="K60" i="1"/>
  <c r="K139" i="1"/>
  <c r="K96" i="1"/>
  <c r="K186" i="1"/>
  <c r="P186" i="1" s="1"/>
  <c r="K119" i="1"/>
  <c r="K34" i="1"/>
  <c r="K168" i="1"/>
  <c r="P168" i="1" s="1"/>
  <c r="K109" i="1"/>
  <c r="K118" i="1"/>
  <c r="K62" i="1"/>
  <c r="K76" i="1"/>
  <c r="K117" i="1"/>
  <c r="K20" i="1"/>
  <c r="K35" i="1"/>
  <c r="K137" i="1"/>
  <c r="K65" i="1"/>
  <c r="K61" i="1"/>
  <c r="K128" i="1"/>
  <c r="P176" i="1"/>
  <c r="P159" i="1"/>
  <c r="P185" i="1"/>
  <c r="L177" i="3" l="1"/>
  <c r="L119" i="3"/>
  <c r="L182" i="3"/>
  <c r="L102" i="3"/>
  <c r="L22" i="3"/>
  <c r="L73" i="3"/>
  <c r="L172" i="3"/>
  <c r="L55" i="3"/>
  <c r="L136" i="3"/>
  <c r="L56" i="3"/>
  <c r="L209" i="3"/>
  <c r="L196" i="3"/>
  <c r="L132" i="3"/>
  <c r="L199" i="3"/>
  <c r="L166" i="3"/>
  <c r="L181" i="3"/>
  <c r="L212" i="3"/>
  <c r="L103" i="3"/>
  <c r="L66" i="3"/>
  <c r="L20" i="3"/>
  <c r="L142" i="3"/>
  <c r="L91" i="3"/>
  <c r="L50" i="3"/>
  <c r="L126" i="3"/>
  <c r="L13" i="3"/>
  <c r="L222" i="3"/>
  <c r="L167" i="3"/>
  <c r="L221" i="3"/>
  <c r="L127" i="3"/>
  <c r="L192" i="3"/>
  <c r="L185" i="3"/>
  <c r="L178" i="3"/>
  <c r="L98" i="3"/>
  <c r="L18" i="3"/>
  <c r="L69" i="3"/>
  <c r="L168" i="3"/>
  <c r="L51" i="3"/>
  <c r="L52" i="3"/>
  <c r="L201" i="3"/>
  <c r="L44" i="3"/>
  <c r="L6" i="3"/>
  <c r="L82" i="3"/>
  <c r="L53" i="3"/>
  <c r="L116" i="3"/>
  <c r="L41" i="3"/>
  <c r="L37" i="3"/>
  <c r="L100" i="3"/>
  <c r="L193" i="3"/>
  <c r="L96" i="3"/>
  <c r="L58" i="3"/>
  <c r="L21" i="3"/>
  <c r="L210" i="3"/>
  <c r="L191" i="3"/>
  <c r="L75" i="3"/>
  <c r="L135" i="3"/>
  <c r="L148" i="3"/>
  <c r="L190" i="3"/>
  <c r="L188" i="3"/>
  <c r="L189" i="3"/>
  <c r="L174" i="3"/>
  <c r="L94" i="3"/>
  <c r="L14" i="3"/>
  <c r="L65" i="3"/>
  <c r="L160" i="3"/>
  <c r="L47" i="3"/>
  <c r="L128" i="3"/>
  <c r="L48" i="3"/>
  <c r="L197" i="3"/>
  <c r="L220" i="3"/>
  <c r="L86" i="3"/>
  <c r="L162" i="3"/>
  <c r="L115" i="3"/>
  <c r="L36" i="3"/>
  <c r="L23" i="3"/>
  <c r="L146" i="3"/>
  <c r="L33" i="3"/>
  <c r="L95" i="3"/>
  <c r="L16" i="3"/>
  <c r="L155" i="3"/>
  <c r="L83" i="3"/>
  <c r="L143" i="3"/>
  <c r="L180" i="3"/>
  <c r="L38" i="3"/>
  <c r="L85" i="3"/>
  <c r="L204" i="3"/>
  <c r="L81" i="3"/>
  <c r="L157" i="3"/>
  <c r="L169" i="3"/>
  <c r="L170" i="3"/>
  <c r="L90" i="3"/>
  <c r="L10" i="3"/>
  <c r="L61" i="3"/>
  <c r="L156" i="3"/>
  <c r="L43" i="3"/>
  <c r="L124" i="3"/>
  <c r="L152" i="3"/>
  <c r="L39" i="3"/>
  <c r="L120" i="3"/>
  <c r="L40" i="3"/>
  <c r="L216" i="3"/>
  <c r="L153" i="3"/>
  <c r="L35" i="3"/>
  <c r="L133" i="3"/>
  <c r="L99" i="3"/>
  <c r="L19" i="3"/>
  <c r="L211" i="3"/>
  <c r="L159" i="3"/>
  <c r="L11" i="3"/>
  <c r="L12" i="3"/>
  <c r="L141" i="3"/>
  <c r="L46" i="3"/>
  <c r="L42" i="3"/>
  <c r="L118" i="3"/>
  <c r="L198" i="3"/>
  <c r="L34" i="3"/>
  <c r="L30" i="3"/>
  <c r="L202" i="3"/>
  <c r="L195" i="3"/>
  <c r="L161" i="3"/>
  <c r="L57" i="3"/>
  <c r="L223" i="3"/>
  <c r="L24" i="3"/>
  <c r="L117" i="3"/>
  <c r="L113" i="3"/>
  <c r="L207" i="3"/>
  <c r="L109" i="3"/>
  <c r="L203" i="3"/>
  <c r="L3" i="3"/>
  <c r="L17" i="3"/>
  <c r="L206" i="3"/>
  <c r="L122" i="3"/>
  <c r="L164" i="3"/>
  <c r="L114" i="3"/>
  <c r="L64" i="3"/>
  <c r="L187" i="3"/>
  <c r="L110" i="3"/>
  <c r="L179" i="3"/>
  <c r="L145" i="3"/>
  <c r="L158" i="3"/>
  <c r="L78" i="3"/>
  <c r="L165" i="3"/>
  <c r="L49" i="3"/>
  <c r="L111" i="3"/>
  <c r="L31" i="3"/>
  <c r="L112" i="3"/>
  <c r="L32" i="3"/>
  <c r="L163" i="3"/>
  <c r="L15" i="3"/>
  <c r="L29" i="3"/>
  <c r="L101" i="3"/>
  <c r="L97" i="3"/>
  <c r="L93" i="3"/>
  <c r="L205" i="3"/>
  <c r="L71" i="3"/>
  <c r="L67" i="3"/>
  <c r="L144" i="3"/>
  <c r="L175" i="3"/>
  <c r="L137" i="3"/>
  <c r="L154" i="3"/>
  <c r="L74" i="3"/>
  <c r="L149" i="3"/>
  <c r="L45" i="3"/>
  <c r="L107" i="3"/>
  <c r="L27" i="3"/>
  <c r="L108" i="3"/>
  <c r="L28" i="3"/>
  <c r="L219" i="3"/>
  <c r="L171" i="3"/>
  <c r="L125" i="3"/>
  <c r="L150" i="3"/>
  <c r="L70" i="3"/>
  <c r="L104" i="3"/>
  <c r="L215" i="3"/>
  <c r="L121" i="3"/>
  <c r="L62" i="3"/>
  <c r="L138" i="3"/>
  <c r="L92" i="3"/>
  <c r="L130" i="3"/>
  <c r="L4" i="3"/>
  <c r="L79" i="3"/>
  <c r="L80" i="3"/>
  <c r="L218" i="3"/>
  <c r="L139" i="3"/>
  <c r="L9" i="3"/>
  <c r="L208" i="3"/>
  <c r="L131" i="3"/>
  <c r="L63" i="3"/>
  <c r="L129" i="3"/>
  <c r="L194" i="3"/>
  <c r="L151" i="3"/>
  <c r="L173" i="3"/>
  <c r="L134" i="3"/>
  <c r="L54" i="3"/>
  <c r="L105" i="3"/>
  <c r="L25" i="3"/>
  <c r="L87" i="3"/>
  <c r="L7" i="3"/>
  <c r="L88" i="3"/>
  <c r="L8" i="3"/>
  <c r="L214" i="3"/>
  <c r="L147" i="3"/>
  <c r="L84" i="3"/>
  <c r="L2" i="3"/>
  <c r="L183" i="3"/>
  <c r="L76" i="3"/>
  <c r="L89" i="3"/>
  <c r="L68" i="3"/>
  <c r="L184" i="3"/>
  <c r="L123" i="3"/>
  <c r="L186" i="3"/>
  <c r="L106" i="3"/>
  <c r="L26" i="3"/>
  <c r="L77" i="3"/>
  <c r="L176" i="3"/>
  <c r="L59" i="3"/>
  <c r="L140" i="3"/>
  <c r="L60" i="3"/>
  <c r="L213" i="3"/>
  <c r="L200" i="3"/>
  <c r="L72" i="3"/>
  <c r="L5" i="3"/>
  <c r="L217" i="3"/>
  <c r="J4" i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<sst xmlns="http://schemas.openxmlformats.org/spreadsheetml/2006/main" count="40" uniqueCount="36">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</sst>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D267" zoomScale="85" zoomScaleNormal="85" workbookViewId="0">
      <selection activeCell="M4" sqref="M4:P303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-0.44789000000000001</v>
      </c>
      <c r="AC3" t="s">
        <v>30</v>
      </c>
    </row>
    <row r="4" spans="1:29" x14ac:dyDescent="0.3">
      <c r="A4">
        <v>4.0674149999999992E-2</v>
      </c>
      <c r="B4">
        <v>0.90437999999999996</v>
      </c>
      <c r="C4">
        <f>A4*B4</f>
        <v>3.6784887776999994E-2</v>
      </c>
      <c r="D4">
        <v>1.6299999999999999E-2</v>
      </c>
      <c r="E4">
        <v>2.8849251857154604E-3</v>
      </c>
      <c r="F4">
        <f>A4*200</f>
        <v>8.1348299999999991</v>
      </c>
      <c r="G4">
        <f>-B4</f>
        <v>-0.90437999999999996</v>
      </c>
      <c r="H4">
        <f t="shared" ref="H4" si="0">-C4*200</f>
        <v>-7.3569775553999985</v>
      </c>
      <c r="I4">
        <v>1</v>
      </c>
      <c r="J4">
        <f>LN(F4/1000)</f>
        <v>-4.8116004358865876</v>
      </c>
      <c r="K4">
        <f>((-G4)-$N$2)</f>
        <v>-0.27553057297601202</v>
      </c>
      <c r="L4">
        <v>1</v>
      </c>
      <c r="M4">
        <f>-1*($S$4+($S$5*J4))</f>
        <v>0.28981709960050772</v>
      </c>
      <c r="N4">
        <f>D4*A4</f>
        <v>6.629886449999998E-4</v>
      </c>
      <c r="O4">
        <f>E4*A4</f>
        <v>1.1734187974256847E-4</v>
      </c>
      <c r="P4">
        <f>-K4-M4-N4-O4</f>
        <v>-1.5066857149238267E-2</v>
      </c>
      <c r="R4" s="2" t="s">
        <v>16</v>
      </c>
      <c r="S4">
        <v>-0.51500000000000001</v>
      </c>
      <c r="V4">
        <v>-6</v>
      </c>
      <c r="W4">
        <f>V4*$S$5+$S$4</f>
        <v>-0.23420000000000002</v>
      </c>
      <c r="Y4">
        <v>0</v>
      </c>
      <c r="Z4">
        <f>$AB$4*Y4+$AB$3</f>
        <v>-0.44789000000000001</v>
      </c>
      <c r="AB4">
        <v>12.781650000000001</v>
      </c>
      <c r="AC4" t="s">
        <v>31</v>
      </c>
    </row>
    <row r="5" spans="1:29" x14ac:dyDescent="0.3">
      <c r="A5">
        <v>9.1592450000000006E-2</v>
      </c>
      <c r="B5">
        <v>0.87192000000000003</v>
      </c>
      <c r="C5">
        <f t="shared" ref="C5:C68" si="1">A5*B5</f>
        <v>7.9861289004000011E-2</v>
      </c>
      <c r="D5">
        <v>1.6299999999999999E-2</v>
      </c>
      <c r="E5">
        <v>2.8849251857154604E-3</v>
      </c>
      <c r="F5">
        <f t="shared" ref="F5:F68" si="2">A5*200</f>
        <v>18.318490000000001</v>
      </c>
      <c r="G5">
        <f t="shared" ref="G5:G68" si="3">-B5</f>
        <v>-0.87192000000000003</v>
      </c>
      <c r="H5">
        <f t="shared" ref="H5:H68" si="4">-C5*200</f>
        <v>-15.972257800800001</v>
      </c>
      <c r="I5">
        <v>1</v>
      </c>
      <c r="J5">
        <f t="shared" ref="J5:J68" si="5">LN(F5/1000)</f>
        <v>-3.9998443467139491</v>
      </c>
      <c r="K5">
        <f t="shared" ref="K5:K68" si="6">((-G5)-$N$2)</f>
        <v>-0.30799057297601196</v>
      </c>
      <c r="L5">
        <v>1</v>
      </c>
      <c r="M5">
        <f t="shared" ref="M5:M68" si="7">-1*($S$4+($S$5*J5))</f>
        <v>0.32780728457378716</v>
      </c>
      <c r="N5">
        <f t="shared" ref="N5:N6" si="8">D5*A5</f>
        <v>1.4929569349999999E-3</v>
      </c>
      <c r="O5">
        <f>E5*A5</f>
        <v>2.6423736582638401E-4</v>
      </c>
      <c r="P5">
        <f>-K5-M5-N5-O5</f>
        <v>-2.157390589860159E-2</v>
      </c>
      <c r="R5" s="2" t="s">
        <v>17</v>
      </c>
      <c r="S5">
        <v>-4.6800000000000001E-2</v>
      </c>
      <c r="V5">
        <v>-5.9</v>
      </c>
      <c r="W5">
        <f t="shared" ref="W5:W68" si="9">V5*$S$5+$S$4</f>
        <v>-0.23887999999999998</v>
      </c>
      <c r="Y5">
        <v>0.01</v>
      </c>
      <c r="Z5">
        <f t="shared" ref="Z5:Z31" si="10">$AB$4*Y5+$AB$3</f>
        <v>-0.32007350000000001</v>
      </c>
    </row>
    <row r="6" spans="1:29" x14ac:dyDescent="0.3">
      <c r="A6">
        <v>0.14200160000000001</v>
      </c>
      <c r="B6">
        <v>0.83153999999999995</v>
      </c>
      <c r="C6">
        <f t="shared" si="1"/>
        <v>0.11808001046399999</v>
      </c>
      <c r="D6">
        <v>1.6299999999999999E-2</v>
      </c>
      <c r="E6">
        <v>2.8849251857154604E-3</v>
      </c>
      <c r="F6">
        <f t="shared" si="2"/>
        <v>28.400320000000001</v>
      </c>
      <c r="G6">
        <f t="shared" si="3"/>
        <v>-0.83153999999999995</v>
      </c>
      <c r="H6">
        <f t="shared" si="4"/>
        <v>-23.616002092799999</v>
      </c>
      <c r="I6">
        <v>1</v>
      </c>
      <c r="J6">
        <f t="shared" si="5"/>
        <v>-3.5613548662728221</v>
      </c>
      <c r="K6">
        <f t="shared" si="6"/>
        <v>-0.34837057297601204</v>
      </c>
      <c r="L6">
        <v>1</v>
      </c>
      <c r="M6">
        <f t="shared" si="7"/>
        <v>0.34832859225843193</v>
      </c>
      <c r="N6">
        <f t="shared" si="8"/>
        <v>2.3146260799999999E-3</v>
      </c>
      <c r="O6">
        <f t="shared" ref="O6:O69" si="11">E6*A6</f>
        <v>4.0966399225189252E-4</v>
      </c>
      <c r="P6">
        <f t="shared" ref="P6:P69" si="12">-K6-M6-N6-O6</f>
        <v>-2.6823093546717888E-3</v>
      </c>
      <c r="V6">
        <v>-5.8</v>
      </c>
      <c r="W6">
        <f t="shared" si="9"/>
        <v>-0.24356</v>
      </c>
      <c r="Y6">
        <v>0.02</v>
      </c>
      <c r="Z6">
        <f t="shared" si="10"/>
        <v>-0.19225700000000001</v>
      </c>
      <c r="AB6" t="s">
        <v>32</v>
      </c>
    </row>
    <row r="7" spans="1:29" x14ac:dyDescent="0.3">
      <c r="A7">
        <v>0.19342909999999999</v>
      </c>
      <c r="B7">
        <v>0.81501999999999997</v>
      </c>
      <c r="C7">
        <f t="shared" si="1"/>
        <v>0.157648585082</v>
      </c>
      <c r="D7">
        <v>1.6299999999999999E-2</v>
      </c>
      <c r="E7">
        <v>2.8849251857154604E-3</v>
      </c>
      <c r="F7">
        <f t="shared" si="2"/>
        <v>38.68582</v>
      </c>
      <c r="G7">
        <f t="shared" si="3"/>
        <v>-0.81501999999999997</v>
      </c>
      <c r="H7">
        <f t="shared" si="4"/>
        <v>-31.529717016399999</v>
      </c>
      <c r="I7">
        <v>1</v>
      </c>
      <c r="J7">
        <f t="shared" si="5"/>
        <v>-3.2522821543590461</v>
      </c>
      <c r="K7">
        <f t="shared" si="6"/>
        <v>-0.36489057297601202</v>
      </c>
      <c r="L7">
        <v>1</v>
      </c>
      <c r="M7">
        <f t="shared" si="7"/>
        <v>0.36279319517599662</v>
      </c>
      <c r="N7">
        <f t="shared" ref="N7:N70" si="13">D7*A7</f>
        <v>3.1528943299999994E-3</v>
      </c>
      <c r="O7">
        <f t="shared" si="11"/>
        <v>5.5802848224027432E-4</v>
      </c>
      <c r="P7">
        <f t="shared" si="12"/>
        <v>-1.6135450122248751E-3</v>
      </c>
      <c r="V7">
        <v>-5.7</v>
      </c>
      <c r="W7">
        <f t="shared" si="9"/>
        <v>-0.24824000000000002</v>
      </c>
      <c r="Y7">
        <v>0.03</v>
      </c>
      <c r="Z7">
        <f t="shared" si="10"/>
        <v>-6.4440500000000012E-2</v>
      </c>
      <c r="AB7" t="s">
        <v>33</v>
      </c>
      <c r="AC7">
        <f>-AB3/AB4</f>
        <v>3.5041641728571819E-2</v>
      </c>
    </row>
    <row r="8" spans="1:29" x14ac:dyDescent="0.3">
      <c r="A8">
        <v>0.24383825000000001</v>
      </c>
      <c r="B8">
        <v>0.80245999999999995</v>
      </c>
      <c r="C8">
        <f t="shared" si="1"/>
        <v>0.19567044209499998</v>
      </c>
      <c r="D8">
        <v>1.6299999999999999E-2</v>
      </c>
      <c r="E8">
        <v>2.8849251857154604E-3</v>
      </c>
      <c r="F8">
        <f t="shared" si="2"/>
        <v>48.767650000000003</v>
      </c>
      <c r="G8">
        <f t="shared" si="3"/>
        <v>-0.80245999999999995</v>
      </c>
      <c r="H8">
        <f t="shared" si="4"/>
        <v>-39.134088418999994</v>
      </c>
      <c r="I8">
        <v>1</v>
      </c>
      <c r="J8">
        <f t="shared" si="5"/>
        <v>-3.0206880957809799</v>
      </c>
      <c r="K8">
        <f t="shared" si="6"/>
        <v>-0.37745057297601203</v>
      </c>
      <c r="L8">
        <v>1</v>
      </c>
      <c r="M8">
        <f t="shared" si="7"/>
        <v>0.37363179711745015</v>
      </c>
      <c r="N8">
        <f t="shared" si="13"/>
        <v>3.9745634749999998E-3</v>
      </c>
      <c r="O8">
        <f t="shared" si="11"/>
        <v>7.0345510866578283E-4</v>
      </c>
      <c r="P8">
        <f t="shared" si="12"/>
        <v>-8.592427251038979E-4</v>
      </c>
      <c r="V8">
        <v>-5.6</v>
      </c>
      <c r="W8">
        <f t="shared" si="9"/>
        <v>-0.25292000000000003</v>
      </c>
      <c r="Y8">
        <v>0.04</v>
      </c>
      <c r="Z8">
        <f t="shared" si="10"/>
        <v>6.3375999999999988E-2</v>
      </c>
    </row>
    <row r="9" spans="1:29" x14ac:dyDescent="0.3">
      <c r="A9">
        <v>0.29424739999999999</v>
      </c>
      <c r="B9">
        <v>0.79357999999999995</v>
      </c>
      <c r="C9">
        <f t="shared" si="1"/>
        <v>0.23350885169199997</v>
      </c>
      <c r="D9">
        <v>1.6299999999999999E-2</v>
      </c>
      <c r="E9">
        <v>2.8849251857154604E-3</v>
      </c>
      <c r="F9">
        <f t="shared" si="2"/>
        <v>58.84948</v>
      </c>
      <c r="G9">
        <f t="shared" si="3"/>
        <v>-0.79357999999999995</v>
      </c>
      <c r="H9">
        <f t="shared" si="4"/>
        <v>-46.701770338399996</v>
      </c>
      <c r="I9">
        <v>1</v>
      </c>
      <c r="J9">
        <f t="shared" si="5"/>
        <v>-2.8327722813386784</v>
      </c>
      <c r="K9">
        <f t="shared" si="6"/>
        <v>-0.38633057297601203</v>
      </c>
      <c r="L9">
        <v>1</v>
      </c>
      <c r="M9">
        <f t="shared" si="7"/>
        <v>0.38242625723334989</v>
      </c>
      <c r="N9">
        <f t="shared" si="13"/>
        <v>4.7962326199999994E-3</v>
      </c>
      <c r="O9">
        <f t="shared" si="11"/>
        <v>8.4888173509129134E-4</v>
      </c>
      <c r="P9">
        <f t="shared" si="12"/>
        <v>-1.7407986124291452E-3</v>
      </c>
      <c r="V9">
        <v>-5.5</v>
      </c>
      <c r="W9">
        <f t="shared" si="9"/>
        <v>-0.2576</v>
      </c>
      <c r="Y9">
        <v>0.05</v>
      </c>
      <c r="Z9">
        <f t="shared" si="10"/>
        <v>0.1911925000000001</v>
      </c>
      <c r="AB9" t="s">
        <v>35</v>
      </c>
      <c r="AC9">
        <v>3.4079999999999999E-2</v>
      </c>
    </row>
    <row r="10" spans="1:29" x14ac:dyDescent="0.3">
      <c r="A10">
        <v>0.34720250000000002</v>
      </c>
      <c r="B10">
        <v>0.78566000000000003</v>
      </c>
      <c r="C10">
        <f t="shared" si="1"/>
        <v>0.27278311615</v>
      </c>
      <c r="D10">
        <v>1.6299999999999999E-2</v>
      </c>
      <c r="E10">
        <v>2.8849251857154604E-3</v>
      </c>
      <c r="F10">
        <f t="shared" si="2"/>
        <v>69.4405</v>
      </c>
      <c r="G10">
        <f t="shared" si="3"/>
        <v>-0.78566000000000003</v>
      </c>
      <c r="H10">
        <f t="shared" si="4"/>
        <v>-54.55662323</v>
      </c>
      <c r="I10">
        <v>1</v>
      </c>
      <c r="J10">
        <f t="shared" si="5"/>
        <v>-2.6672850081951358</v>
      </c>
      <c r="K10">
        <f t="shared" si="6"/>
        <v>-0.39425057297601196</v>
      </c>
      <c r="L10">
        <v>1</v>
      </c>
      <c r="M10">
        <f t="shared" si="7"/>
        <v>0.39017106161646764</v>
      </c>
      <c r="N10">
        <f t="shared" si="13"/>
        <v>5.6594007499999998E-3</v>
      </c>
      <c r="O10">
        <f t="shared" si="11"/>
        <v>1.0016532367933722E-3</v>
      </c>
      <c r="P10">
        <f t="shared" si="12"/>
        <v>-2.5815426272490531E-3</v>
      </c>
      <c r="V10">
        <v>-5.4</v>
      </c>
      <c r="W10">
        <f t="shared" si="9"/>
        <v>-0.26228000000000001</v>
      </c>
      <c r="Y10">
        <v>0.06</v>
      </c>
      <c r="Z10">
        <f t="shared" si="10"/>
        <v>0.31900899999999999</v>
      </c>
    </row>
    <row r="11" spans="1:29" x14ac:dyDescent="0.3">
      <c r="A11">
        <v>0.39862999999999998</v>
      </c>
      <c r="B11">
        <v>0.77829000000000004</v>
      </c>
      <c r="C11">
        <f t="shared" si="1"/>
        <v>0.3102497427</v>
      </c>
      <c r="D11">
        <v>1.6299999999999999E-2</v>
      </c>
      <c r="E11">
        <v>2.8849251857154604E-3</v>
      </c>
      <c r="F11">
        <f t="shared" si="2"/>
        <v>79.725999999999999</v>
      </c>
      <c r="G11">
        <f t="shared" si="3"/>
        <v>-0.77829000000000004</v>
      </c>
      <c r="H11">
        <f t="shared" si="4"/>
        <v>-62.049948540000003</v>
      </c>
      <c r="I11">
        <v>1</v>
      </c>
      <c r="J11">
        <f t="shared" si="5"/>
        <v>-2.5291595230477153</v>
      </c>
      <c r="K11">
        <f t="shared" si="6"/>
        <v>-0.40162057297601195</v>
      </c>
      <c r="L11">
        <v>1</v>
      </c>
      <c r="M11">
        <f t="shared" si="7"/>
        <v>0.39663533432136694</v>
      </c>
      <c r="N11">
        <f t="shared" si="13"/>
        <v>6.4976689999999993E-3</v>
      </c>
      <c r="O11">
        <f t="shared" si="11"/>
        <v>1.1500177267817538E-3</v>
      </c>
      <c r="P11">
        <f t="shared" si="12"/>
        <v>-2.6624480721367453E-3</v>
      </c>
      <c r="V11">
        <v>-5.3</v>
      </c>
      <c r="W11">
        <f t="shared" si="9"/>
        <v>-0.26695999999999998</v>
      </c>
      <c r="Y11">
        <v>7.0000000000000007E-2</v>
      </c>
      <c r="Z11">
        <f t="shared" si="10"/>
        <v>0.4468255000000001</v>
      </c>
      <c r="AB11" t="s">
        <v>34</v>
      </c>
      <c r="AC11">
        <f>AC7-AC9</f>
        <v>9.6164172857182012E-4</v>
      </c>
    </row>
    <row r="12" spans="1:29" x14ac:dyDescent="0.3">
      <c r="A12">
        <v>0.45107585</v>
      </c>
      <c r="B12">
        <v>0.77185000000000004</v>
      </c>
      <c r="C12">
        <f t="shared" si="1"/>
        <v>0.34816289482250001</v>
      </c>
      <c r="D12">
        <v>1.6299999999999999E-2</v>
      </c>
      <c r="E12">
        <v>2.8849251857154604E-3</v>
      </c>
      <c r="F12">
        <f t="shared" si="2"/>
        <v>90.215170000000001</v>
      </c>
      <c r="G12">
        <f t="shared" si="3"/>
        <v>-0.77185000000000004</v>
      </c>
      <c r="H12">
        <f t="shared" si="4"/>
        <v>-69.632578964499999</v>
      </c>
      <c r="I12">
        <v>1</v>
      </c>
      <c r="J12">
        <f t="shared" si="5"/>
        <v>-2.4055576842363537</v>
      </c>
      <c r="K12">
        <f t="shared" si="6"/>
        <v>-0.40806057297601195</v>
      </c>
      <c r="L12">
        <v>1</v>
      </c>
      <c r="M12">
        <f t="shared" si="7"/>
        <v>0.40241990037773867</v>
      </c>
      <c r="N12">
        <f t="shared" si="13"/>
        <v>7.3525363549999997E-3</v>
      </c>
      <c r="O12">
        <f t="shared" si="11"/>
        <v>1.3013200803330092E-3</v>
      </c>
      <c r="P12">
        <f t="shared" si="12"/>
        <v>-3.0131838370597314E-3</v>
      </c>
      <c r="V12">
        <v>-5.2</v>
      </c>
      <c r="W12">
        <f t="shared" si="9"/>
        <v>-0.27163999999999999</v>
      </c>
      <c r="Y12">
        <v>0.08</v>
      </c>
      <c r="Z12">
        <f t="shared" si="10"/>
        <v>0.57464199999999999</v>
      </c>
      <c r="AC12">
        <f>AC11*3</f>
        <v>2.8849251857154604E-3</v>
      </c>
    </row>
    <row r="13" spans="1:29" x14ac:dyDescent="0.3">
      <c r="A13">
        <v>0.50148504999999999</v>
      </c>
      <c r="B13">
        <v>0.76646999999999998</v>
      </c>
      <c r="C13">
        <f t="shared" si="1"/>
        <v>0.3843732462735</v>
      </c>
      <c r="D13">
        <v>1.6299999999999999E-2</v>
      </c>
      <c r="E13">
        <v>2.8849251857154604E-3</v>
      </c>
      <c r="F13">
        <f t="shared" si="2"/>
        <v>100.29701</v>
      </c>
      <c r="G13">
        <f t="shared" si="3"/>
        <v>-0.76646999999999998</v>
      </c>
      <c r="H13">
        <f t="shared" si="4"/>
        <v>-76.874649254700003</v>
      </c>
      <c r="I13">
        <v>1</v>
      </c>
      <c r="J13">
        <f t="shared" si="5"/>
        <v>-2.2996193950268862</v>
      </c>
      <c r="K13">
        <f t="shared" si="6"/>
        <v>-0.413440572976012</v>
      </c>
      <c r="L13">
        <v>1</v>
      </c>
      <c r="M13">
        <f t="shared" si="7"/>
        <v>0.40737781231274173</v>
      </c>
      <c r="N13">
        <f t="shared" si="13"/>
        <v>8.1742063149999999E-3</v>
      </c>
      <c r="O13">
        <f t="shared" si="11"/>
        <v>1.4467468510047769E-3</v>
      </c>
      <c r="P13">
        <f t="shared" si="12"/>
        <v>-3.5581925027345042E-3</v>
      </c>
      <c r="V13">
        <v>-5.0999999999999996</v>
      </c>
      <c r="W13">
        <f t="shared" si="9"/>
        <v>-0.27632000000000001</v>
      </c>
      <c r="Y13">
        <v>0.09</v>
      </c>
      <c r="Z13">
        <f t="shared" si="10"/>
        <v>0.70245849999999999</v>
      </c>
    </row>
    <row r="14" spans="1:29" x14ac:dyDescent="0.3">
      <c r="A14">
        <v>0.5539309</v>
      </c>
      <c r="B14">
        <v>0.76119999999999999</v>
      </c>
      <c r="C14">
        <f t="shared" si="1"/>
        <v>0.42165220108000001</v>
      </c>
      <c r="D14">
        <v>1.6299999999999999E-2</v>
      </c>
      <c r="E14">
        <v>2.8849251857154604E-3</v>
      </c>
      <c r="F14">
        <f t="shared" si="2"/>
        <v>110.78618</v>
      </c>
      <c r="G14">
        <f t="shared" si="3"/>
        <v>-0.76119999999999999</v>
      </c>
      <c r="H14">
        <f t="shared" si="4"/>
        <v>-84.330440216</v>
      </c>
      <c r="I14">
        <v>1</v>
      </c>
      <c r="J14">
        <f t="shared" si="5"/>
        <v>-2.2001532416901695</v>
      </c>
      <c r="K14">
        <f t="shared" si="6"/>
        <v>-0.418710572976012</v>
      </c>
      <c r="L14">
        <v>1</v>
      </c>
      <c r="M14">
        <f t="shared" si="7"/>
        <v>0.41203282828890009</v>
      </c>
      <c r="N14">
        <f t="shared" si="13"/>
        <v>9.0290736699999985E-3</v>
      </c>
      <c r="O14">
        <f t="shared" si="11"/>
        <v>1.5980492045560321E-3</v>
      </c>
      <c r="P14">
        <f t="shared" si="12"/>
        <v>-3.9493781874441226E-3</v>
      </c>
      <c r="V14">
        <v>-5</v>
      </c>
      <c r="W14">
        <f t="shared" si="9"/>
        <v>-0.28100000000000003</v>
      </c>
      <c r="Y14">
        <v>0.1</v>
      </c>
      <c r="Z14">
        <f t="shared" si="10"/>
        <v>0.83027500000000021</v>
      </c>
    </row>
    <row r="15" spans="1:29" x14ac:dyDescent="0.3">
      <c r="A15">
        <v>0.60434010000000005</v>
      </c>
      <c r="B15">
        <v>0.75673000000000001</v>
      </c>
      <c r="C15">
        <f t="shared" si="1"/>
        <v>0.45732228387300006</v>
      </c>
      <c r="D15">
        <v>1.6299999999999999E-2</v>
      </c>
      <c r="E15">
        <v>2.8849251857154604E-3</v>
      </c>
      <c r="F15">
        <f t="shared" si="2"/>
        <v>120.86802000000002</v>
      </c>
      <c r="G15">
        <f t="shared" si="3"/>
        <v>-0.75673000000000001</v>
      </c>
      <c r="H15">
        <f t="shared" si="4"/>
        <v>-91.464456774600009</v>
      </c>
      <c r="I15">
        <v>1</v>
      </c>
      <c r="J15">
        <f t="shared" si="5"/>
        <v>-2.1130560724809837</v>
      </c>
      <c r="K15">
        <f t="shared" si="6"/>
        <v>-0.42318057297601197</v>
      </c>
      <c r="L15">
        <v>1</v>
      </c>
      <c r="M15">
        <f t="shared" si="7"/>
        <v>0.41610897580788997</v>
      </c>
      <c r="N15">
        <f t="shared" si="13"/>
        <v>9.8507436300000004E-3</v>
      </c>
      <c r="O15">
        <f t="shared" si="11"/>
        <v>1.7434759752278E-3</v>
      </c>
      <c r="P15">
        <f t="shared" si="12"/>
        <v>-4.5226224371057991E-3</v>
      </c>
      <c r="V15">
        <v>-4.9000000000000004</v>
      </c>
      <c r="W15">
        <f t="shared" si="9"/>
        <v>-0.28567999999999999</v>
      </c>
      <c r="Y15">
        <v>0.11</v>
      </c>
      <c r="Z15">
        <f t="shared" si="10"/>
        <v>0.95809149999999998</v>
      </c>
    </row>
    <row r="16" spans="1:29" x14ac:dyDescent="0.3">
      <c r="A16">
        <v>0.6557675999999999</v>
      </c>
      <c r="B16">
        <v>0.75212999999999997</v>
      </c>
      <c r="C16">
        <f t="shared" si="1"/>
        <v>0.49322248498799992</v>
      </c>
      <c r="D16">
        <v>1.6299999999999999E-2</v>
      </c>
      <c r="E16">
        <v>2.8849251857154604E-3</v>
      </c>
      <c r="F16">
        <f t="shared" si="2"/>
        <v>131.15351999999999</v>
      </c>
      <c r="G16">
        <f t="shared" si="3"/>
        <v>-0.75212999999999997</v>
      </c>
      <c r="H16">
        <f t="shared" si="4"/>
        <v>-98.644496997599987</v>
      </c>
      <c r="I16">
        <v>1</v>
      </c>
      <c r="J16">
        <f t="shared" si="5"/>
        <v>-2.0313867335326679</v>
      </c>
      <c r="K16">
        <f t="shared" si="6"/>
        <v>-0.42778057297601202</v>
      </c>
      <c r="L16">
        <v>1</v>
      </c>
      <c r="M16">
        <f t="shared" si="7"/>
        <v>0.41993110087067115</v>
      </c>
      <c r="N16">
        <f t="shared" si="13"/>
        <v>1.0689011879999996E-2</v>
      </c>
      <c r="O16">
        <f t="shared" si="11"/>
        <v>1.8918404652161814E-3</v>
      </c>
      <c r="P16">
        <f t="shared" si="12"/>
        <v>-4.7313802398753066E-3</v>
      </c>
      <c r="V16">
        <v>-4.8</v>
      </c>
      <c r="W16">
        <f t="shared" si="9"/>
        <v>-0.29036000000000001</v>
      </c>
      <c r="Y16">
        <v>0.12</v>
      </c>
      <c r="Z16">
        <f t="shared" si="10"/>
        <v>1.0859079999999999</v>
      </c>
    </row>
    <row r="17" spans="1:26" x14ac:dyDescent="0.3">
      <c r="A17">
        <v>0.70668589999999998</v>
      </c>
      <c r="B17">
        <v>0.74755000000000005</v>
      </c>
      <c r="C17">
        <f t="shared" si="1"/>
        <v>0.52828304454499997</v>
      </c>
      <c r="D17">
        <v>1.6299999999999999E-2</v>
      </c>
      <c r="E17">
        <v>2.8849251857154604E-3</v>
      </c>
      <c r="F17">
        <f t="shared" si="2"/>
        <v>141.33717999999999</v>
      </c>
      <c r="G17">
        <f t="shared" si="3"/>
        <v>-0.74755000000000005</v>
      </c>
      <c r="H17">
        <f t="shared" si="4"/>
        <v>-105.656608909</v>
      </c>
      <c r="I17">
        <v>1</v>
      </c>
      <c r="J17">
        <f t="shared" si="5"/>
        <v>-1.9566068958075324</v>
      </c>
      <c r="K17">
        <f t="shared" si="6"/>
        <v>-0.43236057297601194</v>
      </c>
      <c r="L17">
        <v>1</v>
      </c>
      <c r="M17">
        <f t="shared" si="7"/>
        <v>0.42343079727620747</v>
      </c>
      <c r="N17">
        <f t="shared" si="13"/>
        <v>1.1518980169999998E-2</v>
      </c>
      <c r="O17">
        <f t="shared" si="11"/>
        <v>2.0387359512999974E-3</v>
      </c>
      <c r="P17">
        <f t="shared" si="12"/>
        <v>-4.62794042149553E-3</v>
      </c>
      <c r="V17">
        <v>-4.7</v>
      </c>
      <c r="W17">
        <f t="shared" si="9"/>
        <v>-0.29503999999999997</v>
      </c>
      <c r="Y17">
        <v>0.13</v>
      </c>
      <c r="Z17">
        <f t="shared" si="10"/>
        <v>1.2137245000000001</v>
      </c>
    </row>
    <row r="18" spans="1:26" x14ac:dyDescent="0.3">
      <c r="A18">
        <v>0.76116845</v>
      </c>
      <c r="B18">
        <v>0.74295999999999995</v>
      </c>
      <c r="C18">
        <f t="shared" si="1"/>
        <v>0.56551771161199993</v>
      </c>
      <c r="D18">
        <v>1.6299999999999999E-2</v>
      </c>
      <c r="E18">
        <v>2.8849251857154604E-3</v>
      </c>
      <c r="F18">
        <f t="shared" si="2"/>
        <v>152.23369</v>
      </c>
      <c r="G18">
        <f t="shared" si="3"/>
        <v>-0.74295999999999995</v>
      </c>
      <c r="H18">
        <f t="shared" si="4"/>
        <v>-113.10354232239999</v>
      </c>
      <c r="I18">
        <v>1</v>
      </c>
      <c r="J18">
        <f t="shared" si="5"/>
        <v>-1.8823385045673589</v>
      </c>
      <c r="K18">
        <f t="shared" si="6"/>
        <v>-0.43695057297601203</v>
      </c>
      <c r="L18">
        <v>1</v>
      </c>
      <c r="M18">
        <f t="shared" si="7"/>
        <v>0.4269065579862476</v>
      </c>
      <c r="N18">
        <f t="shared" si="13"/>
        <v>1.2407045734999999E-2</v>
      </c>
      <c r="O18">
        <f t="shared" si="11"/>
        <v>2.1959140319769989E-3</v>
      </c>
      <c r="P18">
        <f t="shared" si="12"/>
        <v>-4.5589447772125709E-3</v>
      </c>
      <c r="V18">
        <v>-4.5999999999999996</v>
      </c>
      <c r="W18">
        <f t="shared" si="9"/>
        <v>-0.29971999999999999</v>
      </c>
      <c r="Y18">
        <v>0.14000000000000001</v>
      </c>
      <c r="Z18">
        <f t="shared" si="10"/>
        <v>1.3415410000000003</v>
      </c>
    </row>
    <row r="19" spans="1:26" x14ac:dyDescent="0.3">
      <c r="A19">
        <v>0.8120868</v>
      </c>
      <c r="B19">
        <v>0.73955000000000004</v>
      </c>
      <c r="C19">
        <f t="shared" si="1"/>
        <v>0.60057879294000005</v>
      </c>
      <c r="D19">
        <v>1.6299999999999999E-2</v>
      </c>
      <c r="E19">
        <v>2.8849251857154604E-3</v>
      </c>
      <c r="F19">
        <f t="shared" si="2"/>
        <v>162.41736</v>
      </c>
      <c r="G19">
        <f t="shared" si="3"/>
        <v>-0.73955000000000004</v>
      </c>
      <c r="H19">
        <f t="shared" si="4"/>
        <v>-120.11575858800001</v>
      </c>
      <c r="I19">
        <v>1</v>
      </c>
      <c r="J19">
        <f t="shared" si="5"/>
        <v>-1.8175859604158646</v>
      </c>
      <c r="K19">
        <f t="shared" si="6"/>
        <v>-0.44036057297601194</v>
      </c>
      <c r="L19">
        <v>1</v>
      </c>
      <c r="M19">
        <f t="shared" si="7"/>
        <v>0.42993697705253753</v>
      </c>
      <c r="N19">
        <f t="shared" si="13"/>
        <v>1.3237014839999998E-2</v>
      </c>
      <c r="O19">
        <f t="shared" si="11"/>
        <v>2.3428096623070737E-3</v>
      </c>
      <c r="P19">
        <f t="shared" si="12"/>
        <v>-5.156228578832656E-3</v>
      </c>
      <c r="V19">
        <v>-4.5000000000000098</v>
      </c>
      <c r="W19">
        <f t="shared" si="9"/>
        <v>-0.30439999999999956</v>
      </c>
      <c r="Y19">
        <v>0.15</v>
      </c>
      <c r="Z19">
        <f t="shared" si="10"/>
        <v>1.4693575000000001</v>
      </c>
    </row>
    <row r="20" spans="1:26" x14ac:dyDescent="0.3">
      <c r="A20">
        <v>0.86300515</v>
      </c>
      <c r="B20">
        <v>0.73548000000000002</v>
      </c>
      <c r="C20">
        <f t="shared" si="1"/>
        <v>0.63472302772200007</v>
      </c>
      <c r="D20">
        <v>1.6299999999999999E-2</v>
      </c>
      <c r="E20">
        <v>2.8849251857154604E-3</v>
      </c>
      <c r="F20">
        <f t="shared" si="2"/>
        <v>172.60103000000001</v>
      </c>
      <c r="G20">
        <f t="shared" si="3"/>
        <v>-0.73548000000000002</v>
      </c>
      <c r="H20">
        <f t="shared" si="4"/>
        <v>-126.94460554440002</v>
      </c>
      <c r="I20">
        <v>1</v>
      </c>
      <c r="J20">
        <f t="shared" si="5"/>
        <v>-1.7567725327955745</v>
      </c>
      <c r="K20">
        <f t="shared" si="6"/>
        <v>-0.44443057297601196</v>
      </c>
      <c r="L20">
        <v>1</v>
      </c>
      <c r="M20">
        <f t="shared" si="7"/>
        <v>0.4327830454651671</v>
      </c>
      <c r="N20">
        <f t="shared" si="13"/>
        <v>1.4066983944999998E-2</v>
      </c>
      <c r="O20">
        <f t="shared" si="11"/>
        <v>2.4897052926371489E-3</v>
      </c>
      <c r="P20">
        <f t="shared" si="12"/>
        <v>-4.90916172679229E-3</v>
      </c>
      <c r="V20">
        <v>-4.4000000000000101</v>
      </c>
      <c r="W20">
        <f t="shared" si="9"/>
        <v>-0.30907999999999952</v>
      </c>
      <c r="Y20">
        <v>0.16</v>
      </c>
      <c r="Z20">
        <f t="shared" si="10"/>
        <v>1.5971739999999999</v>
      </c>
    </row>
    <row r="21" spans="1:26" x14ac:dyDescent="0.3">
      <c r="A21">
        <v>0.91392345000000008</v>
      </c>
      <c r="B21">
        <v>0.73128000000000004</v>
      </c>
      <c r="C21">
        <f t="shared" si="1"/>
        <v>0.66833394051600015</v>
      </c>
      <c r="D21">
        <v>1.6299999999999999E-2</v>
      </c>
      <c r="E21">
        <v>2.8849251857154604E-3</v>
      </c>
      <c r="F21">
        <f t="shared" si="2"/>
        <v>182.78469000000001</v>
      </c>
      <c r="G21">
        <f t="shared" si="3"/>
        <v>-0.73128000000000004</v>
      </c>
      <c r="H21">
        <f t="shared" si="4"/>
        <v>-133.66678810320002</v>
      </c>
      <c r="I21">
        <v>1</v>
      </c>
      <c r="J21">
        <f t="shared" si="5"/>
        <v>-1.6994463762047733</v>
      </c>
      <c r="K21">
        <f t="shared" si="6"/>
        <v>-0.44863057297601194</v>
      </c>
      <c r="L21">
        <v>1</v>
      </c>
      <c r="M21">
        <f t="shared" si="7"/>
        <v>0.43546590959361664</v>
      </c>
      <c r="N21">
        <f t="shared" si="13"/>
        <v>1.4896952235E-2</v>
      </c>
      <c r="O21">
        <f t="shared" si="11"/>
        <v>2.6366007787209647E-3</v>
      </c>
      <c r="P21">
        <f t="shared" si="12"/>
        <v>-4.3688896313256618E-3</v>
      </c>
      <c r="V21">
        <v>-4.3000000000000096</v>
      </c>
      <c r="W21">
        <f t="shared" si="9"/>
        <v>-0.31375999999999959</v>
      </c>
      <c r="Y21">
        <v>0.17</v>
      </c>
      <c r="Z21">
        <f t="shared" si="10"/>
        <v>1.7249905000000001</v>
      </c>
    </row>
    <row r="22" spans="1:26" x14ac:dyDescent="0.3">
      <c r="A22">
        <v>0.96484179999999997</v>
      </c>
      <c r="B22">
        <v>0.72806999999999999</v>
      </c>
      <c r="C22">
        <f t="shared" si="1"/>
        <v>0.70247236932599999</v>
      </c>
      <c r="D22">
        <v>1.6299999999999999E-2</v>
      </c>
      <c r="E22">
        <v>2.8849251857154604E-3</v>
      </c>
      <c r="F22">
        <f t="shared" si="2"/>
        <v>192.96835999999999</v>
      </c>
      <c r="G22">
        <f t="shared" si="3"/>
        <v>-0.72806999999999999</v>
      </c>
      <c r="H22">
        <f t="shared" si="4"/>
        <v>-140.49447386520001</v>
      </c>
      <c r="I22">
        <v>1</v>
      </c>
      <c r="J22">
        <f t="shared" si="5"/>
        <v>-1.6452290413403596</v>
      </c>
      <c r="K22">
        <f t="shared" si="6"/>
        <v>-0.45184057297601199</v>
      </c>
      <c r="L22">
        <v>1</v>
      </c>
      <c r="M22">
        <f t="shared" si="7"/>
        <v>0.43800328086527118</v>
      </c>
      <c r="N22">
        <f t="shared" si="13"/>
        <v>1.5726921339999998E-2</v>
      </c>
      <c r="O22">
        <f t="shared" si="11"/>
        <v>2.783496409051039E-3</v>
      </c>
      <c r="P22">
        <f t="shared" si="12"/>
        <v>-4.6731256383102313E-3</v>
      </c>
      <c r="V22">
        <v>-4.2000000000000099</v>
      </c>
      <c r="W22">
        <f t="shared" si="9"/>
        <v>-0.3184399999999995</v>
      </c>
      <c r="Y22">
        <v>0.18</v>
      </c>
      <c r="Z22">
        <f t="shared" si="10"/>
        <v>1.8528069999999999</v>
      </c>
    </row>
    <row r="23" spans="1:26" x14ac:dyDescent="0.3">
      <c r="A23">
        <v>1.0167784</v>
      </c>
      <c r="B23">
        <v>0.72431000000000001</v>
      </c>
      <c r="C23">
        <f t="shared" si="1"/>
        <v>0.73646276290400003</v>
      </c>
      <c r="D23">
        <v>1.6299999999999999E-2</v>
      </c>
      <c r="E23">
        <v>2.8849251857154604E-3</v>
      </c>
      <c r="F23">
        <f t="shared" si="2"/>
        <v>203.35568000000001</v>
      </c>
      <c r="G23">
        <f t="shared" si="3"/>
        <v>-0.72431000000000001</v>
      </c>
      <c r="H23">
        <f t="shared" si="4"/>
        <v>-147.29255258080002</v>
      </c>
      <c r="I23">
        <v>1</v>
      </c>
      <c r="J23">
        <f t="shared" si="5"/>
        <v>-1.5927987148822882</v>
      </c>
      <c r="K23">
        <f t="shared" si="6"/>
        <v>-0.45560057297601197</v>
      </c>
      <c r="L23">
        <v>1</v>
      </c>
      <c r="M23">
        <f t="shared" si="7"/>
        <v>0.4404570201435089</v>
      </c>
      <c r="N23">
        <f t="shared" si="13"/>
        <v>1.6573487919999998E-2</v>
      </c>
      <c r="O23">
        <f t="shared" si="11"/>
        <v>2.9333296144514686E-3</v>
      </c>
      <c r="P23">
        <f t="shared" si="12"/>
        <v>-4.3632647019483956E-3</v>
      </c>
      <c r="V23">
        <v>-4.1000000000000103</v>
      </c>
      <c r="W23">
        <f t="shared" si="9"/>
        <v>-0.32311999999999952</v>
      </c>
      <c r="Y23">
        <v>0.19</v>
      </c>
      <c r="Z23">
        <f t="shared" si="10"/>
        <v>1.9806235000000001</v>
      </c>
    </row>
    <row r="24" spans="1:26" x14ac:dyDescent="0.3">
      <c r="A24">
        <v>1.0702427000000001</v>
      </c>
      <c r="B24">
        <v>0.72094999999999998</v>
      </c>
      <c r="C24">
        <f t="shared" si="1"/>
        <v>0.7715914745650001</v>
      </c>
      <c r="D24">
        <v>1.6299999999999999E-2</v>
      </c>
      <c r="E24">
        <v>2.8849251857154604E-3</v>
      </c>
      <c r="F24">
        <f t="shared" si="2"/>
        <v>214.04854000000003</v>
      </c>
      <c r="G24">
        <f t="shared" si="3"/>
        <v>-0.72094999999999998</v>
      </c>
      <c r="H24">
        <f t="shared" si="4"/>
        <v>-154.31829491300002</v>
      </c>
      <c r="I24">
        <v>1</v>
      </c>
      <c r="J24">
        <f t="shared" si="5"/>
        <v>-1.5415524672506971</v>
      </c>
      <c r="K24">
        <f t="shared" si="6"/>
        <v>-0.458960572976012</v>
      </c>
      <c r="L24">
        <v>1</v>
      </c>
      <c r="M24">
        <f t="shared" si="7"/>
        <v>0.44285534453266739</v>
      </c>
      <c r="N24">
        <f t="shared" si="13"/>
        <v>1.7444956009999998E-2</v>
      </c>
      <c r="O24">
        <f t="shared" si="11"/>
        <v>3.0875701200581162E-3</v>
      </c>
      <c r="P24">
        <f t="shared" si="12"/>
        <v>-4.4272976867135039E-3</v>
      </c>
      <c r="V24">
        <v>-4.0000000000000098</v>
      </c>
      <c r="W24">
        <f t="shared" si="9"/>
        <v>-0.32779999999999954</v>
      </c>
      <c r="Y24">
        <v>0.2</v>
      </c>
      <c r="Z24">
        <f t="shared" si="10"/>
        <v>2.1084400000000003</v>
      </c>
    </row>
    <row r="25" spans="1:26" x14ac:dyDescent="0.3">
      <c r="A25">
        <v>1.123707</v>
      </c>
      <c r="B25">
        <v>0.71706999999999999</v>
      </c>
      <c r="C25">
        <f t="shared" si="1"/>
        <v>0.80577657848999995</v>
      </c>
      <c r="D25">
        <v>1.6299999999999999E-2</v>
      </c>
      <c r="E25">
        <v>2.8849251857154604E-3</v>
      </c>
      <c r="F25">
        <f t="shared" si="2"/>
        <v>224.7414</v>
      </c>
      <c r="G25">
        <f t="shared" si="3"/>
        <v>-0.71706999999999999</v>
      </c>
      <c r="H25">
        <f t="shared" si="4"/>
        <v>-161.15531569799998</v>
      </c>
      <c r="I25">
        <v>1</v>
      </c>
      <c r="J25">
        <f t="shared" si="5"/>
        <v>-1.4928048711011197</v>
      </c>
      <c r="K25">
        <f t="shared" si="6"/>
        <v>-0.462840572976012</v>
      </c>
      <c r="L25">
        <v>1</v>
      </c>
      <c r="M25">
        <f t="shared" si="7"/>
        <v>0.44513673203246762</v>
      </c>
      <c r="N25">
        <f t="shared" si="13"/>
        <v>1.8316424099999999E-2</v>
      </c>
      <c r="O25">
        <f t="shared" si="11"/>
        <v>3.241810625664763E-3</v>
      </c>
      <c r="P25">
        <f t="shared" si="12"/>
        <v>-3.8543937821203821E-3</v>
      </c>
      <c r="V25">
        <v>-3.9000000000000101</v>
      </c>
      <c r="W25">
        <f t="shared" si="9"/>
        <v>-0.33247999999999955</v>
      </c>
      <c r="Y25">
        <v>0.21</v>
      </c>
      <c r="Z25">
        <f t="shared" si="10"/>
        <v>2.2362565000000001</v>
      </c>
    </row>
    <row r="26" spans="1:26" x14ac:dyDescent="0.3">
      <c r="A26">
        <v>1.1756437</v>
      </c>
      <c r="B26">
        <v>0.71372999999999998</v>
      </c>
      <c r="C26">
        <f t="shared" si="1"/>
        <v>0.83909217800099989</v>
      </c>
      <c r="D26">
        <v>1.6299999999999999E-2</v>
      </c>
      <c r="E26">
        <v>2.8849251857154604E-3</v>
      </c>
      <c r="F26">
        <f t="shared" si="2"/>
        <v>235.12873999999999</v>
      </c>
      <c r="G26">
        <f t="shared" si="3"/>
        <v>-0.71372999999999998</v>
      </c>
      <c r="H26">
        <f t="shared" si="4"/>
        <v>-167.81843560019999</v>
      </c>
      <c r="I26">
        <v>1</v>
      </c>
      <c r="J26">
        <f t="shared" si="5"/>
        <v>-1.4476220850546999</v>
      </c>
      <c r="K26">
        <f t="shared" si="6"/>
        <v>-0.46618057297601201</v>
      </c>
      <c r="L26">
        <v>1</v>
      </c>
      <c r="M26">
        <f t="shared" si="7"/>
        <v>0.44725128641944006</v>
      </c>
      <c r="N26">
        <f t="shared" si="13"/>
        <v>1.9162992309999998E-2</v>
      </c>
      <c r="O26">
        <f t="shared" si="11"/>
        <v>3.391644119557711E-3</v>
      </c>
      <c r="P26">
        <f t="shared" si="12"/>
        <v>-3.6253498729857643E-3</v>
      </c>
      <c r="V26">
        <v>-3.80000000000001</v>
      </c>
      <c r="W26">
        <f t="shared" si="9"/>
        <v>-0.33715999999999957</v>
      </c>
      <c r="Y26">
        <v>0.22</v>
      </c>
      <c r="Z26">
        <f t="shared" si="10"/>
        <v>2.3640729999999999</v>
      </c>
    </row>
    <row r="27" spans="1:26" x14ac:dyDescent="0.3">
      <c r="A27">
        <v>1.2265621</v>
      </c>
      <c r="B27">
        <v>0.71045000000000003</v>
      </c>
      <c r="C27">
        <f t="shared" si="1"/>
        <v>0.87141104394500002</v>
      </c>
      <c r="D27">
        <v>1.6299999999999999E-2</v>
      </c>
      <c r="E27">
        <v>2.8849251857154604E-3</v>
      </c>
      <c r="F27">
        <f t="shared" si="2"/>
        <v>245.31242</v>
      </c>
      <c r="G27">
        <f t="shared" si="3"/>
        <v>-0.71045000000000003</v>
      </c>
      <c r="H27">
        <f t="shared" si="4"/>
        <v>-174.28220878900001</v>
      </c>
      <c r="I27">
        <v>1</v>
      </c>
      <c r="J27">
        <f t="shared" si="5"/>
        <v>-1.4052226971201123</v>
      </c>
      <c r="K27">
        <f t="shared" si="6"/>
        <v>-0.46946057297601196</v>
      </c>
      <c r="L27">
        <v>1</v>
      </c>
      <c r="M27">
        <f t="shared" si="7"/>
        <v>0.44923557777477874</v>
      </c>
      <c r="N27">
        <f t="shared" si="13"/>
        <v>1.9992962229999998E-2</v>
      </c>
      <c r="O27">
        <f t="shared" si="11"/>
        <v>3.5385398941340448E-3</v>
      </c>
      <c r="P27">
        <f t="shared" si="12"/>
        <v>-3.3065069229008225E-3</v>
      </c>
      <c r="V27">
        <v>-3.7000000000000099</v>
      </c>
      <c r="W27">
        <f t="shared" si="9"/>
        <v>-0.34183999999999953</v>
      </c>
      <c r="Y27">
        <v>0.23</v>
      </c>
      <c r="Z27">
        <f t="shared" si="10"/>
        <v>2.4918895000000001</v>
      </c>
    </row>
    <row r="28" spans="1:26" x14ac:dyDescent="0.3">
      <c r="A28">
        <v>1.2769712</v>
      </c>
      <c r="B28">
        <v>0.70740999999999998</v>
      </c>
      <c r="C28">
        <f t="shared" si="1"/>
        <v>0.90334219659199999</v>
      </c>
      <c r="D28">
        <v>1.6299999999999999E-2</v>
      </c>
      <c r="E28">
        <v>2.8849251857154604E-3</v>
      </c>
      <c r="F28">
        <f t="shared" si="2"/>
        <v>255.39424</v>
      </c>
      <c r="G28">
        <f t="shared" si="3"/>
        <v>-0.70740999999999998</v>
      </c>
      <c r="H28">
        <f t="shared" si="4"/>
        <v>-180.6684393184</v>
      </c>
      <c r="I28">
        <v>1</v>
      </c>
      <c r="J28">
        <f t="shared" si="5"/>
        <v>-1.3649468884962792</v>
      </c>
      <c r="K28">
        <f t="shared" si="6"/>
        <v>-0.472500572976012</v>
      </c>
      <c r="L28">
        <v>1</v>
      </c>
      <c r="M28">
        <f t="shared" si="7"/>
        <v>0.45112048561837415</v>
      </c>
      <c r="N28">
        <f t="shared" si="13"/>
        <v>2.0814630559999998E-2</v>
      </c>
      <c r="O28">
        <f t="shared" si="11"/>
        <v>3.6839663763132942E-3</v>
      </c>
      <c r="P28">
        <f t="shared" si="12"/>
        <v>-3.1185095786754368E-3</v>
      </c>
      <c r="V28">
        <v>-3.6000000000000099</v>
      </c>
      <c r="W28">
        <f t="shared" si="9"/>
        <v>-0.34651999999999955</v>
      </c>
      <c r="Y28">
        <v>0.24</v>
      </c>
      <c r="Z28">
        <f t="shared" si="10"/>
        <v>2.6197059999999999</v>
      </c>
    </row>
    <row r="29" spans="1:26" x14ac:dyDescent="0.3">
      <c r="A29">
        <v>1.3299261000000002</v>
      </c>
      <c r="B29">
        <v>0.70408999999999999</v>
      </c>
      <c r="C29">
        <f t="shared" si="1"/>
        <v>0.93638766774900017</v>
      </c>
      <c r="D29">
        <v>1.6299999999999999E-2</v>
      </c>
      <c r="E29">
        <v>2.8849251857154604E-3</v>
      </c>
      <c r="F29">
        <f t="shared" si="2"/>
        <v>265.98522000000003</v>
      </c>
      <c r="G29">
        <f t="shared" si="3"/>
        <v>-0.70408999999999999</v>
      </c>
      <c r="H29">
        <f t="shared" si="4"/>
        <v>-187.27753354980004</v>
      </c>
      <c r="I29">
        <v>1</v>
      </c>
      <c r="J29">
        <f t="shared" si="5"/>
        <v>-1.3243145356539436</v>
      </c>
      <c r="K29">
        <f t="shared" si="6"/>
        <v>-0.47582057297601199</v>
      </c>
      <c r="L29">
        <v>1</v>
      </c>
      <c r="M29">
        <f t="shared" si="7"/>
        <v>0.45302207973139547</v>
      </c>
      <c r="N29">
        <f t="shared" si="13"/>
        <v>2.1677795430000001E-2</v>
      </c>
      <c r="O29">
        <f t="shared" si="11"/>
        <v>3.8367373010303385E-3</v>
      </c>
      <c r="P29">
        <f t="shared" si="12"/>
        <v>-2.7160394864138146E-3</v>
      </c>
      <c r="V29">
        <v>-3.5000000000000102</v>
      </c>
      <c r="W29">
        <f t="shared" si="9"/>
        <v>-0.35119999999999951</v>
      </c>
      <c r="Y29">
        <v>0.25</v>
      </c>
      <c r="Z29">
        <f t="shared" si="10"/>
        <v>2.7475225000000001</v>
      </c>
    </row>
    <row r="30" spans="1:26" x14ac:dyDescent="0.3">
      <c r="A30">
        <v>1.3808446000000001</v>
      </c>
      <c r="B30">
        <v>0.70087999999999995</v>
      </c>
      <c r="C30">
        <f t="shared" si="1"/>
        <v>0.96780636324799996</v>
      </c>
      <c r="D30">
        <v>1.6299999999999999E-2</v>
      </c>
      <c r="E30">
        <v>2.8849251857154604E-3</v>
      </c>
      <c r="F30">
        <f t="shared" si="2"/>
        <v>276.16892000000001</v>
      </c>
      <c r="G30">
        <f t="shared" si="3"/>
        <v>-0.70087999999999995</v>
      </c>
      <c r="H30">
        <f t="shared" si="4"/>
        <v>-193.5612726496</v>
      </c>
      <c r="I30">
        <v>1</v>
      </c>
      <c r="J30">
        <f t="shared" si="5"/>
        <v>-1.2867425714928364</v>
      </c>
      <c r="K30">
        <f t="shared" si="6"/>
        <v>-0.47903057297601204</v>
      </c>
      <c r="L30">
        <v>1</v>
      </c>
      <c r="M30">
        <f t="shared" si="7"/>
        <v>0.45478044765413528</v>
      </c>
      <c r="N30">
        <f t="shared" si="13"/>
        <v>2.250776698E-2</v>
      </c>
      <c r="O30">
        <f t="shared" si="11"/>
        <v>3.9836333640991912E-3</v>
      </c>
      <c r="P30">
        <f t="shared" si="12"/>
        <v>-2.2412750222224323E-3</v>
      </c>
      <c r="V30">
        <v>-3.4000000000000101</v>
      </c>
      <c r="W30">
        <f t="shared" si="9"/>
        <v>-0.35587999999999953</v>
      </c>
      <c r="Y30">
        <v>0.26</v>
      </c>
      <c r="Z30">
        <f t="shared" si="10"/>
        <v>2.8753390000000003</v>
      </c>
    </row>
    <row r="31" spans="1:26" x14ac:dyDescent="0.3">
      <c r="A31">
        <v>1.4312538000000001</v>
      </c>
      <c r="B31">
        <v>0.69799999999999995</v>
      </c>
      <c r="C31">
        <f t="shared" si="1"/>
        <v>0.99901515240000005</v>
      </c>
      <c r="D31">
        <v>1.6299999999999999E-2</v>
      </c>
      <c r="E31">
        <v>2.8849251857154604E-3</v>
      </c>
      <c r="F31">
        <f t="shared" si="2"/>
        <v>286.25076000000001</v>
      </c>
      <c r="G31">
        <f t="shared" si="3"/>
        <v>-0.69799999999999995</v>
      </c>
      <c r="H31">
        <f t="shared" si="4"/>
        <v>-199.80303048000002</v>
      </c>
      <c r="I31">
        <v>1</v>
      </c>
      <c r="J31">
        <f t="shared" si="5"/>
        <v>-1.2508870690953782</v>
      </c>
      <c r="K31">
        <f t="shared" si="6"/>
        <v>-0.48191057297601203</v>
      </c>
      <c r="L31">
        <v>1</v>
      </c>
      <c r="M31">
        <f t="shared" si="7"/>
        <v>0.4564584851663363</v>
      </c>
      <c r="N31">
        <f t="shared" si="13"/>
        <v>2.332943694E-2</v>
      </c>
      <c r="O31">
        <f t="shared" si="11"/>
        <v>4.1290601347709587E-3</v>
      </c>
      <c r="P31">
        <f t="shared" si="12"/>
        <v>-2.0064092650952312E-3</v>
      </c>
      <c r="V31">
        <v>-3.30000000000001</v>
      </c>
      <c r="W31">
        <f t="shared" si="9"/>
        <v>-0.36055999999999955</v>
      </c>
      <c r="Y31">
        <v>0.27</v>
      </c>
      <c r="Z31">
        <f t="shared" si="10"/>
        <v>3.0031555000000005</v>
      </c>
    </row>
    <row r="32" spans="1:26" x14ac:dyDescent="0.3">
      <c r="A32">
        <v>1.4826813000000001</v>
      </c>
      <c r="B32">
        <v>0.69491000000000003</v>
      </c>
      <c r="C32">
        <f t="shared" si="1"/>
        <v>1.0303300621830001</v>
      </c>
      <c r="D32">
        <v>1.6299999999999999E-2</v>
      </c>
      <c r="E32">
        <v>2.8849251857154604E-3</v>
      </c>
      <c r="F32">
        <f t="shared" si="2"/>
        <v>296.53626000000003</v>
      </c>
      <c r="G32">
        <f t="shared" si="3"/>
        <v>-0.69491000000000003</v>
      </c>
      <c r="H32">
        <f t="shared" si="4"/>
        <v>-206.0660124366</v>
      </c>
      <c r="I32">
        <v>1</v>
      </c>
      <c r="J32">
        <f t="shared" si="5"/>
        <v>-1.2155857745983163</v>
      </c>
      <c r="K32">
        <f t="shared" si="6"/>
        <v>-0.48500057297601196</v>
      </c>
      <c r="L32">
        <v>1</v>
      </c>
      <c r="M32">
        <f t="shared" si="7"/>
        <v>0.45811058574879882</v>
      </c>
      <c r="N32">
        <f t="shared" si="13"/>
        <v>2.416770519E-2</v>
      </c>
      <c r="O32">
        <f t="shared" si="11"/>
        <v>4.2774246247593408E-3</v>
      </c>
      <c r="P32">
        <f t="shared" si="12"/>
        <v>-1.555142587546199E-3</v>
      </c>
      <c r="V32">
        <v>-3.2000000000000099</v>
      </c>
      <c r="W32">
        <f t="shared" si="9"/>
        <v>-0.36523999999999957</v>
      </c>
    </row>
    <row r="33" spans="1:23" x14ac:dyDescent="0.3">
      <c r="A33">
        <v>1.5335996000000001</v>
      </c>
      <c r="B33">
        <v>0.69206000000000001</v>
      </c>
      <c r="C33">
        <f t="shared" si="1"/>
        <v>1.0613429391760001</v>
      </c>
      <c r="D33">
        <v>1.6299999999999999E-2</v>
      </c>
      <c r="E33">
        <v>2.8849251857154604E-3</v>
      </c>
      <c r="F33">
        <f t="shared" si="2"/>
        <v>306.71992</v>
      </c>
      <c r="G33">
        <f t="shared" si="3"/>
        <v>-0.69206000000000001</v>
      </c>
      <c r="H33">
        <f t="shared" si="4"/>
        <v>-212.26858783520001</v>
      </c>
      <c r="I33">
        <v>1</v>
      </c>
      <c r="J33">
        <f t="shared" si="5"/>
        <v>-1.1818202605090413</v>
      </c>
      <c r="K33">
        <f t="shared" si="6"/>
        <v>-0.48785057297601198</v>
      </c>
      <c r="L33">
        <v>1</v>
      </c>
      <c r="M33">
        <f t="shared" si="7"/>
        <v>0.45969081180817689</v>
      </c>
      <c r="N33">
        <f t="shared" si="13"/>
        <v>2.499767348E-2</v>
      </c>
      <c r="O33">
        <f t="shared" si="11"/>
        <v>4.4243201108431556E-3</v>
      </c>
      <c r="P33">
        <f t="shared" si="12"/>
        <v>-1.2622324230080707E-3</v>
      </c>
      <c r="V33">
        <v>-3.1000000000000099</v>
      </c>
      <c r="W33">
        <f t="shared" si="9"/>
        <v>-0.36991999999999958</v>
      </c>
    </row>
    <row r="34" spans="1:23" x14ac:dyDescent="0.3">
      <c r="A34">
        <v>1.5845178000000002</v>
      </c>
      <c r="B34">
        <v>0.68896999999999997</v>
      </c>
      <c r="C34">
        <f t="shared" si="1"/>
        <v>1.0916852286660002</v>
      </c>
      <c r="D34">
        <v>1.6299999999999999E-2</v>
      </c>
      <c r="E34">
        <v>2.8849251857154604E-3</v>
      </c>
      <c r="F34">
        <f t="shared" si="2"/>
        <v>316.90356000000003</v>
      </c>
      <c r="G34">
        <f t="shared" si="3"/>
        <v>-0.68896999999999997</v>
      </c>
      <c r="H34">
        <f t="shared" si="4"/>
        <v>-218.33704573320003</v>
      </c>
      <c r="I34">
        <v>1</v>
      </c>
      <c r="J34">
        <f t="shared" si="5"/>
        <v>-1.149157778520655</v>
      </c>
      <c r="K34">
        <f t="shared" si="6"/>
        <v>-0.49094057297601201</v>
      </c>
      <c r="L34">
        <v>1</v>
      </c>
      <c r="M34">
        <f t="shared" si="7"/>
        <v>0.46121941596523336</v>
      </c>
      <c r="N34">
        <f t="shared" si="13"/>
        <v>2.582764014E-2</v>
      </c>
      <c r="O34">
        <f t="shared" si="11"/>
        <v>4.5712153084344533E-3</v>
      </c>
      <c r="P34">
        <f t="shared" si="12"/>
        <v>-6.7769843765579964E-4</v>
      </c>
      <c r="V34">
        <v>-3.0000000000000102</v>
      </c>
      <c r="W34">
        <f t="shared" si="9"/>
        <v>-0.37459999999999954</v>
      </c>
    </row>
    <row r="35" spans="1:23" x14ac:dyDescent="0.3">
      <c r="A35">
        <v>1.6349270000000002</v>
      </c>
      <c r="B35">
        <v>0.68615999999999999</v>
      </c>
      <c r="C35">
        <f t="shared" si="1"/>
        <v>1.1218215103200002</v>
      </c>
      <c r="D35">
        <v>1.6299999999999999E-2</v>
      </c>
      <c r="E35">
        <v>2.8849251857154604E-3</v>
      </c>
      <c r="F35">
        <f t="shared" si="2"/>
        <v>326.98540000000003</v>
      </c>
      <c r="G35">
        <f t="shared" si="3"/>
        <v>-0.68615999999999999</v>
      </c>
      <c r="H35">
        <f t="shared" si="4"/>
        <v>-224.36430206400004</v>
      </c>
      <c r="I35">
        <v>1</v>
      </c>
      <c r="J35">
        <f t="shared" si="5"/>
        <v>-1.1178397573996921</v>
      </c>
      <c r="K35">
        <f t="shared" si="6"/>
        <v>-0.49375057297601199</v>
      </c>
      <c r="L35">
        <v>1</v>
      </c>
      <c r="M35">
        <f t="shared" si="7"/>
        <v>0.4626850993536944</v>
      </c>
      <c r="N35">
        <f t="shared" si="13"/>
        <v>2.66493101E-2</v>
      </c>
      <c r="O35">
        <f t="shared" si="11"/>
        <v>4.7166420791062208E-3</v>
      </c>
      <c r="P35">
        <f t="shared" si="12"/>
        <v>-3.0047855678862461E-4</v>
      </c>
      <c r="V35">
        <v>-2.9000000000000101</v>
      </c>
      <c r="W35">
        <f t="shared" si="9"/>
        <v>-0.37927999999999951</v>
      </c>
    </row>
    <row r="36" spans="1:23" x14ac:dyDescent="0.3">
      <c r="A36">
        <v>1.6878819999999999</v>
      </c>
      <c r="B36">
        <v>0.68310999999999999</v>
      </c>
      <c r="C36">
        <f t="shared" si="1"/>
        <v>1.15300907302</v>
      </c>
      <c r="D36">
        <v>1.6299999999999999E-2</v>
      </c>
      <c r="E36">
        <v>2.8849251857154604E-3</v>
      </c>
      <c r="F36">
        <f t="shared" si="2"/>
        <v>337.57639999999998</v>
      </c>
      <c r="G36">
        <f t="shared" si="3"/>
        <v>-0.68310999999999999</v>
      </c>
      <c r="H36">
        <f t="shared" si="4"/>
        <v>-230.601814604</v>
      </c>
      <c r="I36">
        <v>1</v>
      </c>
      <c r="J36">
        <f t="shared" si="5"/>
        <v>-1.0859634239170886</v>
      </c>
      <c r="K36">
        <f t="shared" si="6"/>
        <v>-0.49680057297601199</v>
      </c>
      <c r="L36">
        <v>1</v>
      </c>
      <c r="M36">
        <f t="shared" si="7"/>
        <v>0.46417691176068027</v>
      </c>
      <c r="N36">
        <f t="shared" si="13"/>
        <v>2.7512476599999995E-2</v>
      </c>
      <c r="O36">
        <f t="shared" si="11"/>
        <v>4.8694132923157822E-3</v>
      </c>
      <c r="P36">
        <f t="shared" si="12"/>
        <v>2.4177132301594559E-4</v>
      </c>
      <c r="V36">
        <v>-2.80000000000001</v>
      </c>
      <c r="W36">
        <f t="shared" si="9"/>
        <v>-0.38395999999999952</v>
      </c>
    </row>
    <row r="37" spans="1:23" x14ac:dyDescent="0.3">
      <c r="A37">
        <v>1.7413462999999998</v>
      </c>
      <c r="B37">
        <v>0.68044000000000004</v>
      </c>
      <c r="C37">
        <f t="shared" si="1"/>
        <v>1.184881676372</v>
      </c>
      <c r="D37">
        <v>1.6299999999999999E-2</v>
      </c>
      <c r="E37">
        <v>2.8849251857154604E-3</v>
      </c>
      <c r="F37">
        <f t="shared" si="2"/>
        <v>348.26925999999997</v>
      </c>
      <c r="G37">
        <f t="shared" si="3"/>
        <v>-0.68044000000000004</v>
      </c>
      <c r="H37">
        <f t="shared" si="4"/>
        <v>-236.97633527440001</v>
      </c>
      <c r="I37">
        <v>1</v>
      </c>
      <c r="J37">
        <f t="shared" si="5"/>
        <v>-1.0547793627545794</v>
      </c>
      <c r="K37">
        <f t="shared" si="6"/>
        <v>-0.49947057297601194</v>
      </c>
      <c r="L37">
        <v>1</v>
      </c>
      <c r="M37">
        <f t="shared" si="7"/>
        <v>0.46563632582308567</v>
      </c>
      <c r="N37">
        <f t="shared" si="13"/>
        <v>2.8383944689999992E-2</v>
      </c>
      <c r="O37">
        <f t="shared" si="11"/>
        <v>5.023653797922429E-3</v>
      </c>
      <c r="P37">
        <f t="shared" si="12"/>
        <v>4.2664866500384535E-4</v>
      </c>
      <c r="V37">
        <v>-2.7000000000000099</v>
      </c>
      <c r="W37">
        <f t="shared" si="9"/>
        <v>-0.38863999999999954</v>
      </c>
    </row>
    <row r="38" spans="1:23" x14ac:dyDescent="0.3">
      <c r="A38">
        <v>1.7917554999999998</v>
      </c>
      <c r="B38">
        <v>0.67749000000000004</v>
      </c>
      <c r="C38">
        <f t="shared" si="1"/>
        <v>1.213896433695</v>
      </c>
      <c r="D38">
        <v>1.6299999999999999E-2</v>
      </c>
      <c r="E38">
        <v>2.8849251857154604E-3</v>
      </c>
      <c r="F38">
        <f t="shared" si="2"/>
        <v>358.35109999999997</v>
      </c>
      <c r="G38">
        <f t="shared" si="3"/>
        <v>-0.67749000000000004</v>
      </c>
      <c r="H38">
        <f t="shared" si="4"/>
        <v>-242.77928673899999</v>
      </c>
      <c r="I38">
        <v>1</v>
      </c>
      <c r="J38">
        <f t="shared" si="5"/>
        <v>-1.0262420469222515</v>
      </c>
      <c r="K38">
        <f t="shared" si="6"/>
        <v>-0.50242057297601195</v>
      </c>
      <c r="L38">
        <v>1</v>
      </c>
      <c r="M38">
        <f t="shared" si="7"/>
        <v>0.46697187220403863</v>
      </c>
      <c r="N38">
        <f t="shared" si="13"/>
        <v>2.9205614649999996E-2</v>
      </c>
      <c r="O38">
        <f t="shared" si="11"/>
        <v>5.1690805685941973E-3</v>
      </c>
      <c r="P38">
        <f t="shared" si="12"/>
        <v>1.0740055533791249E-3</v>
      </c>
      <c r="V38">
        <v>-2.6000000000000099</v>
      </c>
      <c r="W38">
        <f t="shared" si="9"/>
        <v>-0.39331999999999956</v>
      </c>
    </row>
    <row r="39" spans="1:23" x14ac:dyDescent="0.3">
      <c r="A39">
        <v>1.8421646</v>
      </c>
      <c r="B39">
        <v>0.67474999999999996</v>
      </c>
      <c r="C39">
        <f t="shared" si="1"/>
        <v>1.2430005638499999</v>
      </c>
      <c r="D39">
        <v>1.6299999999999999E-2</v>
      </c>
      <c r="E39">
        <v>2.8849251857154604E-3</v>
      </c>
      <c r="F39">
        <f t="shared" si="2"/>
        <v>368.43292000000002</v>
      </c>
      <c r="G39">
        <f t="shared" si="3"/>
        <v>-0.67474999999999996</v>
      </c>
      <c r="H39">
        <f t="shared" si="4"/>
        <v>-248.60011276999998</v>
      </c>
      <c r="I39">
        <v>1</v>
      </c>
      <c r="J39">
        <f t="shared" si="5"/>
        <v>-0.9984966192013327</v>
      </c>
      <c r="K39">
        <f t="shared" si="6"/>
        <v>-0.50516057297601202</v>
      </c>
      <c r="L39">
        <v>1</v>
      </c>
      <c r="M39">
        <f t="shared" si="7"/>
        <v>0.46827035822137764</v>
      </c>
      <c r="N39">
        <f t="shared" si="13"/>
        <v>3.0027282979999997E-2</v>
      </c>
      <c r="O39">
        <f t="shared" si="11"/>
        <v>5.3145070507734466E-3</v>
      </c>
      <c r="P39">
        <f t="shared" si="12"/>
        <v>1.5484247238609439E-3</v>
      </c>
      <c r="V39">
        <v>-2.5000000000000102</v>
      </c>
      <c r="W39">
        <f t="shared" si="9"/>
        <v>-0.39799999999999952</v>
      </c>
    </row>
    <row r="40" spans="1:23" x14ac:dyDescent="0.3">
      <c r="A40">
        <v>1.8930829</v>
      </c>
      <c r="B40">
        <v>0.67206999999999995</v>
      </c>
      <c r="C40">
        <f t="shared" si="1"/>
        <v>1.2722842246029999</v>
      </c>
      <c r="D40">
        <v>1.6299999999999999E-2</v>
      </c>
      <c r="E40">
        <v>2.8849251857154604E-3</v>
      </c>
      <c r="F40">
        <f t="shared" si="2"/>
        <v>378.61658</v>
      </c>
      <c r="G40">
        <f t="shared" si="3"/>
        <v>-0.67206999999999995</v>
      </c>
      <c r="H40">
        <f t="shared" si="4"/>
        <v>-254.45684492059999</v>
      </c>
      <c r="I40">
        <v>1</v>
      </c>
      <c r="J40">
        <f t="shared" si="5"/>
        <v>-0.97123124824450768</v>
      </c>
      <c r="K40">
        <f t="shared" si="6"/>
        <v>-0.50784057297601204</v>
      </c>
      <c r="L40">
        <v>1</v>
      </c>
      <c r="M40">
        <f t="shared" si="7"/>
        <v>0.46954637758215706</v>
      </c>
      <c r="N40">
        <f t="shared" si="13"/>
        <v>3.0857251269999997E-2</v>
      </c>
      <c r="O40">
        <f t="shared" si="11"/>
        <v>5.4614025368572624E-3</v>
      </c>
      <c r="P40">
        <f t="shared" si="12"/>
        <v>1.9755415869977203E-3</v>
      </c>
      <c r="V40">
        <v>-2.4000000000000101</v>
      </c>
      <c r="W40">
        <f t="shared" si="9"/>
        <v>-0.40267999999999954</v>
      </c>
    </row>
    <row r="41" spans="1:23" x14ac:dyDescent="0.3">
      <c r="A41">
        <v>1.9455287000000001</v>
      </c>
      <c r="B41">
        <v>0.66952999999999996</v>
      </c>
      <c r="C41">
        <f t="shared" si="1"/>
        <v>1.302589830511</v>
      </c>
      <c r="D41">
        <v>1.6299999999999999E-2</v>
      </c>
      <c r="E41">
        <v>2.8849251857154604E-3</v>
      </c>
      <c r="F41">
        <f t="shared" si="2"/>
        <v>389.10574000000003</v>
      </c>
      <c r="G41">
        <f t="shared" si="3"/>
        <v>-0.66952999999999996</v>
      </c>
      <c r="H41">
        <f t="shared" si="4"/>
        <v>-260.51796610219998</v>
      </c>
      <c r="I41">
        <v>1</v>
      </c>
      <c r="J41">
        <f t="shared" si="5"/>
        <v>-0.94390414710866277</v>
      </c>
      <c r="K41">
        <f t="shared" si="6"/>
        <v>-0.51038057297601203</v>
      </c>
      <c r="L41">
        <v>1</v>
      </c>
      <c r="M41">
        <f t="shared" si="7"/>
        <v>0.47082528591531458</v>
      </c>
      <c r="N41">
        <f t="shared" si="13"/>
        <v>3.1712117809999996E-2</v>
      </c>
      <c r="O41">
        <f t="shared" si="11"/>
        <v>5.6127047461622583E-3</v>
      </c>
      <c r="P41">
        <f t="shared" si="12"/>
        <v>2.2304645045351876E-3</v>
      </c>
      <c r="V41">
        <v>-2.30000000000001</v>
      </c>
      <c r="W41">
        <f t="shared" si="9"/>
        <v>-0.40735999999999956</v>
      </c>
    </row>
    <row r="42" spans="1:23" x14ac:dyDescent="0.3">
      <c r="A42">
        <v>1.9959379000000002</v>
      </c>
      <c r="B42">
        <v>0.66671000000000002</v>
      </c>
      <c r="C42">
        <f t="shared" si="1"/>
        <v>1.3307117573090002</v>
      </c>
      <c r="D42">
        <v>1.6299999999999999E-2</v>
      </c>
      <c r="E42">
        <v>2.8849251857154604E-3</v>
      </c>
      <c r="F42">
        <f t="shared" si="2"/>
        <v>399.18758000000003</v>
      </c>
      <c r="G42">
        <f t="shared" si="3"/>
        <v>-0.66671000000000002</v>
      </c>
      <c r="H42">
        <f t="shared" si="4"/>
        <v>-266.14235146180005</v>
      </c>
      <c r="I42">
        <v>1</v>
      </c>
      <c r="J42">
        <f t="shared" si="5"/>
        <v>-0.91832384725327221</v>
      </c>
      <c r="K42">
        <f t="shared" si="6"/>
        <v>-0.51320057297601196</v>
      </c>
      <c r="L42">
        <v>1</v>
      </c>
      <c r="M42">
        <f t="shared" si="7"/>
        <v>0.47202244394854687</v>
      </c>
      <c r="N42">
        <f t="shared" si="13"/>
        <v>3.2533787770000003E-2</v>
      </c>
      <c r="O42">
        <f t="shared" si="11"/>
        <v>5.7581315168340266E-3</v>
      </c>
      <c r="P42">
        <f t="shared" si="12"/>
        <v>2.8862097406310641E-3</v>
      </c>
      <c r="V42">
        <v>-2.2000000000000099</v>
      </c>
      <c r="W42">
        <f t="shared" si="9"/>
        <v>-0.41203999999999952</v>
      </c>
    </row>
    <row r="43" spans="1:23" x14ac:dyDescent="0.3">
      <c r="A43">
        <v>2.0463469999999999</v>
      </c>
      <c r="B43">
        <v>0.66405000000000003</v>
      </c>
      <c r="C43">
        <f t="shared" si="1"/>
        <v>1.35887672535</v>
      </c>
      <c r="D43">
        <v>1.6299999999999999E-2</v>
      </c>
      <c r="E43">
        <v>2.8849251857154604E-3</v>
      </c>
      <c r="F43">
        <f t="shared" si="2"/>
        <v>409.26939999999996</v>
      </c>
      <c r="G43">
        <f t="shared" si="3"/>
        <v>-0.66405000000000003</v>
      </c>
      <c r="H43">
        <f t="shared" si="4"/>
        <v>-271.77534507000001</v>
      </c>
      <c r="I43">
        <v>1</v>
      </c>
      <c r="J43">
        <f t="shared" si="5"/>
        <v>-0.89338166006700093</v>
      </c>
      <c r="K43">
        <f t="shared" si="6"/>
        <v>-0.51586057297601196</v>
      </c>
      <c r="L43">
        <v>1</v>
      </c>
      <c r="M43">
        <f t="shared" si="7"/>
        <v>0.47318973830886435</v>
      </c>
      <c r="N43">
        <f t="shared" si="13"/>
        <v>3.3355456099999993E-2</v>
      </c>
      <c r="O43">
        <f t="shared" si="11"/>
        <v>5.9035579990132751E-3</v>
      </c>
      <c r="P43">
        <f t="shared" si="12"/>
        <v>3.4118205681343376E-3</v>
      </c>
      <c r="V43">
        <v>-2.1000000000000099</v>
      </c>
      <c r="W43">
        <f t="shared" si="9"/>
        <v>-0.41671999999999954</v>
      </c>
    </row>
    <row r="44" spans="1:23" x14ac:dyDescent="0.3">
      <c r="A44">
        <v>2.0972656000000001</v>
      </c>
      <c r="B44">
        <v>0.66154999999999997</v>
      </c>
      <c r="C44">
        <f t="shared" si="1"/>
        <v>1.3874460576800001</v>
      </c>
      <c r="D44">
        <v>1.6299999999999999E-2</v>
      </c>
      <c r="E44">
        <v>2.8849251857154604E-3</v>
      </c>
      <c r="F44">
        <f t="shared" si="2"/>
        <v>419.45312000000001</v>
      </c>
      <c r="G44">
        <f t="shared" si="3"/>
        <v>-0.66154999999999997</v>
      </c>
      <c r="H44">
        <f t="shared" si="4"/>
        <v>-277.48921153600003</v>
      </c>
      <c r="I44">
        <v>1</v>
      </c>
      <c r="J44">
        <f t="shared" si="5"/>
        <v>-0.86880351140542222</v>
      </c>
      <c r="K44">
        <f t="shared" si="6"/>
        <v>-0.51836057297601201</v>
      </c>
      <c r="L44">
        <v>1</v>
      </c>
      <c r="M44">
        <f t="shared" si="7"/>
        <v>0.47433999566622626</v>
      </c>
      <c r="N44">
        <f t="shared" si="13"/>
        <v>3.4185429279999999E-2</v>
      </c>
      <c r="O44">
        <f t="shared" si="11"/>
        <v>6.0504543505746468E-3</v>
      </c>
      <c r="P44">
        <f t="shared" si="12"/>
        <v>3.7846936792111123E-3</v>
      </c>
      <c r="V44">
        <v>-2.0000000000000102</v>
      </c>
      <c r="W44">
        <f t="shared" si="9"/>
        <v>-0.42139999999999955</v>
      </c>
    </row>
    <row r="45" spans="1:23" x14ac:dyDescent="0.3">
      <c r="A45">
        <v>2.1481838</v>
      </c>
      <c r="B45">
        <v>0.65893999999999997</v>
      </c>
      <c r="C45">
        <f t="shared" si="1"/>
        <v>1.4155242331719999</v>
      </c>
      <c r="D45">
        <v>1.6299999999999999E-2</v>
      </c>
      <c r="E45">
        <v>2.8849251857154604E-3</v>
      </c>
      <c r="F45">
        <f t="shared" si="2"/>
        <v>429.63675999999998</v>
      </c>
      <c r="G45">
        <f t="shared" si="3"/>
        <v>-0.65893999999999997</v>
      </c>
      <c r="H45">
        <f t="shared" si="4"/>
        <v>-283.10484663439996</v>
      </c>
      <c r="I45">
        <v>1</v>
      </c>
      <c r="J45">
        <f t="shared" si="5"/>
        <v>-0.84481517147800722</v>
      </c>
      <c r="K45">
        <f t="shared" si="6"/>
        <v>-0.52097057297601201</v>
      </c>
      <c r="L45">
        <v>1</v>
      </c>
      <c r="M45">
        <f t="shared" si="7"/>
        <v>0.47546264997482929</v>
      </c>
      <c r="N45">
        <f t="shared" si="13"/>
        <v>3.5015395939999999E-2</v>
      </c>
      <c r="O45">
        <f t="shared" si="11"/>
        <v>6.1973495481659436E-3</v>
      </c>
      <c r="P45">
        <f t="shared" si="12"/>
        <v>4.2951775130167834E-3</v>
      </c>
      <c r="V45">
        <v>-1.9000000000000099</v>
      </c>
      <c r="W45">
        <f t="shared" si="9"/>
        <v>-0.42607999999999957</v>
      </c>
    </row>
    <row r="46" spans="1:23" x14ac:dyDescent="0.3">
      <c r="A46">
        <v>2.2001206</v>
      </c>
      <c r="B46">
        <v>0.65608999999999995</v>
      </c>
      <c r="C46">
        <f t="shared" si="1"/>
        <v>1.4434771244539999</v>
      </c>
      <c r="D46">
        <v>1.6299999999999999E-2</v>
      </c>
      <c r="E46">
        <v>2.8849251857154604E-3</v>
      </c>
      <c r="F46">
        <f t="shared" si="2"/>
        <v>440.02411999999998</v>
      </c>
      <c r="G46">
        <f t="shared" si="3"/>
        <v>-0.65608999999999995</v>
      </c>
      <c r="H46">
        <f t="shared" si="4"/>
        <v>-288.69542489079998</v>
      </c>
      <c r="I46">
        <v>1</v>
      </c>
      <c r="J46">
        <f t="shared" si="5"/>
        <v>-0.82092573539047375</v>
      </c>
      <c r="K46">
        <f t="shared" si="6"/>
        <v>-0.52382057297601203</v>
      </c>
      <c r="L46">
        <v>1</v>
      </c>
      <c r="M46">
        <f t="shared" si="7"/>
        <v>0.47658067558372585</v>
      </c>
      <c r="N46">
        <f t="shared" si="13"/>
        <v>3.5861965779999998E-2</v>
      </c>
      <c r="O46">
        <f t="shared" si="11"/>
        <v>6.3471833305514102E-3</v>
      </c>
      <c r="P46">
        <f t="shared" si="12"/>
        <v>5.0307482817347707E-3</v>
      </c>
      <c r="V46">
        <v>-1.80000000000001</v>
      </c>
      <c r="W46">
        <f t="shared" si="9"/>
        <v>-0.43075999999999953</v>
      </c>
    </row>
    <row r="47" spans="1:23" x14ac:dyDescent="0.3">
      <c r="A47">
        <v>2.2505295000000003</v>
      </c>
      <c r="B47">
        <v>0.65368999999999999</v>
      </c>
      <c r="C47">
        <f t="shared" si="1"/>
        <v>1.4711486288550002</v>
      </c>
      <c r="D47">
        <v>1.6299999999999999E-2</v>
      </c>
      <c r="E47">
        <v>2.8849251857154604E-3</v>
      </c>
      <c r="F47">
        <f t="shared" si="2"/>
        <v>450.10590000000008</v>
      </c>
      <c r="G47">
        <f t="shared" si="3"/>
        <v>-0.65368999999999999</v>
      </c>
      <c r="H47">
        <f t="shared" si="4"/>
        <v>-294.22972577100006</v>
      </c>
      <c r="I47">
        <v>1</v>
      </c>
      <c r="J47">
        <f t="shared" si="5"/>
        <v>-0.79827239057098343</v>
      </c>
      <c r="K47">
        <f t="shared" si="6"/>
        <v>-0.52622057297601199</v>
      </c>
      <c r="L47">
        <v>1</v>
      </c>
      <c r="M47">
        <f t="shared" si="7"/>
        <v>0.47764085212127799</v>
      </c>
      <c r="N47">
        <f t="shared" si="13"/>
        <v>3.6683630850000003E-2</v>
      </c>
      <c r="O47">
        <f t="shared" si="11"/>
        <v>6.4926092357456234E-3</v>
      </c>
      <c r="P47">
        <f t="shared" si="12"/>
        <v>5.4034807689883725E-3</v>
      </c>
      <c r="V47">
        <v>-1.7000000000000199</v>
      </c>
      <c r="W47">
        <f t="shared" si="9"/>
        <v>-0.43543999999999905</v>
      </c>
    </row>
    <row r="48" spans="1:23" x14ac:dyDescent="0.3">
      <c r="A48">
        <v>2.3014480000000002</v>
      </c>
      <c r="B48">
        <v>0.65103</v>
      </c>
      <c r="C48">
        <f t="shared" si="1"/>
        <v>1.4983116914400001</v>
      </c>
      <c r="D48">
        <v>1.6299999999999999E-2</v>
      </c>
      <c r="E48">
        <v>2.8849251857154604E-3</v>
      </c>
      <c r="F48">
        <f t="shared" si="2"/>
        <v>460.28960000000001</v>
      </c>
      <c r="G48">
        <f t="shared" si="3"/>
        <v>-0.65103</v>
      </c>
      <c r="H48">
        <f t="shared" si="4"/>
        <v>-299.662338288</v>
      </c>
      <c r="I48">
        <v>1</v>
      </c>
      <c r="J48">
        <f t="shared" si="5"/>
        <v>-0.77589942237464915</v>
      </c>
      <c r="K48">
        <f t="shared" si="6"/>
        <v>-0.52888057297601199</v>
      </c>
      <c r="L48">
        <v>1</v>
      </c>
      <c r="M48">
        <f t="shared" si="7"/>
        <v>0.47868790703286646</v>
      </c>
      <c r="N48">
        <f t="shared" si="13"/>
        <v>3.7513602399999998E-2</v>
      </c>
      <c r="O48">
        <f t="shared" si="11"/>
        <v>6.6395052988144753E-3</v>
      </c>
      <c r="P48">
        <f t="shared" si="12"/>
        <v>6.0395582443310575E-3</v>
      </c>
      <c r="V48">
        <v>-1.6000000000000201</v>
      </c>
      <c r="W48">
        <f t="shared" si="9"/>
        <v>-0.44011999999999907</v>
      </c>
    </row>
    <row r="49" spans="1:23" x14ac:dyDescent="0.3">
      <c r="A49">
        <v>2.3528755000000001</v>
      </c>
      <c r="B49">
        <v>0.64878000000000002</v>
      </c>
      <c r="C49">
        <f t="shared" si="1"/>
        <v>1.5264985668900002</v>
      </c>
      <c r="D49">
        <v>1.6299999999999999E-2</v>
      </c>
      <c r="E49">
        <v>2.8849251857154604E-3</v>
      </c>
      <c r="F49">
        <f t="shared" si="2"/>
        <v>470.57510000000002</v>
      </c>
      <c r="G49">
        <f t="shared" si="3"/>
        <v>-0.64878000000000002</v>
      </c>
      <c r="H49">
        <f t="shared" si="4"/>
        <v>-305.29971337800004</v>
      </c>
      <c r="I49">
        <v>1</v>
      </c>
      <c r="J49">
        <f t="shared" si="5"/>
        <v>-0.75379971526594114</v>
      </c>
      <c r="K49">
        <f t="shared" si="6"/>
        <v>-0.53113057297601196</v>
      </c>
      <c r="L49">
        <v>1</v>
      </c>
      <c r="M49">
        <f t="shared" si="7"/>
        <v>0.47972217332555395</v>
      </c>
      <c r="N49">
        <f t="shared" si="13"/>
        <v>3.8351870650000001E-2</v>
      </c>
      <c r="O49">
        <f t="shared" si="11"/>
        <v>6.7878697888028574E-3</v>
      </c>
      <c r="P49">
        <f t="shared" si="12"/>
        <v>6.2686592116551554E-3</v>
      </c>
      <c r="V49">
        <v>-1.50000000000002</v>
      </c>
      <c r="W49">
        <f t="shared" si="9"/>
        <v>-0.44479999999999908</v>
      </c>
    </row>
    <row r="50" spans="1:23" x14ac:dyDescent="0.3">
      <c r="A50">
        <v>2.4073582</v>
      </c>
      <c r="B50">
        <v>0.64615999999999996</v>
      </c>
      <c r="C50">
        <f t="shared" si="1"/>
        <v>1.5555385745119998</v>
      </c>
      <c r="D50">
        <v>1.6299999999999999E-2</v>
      </c>
      <c r="E50">
        <v>2.8849251857154604E-3</v>
      </c>
      <c r="F50">
        <f t="shared" si="2"/>
        <v>481.47163999999998</v>
      </c>
      <c r="G50">
        <f t="shared" si="3"/>
        <v>-0.64615999999999996</v>
      </c>
      <c r="H50">
        <f t="shared" si="4"/>
        <v>-311.10771490239995</v>
      </c>
      <c r="I50">
        <v>1</v>
      </c>
      <c r="J50">
        <f t="shared" si="5"/>
        <v>-0.73090794875169207</v>
      </c>
      <c r="K50">
        <f t="shared" si="6"/>
        <v>-0.53375057297601203</v>
      </c>
      <c r="L50">
        <v>1</v>
      </c>
      <c r="M50">
        <f t="shared" si="7"/>
        <v>0.4807935079984208</v>
      </c>
      <c r="N50">
        <f t="shared" si="13"/>
        <v>3.9239938659999994E-2</v>
      </c>
      <c r="O50">
        <f t="shared" si="11"/>
        <v>6.9450483022186361E-3</v>
      </c>
      <c r="P50">
        <f t="shared" si="12"/>
        <v>6.7720780153725981E-3</v>
      </c>
      <c r="V50">
        <v>-1.4000000000000199</v>
      </c>
      <c r="W50">
        <f t="shared" si="9"/>
        <v>-0.4494799999999991</v>
      </c>
    </row>
    <row r="51" spans="1:23" x14ac:dyDescent="0.3">
      <c r="A51">
        <v>2.4587856000000001</v>
      </c>
      <c r="B51">
        <v>0.64356999999999998</v>
      </c>
      <c r="C51">
        <f t="shared" si="1"/>
        <v>1.5824006485919999</v>
      </c>
      <c r="D51">
        <v>1.6299999999999999E-2</v>
      </c>
      <c r="E51">
        <v>2.8849251857154604E-3</v>
      </c>
      <c r="F51">
        <f t="shared" si="2"/>
        <v>491.75712000000004</v>
      </c>
      <c r="G51">
        <f t="shared" si="3"/>
        <v>-0.64356999999999998</v>
      </c>
      <c r="H51">
        <f t="shared" si="4"/>
        <v>-316.48012971840001</v>
      </c>
      <c r="I51">
        <v>1</v>
      </c>
      <c r="J51">
        <f t="shared" si="5"/>
        <v>-0.70977034291590579</v>
      </c>
      <c r="K51">
        <f t="shared" si="6"/>
        <v>-0.53634057297601201</v>
      </c>
      <c r="L51">
        <v>1</v>
      </c>
      <c r="M51">
        <f t="shared" si="7"/>
        <v>0.48178274795153564</v>
      </c>
      <c r="N51">
        <f t="shared" si="13"/>
        <v>4.0078205280000001E-2</v>
      </c>
      <c r="O51">
        <f t="shared" si="11"/>
        <v>7.0934125037145001E-3</v>
      </c>
      <c r="P51">
        <f t="shared" si="12"/>
        <v>7.3862072407618684E-3</v>
      </c>
      <c r="V51">
        <v>-1.30000000000002</v>
      </c>
      <c r="W51">
        <f t="shared" si="9"/>
        <v>-0.45415999999999906</v>
      </c>
    </row>
    <row r="52" spans="1:23" x14ac:dyDescent="0.3">
      <c r="A52">
        <v>2.5091947999999999</v>
      </c>
      <c r="B52">
        <v>0.64129000000000003</v>
      </c>
      <c r="C52">
        <f t="shared" si="1"/>
        <v>1.6091215332920001</v>
      </c>
      <c r="D52">
        <v>1.6299999999999999E-2</v>
      </c>
      <c r="E52">
        <v>2.8849251857154604E-3</v>
      </c>
      <c r="F52">
        <f t="shared" si="2"/>
        <v>501.83895999999999</v>
      </c>
      <c r="G52">
        <f t="shared" si="3"/>
        <v>-0.64129000000000003</v>
      </c>
      <c r="H52">
        <f t="shared" si="4"/>
        <v>-321.82430665840002</v>
      </c>
      <c r="I52">
        <v>1</v>
      </c>
      <c r="J52">
        <f t="shared" si="5"/>
        <v>-0.68947600756946159</v>
      </c>
      <c r="K52">
        <f t="shared" si="6"/>
        <v>-0.53862057297601196</v>
      </c>
      <c r="L52">
        <v>1</v>
      </c>
      <c r="M52">
        <f t="shared" si="7"/>
        <v>0.48273252284574919</v>
      </c>
      <c r="N52">
        <f t="shared" si="13"/>
        <v>4.0899875239999994E-2</v>
      </c>
      <c r="O52">
        <f t="shared" si="11"/>
        <v>7.2388392743862676E-3</v>
      </c>
      <c r="P52">
        <f t="shared" si="12"/>
        <v>7.7493356158765056E-3</v>
      </c>
      <c r="V52">
        <v>-1.2000000000000199</v>
      </c>
      <c r="W52">
        <f t="shared" si="9"/>
        <v>-0.45883999999999908</v>
      </c>
    </row>
    <row r="53" spans="1:23" x14ac:dyDescent="0.3">
      <c r="A53">
        <v>2.5611316</v>
      </c>
      <c r="B53">
        <v>0.63863999999999999</v>
      </c>
      <c r="C53">
        <f t="shared" si="1"/>
        <v>1.635641085024</v>
      </c>
      <c r="D53">
        <v>1.6299999999999999E-2</v>
      </c>
      <c r="E53">
        <v>2.8849251857154604E-3</v>
      </c>
      <c r="F53">
        <f t="shared" si="2"/>
        <v>512.22631999999999</v>
      </c>
      <c r="G53">
        <f t="shared" si="3"/>
        <v>-0.63863999999999999</v>
      </c>
      <c r="H53">
        <f t="shared" si="4"/>
        <v>-327.12821700479998</v>
      </c>
      <c r="I53">
        <v>1</v>
      </c>
      <c r="J53">
        <f t="shared" si="5"/>
        <v>-0.66898872035966206</v>
      </c>
      <c r="K53">
        <f t="shared" si="6"/>
        <v>-0.541270572976012</v>
      </c>
      <c r="L53">
        <v>1</v>
      </c>
      <c r="M53">
        <f t="shared" si="7"/>
        <v>0.48369132788716784</v>
      </c>
      <c r="N53">
        <f t="shared" si="13"/>
        <v>4.1746445079999993E-2</v>
      </c>
      <c r="O53">
        <f t="shared" si="11"/>
        <v>7.3886730567717341E-3</v>
      </c>
      <c r="P53">
        <f t="shared" si="12"/>
        <v>8.4441269520724276E-3</v>
      </c>
      <c r="V53">
        <v>-1.1000000000000201</v>
      </c>
      <c r="W53">
        <f t="shared" si="9"/>
        <v>-0.46351999999999904</v>
      </c>
    </row>
    <row r="54" spans="1:23" x14ac:dyDescent="0.3">
      <c r="A54">
        <v>2.6115408000000002</v>
      </c>
      <c r="B54">
        <v>0.63612000000000002</v>
      </c>
      <c r="C54">
        <f t="shared" si="1"/>
        <v>1.6612533336960003</v>
      </c>
      <c r="D54">
        <v>1.6299999999999999E-2</v>
      </c>
      <c r="E54">
        <v>2.8849251857154604E-3</v>
      </c>
      <c r="F54">
        <f t="shared" si="2"/>
        <v>522.30816000000004</v>
      </c>
      <c r="G54">
        <f t="shared" si="3"/>
        <v>-0.63612000000000002</v>
      </c>
      <c r="H54">
        <f t="shared" si="4"/>
        <v>-332.25066673920003</v>
      </c>
      <c r="I54">
        <v>1</v>
      </c>
      <c r="J54">
        <f t="shared" si="5"/>
        <v>-0.64949752045687037</v>
      </c>
      <c r="K54">
        <f t="shared" si="6"/>
        <v>-0.54379057297601197</v>
      </c>
      <c r="L54">
        <v>1</v>
      </c>
      <c r="M54">
        <f t="shared" si="7"/>
        <v>0.48460351604261848</v>
      </c>
      <c r="N54">
        <f t="shared" si="13"/>
        <v>4.256811504E-2</v>
      </c>
      <c r="O54">
        <f t="shared" si="11"/>
        <v>7.5340998274435024E-3</v>
      </c>
      <c r="P54">
        <f t="shared" si="12"/>
        <v>9.0848420659499877E-3</v>
      </c>
      <c r="V54">
        <v>-1.00000000000002</v>
      </c>
      <c r="W54">
        <f t="shared" si="9"/>
        <v>-0.46819999999999906</v>
      </c>
    </row>
    <row r="55" spans="1:23" x14ac:dyDescent="0.3">
      <c r="A55">
        <v>2.6639865999999999</v>
      </c>
      <c r="B55">
        <v>0.63402000000000003</v>
      </c>
      <c r="C55">
        <f t="shared" si="1"/>
        <v>1.689020784132</v>
      </c>
      <c r="D55">
        <v>1.6299999999999999E-2</v>
      </c>
      <c r="E55">
        <v>2.8849251857154604E-3</v>
      </c>
      <c r="F55">
        <f t="shared" si="2"/>
        <v>532.79732000000001</v>
      </c>
      <c r="G55">
        <f t="shared" si="3"/>
        <v>-0.63402000000000003</v>
      </c>
      <c r="H55">
        <f t="shared" si="4"/>
        <v>-337.8041568264</v>
      </c>
      <c r="I55">
        <v>1</v>
      </c>
      <c r="J55">
        <f t="shared" si="5"/>
        <v>-0.62961418979863826</v>
      </c>
      <c r="K55">
        <f t="shared" si="6"/>
        <v>-0.54589057297601196</v>
      </c>
      <c r="L55">
        <v>1</v>
      </c>
      <c r="M55">
        <f t="shared" si="7"/>
        <v>0.48553405591742377</v>
      </c>
      <c r="N55">
        <f t="shared" si="13"/>
        <v>4.3422981579999992E-2</v>
      </c>
      <c r="O55">
        <f t="shared" si="11"/>
        <v>7.6854020367484975E-3</v>
      </c>
      <c r="P55">
        <f t="shared" si="12"/>
        <v>9.2481334418396989E-3</v>
      </c>
      <c r="V55">
        <v>-0.90000000000002001</v>
      </c>
      <c r="W55">
        <f t="shared" si="9"/>
        <v>-0.47287999999999908</v>
      </c>
    </row>
    <row r="56" spans="1:23" x14ac:dyDescent="0.3">
      <c r="A56">
        <v>2.7174507000000001</v>
      </c>
      <c r="B56">
        <v>0.63124999999999998</v>
      </c>
      <c r="C56">
        <f t="shared" si="1"/>
        <v>1.715390754375</v>
      </c>
      <c r="D56">
        <v>1.6299999999999999E-2</v>
      </c>
      <c r="E56">
        <v>2.8849251857154604E-3</v>
      </c>
      <c r="F56">
        <f t="shared" si="2"/>
        <v>543.49014</v>
      </c>
      <c r="G56">
        <f t="shared" si="3"/>
        <v>-0.63124999999999998</v>
      </c>
      <c r="H56">
        <f t="shared" si="4"/>
        <v>-343.07815087500001</v>
      </c>
      <c r="I56">
        <v>1</v>
      </c>
      <c r="J56">
        <f t="shared" si="5"/>
        <v>-0.60974371425976814</v>
      </c>
      <c r="K56">
        <f t="shared" si="6"/>
        <v>-0.54866057297601201</v>
      </c>
      <c r="L56">
        <v>1</v>
      </c>
      <c r="M56">
        <f t="shared" si="7"/>
        <v>0.48646399417264286</v>
      </c>
      <c r="N56">
        <f t="shared" si="13"/>
        <v>4.429444641E-2</v>
      </c>
      <c r="O56">
        <f t="shared" si="11"/>
        <v>7.8396419653701081E-3</v>
      </c>
      <c r="P56">
        <f t="shared" si="12"/>
        <v>1.0062490427999043E-2</v>
      </c>
      <c r="V56">
        <v>-0.80000000000002003</v>
      </c>
      <c r="W56">
        <f t="shared" si="9"/>
        <v>-0.4775599999999991</v>
      </c>
    </row>
    <row r="57" spans="1:23" x14ac:dyDescent="0.3">
      <c r="A57">
        <v>2.7693875000000001</v>
      </c>
      <c r="B57">
        <v>0.62883</v>
      </c>
      <c r="C57">
        <f t="shared" si="1"/>
        <v>1.741473941625</v>
      </c>
      <c r="D57">
        <v>1.6299999999999999E-2</v>
      </c>
      <c r="E57">
        <v>2.8849251857154604E-3</v>
      </c>
      <c r="F57">
        <f t="shared" si="2"/>
        <v>553.87750000000005</v>
      </c>
      <c r="G57">
        <f t="shared" si="3"/>
        <v>-0.62883</v>
      </c>
      <c r="H57">
        <f t="shared" si="4"/>
        <v>-348.29478832500001</v>
      </c>
      <c r="I57">
        <v>1</v>
      </c>
      <c r="J57">
        <f t="shared" si="5"/>
        <v>-0.59081173581886715</v>
      </c>
      <c r="K57">
        <f t="shared" si="6"/>
        <v>-0.55108057297601198</v>
      </c>
      <c r="L57">
        <v>1</v>
      </c>
      <c r="M57">
        <f t="shared" si="7"/>
        <v>0.48735001076367701</v>
      </c>
      <c r="N57">
        <f t="shared" si="13"/>
        <v>4.5141016249999999E-2</v>
      </c>
      <c r="O57">
        <f t="shared" si="11"/>
        <v>7.9894757477555756E-3</v>
      </c>
      <c r="P57">
        <f t="shared" si="12"/>
        <v>1.0600070214579399E-2</v>
      </c>
      <c r="V57">
        <v>-0.70000000000002005</v>
      </c>
      <c r="W57">
        <f t="shared" si="9"/>
        <v>-0.48223999999999906</v>
      </c>
    </row>
    <row r="58" spans="1:23" x14ac:dyDescent="0.3">
      <c r="A58">
        <v>2.8238700999999997</v>
      </c>
      <c r="B58">
        <v>0.62683999999999995</v>
      </c>
      <c r="C58">
        <f t="shared" si="1"/>
        <v>1.7701147334839997</v>
      </c>
      <c r="D58">
        <v>1.6299999999999999E-2</v>
      </c>
      <c r="E58">
        <v>2.8849251857154604E-3</v>
      </c>
      <c r="F58">
        <f t="shared" si="2"/>
        <v>564.77401999999995</v>
      </c>
      <c r="G58">
        <f t="shared" si="3"/>
        <v>-0.62683999999999995</v>
      </c>
      <c r="H58">
        <f t="shared" si="4"/>
        <v>-354.02294669679992</v>
      </c>
      <c r="I58">
        <v>1</v>
      </c>
      <c r="J58">
        <f t="shared" si="5"/>
        <v>-0.57132959244464143</v>
      </c>
      <c r="K58">
        <f t="shared" si="6"/>
        <v>-0.55307057297601203</v>
      </c>
      <c r="L58">
        <v>1</v>
      </c>
      <c r="M58">
        <f t="shared" si="7"/>
        <v>0.48826177507359081</v>
      </c>
      <c r="N58">
        <f t="shared" si="13"/>
        <v>4.6029082629999989E-2</v>
      </c>
      <c r="O58">
        <f t="shared" si="11"/>
        <v>8.1466539726788353E-3</v>
      </c>
      <c r="P58">
        <f t="shared" si="12"/>
        <v>1.0633061299742399E-2</v>
      </c>
      <c r="V58">
        <v>-0.60000000000001996</v>
      </c>
      <c r="W58">
        <f t="shared" si="9"/>
        <v>-0.48691999999999908</v>
      </c>
    </row>
    <row r="59" spans="1:23" x14ac:dyDescent="0.3">
      <c r="A59">
        <v>2.8773344999999999</v>
      </c>
      <c r="B59">
        <v>0.62397999999999998</v>
      </c>
      <c r="C59">
        <f t="shared" si="1"/>
        <v>1.7953991813099999</v>
      </c>
      <c r="D59">
        <v>1.6299999999999999E-2</v>
      </c>
      <c r="E59">
        <v>2.8849251857154604E-3</v>
      </c>
      <c r="F59">
        <f t="shared" si="2"/>
        <v>575.46690000000001</v>
      </c>
      <c r="G59">
        <f t="shared" si="3"/>
        <v>-0.62397999999999998</v>
      </c>
      <c r="H59">
        <f t="shared" si="4"/>
        <v>-359.07983626199996</v>
      </c>
      <c r="I59">
        <v>1</v>
      </c>
      <c r="J59">
        <f t="shared" si="5"/>
        <v>-0.5525735676784328</v>
      </c>
      <c r="K59">
        <f t="shared" si="6"/>
        <v>-0.55593057297601201</v>
      </c>
      <c r="L59">
        <v>1</v>
      </c>
      <c r="M59">
        <f t="shared" si="7"/>
        <v>0.48913955703264933</v>
      </c>
      <c r="N59">
        <f t="shared" si="13"/>
        <v>4.6900552349999992E-2</v>
      </c>
      <c r="O59">
        <f t="shared" si="11"/>
        <v>8.3008947667780018E-3</v>
      </c>
      <c r="P59">
        <f t="shared" si="12"/>
        <v>1.1589568826584681E-2</v>
      </c>
      <c r="V59">
        <v>-0.50000000000001998</v>
      </c>
      <c r="W59">
        <f t="shared" si="9"/>
        <v>-0.49159999999999909</v>
      </c>
    </row>
    <row r="60" spans="1:23" x14ac:dyDescent="0.3">
      <c r="A60">
        <v>2.9277436999999997</v>
      </c>
      <c r="B60">
        <v>0.62166999999999994</v>
      </c>
      <c r="C60">
        <f t="shared" si="1"/>
        <v>1.8200904259789996</v>
      </c>
      <c r="D60">
        <v>1.6299999999999999E-2</v>
      </c>
      <c r="E60">
        <v>2.8849251857154604E-3</v>
      </c>
      <c r="F60">
        <f t="shared" si="2"/>
        <v>585.54873999999995</v>
      </c>
      <c r="G60">
        <f t="shared" si="3"/>
        <v>-0.62166999999999994</v>
      </c>
      <c r="H60">
        <f t="shared" si="4"/>
        <v>-364.01808519579993</v>
      </c>
      <c r="I60">
        <v>1</v>
      </c>
      <c r="J60">
        <f t="shared" si="5"/>
        <v>-0.53520585431937839</v>
      </c>
      <c r="K60">
        <f t="shared" si="6"/>
        <v>-0.55824057297601204</v>
      </c>
      <c r="L60">
        <v>1</v>
      </c>
      <c r="M60">
        <f t="shared" si="7"/>
        <v>0.48995236601785308</v>
      </c>
      <c r="N60">
        <f t="shared" si="13"/>
        <v>4.7722222309999993E-2</v>
      </c>
      <c r="O60">
        <f t="shared" si="11"/>
        <v>8.4463215374497684E-3</v>
      </c>
      <c r="P60">
        <f t="shared" si="12"/>
        <v>1.2119663110709198E-2</v>
      </c>
      <c r="V60">
        <v>-0.40000000000002001</v>
      </c>
      <c r="W60">
        <f t="shared" si="9"/>
        <v>-0.49627999999999906</v>
      </c>
    </row>
    <row r="61" spans="1:23" x14ac:dyDescent="0.3">
      <c r="A61">
        <v>2.9791708999999997</v>
      </c>
      <c r="B61">
        <v>0.61938000000000004</v>
      </c>
      <c r="C61">
        <f t="shared" si="1"/>
        <v>1.8452388720419999</v>
      </c>
      <c r="D61">
        <v>1.6299999999999999E-2</v>
      </c>
      <c r="E61">
        <v>2.8849251857154604E-3</v>
      </c>
      <c r="F61">
        <f t="shared" si="2"/>
        <v>595.83417999999995</v>
      </c>
      <c r="G61">
        <f t="shared" si="3"/>
        <v>-0.61938000000000004</v>
      </c>
      <c r="H61">
        <f t="shared" si="4"/>
        <v>-369.04777440839996</v>
      </c>
      <c r="I61">
        <v>1</v>
      </c>
      <c r="J61">
        <f t="shared" si="5"/>
        <v>-0.51779287210407265</v>
      </c>
      <c r="K61">
        <f t="shared" si="6"/>
        <v>-0.56053057297601194</v>
      </c>
      <c r="L61">
        <v>1</v>
      </c>
      <c r="M61">
        <f t="shared" si="7"/>
        <v>0.4907672935855294</v>
      </c>
      <c r="N61">
        <f t="shared" si="13"/>
        <v>4.8560485669999993E-2</v>
      </c>
      <c r="O61">
        <f t="shared" si="11"/>
        <v>8.5946851619605937E-3</v>
      </c>
      <c r="P61">
        <f t="shared" si="12"/>
        <v>1.2608108558521959E-2</v>
      </c>
      <c r="V61">
        <v>-0.30000000000001997</v>
      </c>
      <c r="W61">
        <f t="shared" si="9"/>
        <v>-0.50095999999999907</v>
      </c>
    </row>
    <row r="62" spans="1:23" x14ac:dyDescent="0.3">
      <c r="A62">
        <v>3.0331443</v>
      </c>
      <c r="B62">
        <v>0.61704999999999999</v>
      </c>
      <c r="C62">
        <f t="shared" si="1"/>
        <v>1.8716016903149999</v>
      </c>
      <c r="D62">
        <v>1.6299999999999999E-2</v>
      </c>
      <c r="E62">
        <v>2.8849251857154604E-3</v>
      </c>
      <c r="F62">
        <f t="shared" si="2"/>
        <v>606.62886000000003</v>
      </c>
      <c r="G62">
        <f t="shared" si="3"/>
        <v>-0.61704999999999999</v>
      </c>
      <c r="H62">
        <f t="shared" si="4"/>
        <v>-374.32033806300001</v>
      </c>
      <c r="I62">
        <v>1</v>
      </c>
      <c r="J62">
        <f t="shared" si="5"/>
        <v>-0.49983810820261398</v>
      </c>
      <c r="K62">
        <f t="shared" si="6"/>
        <v>-0.562860572976012</v>
      </c>
      <c r="L62">
        <v>1</v>
      </c>
      <c r="M62">
        <f t="shared" si="7"/>
        <v>0.4916075765361177</v>
      </c>
      <c r="N62">
        <f t="shared" si="13"/>
        <v>4.9440252089999998E-2</v>
      </c>
      <c r="O62">
        <f t="shared" si="11"/>
        <v>8.7503943829792905E-3</v>
      </c>
      <c r="P62">
        <f t="shared" si="12"/>
        <v>1.3062349966915012E-2</v>
      </c>
      <c r="V62">
        <v>-0.20000000000002</v>
      </c>
      <c r="W62">
        <f t="shared" si="9"/>
        <v>-0.50563999999999909</v>
      </c>
    </row>
    <row r="63" spans="1:23" x14ac:dyDescent="0.3">
      <c r="A63">
        <v>3.0855901000000001</v>
      </c>
      <c r="B63">
        <v>0.61480999999999997</v>
      </c>
      <c r="C63">
        <f t="shared" si="1"/>
        <v>1.8970516493809999</v>
      </c>
      <c r="D63">
        <v>1.6299999999999999E-2</v>
      </c>
      <c r="E63">
        <v>2.8849251857154604E-3</v>
      </c>
      <c r="F63">
        <f t="shared" si="2"/>
        <v>617.11802</v>
      </c>
      <c r="G63">
        <f t="shared" si="3"/>
        <v>-0.61480999999999997</v>
      </c>
      <c r="H63">
        <f t="shared" si="4"/>
        <v>-379.41032987619997</v>
      </c>
      <c r="I63">
        <v>1</v>
      </c>
      <c r="J63">
        <f t="shared" si="5"/>
        <v>-0.48269499297953128</v>
      </c>
      <c r="K63">
        <f t="shared" si="6"/>
        <v>-0.56510057297601202</v>
      </c>
      <c r="L63">
        <v>1</v>
      </c>
      <c r="M63">
        <f t="shared" si="7"/>
        <v>0.49240987432855793</v>
      </c>
      <c r="N63">
        <f t="shared" si="13"/>
        <v>5.0295118629999996E-2</v>
      </c>
      <c r="O63">
        <f t="shared" si="11"/>
        <v>8.9016965922842865E-3</v>
      </c>
      <c r="P63">
        <f t="shared" si="12"/>
        <v>1.3493883425169806E-2</v>
      </c>
      <c r="V63">
        <v>-0.10000000000002</v>
      </c>
      <c r="W63">
        <f t="shared" si="9"/>
        <v>-0.51031999999999911</v>
      </c>
    </row>
    <row r="64" spans="1:23" x14ac:dyDescent="0.3">
      <c r="A64">
        <v>3.1380360999999999</v>
      </c>
      <c r="B64">
        <v>0.61233000000000004</v>
      </c>
      <c r="C64">
        <f t="shared" si="1"/>
        <v>1.9215136451130002</v>
      </c>
      <c r="D64">
        <v>1.6299999999999999E-2</v>
      </c>
      <c r="E64">
        <v>2.8849251857154604E-3</v>
      </c>
      <c r="F64">
        <f t="shared" si="2"/>
        <v>627.60721999999998</v>
      </c>
      <c r="G64">
        <f t="shared" si="3"/>
        <v>-0.61233000000000004</v>
      </c>
      <c r="H64">
        <f t="shared" si="4"/>
        <v>-384.30272902260003</v>
      </c>
      <c r="I64">
        <v>1</v>
      </c>
      <c r="J64">
        <f t="shared" si="5"/>
        <v>-0.46584075404666553</v>
      </c>
      <c r="K64">
        <f t="shared" si="6"/>
        <v>-0.56758057297601194</v>
      </c>
      <c r="L64">
        <v>1</v>
      </c>
      <c r="M64">
        <f t="shared" si="7"/>
        <v>0.49319865271061608</v>
      </c>
      <c r="N64">
        <f t="shared" si="13"/>
        <v>5.1149988429999994E-2</v>
      </c>
      <c r="O64">
        <f t="shared" si="11"/>
        <v>9.0529993785743185E-3</v>
      </c>
      <c r="P64">
        <f t="shared" si="12"/>
        <v>1.4178932456821549E-2</v>
      </c>
      <c r="V64">
        <v>-2.0428103653102899E-14</v>
      </c>
      <c r="W64">
        <f t="shared" si="9"/>
        <v>-0.51499999999999901</v>
      </c>
    </row>
    <row r="65" spans="1:23" x14ac:dyDescent="0.3">
      <c r="A65">
        <v>3.1889542999999998</v>
      </c>
      <c r="B65">
        <v>0.61014999999999997</v>
      </c>
      <c r="C65">
        <f t="shared" si="1"/>
        <v>1.9457404661449997</v>
      </c>
      <c r="D65">
        <v>1.6299999999999999E-2</v>
      </c>
      <c r="E65">
        <v>2.8849251857154604E-3</v>
      </c>
      <c r="F65">
        <f t="shared" si="2"/>
        <v>637.79085999999995</v>
      </c>
      <c r="G65">
        <f t="shared" si="3"/>
        <v>-0.61014999999999997</v>
      </c>
      <c r="H65">
        <f t="shared" si="4"/>
        <v>-389.14809322899993</v>
      </c>
      <c r="I65">
        <v>1</v>
      </c>
      <c r="J65">
        <f t="shared" si="5"/>
        <v>-0.44974485501999462</v>
      </c>
      <c r="K65">
        <f t="shared" si="6"/>
        <v>-0.56976057297601201</v>
      </c>
      <c r="L65">
        <v>1</v>
      </c>
      <c r="M65">
        <f t="shared" si="7"/>
        <v>0.49395194078506427</v>
      </c>
      <c r="N65">
        <f t="shared" si="13"/>
        <v>5.1979955089999995E-2</v>
      </c>
      <c r="O65">
        <f t="shared" si="11"/>
        <v>9.1998945761656153E-3</v>
      </c>
      <c r="P65">
        <f t="shared" si="12"/>
        <v>1.4628782524782134E-2</v>
      </c>
      <c r="V65">
        <v>9.9999999999980105E-2</v>
      </c>
      <c r="W65">
        <f t="shared" si="9"/>
        <v>-0.51967999999999903</v>
      </c>
    </row>
    <row r="66" spans="1:23" x14ac:dyDescent="0.3">
      <c r="A66">
        <v>3.2439463000000002</v>
      </c>
      <c r="B66">
        <v>0.60779000000000005</v>
      </c>
      <c r="C66">
        <f t="shared" si="1"/>
        <v>1.9716381216770003</v>
      </c>
      <c r="D66">
        <v>1.6299999999999999E-2</v>
      </c>
      <c r="E66">
        <v>2.8849251857154604E-3</v>
      </c>
      <c r="F66">
        <f t="shared" si="2"/>
        <v>648.78926000000001</v>
      </c>
      <c r="G66">
        <f t="shared" si="3"/>
        <v>-0.60779000000000005</v>
      </c>
      <c r="H66">
        <f t="shared" si="4"/>
        <v>-394.32762433540006</v>
      </c>
      <c r="I66">
        <v>1</v>
      </c>
      <c r="J66">
        <f t="shared" si="5"/>
        <v>-0.43264732995543137</v>
      </c>
      <c r="K66">
        <f t="shared" si="6"/>
        <v>-0.57212057297601193</v>
      </c>
      <c r="L66">
        <v>1</v>
      </c>
      <c r="M66">
        <f t="shared" si="7"/>
        <v>0.4947521049580858</v>
      </c>
      <c r="N66">
        <f t="shared" si="13"/>
        <v>5.2876324689999997E-2</v>
      </c>
      <c r="O66">
        <f t="shared" si="11"/>
        <v>9.358542381978481E-3</v>
      </c>
      <c r="P66">
        <f t="shared" si="12"/>
        <v>1.5133600945947651E-2</v>
      </c>
      <c r="V66">
        <v>0.19999999999998</v>
      </c>
      <c r="W66">
        <f t="shared" si="9"/>
        <v>-0.52435999999999905</v>
      </c>
    </row>
    <row r="67" spans="1:23" x14ac:dyDescent="0.3">
      <c r="A67">
        <v>3.2958827999999998</v>
      </c>
      <c r="B67">
        <v>0.60531999999999997</v>
      </c>
      <c r="C67">
        <f t="shared" si="1"/>
        <v>1.9950637764959998</v>
      </c>
      <c r="D67">
        <v>1.6299999999999999E-2</v>
      </c>
      <c r="E67">
        <v>2.8849251857154604E-3</v>
      </c>
      <c r="F67">
        <f t="shared" si="2"/>
        <v>659.17655999999999</v>
      </c>
      <c r="G67">
        <f t="shared" si="3"/>
        <v>-0.60531999999999997</v>
      </c>
      <c r="H67">
        <f t="shared" si="4"/>
        <v>-399.01275529919997</v>
      </c>
      <c r="I67">
        <v>1</v>
      </c>
      <c r="J67">
        <f t="shared" si="5"/>
        <v>-0.41676385927151188</v>
      </c>
      <c r="K67">
        <f t="shared" si="6"/>
        <v>-0.57459057297601202</v>
      </c>
      <c r="L67">
        <v>1</v>
      </c>
      <c r="M67">
        <f t="shared" si="7"/>
        <v>0.49549545138609324</v>
      </c>
      <c r="N67">
        <f t="shared" si="13"/>
        <v>5.3722889639999993E-2</v>
      </c>
      <c r="O67">
        <f t="shared" si="11"/>
        <v>9.5083752988863908E-3</v>
      </c>
      <c r="P67">
        <f t="shared" si="12"/>
        <v>1.5863856651032387E-2</v>
      </c>
      <c r="V67">
        <v>0.29999999999998</v>
      </c>
      <c r="W67">
        <f t="shared" si="9"/>
        <v>-0.52903999999999907</v>
      </c>
    </row>
    <row r="68" spans="1:23" x14ac:dyDescent="0.3">
      <c r="A68">
        <v>3.3493469</v>
      </c>
      <c r="B68">
        <v>0.60319</v>
      </c>
      <c r="C68">
        <f t="shared" si="1"/>
        <v>2.0202925566109999</v>
      </c>
      <c r="D68">
        <v>1.6299999999999999E-2</v>
      </c>
      <c r="E68">
        <v>2.8849251857154604E-3</v>
      </c>
      <c r="F68">
        <f t="shared" si="2"/>
        <v>669.86937999999998</v>
      </c>
      <c r="G68">
        <f t="shared" si="3"/>
        <v>-0.60319</v>
      </c>
      <c r="H68">
        <f t="shared" si="4"/>
        <v>-404.05851132219999</v>
      </c>
      <c r="I68">
        <v>1</v>
      </c>
      <c r="J68">
        <f t="shared" si="5"/>
        <v>-0.4006725408272459</v>
      </c>
      <c r="K68">
        <f t="shared" si="6"/>
        <v>-0.57672057297601198</v>
      </c>
      <c r="L68">
        <v>1</v>
      </c>
      <c r="M68">
        <f t="shared" si="7"/>
        <v>0.49624852508928491</v>
      </c>
      <c r="N68">
        <f t="shared" si="13"/>
        <v>5.4594354469999995E-2</v>
      </c>
      <c r="O68">
        <f t="shared" si="11"/>
        <v>9.6626152275080014E-3</v>
      </c>
      <c r="P68">
        <f t="shared" si="12"/>
        <v>1.6215078189219075E-2</v>
      </c>
      <c r="V68">
        <v>0.39999999999997998</v>
      </c>
      <c r="W68">
        <f t="shared" si="9"/>
        <v>-0.53371999999999908</v>
      </c>
    </row>
    <row r="69" spans="1:23" x14ac:dyDescent="0.3">
      <c r="A69">
        <v>3.4043389000000004</v>
      </c>
      <c r="B69">
        <v>0.60055000000000003</v>
      </c>
      <c r="C69">
        <f t="shared" ref="C69:C132" si="14">A69*B69</f>
        <v>2.0444757263950004</v>
      </c>
      <c r="D69">
        <v>1.6299999999999999E-2</v>
      </c>
      <c r="E69">
        <v>2.8849251857154604E-3</v>
      </c>
      <c r="F69">
        <f t="shared" ref="F69:F132" si="15">A69*200</f>
        <v>680.86778000000004</v>
      </c>
      <c r="G69">
        <f t="shared" ref="G69:G132" si="16">-B69</f>
        <v>-0.60055000000000003</v>
      </c>
      <c r="H69">
        <f t="shared" ref="H69:H132" si="17">-C69*200</f>
        <v>-408.89514527900008</v>
      </c>
      <c r="I69">
        <v>1</v>
      </c>
      <c r="J69">
        <f t="shared" ref="J69:J132" si="18">LN(F69/1000)</f>
        <v>-0.38438714733672436</v>
      </c>
      <c r="K69">
        <f t="shared" ref="K69:K132" si="19">((-G69)-$N$2)</f>
        <v>-0.57936057297601196</v>
      </c>
      <c r="L69">
        <v>1</v>
      </c>
      <c r="M69">
        <f t="shared" ref="M69:M132" si="20">-1*($S$4+($S$5*J69))</f>
        <v>0.49701068150464134</v>
      </c>
      <c r="N69">
        <f t="shared" si="13"/>
        <v>5.5490724070000004E-2</v>
      </c>
      <c r="O69">
        <f t="shared" si="11"/>
        <v>9.8212630333208671E-3</v>
      </c>
      <c r="P69">
        <f t="shared" si="12"/>
        <v>1.7037904368049746E-2</v>
      </c>
      <c r="V69">
        <v>0.49999999999998002</v>
      </c>
      <c r="W69">
        <f t="shared" ref="W69:W132" si="21">V69*$S$5+$S$4</f>
        <v>-0.5383999999999991</v>
      </c>
    </row>
    <row r="70" spans="1:23" x14ac:dyDescent="0.3">
      <c r="A70">
        <v>3.4598396000000005</v>
      </c>
      <c r="B70">
        <v>0.59841</v>
      </c>
      <c r="C70">
        <f t="shared" si="14"/>
        <v>2.0704026150360004</v>
      </c>
      <c r="D70">
        <v>1.6299999999999999E-2</v>
      </c>
      <c r="E70">
        <v>2.8849251857154604E-3</v>
      </c>
      <c r="F70">
        <f t="shared" si="15"/>
        <v>691.96792000000005</v>
      </c>
      <c r="G70">
        <f t="shared" si="16"/>
        <v>-0.59841</v>
      </c>
      <c r="H70">
        <f t="shared" si="17"/>
        <v>-414.0805230072001</v>
      </c>
      <c r="I70">
        <v>1</v>
      </c>
      <c r="J70">
        <f t="shared" si="18"/>
        <v>-0.36821568282055328</v>
      </c>
      <c r="K70">
        <f t="shared" si="19"/>
        <v>-0.58150057297601199</v>
      </c>
      <c r="L70">
        <v>1</v>
      </c>
      <c r="M70">
        <f t="shared" si="20"/>
        <v>0.49776750604399811</v>
      </c>
      <c r="N70">
        <f t="shared" si="13"/>
        <v>5.6395385480000004E-2</v>
      </c>
      <c r="O70">
        <f t="shared" ref="O70:O133" si="22">E70*A70</f>
        <v>9.9813784005757054E-3</v>
      </c>
      <c r="P70">
        <f t="shared" ref="P70:P133" si="23">-K70-M70-N70-O70</f>
        <v>1.735630305143817E-2</v>
      </c>
      <c r="V70">
        <v>0.59999999999997999</v>
      </c>
      <c r="W70">
        <f t="shared" si="21"/>
        <v>-0.54307999999999912</v>
      </c>
    </row>
    <row r="71" spans="1:23" x14ac:dyDescent="0.3">
      <c r="A71">
        <v>3.5102487999999998</v>
      </c>
      <c r="B71">
        <v>0.59614</v>
      </c>
      <c r="C71">
        <f t="shared" si="14"/>
        <v>2.0925997196320001</v>
      </c>
      <c r="D71">
        <v>1.6299999999999999E-2</v>
      </c>
      <c r="E71">
        <v>2.8849251857154604E-3</v>
      </c>
      <c r="F71">
        <f t="shared" si="15"/>
        <v>702.04975999999999</v>
      </c>
      <c r="G71">
        <f t="shared" si="16"/>
        <v>-0.59614</v>
      </c>
      <c r="H71">
        <f t="shared" si="17"/>
        <v>-418.5199439264</v>
      </c>
      <c r="I71">
        <v>1</v>
      </c>
      <c r="J71">
        <f t="shared" si="18"/>
        <v>-0.35375099427753748</v>
      </c>
      <c r="K71">
        <f t="shared" si="19"/>
        <v>-0.58377057297601198</v>
      </c>
      <c r="L71">
        <v>1</v>
      </c>
      <c r="M71">
        <f t="shared" si="20"/>
        <v>0.49844445346781124</v>
      </c>
      <c r="N71">
        <f t="shared" ref="N71:N134" si="24">D71*A71</f>
        <v>5.7217055439999991E-2</v>
      </c>
      <c r="O71">
        <f t="shared" si="22"/>
        <v>1.0126805171247472E-2</v>
      </c>
      <c r="P71">
        <f t="shared" si="23"/>
        <v>1.7982258896953277E-2</v>
      </c>
      <c r="V71">
        <v>0.69999999999997997</v>
      </c>
      <c r="W71">
        <f t="shared" si="21"/>
        <v>-0.54775999999999903</v>
      </c>
    </row>
    <row r="72" spans="1:23" x14ac:dyDescent="0.3">
      <c r="A72">
        <v>3.5616764999999999</v>
      </c>
      <c r="B72">
        <v>0.59384999999999999</v>
      </c>
      <c r="C72">
        <f t="shared" si="14"/>
        <v>2.115101589525</v>
      </c>
      <c r="D72">
        <v>1.6299999999999999E-2</v>
      </c>
      <c r="E72">
        <v>2.8849251857154604E-3</v>
      </c>
      <c r="F72">
        <f t="shared" si="15"/>
        <v>712.33529999999996</v>
      </c>
      <c r="G72">
        <f t="shared" si="16"/>
        <v>-0.59384999999999999</v>
      </c>
      <c r="H72">
        <f t="shared" si="17"/>
        <v>-423.02031790500001</v>
      </c>
      <c r="I72">
        <v>1</v>
      </c>
      <c r="J72">
        <f t="shared" si="18"/>
        <v>-0.33920655145517237</v>
      </c>
      <c r="K72">
        <f t="shared" si="19"/>
        <v>-0.586060572976012</v>
      </c>
      <c r="L72">
        <v>1</v>
      </c>
      <c r="M72">
        <f t="shared" si="20"/>
        <v>0.49912513339189796</v>
      </c>
      <c r="N72">
        <f t="shared" si="24"/>
        <v>5.8055326949999993E-2</v>
      </c>
      <c r="O72">
        <f t="shared" si="22"/>
        <v>1.0275170238220891E-2</v>
      </c>
      <c r="P72">
        <f t="shared" si="23"/>
        <v>1.8604942395893154E-2</v>
      </c>
      <c r="V72">
        <v>0.79999999999997995</v>
      </c>
      <c r="W72">
        <f t="shared" si="21"/>
        <v>-0.55243999999999904</v>
      </c>
    </row>
    <row r="73" spans="1:23" x14ac:dyDescent="0.3">
      <c r="A73">
        <v>3.6125947000000003</v>
      </c>
      <c r="B73">
        <v>0.59177000000000002</v>
      </c>
      <c r="C73">
        <f t="shared" si="14"/>
        <v>2.1378251656190002</v>
      </c>
      <c r="D73">
        <v>1.6299999999999999E-2</v>
      </c>
      <c r="E73">
        <v>2.8849251857154604E-3</v>
      </c>
      <c r="F73">
        <f t="shared" si="15"/>
        <v>722.51894000000004</v>
      </c>
      <c r="G73">
        <f t="shared" si="16"/>
        <v>-0.59177000000000002</v>
      </c>
      <c r="H73">
        <f t="shared" si="17"/>
        <v>-427.56503312380005</v>
      </c>
      <c r="I73">
        <v>1</v>
      </c>
      <c r="J73">
        <f t="shared" si="18"/>
        <v>-0.32501164480627265</v>
      </c>
      <c r="K73">
        <f t="shared" si="19"/>
        <v>-0.58814057297601197</v>
      </c>
      <c r="L73">
        <v>1</v>
      </c>
      <c r="M73">
        <f t="shared" si="20"/>
        <v>0.49978945502306643</v>
      </c>
      <c r="N73">
        <f t="shared" si="24"/>
        <v>5.888529361E-2</v>
      </c>
      <c r="O73">
        <f t="shared" si="22"/>
        <v>1.0422065435812188E-2</v>
      </c>
      <c r="P73">
        <f t="shared" si="23"/>
        <v>1.9043758907133349E-2</v>
      </c>
      <c r="V73">
        <v>0.89999999999998004</v>
      </c>
      <c r="W73">
        <f t="shared" si="21"/>
        <v>-0.55711999999999906</v>
      </c>
    </row>
    <row r="74" spans="1:23" x14ac:dyDescent="0.3">
      <c r="A74">
        <v>3.6670776000000003</v>
      </c>
      <c r="B74">
        <v>0.58969000000000005</v>
      </c>
      <c r="C74">
        <f t="shared" si="14"/>
        <v>2.1624389899440004</v>
      </c>
      <c r="D74">
        <v>1.6299999999999999E-2</v>
      </c>
      <c r="E74">
        <v>2.8849251857154604E-3</v>
      </c>
      <c r="F74">
        <f t="shared" si="15"/>
        <v>733.41552000000001</v>
      </c>
      <c r="G74">
        <f t="shared" si="16"/>
        <v>-0.58969000000000005</v>
      </c>
      <c r="H74">
        <f t="shared" si="17"/>
        <v>-432.48779798880008</v>
      </c>
      <c r="I74">
        <v>1</v>
      </c>
      <c r="J74">
        <f t="shared" si="18"/>
        <v>-0.31004286185624574</v>
      </c>
      <c r="K74">
        <f t="shared" si="19"/>
        <v>-0.59022057297601194</v>
      </c>
      <c r="L74">
        <v>1</v>
      </c>
      <c r="M74">
        <f t="shared" si="20"/>
        <v>0.50048999406512773</v>
      </c>
      <c r="N74">
        <f t="shared" si="24"/>
        <v>5.9773364879999999E-2</v>
      </c>
      <c r="O74">
        <f t="shared" si="22"/>
        <v>1.0579244526213005E-2</v>
      </c>
      <c r="P74">
        <f t="shared" si="23"/>
        <v>1.9377969504671202E-2</v>
      </c>
      <c r="V74">
        <v>0.99999999999998002</v>
      </c>
      <c r="W74">
        <f t="shared" si="21"/>
        <v>-0.56179999999999908</v>
      </c>
    </row>
    <row r="75" spans="1:23" x14ac:dyDescent="0.3">
      <c r="A75">
        <v>3.7200327</v>
      </c>
      <c r="B75">
        <v>0.58745000000000003</v>
      </c>
      <c r="C75">
        <f t="shared" si="14"/>
        <v>2.185333209615</v>
      </c>
      <c r="D75">
        <v>1.6299999999999999E-2</v>
      </c>
      <c r="E75">
        <v>2.8849251857154604E-3</v>
      </c>
      <c r="F75">
        <f t="shared" si="15"/>
        <v>744.00653999999997</v>
      </c>
      <c r="G75">
        <f t="shared" si="16"/>
        <v>-0.58745000000000003</v>
      </c>
      <c r="H75">
        <f t="shared" si="17"/>
        <v>-437.06664192300002</v>
      </c>
      <c r="I75">
        <v>1</v>
      </c>
      <c r="J75">
        <f t="shared" si="18"/>
        <v>-0.29570545386509922</v>
      </c>
      <c r="K75">
        <f t="shared" si="19"/>
        <v>-0.59246057297601196</v>
      </c>
      <c r="L75">
        <v>1</v>
      </c>
      <c r="M75">
        <f t="shared" si="20"/>
        <v>0.50116098475911341</v>
      </c>
      <c r="N75">
        <f t="shared" si="24"/>
        <v>6.0636533009999993E-2</v>
      </c>
      <c r="O75">
        <f t="shared" si="22"/>
        <v>1.0732016027915086E-2</v>
      </c>
      <c r="P75">
        <f t="shared" si="23"/>
        <v>1.9931039178983465E-2</v>
      </c>
      <c r="V75">
        <v>1.0999999999999699</v>
      </c>
      <c r="W75">
        <f t="shared" si="21"/>
        <v>-0.56647999999999865</v>
      </c>
    </row>
    <row r="76" spans="1:23" x14ac:dyDescent="0.3">
      <c r="A76">
        <v>3.7709509000000003</v>
      </c>
      <c r="B76">
        <v>0.58530000000000004</v>
      </c>
      <c r="C76">
        <f t="shared" si="14"/>
        <v>2.2071375617700002</v>
      </c>
      <c r="D76">
        <v>1.6299999999999999E-2</v>
      </c>
      <c r="E76">
        <v>2.8849251857154604E-3</v>
      </c>
      <c r="F76">
        <f t="shared" si="15"/>
        <v>754.19018000000005</v>
      </c>
      <c r="G76">
        <f t="shared" si="16"/>
        <v>-0.58530000000000004</v>
      </c>
      <c r="H76">
        <f t="shared" si="17"/>
        <v>-441.42751235400004</v>
      </c>
      <c r="I76">
        <v>1</v>
      </c>
      <c r="J76">
        <f t="shared" si="18"/>
        <v>-0.28211071466163368</v>
      </c>
      <c r="K76">
        <f t="shared" si="19"/>
        <v>-0.59461057297601194</v>
      </c>
      <c r="L76">
        <v>1</v>
      </c>
      <c r="M76">
        <f t="shared" si="20"/>
        <v>0.50179721855383552</v>
      </c>
      <c r="N76">
        <f t="shared" si="24"/>
        <v>6.1466499670000001E-2</v>
      </c>
      <c r="O76">
        <f t="shared" si="22"/>
        <v>1.0878911225506384E-2</v>
      </c>
      <c r="P76">
        <f t="shared" si="23"/>
        <v>2.0467943526670036E-2</v>
      </c>
      <c r="V76">
        <v>1.19999999999997</v>
      </c>
      <c r="W76">
        <f t="shared" si="21"/>
        <v>-0.57115999999999856</v>
      </c>
    </row>
    <row r="77" spans="1:23" x14ac:dyDescent="0.3">
      <c r="A77">
        <v>3.8228876999999999</v>
      </c>
      <c r="B77">
        <v>0.58313999999999999</v>
      </c>
      <c r="C77">
        <f t="shared" si="14"/>
        <v>2.229278733378</v>
      </c>
      <c r="D77">
        <v>1.6299999999999999E-2</v>
      </c>
      <c r="E77">
        <v>2.8849251857154604E-3</v>
      </c>
      <c r="F77">
        <f t="shared" si="15"/>
        <v>764.57754</v>
      </c>
      <c r="G77">
        <f t="shared" si="16"/>
        <v>-0.58313999999999999</v>
      </c>
      <c r="H77">
        <f t="shared" si="17"/>
        <v>-445.85574667560002</v>
      </c>
      <c r="I77">
        <v>1</v>
      </c>
      <c r="J77">
        <f t="shared" si="18"/>
        <v>-0.26843183298778944</v>
      </c>
      <c r="K77">
        <f t="shared" si="19"/>
        <v>-0.59677057297601199</v>
      </c>
      <c r="L77">
        <v>1</v>
      </c>
      <c r="M77">
        <f t="shared" si="20"/>
        <v>0.50243739021617151</v>
      </c>
      <c r="N77">
        <f t="shared" si="24"/>
        <v>6.2313069509999992E-2</v>
      </c>
      <c r="O77">
        <f t="shared" si="22"/>
        <v>1.1028745007891848E-2</v>
      </c>
      <c r="P77">
        <f t="shared" si="23"/>
        <v>2.0991368241948645E-2</v>
      </c>
      <c r="V77">
        <v>1.2999999999999701</v>
      </c>
      <c r="W77">
        <f t="shared" si="21"/>
        <v>-0.57583999999999858</v>
      </c>
    </row>
    <row r="78" spans="1:23" x14ac:dyDescent="0.3">
      <c r="A78">
        <v>3.8743151999999998</v>
      </c>
      <c r="B78">
        <v>0.58081000000000005</v>
      </c>
      <c r="C78">
        <f t="shared" si="14"/>
        <v>2.2502410113120002</v>
      </c>
      <c r="D78">
        <v>1.6299999999999999E-2</v>
      </c>
      <c r="E78">
        <v>2.8849251857154604E-3</v>
      </c>
      <c r="F78">
        <f t="shared" si="15"/>
        <v>774.86303999999996</v>
      </c>
      <c r="G78">
        <f t="shared" si="16"/>
        <v>-0.58081000000000005</v>
      </c>
      <c r="H78">
        <f t="shared" si="17"/>
        <v>-450.04820226240003</v>
      </c>
      <c r="I78">
        <v>1</v>
      </c>
      <c r="J78">
        <f t="shared" si="18"/>
        <v>-0.2550689878267105</v>
      </c>
      <c r="K78">
        <f t="shared" si="19"/>
        <v>-0.59910057297601194</v>
      </c>
      <c r="L78">
        <v>1</v>
      </c>
      <c r="M78">
        <f t="shared" si="20"/>
        <v>0.50306277136971</v>
      </c>
      <c r="N78">
        <f t="shared" si="24"/>
        <v>6.3151337759999995E-2</v>
      </c>
      <c r="O78">
        <f t="shared" si="22"/>
        <v>1.1177109497880231E-2</v>
      </c>
      <c r="P78">
        <f t="shared" si="23"/>
        <v>2.1709354348421705E-2</v>
      </c>
      <c r="V78">
        <v>1.3999999999999699</v>
      </c>
      <c r="W78">
        <f t="shared" si="21"/>
        <v>-0.58051999999999859</v>
      </c>
    </row>
    <row r="79" spans="1:23" x14ac:dyDescent="0.3">
      <c r="A79">
        <v>3.9262519999999999</v>
      </c>
      <c r="B79">
        <v>0.57867000000000002</v>
      </c>
      <c r="C79">
        <f t="shared" si="14"/>
        <v>2.2720042448400002</v>
      </c>
      <c r="D79">
        <v>1.6299999999999999E-2</v>
      </c>
      <c r="E79">
        <v>2.8849251857154604E-3</v>
      </c>
      <c r="F79">
        <f t="shared" si="15"/>
        <v>785.25040000000001</v>
      </c>
      <c r="G79">
        <f t="shared" si="16"/>
        <v>-0.57867000000000002</v>
      </c>
      <c r="H79">
        <f t="shared" si="17"/>
        <v>-454.40084896800005</v>
      </c>
      <c r="I79">
        <v>1</v>
      </c>
      <c r="J79">
        <f t="shared" si="18"/>
        <v>-0.24175263117159745</v>
      </c>
      <c r="K79">
        <f t="shared" si="19"/>
        <v>-0.60124057297601197</v>
      </c>
      <c r="L79">
        <v>1</v>
      </c>
      <c r="M79">
        <f t="shared" si="20"/>
        <v>0.50368597686116923</v>
      </c>
      <c r="N79">
        <f t="shared" si="24"/>
        <v>6.3997907599999987E-2</v>
      </c>
      <c r="O79">
        <f t="shared" si="22"/>
        <v>1.1326943280265697E-2</v>
      </c>
      <c r="P79">
        <f t="shared" si="23"/>
        <v>2.2229745234577054E-2</v>
      </c>
      <c r="V79">
        <v>1.49999999999997</v>
      </c>
      <c r="W79">
        <f t="shared" si="21"/>
        <v>-0.58519999999999861</v>
      </c>
    </row>
    <row r="80" spans="1:23" x14ac:dyDescent="0.3">
      <c r="A80">
        <v>3.9766610999999998</v>
      </c>
      <c r="B80">
        <v>0.57655000000000001</v>
      </c>
      <c r="C80">
        <f t="shared" si="14"/>
        <v>2.2927439572049999</v>
      </c>
      <c r="D80">
        <v>1.6299999999999999E-2</v>
      </c>
      <c r="E80">
        <v>2.8849251857154604E-3</v>
      </c>
      <c r="F80">
        <f t="shared" si="15"/>
        <v>795.33222000000001</v>
      </c>
      <c r="G80">
        <f t="shared" si="16"/>
        <v>-0.57655000000000001</v>
      </c>
      <c r="H80">
        <f t="shared" si="17"/>
        <v>-458.54879144099999</v>
      </c>
      <c r="I80">
        <v>1</v>
      </c>
      <c r="J80">
        <f t="shared" si="18"/>
        <v>-0.22899536482572044</v>
      </c>
      <c r="K80">
        <f t="shared" si="19"/>
        <v>-0.60336057297601198</v>
      </c>
      <c r="L80">
        <v>1</v>
      </c>
      <c r="M80">
        <f t="shared" si="20"/>
        <v>0.50428301692615629</v>
      </c>
      <c r="N80">
        <f t="shared" si="24"/>
        <v>6.4819575929999998E-2</v>
      </c>
      <c r="O80">
        <f t="shared" si="22"/>
        <v>1.1472369762444947E-2</v>
      </c>
      <c r="P80">
        <f t="shared" si="23"/>
        <v>2.2785610357410741E-2</v>
      </c>
      <c r="V80">
        <v>1.5999999999999699</v>
      </c>
      <c r="W80">
        <f t="shared" si="21"/>
        <v>-0.58987999999999863</v>
      </c>
    </row>
    <row r="81" spans="1:23" x14ac:dyDescent="0.3">
      <c r="A81">
        <v>4.0291068999999995</v>
      </c>
      <c r="B81">
        <v>0.57455000000000001</v>
      </c>
      <c r="C81">
        <f t="shared" si="14"/>
        <v>2.3149233693949998</v>
      </c>
      <c r="D81">
        <v>1.6299999999999999E-2</v>
      </c>
      <c r="E81">
        <v>2.8849251857154604E-3</v>
      </c>
      <c r="F81">
        <f t="shared" si="15"/>
        <v>805.82137999999986</v>
      </c>
      <c r="G81">
        <f t="shared" si="16"/>
        <v>-0.57455000000000001</v>
      </c>
      <c r="H81">
        <f t="shared" si="17"/>
        <v>-462.98467387899996</v>
      </c>
      <c r="I81">
        <v>1</v>
      </c>
      <c r="J81">
        <f t="shared" si="18"/>
        <v>-0.21589317393850282</v>
      </c>
      <c r="K81">
        <f t="shared" si="19"/>
        <v>-0.60536057297601198</v>
      </c>
      <c r="L81">
        <v>1</v>
      </c>
      <c r="M81">
        <f t="shared" si="20"/>
        <v>0.50489619945967812</v>
      </c>
      <c r="N81">
        <f t="shared" si="24"/>
        <v>6.5674442469999983E-2</v>
      </c>
      <c r="O81">
        <f t="shared" si="22"/>
        <v>1.1623671971749941E-2</v>
      </c>
      <c r="P81">
        <f t="shared" si="23"/>
        <v>2.3166259074583938E-2</v>
      </c>
      <c r="V81">
        <v>1.69999999999997</v>
      </c>
      <c r="W81">
        <f t="shared" si="21"/>
        <v>-0.59455999999999865</v>
      </c>
    </row>
    <row r="82" spans="1:23" x14ac:dyDescent="0.3">
      <c r="A82">
        <v>4.0800250999999994</v>
      </c>
      <c r="B82">
        <v>0.57250000000000001</v>
      </c>
      <c r="C82">
        <f t="shared" si="14"/>
        <v>2.3358143697499996</v>
      </c>
      <c r="D82">
        <v>1.6299999999999999E-2</v>
      </c>
      <c r="E82">
        <v>2.8849251857154604E-3</v>
      </c>
      <c r="F82">
        <f t="shared" si="15"/>
        <v>816.00501999999983</v>
      </c>
      <c r="G82">
        <f t="shared" si="16"/>
        <v>-0.57250000000000001</v>
      </c>
      <c r="H82">
        <f t="shared" si="17"/>
        <v>-467.16287394999989</v>
      </c>
      <c r="I82">
        <v>1</v>
      </c>
      <c r="J82">
        <f t="shared" si="18"/>
        <v>-0.20333477207616912</v>
      </c>
      <c r="K82">
        <f t="shared" si="19"/>
        <v>-0.60741057297601198</v>
      </c>
      <c r="L82">
        <v>1</v>
      </c>
      <c r="M82">
        <f t="shared" si="20"/>
        <v>0.50548393266683533</v>
      </c>
      <c r="N82">
        <f t="shared" si="24"/>
        <v>6.6504409129999983E-2</v>
      </c>
      <c r="O82">
        <f t="shared" si="22"/>
        <v>1.1770567169341238E-2</v>
      </c>
      <c r="P82">
        <f t="shared" si="23"/>
        <v>2.365166400983542E-2</v>
      </c>
      <c r="V82">
        <v>1.7999999999999701</v>
      </c>
      <c r="W82">
        <f t="shared" si="21"/>
        <v>-0.59923999999999866</v>
      </c>
    </row>
    <row r="83" spans="1:23" x14ac:dyDescent="0.3">
      <c r="A83">
        <v>4.1304346000000001</v>
      </c>
      <c r="B83">
        <v>0.57030999999999998</v>
      </c>
      <c r="C83">
        <f t="shared" si="14"/>
        <v>2.355628156726</v>
      </c>
      <c r="D83">
        <v>1.6299999999999999E-2</v>
      </c>
      <c r="E83">
        <v>2.8849251857154604E-3</v>
      </c>
      <c r="F83">
        <f t="shared" si="15"/>
        <v>826.08691999999996</v>
      </c>
      <c r="G83">
        <f t="shared" si="16"/>
        <v>-0.57030999999999998</v>
      </c>
      <c r="H83">
        <f t="shared" si="17"/>
        <v>-471.12563134520002</v>
      </c>
      <c r="I83">
        <v>1</v>
      </c>
      <c r="J83">
        <f t="shared" si="18"/>
        <v>-0.1910552809732366</v>
      </c>
      <c r="K83">
        <f t="shared" si="19"/>
        <v>-0.609600572976012</v>
      </c>
      <c r="L83">
        <v>1</v>
      </c>
      <c r="M83">
        <f t="shared" si="20"/>
        <v>0.5060586128504525</v>
      </c>
      <c r="N83">
        <f t="shared" si="24"/>
        <v>6.7326083979999993E-2</v>
      </c>
      <c r="O83">
        <f t="shared" si="22"/>
        <v>1.1915994805490564E-2</v>
      </c>
      <c r="P83">
        <f t="shared" si="23"/>
        <v>2.4299881340068941E-2</v>
      </c>
      <c r="V83">
        <v>1.8999999999999699</v>
      </c>
      <c r="W83">
        <f t="shared" si="21"/>
        <v>-0.60391999999999857</v>
      </c>
    </row>
    <row r="84" spans="1:23" x14ac:dyDescent="0.3">
      <c r="A84">
        <v>4.1808437999999999</v>
      </c>
      <c r="B84">
        <v>0.56867000000000001</v>
      </c>
      <c r="C84">
        <f t="shared" si="14"/>
        <v>2.377520443746</v>
      </c>
      <c r="D84">
        <v>1.6299999999999999E-2</v>
      </c>
      <c r="E84">
        <v>2.8849251857154604E-3</v>
      </c>
      <c r="F84">
        <f t="shared" si="15"/>
        <v>836.16876000000002</v>
      </c>
      <c r="G84">
        <f t="shared" si="16"/>
        <v>-0.56867000000000001</v>
      </c>
      <c r="H84">
        <f t="shared" si="17"/>
        <v>-475.50408874919998</v>
      </c>
      <c r="I84">
        <v>1</v>
      </c>
      <c r="J84">
        <f t="shared" si="18"/>
        <v>-0.1789248202409324</v>
      </c>
      <c r="K84">
        <f t="shared" si="19"/>
        <v>-0.61124057297601198</v>
      </c>
      <c r="L84">
        <v>1</v>
      </c>
      <c r="M84">
        <f t="shared" si="20"/>
        <v>0.50662631841272443</v>
      </c>
      <c r="N84">
        <f t="shared" si="24"/>
        <v>6.8147753939999986E-2</v>
      </c>
      <c r="O84">
        <f t="shared" si="22"/>
        <v>1.2061421576162331E-2</v>
      </c>
      <c r="P84">
        <f t="shared" si="23"/>
        <v>2.440507904712523E-2</v>
      </c>
      <c r="V84">
        <v>1.99999999999997</v>
      </c>
      <c r="W84">
        <f t="shared" si="21"/>
        <v>-0.60859999999999859</v>
      </c>
    </row>
    <row r="85" spans="1:23" x14ac:dyDescent="0.3">
      <c r="A85">
        <v>4.2337987999999998</v>
      </c>
      <c r="B85">
        <v>0.56630000000000003</v>
      </c>
      <c r="C85">
        <f t="shared" si="14"/>
        <v>2.39760026044</v>
      </c>
      <c r="D85">
        <v>1.6299999999999999E-2</v>
      </c>
      <c r="E85">
        <v>2.8849251857154604E-3</v>
      </c>
      <c r="F85">
        <f t="shared" si="15"/>
        <v>846.75975999999991</v>
      </c>
      <c r="G85">
        <f t="shared" si="16"/>
        <v>-0.56630000000000003</v>
      </c>
      <c r="H85">
        <f t="shared" si="17"/>
        <v>-479.520052088</v>
      </c>
      <c r="I85">
        <v>1</v>
      </c>
      <c r="J85">
        <f t="shared" si="18"/>
        <v>-0.16633826092612033</v>
      </c>
      <c r="K85">
        <f t="shared" si="19"/>
        <v>-0.61361057297601196</v>
      </c>
      <c r="L85">
        <v>1</v>
      </c>
      <c r="M85">
        <f t="shared" si="20"/>
        <v>0.50721536938865763</v>
      </c>
      <c r="N85">
        <f t="shared" si="24"/>
        <v>6.9010920439999984E-2</v>
      </c>
      <c r="O85">
        <f t="shared" si="22"/>
        <v>1.2214192789371893E-2</v>
      </c>
      <c r="P85">
        <f t="shared" si="23"/>
        <v>2.5170090357982448E-2</v>
      </c>
      <c r="V85">
        <v>2.0999999999999699</v>
      </c>
      <c r="W85">
        <f t="shared" si="21"/>
        <v>-0.6132799999999986</v>
      </c>
    </row>
    <row r="86" spans="1:23" x14ac:dyDescent="0.3">
      <c r="A86">
        <v>4.2842079999999996</v>
      </c>
      <c r="B86">
        <v>0.56427000000000005</v>
      </c>
      <c r="C86">
        <f t="shared" si="14"/>
        <v>2.4174500481600001</v>
      </c>
      <c r="D86">
        <v>1.6299999999999999E-2</v>
      </c>
      <c r="E86">
        <v>2.8849251857154604E-3</v>
      </c>
      <c r="F86">
        <f t="shared" si="15"/>
        <v>856.84159999999997</v>
      </c>
      <c r="G86">
        <f t="shared" si="16"/>
        <v>-0.56427000000000005</v>
      </c>
      <c r="H86">
        <f t="shared" si="17"/>
        <v>-483.49000963200001</v>
      </c>
      <c r="I86">
        <v>1</v>
      </c>
      <c r="J86">
        <f t="shared" si="18"/>
        <v>-0.15450220827280978</v>
      </c>
      <c r="K86">
        <f t="shared" si="19"/>
        <v>-0.61564057297601193</v>
      </c>
      <c r="L86">
        <v>1</v>
      </c>
      <c r="M86">
        <f t="shared" si="20"/>
        <v>0.50776929665283255</v>
      </c>
      <c r="N86">
        <f t="shared" si="24"/>
        <v>6.9832590399999991E-2</v>
      </c>
      <c r="O86">
        <f t="shared" si="22"/>
        <v>1.235961956004366E-2</v>
      </c>
      <c r="P86">
        <f t="shared" si="23"/>
        <v>2.5679066363135737E-2</v>
      </c>
      <c r="V86">
        <v>2.19999999999997</v>
      </c>
      <c r="W86">
        <f t="shared" si="21"/>
        <v>-0.61795999999999862</v>
      </c>
    </row>
    <row r="87" spans="1:23" x14ac:dyDescent="0.3">
      <c r="A87">
        <v>4.3346167000000007</v>
      </c>
      <c r="B87">
        <v>0.56210000000000004</v>
      </c>
      <c r="C87">
        <f t="shared" si="14"/>
        <v>2.4364880470700006</v>
      </c>
      <c r="D87">
        <v>1.6299999999999999E-2</v>
      </c>
      <c r="E87">
        <v>2.8849251857154604E-3</v>
      </c>
      <c r="F87">
        <f t="shared" si="15"/>
        <v>866.92334000000017</v>
      </c>
      <c r="G87">
        <f t="shared" si="16"/>
        <v>-0.56210000000000004</v>
      </c>
      <c r="H87">
        <f t="shared" si="17"/>
        <v>-487.29760941400014</v>
      </c>
      <c r="I87">
        <v>1</v>
      </c>
      <c r="J87">
        <f t="shared" si="18"/>
        <v>-0.14280472594938304</v>
      </c>
      <c r="K87">
        <f t="shared" si="19"/>
        <v>-0.61781057297601194</v>
      </c>
      <c r="L87">
        <v>1</v>
      </c>
      <c r="M87">
        <f t="shared" si="20"/>
        <v>0.50831673882556894</v>
      </c>
      <c r="N87">
        <f t="shared" si="24"/>
        <v>7.0654252210000004E-2</v>
      </c>
      <c r="O87">
        <f t="shared" si="22"/>
        <v>1.2505044888252837E-2</v>
      </c>
      <c r="P87">
        <f t="shared" si="23"/>
        <v>2.633453705219016E-2</v>
      </c>
      <c r="V87">
        <v>2.2999999999999701</v>
      </c>
      <c r="W87">
        <f t="shared" si="21"/>
        <v>-0.62263999999999864</v>
      </c>
    </row>
    <row r="88" spans="1:23" x14ac:dyDescent="0.3">
      <c r="A88">
        <v>4.3850258999999996</v>
      </c>
      <c r="B88">
        <v>0.56023000000000001</v>
      </c>
      <c r="C88">
        <f t="shared" si="14"/>
        <v>2.4566230599569998</v>
      </c>
      <c r="D88">
        <v>1.6299999999999999E-2</v>
      </c>
      <c r="E88">
        <v>2.8849251857154604E-3</v>
      </c>
      <c r="F88">
        <f t="shared" si="15"/>
        <v>877.00517999999988</v>
      </c>
      <c r="G88">
        <f t="shared" si="16"/>
        <v>-0.56023000000000001</v>
      </c>
      <c r="H88">
        <f t="shared" si="17"/>
        <v>-491.32461199139993</v>
      </c>
      <c r="I88">
        <v>1</v>
      </c>
      <c r="J88">
        <f t="shared" si="18"/>
        <v>-0.13124238012796763</v>
      </c>
      <c r="K88">
        <f t="shared" si="19"/>
        <v>-0.61968057297601198</v>
      </c>
      <c r="L88">
        <v>1</v>
      </c>
      <c r="M88">
        <f t="shared" si="20"/>
        <v>0.50885785661001115</v>
      </c>
      <c r="N88">
        <f t="shared" si="24"/>
        <v>7.1475922169999984E-2</v>
      </c>
      <c r="O88">
        <f t="shared" si="22"/>
        <v>1.2650471658924602E-2</v>
      </c>
      <c r="P88">
        <f t="shared" si="23"/>
        <v>2.6696322537076243E-2</v>
      </c>
      <c r="V88">
        <v>2.3999999999999702</v>
      </c>
      <c r="W88">
        <f t="shared" si="21"/>
        <v>-0.62731999999999866</v>
      </c>
    </row>
    <row r="89" spans="1:23" x14ac:dyDescent="0.3">
      <c r="A89">
        <v>4.4359443000000001</v>
      </c>
      <c r="B89">
        <v>0.55813000000000001</v>
      </c>
      <c r="C89">
        <f t="shared" si="14"/>
        <v>2.4758335921590002</v>
      </c>
      <c r="D89">
        <v>1.6299999999999999E-2</v>
      </c>
      <c r="E89">
        <v>2.8849251857154604E-3</v>
      </c>
      <c r="F89">
        <f t="shared" si="15"/>
        <v>887.18885999999998</v>
      </c>
      <c r="G89">
        <f t="shared" si="16"/>
        <v>-0.55813000000000001</v>
      </c>
      <c r="H89">
        <f t="shared" si="17"/>
        <v>-495.16671843180006</v>
      </c>
      <c r="I89">
        <v>1</v>
      </c>
      <c r="J89">
        <f t="shared" si="18"/>
        <v>-0.11969739938188997</v>
      </c>
      <c r="K89">
        <f t="shared" si="19"/>
        <v>-0.62178057297601197</v>
      </c>
      <c r="L89">
        <v>1</v>
      </c>
      <c r="M89">
        <f t="shared" si="20"/>
        <v>0.5093981617089276</v>
      </c>
      <c r="N89">
        <f t="shared" si="24"/>
        <v>7.230589208999999E-2</v>
      </c>
      <c r="O89">
        <f t="shared" si="22"/>
        <v>1.2797367433500939E-2</v>
      </c>
      <c r="P89">
        <f t="shared" si="23"/>
        <v>2.7279151743583439E-2</v>
      </c>
      <c r="V89">
        <v>2.4999999999999698</v>
      </c>
      <c r="W89">
        <f t="shared" si="21"/>
        <v>-0.63199999999999856</v>
      </c>
    </row>
    <row r="90" spans="1:23" x14ac:dyDescent="0.3">
      <c r="A90">
        <v>4.4868627999999999</v>
      </c>
      <c r="B90">
        <v>0.55622000000000005</v>
      </c>
      <c r="C90">
        <f t="shared" si="14"/>
        <v>2.495682826616</v>
      </c>
      <c r="D90">
        <v>1.6299999999999999E-2</v>
      </c>
      <c r="E90">
        <v>2.8849251857154604E-3</v>
      </c>
      <c r="F90">
        <f t="shared" si="15"/>
        <v>897.37256000000002</v>
      </c>
      <c r="G90">
        <f t="shared" si="16"/>
        <v>-0.55622000000000005</v>
      </c>
      <c r="H90">
        <f t="shared" si="17"/>
        <v>-499.13656532319999</v>
      </c>
      <c r="I90">
        <v>1</v>
      </c>
      <c r="J90">
        <f t="shared" si="18"/>
        <v>-0.10828416313083583</v>
      </c>
      <c r="K90">
        <f t="shared" si="19"/>
        <v>-0.62369057297601194</v>
      </c>
      <c r="L90">
        <v>1</v>
      </c>
      <c r="M90">
        <f t="shared" si="20"/>
        <v>0.50993230116547694</v>
      </c>
      <c r="N90">
        <f t="shared" si="24"/>
        <v>7.3135863639999993E-2</v>
      </c>
      <c r="O90">
        <f t="shared" si="22"/>
        <v>1.294426349656979E-2</v>
      </c>
      <c r="P90">
        <f t="shared" si="23"/>
        <v>2.7678144673965212E-2</v>
      </c>
      <c r="V90">
        <v>2.5999999999999699</v>
      </c>
      <c r="W90">
        <f t="shared" si="21"/>
        <v>-0.63667999999999858</v>
      </c>
    </row>
    <row r="91" spans="1:23" x14ac:dyDescent="0.3">
      <c r="A91">
        <v>4.5377812999999998</v>
      </c>
      <c r="B91">
        <v>0.55447999999999997</v>
      </c>
      <c r="C91">
        <f t="shared" si="14"/>
        <v>2.5161089752239998</v>
      </c>
      <c r="D91">
        <v>1.6299999999999999E-2</v>
      </c>
      <c r="E91">
        <v>2.8849251857154604E-3</v>
      </c>
      <c r="F91">
        <f t="shared" si="15"/>
        <v>907.55625999999995</v>
      </c>
      <c r="G91">
        <f t="shared" si="16"/>
        <v>-0.55447999999999997</v>
      </c>
      <c r="H91">
        <f t="shared" si="17"/>
        <v>-503.22179504479993</v>
      </c>
      <c r="I91">
        <v>1</v>
      </c>
      <c r="J91">
        <f t="shared" si="18"/>
        <v>-9.699972027435208E-2</v>
      </c>
      <c r="K91">
        <f t="shared" si="19"/>
        <v>-0.62543057297601201</v>
      </c>
      <c r="L91">
        <v>1</v>
      </c>
      <c r="M91">
        <f t="shared" si="20"/>
        <v>0.5104604130911603</v>
      </c>
      <c r="N91">
        <f t="shared" si="24"/>
        <v>7.3965835189999996E-2</v>
      </c>
      <c r="O91">
        <f t="shared" si="22"/>
        <v>1.3091159559638643E-2</v>
      </c>
      <c r="P91">
        <f t="shared" si="23"/>
        <v>2.791316513521307E-2</v>
      </c>
      <c r="V91">
        <v>2.69999999999997</v>
      </c>
      <c r="W91">
        <f t="shared" si="21"/>
        <v>-0.6413599999999986</v>
      </c>
    </row>
    <row r="92" spans="1:23" x14ac:dyDescent="0.3">
      <c r="A92">
        <v>4.5881903999999993</v>
      </c>
      <c r="B92">
        <v>0.55232000000000003</v>
      </c>
      <c r="C92">
        <f t="shared" si="14"/>
        <v>2.534149321728</v>
      </c>
      <c r="D92">
        <v>1.6299999999999999E-2</v>
      </c>
      <c r="E92">
        <v>2.8849251857154604E-3</v>
      </c>
      <c r="F92">
        <f t="shared" si="15"/>
        <v>917.63807999999983</v>
      </c>
      <c r="G92">
        <f t="shared" si="16"/>
        <v>-0.55232000000000003</v>
      </c>
      <c r="H92">
        <f t="shared" si="17"/>
        <v>-506.82986434560001</v>
      </c>
      <c r="I92">
        <v>1</v>
      </c>
      <c r="J92">
        <f t="shared" si="18"/>
        <v>-8.5952214463979215E-2</v>
      </c>
      <c r="K92">
        <f t="shared" si="19"/>
        <v>-0.62759057297601195</v>
      </c>
      <c r="L92">
        <v>1</v>
      </c>
      <c r="M92">
        <f t="shared" si="20"/>
        <v>0.51097743636308579</v>
      </c>
      <c r="N92">
        <f t="shared" si="24"/>
        <v>7.4787503519999979E-2</v>
      </c>
      <c r="O92">
        <f t="shared" si="22"/>
        <v>1.3236586041817891E-2</v>
      </c>
      <c r="P92">
        <f t="shared" si="23"/>
        <v>2.8589047051108291E-2</v>
      </c>
      <c r="V92">
        <v>2.7999999999999701</v>
      </c>
      <c r="W92">
        <f t="shared" si="21"/>
        <v>-0.64603999999999862</v>
      </c>
    </row>
    <row r="93" spans="1:23" x14ac:dyDescent="0.3">
      <c r="A93">
        <v>4.6416542999999999</v>
      </c>
      <c r="B93">
        <v>0.55037000000000003</v>
      </c>
      <c r="C93">
        <f t="shared" si="14"/>
        <v>2.5546272770909999</v>
      </c>
      <c r="D93">
        <v>1.6299999999999999E-2</v>
      </c>
      <c r="E93">
        <v>2.8849251857154604E-3</v>
      </c>
      <c r="F93">
        <f t="shared" si="15"/>
        <v>928.33086000000003</v>
      </c>
      <c r="G93">
        <f t="shared" si="16"/>
        <v>-0.55037000000000003</v>
      </c>
      <c r="H93">
        <f t="shared" si="17"/>
        <v>-510.92545541819999</v>
      </c>
      <c r="I93">
        <v>1</v>
      </c>
      <c r="J93">
        <f t="shared" si="18"/>
        <v>-7.436707956530203E-2</v>
      </c>
      <c r="K93">
        <f t="shared" si="19"/>
        <v>-0.62954057297601196</v>
      </c>
      <c r="L93">
        <v>1</v>
      </c>
      <c r="M93">
        <f t="shared" si="20"/>
        <v>0.51151962067634393</v>
      </c>
      <c r="N93">
        <f t="shared" si="24"/>
        <v>7.5658965089999988E-2</v>
      </c>
      <c r="O93">
        <f t="shared" si="22"/>
        <v>1.3390825393454465E-2</v>
      </c>
      <c r="P93">
        <f t="shared" si="23"/>
        <v>2.8971161816213571E-2</v>
      </c>
      <c r="V93">
        <v>2.8999999999999702</v>
      </c>
      <c r="W93">
        <f t="shared" si="21"/>
        <v>-0.65071999999999863</v>
      </c>
    </row>
    <row r="94" spans="1:23" x14ac:dyDescent="0.3">
      <c r="A94">
        <v>4.6930820000000004</v>
      </c>
      <c r="B94">
        <v>0.54795000000000005</v>
      </c>
      <c r="C94">
        <f t="shared" si="14"/>
        <v>2.5715742819000003</v>
      </c>
      <c r="D94">
        <v>1.6299999999999999E-2</v>
      </c>
      <c r="E94">
        <v>2.8849251857154604E-3</v>
      </c>
      <c r="F94">
        <f t="shared" si="15"/>
        <v>938.61640000000011</v>
      </c>
      <c r="G94">
        <f t="shared" si="16"/>
        <v>-0.54795000000000005</v>
      </c>
      <c r="H94">
        <f t="shared" si="17"/>
        <v>-514.31485638000004</v>
      </c>
      <c r="I94">
        <v>1</v>
      </c>
      <c r="J94">
        <f t="shared" si="18"/>
        <v>-6.3348402942590518E-2</v>
      </c>
      <c r="K94">
        <f t="shared" si="19"/>
        <v>-0.63196057297601194</v>
      </c>
      <c r="L94">
        <v>1</v>
      </c>
      <c r="M94">
        <f t="shared" si="20"/>
        <v>0.51203529474228682</v>
      </c>
      <c r="N94">
        <f t="shared" si="24"/>
        <v>7.6497236600000004E-2</v>
      </c>
      <c r="O94">
        <f t="shared" si="22"/>
        <v>1.3539190460427885E-2</v>
      </c>
      <c r="P94">
        <f t="shared" si="23"/>
        <v>2.9888851173297232E-2</v>
      </c>
      <c r="V94">
        <v>2.9999999999999698</v>
      </c>
      <c r="W94">
        <f t="shared" si="21"/>
        <v>-0.65539999999999865</v>
      </c>
    </row>
    <row r="95" spans="1:23" x14ac:dyDescent="0.3">
      <c r="A95">
        <v>4.7440005000000003</v>
      </c>
      <c r="B95">
        <v>0.54598000000000002</v>
      </c>
      <c r="C95">
        <f t="shared" si="14"/>
        <v>2.5901293929900002</v>
      </c>
      <c r="D95">
        <v>1.6299999999999999E-2</v>
      </c>
      <c r="E95">
        <v>2.8849251857154604E-3</v>
      </c>
      <c r="F95">
        <f t="shared" si="15"/>
        <v>948.80010000000004</v>
      </c>
      <c r="G95">
        <f t="shared" si="16"/>
        <v>-0.54598000000000002</v>
      </c>
      <c r="H95">
        <f t="shared" si="17"/>
        <v>-518.02587859800008</v>
      </c>
      <c r="I95">
        <v>1</v>
      </c>
      <c r="J95">
        <f t="shared" si="18"/>
        <v>-5.2557145342391511E-2</v>
      </c>
      <c r="K95">
        <f t="shared" si="19"/>
        <v>-0.63393057297601196</v>
      </c>
      <c r="L95">
        <v>1</v>
      </c>
      <c r="M95">
        <f t="shared" si="20"/>
        <v>0.51254032559797613</v>
      </c>
      <c r="N95">
        <f t="shared" si="24"/>
        <v>7.7327208149999993E-2</v>
      </c>
      <c r="O95">
        <f t="shared" si="22"/>
        <v>1.3686086523496737E-2</v>
      </c>
      <c r="P95">
        <f t="shared" si="23"/>
        <v>3.0376952704539099E-2</v>
      </c>
      <c r="V95">
        <v>3.0999999999999699</v>
      </c>
      <c r="W95">
        <f t="shared" si="21"/>
        <v>-0.66007999999999867</v>
      </c>
    </row>
    <row r="96" spans="1:23" x14ac:dyDescent="0.3">
      <c r="A96">
        <v>4.7944097000000001</v>
      </c>
      <c r="B96">
        <v>0.54413</v>
      </c>
      <c r="C96">
        <f t="shared" si="14"/>
        <v>2.6087821500610002</v>
      </c>
      <c r="D96">
        <v>1.6299999999999999E-2</v>
      </c>
      <c r="E96">
        <v>2.8849251857154604E-3</v>
      </c>
      <c r="F96">
        <f t="shared" si="15"/>
        <v>958.88193999999999</v>
      </c>
      <c r="G96">
        <f t="shared" si="16"/>
        <v>-0.54413</v>
      </c>
      <c r="H96">
        <f t="shared" si="17"/>
        <v>-521.7564300122001</v>
      </c>
      <c r="I96">
        <v>1</v>
      </c>
      <c r="J96">
        <f t="shared" si="18"/>
        <v>-4.198731908058264E-2</v>
      </c>
      <c r="K96">
        <f t="shared" si="19"/>
        <v>-0.63578057297601198</v>
      </c>
      <c r="L96">
        <v>1</v>
      </c>
      <c r="M96">
        <f t="shared" si="20"/>
        <v>0.51303499346702874</v>
      </c>
      <c r="N96">
        <f t="shared" si="24"/>
        <v>7.814887811E-2</v>
      </c>
      <c r="O96">
        <f t="shared" si="22"/>
        <v>1.3831513294168506E-2</v>
      </c>
      <c r="P96">
        <f t="shared" si="23"/>
        <v>3.0765188104814732E-2</v>
      </c>
      <c r="V96">
        <v>3.19999999999997</v>
      </c>
      <c r="W96">
        <f t="shared" si="21"/>
        <v>-0.66475999999999857</v>
      </c>
    </row>
    <row r="97" spans="1:23" x14ac:dyDescent="0.3">
      <c r="A97">
        <v>4.8453280999999997</v>
      </c>
      <c r="B97">
        <v>0.54191999999999996</v>
      </c>
      <c r="C97">
        <f t="shared" si="14"/>
        <v>2.6257802039519995</v>
      </c>
      <c r="D97">
        <v>1.6299999999999999E-2</v>
      </c>
      <c r="E97">
        <v>2.8849251857154604E-3</v>
      </c>
      <c r="F97">
        <f t="shared" si="15"/>
        <v>969.06561999999997</v>
      </c>
      <c r="G97">
        <f t="shared" si="16"/>
        <v>-0.54191999999999996</v>
      </c>
      <c r="H97">
        <f t="shared" si="17"/>
        <v>-525.15604079039986</v>
      </c>
      <c r="I97">
        <v>1</v>
      </c>
      <c r="J97">
        <f t="shared" si="18"/>
        <v>-3.1422950085973414E-2</v>
      </c>
      <c r="K97">
        <f t="shared" si="19"/>
        <v>-0.63799057297601203</v>
      </c>
      <c r="L97">
        <v>1</v>
      </c>
      <c r="M97">
        <f t="shared" si="20"/>
        <v>0.51352940593597651</v>
      </c>
      <c r="N97">
        <f t="shared" si="24"/>
        <v>7.8978848029999993E-2</v>
      </c>
      <c r="O97">
        <f t="shared" si="22"/>
        <v>1.3978409068744839E-2</v>
      </c>
      <c r="P97">
        <f t="shared" si="23"/>
        <v>3.1503909941290681E-2</v>
      </c>
      <c r="V97">
        <v>3.2999999999999701</v>
      </c>
      <c r="W97">
        <f t="shared" si="21"/>
        <v>-0.66943999999999859</v>
      </c>
    </row>
    <row r="98" spans="1:23" x14ac:dyDescent="0.3">
      <c r="A98">
        <v>4.8998105000000001</v>
      </c>
      <c r="B98">
        <v>0.53983999999999999</v>
      </c>
      <c r="C98">
        <f t="shared" si="14"/>
        <v>2.64511370032</v>
      </c>
      <c r="D98">
        <v>1.6299999999999999E-2</v>
      </c>
      <c r="E98">
        <v>2.8849251857154604E-3</v>
      </c>
      <c r="F98">
        <f t="shared" si="15"/>
        <v>979.96209999999996</v>
      </c>
      <c r="G98">
        <f t="shared" si="16"/>
        <v>-0.53983999999999999</v>
      </c>
      <c r="H98">
        <f t="shared" si="17"/>
        <v>-529.022740064</v>
      </c>
      <c r="I98">
        <v>1</v>
      </c>
      <c r="J98">
        <f t="shared" si="18"/>
        <v>-2.0241381534745157E-2</v>
      </c>
      <c r="K98">
        <f t="shared" si="19"/>
        <v>-0.640070572976012</v>
      </c>
      <c r="L98">
        <v>1</v>
      </c>
      <c r="M98">
        <f t="shared" si="20"/>
        <v>0.51405270334417397</v>
      </c>
      <c r="N98">
        <f t="shared" si="24"/>
        <v>7.9866911149999997E-2</v>
      </c>
      <c r="O98">
        <f t="shared" si="22"/>
        <v>1.4135586716683062E-2</v>
      </c>
      <c r="P98">
        <f t="shared" si="23"/>
        <v>3.2015371765154968E-2</v>
      </c>
      <c r="V98">
        <v>3.3999999999999702</v>
      </c>
      <c r="W98">
        <f t="shared" si="21"/>
        <v>-0.67411999999999861</v>
      </c>
    </row>
    <row r="99" spans="1:23" x14ac:dyDescent="0.3">
      <c r="A99">
        <v>4.9527656000000002</v>
      </c>
      <c r="B99">
        <v>0.53793000000000002</v>
      </c>
      <c r="C99">
        <f t="shared" si="14"/>
        <v>2.6642411992080004</v>
      </c>
      <c r="D99">
        <v>1.6299999999999999E-2</v>
      </c>
      <c r="E99">
        <v>2.8849251857154604E-3</v>
      </c>
      <c r="F99">
        <f t="shared" si="15"/>
        <v>990.55312000000004</v>
      </c>
      <c r="G99">
        <f t="shared" si="16"/>
        <v>-0.53793000000000002</v>
      </c>
      <c r="H99">
        <f t="shared" si="17"/>
        <v>-532.84823984160005</v>
      </c>
      <c r="I99">
        <v>1</v>
      </c>
      <c r="J99">
        <f t="shared" si="18"/>
        <v>-9.4917848014799445E-3</v>
      </c>
      <c r="K99">
        <f t="shared" si="19"/>
        <v>-0.64198057297601197</v>
      </c>
      <c r="L99">
        <v>1</v>
      </c>
      <c r="M99">
        <f t="shared" si="20"/>
        <v>0.5145557844712908</v>
      </c>
      <c r="N99">
        <f t="shared" si="24"/>
        <v>8.0730079279999992E-2</v>
      </c>
      <c r="O99">
        <f t="shared" si="22"/>
        <v>1.4288358218385144E-2</v>
      </c>
      <c r="P99">
        <f t="shared" si="23"/>
        <v>3.2406351006336029E-2</v>
      </c>
      <c r="V99">
        <v>3.4999999999999698</v>
      </c>
      <c r="W99">
        <f t="shared" si="21"/>
        <v>-0.67879999999999863</v>
      </c>
    </row>
    <row r="100" spans="1:23" x14ac:dyDescent="0.3">
      <c r="A100">
        <v>5.0031748</v>
      </c>
      <c r="B100">
        <v>0.53590000000000004</v>
      </c>
      <c r="C100">
        <f t="shared" si="14"/>
        <v>2.6812013753200001</v>
      </c>
      <c r="D100">
        <v>1.6299999999999999E-2</v>
      </c>
      <c r="E100">
        <v>2.8849251857154604E-3</v>
      </c>
      <c r="F100">
        <f t="shared" si="15"/>
        <v>1000.63496</v>
      </c>
      <c r="G100">
        <f t="shared" si="16"/>
        <v>-0.53590000000000004</v>
      </c>
      <c r="H100">
        <f t="shared" si="17"/>
        <v>-536.240275064</v>
      </c>
      <c r="I100">
        <v>1</v>
      </c>
      <c r="J100">
        <f t="shared" si="18"/>
        <v>6.3475849819170916E-4</v>
      </c>
      <c r="K100">
        <f t="shared" si="19"/>
        <v>-0.64401057297601194</v>
      </c>
      <c r="L100">
        <v>1</v>
      </c>
      <c r="M100">
        <f t="shared" si="20"/>
        <v>0.51502970669771542</v>
      </c>
      <c r="N100">
        <f t="shared" si="24"/>
        <v>8.1551749239999999E-2</v>
      </c>
      <c r="O100">
        <f t="shared" si="22"/>
        <v>1.4433784989056911E-2</v>
      </c>
      <c r="P100">
        <f t="shared" si="23"/>
        <v>3.2995332049239615E-2</v>
      </c>
      <c r="V100">
        <v>3.5999999999999699</v>
      </c>
      <c r="W100">
        <f t="shared" si="21"/>
        <v>-0.68347999999999864</v>
      </c>
    </row>
    <row r="101" spans="1:23" x14ac:dyDescent="0.3">
      <c r="A101">
        <v>5.0551113000000001</v>
      </c>
      <c r="B101">
        <v>0.53415999999999997</v>
      </c>
      <c r="C101">
        <f t="shared" si="14"/>
        <v>2.7002382520079999</v>
      </c>
      <c r="D101">
        <v>1.6299999999999999E-2</v>
      </c>
      <c r="E101">
        <v>2.8849251857154604E-3</v>
      </c>
      <c r="F101">
        <f t="shared" si="15"/>
        <v>1011.02226</v>
      </c>
      <c r="G101">
        <f t="shared" si="16"/>
        <v>-0.53415999999999997</v>
      </c>
      <c r="H101">
        <f t="shared" si="17"/>
        <v>-540.04765040159998</v>
      </c>
      <c r="I101">
        <v>1</v>
      </c>
      <c r="J101">
        <f t="shared" si="18"/>
        <v>1.0961957600100436E-2</v>
      </c>
      <c r="K101">
        <f t="shared" si="19"/>
        <v>-0.64575057297601202</v>
      </c>
      <c r="L101">
        <v>1</v>
      </c>
      <c r="M101">
        <f t="shared" si="20"/>
        <v>0.51551301961568474</v>
      </c>
      <c r="N101">
        <f t="shared" si="24"/>
        <v>8.2398314189999988E-2</v>
      </c>
      <c r="O101">
        <f t="shared" si="22"/>
        <v>1.4583617905964822E-2</v>
      </c>
      <c r="P101">
        <f t="shared" si="23"/>
        <v>3.3255621264362462E-2</v>
      </c>
      <c r="V101">
        <v>3.69999999999997</v>
      </c>
      <c r="W101">
        <f t="shared" si="21"/>
        <v>-0.68815999999999855</v>
      </c>
    </row>
    <row r="102" spans="1:23" x14ac:dyDescent="0.3">
      <c r="A102">
        <v>5.1075565999999997</v>
      </c>
      <c r="B102">
        <v>0.53190999999999999</v>
      </c>
      <c r="C102">
        <f t="shared" si="14"/>
        <v>2.7167604311059996</v>
      </c>
      <c r="D102">
        <v>1.6299999999999999E-2</v>
      </c>
      <c r="E102">
        <v>2.8849251857154604E-3</v>
      </c>
      <c r="F102">
        <f t="shared" si="15"/>
        <v>1021.51132</v>
      </c>
      <c r="G102">
        <f t="shared" si="16"/>
        <v>-0.53190999999999999</v>
      </c>
      <c r="H102">
        <f t="shared" si="17"/>
        <v>-543.3520862211999</v>
      </c>
      <c r="I102">
        <v>1</v>
      </c>
      <c r="J102">
        <f t="shared" si="18"/>
        <v>2.1283216956673019E-2</v>
      </c>
      <c r="K102">
        <f t="shared" si="19"/>
        <v>-0.64800057297601199</v>
      </c>
      <c r="L102">
        <v>1</v>
      </c>
      <c r="M102">
        <f t="shared" si="20"/>
        <v>0.51599605455357234</v>
      </c>
      <c r="N102">
        <f t="shared" si="24"/>
        <v>8.3253172579999993E-2</v>
      </c>
      <c r="O102">
        <f t="shared" si="22"/>
        <v>1.4734918672807224E-2</v>
      </c>
      <c r="P102">
        <f t="shared" si="23"/>
        <v>3.4016427169632435E-2</v>
      </c>
      <c r="V102">
        <v>3.7999999999999701</v>
      </c>
      <c r="W102">
        <f t="shared" si="21"/>
        <v>-0.69283999999999857</v>
      </c>
    </row>
    <row r="103" spans="1:23" x14ac:dyDescent="0.3">
      <c r="A103">
        <v>5.1579663000000009</v>
      </c>
      <c r="B103">
        <v>0.53002000000000005</v>
      </c>
      <c r="C103">
        <f t="shared" si="14"/>
        <v>2.7338252983260007</v>
      </c>
      <c r="D103">
        <v>1.6299999999999999E-2</v>
      </c>
      <c r="E103">
        <v>2.8849251857154604E-3</v>
      </c>
      <c r="F103">
        <f t="shared" si="15"/>
        <v>1031.5932600000001</v>
      </c>
      <c r="G103">
        <f t="shared" si="16"/>
        <v>-0.53002000000000005</v>
      </c>
      <c r="H103">
        <f t="shared" si="17"/>
        <v>-546.76505966520017</v>
      </c>
      <c r="I103">
        <v>1</v>
      </c>
      <c r="J103">
        <f t="shared" si="18"/>
        <v>3.1104461463577333E-2</v>
      </c>
      <c r="K103">
        <f t="shared" si="19"/>
        <v>-0.64989057297601194</v>
      </c>
      <c r="L103">
        <v>1</v>
      </c>
      <c r="M103">
        <f t="shared" si="20"/>
        <v>0.51645568879649539</v>
      </c>
      <c r="N103">
        <f t="shared" si="24"/>
        <v>8.4074850690000008E-2</v>
      </c>
      <c r="O103">
        <f t="shared" si="22"/>
        <v>1.4880346885941588E-2</v>
      </c>
      <c r="P103">
        <f t="shared" si="23"/>
        <v>3.4479686603574949E-2</v>
      </c>
      <c r="V103">
        <v>3.8999999999999599</v>
      </c>
      <c r="W103">
        <f t="shared" si="21"/>
        <v>-0.69751999999999814</v>
      </c>
    </row>
    <row r="104" spans="1:23" x14ac:dyDescent="0.3">
      <c r="A104">
        <v>5.2083750000000002</v>
      </c>
      <c r="B104">
        <v>0.52791999999999994</v>
      </c>
      <c r="C104">
        <f t="shared" si="14"/>
        <v>2.7496053299999996</v>
      </c>
      <c r="D104">
        <v>1.6299999999999999E-2</v>
      </c>
      <c r="E104">
        <v>2.8849251857154604E-3</v>
      </c>
      <c r="F104">
        <f t="shared" si="15"/>
        <v>1041.675</v>
      </c>
      <c r="G104">
        <f t="shared" si="16"/>
        <v>-0.52791999999999994</v>
      </c>
      <c r="H104">
        <f t="shared" si="17"/>
        <v>-549.92106599999988</v>
      </c>
      <c r="I104">
        <v>1</v>
      </c>
      <c r="J104">
        <f t="shared" si="18"/>
        <v>4.0829994488255208E-2</v>
      </c>
      <c r="K104">
        <f t="shared" si="19"/>
        <v>-0.65199057297601204</v>
      </c>
      <c r="L104">
        <v>1</v>
      </c>
      <c r="M104">
        <f t="shared" si="20"/>
        <v>0.51691084374205032</v>
      </c>
      <c r="N104">
        <f t="shared" si="24"/>
        <v>8.4896512499999993E-2</v>
      </c>
      <c r="O104">
        <f t="shared" si="22"/>
        <v>1.5025772214150761E-2</v>
      </c>
      <c r="P104">
        <f t="shared" si="23"/>
        <v>3.5157444519810968E-2</v>
      </c>
      <c r="V104">
        <v>3.99999999999996</v>
      </c>
      <c r="W104">
        <f t="shared" si="21"/>
        <v>-0.70219999999999816</v>
      </c>
    </row>
    <row r="105" spans="1:23" x14ac:dyDescent="0.3">
      <c r="A105">
        <v>5.2613301000000003</v>
      </c>
      <c r="B105">
        <v>0.52573999999999999</v>
      </c>
      <c r="C105">
        <f t="shared" si="14"/>
        <v>2.7660916867740002</v>
      </c>
      <c r="D105">
        <v>1.6299999999999999E-2</v>
      </c>
      <c r="E105">
        <v>2.8849251857154604E-3</v>
      </c>
      <c r="F105">
        <f t="shared" si="15"/>
        <v>1052.26602</v>
      </c>
      <c r="G105">
        <f t="shared" si="16"/>
        <v>-0.52573999999999999</v>
      </c>
      <c r="H105">
        <f t="shared" si="17"/>
        <v>-553.21833735480004</v>
      </c>
      <c r="I105">
        <v>1</v>
      </c>
      <c r="J105">
        <f t="shared" si="18"/>
        <v>5.094595307153927E-2</v>
      </c>
      <c r="K105">
        <f t="shared" si="19"/>
        <v>-0.654170572976012</v>
      </c>
      <c r="L105">
        <v>1</v>
      </c>
      <c r="M105">
        <f t="shared" si="20"/>
        <v>0.51738427060374803</v>
      </c>
      <c r="N105">
        <f t="shared" si="24"/>
        <v>8.5759680630000001E-2</v>
      </c>
      <c r="O105">
        <f t="shared" si="22"/>
        <v>1.5178543715852843E-2</v>
      </c>
      <c r="P105">
        <f t="shared" si="23"/>
        <v>3.5848078026411122E-2</v>
      </c>
      <c r="V105">
        <v>4.0999999999999996</v>
      </c>
      <c r="W105">
        <f t="shared" si="21"/>
        <v>-0.70687999999999995</v>
      </c>
    </row>
    <row r="106" spans="1:23" x14ac:dyDescent="0.3">
      <c r="A106">
        <v>5.3117397000000004</v>
      </c>
      <c r="B106">
        <v>0.52376</v>
      </c>
      <c r="C106">
        <f t="shared" si="14"/>
        <v>2.7820767852720003</v>
      </c>
      <c r="D106">
        <v>1.6299999999999999E-2</v>
      </c>
      <c r="E106">
        <v>2.8849251857154604E-3</v>
      </c>
      <c r="F106">
        <f t="shared" si="15"/>
        <v>1062.3479400000001</v>
      </c>
      <c r="G106">
        <f t="shared" si="16"/>
        <v>-0.52376</v>
      </c>
      <c r="H106">
        <f t="shared" si="17"/>
        <v>-556.41535705440003</v>
      </c>
      <c r="I106">
        <v>1</v>
      </c>
      <c r="J106">
        <f t="shared" si="18"/>
        <v>6.0481496280346492E-2</v>
      </c>
      <c r="K106">
        <f t="shared" si="19"/>
        <v>-0.65615057297601198</v>
      </c>
      <c r="L106">
        <v>1</v>
      </c>
      <c r="M106">
        <f t="shared" si="20"/>
        <v>0.51783053402592027</v>
      </c>
      <c r="N106">
        <f t="shared" si="24"/>
        <v>8.6581357109999993E-2</v>
      </c>
      <c r="O106">
        <f t="shared" si="22"/>
        <v>1.5323971640494686E-2</v>
      </c>
      <c r="P106">
        <f t="shared" si="23"/>
        <v>3.6414710199597029E-2</v>
      </c>
      <c r="V106">
        <v>4.2</v>
      </c>
      <c r="W106">
        <f t="shared" si="21"/>
        <v>-0.71155999999999997</v>
      </c>
    </row>
    <row r="107" spans="1:23" x14ac:dyDescent="0.3">
      <c r="A107">
        <v>5.3641850999999994</v>
      </c>
      <c r="B107">
        <v>0.52181</v>
      </c>
      <c r="C107">
        <f t="shared" si="14"/>
        <v>2.7990854270309997</v>
      </c>
      <c r="D107">
        <v>1.6299999999999999E-2</v>
      </c>
      <c r="E107">
        <v>2.8849251857154604E-3</v>
      </c>
      <c r="F107">
        <f t="shared" si="15"/>
        <v>1072.8370199999999</v>
      </c>
      <c r="G107">
        <f t="shared" si="16"/>
        <v>-0.52181</v>
      </c>
      <c r="H107">
        <f t="shared" si="17"/>
        <v>-559.81708540619991</v>
      </c>
      <c r="I107">
        <v>1</v>
      </c>
      <c r="J107">
        <f t="shared" si="18"/>
        <v>7.0306560219927802E-2</v>
      </c>
      <c r="K107">
        <f t="shared" si="19"/>
        <v>-0.65810057297601199</v>
      </c>
      <c r="L107">
        <v>1</v>
      </c>
      <c r="M107">
        <f t="shared" si="20"/>
        <v>0.51829034701829269</v>
      </c>
      <c r="N107">
        <f t="shared" si="24"/>
        <v>8.743621712999998E-2</v>
      </c>
      <c r="O107">
        <f t="shared" si="22"/>
        <v>1.5475272695829604E-2</v>
      </c>
      <c r="P107">
        <f t="shared" si="23"/>
        <v>3.6898736131889723E-2</v>
      </c>
      <c r="V107">
        <v>4.3</v>
      </c>
      <c r="W107">
        <f t="shared" si="21"/>
        <v>-0.71623999999999999</v>
      </c>
    </row>
    <row r="108" spans="1:23" x14ac:dyDescent="0.3">
      <c r="A108">
        <v>5.4156133000000004</v>
      </c>
      <c r="B108">
        <v>0.51976999999999995</v>
      </c>
      <c r="C108">
        <f t="shared" si="14"/>
        <v>2.8148733249409998</v>
      </c>
      <c r="D108">
        <v>1.6299999999999999E-2</v>
      </c>
      <c r="E108">
        <v>2.8849251857154604E-3</v>
      </c>
      <c r="F108">
        <f t="shared" si="15"/>
        <v>1083.12266</v>
      </c>
      <c r="G108">
        <f t="shared" si="16"/>
        <v>-0.51976999999999995</v>
      </c>
      <c r="H108">
        <f t="shared" si="17"/>
        <v>-562.97466498819995</v>
      </c>
      <c r="I108">
        <v>1</v>
      </c>
      <c r="J108">
        <f t="shared" si="18"/>
        <v>7.9848221069935166E-2</v>
      </c>
      <c r="K108">
        <f t="shared" si="19"/>
        <v>-0.66014057297601203</v>
      </c>
      <c r="L108">
        <v>1</v>
      </c>
      <c r="M108">
        <f t="shared" si="20"/>
        <v>0.51873689674607293</v>
      </c>
      <c r="N108">
        <f t="shared" si="24"/>
        <v>8.8274496790000004E-2</v>
      </c>
      <c r="O108">
        <f t="shared" si="22"/>
        <v>1.5623639205265619E-2</v>
      </c>
      <c r="P108">
        <f t="shared" si="23"/>
        <v>3.7505540234673479E-2</v>
      </c>
      <c r="V108">
        <v>4.4000000000000004</v>
      </c>
      <c r="W108">
        <f t="shared" si="21"/>
        <v>-0.72092000000000001</v>
      </c>
    </row>
    <row r="109" spans="1:23" x14ac:dyDescent="0.3">
      <c r="A109">
        <v>5.4665313000000006</v>
      </c>
      <c r="B109">
        <v>0.51797000000000004</v>
      </c>
      <c r="C109">
        <f t="shared" si="14"/>
        <v>2.8314992174610008</v>
      </c>
      <c r="D109">
        <v>1.6299999999999999E-2</v>
      </c>
      <c r="E109">
        <v>2.8849251857154604E-3</v>
      </c>
      <c r="F109">
        <f t="shared" si="15"/>
        <v>1093.3062600000001</v>
      </c>
      <c r="G109">
        <f t="shared" si="16"/>
        <v>-0.51797000000000004</v>
      </c>
      <c r="H109">
        <f t="shared" si="17"/>
        <v>-566.29984349220013</v>
      </c>
      <c r="I109">
        <v>1</v>
      </c>
      <c r="J109">
        <f t="shared" si="18"/>
        <v>8.9206371226232581E-2</v>
      </c>
      <c r="K109">
        <f t="shared" si="19"/>
        <v>-0.66194057297601194</v>
      </c>
      <c r="L109">
        <v>1</v>
      </c>
      <c r="M109">
        <f t="shared" si="20"/>
        <v>0.51917485817338771</v>
      </c>
      <c r="N109">
        <f t="shared" si="24"/>
        <v>8.9104460189999998E-2</v>
      </c>
      <c r="O109">
        <f t="shared" si="22"/>
        <v>1.5770533825871878E-2</v>
      </c>
      <c r="P109">
        <f t="shared" si="23"/>
        <v>3.789072078675236E-2</v>
      </c>
      <c r="V109">
        <v>4.5</v>
      </c>
      <c r="W109">
        <f t="shared" si="21"/>
        <v>-0.72560000000000002</v>
      </c>
    </row>
    <row r="110" spans="1:23" x14ac:dyDescent="0.3">
      <c r="A110">
        <v>5.5169403999999993</v>
      </c>
      <c r="B110">
        <v>0.51602999999999999</v>
      </c>
      <c r="C110">
        <f t="shared" si="14"/>
        <v>2.8469067546119997</v>
      </c>
      <c r="D110">
        <v>1.6299999999999999E-2</v>
      </c>
      <c r="E110">
        <v>2.8849251857154604E-3</v>
      </c>
      <c r="F110">
        <f t="shared" si="15"/>
        <v>1103.3880799999999</v>
      </c>
      <c r="G110">
        <f t="shared" si="16"/>
        <v>-0.51602999999999999</v>
      </c>
      <c r="H110">
        <f t="shared" si="17"/>
        <v>-569.38135092239997</v>
      </c>
      <c r="I110">
        <v>1</v>
      </c>
      <c r="J110">
        <f t="shared" si="18"/>
        <v>9.8385518825210766E-2</v>
      </c>
      <c r="K110">
        <f t="shared" si="19"/>
        <v>-0.663880572976012</v>
      </c>
      <c r="L110">
        <v>1</v>
      </c>
      <c r="M110">
        <f t="shared" si="20"/>
        <v>0.51960444228101987</v>
      </c>
      <c r="N110">
        <f t="shared" si="24"/>
        <v>8.9926128519999982E-2</v>
      </c>
      <c r="O110">
        <f t="shared" si="22"/>
        <v>1.5915960308051123E-2</v>
      </c>
      <c r="P110">
        <f t="shared" si="23"/>
        <v>3.8434041866941021E-2</v>
      </c>
      <c r="V110">
        <v>4.5999999999999996</v>
      </c>
      <c r="W110">
        <f t="shared" si="21"/>
        <v>-0.73028000000000004</v>
      </c>
    </row>
    <row r="111" spans="1:23" x14ac:dyDescent="0.3">
      <c r="A111">
        <v>5.5688769999999996</v>
      </c>
      <c r="B111">
        <v>0.51415999999999995</v>
      </c>
      <c r="C111">
        <f t="shared" si="14"/>
        <v>2.8632937983199995</v>
      </c>
      <c r="D111">
        <v>1.6299999999999999E-2</v>
      </c>
      <c r="E111">
        <v>2.8849251857154604E-3</v>
      </c>
      <c r="F111">
        <f t="shared" si="15"/>
        <v>1113.7754</v>
      </c>
      <c r="G111">
        <f t="shared" si="16"/>
        <v>-0.51415999999999995</v>
      </c>
      <c r="H111">
        <f t="shared" si="17"/>
        <v>-572.65875966399994</v>
      </c>
      <c r="I111">
        <v>1</v>
      </c>
      <c r="J111">
        <f t="shared" si="18"/>
        <v>0.10775550537897204</v>
      </c>
      <c r="K111">
        <f t="shared" si="19"/>
        <v>-0.66575057297601203</v>
      </c>
      <c r="L111">
        <v>1</v>
      </c>
      <c r="M111">
        <f t="shared" si="20"/>
        <v>0.52004295765173592</v>
      </c>
      <c r="N111">
        <f t="shared" si="24"/>
        <v>9.0772695099999981E-2</v>
      </c>
      <c r="O111">
        <f t="shared" si="22"/>
        <v>1.6065793513451554E-2</v>
      </c>
      <c r="P111">
        <f t="shared" si="23"/>
        <v>3.8869126710824584E-2</v>
      </c>
      <c r="V111">
        <v>4.7</v>
      </c>
      <c r="W111">
        <f t="shared" si="21"/>
        <v>-0.73496000000000006</v>
      </c>
    </row>
    <row r="112" spans="1:23" x14ac:dyDescent="0.3">
      <c r="A112">
        <v>5.6213232000000009</v>
      </c>
      <c r="B112">
        <v>0.51200000000000001</v>
      </c>
      <c r="C112">
        <f t="shared" si="14"/>
        <v>2.8781174784000005</v>
      </c>
      <c r="D112">
        <v>1.6299999999999999E-2</v>
      </c>
      <c r="E112">
        <v>2.8849251857154604E-3</v>
      </c>
      <c r="F112">
        <f t="shared" si="15"/>
        <v>1124.2646400000001</v>
      </c>
      <c r="G112">
        <f t="shared" si="16"/>
        <v>-0.51200000000000001</v>
      </c>
      <c r="H112">
        <f t="shared" si="17"/>
        <v>-575.62349568000013</v>
      </c>
      <c r="I112">
        <v>1</v>
      </c>
      <c r="J112">
        <f t="shared" si="18"/>
        <v>0.11712916859857052</v>
      </c>
      <c r="K112">
        <f t="shared" si="19"/>
        <v>-0.66791057297601197</v>
      </c>
      <c r="L112">
        <v>1</v>
      </c>
      <c r="M112">
        <f t="shared" si="20"/>
        <v>0.52048164509041306</v>
      </c>
      <c r="N112">
        <f t="shared" si="24"/>
        <v>9.1627568160000006E-2</v>
      </c>
      <c r="O112">
        <f t="shared" si="22"/>
        <v>1.6217096876726629E-2</v>
      </c>
      <c r="P112">
        <f t="shared" si="23"/>
        <v>3.958426284887228E-2</v>
      </c>
      <c r="V112">
        <v>4.8</v>
      </c>
      <c r="W112">
        <f t="shared" si="21"/>
        <v>-0.73964000000000008</v>
      </c>
    </row>
    <row r="113" spans="1:23" x14ac:dyDescent="0.3">
      <c r="A113">
        <v>5.6722411999999993</v>
      </c>
      <c r="B113">
        <v>0.51010999999999995</v>
      </c>
      <c r="C113">
        <f t="shared" si="14"/>
        <v>2.8934669585319992</v>
      </c>
      <c r="D113">
        <v>1.6299999999999999E-2</v>
      </c>
      <c r="E113">
        <v>2.8849251857154604E-3</v>
      </c>
      <c r="F113">
        <f t="shared" si="15"/>
        <v>1134.4482399999999</v>
      </c>
      <c r="G113">
        <f t="shared" si="16"/>
        <v>-0.51010999999999995</v>
      </c>
      <c r="H113">
        <f t="shared" si="17"/>
        <v>-578.69339170639989</v>
      </c>
      <c r="I113">
        <v>1</v>
      </c>
      <c r="J113">
        <f t="shared" si="18"/>
        <v>0.12614640057422893</v>
      </c>
      <c r="K113">
        <f t="shared" si="19"/>
        <v>-0.66980057297601203</v>
      </c>
      <c r="L113">
        <v>1</v>
      </c>
      <c r="M113">
        <f t="shared" si="20"/>
        <v>0.5209036515468739</v>
      </c>
      <c r="N113">
        <f t="shared" si="24"/>
        <v>9.2457531559999986E-2</v>
      </c>
      <c r="O113">
        <f t="shared" si="22"/>
        <v>1.6363991497332885E-2</v>
      </c>
      <c r="P113">
        <f t="shared" si="23"/>
        <v>4.0075398371805258E-2</v>
      </c>
      <c r="V113">
        <v>4.9000000000000004</v>
      </c>
      <c r="W113">
        <f t="shared" si="21"/>
        <v>-0.74432000000000009</v>
      </c>
    </row>
    <row r="114" spans="1:23" x14ac:dyDescent="0.3">
      <c r="A114">
        <v>5.7246870000000003</v>
      </c>
      <c r="B114">
        <v>0.50819999999999999</v>
      </c>
      <c r="C114">
        <f t="shared" si="14"/>
        <v>2.9092859334000001</v>
      </c>
      <c r="D114">
        <v>1.6299999999999999E-2</v>
      </c>
      <c r="E114">
        <v>2.8849251857154604E-3</v>
      </c>
      <c r="F114">
        <f t="shared" si="15"/>
        <v>1144.9374</v>
      </c>
      <c r="G114">
        <f t="shared" si="16"/>
        <v>-0.50819999999999999</v>
      </c>
      <c r="H114">
        <f t="shared" si="17"/>
        <v>-581.85718668000004</v>
      </c>
      <c r="I114">
        <v>1</v>
      </c>
      <c r="J114">
        <f t="shared" si="18"/>
        <v>0.13534996302252508</v>
      </c>
      <c r="K114">
        <f t="shared" si="19"/>
        <v>-0.671710572976012</v>
      </c>
      <c r="L114">
        <v>1</v>
      </c>
      <c r="M114">
        <f t="shared" si="20"/>
        <v>0.52133437826945417</v>
      </c>
      <c r="N114">
        <f t="shared" si="24"/>
        <v>9.3312398099999999E-2</v>
      </c>
      <c r="O114">
        <f t="shared" si="22"/>
        <v>1.6515293706637884E-2</v>
      </c>
      <c r="P114">
        <f t="shared" si="23"/>
        <v>4.0548502899919944E-2</v>
      </c>
      <c r="V114">
        <v>5</v>
      </c>
      <c r="W114">
        <f t="shared" si="21"/>
        <v>-0.749</v>
      </c>
    </row>
    <row r="115" spans="1:23" x14ac:dyDescent="0.3">
      <c r="A115">
        <v>5.7761147000000008</v>
      </c>
      <c r="B115">
        <v>0.50632999999999995</v>
      </c>
      <c r="C115">
        <f t="shared" si="14"/>
        <v>2.9246201560510001</v>
      </c>
      <c r="D115">
        <v>1.6299999999999999E-2</v>
      </c>
      <c r="E115">
        <v>2.8849251857154604E-3</v>
      </c>
      <c r="F115">
        <f t="shared" si="15"/>
        <v>1155.2229400000001</v>
      </c>
      <c r="G115">
        <f t="shared" si="16"/>
        <v>-0.50632999999999995</v>
      </c>
      <c r="H115">
        <f t="shared" si="17"/>
        <v>-584.92403121020004</v>
      </c>
      <c r="I115">
        <v>1</v>
      </c>
      <c r="J115">
        <f t="shared" si="18"/>
        <v>0.14429334699249763</v>
      </c>
      <c r="K115">
        <f t="shared" si="19"/>
        <v>-0.67358057297601204</v>
      </c>
      <c r="L115">
        <v>1</v>
      </c>
      <c r="M115">
        <f t="shared" si="20"/>
        <v>0.52175292863924894</v>
      </c>
      <c r="N115">
        <f t="shared" si="24"/>
        <v>9.4150669610000001E-2</v>
      </c>
      <c r="O115">
        <f t="shared" si="22"/>
        <v>1.6663658773611301E-2</v>
      </c>
      <c r="P115">
        <f t="shared" si="23"/>
        <v>4.1013315953151802E-2</v>
      </c>
      <c r="V115">
        <v>5.0999999999999996</v>
      </c>
      <c r="W115">
        <f t="shared" si="21"/>
        <v>-0.75368000000000002</v>
      </c>
    </row>
    <row r="116" spans="1:23" x14ac:dyDescent="0.3">
      <c r="A116">
        <v>5.8285609999999997</v>
      </c>
      <c r="B116">
        <v>0.50427</v>
      </c>
      <c r="C116">
        <f t="shared" si="14"/>
        <v>2.9391684554699999</v>
      </c>
      <c r="D116">
        <v>1.6299999999999999E-2</v>
      </c>
      <c r="E116">
        <v>2.8849251857154604E-3</v>
      </c>
      <c r="F116">
        <f t="shared" si="15"/>
        <v>1165.7121999999999</v>
      </c>
      <c r="G116">
        <f t="shared" si="16"/>
        <v>-0.50427</v>
      </c>
      <c r="H116">
        <f t="shared" si="17"/>
        <v>-587.83369109399996</v>
      </c>
      <c r="I116">
        <v>1</v>
      </c>
      <c r="J116">
        <f t="shared" si="18"/>
        <v>0.1533322307034154</v>
      </c>
      <c r="K116">
        <f t="shared" si="19"/>
        <v>-0.67564057297601199</v>
      </c>
      <c r="L116">
        <v>1</v>
      </c>
      <c r="M116">
        <f t="shared" si="20"/>
        <v>0.52217594839691983</v>
      </c>
      <c r="N116">
        <f t="shared" si="24"/>
        <v>9.5005544299999981E-2</v>
      </c>
      <c r="O116">
        <f t="shared" si="22"/>
        <v>1.6814962425378888E-2</v>
      </c>
      <c r="P116">
        <f t="shared" si="23"/>
        <v>4.1644117853713289E-2</v>
      </c>
      <c r="V116">
        <v>5.2</v>
      </c>
      <c r="W116">
        <f t="shared" si="21"/>
        <v>-0.75836000000000003</v>
      </c>
    </row>
    <row r="117" spans="1:23" x14ac:dyDescent="0.3">
      <c r="A117">
        <v>5.8799882999999999</v>
      </c>
      <c r="B117">
        <v>0.50207000000000002</v>
      </c>
      <c r="C117">
        <f t="shared" si="14"/>
        <v>2.9521657257810001</v>
      </c>
      <c r="D117">
        <v>1.6299999999999999E-2</v>
      </c>
      <c r="E117">
        <v>2.8849251857154604E-3</v>
      </c>
      <c r="F117">
        <f t="shared" si="15"/>
        <v>1175.99766</v>
      </c>
      <c r="G117">
        <f t="shared" si="16"/>
        <v>-0.50207000000000002</v>
      </c>
      <c r="H117">
        <f t="shared" si="17"/>
        <v>-590.4331451562</v>
      </c>
      <c r="I117">
        <v>1</v>
      </c>
      <c r="J117">
        <f t="shared" si="18"/>
        <v>0.16211685967853712</v>
      </c>
      <c r="K117">
        <f t="shared" si="19"/>
        <v>-0.67784057297601197</v>
      </c>
      <c r="L117">
        <v>1</v>
      </c>
      <c r="M117">
        <f t="shared" si="20"/>
        <v>0.5225870690329556</v>
      </c>
      <c r="N117">
        <f t="shared" si="24"/>
        <v>9.5843809289999984E-2</v>
      </c>
      <c r="O117">
        <f t="shared" si="22"/>
        <v>1.6963326338382233E-2</v>
      </c>
      <c r="P117">
        <f t="shared" si="23"/>
        <v>4.2446368314674153E-2</v>
      </c>
      <c r="V117">
        <v>5.3</v>
      </c>
      <c r="W117">
        <f t="shared" si="21"/>
        <v>-0.76304000000000005</v>
      </c>
    </row>
    <row r="118" spans="1:23" x14ac:dyDescent="0.3">
      <c r="A118">
        <v>5.9314160000000005</v>
      </c>
      <c r="B118">
        <v>0.50004999999999999</v>
      </c>
      <c r="C118">
        <f t="shared" si="14"/>
        <v>2.9660045708</v>
      </c>
      <c r="D118">
        <v>1.6299999999999999E-2</v>
      </c>
      <c r="E118">
        <v>2.8849251857154604E-3</v>
      </c>
      <c r="F118">
        <f t="shared" si="15"/>
        <v>1186.2832000000001</v>
      </c>
      <c r="G118">
        <f t="shared" si="16"/>
        <v>-0.50004999999999999</v>
      </c>
      <c r="H118">
        <f t="shared" si="17"/>
        <v>-593.20091416000002</v>
      </c>
      <c r="I118">
        <v>1</v>
      </c>
      <c r="J118">
        <f t="shared" si="18"/>
        <v>0.17082505790547259</v>
      </c>
      <c r="K118">
        <f t="shared" si="19"/>
        <v>-0.67986057297601199</v>
      </c>
      <c r="L118">
        <v>1</v>
      </c>
      <c r="M118">
        <f t="shared" si="20"/>
        <v>0.52299461270997616</v>
      </c>
      <c r="N118">
        <f t="shared" si="24"/>
        <v>9.66820808E-2</v>
      </c>
      <c r="O118">
        <f t="shared" si="22"/>
        <v>1.7111691405355654E-2</v>
      </c>
      <c r="P118">
        <f t="shared" si="23"/>
        <v>4.307218806068018E-2</v>
      </c>
      <c r="V118">
        <v>5.4</v>
      </c>
      <c r="W118">
        <f t="shared" si="21"/>
        <v>-0.76771999999999996</v>
      </c>
    </row>
    <row r="119" spans="1:23" x14ac:dyDescent="0.3">
      <c r="A119">
        <v>5.9818251999999994</v>
      </c>
      <c r="B119">
        <v>0.49823000000000001</v>
      </c>
      <c r="C119">
        <f t="shared" si="14"/>
        <v>2.9803247693959998</v>
      </c>
      <c r="D119">
        <v>1.6299999999999999E-2</v>
      </c>
      <c r="E119">
        <v>2.8849251857154604E-3</v>
      </c>
      <c r="F119">
        <f t="shared" si="15"/>
        <v>1196.3650399999999</v>
      </c>
      <c r="G119">
        <f t="shared" si="16"/>
        <v>-0.49823000000000001</v>
      </c>
      <c r="H119">
        <f t="shared" si="17"/>
        <v>-596.06495387919995</v>
      </c>
      <c r="I119">
        <v>1</v>
      </c>
      <c r="J119">
        <f t="shared" si="18"/>
        <v>0.17928782635039187</v>
      </c>
      <c r="K119">
        <f t="shared" si="19"/>
        <v>-0.68168057297601203</v>
      </c>
      <c r="L119">
        <v>1</v>
      </c>
      <c r="M119">
        <f t="shared" si="20"/>
        <v>0.5233906702731983</v>
      </c>
      <c r="N119">
        <f t="shared" si="24"/>
        <v>9.750375075999998E-2</v>
      </c>
      <c r="O119">
        <f t="shared" si="22"/>
        <v>1.725711817602742E-2</v>
      </c>
      <c r="P119">
        <f t="shared" si="23"/>
        <v>4.3529033766786338E-2</v>
      </c>
      <c r="V119">
        <v>5.5</v>
      </c>
      <c r="W119">
        <f t="shared" si="21"/>
        <v>-0.77239999999999998</v>
      </c>
    </row>
    <row r="120" spans="1:23" x14ac:dyDescent="0.3">
      <c r="A120">
        <v>6.0327431999999996</v>
      </c>
      <c r="B120">
        <v>0.49631999999999998</v>
      </c>
      <c r="C120">
        <f t="shared" si="14"/>
        <v>2.9941711050239999</v>
      </c>
      <c r="D120">
        <v>1.6299999999999999E-2</v>
      </c>
      <c r="E120">
        <v>2.8849251857154604E-3</v>
      </c>
      <c r="F120">
        <f t="shared" si="15"/>
        <v>1206.54864</v>
      </c>
      <c r="G120">
        <f t="shared" si="16"/>
        <v>-0.49631999999999998</v>
      </c>
      <c r="H120">
        <f t="shared" si="17"/>
        <v>-598.83422100479993</v>
      </c>
      <c r="I120">
        <v>1</v>
      </c>
      <c r="J120">
        <f t="shared" si="18"/>
        <v>0.18776392023095315</v>
      </c>
      <c r="K120">
        <f t="shared" si="19"/>
        <v>-0.683590572976012</v>
      </c>
      <c r="L120">
        <v>1</v>
      </c>
      <c r="M120">
        <f t="shared" si="20"/>
        <v>0.52378735146680866</v>
      </c>
      <c r="N120">
        <f t="shared" si="24"/>
        <v>9.8333714159999988E-2</v>
      </c>
      <c r="O120">
        <f t="shared" si="22"/>
        <v>1.7404012796633679E-2</v>
      </c>
      <c r="P120">
        <f t="shared" si="23"/>
        <v>4.4065494552569674E-2</v>
      </c>
      <c r="V120">
        <v>5.6</v>
      </c>
      <c r="W120">
        <f t="shared" si="21"/>
        <v>-0.77707999999999999</v>
      </c>
    </row>
    <row r="121" spans="1:23" x14ac:dyDescent="0.3">
      <c r="A121">
        <v>6.0856982000000004</v>
      </c>
      <c r="B121">
        <v>0.49454999999999999</v>
      </c>
      <c r="C121">
        <f t="shared" si="14"/>
        <v>3.0096820448100003</v>
      </c>
      <c r="D121">
        <v>1.6299999999999999E-2</v>
      </c>
      <c r="E121">
        <v>2.8849251857154604E-3</v>
      </c>
      <c r="F121">
        <f t="shared" si="15"/>
        <v>1217.1396400000001</v>
      </c>
      <c r="G121">
        <f t="shared" si="16"/>
        <v>-0.49454999999999999</v>
      </c>
      <c r="H121">
        <f t="shared" si="17"/>
        <v>-601.93640896200009</v>
      </c>
      <c r="I121">
        <v>1</v>
      </c>
      <c r="J121">
        <f t="shared" si="18"/>
        <v>0.19650354858992963</v>
      </c>
      <c r="K121">
        <f t="shared" si="19"/>
        <v>-0.68536057297601194</v>
      </c>
      <c r="L121">
        <v>1</v>
      </c>
      <c r="M121">
        <f t="shared" si="20"/>
        <v>0.52419636607400877</v>
      </c>
      <c r="N121">
        <f t="shared" si="24"/>
        <v>9.919688066E-2</v>
      </c>
      <c r="O121">
        <f t="shared" si="22"/>
        <v>1.7556784009843243E-2</v>
      </c>
      <c r="P121">
        <f t="shared" si="23"/>
        <v>4.4410542232159927E-2</v>
      </c>
      <c r="V121">
        <v>5.7</v>
      </c>
      <c r="W121">
        <f t="shared" si="21"/>
        <v>-0.78176000000000001</v>
      </c>
    </row>
    <row r="122" spans="1:23" x14ac:dyDescent="0.3">
      <c r="A122">
        <v>6.1371259999999994</v>
      </c>
      <c r="B122">
        <v>0.49225999999999998</v>
      </c>
      <c r="C122">
        <f t="shared" si="14"/>
        <v>3.0210616447599996</v>
      </c>
      <c r="D122">
        <v>1.6299999999999999E-2</v>
      </c>
      <c r="E122">
        <v>2.8849251857154604E-3</v>
      </c>
      <c r="F122">
        <f t="shared" si="15"/>
        <v>1227.4251999999999</v>
      </c>
      <c r="G122">
        <f t="shared" si="16"/>
        <v>-0.49225999999999998</v>
      </c>
      <c r="H122">
        <f t="shared" si="17"/>
        <v>-604.21232895199989</v>
      </c>
      <c r="I122">
        <v>1</v>
      </c>
      <c r="J122">
        <f t="shared" si="18"/>
        <v>0.20491864196626861</v>
      </c>
      <c r="K122">
        <f t="shared" si="19"/>
        <v>-0.68765057297601206</v>
      </c>
      <c r="L122">
        <v>1</v>
      </c>
      <c r="M122">
        <f t="shared" si="20"/>
        <v>0.52459019244402139</v>
      </c>
      <c r="N122">
        <f t="shared" si="24"/>
        <v>0.10003515379999998</v>
      </c>
      <c r="O122">
        <f t="shared" si="22"/>
        <v>1.7705149365309179E-2</v>
      </c>
      <c r="P122">
        <f t="shared" si="23"/>
        <v>4.5320077366681519E-2</v>
      </c>
      <c r="V122">
        <v>5.8</v>
      </c>
      <c r="W122">
        <f t="shared" si="21"/>
        <v>-0.78644000000000003</v>
      </c>
    </row>
    <row r="123" spans="1:23" x14ac:dyDescent="0.3">
      <c r="A123">
        <v>6.1875346999999996</v>
      </c>
      <c r="B123">
        <v>0.49048000000000003</v>
      </c>
      <c r="C123">
        <f t="shared" si="14"/>
        <v>3.0348620196559999</v>
      </c>
      <c r="D123">
        <v>1.6299999999999999E-2</v>
      </c>
      <c r="E123">
        <v>2.8849251857154604E-3</v>
      </c>
      <c r="F123">
        <f t="shared" si="15"/>
        <v>1237.50694</v>
      </c>
      <c r="G123">
        <f t="shared" si="16"/>
        <v>-0.49048000000000003</v>
      </c>
      <c r="H123">
        <f t="shared" si="17"/>
        <v>-606.97240393120001</v>
      </c>
      <c r="I123">
        <v>1</v>
      </c>
      <c r="J123">
        <f t="shared" si="18"/>
        <v>0.21309882352579121</v>
      </c>
      <c r="K123">
        <f t="shared" si="19"/>
        <v>-0.68943057297601196</v>
      </c>
      <c r="L123">
        <v>1</v>
      </c>
      <c r="M123">
        <f t="shared" si="20"/>
        <v>0.52497302494100706</v>
      </c>
      <c r="N123">
        <f t="shared" si="24"/>
        <v>0.10085681560999998</v>
      </c>
      <c r="O123">
        <f t="shared" si="22"/>
        <v>1.7850574693518355E-2</v>
      </c>
      <c r="P123">
        <f t="shared" si="23"/>
        <v>4.5750157731486558E-2</v>
      </c>
      <c r="V123">
        <v>5.9</v>
      </c>
      <c r="W123">
        <f t="shared" si="21"/>
        <v>-0.79112000000000005</v>
      </c>
    </row>
    <row r="124" spans="1:23" x14ac:dyDescent="0.3">
      <c r="A124">
        <v>6.2379438</v>
      </c>
      <c r="B124">
        <v>0.48880000000000001</v>
      </c>
      <c r="C124">
        <f t="shared" si="14"/>
        <v>3.0491069294400002</v>
      </c>
      <c r="D124">
        <v>1.6299999999999999E-2</v>
      </c>
      <c r="E124">
        <v>2.8849251857154604E-3</v>
      </c>
      <c r="F124">
        <f t="shared" si="15"/>
        <v>1247.5887600000001</v>
      </c>
      <c r="G124">
        <f t="shared" si="16"/>
        <v>-0.48880000000000001</v>
      </c>
      <c r="H124">
        <f t="shared" si="17"/>
        <v>-609.82138588800001</v>
      </c>
      <c r="I124">
        <v>1</v>
      </c>
      <c r="J124">
        <f t="shared" si="18"/>
        <v>0.22121269641307545</v>
      </c>
      <c r="K124">
        <f t="shared" si="19"/>
        <v>-0.69111057297601197</v>
      </c>
      <c r="L124">
        <v>1</v>
      </c>
      <c r="M124">
        <f t="shared" si="20"/>
        <v>0.5253527541921319</v>
      </c>
      <c r="N124">
        <f t="shared" si="24"/>
        <v>0.10167848393999999</v>
      </c>
      <c r="O124">
        <f t="shared" si="22"/>
        <v>1.7996001175697603E-2</v>
      </c>
      <c r="P124">
        <f t="shared" si="23"/>
        <v>4.6083333668182472E-2</v>
      </c>
      <c r="V124">
        <v>6</v>
      </c>
      <c r="W124">
        <f t="shared" si="21"/>
        <v>-0.79580000000000006</v>
      </c>
    </row>
    <row r="125" spans="1:23" x14ac:dyDescent="0.3">
      <c r="A125">
        <v>6.2929350999999993</v>
      </c>
      <c r="B125">
        <v>0.48662</v>
      </c>
      <c r="C125">
        <f t="shared" si="14"/>
        <v>3.0622680783619995</v>
      </c>
      <c r="D125">
        <v>1.6299999999999999E-2</v>
      </c>
      <c r="E125">
        <v>2.8849251857154604E-3</v>
      </c>
      <c r="F125">
        <f t="shared" si="15"/>
        <v>1258.5870199999999</v>
      </c>
      <c r="G125">
        <f t="shared" si="16"/>
        <v>-0.48662</v>
      </c>
      <c r="H125">
        <f t="shared" si="17"/>
        <v>-612.45361567239991</v>
      </c>
      <c r="I125">
        <v>1</v>
      </c>
      <c r="J125">
        <f t="shared" si="18"/>
        <v>0.22998967901127446</v>
      </c>
      <c r="K125">
        <f t="shared" si="19"/>
        <v>-0.69329057297601193</v>
      </c>
      <c r="L125">
        <v>1</v>
      </c>
      <c r="M125">
        <f t="shared" si="20"/>
        <v>0.52576351697772761</v>
      </c>
      <c r="N125">
        <f t="shared" si="24"/>
        <v>0.10257484212999998</v>
      </c>
      <c r="O125">
        <f t="shared" si="22"/>
        <v>1.8154646962062836E-2</v>
      </c>
      <c r="P125">
        <f t="shared" si="23"/>
        <v>4.6797566906221506E-2</v>
      </c>
      <c r="V125">
        <v>6.1</v>
      </c>
      <c r="W125">
        <f t="shared" si="21"/>
        <v>-0.80048000000000008</v>
      </c>
    </row>
    <row r="126" spans="1:23" x14ac:dyDescent="0.3">
      <c r="A126">
        <v>6.3504735999999999</v>
      </c>
      <c r="B126">
        <v>0.48443000000000003</v>
      </c>
      <c r="C126">
        <f t="shared" si="14"/>
        <v>3.0763599260480001</v>
      </c>
      <c r="D126">
        <v>1.6299999999999999E-2</v>
      </c>
      <c r="E126">
        <v>2.8849251857154604E-3</v>
      </c>
      <c r="F126">
        <f t="shared" si="15"/>
        <v>1270.0947200000001</v>
      </c>
      <c r="G126">
        <f t="shared" si="16"/>
        <v>-0.48443000000000003</v>
      </c>
      <c r="H126">
        <f t="shared" si="17"/>
        <v>-615.27198520960007</v>
      </c>
      <c r="I126">
        <v>1</v>
      </c>
      <c r="J126">
        <f t="shared" si="18"/>
        <v>0.23909148036651579</v>
      </c>
      <c r="K126">
        <f t="shared" si="19"/>
        <v>-0.69548057297601196</v>
      </c>
      <c r="L126">
        <v>1</v>
      </c>
      <c r="M126">
        <f t="shared" si="20"/>
        <v>0.52618948128115295</v>
      </c>
      <c r="N126">
        <f t="shared" si="24"/>
        <v>0.10351271967999999</v>
      </c>
      <c r="O126">
        <f t="shared" si="22"/>
        <v>1.8320641229861129E-2</v>
      </c>
      <c r="P126">
        <f t="shared" si="23"/>
        <v>4.745773078499789E-2</v>
      </c>
      <c r="V126">
        <v>6.2</v>
      </c>
      <c r="W126">
        <f t="shared" si="21"/>
        <v>-0.8051600000000001</v>
      </c>
    </row>
    <row r="127" spans="1:23" x14ac:dyDescent="0.3">
      <c r="A127">
        <v>6.4034286999999992</v>
      </c>
      <c r="B127">
        <v>0.48242000000000002</v>
      </c>
      <c r="C127">
        <f t="shared" si="14"/>
        <v>3.0891420734539996</v>
      </c>
      <c r="D127">
        <v>1.6299999999999999E-2</v>
      </c>
      <c r="E127">
        <v>2.8849251857154604E-3</v>
      </c>
      <c r="F127">
        <f t="shared" si="15"/>
        <v>1280.6857399999999</v>
      </c>
      <c r="G127">
        <f t="shared" si="16"/>
        <v>-0.48242000000000002</v>
      </c>
      <c r="H127">
        <f t="shared" si="17"/>
        <v>-617.82841469079995</v>
      </c>
      <c r="I127">
        <v>1</v>
      </c>
      <c r="J127">
        <f t="shared" si="18"/>
        <v>0.24739566885209871</v>
      </c>
      <c r="K127">
        <f t="shared" si="19"/>
        <v>-0.69749057297601191</v>
      </c>
      <c r="L127">
        <v>1</v>
      </c>
      <c r="M127">
        <f t="shared" si="20"/>
        <v>0.52657811730227821</v>
      </c>
      <c r="N127">
        <f t="shared" si="24"/>
        <v>0.10437588780999998</v>
      </c>
      <c r="O127">
        <f t="shared" si="22"/>
        <v>1.8473412731563207E-2</v>
      </c>
      <c r="P127">
        <f t="shared" si="23"/>
        <v>4.8063155132170507E-2</v>
      </c>
      <c r="V127">
        <v>6.3</v>
      </c>
      <c r="W127">
        <f t="shared" si="21"/>
        <v>-0.80984</v>
      </c>
    </row>
    <row r="128" spans="1:23" x14ac:dyDescent="0.3">
      <c r="A128">
        <v>6.4558745000000002</v>
      </c>
      <c r="B128">
        <v>0.48042000000000001</v>
      </c>
      <c r="C128">
        <f t="shared" si="14"/>
        <v>3.1015312272900002</v>
      </c>
      <c r="D128">
        <v>1.6299999999999999E-2</v>
      </c>
      <c r="E128">
        <v>2.8849251857154604E-3</v>
      </c>
      <c r="F128">
        <f t="shared" si="15"/>
        <v>1291.1749</v>
      </c>
      <c r="G128">
        <f t="shared" si="16"/>
        <v>-0.48042000000000001</v>
      </c>
      <c r="H128">
        <f t="shared" si="17"/>
        <v>-620.30624545800003</v>
      </c>
      <c r="I128">
        <v>1</v>
      </c>
      <c r="J128">
        <f t="shared" si="18"/>
        <v>0.25555257906331325</v>
      </c>
      <c r="K128">
        <f t="shared" si="19"/>
        <v>-0.69949057297601192</v>
      </c>
      <c r="L128">
        <v>1</v>
      </c>
      <c r="M128">
        <f t="shared" si="20"/>
        <v>0.5269598607001631</v>
      </c>
      <c r="N128">
        <f t="shared" si="24"/>
        <v>0.10523075435</v>
      </c>
      <c r="O128">
        <f t="shared" si="22"/>
        <v>1.8624714940868207E-2</v>
      </c>
      <c r="P128">
        <f t="shared" si="23"/>
        <v>4.8675242984980618E-2</v>
      </c>
      <c r="V128">
        <v>6.4</v>
      </c>
      <c r="W128">
        <f t="shared" si="21"/>
        <v>-0.81452000000000002</v>
      </c>
    </row>
    <row r="129" spans="1:23" x14ac:dyDescent="0.3">
      <c r="A129">
        <v>6.5062837</v>
      </c>
      <c r="B129">
        <v>0.47843000000000002</v>
      </c>
      <c r="C129">
        <f t="shared" si="14"/>
        <v>3.1128013105910002</v>
      </c>
      <c r="D129">
        <v>1.6299999999999999E-2</v>
      </c>
      <c r="E129">
        <v>2.8849251857154604E-3</v>
      </c>
      <c r="F129">
        <f t="shared" si="15"/>
        <v>1301.25674</v>
      </c>
      <c r="G129">
        <f t="shared" si="16"/>
        <v>-0.47843000000000002</v>
      </c>
      <c r="H129">
        <f t="shared" si="17"/>
        <v>-622.56026211820006</v>
      </c>
      <c r="I129">
        <v>1</v>
      </c>
      <c r="J129">
        <f t="shared" si="18"/>
        <v>0.2633305205685938</v>
      </c>
      <c r="K129">
        <f t="shared" si="19"/>
        <v>-0.70148057297601196</v>
      </c>
      <c r="L129">
        <v>1</v>
      </c>
      <c r="M129">
        <f t="shared" si="20"/>
        <v>0.52732386836261025</v>
      </c>
      <c r="N129">
        <f t="shared" si="24"/>
        <v>0.10605242430999999</v>
      </c>
      <c r="O129">
        <f t="shared" si="22"/>
        <v>1.8770141711539973E-2</v>
      </c>
      <c r="P129">
        <f t="shared" si="23"/>
        <v>4.9334138591861754E-2</v>
      </c>
      <c r="V129">
        <v>6.5</v>
      </c>
      <c r="W129">
        <f t="shared" si="21"/>
        <v>-0.81920000000000004</v>
      </c>
    </row>
    <row r="130" spans="1:23" x14ac:dyDescent="0.3">
      <c r="A130">
        <v>6.5628031999999994</v>
      </c>
      <c r="B130">
        <v>0.47641</v>
      </c>
      <c r="C130">
        <f t="shared" si="14"/>
        <v>3.1265850725119999</v>
      </c>
      <c r="D130">
        <v>1.6299999999999999E-2</v>
      </c>
      <c r="E130">
        <v>2.8849251857154604E-3</v>
      </c>
      <c r="F130">
        <f t="shared" si="15"/>
        <v>1312.5606399999999</v>
      </c>
      <c r="G130">
        <f t="shared" si="16"/>
        <v>-0.47641</v>
      </c>
      <c r="H130">
        <f t="shared" si="17"/>
        <v>-625.31701450239996</v>
      </c>
      <c r="I130">
        <v>1</v>
      </c>
      <c r="J130">
        <f t="shared" si="18"/>
        <v>0.27197991632112839</v>
      </c>
      <c r="K130">
        <f t="shared" si="19"/>
        <v>-0.70350057297601198</v>
      </c>
      <c r="L130">
        <v>1</v>
      </c>
      <c r="M130">
        <f t="shared" si="20"/>
        <v>0.52772866008382879</v>
      </c>
      <c r="N130">
        <f t="shared" si="24"/>
        <v>0.10697369215999998</v>
      </c>
      <c r="O130">
        <f t="shared" si="22"/>
        <v>1.8933196240574015E-2</v>
      </c>
      <c r="P130">
        <f t="shared" si="23"/>
        <v>4.9865024491609192E-2</v>
      </c>
      <c r="V130">
        <v>6.6</v>
      </c>
      <c r="W130">
        <f t="shared" si="21"/>
        <v>-0.82387999999999995</v>
      </c>
    </row>
    <row r="131" spans="1:23" x14ac:dyDescent="0.3">
      <c r="A131">
        <v>6.6132118999999996</v>
      </c>
      <c r="B131">
        <v>0.47437000000000001</v>
      </c>
      <c r="C131">
        <f t="shared" si="14"/>
        <v>3.1371093290030001</v>
      </c>
      <c r="D131">
        <v>1.6299999999999999E-2</v>
      </c>
      <c r="E131">
        <v>2.8849251857154604E-3</v>
      </c>
      <c r="F131">
        <f t="shared" si="15"/>
        <v>1322.64238</v>
      </c>
      <c r="G131">
        <f t="shared" si="16"/>
        <v>-0.47437000000000001</v>
      </c>
      <c r="H131">
        <f t="shared" si="17"/>
        <v>-627.42186580060002</v>
      </c>
      <c r="I131">
        <v>1</v>
      </c>
      <c r="J131">
        <f t="shared" si="18"/>
        <v>0.27963153869077373</v>
      </c>
      <c r="K131">
        <f t="shared" si="19"/>
        <v>-0.70554057297601203</v>
      </c>
      <c r="L131">
        <v>1</v>
      </c>
      <c r="M131">
        <f t="shared" si="20"/>
        <v>0.52808675601072819</v>
      </c>
      <c r="N131">
        <f t="shared" si="24"/>
        <v>0.10779535396999998</v>
      </c>
      <c r="O131">
        <f t="shared" si="22"/>
        <v>1.9078621568783191E-2</v>
      </c>
      <c r="P131">
        <f t="shared" si="23"/>
        <v>5.0579841426500668E-2</v>
      </c>
      <c r="V131">
        <v>6.7</v>
      </c>
      <c r="W131">
        <f t="shared" si="21"/>
        <v>-0.82855999999999996</v>
      </c>
    </row>
    <row r="132" spans="1:23" x14ac:dyDescent="0.3">
      <c r="A132">
        <v>6.6646391999999999</v>
      </c>
      <c r="B132">
        <v>0.47250999999999999</v>
      </c>
      <c r="C132">
        <f t="shared" si="14"/>
        <v>3.149108668392</v>
      </c>
      <c r="D132">
        <v>1.6299999999999999E-2</v>
      </c>
      <c r="E132">
        <v>2.8849251857154604E-3</v>
      </c>
      <c r="F132">
        <f t="shared" si="15"/>
        <v>1332.9278400000001</v>
      </c>
      <c r="G132">
        <f t="shared" si="16"/>
        <v>-0.47250999999999999</v>
      </c>
      <c r="H132">
        <f t="shared" si="17"/>
        <v>-629.82173367840005</v>
      </c>
      <c r="I132">
        <v>1</v>
      </c>
      <c r="J132">
        <f t="shared" si="18"/>
        <v>0.28737790619791564</v>
      </c>
      <c r="K132">
        <f t="shared" si="19"/>
        <v>-0.707400572976012</v>
      </c>
      <c r="L132">
        <v>1</v>
      </c>
      <c r="M132">
        <f t="shared" si="20"/>
        <v>0.52844928601006247</v>
      </c>
      <c r="N132">
        <f t="shared" si="24"/>
        <v>0.10863361895999998</v>
      </c>
      <c r="O132">
        <f t="shared" si="22"/>
        <v>1.9226985481786536E-2</v>
      </c>
      <c r="P132">
        <f t="shared" si="23"/>
        <v>5.109068252416301E-2</v>
      </c>
      <c r="V132">
        <v>6.8</v>
      </c>
      <c r="W132">
        <f t="shared" si="21"/>
        <v>-0.83323999999999998</v>
      </c>
    </row>
    <row r="133" spans="1:23" x14ac:dyDescent="0.3">
      <c r="A133">
        <v>6.7155575999999995</v>
      </c>
      <c r="B133">
        <v>0.47061999999999998</v>
      </c>
      <c r="C133">
        <f t="shared" ref="C133:C196" si="25">A133*B133</f>
        <v>3.1604757177119995</v>
      </c>
      <c r="D133">
        <v>1.6299999999999999E-2</v>
      </c>
      <c r="E133">
        <v>2.8849251857154604E-3</v>
      </c>
      <c r="F133">
        <f t="shared" ref="F133:F196" si="26">A133*200</f>
        <v>1343.1115199999999</v>
      </c>
      <c r="G133">
        <f t="shared" ref="G133:G144" si="27">-B133</f>
        <v>-0.47061999999999998</v>
      </c>
      <c r="H133">
        <f t="shared" ref="H133:H196" si="28">-C133*200</f>
        <v>-632.09514354239991</v>
      </c>
      <c r="I133">
        <v>1</v>
      </c>
      <c r="J133">
        <f t="shared" ref="J133:J196" si="29">LN(F133/1000)</f>
        <v>0.29498895206832221</v>
      </c>
      <c r="K133">
        <f t="shared" ref="K133:K187" si="30">((-G133)-$N$2)</f>
        <v>-0.70929057297601195</v>
      </c>
      <c r="L133">
        <v>1</v>
      </c>
      <c r="M133">
        <f t="shared" ref="M133:M196" si="31">-1*($S$4+($S$5*J133))</f>
        <v>0.52880548295679752</v>
      </c>
      <c r="N133">
        <f t="shared" si="24"/>
        <v>0.10946358887999998</v>
      </c>
      <c r="O133">
        <f t="shared" si="22"/>
        <v>1.9373881256362871E-2</v>
      </c>
      <c r="P133">
        <f t="shared" si="23"/>
        <v>5.1647619882851575E-2</v>
      </c>
      <c r="V133">
        <v>6.9</v>
      </c>
      <c r="W133">
        <f t="shared" ref="W133:W139" si="32">V133*$S$5+$S$4</f>
        <v>-0.83792</v>
      </c>
    </row>
    <row r="134" spans="1:23" x14ac:dyDescent="0.3">
      <c r="A134">
        <v>6.7664755999999997</v>
      </c>
      <c r="B134">
        <v>0.46870000000000001</v>
      </c>
      <c r="C134">
        <f t="shared" si="25"/>
        <v>3.1714471137199998</v>
      </c>
      <c r="D134">
        <v>1.6299999999999999E-2</v>
      </c>
      <c r="E134">
        <v>2.8849251857154604E-3</v>
      </c>
      <c r="F134">
        <f t="shared" si="26"/>
        <v>1353.29512</v>
      </c>
      <c r="G134">
        <f t="shared" si="27"/>
        <v>-0.46870000000000001</v>
      </c>
      <c r="H134">
        <f t="shared" si="28"/>
        <v>-634.28942274399992</v>
      </c>
      <c r="I134">
        <v>1</v>
      </c>
      <c r="J134">
        <f t="shared" si="29"/>
        <v>0.30254244809367353</v>
      </c>
      <c r="K134">
        <f t="shared" si="30"/>
        <v>-0.71121057297601198</v>
      </c>
      <c r="L134">
        <v>1</v>
      </c>
      <c r="M134">
        <f t="shared" si="31"/>
        <v>0.52915898657078397</v>
      </c>
      <c r="N134">
        <f t="shared" si="24"/>
        <v>0.11029355227999998</v>
      </c>
      <c r="O134">
        <f t="shared" ref="O134:O144" si="33">E134*A134</f>
        <v>1.952077587696913E-2</v>
      </c>
      <c r="P134">
        <f t="shared" ref="P134:P144" si="34">-K134-M134-N134-O134</f>
        <v>5.2237258248258894E-2</v>
      </c>
      <c r="V134">
        <v>7</v>
      </c>
      <c r="W134">
        <f t="shared" si="32"/>
        <v>-0.84260000000000002</v>
      </c>
    </row>
    <row r="135" spans="1:23" x14ac:dyDescent="0.3">
      <c r="A135">
        <v>6.8184126000000003</v>
      </c>
      <c r="B135">
        <v>0.46683999999999998</v>
      </c>
      <c r="C135">
        <f t="shared" si="25"/>
        <v>3.1831077381839998</v>
      </c>
      <c r="D135">
        <v>1.6299999999999999E-2</v>
      </c>
      <c r="E135">
        <v>2.8849251857154604E-3</v>
      </c>
      <c r="F135">
        <f t="shared" si="26"/>
        <v>1363.6825200000001</v>
      </c>
      <c r="G135">
        <f t="shared" si="27"/>
        <v>-0.46683999999999998</v>
      </c>
      <c r="H135">
        <f t="shared" si="28"/>
        <v>-636.62154763679996</v>
      </c>
      <c r="I135">
        <v>1</v>
      </c>
      <c r="J135">
        <f t="shared" si="29"/>
        <v>0.31018877573100889</v>
      </c>
      <c r="K135">
        <f t="shared" si="30"/>
        <v>-0.71307057297601206</v>
      </c>
      <c r="L135">
        <v>1</v>
      </c>
      <c r="M135">
        <f t="shared" si="31"/>
        <v>0.52951683470421118</v>
      </c>
      <c r="N135">
        <f t="shared" ref="N135:N144" si="35">D135*A135</f>
        <v>0.11114012538</v>
      </c>
      <c r="O135">
        <f t="shared" si="33"/>
        <v>1.9670610236339637E-2</v>
      </c>
      <c r="P135">
        <f t="shared" si="34"/>
        <v>5.2743002655461252E-2</v>
      </c>
      <c r="V135">
        <v>7.1</v>
      </c>
      <c r="W135">
        <f t="shared" si="32"/>
        <v>-0.84728000000000003</v>
      </c>
    </row>
    <row r="136" spans="1:23" x14ac:dyDescent="0.3">
      <c r="A136">
        <v>6.8708588999999991</v>
      </c>
      <c r="B136">
        <v>0.46459</v>
      </c>
      <c r="C136">
        <f t="shared" si="25"/>
        <v>3.1921323363509995</v>
      </c>
      <c r="D136">
        <v>1.6299999999999999E-2</v>
      </c>
      <c r="E136">
        <v>2.8849251857154604E-3</v>
      </c>
      <c r="F136">
        <f t="shared" si="26"/>
        <v>1374.1717799999999</v>
      </c>
      <c r="G136">
        <f t="shared" si="27"/>
        <v>-0.46459</v>
      </c>
      <c r="H136">
        <f t="shared" si="28"/>
        <v>-638.42646727019985</v>
      </c>
      <c r="I136">
        <v>1</v>
      </c>
      <c r="J136">
        <f t="shared" si="29"/>
        <v>0.31785120781964055</v>
      </c>
      <c r="K136">
        <f t="shared" si="30"/>
        <v>-0.71532057297601193</v>
      </c>
      <c r="L136">
        <v>1</v>
      </c>
      <c r="M136">
        <f t="shared" si="31"/>
        <v>0.52987543652595914</v>
      </c>
      <c r="N136">
        <f t="shared" si="35"/>
        <v>0.11199500006999998</v>
      </c>
      <c r="O136">
        <f t="shared" si="33"/>
        <v>1.982191388810722E-2</v>
      </c>
      <c r="P136">
        <f t="shared" si="34"/>
        <v>5.3628222491945585E-2</v>
      </c>
      <c r="V136">
        <v>7.2</v>
      </c>
      <c r="W136">
        <f t="shared" si="32"/>
        <v>-0.85196000000000005</v>
      </c>
    </row>
    <row r="137" spans="1:23" x14ac:dyDescent="0.3">
      <c r="A137">
        <v>6.9222856000000004</v>
      </c>
      <c r="B137">
        <v>0.46276</v>
      </c>
      <c r="C137">
        <f t="shared" si="25"/>
        <v>3.2033568842560003</v>
      </c>
      <c r="D137">
        <v>1.6299999999999999E-2</v>
      </c>
      <c r="E137">
        <v>2.8849251857154604E-3</v>
      </c>
      <c r="F137">
        <f t="shared" si="26"/>
        <v>1384.45712</v>
      </c>
      <c r="G137">
        <f t="shared" si="27"/>
        <v>-0.46276</v>
      </c>
      <c r="H137">
        <f t="shared" si="28"/>
        <v>-640.67137685120008</v>
      </c>
      <c r="I137">
        <v>1</v>
      </c>
      <c r="J137">
        <f t="shared" si="29"/>
        <v>0.32530809167940888</v>
      </c>
      <c r="K137">
        <f t="shared" si="30"/>
        <v>-0.71715057297601192</v>
      </c>
      <c r="L137">
        <v>1</v>
      </c>
      <c r="M137">
        <f t="shared" si="31"/>
        <v>0.53022441869059633</v>
      </c>
      <c r="N137">
        <f t="shared" si="35"/>
        <v>0.11283325528</v>
      </c>
      <c r="O137">
        <f t="shared" si="33"/>
        <v>1.9970276070155456E-2</v>
      </c>
      <c r="P137">
        <f t="shared" si="34"/>
        <v>5.4122622935260128E-2</v>
      </c>
      <c r="V137">
        <v>7.3</v>
      </c>
      <c r="W137">
        <f t="shared" si="32"/>
        <v>-0.85664000000000007</v>
      </c>
    </row>
    <row r="138" spans="1:23" x14ac:dyDescent="0.3">
      <c r="A138">
        <v>6.9726953000000007</v>
      </c>
      <c r="B138">
        <v>0.46089000000000002</v>
      </c>
      <c r="C138">
        <f t="shared" si="25"/>
        <v>3.2136455368170003</v>
      </c>
      <c r="D138">
        <v>1.6299999999999999E-2</v>
      </c>
      <c r="E138">
        <v>2.8849251857154604E-3</v>
      </c>
      <c r="F138">
        <f t="shared" si="26"/>
        <v>1394.5390600000001</v>
      </c>
      <c r="G138">
        <f t="shared" si="27"/>
        <v>-0.46089000000000002</v>
      </c>
      <c r="H138">
        <f t="shared" si="28"/>
        <v>-642.72910736340009</v>
      </c>
      <c r="I138">
        <v>1</v>
      </c>
      <c r="J138">
        <f t="shared" si="29"/>
        <v>0.33256393773257348</v>
      </c>
      <c r="K138">
        <f t="shared" si="30"/>
        <v>-0.71902057297601196</v>
      </c>
      <c r="L138">
        <v>1</v>
      </c>
      <c r="M138">
        <f t="shared" si="31"/>
        <v>0.53056399228588447</v>
      </c>
      <c r="N138">
        <f t="shared" si="35"/>
        <v>0.11365493339</v>
      </c>
      <c r="O138">
        <f t="shared" si="33"/>
        <v>2.011570428328982E-2</v>
      </c>
      <c r="P138">
        <f t="shared" si="34"/>
        <v>5.4685943016837671E-2</v>
      </c>
      <c r="V138">
        <v>7.4</v>
      </c>
      <c r="W138">
        <f t="shared" si="32"/>
        <v>-0.86132000000000009</v>
      </c>
    </row>
    <row r="139" spans="1:23" x14ac:dyDescent="0.3">
      <c r="A139">
        <v>7.0241234999999991</v>
      </c>
      <c r="B139">
        <v>0.45909</v>
      </c>
      <c r="C139">
        <f t="shared" si="25"/>
        <v>3.2247048576149995</v>
      </c>
      <c r="D139">
        <v>1.6299999999999999E-2</v>
      </c>
      <c r="E139">
        <v>2.8849251857154604E-3</v>
      </c>
      <c r="F139">
        <f t="shared" si="26"/>
        <v>1404.8246999999999</v>
      </c>
      <c r="G139">
        <f t="shared" si="27"/>
        <v>-0.45909</v>
      </c>
      <c r="H139">
        <f t="shared" si="28"/>
        <v>-644.94097152299992</v>
      </c>
      <c r="I139">
        <v>1</v>
      </c>
      <c r="J139">
        <f t="shared" si="29"/>
        <v>0.33991252631817526</v>
      </c>
      <c r="K139">
        <f t="shared" si="30"/>
        <v>-0.72082057297601199</v>
      </c>
      <c r="L139">
        <v>1</v>
      </c>
      <c r="M139">
        <f t="shared" si="31"/>
        <v>0.5309079062316906</v>
      </c>
      <c r="N139">
        <f t="shared" si="35"/>
        <v>0.11449321304999997</v>
      </c>
      <c r="O139">
        <f t="shared" si="33"/>
        <v>2.0264070792725828E-2</v>
      </c>
      <c r="P139">
        <f t="shared" si="34"/>
        <v>5.5155382901595593E-2</v>
      </c>
      <c r="V139">
        <v>7.5</v>
      </c>
      <c r="W139">
        <f t="shared" si="32"/>
        <v>-0.8660000000000001</v>
      </c>
    </row>
    <row r="140" spans="1:23" x14ac:dyDescent="0.3">
      <c r="A140">
        <v>7.0760600999999994</v>
      </c>
      <c r="B140">
        <v>0.45696999999999999</v>
      </c>
      <c r="C140">
        <f t="shared" si="25"/>
        <v>3.2335471838969996</v>
      </c>
      <c r="D140">
        <v>1.6299999999999999E-2</v>
      </c>
      <c r="E140">
        <v>2.8849251857154604E-3</v>
      </c>
      <c r="F140">
        <f t="shared" si="26"/>
        <v>1415.2120199999999</v>
      </c>
      <c r="G140">
        <f t="shared" si="27"/>
        <v>-0.45696999999999999</v>
      </c>
      <c r="H140">
        <f t="shared" si="28"/>
        <v>-646.70943677939988</v>
      </c>
      <c r="I140">
        <v>1</v>
      </c>
      <c r="J140">
        <f t="shared" si="29"/>
        <v>0.34727935732652099</v>
      </c>
      <c r="K140">
        <f t="shared" si="30"/>
        <v>-0.722940572976012</v>
      </c>
      <c r="L140">
        <v>1</v>
      </c>
      <c r="M140">
        <f t="shared" si="31"/>
        <v>0.53125267392288122</v>
      </c>
      <c r="N140">
        <f t="shared" si="35"/>
        <v>0.11533977962999999</v>
      </c>
      <c r="O140">
        <f t="shared" si="33"/>
        <v>2.0413903998126256E-2</v>
      </c>
      <c r="P140">
        <f t="shared" si="34"/>
        <v>5.5934215425004527E-2</v>
      </c>
    </row>
    <row r="141" spans="1:23" x14ac:dyDescent="0.3">
      <c r="A141">
        <v>7.1285053999999999</v>
      </c>
      <c r="B141">
        <v>0.45495000000000002</v>
      </c>
      <c r="C141">
        <f t="shared" si="25"/>
        <v>3.2431135317300002</v>
      </c>
      <c r="D141">
        <v>1.6299999999999999E-2</v>
      </c>
      <c r="E141">
        <v>2.8849251857154604E-3</v>
      </c>
      <c r="F141">
        <f t="shared" si="26"/>
        <v>1425.70108</v>
      </c>
      <c r="G141">
        <f t="shared" si="27"/>
        <v>-0.45495000000000002</v>
      </c>
      <c r="H141">
        <f t="shared" si="28"/>
        <v>-648.62270634600009</v>
      </c>
      <c r="I141">
        <v>1</v>
      </c>
      <c r="J141">
        <f t="shared" si="29"/>
        <v>0.35466367870011178</v>
      </c>
      <c r="K141">
        <f t="shared" si="30"/>
        <v>-0.72496057297601202</v>
      </c>
      <c r="L141">
        <v>1</v>
      </c>
      <c r="M141">
        <f t="shared" si="31"/>
        <v>0.53159826016316525</v>
      </c>
      <c r="N141">
        <f t="shared" si="35"/>
        <v>0.11619463801999999</v>
      </c>
      <c r="O141">
        <f t="shared" si="33"/>
        <v>2.0565204764968661E-2</v>
      </c>
      <c r="P141">
        <f t="shared" si="34"/>
        <v>5.6602470027878118E-2</v>
      </c>
    </row>
    <row r="142" spans="1:23" x14ac:dyDescent="0.3">
      <c r="A142">
        <v>7.1794237999999995</v>
      </c>
      <c r="B142">
        <v>0.45312000000000002</v>
      </c>
      <c r="C142">
        <f t="shared" si="25"/>
        <v>3.253140512256</v>
      </c>
      <c r="D142">
        <v>1.6299999999999999E-2</v>
      </c>
      <c r="E142">
        <v>2.8849251857154604E-3</v>
      </c>
      <c r="F142">
        <f t="shared" si="26"/>
        <v>1435.8847599999999</v>
      </c>
      <c r="G142">
        <f t="shared" si="27"/>
        <v>-0.45312000000000002</v>
      </c>
      <c r="H142">
        <f t="shared" si="28"/>
        <v>-650.62810245119999</v>
      </c>
      <c r="I142">
        <v>1</v>
      </c>
      <c r="J142">
        <f t="shared" si="29"/>
        <v>0.36178121670939417</v>
      </c>
      <c r="K142">
        <f t="shared" si="30"/>
        <v>-0.72679057297601202</v>
      </c>
      <c r="L142">
        <v>1</v>
      </c>
      <c r="M142">
        <f t="shared" si="31"/>
        <v>0.53193136094199966</v>
      </c>
      <c r="N142">
        <f t="shared" si="35"/>
        <v>0.11702460793999998</v>
      </c>
      <c r="O142">
        <f t="shared" si="33"/>
        <v>2.0712100539544996E-2</v>
      </c>
      <c r="P142">
        <f t="shared" si="34"/>
        <v>5.7122503554467373E-2</v>
      </c>
    </row>
    <row r="143" spans="1:23" x14ac:dyDescent="0.3">
      <c r="A143">
        <v>7.2308506000000001</v>
      </c>
      <c r="B143">
        <v>0.45112999999999998</v>
      </c>
      <c r="C143">
        <f t="shared" si="25"/>
        <v>3.262053631178</v>
      </c>
      <c r="D143">
        <v>1.6299999999999999E-2</v>
      </c>
      <c r="E143">
        <v>2.8849251857154604E-3</v>
      </c>
      <c r="F143">
        <f t="shared" si="26"/>
        <v>1446.17012</v>
      </c>
      <c r="G143">
        <f t="shared" si="27"/>
        <v>-0.45112999999999998</v>
      </c>
      <c r="H143">
        <f t="shared" si="28"/>
        <v>-652.41072623560001</v>
      </c>
      <c r="I143">
        <v>1</v>
      </c>
      <c r="J143">
        <f t="shared" si="29"/>
        <v>0.36891876550253938</v>
      </c>
      <c r="K143">
        <f t="shared" si="30"/>
        <v>-0.72878057297601195</v>
      </c>
      <c r="L143">
        <v>1</v>
      </c>
      <c r="M143">
        <f t="shared" si="31"/>
        <v>0.53226539822551888</v>
      </c>
      <c r="N143">
        <f t="shared" si="35"/>
        <v>0.11786286477999999</v>
      </c>
      <c r="O143">
        <f t="shared" si="33"/>
        <v>2.0860463010085747E-2</v>
      </c>
      <c r="P143">
        <f t="shared" si="34"/>
        <v>5.7791846960407331E-2</v>
      </c>
    </row>
    <row r="144" spans="1:23" x14ac:dyDescent="0.3">
      <c r="A144">
        <v>7.2827876000000007</v>
      </c>
      <c r="B144">
        <v>0.44916</v>
      </c>
      <c r="C144">
        <f t="shared" si="25"/>
        <v>3.2711368784160002</v>
      </c>
      <c r="D144">
        <v>1.6299999999999999E-2</v>
      </c>
      <c r="E144">
        <v>2.8849251857154604E-3</v>
      </c>
      <c r="F144">
        <f t="shared" si="26"/>
        <v>1456.5575200000001</v>
      </c>
      <c r="G144">
        <f t="shared" si="27"/>
        <v>-0.44916</v>
      </c>
      <c r="H144">
        <f t="shared" si="28"/>
        <v>-654.22737568320008</v>
      </c>
      <c r="I144">
        <v>1</v>
      </c>
      <c r="J144">
        <f t="shared" si="29"/>
        <v>0.37607578857028184</v>
      </c>
      <c r="K144">
        <f t="shared" si="30"/>
        <v>-0.73075057297601198</v>
      </c>
      <c r="L144">
        <v>1</v>
      </c>
      <c r="M144">
        <f t="shared" si="31"/>
        <v>0.53260034690508917</v>
      </c>
      <c r="N144">
        <f t="shared" si="35"/>
        <v>0.11870943788</v>
      </c>
      <c r="O144">
        <f t="shared" si="33"/>
        <v>2.1010297369456254E-2</v>
      </c>
      <c r="P144">
        <f t="shared" si="34"/>
        <v>5.8430490821466549E-2</v>
      </c>
    </row>
    <row r="145" spans="1:16" x14ac:dyDescent="0.3">
      <c r="A145">
        <v>7.3357431999999996</v>
      </c>
      <c r="B145">
        <v>0.44735000000000003</v>
      </c>
      <c r="C145">
        <f t="shared" si="25"/>
        <v>3.2816447205200001</v>
      </c>
      <c r="D145">
        <v>1.6299999999999999E-2</v>
      </c>
      <c r="E145">
        <v>2.8849251857154604E-3</v>
      </c>
      <c r="F145">
        <f t="shared" si="26"/>
        <v>1467.1486399999999</v>
      </c>
      <c r="G145">
        <f t="shared" ref="G145:G187" si="36">-B145</f>
        <v>-0.44735000000000003</v>
      </c>
      <c r="H145">
        <f t="shared" si="28"/>
        <v>-656.32894410400002</v>
      </c>
      <c r="I145">
        <v>1</v>
      </c>
      <c r="J145">
        <f t="shared" si="29"/>
        <v>0.38332081645479532</v>
      </c>
      <c r="K145">
        <f t="shared" si="30"/>
        <v>-0.73256057297601196</v>
      </c>
      <c r="L145">
        <v>1</v>
      </c>
      <c r="M145">
        <f t="shared" si="31"/>
        <v>0.53293941421008439</v>
      </c>
      <c r="N145">
        <f t="shared" ref="N145:N187" si="37">D145*A145</f>
        <v>0.11957261415999998</v>
      </c>
      <c r="O145">
        <f t="shared" ref="O145:O187" si="38">E145*A145</f>
        <v>2.1163070313620923E-2</v>
      </c>
      <c r="P145">
        <f t="shared" ref="P145:P187" si="39">-K145-M145-N145-O145</f>
        <v>5.8885474292306658E-2</v>
      </c>
    </row>
    <row r="146" spans="1:16" x14ac:dyDescent="0.3">
      <c r="A146">
        <v>7.3861523</v>
      </c>
      <c r="B146">
        <v>0.44520999999999999</v>
      </c>
      <c r="C146">
        <f t="shared" si="25"/>
        <v>3.2883888654829998</v>
      </c>
      <c r="D146">
        <v>1.6299999999999999E-2</v>
      </c>
      <c r="E146">
        <v>2.8849251857154604E-3</v>
      </c>
      <c r="F146">
        <f t="shared" si="26"/>
        <v>1477.23046</v>
      </c>
      <c r="G146">
        <f t="shared" si="36"/>
        <v>-0.44520999999999999</v>
      </c>
      <c r="H146">
        <f t="shared" si="28"/>
        <v>-657.67777309659994</v>
      </c>
      <c r="I146">
        <v>1</v>
      </c>
      <c r="J146">
        <f t="shared" si="29"/>
        <v>0.39016902387574592</v>
      </c>
      <c r="K146">
        <f t="shared" si="30"/>
        <v>-0.73470057297601199</v>
      </c>
      <c r="L146">
        <v>1</v>
      </c>
      <c r="M146">
        <f t="shared" si="31"/>
        <v>0.53325991031738496</v>
      </c>
      <c r="N146">
        <f t="shared" si="37"/>
        <v>0.12039428248999999</v>
      </c>
      <c r="O146">
        <f t="shared" si="38"/>
        <v>2.1308496795800175E-2</v>
      </c>
      <c r="P146">
        <f t="shared" si="39"/>
        <v>5.9737883372826872E-2</v>
      </c>
    </row>
    <row r="147" spans="1:16" x14ac:dyDescent="0.3">
      <c r="A147">
        <v>7.4380889000000003</v>
      </c>
      <c r="B147">
        <v>0.44355</v>
      </c>
      <c r="C147">
        <f t="shared" si="25"/>
        <v>3.2991643315950001</v>
      </c>
      <c r="D147">
        <v>1.6299999999999999E-2</v>
      </c>
      <c r="E147">
        <v>2.8849251857154604E-3</v>
      </c>
      <c r="F147">
        <f t="shared" si="26"/>
        <v>1487.61778</v>
      </c>
      <c r="G147">
        <f t="shared" si="36"/>
        <v>-0.44355</v>
      </c>
      <c r="H147">
        <f t="shared" si="28"/>
        <v>-659.832866319</v>
      </c>
      <c r="I147">
        <v>1</v>
      </c>
      <c r="J147">
        <f t="shared" si="29"/>
        <v>0.3971760351350232</v>
      </c>
      <c r="K147">
        <f t="shared" si="30"/>
        <v>-0.73636057297601198</v>
      </c>
      <c r="L147">
        <v>1</v>
      </c>
      <c r="M147">
        <f t="shared" si="31"/>
        <v>0.53358783844431912</v>
      </c>
      <c r="N147">
        <f t="shared" si="37"/>
        <v>0.12124084906999999</v>
      </c>
      <c r="O147">
        <f t="shared" si="38"/>
        <v>2.1458330001200607E-2</v>
      </c>
      <c r="P147">
        <f t="shared" si="39"/>
        <v>6.007355546049227E-2</v>
      </c>
    </row>
    <row r="148" spans="1:16" x14ac:dyDescent="0.3">
      <c r="A148">
        <v>7.4900259000000009</v>
      </c>
      <c r="B148">
        <v>0.44141000000000002</v>
      </c>
      <c r="C148">
        <f t="shared" si="25"/>
        <v>3.3061723325190004</v>
      </c>
      <c r="D148">
        <v>1.6299999999999999E-2</v>
      </c>
      <c r="E148">
        <v>2.8849251857154604E-3</v>
      </c>
      <c r="F148">
        <f t="shared" si="26"/>
        <v>1498.0051800000001</v>
      </c>
      <c r="G148">
        <f t="shared" si="36"/>
        <v>-0.44141000000000002</v>
      </c>
      <c r="H148">
        <f t="shared" si="28"/>
        <v>-661.23446650380004</v>
      </c>
      <c r="I148">
        <v>1</v>
      </c>
      <c r="J148">
        <f t="shared" si="29"/>
        <v>0.40413434303297435</v>
      </c>
      <c r="K148">
        <f t="shared" si="30"/>
        <v>-0.7385005729760119</v>
      </c>
      <c r="L148">
        <v>1</v>
      </c>
      <c r="M148">
        <f t="shared" si="31"/>
        <v>0.53391348725394316</v>
      </c>
      <c r="N148">
        <f t="shared" si="37"/>
        <v>0.12208742217</v>
      </c>
      <c r="O148">
        <f t="shared" si="38"/>
        <v>2.160816436057111E-2</v>
      </c>
      <c r="P148">
        <f t="shared" si="39"/>
        <v>6.0891499191497625E-2</v>
      </c>
    </row>
    <row r="149" spans="1:16" x14ac:dyDescent="0.3">
      <c r="A149">
        <v>7.5419624000000001</v>
      </c>
      <c r="B149">
        <v>0.43952000000000002</v>
      </c>
      <c r="C149">
        <f t="shared" si="25"/>
        <v>3.3148433140480003</v>
      </c>
      <c r="D149">
        <v>1.6299999999999999E-2</v>
      </c>
      <c r="E149">
        <v>2.8849251857154604E-3</v>
      </c>
      <c r="F149">
        <f t="shared" si="26"/>
        <v>1508.39248</v>
      </c>
      <c r="G149">
        <f t="shared" si="36"/>
        <v>-0.43952000000000002</v>
      </c>
      <c r="H149">
        <f t="shared" si="28"/>
        <v>-662.9686628096</v>
      </c>
      <c r="I149">
        <v>1</v>
      </c>
      <c r="J149">
        <f t="shared" si="29"/>
        <v>0.41104450097462847</v>
      </c>
      <c r="K149">
        <f t="shared" si="30"/>
        <v>-0.74039057297601196</v>
      </c>
      <c r="L149">
        <v>1</v>
      </c>
      <c r="M149">
        <f t="shared" si="31"/>
        <v>0.53423688264561264</v>
      </c>
      <c r="N149">
        <f t="shared" si="37"/>
        <v>0.12293398711999999</v>
      </c>
      <c r="O149">
        <f t="shared" si="38"/>
        <v>2.175799727747902E-2</v>
      </c>
      <c r="P149">
        <f t="shared" si="39"/>
        <v>6.1461705932920309E-2</v>
      </c>
    </row>
    <row r="150" spans="1:16" x14ac:dyDescent="0.3">
      <c r="A150">
        <v>7.5938989000000001</v>
      </c>
      <c r="B150">
        <v>0.43737999999999999</v>
      </c>
      <c r="C150">
        <f t="shared" si="25"/>
        <v>3.321419500882</v>
      </c>
      <c r="D150">
        <v>1.6299999999999999E-2</v>
      </c>
      <c r="E150">
        <v>2.8849251857154604E-3</v>
      </c>
      <c r="F150">
        <f t="shared" si="26"/>
        <v>1518.7797800000001</v>
      </c>
      <c r="G150">
        <f t="shared" si="36"/>
        <v>-0.43737999999999999</v>
      </c>
      <c r="H150">
        <f t="shared" si="28"/>
        <v>-664.28390017640004</v>
      </c>
      <c r="I150">
        <v>1</v>
      </c>
      <c r="J150">
        <f t="shared" si="29"/>
        <v>0.41790723614493541</v>
      </c>
      <c r="K150">
        <f t="shared" si="30"/>
        <v>-0.74253057297601199</v>
      </c>
      <c r="L150">
        <v>1</v>
      </c>
      <c r="M150">
        <f t="shared" si="31"/>
        <v>0.53455805865158301</v>
      </c>
      <c r="N150">
        <f t="shared" si="37"/>
        <v>0.12378055206999999</v>
      </c>
      <c r="O150">
        <f t="shared" si="38"/>
        <v>2.190783019438693E-2</v>
      </c>
      <c r="P150">
        <f t="shared" si="39"/>
        <v>6.2284132060042061E-2</v>
      </c>
    </row>
    <row r="151" spans="1:16" x14ac:dyDescent="0.3">
      <c r="A151">
        <v>7.6493998999999997</v>
      </c>
      <c r="B151">
        <v>0.43541999999999997</v>
      </c>
      <c r="C151">
        <f t="shared" si="25"/>
        <v>3.3307017044579998</v>
      </c>
      <c r="D151">
        <v>1.6299999999999999E-2</v>
      </c>
      <c r="E151">
        <v>2.8849251857154604E-3</v>
      </c>
      <c r="F151">
        <f t="shared" si="26"/>
        <v>1529.8799799999999</v>
      </c>
      <c r="G151">
        <f t="shared" si="36"/>
        <v>-0.43541999999999997</v>
      </c>
      <c r="H151">
        <f t="shared" si="28"/>
        <v>-666.14034089159998</v>
      </c>
      <c r="I151">
        <v>1</v>
      </c>
      <c r="J151">
        <f t="shared" si="29"/>
        <v>0.42518928788297333</v>
      </c>
      <c r="K151">
        <f t="shared" si="30"/>
        <v>-0.74449057297601207</v>
      </c>
      <c r="L151">
        <v>1</v>
      </c>
      <c r="M151">
        <f t="shared" si="31"/>
        <v>0.53489885867292319</v>
      </c>
      <c r="N151">
        <f t="shared" si="37"/>
        <v>0.12468521836999999</v>
      </c>
      <c r="O151">
        <f t="shared" si="38"/>
        <v>2.2067946427119324E-2</v>
      </c>
      <c r="P151">
        <f t="shared" si="39"/>
        <v>6.2838549505969565E-2</v>
      </c>
    </row>
    <row r="152" spans="1:16" x14ac:dyDescent="0.3">
      <c r="A152">
        <v>7.7003183999999996</v>
      </c>
      <c r="B152">
        <v>0.43336999999999998</v>
      </c>
      <c r="C152">
        <f t="shared" si="25"/>
        <v>3.3370869850079998</v>
      </c>
      <c r="D152">
        <v>1.6299999999999999E-2</v>
      </c>
      <c r="E152">
        <v>2.8849251857154604E-3</v>
      </c>
      <c r="F152">
        <f t="shared" si="26"/>
        <v>1540.06368</v>
      </c>
      <c r="G152">
        <f t="shared" si="36"/>
        <v>-0.43336999999999998</v>
      </c>
      <c r="H152">
        <f t="shared" si="28"/>
        <v>-667.41739700159997</v>
      </c>
      <c r="I152">
        <v>1</v>
      </c>
      <c r="J152">
        <f t="shared" si="29"/>
        <v>0.43182376621997393</v>
      </c>
      <c r="K152">
        <f t="shared" si="30"/>
        <v>-0.74654057297601195</v>
      </c>
      <c r="L152">
        <v>1</v>
      </c>
      <c r="M152">
        <f t="shared" si="31"/>
        <v>0.53520935225909483</v>
      </c>
      <c r="N152">
        <f t="shared" si="37"/>
        <v>0.12551518991999999</v>
      </c>
      <c r="O152">
        <f t="shared" si="38"/>
        <v>2.2214842490188177E-2</v>
      </c>
      <c r="P152">
        <f t="shared" si="39"/>
        <v>6.3601188306728951E-2</v>
      </c>
    </row>
    <row r="153" spans="1:16" x14ac:dyDescent="0.3">
      <c r="A153">
        <v>7.7522549000000005</v>
      </c>
      <c r="B153">
        <v>0.43136999999999998</v>
      </c>
      <c r="C153">
        <f t="shared" si="25"/>
        <v>3.3440901962130001</v>
      </c>
      <c r="D153">
        <v>1.6299999999999999E-2</v>
      </c>
      <c r="E153">
        <v>2.8849251857154604E-3</v>
      </c>
      <c r="F153">
        <f t="shared" si="26"/>
        <v>1550.4509800000001</v>
      </c>
      <c r="G153">
        <f t="shared" si="36"/>
        <v>-0.43136999999999998</v>
      </c>
      <c r="H153">
        <f t="shared" si="28"/>
        <v>-668.81803924259998</v>
      </c>
      <c r="I153">
        <v>1</v>
      </c>
      <c r="J153">
        <f t="shared" si="29"/>
        <v>0.4385458434507144</v>
      </c>
      <c r="K153">
        <f t="shared" si="30"/>
        <v>-0.74854057297601195</v>
      </c>
      <c r="L153">
        <v>1</v>
      </c>
      <c r="M153">
        <f t="shared" si="31"/>
        <v>0.53552394547349347</v>
      </c>
      <c r="N153">
        <f t="shared" si="37"/>
        <v>0.12636175487000001</v>
      </c>
      <c r="O153">
        <f t="shared" si="38"/>
        <v>2.236467540709609E-2</v>
      </c>
      <c r="P153">
        <f t="shared" si="39"/>
        <v>6.4290197225422382E-2</v>
      </c>
    </row>
    <row r="154" spans="1:16" x14ac:dyDescent="0.3">
      <c r="A154">
        <v>7.8057191999999995</v>
      </c>
      <c r="B154">
        <v>0.42929</v>
      </c>
      <c r="C154">
        <f t="shared" si="25"/>
        <v>3.3509171953679999</v>
      </c>
      <c r="D154">
        <v>1.6299999999999999E-2</v>
      </c>
      <c r="E154">
        <v>2.8849251857154604E-3</v>
      </c>
      <c r="F154">
        <f t="shared" si="26"/>
        <v>1561.14384</v>
      </c>
      <c r="G154">
        <f t="shared" si="36"/>
        <v>-0.42929</v>
      </c>
      <c r="H154">
        <f t="shared" si="28"/>
        <v>-670.18343907359997</v>
      </c>
      <c r="I154">
        <v>1</v>
      </c>
      <c r="J154">
        <f t="shared" si="29"/>
        <v>0.44541878334832535</v>
      </c>
      <c r="K154">
        <f t="shared" si="30"/>
        <v>-0.75062057297601203</v>
      </c>
      <c r="L154">
        <v>1</v>
      </c>
      <c r="M154">
        <f t="shared" si="31"/>
        <v>0.53584559906070162</v>
      </c>
      <c r="N154">
        <f t="shared" si="37"/>
        <v>0.12723322295999998</v>
      </c>
      <c r="O154">
        <f t="shared" si="38"/>
        <v>2.2518915912702733E-2</v>
      </c>
      <c r="P154">
        <f t="shared" si="39"/>
        <v>6.502283504260771E-2</v>
      </c>
    </row>
    <row r="155" spans="1:16" x14ac:dyDescent="0.3">
      <c r="A155">
        <v>7.8561284000000002</v>
      </c>
      <c r="B155">
        <v>0.42734</v>
      </c>
      <c r="C155">
        <f t="shared" si="25"/>
        <v>3.357237910456</v>
      </c>
      <c r="D155">
        <v>1.6299999999999999E-2</v>
      </c>
      <c r="E155">
        <v>2.8849251857154604E-3</v>
      </c>
      <c r="F155">
        <f t="shared" si="26"/>
        <v>1571.22568</v>
      </c>
      <c r="G155">
        <f t="shared" si="36"/>
        <v>-0.42734</v>
      </c>
      <c r="H155">
        <f t="shared" si="28"/>
        <v>-671.44758209120005</v>
      </c>
      <c r="I155">
        <v>1</v>
      </c>
      <c r="J155">
        <f t="shared" si="29"/>
        <v>0.4518560026800188</v>
      </c>
      <c r="K155">
        <f t="shared" si="30"/>
        <v>-0.75257057297601193</v>
      </c>
      <c r="L155">
        <v>1</v>
      </c>
      <c r="M155">
        <f t="shared" si="31"/>
        <v>0.53614686092542485</v>
      </c>
      <c r="N155">
        <f t="shared" si="37"/>
        <v>0.12805489292</v>
      </c>
      <c r="O155">
        <f t="shared" si="38"/>
        <v>2.2664342683374503E-2</v>
      </c>
      <c r="P155">
        <f t="shared" si="39"/>
        <v>6.5704476447212584E-2</v>
      </c>
    </row>
    <row r="156" spans="1:16" x14ac:dyDescent="0.3">
      <c r="A156">
        <v>7.9070469000000001</v>
      </c>
      <c r="B156">
        <v>0.42551</v>
      </c>
      <c r="C156">
        <f t="shared" si="25"/>
        <v>3.3645275264190002</v>
      </c>
      <c r="D156">
        <v>1.6299999999999999E-2</v>
      </c>
      <c r="E156">
        <v>2.8849251857154604E-3</v>
      </c>
      <c r="F156">
        <f t="shared" si="26"/>
        <v>1581.4093800000001</v>
      </c>
      <c r="G156">
        <f t="shared" si="36"/>
        <v>-0.42551</v>
      </c>
      <c r="H156">
        <f t="shared" si="28"/>
        <v>-672.90550528380004</v>
      </c>
      <c r="I156">
        <v>1</v>
      </c>
      <c r="J156">
        <f t="shared" si="29"/>
        <v>0.45831646209024141</v>
      </c>
      <c r="K156">
        <f t="shared" si="30"/>
        <v>-0.75440057297601193</v>
      </c>
      <c r="L156">
        <v>1</v>
      </c>
      <c r="M156">
        <f t="shared" si="31"/>
        <v>0.53644921042582328</v>
      </c>
      <c r="N156">
        <f t="shared" si="37"/>
        <v>0.12888486447</v>
      </c>
      <c r="O156">
        <f t="shared" si="38"/>
        <v>2.2811238746443356E-2</v>
      </c>
      <c r="P156">
        <f t="shared" si="39"/>
        <v>6.6255259333745292E-2</v>
      </c>
    </row>
    <row r="157" spans="1:16" x14ac:dyDescent="0.3">
      <c r="A157">
        <v>7.9584745999999997</v>
      </c>
      <c r="B157">
        <v>0.42349999999999999</v>
      </c>
      <c r="C157">
        <f t="shared" si="25"/>
        <v>3.3704139930999997</v>
      </c>
      <c r="D157">
        <v>1.6299999999999999E-2</v>
      </c>
      <c r="E157">
        <v>2.8849251857154604E-3</v>
      </c>
      <c r="F157">
        <f t="shared" si="26"/>
        <v>1591.6949199999999</v>
      </c>
      <c r="G157">
        <f t="shared" si="36"/>
        <v>-0.42349999999999999</v>
      </c>
      <c r="H157">
        <f t="shared" si="28"/>
        <v>-674.08279861999995</v>
      </c>
      <c r="I157">
        <v>1</v>
      </c>
      <c r="J157">
        <f t="shared" si="29"/>
        <v>0.46479943589238082</v>
      </c>
      <c r="K157">
        <f t="shared" si="30"/>
        <v>-0.756410572976012</v>
      </c>
      <c r="L157">
        <v>1</v>
      </c>
      <c r="M157">
        <f t="shared" si="31"/>
        <v>0.53675261359976345</v>
      </c>
      <c r="N157">
        <f t="shared" si="37"/>
        <v>0.12972313597999999</v>
      </c>
      <c r="O157">
        <f t="shared" si="38"/>
        <v>2.2959603813416773E-2</v>
      </c>
      <c r="P157">
        <f t="shared" si="39"/>
        <v>6.6975219582831785E-2</v>
      </c>
    </row>
    <row r="158" spans="1:16" x14ac:dyDescent="0.3">
      <c r="A158">
        <v>8.0129564999999996</v>
      </c>
      <c r="B158">
        <v>0.42165000000000002</v>
      </c>
      <c r="C158">
        <f t="shared" si="25"/>
        <v>3.378663108225</v>
      </c>
      <c r="D158">
        <v>1.6299999999999999E-2</v>
      </c>
      <c r="E158">
        <v>2.8849251857154604E-3</v>
      </c>
      <c r="F158">
        <f t="shared" si="26"/>
        <v>1602.5912999999998</v>
      </c>
      <c r="G158">
        <f t="shared" si="36"/>
        <v>-0.42165000000000002</v>
      </c>
      <c r="H158">
        <f t="shared" si="28"/>
        <v>-675.73262164499999</v>
      </c>
      <c r="I158">
        <v>1</v>
      </c>
      <c r="J158">
        <f t="shared" si="29"/>
        <v>0.47162188166870012</v>
      </c>
      <c r="K158">
        <f t="shared" si="30"/>
        <v>-0.7582605729760119</v>
      </c>
      <c r="L158">
        <v>1</v>
      </c>
      <c r="M158">
        <f t="shared" si="31"/>
        <v>0.53707190406209515</v>
      </c>
      <c r="N158">
        <f t="shared" si="37"/>
        <v>0.13061119094999998</v>
      </c>
      <c r="O158">
        <f t="shared" si="38"/>
        <v>2.3116780018892405E-2</v>
      </c>
      <c r="P158">
        <f t="shared" si="39"/>
        <v>6.7460697945024364E-2</v>
      </c>
    </row>
    <row r="159" spans="1:16" x14ac:dyDescent="0.3">
      <c r="A159">
        <v>8.0669301999999998</v>
      </c>
      <c r="B159">
        <v>0.41936000000000001</v>
      </c>
      <c r="C159">
        <f t="shared" si="25"/>
        <v>3.3829478486719999</v>
      </c>
      <c r="D159">
        <v>1.6299999999999999E-2</v>
      </c>
      <c r="E159">
        <v>2.8849251857154604E-3</v>
      </c>
      <c r="F159">
        <f t="shared" si="26"/>
        <v>1613.3860399999999</v>
      </c>
      <c r="G159">
        <f t="shared" si="36"/>
        <v>-0.41936000000000001</v>
      </c>
      <c r="H159">
        <f t="shared" si="28"/>
        <v>-676.58956973440002</v>
      </c>
      <c r="I159">
        <v>1</v>
      </c>
      <c r="J159">
        <f t="shared" si="29"/>
        <v>0.4783351009482843</v>
      </c>
      <c r="K159">
        <f t="shared" si="30"/>
        <v>-0.76055057297601203</v>
      </c>
      <c r="L159">
        <v>1</v>
      </c>
      <c r="M159">
        <f t="shared" si="31"/>
        <v>0.53738608272437971</v>
      </c>
      <c r="N159">
        <f t="shared" si="37"/>
        <v>0.13149096225999998</v>
      </c>
      <c r="O159">
        <f t="shared" si="38"/>
        <v>2.3272490105388656E-2</v>
      </c>
      <c r="P159">
        <f t="shared" si="39"/>
        <v>6.8401037886243687E-2</v>
      </c>
    </row>
    <row r="160" spans="1:16" x14ac:dyDescent="0.3">
      <c r="A160">
        <v>8.1173393999999988</v>
      </c>
      <c r="B160">
        <v>0.41744999999999999</v>
      </c>
      <c r="C160">
        <f t="shared" si="25"/>
        <v>3.3885833325299992</v>
      </c>
      <c r="D160">
        <v>1.6299999999999999E-2</v>
      </c>
      <c r="E160">
        <v>2.8849251857154604E-3</v>
      </c>
      <c r="F160">
        <f t="shared" si="26"/>
        <v>1623.4678799999997</v>
      </c>
      <c r="G160">
        <f t="shared" si="36"/>
        <v>-0.41744999999999999</v>
      </c>
      <c r="H160">
        <f t="shared" si="28"/>
        <v>-677.7166665059998</v>
      </c>
      <c r="I160">
        <v>1</v>
      </c>
      <c r="J160">
        <f t="shared" si="29"/>
        <v>0.48456452794866495</v>
      </c>
      <c r="K160">
        <f t="shared" si="30"/>
        <v>-0.762460572976012</v>
      </c>
      <c r="L160">
        <v>1</v>
      </c>
      <c r="M160">
        <f t="shared" si="31"/>
        <v>0.53767761990799756</v>
      </c>
      <c r="N160">
        <f t="shared" si="37"/>
        <v>0.13231263221999998</v>
      </c>
      <c r="O160">
        <f t="shared" si="38"/>
        <v>2.3417916876060419E-2</v>
      </c>
      <c r="P160">
        <f t="shared" si="39"/>
        <v>6.9052403971954043E-2</v>
      </c>
    </row>
    <row r="161" spans="1:16" x14ac:dyDescent="0.3">
      <c r="A161">
        <v>8.1682577999999992</v>
      </c>
      <c r="B161">
        <v>0.41549999999999998</v>
      </c>
      <c r="C161">
        <f t="shared" si="25"/>
        <v>3.3939111158999995</v>
      </c>
      <c r="D161">
        <v>1.6299999999999999E-2</v>
      </c>
      <c r="E161">
        <v>2.8849251857154604E-3</v>
      </c>
      <c r="F161">
        <f t="shared" si="26"/>
        <v>1633.6515599999998</v>
      </c>
      <c r="G161">
        <f t="shared" si="36"/>
        <v>-0.41549999999999998</v>
      </c>
      <c r="H161">
        <f t="shared" si="28"/>
        <v>-678.78222317999985</v>
      </c>
      <c r="I161">
        <v>1</v>
      </c>
      <c r="J161">
        <f t="shared" si="29"/>
        <v>0.49081773012411595</v>
      </c>
      <c r="K161">
        <f t="shared" si="30"/>
        <v>-0.764410572976012</v>
      </c>
      <c r="L161">
        <v>1</v>
      </c>
      <c r="M161">
        <f t="shared" si="31"/>
        <v>0.53797026976980866</v>
      </c>
      <c r="N161">
        <f t="shared" si="37"/>
        <v>0.13314260213999998</v>
      </c>
      <c r="O161">
        <f t="shared" si="38"/>
        <v>2.3564812650636754E-2</v>
      </c>
      <c r="P161">
        <f t="shared" si="39"/>
        <v>6.9732888415566602E-2</v>
      </c>
    </row>
    <row r="162" spans="1:16" x14ac:dyDescent="0.3">
      <c r="A162">
        <v>8.2222314000000001</v>
      </c>
      <c r="B162">
        <v>0.41349999999999998</v>
      </c>
      <c r="C162">
        <f t="shared" si="25"/>
        <v>3.3998926838999997</v>
      </c>
      <c r="D162">
        <v>1.6299999999999999E-2</v>
      </c>
      <c r="E162">
        <v>2.8849251857154604E-3</v>
      </c>
      <c r="F162">
        <f t="shared" si="26"/>
        <v>1644.4462800000001</v>
      </c>
      <c r="G162">
        <f t="shared" si="36"/>
        <v>-0.41349999999999998</v>
      </c>
      <c r="H162">
        <f t="shared" si="28"/>
        <v>-679.9785367799999</v>
      </c>
      <c r="I162">
        <v>1</v>
      </c>
      <c r="J162">
        <f t="shared" si="29"/>
        <v>0.49740371964944335</v>
      </c>
      <c r="K162">
        <f t="shared" si="30"/>
        <v>-0.76641057297601201</v>
      </c>
      <c r="L162">
        <v>1</v>
      </c>
      <c r="M162">
        <f t="shared" si="31"/>
        <v>0.53827849407959394</v>
      </c>
      <c r="N162">
        <f t="shared" si="37"/>
        <v>0.13402237181999999</v>
      </c>
      <c r="O162">
        <f t="shared" si="38"/>
        <v>2.372052244864049E-2</v>
      </c>
      <c r="P162">
        <f t="shared" si="39"/>
        <v>7.0389184627777587E-2</v>
      </c>
    </row>
    <row r="163" spans="1:16" x14ac:dyDescent="0.3">
      <c r="A163">
        <v>8.2741679999999995</v>
      </c>
      <c r="B163">
        <v>0.41147</v>
      </c>
      <c r="C163">
        <f t="shared" si="25"/>
        <v>3.4045719069599998</v>
      </c>
      <c r="D163">
        <v>1.6299999999999999E-2</v>
      </c>
      <c r="E163">
        <v>2.8849251857154604E-3</v>
      </c>
      <c r="F163">
        <f t="shared" si="26"/>
        <v>1654.8335999999999</v>
      </c>
      <c r="G163">
        <f t="shared" si="36"/>
        <v>-0.41147</v>
      </c>
      <c r="H163">
        <f t="shared" si="28"/>
        <v>-680.914381392</v>
      </c>
      <c r="I163">
        <v>1</v>
      </c>
      <c r="J163">
        <f t="shared" si="29"/>
        <v>0.50370045996751234</v>
      </c>
      <c r="K163">
        <f t="shared" si="30"/>
        <v>-0.76844057297601198</v>
      </c>
      <c r="L163">
        <v>1</v>
      </c>
      <c r="M163">
        <f t="shared" si="31"/>
        <v>0.53857318152647959</v>
      </c>
      <c r="N163">
        <f t="shared" si="37"/>
        <v>0.13486893839999997</v>
      </c>
      <c r="O163">
        <f t="shared" si="38"/>
        <v>2.3870355654040918E-2</v>
      </c>
      <c r="P163">
        <f t="shared" si="39"/>
        <v>7.1128097395491502E-2</v>
      </c>
    </row>
    <row r="164" spans="1:16" x14ac:dyDescent="0.3">
      <c r="A164">
        <v>8.3245771000000008</v>
      </c>
      <c r="B164">
        <v>0.40923999999999999</v>
      </c>
      <c r="C164">
        <f t="shared" si="25"/>
        <v>3.4067499324040003</v>
      </c>
      <c r="D164">
        <v>1.6299999999999999E-2</v>
      </c>
      <c r="E164">
        <v>2.8849251857154604E-3</v>
      </c>
      <c r="F164">
        <f t="shared" si="26"/>
        <v>1664.9154200000003</v>
      </c>
      <c r="G164">
        <f t="shared" si="36"/>
        <v>-0.40923999999999999</v>
      </c>
      <c r="H164">
        <f t="shared" si="28"/>
        <v>-681.3499864808</v>
      </c>
      <c r="I164">
        <v>1</v>
      </c>
      <c r="J164">
        <f t="shared" si="29"/>
        <v>0.50977432334330586</v>
      </c>
      <c r="K164">
        <f t="shared" si="30"/>
        <v>-0.77067057297601194</v>
      </c>
      <c r="L164">
        <v>1</v>
      </c>
      <c r="M164">
        <f t="shared" si="31"/>
        <v>0.53885743833246669</v>
      </c>
      <c r="N164">
        <f t="shared" si="37"/>
        <v>0.13569060673</v>
      </c>
      <c r="O164">
        <f t="shared" si="38"/>
        <v>2.401578213622017E-2</v>
      </c>
      <c r="P164">
        <f t="shared" si="39"/>
        <v>7.2106745777325079E-2</v>
      </c>
    </row>
    <row r="165" spans="1:16" x14ac:dyDescent="0.3">
      <c r="A165">
        <v>8.3754951000000002</v>
      </c>
      <c r="B165">
        <v>0.40734999999999999</v>
      </c>
      <c r="C165">
        <f t="shared" si="25"/>
        <v>3.4117579289850002</v>
      </c>
      <c r="D165">
        <v>1.6299999999999999E-2</v>
      </c>
      <c r="E165">
        <v>2.8849251857154604E-3</v>
      </c>
      <c r="F165">
        <f t="shared" si="26"/>
        <v>1675.0990200000001</v>
      </c>
      <c r="G165">
        <f t="shared" si="36"/>
        <v>-0.40734999999999999</v>
      </c>
      <c r="H165">
        <f t="shared" si="28"/>
        <v>-682.35158579699998</v>
      </c>
      <c r="I165">
        <v>1</v>
      </c>
      <c r="J165">
        <f t="shared" si="29"/>
        <v>0.51587227994763374</v>
      </c>
      <c r="K165">
        <f t="shared" si="30"/>
        <v>-0.77256057297601199</v>
      </c>
      <c r="L165">
        <v>1</v>
      </c>
      <c r="M165">
        <f t="shared" si="31"/>
        <v>0.53914282270154923</v>
      </c>
      <c r="N165">
        <f t="shared" si="37"/>
        <v>0.13652057012999999</v>
      </c>
      <c r="O165">
        <f t="shared" si="38"/>
        <v>2.4162676756826429E-2</v>
      </c>
      <c r="P165">
        <f t="shared" si="39"/>
        <v>7.2734503387636346E-2</v>
      </c>
    </row>
    <row r="166" spans="1:16" x14ac:dyDescent="0.3">
      <c r="A166">
        <v>8.4274316000000002</v>
      </c>
      <c r="B166">
        <v>0.40531</v>
      </c>
      <c r="C166">
        <f t="shared" si="25"/>
        <v>3.4157223017960003</v>
      </c>
      <c r="D166">
        <v>1.6299999999999999E-2</v>
      </c>
      <c r="E166">
        <v>2.8849251857154604E-3</v>
      </c>
      <c r="F166">
        <f t="shared" si="26"/>
        <v>1685.48632</v>
      </c>
      <c r="G166">
        <f t="shared" si="36"/>
        <v>-0.40531</v>
      </c>
      <c r="H166">
        <f t="shared" si="28"/>
        <v>-683.14446035920002</v>
      </c>
      <c r="I166">
        <v>1</v>
      </c>
      <c r="J166">
        <f t="shared" si="29"/>
        <v>0.52205413937307255</v>
      </c>
      <c r="K166">
        <f t="shared" si="30"/>
        <v>-0.77460057297601193</v>
      </c>
      <c r="L166">
        <v>1</v>
      </c>
      <c r="M166">
        <f t="shared" si="31"/>
        <v>0.53943213372265986</v>
      </c>
      <c r="N166">
        <f t="shared" si="37"/>
        <v>0.13736713507999998</v>
      </c>
      <c r="O166">
        <f t="shared" si="38"/>
        <v>2.4312509673734339E-2</v>
      </c>
      <c r="P166">
        <f t="shared" si="39"/>
        <v>7.3488794499617746E-2</v>
      </c>
    </row>
    <row r="167" spans="1:16" x14ac:dyDescent="0.3">
      <c r="A167">
        <v>8.4788604000000003</v>
      </c>
      <c r="B167">
        <v>0.40311000000000002</v>
      </c>
      <c r="C167">
        <f t="shared" si="25"/>
        <v>3.4179134158440001</v>
      </c>
      <c r="D167">
        <v>1.6299999999999999E-2</v>
      </c>
      <c r="E167">
        <v>2.8849251857154604E-3</v>
      </c>
      <c r="F167">
        <f t="shared" si="26"/>
        <v>1695.77208</v>
      </c>
      <c r="G167">
        <f t="shared" si="36"/>
        <v>-0.40311000000000002</v>
      </c>
      <c r="H167">
        <f t="shared" si="28"/>
        <v>-683.58268316880003</v>
      </c>
      <c r="I167">
        <v>1</v>
      </c>
      <c r="J167">
        <f t="shared" si="29"/>
        <v>0.52813814154654448</v>
      </c>
      <c r="K167">
        <f t="shared" si="30"/>
        <v>-0.7768005729760119</v>
      </c>
      <c r="L167">
        <v>1</v>
      </c>
      <c r="M167">
        <f t="shared" si="31"/>
        <v>0.53971686502437832</v>
      </c>
      <c r="N167">
        <f t="shared" si="37"/>
        <v>0.13820542451999998</v>
      </c>
      <c r="O167">
        <f t="shared" si="38"/>
        <v>2.4460877914125462E-2</v>
      </c>
      <c r="P167">
        <f t="shared" si="39"/>
        <v>7.4417405517508139E-2</v>
      </c>
    </row>
    <row r="168" spans="1:16" x14ac:dyDescent="0.3">
      <c r="A168">
        <v>8.5297783000000003</v>
      </c>
      <c r="B168">
        <v>0.40139000000000002</v>
      </c>
      <c r="C168">
        <f t="shared" si="25"/>
        <v>3.4237677118370002</v>
      </c>
      <c r="D168">
        <v>1.6299999999999999E-2</v>
      </c>
      <c r="E168">
        <v>2.8849251857154604E-3</v>
      </c>
      <c r="F168">
        <f t="shared" si="26"/>
        <v>1705.9556600000001</v>
      </c>
      <c r="G168">
        <f t="shared" si="36"/>
        <v>-0.40139000000000002</v>
      </c>
      <c r="H168">
        <f t="shared" si="28"/>
        <v>-684.75354236740009</v>
      </c>
      <c r="I168">
        <v>1</v>
      </c>
      <c r="J168">
        <f t="shared" si="29"/>
        <v>0.53412545811038892</v>
      </c>
      <c r="K168">
        <f t="shared" si="30"/>
        <v>-0.77852057297601196</v>
      </c>
      <c r="L168">
        <v>1</v>
      </c>
      <c r="M168">
        <f t="shared" si="31"/>
        <v>0.53999707143956621</v>
      </c>
      <c r="N168">
        <f t="shared" si="37"/>
        <v>0.13903538628999998</v>
      </c>
      <c r="O168">
        <f t="shared" si="38"/>
        <v>2.4607772246239206E-2</v>
      </c>
      <c r="P168">
        <f t="shared" si="39"/>
        <v>7.4880343000206559E-2</v>
      </c>
    </row>
    <row r="169" spans="1:16" x14ac:dyDescent="0.3">
      <c r="A169">
        <v>8.5817148000000003</v>
      </c>
      <c r="B169">
        <v>0.39937</v>
      </c>
      <c r="C169">
        <f t="shared" si="25"/>
        <v>3.427279439676</v>
      </c>
      <c r="D169">
        <v>1.6299999999999999E-2</v>
      </c>
      <c r="E169">
        <v>2.8849251857154604E-3</v>
      </c>
      <c r="F169">
        <f t="shared" si="26"/>
        <v>1716.3429599999999</v>
      </c>
      <c r="G169">
        <f t="shared" si="36"/>
        <v>-0.39937</v>
      </c>
      <c r="H169">
        <f t="shared" si="28"/>
        <v>-685.45588793520005</v>
      </c>
      <c r="I169">
        <v>1</v>
      </c>
      <c r="J169">
        <f t="shared" si="29"/>
        <v>0.54019584123625364</v>
      </c>
      <c r="K169">
        <f t="shared" si="30"/>
        <v>-0.78054057297601198</v>
      </c>
      <c r="L169">
        <v>1</v>
      </c>
      <c r="M169">
        <f t="shared" si="31"/>
        <v>0.54028116536985671</v>
      </c>
      <c r="N169">
        <f t="shared" si="37"/>
        <v>0.13988195124</v>
      </c>
      <c r="O169">
        <f t="shared" si="38"/>
        <v>2.4757605163147116E-2</v>
      </c>
      <c r="P169">
        <f t="shared" si="39"/>
        <v>7.5619851203008154E-2</v>
      </c>
    </row>
    <row r="170" spans="1:16" x14ac:dyDescent="0.3">
      <c r="A170">
        <v>8.6341611</v>
      </c>
      <c r="B170">
        <v>0.39744000000000002</v>
      </c>
      <c r="C170">
        <f t="shared" si="25"/>
        <v>3.4315609875840001</v>
      </c>
      <c r="D170">
        <v>1.6299999999999999E-2</v>
      </c>
      <c r="E170">
        <v>2.8849251857154604E-3</v>
      </c>
      <c r="F170">
        <f t="shared" si="26"/>
        <v>1726.83222</v>
      </c>
      <c r="G170">
        <f t="shared" si="36"/>
        <v>-0.39744000000000002</v>
      </c>
      <c r="H170">
        <f t="shared" si="28"/>
        <v>-686.31219751679998</v>
      </c>
      <c r="I170">
        <v>1</v>
      </c>
      <c r="J170">
        <f t="shared" si="29"/>
        <v>0.54628864331593918</v>
      </c>
      <c r="K170">
        <f t="shared" si="30"/>
        <v>-0.78247057297601197</v>
      </c>
      <c r="L170">
        <v>1</v>
      </c>
      <c r="M170">
        <f t="shared" si="31"/>
        <v>0.54056630850718601</v>
      </c>
      <c r="N170">
        <f t="shared" si="37"/>
        <v>0.14073682592999998</v>
      </c>
      <c r="O170">
        <f t="shared" si="38"/>
        <v>2.4908908814914702E-2</v>
      </c>
      <c r="P170">
        <f t="shared" si="39"/>
        <v>7.6258529723911284E-2</v>
      </c>
    </row>
    <row r="171" spans="1:16" x14ac:dyDescent="0.3">
      <c r="A171">
        <v>8.6850801000000004</v>
      </c>
      <c r="B171">
        <v>0.39521000000000001</v>
      </c>
      <c r="C171">
        <f t="shared" si="25"/>
        <v>3.4324305063210003</v>
      </c>
      <c r="D171">
        <v>1.6299999999999999E-2</v>
      </c>
      <c r="E171">
        <v>2.8849251857154604E-3</v>
      </c>
      <c r="F171">
        <f t="shared" si="26"/>
        <v>1737.01602</v>
      </c>
      <c r="G171">
        <f t="shared" si="36"/>
        <v>-0.39521000000000001</v>
      </c>
      <c r="H171">
        <f t="shared" si="28"/>
        <v>-686.4861012642001</v>
      </c>
      <c r="I171">
        <v>1</v>
      </c>
      <c r="J171">
        <f t="shared" si="29"/>
        <v>0.55216871001436563</v>
      </c>
      <c r="K171">
        <f t="shared" si="30"/>
        <v>-0.78470057297601192</v>
      </c>
      <c r="L171">
        <v>1</v>
      </c>
      <c r="M171">
        <f t="shared" si="31"/>
        <v>0.54084149562867234</v>
      </c>
      <c r="N171">
        <f t="shared" si="37"/>
        <v>0.14156680562999999</v>
      </c>
      <c r="O171">
        <f t="shared" si="38"/>
        <v>2.5055806320446149E-2</v>
      </c>
      <c r="P171">
        <f t="shared" si="39"/>
        <v>7.7236465396893439E-2</v>
      </c>
    </row>
    <row r="172" spans="1:16" x14ac:dyDescent="0.3">
      <c r="A172">
        <v>8.736506799999999</v>
      </c>
      <c r="B172">
        <v>0.39301000000000003</v>
      </c>
      <c r="C172">
        <f t="shared" si="25"/>
        <v>3.4335345374679997</v>
      </c>
      <c r="D172">
        <v>1.6299999999999999E-2</v>
      </c>
      <c r="E172">
        <v>2.8849251857154604E-3</v>
      </c>
      <c r="F172">
        <f t="shared" si="26"/>
        <v>1747.3013599999997</v>
      </c>
      <c r="G172">
        <f t="shared" si="36"/>
        <v>-0.39301000000000003</v>
      </c>
      <c r="H172">
        <f t="shared" si="28"/>
        <v>-686.70690749359994</v>
      </c>
      <c r="I172">
        <v>1</v>
      </c>
      <c r="J172">
        <f t="shared" si="29"/>
        <v>0.55807251770628297</v>
      </c>
      <c r="K172">
        <f t="shared" si="30"/>
        <v>-0.7869005729760119</v>
      </c>
      <c r="L172">
        <v>1</v>
      </c>
      <c r="M172">
        <f t="shared" si="31"/>
        <v>0.5411177938286541</v>
      </c>
      <c r="N172">
        <f t="shared" si="37"/>
        <v>0.14240506083999996</v>
      </c>
      <c r="O172">
        <f t="shared" si="38"/>
        <v>2.5204168502494378E-2</v>
      </c>
      <c r="P172">
        <f t="shared" si="39"/>
        <v>7.8173549804863462E-2</v>
      </c>
    </row>
    <row r="173" spans="1:16" x14ac:dyDescent="0.3">
      <c r="A173">
        <v>8.7884434000000002</v>
      </c>
      <c r="B173">
        <v>0.39127000000000001</v>
      </c>
      <c r="C173">
        <f t="shared" si="25"/>
        <v>3.4386542491180001</v>
      </c>
      <c r="D173">
        <v>1.6299999999999999E-2</v>
      </c>
      <c r="E173">
        <v>2.8849251857154604E-3</v>
      </c>
      <c r="F173">
        <f t="shared" si="26"/>
        <v>1757.68868</v>
      </c>
      <c r="G173">
        <f t="shared" si="36"/>
        <v>-0.39127000000000001</v>
      </c>
      <c r="H173">
        <f t="shared" si="28"/>
        <v>-687.73084982360001</v>
      </c>
      <c r="I173">
        <v>1</v>
      </c>
      <c r="J173">
        <f t="shared" si="29"/>
        <v>0.56399969598157995</v>
      </c>
      <c r="K173">
        <f t="shared" si="30"/>
        <v>-0.78864057297601198</v>
      </c>
      <c r="L173">
        <v>1</v>
      </c>
      <c r="M173">
        <f t="shared" si="31"/>
        <v>0.5413951857719379</v>
      </c>
      <c r="N173">
        <f t="shared" si="37"/>
        <v>0.14325162742</v>
      </c>
      <c r="O173">
        <f t="shared" si="38"/>
        <v>2.5354001707894813E-2</v>
      </c>
      <c r="P173">
        <f t="shared" si="39"/>
        <v>7.8639758076179261E-2</v>
      </c>
    </row>
    <row r="174" spans="1:16" x14ac:dyDescent="0.3">
      <c r="A174">
        <v>8.8408896000000006</v>
      </c>
      <c r="B174">
        <v>0.38913999999999999</v>
      </c>
      <c r="C174">
        <f t="shared" si="25"/>
        <v>3.4403437789439999</v>
      </c>
      <c r="D174">
        <v>1.6299999999999999E-2</v>
      </c>
      <c r="E174">
        <v>2.8849251857154604E-3</v>
      </c>
      <c r="F174">
        <f t="shared" si="26"/>
        <v>1768.1779200000001</v>
      </c>
      <c r="G174">
        <f t="shared" si="36"/>
        <v>-0.38913999999999999</v>
      </c>
      <c r="H174">
        <f t="shared" si="28"/>
        <v>-688.06875578879999</v>
      </c>
      <c r="I174">
        <v>1</v>
      </c>
      <c r="J174">
        <f t="shared" si="29"/>
        <v>0.56994959263640521</v>
      </c>
      <c r="K174">
        <f t="shared" si="30"/>
        <v>-0.79077057297601194</v>
      </c>
      <c r="L174">
        <v>1</v>
      </c>
      <c r="M174">
        <f t="shared" si="31"/>
        <v>0.54167364093538373</v>
      </c>
      <c r="N174">
        <f t="shared" si="37"/>
        <v>0.14410650047999998</v>
      </c>
      <c r="O174">
        <f t="shared" si="38"/>
        <v>2.5505305071169885E-2</v>
      </c>
      <c r="P174">
        <f t="shared" si="39"/>
        <v>7.9485126489458352E-2</v>
      </c>
    </row>
    <row r="175" spans="1:16" x14ac:dyDescent="0.3">
      <c r="A175">
        <v>8.8918075999999999</v>
      </c>
      <c r="B175">
        <v>0.38744000000000001</v>
      </c>
      <c r="C175">
        <f t="shared" si="25"/>
        <v>3.4450419365439999</v>
      </c>
      <c r="D175">
        <v>1.6299999999999999E-2</v>
      </c>
      <c r="E175">
        <v>2.8849251857154604E-3</v>
      </c>
      <c r="F175">
        <f t="shared" si="26"/>
        <v>1778.3615199999999</v>
      </c>
      <c r="G175">
        <f t="shared" si="36"/>
        <v>-0.38744000000000001</v>
      </c>
      <c r="H175">
        <f t="shared" si="28"/>
        <v>-689.00838730880002</v>
      </c>
      <c r="I175">
        <v>1</v>
      </c>
      <c r="J175">
        <f t="shared" si="29"/>
        <v>0.57569244600685665</v>
      </c>
      <c r="K175">
        <f t="shared" si="30"/>
        <v>-0.79247057297601198</v>
      </c>
      <c r="L175">
        <v>1</v>
      </c>
      <c r="M175">
        <f t="shared" si="31"/>
        <v>0.54194240647312086</v>
      </c>
      <c r="N175">
        <f t="shared" si="37"/>
        <v>0.14493646387999998</v>
      </c>
      <c r="O175">
        <f t="shared" si="38"/>
        <v>2.565219969177614E-2</v>
      </c>
      <c r="P175">
        <f t="shared" si="39"/>
        <v>7.9939502931115E-2</v>
      </c>
    </row>
    <row r="176" spans="1:16" x14ac:dyDescent="0.3">
      <c r="A176">
        <v>8.9422168000000006</v>
      </c>
      <c r="B176">
        <v>0.38534000000000002</v>
      </c>
      <c r="C176">
        <f t="shared" si="25"/>
        <v>3.4457938217120003</v>
      </c>
      <c r="D176">
        <v>1.6299999999999999E-2</v>
      </c>
      <c r="E176">
        <v>2.8849251857154604E-3</v>
      </c>
      <c r="F176">
        <f t="shared" si="26"/>
        <v>1788.4433600000002</v>
      </c>
      <c r="G176">
        <f t="shared" si="36"/>
        <v>-0.38534000000000002</v>
      </c>
      <c r="H176">
        <f t="shared" si="28"/>
        <v>-689.1587643424001</v>
      </c>
      <c r="I176">
        <v>1</v>
      </c>
      <c r="J176">
        <f t="shared" si="29"/>
        <v>0.58134561021909659</v>
      </c>
      <c r="K176">
        <f t="shared" si="30"/>
        <v>-0.79457057297601197</v>
      </c>
      <c r="L176">
        <v>1</v>
      </c>
      <c r="M176">
        <f t="shared" si="31"/>
        <v>0.54220697455825373</v>
      </c>
      <c r="N176">
        <f t="shared" si="37"/>
        <v>0.14575813384</v>
      </c>
      <c r="O176">
        <f t="shared" si="38"/>
        <v>2.579762646244791E-2</v>
      </c>
      <c r="P176">
        <f t="shared" si="39"/>
        <v>8.0807838115310338E-2</v>
      </c>
    </row>
    <row r="177" spans="1:16" x14ac:dyDescent="0.3">
      <c r="A177">
        <v>8.9936445000000003</v>
      </c>
      <c r="B177">
        <v>0.38283</v>
      </c>
      <c r="C177">
        <f t="shared" si="25"/>
        <v>3.4430369239350003</v>
      </c>
      <c r="D177">
        <v>1.6299999999999999E-2</v>
      </c>
      <c r="E177">
        <v>2.8849251857154604E-3</v>
      </c>
      <c r="F177">
        <f t="shared" si="26"/>
        <v>1798.7289000000001</v>
      </c>
      <c r="G177">
        <f t="shared" si="36"/>
        <v>-0.38283</v>
      </c>
      <c r="H177">
        <f t="shared" si="28"/>
        <v>-688.607384787</v>
      </c>
      <c r="I177">
        <v>1</v>
      </c>
      <c r="J177">
        <f t="shared" si="29"/>
        <v>0.5870802487823279</v>
      </c>
      <c r="K177">
        <f t="shared" si="30"/>
        <v>-0.79708057297601198</v>
      </c>
      <c r="L177">
        <v>1</v>
      </c>
      <c r="M177">
        <f t="shared" si="31"/>
        <v>0.54247535564301297</v>
      </c>
      <c r="N177">
        <f t="shared" si="37"/>
        <v>0.14659640534999999</v>
      </c>
      <c r="O177">
        <f t="shared" si="38"/>
        <v>2.5945991529421328E-2</v>
      </c>
      <c r="P177">
        <f t="shared" si="39"/>
        <v>8.2062820453577698E-2</v>
      </c>
    </row>
    <row r="178" spans="1:16" x14ac:dyDescent="0.3">
      <c r="A178">
        <v>9.0445624999999996</v>
      </c>
      <c r="B178">
        <v>0.38089000000000001</v>
      </c>
      <c r="C178">
        <f t="shared" si="25"/>
        <v>3.4449834106249999</v>
      </c>
      <c r="D178">
        <v>1.6299999999999999E-2</v>
      </c>
      <c r="E178">
        <v>2.8849251857154604E-3</v>
      </c>
      <c r="F178">
        <f t="shared" si="26"/>
        <v>1808.9124999999999</v>
      </c>
      <c r="G178">
        <f t="shared" si="36"/>
        <v>-0.38089000000000001</v>
      </c>
      <c r="H178">
        <f t="shared" si="28"/>
        <v>-688.99668212500001</v>
      </c>
      <c r="I178">
        <v>1</v>
      </c>
      <c r="J178">
        <f t="shared" si="29"/>
        <v>0.59272583597854023</v>
      </c>
      <c r="K178">
        <f t="shared" si="30"/>
        <v>-0.79902057297601203</v>
      </c>
      <c r="L178">
        <v>1</v>
      </c>
      <c r="M178">
        <f t="shared" si="31"/>
        <v>0.54273956912379573</v>
      </c>
      <c r="N178">
        <f t="shared" si="37"/>
        <v>0.14742636874999998</v>
      </c>
      <c r="O178">
        <f t="shared" si="38"/>
        <v>2.6092886150027587E-2</v>
      </c>
      <c r="P178">
        <f t="shared" si="39"/>
        <v>8.2761748952188741E-2</v>
      </c>
    </row>
    <row r="179" spans="1:16" x14ac:dyDescent="0.3">
      <c r="A179">
        <v>9.0954805000000007</v>
      </c>
      <c r="B179">
        <v>0.37877</v>
      </c>
      <c r="C179">
        <f t="shared" si="25"/>
        <v>3.4450951489850001</v>
      </c>
      <c r="D179">
        <v>1.6299999999999999E-2</v>
      </c>
      <c r="E179">
        <v>2.8849251857154604E-3</v>
      </c>
      <c r="F179">
        <f t="shared" si="26"/>
        <v>1819.0961000000002</v>
      </c>
      <c r="G179">
        <f t="shared" si="36"/>
        <v>-0.37877</v>
      </c>
      <c r="H179">
        <f t="shared" si="28"/>
        <v>-689.01902979700003</v>
      </c>
      <c r="I179">
        <v>1</v>
      </c>
      <c r="J179">
        <f t="shared" si="29"/>
        <v>0.59833972936641355</v>
      </c>
      <c r="K179">
        <f t="shared" si="30"/>
        <v>-0.80114057297601193</v>
      </c>
      <c r="L179">
        <v>1</v>
      </c>
      <c r="M179">
        <f t="shared" si="31"/>
        <v>0.54300229933434818</v>
      </c>
      <c r="N179">
        <f t="shared" si="37"/>
        <v>0.14825633215</v>
      </c>
      <c r="O179">
        <f t="shared" si="38"/>
        <v>2.6239780770633849E-2</v>
      </c>
      <c r="P179">
        <f t="shared" si="39"/>
        <v>8.3642160721029896E-2</v>
      </c>
    </row>
    <row r="180" spans="1:16" x14ac:dyDescent="0.3">
      <c r="A180">
        <v>9.1458905999999995</v>
      </c>
      <c r="B180">
        <v>0.37685999999999997</v>
      </c>
      <c r="C180">
        <f t="shared" si="25"/>
        <v>3.4467203315159995</v>
      </c>
      <c r="D180">
        <v>1.6299999999999999E-2</v>
      </c>
      <c r="E180">
        <v>2.8849251857154604E-3</v>
      </c>
      <c r="F180">
        <f t="shared" si="26"/>
        <v>1829.1781199999998</v>
      </c>
      <c r="G180">
        <f t="shared" si="36"/>
        <v>-0.37685999999999997</v>
      </c>
      <c r="H180">
        <f t="shared" si="28"/>
        <v>-689.34406630319995</v>
      </c>
      <c r="I180">
        <v>1</v>
      </c>
      <c r="J180">
        <f t="shared" si="29"/>
        <v>0.60386675121699374</v>
      </c>
      <c r="K180">
        <f t="shared" si="30"/>
        <v>-0.80305057297601201</v>
      </c>
      <c r="L180">
        <v>1</v>
      </c>
      <c r="M180">
        <f t="shared" si="31"/>
        <v>0.54326096395695533</v>
      </c>
      <c r="N180">
        <f t="shared" si="37"/>
        <v>0.14907801677999999</v>
      </c>
      <c r="O180">
        <f t="shared" si="38"/>
        <v>2.6385210137738282E-2</v>
      </c>
      <c r="P180">
        <f t="shared" si="39"/>
        <v>8.4326382101318403E-2</v>
      </c>
    </row>
    <row r="181" spans="1:16" x14ac:dyDescent="0.3">
      <c r="A181">
        <v>9.1978270999999996</v>
      </c>
      <c r="B181">
        <v>0.37498999999999999</v>
      </c>
      <c r="C181">
        <f t="shared" si="25"/>
        <v>3.4490931842289996</v>
      </c>
      <c r="D181">
        <v>1.6299999999999999E-2</v>
      </c>
      <c r="E181">
        <v>2.8849251857154604E-3</v>
      </c>
      <c r="F181">
        <f t="shared" si="26"/>
        <v>1839.5654199999999</v>
      </c>
      <c r="G181">
        <f t="shared" si="36"/>
        <v>-0.37498999999999999</v>
      </c>
      <c r="H181">
        <f t="shared" si="28"/>
        <v>-689.81863684579992</v>
      </c>
      <c r="I181">
        <v>1</v>
      </c>
      <c r="J181">
        <f t="shared" si="29"/>
        <v>0.60952935894226734</v>
      </c>
      <c r="K181">
        <f t="shared" si="30"/>
        <v>-0.80492057297601205</v>
      </c>
      <c r="L181">
        <v>1</v>
      </c>
      <c r="M181">
        <f t="shared" si="31"/>
        <v>0.54352597399849811</v>
      </c>
      <c r="N181">
        <f t="shared" si="37"/>
        <v>0.14992458172999998</v>
      </c>
      <c r="O181">
        <f t="shared" si="38"/>
        <v>2.6535043054646192E-2</v>
      </c>
      <c r="P181">
        <f t="shared" si="39"/>
        <v>8.4934974192867774E-2</v>
      </c>
    </row>
    <row r="182" spans="1:16" x14ac:dyDescent="0.3">
      <c r="A182">
        <v>9.2502733999999993</v>
      </c>
      <c r="B182">
        <v>0.37253999999999998</v>
      </c>
      <c r="C182">
        <f t="shared" si="25"/>
        <v>3.4460968524359994</v>
      </c>
      <c r="D182">
        <v>1.6299999999999999E-2</v>
      </c>
      <c r="E182">
        <v>2.8849251857154604E-3</v>
      </c>
      <c r="F182">
        <f t="shared" si="26"/>
        <v>1850.05468</v>
      </c>
      <c r="G182">
        <f t="shared" si="36"/>
        <v>-0.37253999999999998</v>
      </c>
      <c r="H182">
        <f t="shared" si="28"/>
        <v>-689.21937048719985</v>
      </c>
      <c r="I182">
        <v>1</v>
      </c>
      <c r="J182">
        <f t="shared" si="29"/>
        <v>0.61521519541019787</v>
      </c>
      <c r="K182">
        <f t="shared" si="30"/>
        <v>-0.807370572976012</v>
      </c>
      <c r="L182">
        <v>1</v>
      </c>
      <c r="M182">
        <f t="shared" si="31"/>
        <v>0.54379207114519723</v>
      </c>
      <c r="N182">
        <f t="shared" si="37"/>
        <v>0.15077945641999999</v>
      </c>
      <c r="O182">
        <f t="shared" si="38"/>
        <v>2.6686346706413781E-2</v>
      </c>
      <c r="P182">
        <f t="shared" si="39"/>
        <v>8.6112698704400997E-2</v>
      </c>
    </row>
    <row r="183" spans="1:16" x14ac:dyDescent="0.3">
      <c r="A183">
        <v>9.3022100000000005</v>
      </c>
      <c r="B183">
        <v>0.37059999999999998</v>
      </c>
      <c r="C183">
        <f t="shared" si="25"/>
        <v>3.4473990260000003</v>
      </c>
      <c r="D183">
        <v>1.6299999999999999E-2</v>
      </c>
      <c r="E183">
        <v>2.8849251857154604E-3</v>
      </c>
      <c r="F183">
        <f t="shared" si="26"/>
        <v>1860.442</v>
      </c>
      <c r="G183">
        <f t="shared" si="36"/>
        <v>-0.37059999999999998</v>
      </c>
      <c r="H183">
        <f t="shared" si="28"/>
        <v>-689.4798052000001</v>
      </c>
      <c r="I183">
        <v>1</v>
      </c>
      <c r="J183">
        <f t="shared" si="29"/>
        <v>0.62081409390312825</v>
      </c>
      <c r="K183">
        <f t="shared" si="30"/>
        <v>-0.80931057297601194</v>
      </c>
      <c r="L183">
        <v>1</v>
      </c>
      <c r="M183">
        <f t="shared" si="31"/>
        <v>0.54405409959466644</v>
      </c>
      <c r="N183">
        <f t="shared" si="37"/>
        <v>0.151626023</v>
      </c>
      <c r="O183">
        <f t="shared" si="38"/>
        <v>2.6836179911814213E-2</v>
      </c>
      <c r="P183">
        <f t="shared" si="39"/>
        <v>8.6794270469531296E-2</v>
      </c>
    </row>
    <row r="184" spans="1:16" x14ac:dyDescent="0.3">
      <c r="A184">
        <v>9.3526191000000001</v>
      </c>
      <c r="B184">
        <v>0.36820999999999998</v>
      </c>
      <c r="C184">
        <f t="shared" si="25"/>
        <v>3.443727878811</v>
      </c>
      <c r="D184">
        <v>1.6299999999999999E-2</v>
      </c>
      <c r="E184">
        <v>2.8849251857154604E-3</v>
      </c>
      <c r="F184">
        <f t="shared" si="26"/>
        <v>1870.5238200000001</v>
      </c>
      <c r="G184">
        <f t="shared" si="36"/>
        <v>-0.36820999999999998</v>
      </c>
      <c r="H184">
        <f t="shared" si="28"/>
        <v>-688.74557576220002</v>
      </c>
      <c r="I184">
        <v>1</v>
      </c>
      <c r="J184">
        <f t="shared" si="29"/>
        <v>0.62621850928793099</v>
      </c>
      <c r="K184">
        <f t="shared" si="30"/>
        <v>-0.81170057297601206</v>
      </c>
      <c r="L184">
        <v>1</v>
      </c>
      <c r="M184">
        <f t="shared" si="31"/>
        <v>0.5443070262346752</v>
      </c>
      <c r="N184">
        <f t="shared" si="37"/>
        <v>0.15244769133</v>
      </c>
      <c r="O184">
        <f t="shared" si="38"/>
        <v>2.6981606393993461E-2</v>
      </c>
      <c r="P184">
        <f t="shared" si="39"/>
        <v>8.7964249017343399E-2</v>
      </c>
    </row>
    <row r="185" spans="1:16" x14ac:dyDescent="0.3">
      <c r="A185">
        <v>9.4040458999999998</v>
      </c>
      <c r="B185">
        <v>0.36601</v>
      </c>
      <c r="C185">
        <f t="shared" si="25"/>
        <v>3.4419748398589998</v>
      </c>
      <c r="D185">
        <v>1.6299999999999999E-2</v>
      </c>
      <c r="E185">
        <v>2.8849251857154604E-3</v>
      </c>
      <c r="F185">
        <f t="shared" si="26"/>
        <v>1880.80918</v>
      </c>
      <c r="G185">
        <f t="shared" si="36"/>
        <v>-0.36601</v>
      </c>
      <c r="H185">
        <f t="shared" si="28"/>
        <v>-688.39496797179993</v>
      </c>
      <c r="I185">
        <v>1</v>
      </c>
      <c r="J185">
        <f t="shared" si="29"/>
        <v>0.63170209913355502</v>
      </c>
      <c r="K185">
        <f t="shared" si="30"/>
        <v>-0.81390057297601204</v>
      </c>
      <c r="L185">
        <v>1</v>
      </c>
      <c r="M185">
        <f t="shared" si="31"/>
        <v>0.54456365823945041</v>
      </c>
      <c r="N185">
        <f t="shared" si="37"/>
        <v>0.15328594816999999</v>
      </c>
      <c r="O185">
        <f t="shared" si="38"/>
        <v>2.7129968864534212E-2</v>
      </c>
      <c r="P185">
        <f t="shared" si="39"/>
        <v>8.8920997702027424E-2</v>
      </c>
    </row>
    <row r="186" spans="1:16" x14ac:dyDescent="0.3">
      <c r="A186">
        <v>9.4549648000000008</v>
      </c>
      <c r="B186">
        <v>0.36407</v>
      </c>
      <c r="C186">
        <f t="shared" si="25"/>
        <v>3.4422690347360003</v>
      </c>
      <c r="D186">
        <v>1.6299999999999999E-2</v>
      </c>
      <c r="E186">
        <v>2.8849251857154604E-3</v>
      </c>
      <c r="F186">
        <f t="shared" si="26"/>
        <v>1890.9929600000003</v>
      </c>
      <c r="G186">
        <f t="shared" si="36"/>
        <v>-0.36407</v>
      </c>
      <c r="H186">
        <f t="shared" si="28"/>
        <v>-688.45380694720006</v>
      </c>
      <c r="I186">
        <v>1</v>
      </c>
      <c r="J186">
        <f t="shared" si="29"/>
        <v>0.63710206677145298</v>
      </c>
      <c r="K186">
        <f t="shared" si="30"/>
        <v>-0.81584057297601198</v>
      </c>
      <c r="L186">
        <v>1</v>
      </c>
      <c r="M186">
        <f t="shared" si="31"/>
        <v>0.54481637672490402</v>
      </c>
      <c r="N186">
        <f t="shared" si="37"/>
        <v>0.15411592624000001</v>
      </c>
      <c r="O186">
        <f t="shared" si="38"/>
        <v>2.7276866081573144E-2</v>
      </c>
      <c r="P186">
        <f t="shared" si="39"/>
        <v>8.9631403929534809E-2</v>
      </c>
    </row>
    <row r="187" spans="1:16" x14ac:dyDescent="0.3">
      <c r="A187">
        <v>9.5058828000000002</v>
      </c>
      <c r="B187">
        <v>0.36187000000000002</v>
      </c>
      <c r="C187">
        <f t="shared" si="25"/>
        <v>3.4398938088360005</v>
      </c>
      <c r="D187">
        <v>1.6299999999999999E-2</v>
      </c>
      <c r="E187">
        <v>2.8849251857154604E-3</v>
      </c>
      <c r="F187">
        <f t="shared" si="26"/>
        <v>1901.1765600000001</v>
      </c>
      <c r="G187">
        <f t="shared" si="36"/>
        <v>-0.36187000000000002</v>
      </c>
      <c r="H187">
        <f t="shared" si="28"/>
        <v>-687.97876176720013</v>
      </c>
      <c r="I187">
        <v>1</v>
      </c>
      <c r="J187">
        <f t="shared" si="29"/>
        <v>0.6424729366263805</v>
      </c>
      <c r="K187">
        <f t="shared" si="30"/>
        <v>-0.81804057297601196</v>
      </c>
      <c r="L187">
        <v>1</v>
      </c>
      <c r="M187">
        <f t="shared" si="31"/>
        <v>0.54506773343411463</v>
      </c>
      <c r="N187">
        <f t="shared" si="37"/>
        <v>0.15494588964</v>
      </c>
      <c r="O187">
        <f t="shared" si="38"/>
        <v>2.74237607021794E-2</v>
      </c>
      <c r="P187">
        <f t="shared" si="39"/>
        <v>9.0603189199717923E-2</v>
      </c>
    </row>
    <row r="188" spans="1:16" x14ac:dyDescent="0.3">
      <c r="A188">
        <v>9.559346699999999</v>
      </c>
      <c r="B188">
        <v>0.35970999999999997</v>
      </c>
      <c r="C188">
        <f t="shared" si="25"/>
        <v>3.4385926014569992</v>
      </c>
      <c r="D188">
        <v>1.6299999999999999E-2</v>
      </c>
      <c r="E188">
        <v>2.8849251857154604E-3</v>
      </c>
      <c r="F188">
        <f t="shared" si="26"/>
        <v>1911.8693399999997</v>
      </c>
      <c r="G188">
        <f t="shared" ref="G188:G211" si="40">-B188</f>
        <v>-0.35970999999999997</v>
      </c>
      <c r="H188">
        <f t="shared" si="28"/>
        <v>-687.71852029139984</v>
      </c>
      <c r="I188">
        <v>1</v>
      </c>
      <c r="J188">
        <f t="shared" si="29"/>
        <v>0.64808147547405881</v>
      </c>
      <c r="K188">
        <f t="shared" ref="K188:K211" si="41">((-G188)-$N$2)</f>
        <v>-0.82020057297601201</v>
      </c>
      <c r="L188">
        <v>1</v>
      </c>
      <c r="M188">
        <f t="shared" si="31"/>
        <v>0.54533021305218599</v>
      </c>
      <c r="N188">
        <f t="shared" ref="N188:N211" si="42">D188*A188</f>
        <v>0.15581735120999998</v>
      </c>
      <c r="O188">
        <f t="shared" ref="O188:O211" si="43">E188*A188</f>
        <v>2.7578000053815971E-2</v>
      </c>
      <c r="P188">
        <f t="shared" ref="P188:P211" si="44">-K188-M188-N188-O188</f>
        <v>9.1475008660010071E-2</v>
      </c>
    </row>
    <row r="189" spans="1:16" x14ac:dyDescent="0.3">
      <c r="A189">
        <v>9.6097558999999997</v>
      </c>
      <c r="B189">
        <v>0.35763</v>
      </c>
      <c r="C189">
        <f t="shared" si="25"/>
        <v>3.4367370025169999</v>
      </c>
      <c r="D189">
        <v>1.6299999999999999E-2</v>
      </c>
      <c r="E189">
        <v>2.8849251857154604E-3</v>
      </c>
      <c r="F189">
        <f t="shared" si="26"/>
        <v>1921.95118</v>
      </c>
      <c r="G189">
        <f t="shared" si="40"/>
        <v>-0.35763</v>
      </c>
      <c r="H189">
        <f t="shared" si="28"/>
        <v>-687.34740050339997</v>
      </c>
      <c r="I189">
        <v>1</v>
      </c>
      <c r="J189">
        <f t="shared" si="29"/>
        <v>0.65334090960114977</v>
      </c>
      <c r="K189">
        <f t="shared" si="41"/>
        <v>-0.82228057297601198</v>
      </c>
      <c r="L189">
        <v>1</v>
      </c>
      <c r="M189">
        <f t="shared" si="31"/>
        <v>0.54557635456933384</v>
      </c>
      <c r="N189">
        <f t="shared" si="42"/>
        <v>0.15663902116999998</v>
      </c>
      <c r="O189">
        <f t="shared" si="43"/>
        <v>2.7723426824487741E-2</v>
      </c>
      <c r="P189">
        <f t="shared" si="44"/>
        <v>9.2341770412190424E-2</v>
      </c>
    </row>
    <row r="190" spans="1:16" x14ac:dyDescent="0.3">
      <c r="A190">
        <v>9.6606737999999996</v>
      </c>
      <c r="B190">
        <v>0.35548999999999997</v>
      </c>
      <c r="C190">
        <f t="shared" si="25"/>
        <v>3.4342729291619998</v>
      </c>
      <c r="D190">
        <v>1.6299999999999999E-2</v>
      </c>
      <c r="E190">
        <v>2.8849251857154604E-3</v>
      </c>
      <c r="F190">
        <f t="shared" si="26"/>
        <v>1932.1347599999999</v>
      </c>
      <c r="G190">
        <f t="shared" si="40"/>
        <v>-0.35548999999999997</v>
      </c>
      <c r="H190">
        <f t="shared" si="28"/>
        <v>-686.85458583239995</v>
      </c>
      <c r="I190">
        <v>1</v>
      </c>
      <c r="J190">
        <f t="shared" si="29"/>
        <v>0.65862548491059481</v>
      </c>
      <c r="K190">
        <f t="shared" si="41"/>
        <v>-0.82442057297601201</v>
      </c>
      <c r="L190">
        <v>1</v>
      </c>
      <c r="M190">
        <f t="shared" si="31"/>
        <v>0.54582367269381582</v>
      </c>
      <c r="N190">
        <f t="shared" si="42"/>
        <v>0.15746898293999997</v>
      </c>
      <c r="O190">
        <f t="shared" si="43"/>
        <v>2.7870321156601482E-2</v>
      </c>
      <c r="P190">
        <f t="shared" si="44"/>
        <v>9.3257596185594732E-2</v>
      </c>
    </row>
    <row r="191" spans="1:16" x14ac:dyDescent="0.3">
      <c r="A191">
        <v>9.7146483999999997</v>
      </c>
      <c r="B191">
        <v>0.35353000000000001</v>
      </c>
      <c r="C191">
        <f t="shared" si="25"/>
        <v>3.4344196488519998</v>
      </c>
      <c r="D191">
        <v>1.6299999999999999E-2</v>
      </c>
      <c r="E191">
        <v>2.8849251857154604E-3</v>
      </c>
      <c r="F191">
        <f t="shared" si="26"/>
        <v>1942.92968</v>
      </c>
      <c r="G191">
        <f t="shared" si="40"/>
        <v>-0.35353000000000001</v>
      </c>
      <c r="H191">
        <f t="shared" si="28"/>
        <v>-686.88392977039996</v>
      </c>
      <c r="I191">
        <v>1</v>
      </c>
      <c r="J191">
        <f t="shared" si="29"/>
        <v>0.66419697828386592</v>
      </c>
      <c r="K191">
        <f t="shared" si="41"/>
        <v>-0.82638057297601197</v>
      </c>
      <c r="L191">
        <v>1</v>
      </c>
      <c r="M191">
        <f t="shared" si="31"/>
        <v>0.54608441858368495</v>
      </c>
      <c r="N191">
        <f t="shared" si="42"/>
        <v>0.15834876891999999</v>
      </c>
      <c r="O191">
        <f t="shared" si="43"/>
        <v>2.8026033839530399E-2</v>
      </c>
      <c r="P191">
        <f t="shared" si="44"/>
        <v>9.3921351632796635E-2</v>
      </c>
    </row>
    <row r="192" spans="1:16" x14ac:dyDescent="0.3">
      <c r="A192">
        <v>9.7706581999999997</v>
      </c>
      <c r="B192">
        <v>0.35076000000000002</v>
      </c>
      <c r="C192">
        <f t="shared" si="25"/>
        <v>3.4271560702319999</v>
      </c>
      <c r="D192">
        <v>1.6299999999999999E-2</v>
      </c>
      <c r="E192">
        <v>2.8849251857154604E-3</v>
      </c>
      <c r="F192">
        <f t="shared" si="26"/>
        <v>1954.1316400000001</v>
      </c>
      <c r="G192">
        <f t="shared" si="40"/>
        <v>-0.35076000000000002</v>
      </c>
      <c r="H192">
        <f t="shared" si="28"/>
        <v>-685.43121404639999</v>
      </c>
      <c r="I192">
        <v>1</v>
      </c>
      <c r="J192">
        <f t="shared" si="29"/>
        <v>0.66994592084983307</v>
      </c>
      <c r="K192">
        <f t="shared" si="41"/>
        <v>-0.82915057297601202</v>
      </c>
      <c r="L192">
        <v>1</v>
      </c>
      <c r="M192">
        <f t="shared" si="31"/>
        <v>0.5463534690957722</v>
      </c>
      <c r="N192">
        <f t="shared" si="42"/>
        <v>0.15926172865999999</v>
      </c>
      <c r="O192">
        <f t="shared" si="43"/>
        <v>2.8187617922197285E-2</v>
      </c>
      <c r="P192">
        <f t="shared" si="44"/>
        <v>9.534775729804254E-2</v>
      </c>
    </row>
    <row r="193" spans="1:16" x14ac:dyDescent="0.3">
      <c r="A193">
        <v>9.8210673999999987</v>
      </c>
      <c r="B193">
        <v>0.34850999999999999</v>
      </c>
      <c r="C193">
        <f t="shared" si="25"/>
        <v>3.4227401995739992</v>
      </c>
      <c r="D193">
        <v>1.6299999999999999E-2</v>
      </c>
      <c r="E193">
        <v>2.8849251857154604E-3</v>
      </c>
      <c r="F193">
        <f t="shared" si="26"/>
        <v>1964.2134799999997</v>
      </c>
      <c r="G193">
        <f t="shared" si="40"/>
        <v>-0.34850999999999999</v>
      </c>
      <c r="H193">
        <f t="shared" si="28"/>
        <v>-684.5480399147998</v>
      </c>
      <c r="I193">
        <v>1</v>
      </c>
      <c r="J193">
        <f t="shared" si="29"/>
        <v>0.67509190056291157</v>
      </c>
      <c r="K193">
        <f t="shared" si="41"/>
        <v>-0.831400572976012</v>
      </c>
      <c r="L193">
        <v>1</v>
      </c>
      <c r="M193">
        <f t="shared" si="31"/>
        <v>0.54659430094634431</v>
      </c>
      <c r="N193">
        <f t="shared" si="42"/>
        <v>0.16008339861999996</v>
      </c>
      <c r="O193">
        <f t="shared" si="43"/>
        <v>2.8333044692869049E-2</v>
      </c>
      <c r="P193">
        <f t="shared" si="44"/>
        <v>9.6389828716798687E-2</v>
      </c>
    </row>
    <row r="194" spans="1:16" x14ac:dyDescent="0.3">
      <c r="A194">
        <v>9.8714765999999994</v>
      </c>
      <c r="B194">
        <v>0.34637000000000001</v>
      </c>
      <c r="C194">
        <f t="shared" si="25"/>
        <v>3.4191833499419997</v>
      </c>
      <c r="D194">
        <v>1.6299999999999999E-2</v>
      </c>
      <c r="E194">
        <v>2.8849251857154604E-3</v>
      </c>
      <c r="F194">
        <f t="shared" si="26"/>
        <v>1974.2953199999999</v>
      </c>
      <c r="G194">
        <f t="shared" si="40"/>
        <v>-0.34637000000000001</v>
      </c>
      <c r="H194">
        <f t="shared" si="28"/>
        <v>-683.83666998839999</v>
      </c>
      <c r="I194">
        <v>1</v>
      </c>
      <c r="J194">
        <f t="shared" si="29"/>
        <v>0.68021153468482021</v>
      </c>
      <c r="K194">
        <f t="shared" si="41"/>
        <v>-0.83354057297601192</v>
      </c>
      <c r="L194">
        <v>1</v>
      </c>
      <c r="M194">
        <f t="shared" si="31"/>
        <v>0.54683389982324959</v>
      </c>
      <c r="N194">
        <f t="shared" si="42"/>
        <v>0.16090506857999998</v>
      </c>
      <c r="O194">
        <f t="shared" si="43"/>
        <v>2.8478471463540819E-2</v>
      </c>
      <c r="P194">
        <f t="shared" si="44"/>
        <v>9.7323133109221527E-2</v>
      </c>
    </row>
    <row r="195" spans="1:16" x14ac:dyDescent="0.3">
      <c r="A195">
        <v>9.9223945000000011</v>
      </c>
      <c r="B195">
        <v>0.34421000000000002</v>
      </c>
      <c r="C195">
        <f t="shared" si="25"/>
        <v>3.4153874108450006</v>
      </c>
      <c r="D195">
        <v>1.6299999999999999E-2</v>
      </c>
      <c r="E195">
        <v>2.8849251857154604E-3</v>
      </c>
      <c r="F195">
        <f t="shared" si="26"/>
        <v>1984.4789000000003</v>
      </c>
      <c r="G195">
        <f t="shared" si="40"/>
        <v>-0.34421000000000002</v>
      </c>
      <c r="H195">
        <f t="shared" si="28"/>
        <v>-683.07748216900018</v>
      </c>
      <c r="I195">
        <v>1</v>
      </c>
      <c r="J195">
        <f t="shared" si="29"/>
        <v>0.68535636078335016</v>
      </c>
      <c r="K195">
        <f t="shared" si="41"/>
        <v>-0.83570057297601197</v>
      </c>
      <c r="L195">
        <v>1</v>
      </c>
      <c r="M195">
        <f t="shared" si="31"/>
        <v>0.54707467768466078</v>
      </c>
      <c r="N195">
        <f t="shared" si="42"/>
        <v>0.16173503035</v>
      </c>
      <c r="O195">
        <f t="shared" si="43"/>
        <v>2.8625365795654566E-2</v>
      </c>
      <c r="P195">
        <f t="shared" si="44"/>
        <v>9.8265499145696614E-2</v>
      </c>
    </row>
    <row r="196" spans="1:16" x14ac:dyDescent="0.3">
      <c r="A196">
        <v>9.9738223000000001</v>
      </c>
      <c r="B196">
        <v>0.34189999999999998</v>
      </c>
      <c r="C196">
        <f t="shared" si="25"/>
        <v>3.41004984437</v>
      </c>
      <c r="D196">
        <v>1.6299999999999999E-2</v>
      </c>
      <c r="E196">
        <v>2.8849251857154604E-3</v>
      </c>
      <c r="F196">
        <f t="shared" si="26"/>
        <v>1994.7644600000001</v>
      </c>
      <c r="G196">
        <f t="shared" si="40"/>
        <v>-0.34189999999999998</v>
      </c>
      <c r="H196">
        <f t="shared" si="28"/>
        <v>-682.00996887400004</v>
      </c>
      <c r="I196">
        <v>1</v>
      </c>
      <c r="J196">
        <f t="shared" si="29"/>
        <v>0.69052597820867956</v>
      </c>
      <c r="K196">
        <f t="shared" si="41"/>
        <v>-0.838010572976012</v>
      </c>
      <c r="L196">
        <v>1</v>
      </c>
      <c r="M196">
        <f t="shared" si="31"/>
        <v>0.54731661578016622</v>
      </c>
      <c r="N196">
        <f t="shared" si="42"/>
        <v>0.16257330348999999</v>
      </c>
      <c r="O196">
        <f t="shared" si="43"/>
        <v>2.8773731151120502E-2</v>
      </c>
      <c r="P196">
        <f t="shared" si="44"/>
        <v>9.9346922554725298E-2</v>
      </c>
    </row>
    <row r="197" spans="1:16" x14ac:dyDescent="0.3">
      <c r="A197">
        <v>10.026268999999999</v>
      </c>
      <c r="B197">
        <v>0.33979999999999999</v>
      </c>
      <c r="C197">
        <f t="shared" ref="C197:C211" si="45">A197*B197</f>
        <v>3.4069262061999996</v>
      </c>
      <c r="D197">
        <v>1.6299999999999999E-2</v>
      </c>
      <c r="E197">
        <v>2.8849251857154604E-3</v>
      </c>
      <c r="F197">
        <f t="shared" ref="F197:F260" si="46">A197*200</f>
        <v>2005.2538</v>
      </c>
      <c r="G197">
        <f t="shared" si="40"/>
        <v>-0.33979999999999999</v>
      </c>
      <c r="H197">
        <f t="shared" ref="H197:H211" si="47">-C197*200</f>
        <v>-681.38524123999991</v>
      </c>
      <c r="I197">
        <v>1</v>
      </c>
      <c r="J197">
        <f t="shared" ref="J197:J260" si="48">LN(F197/1000)</f>
        <v>0.69577063628865909</v>
      </c>
      <c r="K197">
        <f t="shared" si="41"/>
        <v>-0.84011057297601199</v>
      </c>
      <c r="L197">
        <v>1</v>
      </c>
      <c r="M197">
        <f t="shared" ref="M197:M260" si="49">-1*($S$4+($S$5*J197))</f>
        <v>0.54756206577830924</v>
      </c>
      <c r="N197">
        <f t="shared" si="42"/>
        <v>0.16342818469999998</v>
      </c>
      <c r="O197">
        <f t="shared" si="43"/>
        <v>2.892503595685816E-2</v>
      </c>
      <c r="P197">
        <f t="shared" si="44"/>
        <v>0.10019528654084461</v>
      </c>
    </row>
    <row r="198" spans="1:16" x14ac:dyDescent="0.3">
      <c r="A198">
        <v>10.078713</v>
      </c>
      <c r="B198">
        <v>0.3372</v>
      </c>
      <c r="C198">
        <f t="shared" si="45"/>
        <v>3.3985420236000001</v>
      </c>
      <c r="D198">
        <v>1.6299999999999999E-2</v>
      </c>
      <c r="E198">
        <v>2.8849251857154604E-3</v>
      </c>
      <c r="F198">
        <f t="shared" si="46"/>
        <v>2015.7426</v>
      </c>
      <c r="G198">
        <f t="shared" si="40"/>
        <v>-0.3372</v>
      </c>
      <c r="H198">
        <f t="shared" si="47"/>
        <v>-679.70840471999998</v>
      </c>
      <c r="I198">
        <v>1</v>
      </c>
      <c r="J198">
        <f t="shared" si="48"/>
        <v>0.70098766348609087</v>
      </c>
      <c r="K198">
        <f t="shared" si="41"/>
        <v>-0.84271057297601204</v>
      </c>
      <c r="L198">
        <v>1</v>
      </c>
      <c r="M198">
        <f t="shared" si="49"/>
        <v>0.54780622265114909</v>
      </c>
      <c r="N198">
        <f t="shared" si="42"/>
        <v>0.16428302189999999</v>
      </c>
      <c r="O198">
        <f t="shared" si="43"/>
        <v>2.9076332973297828E-2</v>
      </c>
      <c r="P198">
        <f t="shared" si="44"/>
        <v>0.10154499545156513</v>
      </c>
    </row>
    <row r="199" spans="1:16" x14ac:dyDescent="0.3">
      <c r="A199">
        <v>10.133706</v>
      </c>
      <c r="B199">
        <v>0.33502999999999999</v>
      </c>
      <c r="C199">
        <f t="shared" si="45"/>
        <v>3.39509552118</v>
      </c>
      <c r="D199">
        <v>1.6299999999999999E-2</v>
      </c>
      <c r="E199">
        <v>2.8849251857154604E-3</v>
      </c>
      <c r="F199">
        <f t="shared" si="46"/>
        <v>2026.7411999999999</v>
      </c>
      <c r="G199">
        <f t="shared" si="40"/>
        <v>-0.33502999999999999</v>
      </c>
      <c r="H199">
        <f t="shared" si="47"/>
        <v>-679.01910423599998</v>
      </c>
      <c r="I199">
        <v>1</v>
      </c>
      <c r="J199">
        <f t="shared" si="48"/>
        <v>0.70642918294952328</v>
      </c>
      <c r="K199">
        <f t="shared" si="41"/>
        <v>-0.84488057297601205</v>
      </c>
      <c r="L199">
        <v>1</v>
      </c>
      <c r="M199">
        <f t="shared" si="49"/>
        <v>0.54806088576203771</v>
      </c>
      <c r="N199">
        <f t="shared" si="42"/>
        <v>0.16517940779999998</v>
      </c>
      <c r="O199">
        <f t="shared" si="43"/>
        <v>2.9234983664035874E-2</v>
      </c>
      <c r="P199">
        <f t="shared" si="44"/>
        <v>0.10240529574993848</v>
      </c>
    </row>
    <row r="200" spans="1:16" x14ac:dyDescent="0.3">
      <c r="A200">
        <v>10.184623</v>
      </c>
      <c r="B200">
        <v>0.33266000000000001</v>
      </c>
      <c r="C200">
        <f t="shared" si="45"/>
        <v>3.3880166871800004</v>
      </c>
      <c r="D200">
        <v>1.6299999999999999E-2</v>
      </c>
      <c r="E200">
        <v>2.8849251857154604E-3</v>
      </c>
      <c r="F200">
        <f t="shared" si="46"/>
        <v>2036.9246000000001</v>
      </c>
      <c r="G200">
        <f t="shared" si="40"/>
        <v>-0.33266000000000001</v>
      </c>
      <c r="H200">
        <f t="shared" si="47"/>
        <v>-677.60333743600006</v>
      </c>
      <c r="I200">
        <v>1</v>
      </c>
      <c r="J200">
        <f t="shared" si="48"/>
        <v>0.71144112134113002</v>
      </c>
      <c r="K200">
        <f t="shared" si="41"/>
        <v>-0.84725057297601203</v>
      </c>
      <c r="L200">
        <v>1</v>
      </c>
      <c r="M200">
        <f t="shared" si="49"/>
        <v>0.54829544447876488</v>
      </c>
      <c r="N200">
        <f t="shared" si="42"/>
        <v>0.16600935489999999</v>
      </c>
      <c r="O200">
        <f t="shared" si="43"/>
        <v>2.9381875399716949E-2</v>
      </c>
      <c r="P200">
        <f t="shared" si="44"/>
        <v>0.1035638981975302</v>
      </c>
    </row>
    <row r="201" spans="1:16" x14ac:dyDescent="0.3">
      <c r="A201">
        <v>10.235543</v>
      </c>
      <c r="B201">
        <v>0.33027000000000001</v>
      </c>
      <c r="C201">
        <f t="shared" si="45"/>
        <v>3.3804927866100001</v>
      </c>
      <c r="D201">
        <v>1.6299999999999999E-2</v>
      </c>
      <c r="E201">
        <v>2.8849251857154604E-3</v>
      </c>
      <c r="F201">
        <f t="shared" si="46"/>
        <v>2047.1086</v>
      </c>
      <c r="G201">
        <f t="shared" si="40"/>
        <v>-0.33027000000000001</v>
      </c>
      <c r="H201">
        <f t="shared" si="47"/>
        <v>-676.09855732200003</v>
      </c>
      <c r="I201">
        <v>1</v>
      </c>
      <c r="J201">
        <f t="shared" si="48"/>
        <v>0.71642835852053521</v>
      </c>
      <c r="K201">
        <f t="shared" si="41"/>
        <v>-0.84964057297601192</v>
      </c>
      <c r="L201">
        <v>1</v>
      </c>
      <c r="M201">
        <f t="shared" si="49"/>
        <v>0.54852884717876105</v>
      </c>
      <c r="N201">
        <f t="shared" si="42"/>
        <v>0.16683935089999999</v>
      </c>
      <c r="O201">
        <f t="shared" si="43"/>
        <v>2.952877579017358E-2</v>
      </c>
      <c r="P201">
        <f t="shared" si="44"/>
        <v>0.10474359910707731</v>
      </c>
    </row>
    <row r="202" spans="1:16" x14ac:dyDescent="0.3">
      <c r="A202">
        <v>10.28646</v>
      </c>
      <c r="B202">
        <v>0.32806000000000002</v>
      </c>
      <c r="C202">
        <f t="shared" si="45"/>
        <v>3.3745760676000001</v>
      </c>
      <c r="D202">
        <v>1.6299999999999999E-2</v>
      </c>
      <c r="E202">
        <v>2.8849251857154604E-3</v>
      </c>
      <c r="F202">
        <f t="shared" si="46"/>
        <v>2057.2919999999999</v>
      </c>
      <c r="G202">
        <f t="shared" si="40"/>
        <v>-0.32806000000000002</v>
      </c>
      <c r="H202">
        <f t="shared" si="47"/>
        <v>-674.91521352000007</v>
      </c>
      <c r="I202">
        <v>1</v>
      </c>
      <c r="J202">
        <f t="shared" si="48"/>
        <v>0.72139055489864357</v>
      </c>
      <c r="K202">
        <f t="shared" si="41"/>
        <v>-0.85185057297601197</v>
      </c>
      <c r="L202">
        <v>1</v>
      </c>
      <c r="M202">
        <f t="shared" si="49"/>
        <v>0.54876107796925655</v>
      </c>
      <c r="N202">
        <f t="shared" si="42"/>
        <v>0.16766929799999999</v>
      </c>
      <c r="O202">
        <f t="shared" si="43"/>
        <v>2.9675667525854654E-2</v>
      </c>
      <c r="P202">
        <f t="shared" si="44"/>
        <v>0.10574452948090077</v>
      </c>
    </row>
    <row r="203" spans="1:16" x14ac:dyDescent="0.3">
      <c r="A203">
        <v>10.338395999999999</v>
      </c>
      <c r="B203">
        <v>0.32561000000000001</v>
      </c>
      <c r="C203">
        <f t="shared" si="45"/>
        <v>3.3662851215599998</v>
      </c>
      <c r="D203">
        <v>1.6299999999999999E-2</v>
      </c>
      <c r="E203">
        <v>2.8849251857154604E-3</v>
      </c>
      <c r="F203">
        <f t="shared" si="46"/>
        <v>2067.6792</v>
      </c>
      <c r="G203">
        <f t="shared" si="40"/>
        <v>-0.32561000000000001</v>
      </c>
      <c r="H203">
        <f t="shared" si="47"/>
        <v>-673.257024312</v>
      </c>
      <c r="I203">
        <v>1</v>
      </c>
      <c r="J203">
        <f t="shared" si="48"/>
        <v>0.72642681888760452</v>
      </c>
      <c r="K203">
        <f t="shared" si="41"/>
        <v>-0.85430057297601203</v>
      </c>
      <c r="L203">
        <v>1</v>
      </c>
      <c r="M203">
        <f t="shared" si="49"/>
        <v>0.54899677512393996</v>
      </c>
      <c r="N203">
        <f t="shared" si="42"/>
        <v>0.16851585479999998</v>
      </c>
      <c r="O203">
        <f t="shared" si="43"/>
        <v>2.982549900029997E-2</v>
      </c>
      <c r="P203">
        <f t="shared" si="44"/>
        <v>0.10696244405177212</v>
      </c>
    </row>
    <row r="204" spans="1:16" x14ac:dyDescent="0.3">
      <c r="A204">
        <v>10.389824000000001</v>
      </c>
      <c r="B204">
        <v>0.32314999999999999</v>
      </c>
      <c r="C204">
        <f t="shared" si="45"/>
        <v>3.3574716256000001</v>
      </c>
      <c r="D204">
        <v>1.6299999999999999E-2</v>
      </c>
      <c r="E204">
        <v>2.8849251857154604E-3</v>
      </c>
      <c r="F204">
        <f t="shared" si="46"/>
        <v>2077.9648000000002</v>
      </c>
      <c r="G204">
        <f t="shared" si="40"/>
        <v>-0.32314999999999999</v>
      </c>
      <c r="H204">
        <f t="shared" si="47"/>
        <v>-671.49432511999998</v>
      </c>
      <c r="I204">
        <v>1</v>
      </c>
      <c r="J204">
        <f t="shared" si="48"/>
        <v>0.73138895316878927</v>
      </c>
      <c r="K204">
        <f t="shared" si="41"/>
        <v>-0.85676057297601194</v>
      </c>
      <c r="L204">
        <v>1</v>
      </c>
      <c r="M204">
        <f t="shared" si="49"/>
        <v>0.54922900300829935</v>
      </c>
      <c r="N204">
        <f t="shared" si="42"/>
        <v>0.16935413120000001</v>
      </c>
      <c r="O204">
        <f t="shared" si="43"/>
        <v>2.9973864932750949E-2</v>
      </c>
      <c r="P204">
        <f t="shared" si="44"/>
        <v>0.10820357383496162</v>
      </c>
    </row>
    <row r="205" spans="1:16" x14ac:dyDescent="0.3">
      <c r="A205">
        <v>10.444816000000001</v>
      </c>
      <c r="B205">
        <v>0.32088</v>
      </c>
      <c r="C205">
        <f t="shared" si="45"/>
        <v>3.3515325580800002</v>
      </c>
      <c r="D205">
        <v>1.6299999999999999E-2</v>
      </c>
      <c r="E205">
        <v>2.8849251857154604E-3</v>
      </c>
      <c r="F205">
        <f t="shared" si="46"/>
        <v>2088.9632000000001</v>
      </c>
      <c r="G205">
        <f t="shared" si="40"/>
        <v>-0.32088</v>
      </c>
      <c r="H205">
        <f t="shared" si="47"/>
        <v>-670.30651161600008</v>
      </c>
      <c r="I205">
        <v>1</v>
      </c>
      <c r="J205">
        <f t="shared" si="48"/>
        <v>0.73666786633501302</v>
      </c>
      <c r="K205">
        <f t="shared" si="41"/>
        <v>-0.85903057297601193</v>
      </c>
      <c r="L205">
        <v>1</v>
      </c>
      <c r="M205">
        <f t="shared" si="49"/>
        <v>0.54947605614447859</v>
      </c>
      <c r="N205">
        <f t="shared" si="42"/>
        <v>0.17025050080000001</v>
      </c>
      <c r="O205">
        <f t="shared" si="43"/>
        <v>3.0132512738563814E-2</v>
      </c>
      <c r="P205">
        <f t="shared" si="44"/>
        <v>0.10917150329296951</v>
      </c>
    </row>
    <row r="206" spans="1:16" x14ac:dyDescent="0.3">
      <c r="A206">
        <v>10.497262000000001</v>
      </c>
      <c r="B206">
        <v>0.31824000000000002</v>
      </c>
      <c r="C206">
        <f t="shared" si="45"/>
        <v>3.3406486588800006</v>
      </c>
      <c r="D206">
        <v>1.6299999999999999E-2</v>
      </c>
      <c r="E206">
        <v>2.8849251857154604E-3</v>
      </c>
      <c r="F206">
        <f t="shared" si="46"/>
        <v>2099.4524000000001</v>
      </c>
      <c r="G206">
        <f t="shared" si="40"/>
        <v>-0.31824000000000002</v>
      </c>
      <c r="H206">
        <f t="shared" si="47"/>
        <v>-668.12973177600009</v>
      </c>
      <c r="I206">
        <v>1</v>
      </c>
      <c r="J206">
        <f t="shared" si="48"/>
        <v>0.74167654882031853</v>
      </c>
      <c r="K206">
        <f t="shared" si="41"/>
        <v>-0.86167057297601191</v>
      </c>
      <c r="L206">
        <v>1</v>
      </c>
      <c r="M206">
        <f t="shared" si="49"/>
        <v>0.54971046248479094</v>
      </c>
      <c r="N206">
        <f t="shared" si="42"/>
        <v>0.1711053706</v>
      </c>
      <c r="O206">
        <f t="shared" si="43"/>
        <v>3.0283815524853847E-2</v>
      </c>
      <c r="P206">
        <f t="shared" si="44"/>
        <v>0.11057092436636712</v>
      </c>
    </row>
    <row r="207" spans="1:16" x14ac:dyDescent="0.3">
      <c r="A207">
        <v>10.550217999999999</v>
      </c>
      <c r="B207">
        <v>0.31569000000000003</v>
      </c>
      <c r="C207">
        <f t="shared" si="45"/>
        <v>3.33059832042</v>
      </c>
      <c r="D207">
        <v>1.6299999999999999E-2</v>
      </c>
      <c r="E207">
        <v>2.8849251857154604E-3</v>
      </c>
      <c r="F207">
        <f t="shared" si="46"/>
        <v>2110.0436</v>
      </c>
      <c r="G207">
        <f t="shared" si="40"/>
        <v>-0.31569000000000003</v>
      </c>
      <c r="H207">
        <f t="shared" si="47"/>
        <v>-666.11966408399996</v>
      </c>
      <c r="I207">
        <v>1</v>
      </c>
      <c r="J207">
        <f t="shared" si="48"/>
        <v>0.74670861078159678</v>
      </c>
      <c r="K207">
        <f t="shared" si="41"/>
        <v>-0.86422057297601196</v>
      </c>
      <c r="L207">
        <v>1</v>
      </c>
      <c r="M207">
        <f t="shared" si="49"/>
        <v>0.54994596298457876</v>
      </c>
      <c r="N207">
        <f t="shared" si="42"/>
        <v>0.17196855339999997</v>
      </c>
      <c r="O207">
        <f t="shared" si="43"/>
        <v>3.0436589622988591E-2</v>
      </c>
      <c r="P207">
        <f t="shared" si="44"/>
        <v>0.11186946696844463</v>
      </c>
    </row>
    <row r="208" spans="1:16" x14ac:dyDescent="0.3">
      <c r="A208">
        <v>10.601135999999999</v>
      </c>
      <c r="B208">
        <v>0.31347000000000003</v>
      </c>
      <c r="C208">
        <f t="shared" si="45"/>
        <v>3.3231381019199997</v>
      </c>
      <c r="D208">
        <v>1.6299999999999999E-2</v>
      </c>
      <c r="E208">
        <v>2.8849251857154604E-3</v>
      </c>
      <c r="F208">
        <f t="shared" si="46"/>
        <v>2120.2271999999998</v>
      </c>
      <c r="G208">
        <f t="shared" si="40"/>
        <v>-0.31347000000000003</v>
      </c>
      <c r="H208">
        <f t="shared" si="47"/>
        <v>-664.6276203839999</v>
      </c>
      <c r="I208">
        <v>1</v>
      </c>
      <c r="J208">
        <f t="shared" si="48"/>
        <v>0.75152325275296783</v>
      </c>
      <c r="K208">
        <f t="shared" si="41"/>
        <v>-0.86644057297601196</v>
      </c>
      <c r="L208">
        <v>1</v>
      </c>
      <c r="M208">
        <f t="shared" si="49"/>
        <v>0.55017128822883887</v>
      </c>
      <c r="N208">
        <f t="shared" si="42"/>
        <v>0.17279851679999997</v>
      </c>
      <c r="O208">
        <f t="shared" si="43"/>
        <v>3.0583484243594847E-2</v>
      </c>
      <c r="P208">
        <f t="shared" si="44"/>
        <v>0.11288728370357827</v>
      </c>
    </row>
    <row r="209" spans="1:16" x14ac:dyDescent="0.3">
      <c r="A209">
        <v>10.651545</v>
      </c>
      <c r="B209">
        <v>0.31091000000000002</v>
      </c>
      <c r="C209">
        <f t="shared" si="45"/>
        <v>3.3116718559500002</v>
      </c>
      <c r="D209">
        <v>1.6299999999999999E-2</v>
      </c>
      <c r="E209">
        <v>2.8849251857154604E-3</v>
      </c>
      <c r="F209">
        <f t="shared" si="46"/>
        <v>2130.3090000000002</v>
      </c>
      <c r="G209">
        <f t="shared" si="40"/>
        <v>-0.31091000000000002</v>
      </c>
      <c r="H209">
        <f t="shared" si="47"/>
        <v>-662.33437119000007</v>
      </c>
      <c r="I209">
        <v>1</v>
      </c>
      <c r="J209">
        <f t="shared" si="48"/>
        <v>0.75626703962217279</v>
      </c>
      <c r="K209">
        <f t="shared" si="41"/>
        <v>-0.86900057297601196</v>
      </c>
      <c r="L209">
        <v>1</v>
      </c>
      <c r="M209">
        <f t="shared" si="49"/>
        <v>0.55039329745431775</v>
      </c>
      <c r="N209">
        <f t="shared" si="42"/>
        <v>0.1736201835</v>
      </c>
      <c r="O209">
        <f t="shared" si="43"/>
        <v>3.0728910437281584E-2</v>
      </c>
      <c r="P209">
        <f t="shared" si="44"/>
        <v>0.11425818158441263</v>
      </c>
    </row>
    <row r="210" spans="1:16" x14ac:dyDescent="0.3">
      <c r="A210">
        <v>10.703479999999999</v>
      </c>
      <c r="B210">
        <v>0.30831999999999998</v>
      </c>
      <c r="C210">
        <f t="shared" si="45"/>
        <v>3.3000969535999993</v>
      </c>
      <c r="D210">
        <v>1.6299999999999999E-2</v>
      </c>
      <c r="E210">
        <v>2.8849251857154604E-3</v>
      </c>
      <c r="F210">
        <f t="shared" si="46"/>
        <v>2140.6959999999999</v>
      </c>
      <c r="G210">
        <f t="shared" si="40"/>
        <v>-0.30831999999999998</v>
      </c>
      <c r="H210">
        <f t="shared" si="47"/>
        <v>-660.01939071999982</v>
      </c>
      <c r="I210">
        <v>1</v>
      </c>
      <c r="J210">
        <f t="shared" si="48"/>
        <v>0.76113100980162252</v>
      </c>
      <c r="K210">
        <f t="shared" si="41"/>
        <v>-0.87159057297601206</v>
      </c>
      <c r="L210">
        <v>1</v>
      </c>
      <c r="M210">
        <f t="shared" si="49"/>
        <v>0.55062093125871592</v>
      </c>
      <c r="N210">
        <f t="shared" si="42"/>
        <v>0.17446672399999996</v>
      </c>
      <c r="O210">
        <f t="shared" si="43"/>
        <v>3.0878739026801712E-2</v>
      </c>
      <c r="P210">
        <f t="shared" si="44"/>
        <v>0.11562417869049446</v>
      </c>
    </row>
    <row r="211" spans="1:16" x14ac:dyDescent="0.3">
      <c r="A211">
        <v>10.756946000000001</v>
      </c>
      <c r="B211">
        <v>0.30586999999999998</v>
      </c>
      <c r="C211">
        <f t="shared" si="45"/>
        <v>3.2902270730200001</v>
      </c>
      <c r="D211">
        <v>1.6299999999999999E-2</v>
      </c>
      <c r="E211">
        <v>2.8849251857154604E-3</v>
      </c>
      <c r="F211">
        <f t="shared" si="46"/>
        <v>2151.3892000000001</v>
      </c>
      <c r="G211">
        <f t="shared" si="40"/>
        <v>-0.30586999999999998</v>
      </c>
      <c r="H211">
        <f t="shared" si="47"/>
        <v>-658.04541460400003</v>
      </c>
      <c r="I211">
        <v>1</v>
      </c>
      <c r="J211">
        <f t="shared" si="48"/>
        <v>0.76611377301618266</v>
      </c>
      <c r="K211">
        <f t="shared" si="41"/>
        <v>-0.87404057297601201</v>
      </c>
      <c r="L211">
        <v>1</v>
      </c>
      <c r="M211">
        <f t="shared" si="49"/>
        <v>0.55085412457715732</v>
      </c>
      <c r="N211">
        <f t="shared" si="42"/>
        <v>0.1753382198</v>
      </c>
      <c r="O211">
        <f t="shared" si="43"/>
        <v>3.103298443678118E-2</v>
      </c>
      <c r="P211">
        <f t="shared" si="44"/>
        <v>0.11681524416207351</v>
      </c>
    </row>
    <row r="212" spans="1:16" x14ac:dyDescent="0.3">
      <c r="A212">
        <v>10.807864</v>
      </c>
      <c r="B212">
        <v>0.30332999999999999</v>
      </c>
      <c r="C212">
        <f t="shared" ref="C212:C275" si="50">A212*B212</f>
        <v>3.27834938712</v>
      </c>
      <c r="D212">
        <v>1.6299999999999999E-2</v>
      </c>
      <c r="E212">
        <v>2.8849251857154604E-3</v>
      </c>
      <c r="F212">
        <f t="shared" si="46"/>
        <v>2161.5727999999999</v>
      </c>
      <c r="G212">
        <f t="shared" ref="G212:G275" si="51">-B212</f>
        <v>-0.30332999999999999</v>
      </c>
      <c r="H212">
        <f t="shared" ref="H212:H275" si="52">-C212*200</f>
        <v>-655.66987742399999</v>
      </c>
      <c r="I212">
        <v>1</v>
      </c>
      <c r="J212">
        <f t="shared" si="48"/>
        <v>0.77083610487297671</v>
      </c>
      <c r="K212">
        <f t="shared" ref="K212:K275" si="53">((-G212)-$N$2)</f>
        <v>-0.876580572976012</v>
      </c>
      <c r="L212">
        <v>1</v>
      </c>
      <c r="M212">
        <f t="shared" si="49"/>
        <v>0.55107512970805528</v>
      </c>
      <c r="N212">
        <f t="shared" ref="N212:N275" si="54">D212*A212</f>
        <v>0.17616818319999999</v>
      </c>
      <c r="O212">
        <f t="shared" ref="O212:O275" si="55">E212*A212</f>
        <v>3.1179879057387439E-2</v>
      </c>
      <c r="P212">
        <f t="shared" ref="P212:P275" si="56">-K212-M212-N212-O212</f>
        <v>0.11815738101056929</v>
      </c>
    </row>
    <row r="213" spans="1:16" x14ac:dyDescent="0.3">
      <c r="A213">
        <v>10.860310999999999</v>
      </c>
      <c r="B213">
        <v>0.30082999999999999</v>
      </c>
      <c r="C213">
        <f t="shared" si="50"/>
        <v>3.2671073581299996</v>
      </c>
      <c r="D213">
        <v>1.6299999999999999E-2</v>
      </c>
      <c r="E213">
        <v>2.8849251857154604E-3</v>
      </c>
      <c r="F213">
        <f t="shared" si="46"/>
        <v>2172.0621999999998</v>
      </c>
      <c r="G213">
        <f t="shared" si="51"/>
        <v>-0.30082999999999999</v>
      </c>
      <c r="H213">
        <f t="shared" si="52"/>
        <v>-653.42147162599997</v>
      </c>
      <c r="I213">
        <v>1</v>
      </c>
      <c r="J213">
        <f t="shared" si="48"/>
        <v>0.77567703886238892</v>
      </c>
      <c r="K213">
        <f t="shared" si="53"/>
        <v>-0.87908057297601205</v>
      </c>
      <c r="L213">
        <v>1</v>
      </c>
      <c r="M213">
        <f t="shared" si="49"/>
        <v>0.55130168541875979</v>
      </c>
      <c r="N213">
        <f t="shared" si="54"/>
        <v>0.17702306929999997</v>
      </c>
      <c r="O213">
        <f t="shared" si="55"/>
        <v>3.1331184728602655E-2</v>
      </c>
      <c r="P213">
        <f t="shared" si="56"/>
        <v>0.11942463352864963</v>
      </c>
    </row>
    <row r="214" spans="1:16" x14ac:dyDescent="0.3">
      <c r="A214">
        <v>10.911228000000001</v>
      </c>
      <c r="B214">
        <v>0.29814000000000002</v>
      </c>
      <c r="C214">
        <f t="shared" si="50"/>
        <v>3.2530735159200006</v>
      </c>
      <c r="D214">
        <v>1.6299999999999999E-2</v>
      </c>
      <c r="E214">
        <v>2.8849251857154604E-3</v>
      </c>
      <c r="F214">
        <f t="shared" si="46"/>
        <v>2182.2456000000002</v>
      </c>
      <c r="G214">
        <f t="shared" si="51"/>
        <v>-0.29814000000000002</v>
      </c>
      <c r="H214">
        <f t="shared" si="52"/>
        <v>-650.61470318400006</v>
      </c>
      <c r="I214">
        <v>1</v>
      </c>
      <c r="J214">
        <f t="shared" si="48"/>
        <v>0.78035443836367591</v>
      </c>
      <c r="K214">
        <f t="shared" si="53"/>
        <v>-0.88177057297601191</v>
      </c>
      <c r="L214">
        <v>1</v>
      </c>
      <c r="M214">
        <f t="shared" si="49"/>
        <v>0.55152058771542001</v>
      </c>
      <c r="N214">
        <f t="shared" si="54"/>
        <v>0.17785301640000001</v>
      </c>
      <c r="O214">
        <f t="shared" si="55"/>
        <v>3.1478076464283737E-2</v>
      </c>
      <c r="P214">
        <f t="shared" si="56"/>
        <v>0.12091889239630815</v>
      </c>
    </row>
    <row r="215" spans="1:16" x14ac:dyDescent="0.3">
      <c r="A215">
        <v>10.961637000000001</v>
      </c>
      <c r="B215">
        <v>0.29555999999999999</v>
      </c>
      <c r="C215">
        <f t="shared" si="50"/>
        <v>3.2398214317200003</v>
      </c>
      <c r="D215">
        <v>1.6299999999999999E-2</v>
      </c>
      <c r="E215">
        <v>2.8849251857154604E-3</v>
      </c>
      <c r="F215">
        <f t="shared" si="46"/>
        <v>2192.3274000000001</v>
      </c>
      <c r="G215">
        <f t="shared" si="51"/>
        <v>-0.29555999999999999</v>
      </c>
      <c r="H215">
        <f t="shared" si="52"/>
        <v>-647.96428634400002</v>
      </c>
      <c r="I215">
        <v>1</v>
      </c>
      <c r="J215">
        <f t="shared" si="48"/>
        <v>0.78496371924634722</v>
      </c>
      <c r="K215">
        <f t="shared" si="53"/>
        <v>-0.88435057297601194</v>
      </c>
      <c r="L215">
        <v>1</v>
      </c>
      <c r="M215">
        <f t="shared" si="49"/>
        <v>0.5517363020607291</v>
      </c>
      <c r="N215">
        <f t="shared" si="54"/>
        <v>0.17867468310000001</v>
      </c>
      <c r="O215">
        <f t="shared" si="55"/>
        <v>3.1623502657970468E-2</v>
      </c>
      <c r="P215">
        <f t="shared" si="56"/>
        <v>0.12231608515731236</v>
      </c>
    </row>
    <row r="216" spans="1:16" x14ac:dyDescent="0.3">
      <c r="A216">
        <v>11.012556</v>
      </c>
      <c r="B216">
        <v>0.29319000000000001</v>
      </c>
      <c r="C216">
        <f t="shared" si="50"/>
        <v>3.2287712936399999</v>
      </c>
      <c r="D216">
        <v>1.6299999999999999E-2</v>
      </c>
      <c r="E216">
        <v>2.8849251857154604E-3</v>
      </c>
      <c r="F216">
        <f t="shared" si="46"/>
        <v>2202.5111999999999</v>
      </c>
      <c r="G216">
        <f t="shared" si="51"/>
        <v>-0.29319000000000001</v>
      </c>
      <c r="H216">
        <f t="shared" si="52"/>
        <v>-645.75425872799997</v>
      </c>
      <c r="I216">
        <v>1</v>
      </c>
      <c r="J216">
        <f t="shared" si="48"/>
        <v>0.78959816394580173</v>
      </c>
      <c r="K216">
        <f t="shared" si="53"/>
        <v>-0.88672057297601192</v>
      </c>
      <c r="L216">
        <v>1</v>
      </c>
      <c r="M216">
        <f t="shared" si="49"/>
        <v>0.55195319407266352</v>
      </c>
      <c r="N216">
        <f t="shared" si="54"/>
        <v>0.17950466279999999</v>
      </c>
      <c r="O216">
        <f t="shared" si="55"/>
        <v>3.1770400163501911E-2</v>
      </c>
      <c r="P216">
        <f t="shared" si="56"/>
        <v>0.1234923159398465</v>
      </c>
    </row>
    <row r="217" spans="1:16" x14ac:dyDescent="0.3">
      <c r="A217">
        <v>11.064493000000001</v>
      </c>
      <c r="B217">
        <v>0.29022999999999999</v>
      </c>
      <c r="C217">
        <f t="shared" si="50"/>
        <v>3.21124780339</v>
      </c>
      <c r="D217">
        <v>1.6299999999999999E-2</v>
      </c>
      <c r="E217">
        <v>2.8849251857154604E-3</v>
      </c>
      <c r="F217">
        <f t="shared" si="46"/>
        <v>2212.8986</v>
      </c>
      <c r="G217">
        <f t="shared" si="51"/>
        <v>-0.29022999999999999</v>
      </c>
      <c r="H217">
        <f t="shared" si="52"/>
        <v>-642.24956067799997</v>
      </c>
      <c r="I217">
        <v>1</v>
      </c>
      <c r="J217">
        <f t="shared" si="48"/>
        <v>0.79430323986549967</v>
      </c>
      <c r="K217">
        <f t="shared" si="53"/>
        <v>-0.889680572976012</v>
      </c>
      <c r="L217">
        <v>1</v>
      </c>
      <c r="M217">
        <f t="shared" si="49"/>
        <v>0.55217339162570545</v>
      </c>
      <c r="N217">
        <f t="shared" si="54"/>
        <v>0.18035123589999999</v>
      </c>
      <c r="O217">
        <f t="shared" si="55"/>
        <v>3.1920234522872411E-2</v>
      </c>
      <c r="P217">
        <f t="shared" si="56"/>
        <v>0.12523571092743416</v>
      </c>
    </row>
    <row r="218" spans="1:16" x14ac:dyDescent="0.3">
      <c r="A218">
        <v>11.115411</v>
      </c>
      <c r="B218">
        <v>0.28764000000000001</v>
      </c>
      <c r="C218">
        <f t="shared" si="50"/>
        <v>3.1972368200400001</v>
      </c>
      <c r="D218">
        <v>1.6299999999999999E-2</v>
      </c>
      <c r="E218">
        <v>2.8849251857154604E-3</v>
      </c>
      <c r="F218">
        <f t="shared" si="46"/>
        <v>2223.0821999999998</v>
      </c>
      <c r="G218">
        <f t="shared" si="51"/>
        <v>-0.28764000000000001</v>
      </c>
      <c r="H218">
        <f t="shared" si="52"/>
        <v>-639.44736400800002</v>
      </c>
      <c r="I218">
        <v>1</v>
      </c>
      <c r="J218">
        <f t="shared" si="48"/>
        <v>0.79889461135645456</v>
      </c>
      <c r="K218">
        <f t="shared" si="53"/>
        <v>-0.89227057297601198</v>
      </c>
      <c r="L218">
        <v>1</v>
      </c>
      <c r="M218">
        <f t="shared" si="49"/>
        <v>0.55238826781148209</v>
      </c>
      <c r="N218">
        <f t="shared" si="54"/>
        <v>0.18118119929999998</v>
      </c>
      <c r="O218">
        <f t="shared" si="55"/>
        <v>3.2067129143478673E-2</v>
      </c>
      <c r="P218">
        <f t="shared" si="56"/>
        <v>0.12663397672105123</v>
      </c>
    </row>
    <row r="219" spans="1:16" x14ac:dyDescent="0.3">
      <c r="A219">
        <v>11.166329000000001</v>
      </c>
      <c r="B219">
        <v>0.28502</v>
      </c>
      <c r="C219">
        <f t="shared" si="50"/>
        <v>3.1826270915800001</v>
      </c>
      <c r="D219">
        <v>1.6299999999999999E-2</v>
      </c>
      <c r="E219">
        <v>2.8849251857154604E-3</v>
      </c>
      <c r="F219">
        <f t="shared" si="46"/>
        <v>2233.2658000000001</v>
      </c>
      <c r="G219">
        <f t="shared" si="51"/>
        <v>-0.28502</v>
      </c>
      <c r="H219">
        <f t="shared" si="52"/>
        <v>-636.52541831600001</v>
      </c>
      <c r="I219">
        <v>1</v>
      </c>
      <c r="J219">
        <f t="shared" si="48"/>
        <v>0.80346499846563879</v>
      </c>
      <c r="K219">
        <f t="shared" si="53"/>
        <v>-0.89489057297601193</v>
      </c>
      <c r="L219">
        <v>1</v>
      </c>
      <c r="M219">
        <f t="shared" si="49"/>
        <v>0.55260216192819189</v>
      </c>
      <c r="N219">
        <f t="shared" si="54"/>
        <v>0.18201116270000001</v>
      </c>
      <c r="O219">
        <f t="shared" si="55"/>
        <v>3.2214023764084936E-2</v>
      </c>
      <c r="P219">
        <f t="shared" si="56"/>
        <v>0.12806322458373509</v>
      </c>
    </row>
    <row r="220" spans="1:16" x14ac:dyDescent="0.3">
      <c r="A220">
        <v>11.218774000000002</v>
      </c>
      <c r="B220">
        <v>0.28227000000000002</v>
      </c>
      <c r="C220">
        <f t="shared" si="50"/>
        <v>3.1667233369800005</v>
      </c>
      <c r="D220">
        <v>1.6299999999999999E-2</v>
      </c>
      <c r="E220">
        <v>2.8849251857154604E-3</v>
      </c>
      <c r="F220">
        <f t="shared" si="46"/>
        <v>2243.7548000000002</v>
      </c>
      <c r="G220">
        <f t="shared" si="51"/>
        <v>-0.28227000000000002</v>
      </c>
      <c r="H220">
        <f t="shared" si="52"/>
        <v>-633.34466739600009</v>
      </c>
      <c r="I220">
        <v>1</v>
      </c>
      <c r="J220">
        <f t="shared" si="48"/>
        <v>0.80815071252792969</v>
      </c>
      <c r="K220">
        <f t="shared" si="53"/>
        <v>-0.89764057297601196</v>
      </c>
      <c r="L220">
        <v>1</v>
      </c>
      <c r="M220">
        <f t="shared" si="49"/>
        <v>0.55282145334630717</v>
      </c>
      <c r="N220">
        <f t="shared" si="54"/>
        <v>0.18286601620000001</v>
      </c>
      <c r="O220">
        <f t="shared" si="55"/>
        <v>3.236532366544978E-2</v>
      </c>
      <c r="P220">
        <f t="shared" si="56"/>
        <v>0.12958777976425501</v>
      </c>
    </row>
    <row r="221" spans="1:16" x14ac:dyDescent="0.3">
      <c r="A221">
        <v>11.272748999999999</v>
      </c>
      <c r="B221">
        <v>0.27939000000000003</v>
      </c>
      <c r="C221">
        <f t="shared" si="50"/>
        <v>3.1494933431100001</v>
      </c>
      <c r="D221">
        <v>1.6299999999999999E-2</v>
      </c>
      <c r="E221">
        <v>2.8849251857154604E-3</v>
      </c>
      <c r="F221">
        <f t="shared" si="46"/>
        <v>2254.5497999999998</v>
      </c>
      <c r="G221">
        <f t="shared" si="51"/>
        <v>-0.27939000000000003</v>
      </c>
      <c r="H221">
        <f t="shared" si="52"/>
        <v>-629.89866862200006</v>
      </c>
      <c r="I221">
        <v>1</v>
      </c>
      <c r="J221">
        <f t="shared" si="48"/>
        <v>0.81295030779006328</v>
      </c>
      <c r="K221">
        <f t="shared" si="53"/>
        <v>-0.90052057297601196</v>
      </c>
      <c r="L221">
        <v>1</v>
      </c>
      <c r="M221">
        <f t="shared" si="49"/>
        <v>0.55304607440457498</v>
      </c>
      <c r="N221">
        <f t="shared" si="54"/>
        <v>0.18374580869999996</v>
      </c>
      <c r="O221">
        <f t="shared" si="55"/>
        <v>3.2521037502348769E-2</v>
      </c>
      <c r="P221">
        <f t="shared" si="56"/>
        <v>0.13120765236908824</v>
      </c>
    </row>
    <row r="222" spans="1:16" x14ac:dyDescent="0.3">
      <c r="A222">
        <v>11.327230999999999</v>
      </c>
      <c r="B222">
        <v>0.27634999999999998</v>
      </c>
      <c r="C222">
        <f t="shared" si="50"/>
        <v>3.1302802868499997</v>
      </c>
      <c r="D222">
        <v>1.6299999999999999E-2</v>
      </c>
      <c r="E222">
        <v>2.8849251857154604E-3</v>
      </c>
      <c r="F222">
        <f t="shared" si="46"/>
        <v>2265.4461999999999</v>
      </c>
      <c r="G222">
        <f t="shared" si="51"/>
        <v>-0.27634999999999998</v>
      </c>
      <c r="H222">
        <f t="shared" si="52"/>
        <v>-626.05605736999996</v>
      </c>
      <c r="I222">
        <v>1</v>
      </c>
      <c r="J222">
        <f t="shared" si="48"/>
        <v>0.81777173732597463</v>
      </c>
      <c r="K222">
        <f t="shared" si="53"/>
        <v>-0.903560572976012</v>
      </c>
      <c r="L222">
        <v>1</v>
      </c>
      <c r="M222">
        <f t="shared" si="49"/>
        <v>0.55327171730685565</v>
      </c>
      <c r="N222">
        <f t="shared" si="54"/>
        <v>0.18463386529999998</v>
      </c>
      <c r="O222">
        <f t="shared" si="55"/>
        <v>3.2678213996316915E-2</v>
      </c>
      <c r="P222">
        <f t="shared" si="56"/>
        <v>0.13297677637283944</v>
      </c>
    </row>
    <row r="223" spans="1:16" x14ac:dyDescent="0.3">
      <c r="A223">
        <v>11.378658</v>
      </c>
      <c r="B223">
        <v>0.27345000000000003</v>
      </c>
      <c r="C223">
        <f t="shared" si="50"/>
        <v>3.1114940301000003</v>
      </c>
      <c r="D223">
        <v>1.6299999999999999E-2</v>
      </c>
      <c r="E223">
        <v>2.8849251857154604E-3</v>
      </c>
      <c r="F223">
        <f t="shared" si="46"/>
        <v>2275.7316000000001</v>
      </c>
      <c r="G223">
        <f t="shared" si="51"/>
        <v>-0.27345000000000003</v>
      </c>
      <c r="H223">
        <f t="shared" si="52"/>
        <v>-622.29880602000003</v>
      </c>
      <c r="I223">
        <v>1</v>
      </c>
      <c r="J223">
        <f t="shared" si="48"/>
        <v>0.82230158312395329</v>
      </c>
      <c r="K223">
        <f t="shared" si="53"/>
        <v>-0.90646057297601201</v>
      </c>
      <c r="L223">
        <v>1</v>
      </c>
      <c r="M223">
        <f t="shared" si="49"/>
        <v>0.55348371409020103</v>
      </c>
      <c r="N223">
        <f t="shared" si="54"/>
        <v>0.18547212539999997</v>
      </c>
      <c r="O223">
        <f t="shared" si="55"/>
        <v>3.282657704384271E-2</v>
      </c>
      <c r="P223">
        <f t="shared" si="56"/>
        <v>0.13467815644196832</v>
      </c>
    </row>
    <row r="224" spans="1:16" x14ac:dyDescent="0.3">
      <c r="A224">
        <v>11.430085999999999</v>
      </c>
      <c r="B224">
        <v>0.27056999999999998</v>
      </c>
      <c r="C224">
        <f t="shared" si="50"/>
        <v>3.0926383690199994</v>
      </c>
      <c r="D224">
        <v>1.6299999999999999E-2</v>
      </c>
      <c r="E224">
        <v>2.8849251857154604E-3</v>
      </c>
      <c r="F224">
        <f t="shared" si="46"/>
        <v>2286.0171999999998</v>
      </c>
      <c r="G224">
        <f t="shared" si="51"/>
        <v>-0.27056999999999998</v>
      </c>
      <c r="H224">
        <f t="shared" si="52"/>
        <v>-618.52767380399985</v>
      </c>
      <c r="I224">
        <v>1</v>
      </c>
      <c r="J224">
        <f t="shared" si="48"/>
        <v>0.82681108940380588</v>
      </c>
      <c r="K224">
        <f t="shared" si="53"/>
        <v>-0.90934057297601201</v>
      </c>
      <c r="L224">
        <v>1</v>
      </c>
      <c r="M224">
        <f t="shared" si="49"/>
        <v>0.55369475898409815</v>
      </c>
      <c r="N224">
        <f t="shared" si="54"/>
        <v>0.18631040179999997</v>
      </c>
      <c r="O224">
        <f t="shared" si="55"/>
        <v>3.2974942976293678E-2</v>
      </c>
      <c r="P224">
        <f t="shared" si="56"/>
        <v>0.13636046921562023</v>
      </c>
    </row>
    <row r="225" spans="1:18" x14ac:dyDescent="0.3">
      <c r="A225">
        <v>11.481513999999999</v>
      </c>
      <c r="B225">
        <v>0.26758999999999999</v>
      </c>
      <c r="C225">
        <f t="shared" si="50"/>
        <v>3.0723383312599997</v>
      </c>
      <c r="D225">
        <v>1.6299999999999999E-2</v>
      </c>
      <c r="E225">
        <v>2.8849251857154604E-3</v>
      </c>
      <c r="F225">
        <f t="shared" si="46"/>
        <v>2296.3027999999999</v>
      </c>
      <c r="G225">
        <f t="shared" si="51"/>
        <v>-0.26758999999999999</v>
      </c>
      <c r="H225">
        <f t="shared" si="52"/>
        <v>-614.46766625199996</v>
      </c>
      <c r="I225">
        <v>1</v>
      </c>
      <c r="J225">
        <f t="shared" si="48"/>
        <v>0.83130035129481605</v>
      </c>
      <c r="K225">
        <f t="shared" si="53"/>
        <v>-0.91232057297601199</v>
      </c>
      <c r="L225">
        <v>1</v>
      </c>
      <c r="M225">
        <f t="shared" si="49"/>
        <v>0.55390485644059739</v>
      </c>
      <c r="N225">
        <f t="shared" si="54"/>
        <v>0.18714867819999997</v>
      </c>
      <c r="O225">
        <f t="shared" si="55"/>
        <v>3.3123308908744653E-2</v>
      </c>
      <c r="P225">
        <f t="shared" si="56"/>
        <v>0.13814372942666997</v>
      </c>
      <c r="R225">
        <f>O225+N225+M225</f>
        <v>0.77417684354934202</v>
      </c>
    </row>
    <row r="226" spans="1:18" x14ac:dyDescent="0.3">
      <c r="A226">
        <v>11.531922999999999</v>
      </c>
      <c r="B226">
        <v>0.26465</v>
      </c>
      <c r="C226">
        <f t="shared" si="50"/>
        <v>3.0519234219499998</v>
      </c>
      <c r="D226">
        <v>1.6299999999999999E-2</v>
      </c>
      <c r="E226">
        <v>2.8849251857154604E-3</v>
      </c>
      <c r="F226">
        <f t="shared" si="46"/>
        <v>2306.3845999999999</v>
      </c>
      <c r="G226">
        <f t="shared" si="51"/>
        <v>-0.26465</v>
      </c>
      <c r="H226">
        <f t="shared" si="52"/>
        <v>-610.38468438999996</v>
      </c>
      <c r="I226">
        <v>1</v>
      </c>
      <c r="J226">
        <f t="shared" si="48"/>
        <v>0.83568119024726961</v>
      </c>
      <c r="K226">
        <f t="shared" si="53"/>
        <v>-0.91526057297601193</v>
      </c>
      <c r="L226">
        <v>1</v>
      </c>
      <c r="M226">
        <f t="shared" si="49"/>
        <v>0.55410987970357228</v>
      </c>
      <c r="N226">
        <f t="shared" si="54"/>
        <v>0.18797034489999997</v>
      </c>
      <c r="O226">
        <f t="shared" si="55"/>
        <v>3.3268735102431383E-2</v>
      </c>
      <c r="P226">
        <f t="shared" si="56"/>
        <v>0.13991161327000828</v>
      </c>
    </row>
    <row r="227" spans="1:18" x14ac:dyDescent="0.3">
      <c r="A227">
        <v>11.585896</v>
      </c>
      <c r="B227">
        <v>0.2616</v>
      </c>
      <c r="C227">
        <f t="shared" si="50"/>
        <v>3.0308703935999999</v>
      </c>
      <c r="D227">
        <v>1.6299999999999999E-2</v>
      </c>
      <c r="E227">
        <v>2.8849251857154604E-3</v>
      </c>
      <c r="F227">
        <f t="shared" si="46"/>
        <v>2317.1792</v>
      </c>
      <c r="G227">
        <f t="shared" si="51"/>
        <v>-0.2616</v>
      </c>
      <c r="H227">
        <f t="shared" si="52"/>
        <v>-606.17407872000001</v>
      </c>
      <c r="I227">
        <v>1</v>
      </c>
      <c r="J227">
        <f t="shared" si="48"/>
        <v>0.84035058384927619</v>
      </c>
      <c r="K227">
        <f t="shared" si="53"/>
        <v>-0.91831057297601193</v>
      </c>
      <c r="L227">
        <v>1</v>
      </c>
      <c r="M227">
        <f t="shared" si="49"/>
        <v>0.55432840732414612</v>
      </c>
      <c r="N227">
        <f t="shared" si="54"/>
        <v>0.18885010479999997</v>
      </c>
      <c r="O227">
        <f t="shared" si="55"/>
        <v>3.3424443169480011E-2</v>
      </c>
      <c r="P227">
        <f t="shared" si="56"/>
        <v>0.14170761768238582</v>
      </c>
    </row>
    <row r="228" spans="1:18" x14ac:dyDescent="0.3">
      <c r="A228">
        <v>11.638342</v>
      </c>
      <c r="B228">
        <v>0.25822000000000001</v>
      </c>
      <c r="C228">
        <f t="shared" si="50"/>
        <v>3.0052526712400001</v>
      </c>
      <c r="D228">
        <v>1.6299999999999999E-2</v>
      </c>
      <c r="E228">
        <v>2.8849251857154604E-3</v>
      </c>
      <c r="F228">
        <f t="shared" si="46"/>
        <v>2327.6684</v>
      </c>
      <c r="G228">
        <f t="shared" si="51"/>
        <v>-0.25822000000000001</v>
      </c>
      <c r="H228">
        <f t="shared" si="52"/>
        <v>-601.05053424799996</v>
      </c>
      <c r="I228">
        <v>1</v>
      </c>
      <c r="J228">
        <f t="shared" si="48"/>
        <v>0.84486707986112775</v>
      </c>
      <c r="K228">
        <f t="shared" si="53"/>
        <v>-0.92169057297601198</v>
      </c>
      <c r="L228">
        <v>1</v>
      </c>
      <c r="M228">
        <f t="shared" si="49"/>
        <v>0.55453977933750076</v>
      </c>
      <c r="N228">
        <f t="shared" si="54"/>
        <v>0.18970497459999996</v>
      </c>
      <c r="O228">
        <f t="shared" si="55"/>
        <v>3.3575745955770044E-2</v>
      </c>
      <c r="P228">
        <f t="shared" si="56"/>
        <v>0.14387007308274122</v>
      </c>
    </row>
    <row r="229" spans="1:18" x14ac:dyDescent="0.3">
      <c r="A229">
        <v>11.689770000000001</v>
      </c>
      <c r="B229">
        <v>0.25542999999999999</v>
      </c>
      <c r="C229">
        <f t="shared" si="50"/>
        <v>2.9859179511000002</v>
      </c>
      <c r="D229">
        <v>1.6299999999999999E-2</v>
      </c>
      <c r="E229">
        <v>2.8849251857154604E-3</v>
      </c>
      <c r="F229">
        <f t="shared" si="46"/>
        <v>2337.9540000000002</v>
      </c>
      <c r="G229">
        <f t="shared" si="51"/>
        <v>-0.25542999999999999</v>
      </c>
      <c r="H229">
        <f t="shared" si="52"/>
        <v>-597.18359022000004</v>
      </c>
      <c r="I229">
        <v>1</v>
      </c>
      <c r="J229">
        <f t="shared" si="48"/>
        <v>0.8492761879204801</v>
      </c>
      <c r="K229">
        <f t="shared" si="53"/>
        <v>-0.92448057297601194</v>
      </c>
      <c r="L229">
        <v>1</v>
      </c>
      <c r="M229">
        <f t="shared" si="49"/>
        <v>0.55474612559467851</v>
      </c>
      <c r="N229">
        <f t="shared" si="54"/>
        <v>0.190543251</v>
      </c>
      <c r="O229">
        <f t="shared" si="55"/>
        <v>3.3724111888221019E-2</v>
      </c>
      <c r="P229">
        <f t="shared" si="56"/>
        <v>0.14546708449311241</v>
      </c>
    </row>
    <row r="230" spans="1:18" x14ac:dyDescent="0.3">
      <c r="A230">
        <v>11.742725</v>
      </c>
      <c r="B230">
        <v>0.25211</v>
      </c>
      <c r="C230">
        <f t="shared" si="50"/>
        <v>2.9604583997500002</v>
      </c>
      <c r="D230">
        <v>1.6299999999999999E-2</v>
      </c>
      <c r="E230">
        <v>2.8849251857154604E-3</v>
      </c>
      <c r="F230">
        <f t="shared" si="46"/>
        <v>2348.5450000000001</v>
      </c>
      <c r="G230">
        <f t="shared" si="51"/>
        <v>-0.25211</v>
      </c>
      <c r="H230">
        <f t="shared" si="52"/>
        <v>-592.09167995000007</v>
      </c>
      <c r="I230">
        <v>1</v>
      </c>
      <c r="J230">
        <f t="shared" si="48"/>
        <v>0.85379598746804208</v>
      </c>
      <c r="K230">
        <f t="shared" si="53"/>
        <v>-0.92780057297601193</v>
      </c>
      <c r="L230">
        <v>1</v>
      </c>
      <c r="M230">
        <f t="shared" si="49"/>
        <v>0.55495765221350435</v>
      </c>
      <c r="N230">
        <f t="shared" si="54"/>
        <v>0.19140641749999998</v>
      </c>
      <c r="O230">
        <f t="shared" si="55"/>
        <v>3.3876883101430583E-2</v>
      </c>
      <c r="P230">
        <f t="shared" si="56"/>
        <v>0.14755962016107702</v>
      </c>
    </row>
    <row r="231" spans="1:18" x14ac:dyDescent="0.3">
      <c r="A231">
        <v>11.742216000000001</v>
      </c>
      <c r="B231">
        <v>0.25170999999999999</v>
      </c>
      <c r="C231">
        <f t="shared" si="50"/>
        <v>2.9556331893600003</v>
      </c>
      <c r="D231">
        <v>1.6299999999999999E-2</v>
      </c>
      <c r="E231">
        <v>2.8849251857154604E-3</v>
      </c>
      <c r="F231">
        <f t="shared" si="46"/>
        <v>2348.4432000000002</v>
      </c>
      <c r="G231">
        <f t="shared" si="51"/>
        <v>-0.25170999999999999</v>
      </c>
      <c r="H231">
        <f t="shared" si="52"/>
        <v>-591.12663787200006</v>
      </c>
      <c r="I231">
        <v>1</v>
      </c>
      <c r="J231">
        <f t="shared" si="48"/>
        <v>0.85375264054202005</v>
      </c>
      <c r="K231">
        <f t="shared" si="53"/>
        <v>-0.92820057297601199</v>
      </c>
      <c r="L231">
        <v>1</v>
      </c>
      <c r="M231">
        <f t="shared" si="49"/>
        <v>0.5549556235773665</v>
      </c>
      <c r="N231">
        <f t="shared" si="54"/>
        <v>0.19139812079999999</v>
      </c>
      <c r="O231">
        <f t="shared" si="55"/>
        <v>3.3875414674511051E-2</v>
      </c>
      <c r="P231">
        <f t="shared" si="56"/>
        <v>0.14797141392413446</v>
      </c>
    </row>
    <row r="232" spans="1:18" x14ac:dyDescent="0.3">
      <c r="C232">
        <f t="shared" si="50"/>
        <v>0</v>
      </c>
      <c r="D232">
        <v>1.6299999999999999E-2</v>
      </c>
      <c r="E232">
        <v>2.8849251857154604E-3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-1.179910572976012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1:18" x14ac:dyDescent="0.3">
      <c r="C233">
        <f t="shared" si="50"/>
        <v>0</v>
      </c>
      <c r="D233">
        <v>1.6299999999999999E-2</v>
      </c>
      <c r="E233">
        <v>2.8849251857154604E-3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-1.179910572976012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1:18" x14ac:dyDescent="0.3">
      <c r="C234">
        <f t="shared" si="50"/>
        <v>0</v>
      </c>
      <c r="D234">
        <v>1.6299999999999999E-2</v>
      </c>
      <c r="E234">
        <v>2.8849251857154604E-3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-1.179910572976012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1:18" x14ac:dyDescent="0.3">
      <c r="C235">
        <f t="shared" si="50"/>
        <v>0</v>
      </c>
      <c r="D235">
        <v>1.6299999999999999E-2</v>
      </c>
      <c r="E235">
        <v>2.8849251857154604E-3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-1.179910572976012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1:18" x14ac:dyDescent="0.3">
      <c r="C236">
        <f t="shared" si="50"/>
        <v>0</v>
      </c>
      <c r="D236">
        <v>1.6299999999999999E-2</v>
      </c>
      <c r="E236">
        <v>2.8849251857154604E-3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-1.179910572976012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1:18" x14ac:dyDescent="0.3">
      <c r="C237">
        <f t="shared" si="50"/>
        <v>0</v>
      </c>
      <c r="D237">
        <v>1.6299999999999999E-2</v>
      </c>
      <c r="E237">
        <v>2.8849251857154604E-3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-1.179910572976012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1:18" x14ac:dyDescent="0.3">
      <c r="C238">
        <f t="shared" si="50"/>
        <v>0</v>
      </c>
      <c r="D238">
        <v>1.6299999999999999E-2</v>
      </c>
      <c r="E238">
        <v>2.8849251857154604E-3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-1.179910572976012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1:18" x14ac:dyDescent="0.3">
      <c r="C239">
        <f t="shared" si="50"/>
        <v>0</v>
      </c>
      <c r="D239">
        <v>1.6299999999999999E-2</v>
      </c>
      <c r="E239">
        <v>2.8849251857154604E-3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-1.179910572976012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1:18" x14ac:dyDescent="0.3">
      <c r="C240">
        <f t="shared" si="50"/>
        <v>0</v>
      </c>
      <c r="D240">
        <v>1.6299999999999999E-2</v>
      </c>
      <c r="E240">
        <v>2.8849251857154604E-3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-1.179910572976012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1.6299999999999999E-2</v>
      </c>
      <c r="E241">
        <v>2.8849251857154604E-3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-1.179910572976012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1.6299999999999999E-2</v>
      </c>
      <c r="E242">
        <v>2.8849251857154604E-3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-1.179910572976012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1.6299999999999999E-2</v>
      </c>
      <c r="E243">
        <v>2.8849251857154604E-3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-1.179910572976012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1.6299999999999999E-2</v>
      </c>
      <c r="E244">
        <v>2.8849251857154604E-3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-1.179910572976012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1.6299999999999999E-2</v>
      </c>
      <c r="E245">
        <v>2.8849251857154604E-3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-1.179910572976012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1.6299999999999999E-2</v>
      </c>
      <c r="E246">
        <v>2.8849251857154604E-3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-1.179910572976012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1.6299999999999999E-2</v>
      </c>
      <c r="E247">
        <v>2.8849251857154604E-3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-1.179910572976012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1.6299999999999999E-2</v>
      </c>
      <c r="E248">
        <v>2.8849251857154604E-3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-1.179910572976012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1.6299999999999999E-2</v>
      </c>
      <c r="E249">
        <v>2.8849251857154604E-3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-1.179910572976012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1.6299999999999999E-2</v>
      </c>
      <c r="E250">
        <v>2.8849251857154604E-3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-1.179910572976012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1.6299999999999999E-2</v>
      </c>
      <c r="E251">
        <v>2.8849251857154604E-3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-1.179910572976012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1.6299999999999999E-2</v>
      </c>
      <c r="E252">
        <v>2.8849251857154604E-3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-1.179910572976012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1.6299999999999999E-2</v>
      </c>
      <c r="E253">
        <v>2.8849251857154604E-3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-1.179910572976012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1.6299999999999999E-2</v>
      </c>
      <c r="E254">
        <v>2.8849251857154604E-3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-1.179910572976012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1.6299999999999999E-2</v>
      </c>
      <c r="E255">
        <v>2.8849251857154604E-3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-1.179910572976012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1.6299999999999999E-2</v>
      </c>
      <c r="E256">
        <v>2.8849251857154604E-3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-1.179910572976012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1.6299999999999999E-2</v>
      </c>
      <c r="E257">
        <v>2.8849251857154604E-3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-1.179910572976012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1.6299999999999999E-2</v>
      </c>
      <c r="E258">
        <v>2.8849251857154604E-3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-1.179910572976012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1.6299999999999999E-2</v>
      </c>
      <c r="E259">
        <v>2.8849251857154604E-3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-1.179910572976012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1.6299999999999999E-2</v>
      </c>
      <c r="E260">
        <v>2.8849251857154604E-3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-1.179910572976012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1.6299999999999999E-2</v>
      </c>
      <c r="E261">
        <v>2.8849251857154604E-3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-1.179910572976012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1.6299999999999999E-2</v>
      </c>
      <c r="E262">
        <v>2.8849251857154604E-3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-1.179910572976012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1.6299999999999999E-2</v>
      </c>
      <c r="E263">
        <v>2.8849251857154604E-3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-1.179910572976012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1.6299999999999999E-2</v>
      </c>
      <c r="E264">
        <v>2.8849251857154604E-3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-1.179910572976012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1.6299999999999999E-2</v>
      </c>
      <c r="E265">
        <v>2.8849251857154604E-3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-1.179910572976012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1.6299999999999999E-2</v>
      </c>
      <c r="E266">
        <v>2.8849251857154604E-3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-1.179910572976012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1.6299999999999999E-2</v>
      </c>
      <c r="E267">
        <v>2.8849251857154604E-3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-1.179910572976012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1.6299999999999999E-2</v>
      </c>
      <c r="E268">
        <v>2.8849251857154604E-3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-1.179910572976012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1.6299999999999999E-2</v>
      </c>
      <c r="E269">
        <v>2.8849251857154604E-3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-1.179910572976012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1.6299999999999999E-2</v>
      </c>
      <c r="E270">
        <v>2.8849251857154604E-3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-1.179910572976012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1.6299999999999999E-2</v>
      </c>
      <c r="E271">
        <v>2.8849251857154604E-3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-1.179910572976012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1.6299999999999999E-2</v>
      </c>
      <c r="E272">
        <v>2.8849251857154604E-3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-1.179910572976012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1.6299999999999999E-2</v>
      </c>
      <c r="E273">
        <v>2.8849251857154604E-3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-1.179910572976012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1.6299999999999999E-2</v>
      </c>
      <c r="E274">
        <v>2.8849251857154604E-3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-1.179910572976012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1.6299999999999999E-2</v>
      </c>
      <c r="E275">
        <v>2.8849251857154604E-3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-1.179910572976012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1.6299999999999999E-2</v>
      </c>
      <c r="E276">
        <v>2.8849251857154604E-3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-1.179910572976012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1.6299999999999999E-2</v>
      </c>
      <c r="E277">
        <v>2.8849251857154604E-3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-1.179910572976012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1.6299999999999999E-2</v>
      </c>
      <c r="E278">
        <v>2.8849251857154604E-3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-1.179910572976012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1.6299999999999999E-2</v>
      </c>
      <c r="E279">
        <v>2.8849251857154604E-3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-1.179910572976012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1.6299999999999999E-2</v>
      </c>
      <c r="E280">
        <v>2.8849251857154604E-3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-1.179910572976012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1.6299999999999999E-2</v>
      </c>
      <c r="E281">
        <v>2.8849251857154604E-3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-1.179910572976012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1.6299999999999999E-2</v>
      </c>
      <c r="E282">
        <v>2.8849251857154604E-3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-1.179910572976012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1.6299999999999999E-2</v>
      </c>
      <c r="E283">
        <v>2.8849251857154604E-3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-1.179910572976012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1.6299999999999999E-2</v>
      </c>
      <c r="E284">
        <v>2.8849251857154604E-3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-1.179910572976012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1.6299999999999999E-2</v>
      </c>
      <c r="E285">
        <v>2.8849251857154604E-3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-1.179910572976012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1.6299999999999999E-2</v>
      </c>
      <c r="E286">
        <v>2.8849251857154604E-3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-1.179910572976012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1.6299999999999999E-2</v>
      </c>
      <c r="E287">
        <v>2.8849251857154604E-3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-1.179910572976012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1.6299999999999999E-2</v>
      </c>
      <c r="E288">
        <v>2.8849251857154604E-3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-1.179910572976012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1.6299999999999999E-2</v>
      </c>
      <c r="E289">
        <v>2.8849251857154604E-3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-1.179910572976012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1.6299999999999999E-2</v>
      </c>
      <c r="E290">
        <v>2.8849251857154604E-3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-1.179910572976012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1.6299999999999999E-2</v>
      </c>
      <c r="E291">
        <v>2.8849251857154604E-3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-1.179910572976012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1.6299999999999999E-2</v>
      </c>
      <c r="E292">
        <v>2.8849251857154604E-3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-1.179910572976012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1.6299999999999999E-2</v>
      </c>
      <c r="E293">
        <v>2.8849251857154604E-3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-1.179910572976012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1.6299999999999999E-2</v>
      </c>
      <c r="E294">
        <v>2.8849251857154604E-3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-1.179910572976012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1.6299999999999999E-2</v>
      </c>
      <c r="E295">
        <v>2.8849251857154604E-3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-1.179910572976012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1.6299999999999999E-2</v>
      </c>
      <c r="E296">
        <v>2.8849251857154604E-3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-1.179910572976012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1.6299999999999999E-2</v>
      </c>
      <c r="E297">
        <v>2.8849251857154604E-3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-1.179910572976012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1.6299999999999999E-2</v>
      </c>
      <c r="E298">
        <v>2.8849251857154604E-3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-1.179910572976012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1.6299999999999999E-2</v>
      </c>
      <c r="E299">
        <v>2.8849251857154604E-3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-1.179910572976012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1.6299999999999999E-2</v>
      </c>
      <c r="E300">
        <v>2.8849251857154604E-3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-1.179910572976012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1.6299999999999999E-2</v>
      </c>
      <c r="E301">
        <v>2.8849251857154604E-3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-1.179910572976012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1.6299999999999999E-2</v>
      </c>
      <c r="E302">
        <v>2.8849251857154604E-3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-1.179910572976012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1.6299999999999999E-2</v>
      </c>
      <c r="E303">
        <v>2.8849251857154604E-3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-1.179910572976012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D7D9-6648-4951-9F68-CF9D4B729191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1.179910572976012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-0.31775649707346809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-0.32755694601335028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-0.44846920116354916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-0.47945188178997145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-0.50248032168887946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-0.50210941456063485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-0.50396947921745872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-0.50203230655460451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-0.50640734815434019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-0.50804671216367581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-0.51205973602570998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-0.51244931741132249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-0.5091586144346486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-0.5117823378683517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-0.51321719919641706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-0.51757198319091302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-0.51759515330781436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-0.51921337115733723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-0.51886376724322536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-0.52063481099422659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-0.51857533221711605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-0.5235943097433039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-0.52522364658059562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-0.52147346837889041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-0.52926385020682598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-0.52576852522577733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-0.52817293787868713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-0.52922176709853497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-0.53010000377172628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-0.53182555027850353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-0.53024474498929475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-0.5346441220892707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-0.53134502799658867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-0.53723053214137639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-0.53406292997818083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-0.53856844003232218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-0.53727791731480146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-0.53942153359400136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-0.53836898454435556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-0.54227679826231701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-0.54155216273166629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-0.54387965298279017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-0.54493852546979882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-0.54740831652041166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-0.54643149112050626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-0.546410741722543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-0.54977761355036892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-0.54730853837292293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-0.54811383455516793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-0.5564104941175172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-0.54942332974268893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-0.54959864582647777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-0.55304122647738851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-0.55220645998475348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-0.55690438823047672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-0.55439231119843224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-0.55473059510194167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-0.55988963998736829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-0.5547697109193841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-0.56047096653087836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-0.55681200967123001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-0.55822325332190481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-0.56457201859416462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-0.56033793175615765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-0.55779725236802191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-0.56470703057890037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-0.5586435056559631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-0.56502985727076627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-0.56690695434432126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-0.56414683321261805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-0.57076494562730584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-0.5675414789996186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-0.56973985840966201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-0.56867395754146977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-0.57142759712176416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-0.56965264655001857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-0.57239621367158389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-0.56976920496859051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-0.57393423416985967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-0.56783052872603035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-0.57772383977915742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-0.57593243574010233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-0.57576620597385264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-0.57846903967811558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-0.5685219289391229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-0.58038117018218727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-0.57645106110354161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-0.58035765980522724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-0.58104078488910593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-0.58043960964754626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-0.57711655827089037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-0.58163554453660937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-0.58139504048745727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-0.58199554384605989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-0.58670284545489049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-0.58408073316915721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-0.58737214665104831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-0.58295318004234531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-0.59098450762112831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-0.5846556829143652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-0.59058966837452742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-0.5873978074785362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-0.59211052766366701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-0.58566725199927783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-0.59321316723911854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-0.58981610628192516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-0.59313547702628766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-0.59284738218309385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-0.59063454252154024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-0.59177062711684802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-0.5989440985726604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-0.59367577938291827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-0.59615275359769559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-0.59618324768002717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-0.59314928930791122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-0.59834350716449713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-0.5999984916643688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-0.59670876868118738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-0.59480336731310579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-0.59543019529198493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-0.59566458515364318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-0.60122443613844001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-0.60469597230874395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-0.60829459105043504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-0.59983176375870795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-0.60343127611352898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-0.60372321337868673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-0.6059701288511643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-0.60458992291571589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-0.61047180304222193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-0.60003083149968484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-0.61009481698282464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-0.61092232841967442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-0.61048678814177604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-0.61777550389211278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-0.6199774649825136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-0.6203014151481876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-0.62258708845319244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-0.62336735335211846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-0.62538156965928171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-0.62490031107508048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-0.6270768080721687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-0.62674174645309544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-0.62866392101820201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-0.62924335561027034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-0.63137175281759006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-0.63108843792082758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-0.63320692326315142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-0.63360501011626813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-0.63570217175536259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-0.6353287023076305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-0.63821354379572359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-0.63807195185377097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-0.64021893557002041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-0.64085577070533128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-0.64278835452501859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-0.64254917419667934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-0.64221116659568644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-0.64516712658013786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-0.64459055307971336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-0.64683452659525364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-0.6469348542211244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2026-04-20T00:45:32Z</dcterms:modified>
</cp:coreProperties>
</file>