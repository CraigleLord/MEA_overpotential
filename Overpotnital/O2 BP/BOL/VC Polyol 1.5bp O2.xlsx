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KAIST MASc 2021\Laboratory Work\Protocol\overpotential calculation\For paper SI\Overpotnital\O2 BP\"/>
    </mc:Choice>
  </mc:AlternateContent>
  <xr:revisionPtr revIDLastSave="0" documentId="13_ncr:1_{7A6C189D-192B-4A47-A835-029AEA8CF1BC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K212" i="1" s="1"/>
  <c r="C213" i="1"/>
  <c r="H213" i="1" s="1"/>
  <c r="J213" i="1"/>
  <c r="M213" i="1" s="1"/>
  <c r="G213" i="1"/>
  <c r="K213" i="1" s="1"/>
  <c r="C214" i="1"/>
  <c r="H214" i="1" s="1"/>
  <c r="J214" i="1"/>
  <c r="M214" i="1" s="1"/>
  <c r="G214" i="1"/>
  <c r="K214" i="1" s="1"/>
  <c r="C215" i="1"/>
  <c r="H215" i="1" s="1"/>
  <c r="J215" i="1"/>
  <c r="M215" i="1" s="1"/>
  <c r="G215" i="1"/>
  <c r="K215" i="1" s="1"/>
  <c r="C216" i="1"/>
  <c r="H216" i="1" s="1"/>
  <c r="J216" i="1"/>
  <c r="M216" i="1" s="1"/>
  <c r="G216" i="1"/>
  <c r="K216" i="1" s="1"/>
  <c r="C217" i="1"/>
  <c r="H217" i="1" s="1"/>
  <c r="J217" i="1"/>
  <c r="M217" i="1" s="1"/>
  <c r="G217" i="1"/>
  <c r="K217" i="1" s="1"/>
  <c r="C218" i="1"/>
  <c r="H218" i="1" s="1"/>
  <c r="J218" i="1"/>
  <c r="M218" i="1" s="1"/>
  <c r="G218" i="1"/>
  <c r="K218" i="1" s="1"/>
  <c r="C219" i="1"/>
  <c r="H219" i="1" s="1"/>
  <c r="J219" i="1"/>
  <c r="M219" i="1" s="1"/>
  <c r="G219" i="1"/>
  <c r="K219" i="1" s="1"/>
  <c r="C220" i="1"/>
  <c r="H220" i="1" s="1"/>
  <c r="J220" i="1"/>
  <c r="M220" i="1" s="1"/>
  <c r="G220" i="1"/>
  <c r="K220" i="1" s="1"/>
  <c r="C221" i="1"/>
  <c r="H221" i="1" s="1"/>
  <c r="J221" i="1"/>
  <c r="M221" i="1" s="1"/>
  <c r="G221" i="1"/>
  <c r="K221" i="1" s="1"/>
  <c r="C222" i="1"/>
  <c r="H222" i="1" s="1"/>
  <c r="J222" i="1"/>
  <c r="M222" i="1" s="1"/>
  <c r="G222" i="1"/>
  <c r="K222" i="1" s="1"/>
  <c r="C223" i="1"/>
  <c r="H223" i="1" s="1"/>
  <c r="J223" i="1"/>
  <c r="M223" i="1" s="1"/>
  <c r="G223" i="1"/>
  <c r="K223" i="1" s="1"/>
  <c r="C224" i="1"/>
  <c r="H224" i="1" s="1"/>
  <c r="J224" i="1"/>
  <c r="M224" i="1" s="1"/>
  <c r="G224" i="1"/>
  <c r="K224" i="1" s="1"/>
  <c r="C225" i="1"/>
  <c r="H225" i="1" s="1"/>
  <c r="J225" i="1"/>
  <c r="M225" i="1" s="1"/>
  <c r="G225" i="1"/>
  <c r="K225" i="1" s="1"/>
  <c r="C226" i="1"/>
  <c r="H226" i="1" s="1"/>
  <c r="J226" i="1"/>
  <c r="M226" i="1" s="1"/>
  <c r="G226" i="1"/>
  <c r="K226" i="1" s="1"/>
  <c r="C227" i="1"/>
  <c r="H227" i="1" s="1"/>
  <c r="J227" i="1"/>
  <c r="M227" i="1" s="1"/>
  <c r="G227" i="1"/>
  <c r="K227" i="1" s="1"/>
  <c r="C228" i="1"/>
  <c r="H228" i="1" s="1"/>
  <c r="J228" i="1"/>
  <c r="M228" i="1" s="1"/>
  <c r="G228" i="1"/>
  <c r="K228" i="1" s="1"/>
  <c r="C229" i="1"/>
  <c r="H229" i="1" s="1"/>
  <c r="J229" i="1"/>
  <c r="M229" i="1" s="1"/>
  <c r="G229" i="1"/>
  <c r="K229" i="1" s="1"/>
  <c r="C230" i="1"/>
  <c r="H230" i="1" s="1"/>
  <c r="J230" i="1"/>
  <c r="M230" i="1" s="1"/>
  <c r="G230" i="1"/>
  <c r="K230" i="1" s="1"/>
  <c r="C231" i="1"/>
  <c r="H231" i="1" s="1"/>
  <c r="J231" i="1"/>
  <c r="M231" i="1" s="1"/>
  <c r="G231" i="1"/>
  <c r="K231" i="1" s="1"/>
  <c r="C232" i="1"/>
  <c r="H232" i="1" s="1"/>
  <c r="J232" i="1"/>
  <c r="M232" i="1" s="1"/>
  <c r="G232" i="1"/>
  <c r="K232" i="1" s="1"/>
  <c r="C233" i="1"/>
  <c r="H233" i="1" s="1"/>
  <c r="J233" i="1"/>
  <c r="M233" i="1" s="1"/>
  <c r="G233" i="1"/>
  <c r="K233" i="1" s="1"/>
  <c r="C234" i="1"/>
  <c r="H234" i="1" s="1"/>
  <c r="J234" i="1"/>
  <c r="M234" i="1" s="1"/>
  <c r="G234" i="1"/>
  <c r="K234" i="1" s="1"/>
  <c r="C235" i="1"/>
  <c r="H235" i="1" s="1"/>
  <c r="G235" i="1"/>
  <c r="K235" i="1" s="1"/>
  <c r="C236" i="1"/>
  <c r="H236" i="1" s="1"/>
  <c r="G236" i="1"/>
  <c r="K236" i="1" s="1"/>
  <c r="C237" i="1"/>
  <c r="H237" i="1" s="1"/>
  <c r="G237" i="1"/>
  <c r="K237" i="1" s="1"/>
  <c r="C238" i="1"/>
  <c r="H238" i="1" s="1"/>
  <c r="G238" i="1"/>
  <c r="K238" i="1" s="1"/>
  <c r="C239" i="1"/>
  <c r="H239" i="1" s="1"/>
  <c r="G239" i="1"/>
  <c r="K239" i="1" s="1"/>
  <c r="C240" i="1"/>
  <c r="H240" i="1" s="1"/>
  <c r="G240" i="1"/>
  <c r="K240" i="1" s="1"/>
  <c r="C241" i="1"/>
  <c r="H241" i="1" s="1"/>
  <c r="G241" i="1"/>
  <c r="K241" i="1" s="1"/>
  <c r="C242" i="1"/>
  <c r="H242" i="1" s="1"/>
  <c r="G242" i="1"/>
  <c r="K242" i="1" s="1"/>
  <c r="C243" i="1"/>
  <c r="H243" i="1" s="1"/>
  <c r="G243" i="1"/>
  <c r="K243" i="1" s="1"/>
  <c r="C244" i="1"/>
  <c r="H244" i="1" s="1"/>
  <c r="G244" i="1"/>
  <c r="K244" i="1" s="1"/>
  <c r="C245" i="1"/>
  <c r="H245" i="1" s="1"/>
  <c r="G245" i="1"/>
  <c r="K245" i="1" s="1"/>
  <c r="C246" i="1"/>
  <c r="H246" i="1" s="1"/>
  <c r="G246" i="1"/>
  <c r="K246" i="1" s="1"/>
  <c r="C247" i="1"/>
  <c r="H247" i="1" s="1"/>
  <c r="G247" i="1"/>
  <c r="K247" i="1" s="1"/>
  <c r="C248" i="1"/>
  <c r="H248" i="1" s="1"/>
  <c r="G248" i="1"/>
  <c r="K248" i="1" s="1"/>
  <c r="C249" i="1"/>
  <c r="H249" i="1" s="1"/>
  <c r="G249" i="1"/>
  <c r="K249" i="1" s="1"/>
  <c r="C250" i="1"/>
  <c r="H250" i="1" s="1"/>
  <c r="G250" i="1"/>
  <c r="K250" i="1" s="1"/>
  <c r="C251" i="1"/>
  <c r="H251" i="1" s="1"/>
  <c r="G251" i="1"/>
  <c r="K251" i="1" s="1"/>
  <c r="C252" i="1"/>
  <c r="H252" i="1" s="1"/>
  <c r="G252" i="1"/>
  <c r="K252" i="1" s="1"/>
  <c r="C253" i="1"/>
  <c r="H253" i="1" s="1"/>
  <c r="G253" i="1"/>
  <c r="K253" i="1" s="1"/>
  <c r="C254" i="1"/>
  <c r="H254" i="1" s="1"/>
  <c r="G254" i="1"/>
  <c r="K254" i="1" s="1"/>
  <c r="C255" i="1"/>
  <c r="H255" i="1" s="1"/>
  <c r="G255" i="1"/>
  <c r="K255" i="1" s="1"/>
  <c r="C256" i="1"/>
  <c r="H256" i="1" s="1"/>
  <c r="G256" i="1"/>
  <c r="K256" i="1" s="1"/>
  <c r="C257" i="1"/>
  <c r="H257" i="1" s="1"/>
  <c r="G257" i="1"/>
  <c r="K257" i="1" s="1"/>
  <c r="C258" i="1"/>
  <c r="H258" i="1" s="1"/>
  <c r="G258" i="1"/>
  <c r="K258" i="1" s="1"/>
  <c r="C259" i="1"/>
  <c r="H259" i="1" s="1"/>
  <c r="G259" i="1"/>
  <c r="K259" i="1" s="1"/>
  <c r="C260" i="1"/>
  <c r="H260" i="1" s="1"/>
  <c r="G260" i="1"/>
  <c r="K260" i="1" s="1"/>
  <c r="C261" i="1"/>
  <c r="H261" i="1" s="1"/>
  <c r="G261" i="1"/>
  <c r="K261" i="1" s="1"/>
  <c r="C262" i="1"/>
  <c r="H262" i="1" s="1"/>
  <c r="G262" i="1"/>
  <c r="K262" i="1" s="1"/>
  <c r="C263" i="1"/>
  <c r="H263" i="1" s="1"/>
  <c r="G263" i="1"/>
  <c r="K263" i="1" s="1"/>
  <c r="C264" i="1"/>
  <c r="H264" i="1" s="1"/>
  <c r="G264" i="1"/>
  <c r="K264" i="1" s="1"/>
  <c r="C265" i="1"/>
  <c r="H265" i="1" s="1"/>
  <c r="G265" i="1"/>
  <c r="K265" i="1" s="1"/>
  <c r="C266" i="1"/>
  <c r="H266" i="1" s="1"/>
  <c r="G266" i="1"/>
  <c r="K266" i="1" s="1"/>
  <c r="C267" i="1"/>
  <c r="H267" i="1" s="1"/>
  <c r="G267" i="1"/>
  <c r="K267" i="1" s="1"/>
  <c r="C268" i="1"/>
  <c r="H268" i="1" s="1"/>
  <c r="G268" i="1"/>
  <c r="K268" i="1" s="1"/>
  <c r="C269" i="1"/>
  <c r="H269" i="1" s="1"/>
  <c r="G269" i="1"/>
  <c r="K269" i="1" s="1"/>
  <c r="C270" i="1"/>
  <c r="H270" i="1" s="1"/>
  <c r="G270" i="1"/>
  <c r="K270" i="1" s="1"/>
  <c r="C271" i="1"/>
  <c r="H271" i="1" s="1"/>
  <c r="G271" i="1"/>
  <c r="K271" i="1" s="1"/>
  <c r="C272" i="1"/>
  <c r="H272" i="1" s="1"/>
  <c r="G272" i="1"/>
  <c r="K272" i="1" s="1"/>
  <c r="C273" i="1"/>
  <c r="H273" i="1" s="1"/>
  <c r="G273" i="1"/>
  <c r="K273" i="1" s="1"/>
  <c r="C274" i="1"/>
  <c r="H274" i="1" s="1"/>
  <c r="G274" i="1"/>
  <c r="K274" i="1" s="1"/>
  <c r="C275" i="1"/>
  <c r="H275" i="1" s="1"/>
  <c r="G275" i="1"/>
  <c r="K275" i="1" s="1"/>
  <c r="C276" i="1"/>
  <c r="H276" i="1" s="1"/>
  <c r="G276" i="1"/>
  <c r="K276" i="1" s="1"/>
  <c r="C277" i="1"/>
  <c r="H277" i="1" s="1"/>
  <c r="G277" i="1"/>
  <c r="K277" i="1" s="1"/>
  <c r="C278" i="1"/>
  <c r="H278" i="1" s="1"/>
  <c r="G278" i="1"/>
  <c r="K278" i="1" s="1"/>
  <c r="C279" i="1"/>
  <c r="H279" i="1" s="1"/>
  <c r="G279" i="1"/>
  <c r="K279" i="1" s="1"/>
  <c r="C280" i="1"/>
  <c r="H280" i="1" s="1"/>
  <c r="G280" i="1"/>
  <c r="K280" i="1" s="1"/>
  <c r="C281" i="1"/>
  <c r="H281" i="1" s="1"/>
  <c r="G281" i="1"/>
  <c r="K281" i="1" s="1"/>
  <c r="C282" i="1"/>
  <c r="H282" i="1" s="1"/>
  <c r="G282" i="1"/>
  <c r="K282" i="1" s="1"/>
  <c r="C283" i="1"/>
  <c r="H283" i="1" s="1"/>
  <c r="G283" i="1"/>
  <c r="K283" i="1" s="1"/>
  <c r="C284" i="1"/>
  <c r="H284" i="1" s="1"/>
  <c r="G284" i="1"/>
  <c r="K284" i="1" s="1"/>
  <c r="C285" i="1"/>
  <c r="H285" i="1" s="1"/>
  <c r="G285" i="1"/>
  <c r="K285" i="1" s="1"/>
  <c r="C286" i="1"/>
  <c r="H286" i="1" s="1"/>
  <c r="G286" i="1"/>
  <c r="K286" i="1" s="1"/>
  <c r="C287" i="1"/>
  <c r="H287" i="1" s="1"/>
  <c r="G287" i="1"/>
  <c r="K287" i="1" s="1"/>
  <c r="C288" i="1"/>
  <c r="H288" i="1" s="1"/>
  <c r="G288" i="1"/>
  <c r="C289" i="1"/>
  <c r="H289" i="1" s="1"/>
  <c r="G289" i="1"/>
  <c r="K289" i="1" s="1"/>
  <c r="C290" i="1"/>
  <c r="H290" i="1" s="1"/>
  <c r="G290" i="1"/>
  <c r="K290" i="1" s="1"/>
  <c r="C291" i="1"/>
  <c r="H291" i="1" s="1"/>
  <c r="G291" i="1"/>
  <c r="K291" i="1" s="1"/>
  <c r="C292" i="1"/>
  <c r="H292" i="1" s="1"/>
  <c r="G292" i="1"/>
  <c r="K292" i="1" s="1"/>
  <c r="C293" i="1"/>
  <c r="H293" i="1" s="1"/>
  <c r="G293" i="1"/>
  <c r="K293" i="1" s="1"/>
  <c r="C294" i="1"/>
  <c r="H294" i="1" s="1"/>
  <c r="G294" i="1"/>
  <c r="K294" i="1" s="1"/>
  <c r="C295" i="1"/>
  <c r="H295" i="1" s="1"/>
  <c r="G295" i="1"/>
  <c r="K295" i="1" s="1"/>
  <c r="C296" i="1"/>
  <c r="H296" i="1" s="1"/>
  <c r="G296" i="1"/>
  <c r="K296" i="1" s="1"/>
  <c r="C297" i="1"/>
  <c r="H297" i="1" s="1"/>
  <c r="G297" i="1"/>
  <c r="K297" i="1" s="1"/>
  <c r="C298" i="1"/>
  <c r="H298" i="1" s="1"/>
  <c r="G298" i="1"/>
  <c r="K298" i="1" s="1"/>
  <c r="C299" i="1"/>
  <c r="H299" i="1" s="1"/>
  <c r="G299" i="1"/>
  <c r="K299" i="1" s="1"/>
  <c r="C300" i="1"/>
  <c r="H300" i="1" s="1"/>
  <c r="G300" i="1"/>
  <c r="K300" i="1" s="1"/>
  <c r="C301" i="1"/>
  <c r="H301" i="1" s="1"/>
  <c r="G301" i="1"/>
  <c r="K301" i="1" s="1"/>
  <c r="C302" i="1"/>
  <c r="H302" i="1" s="1"/>
  <c r="G302" i="1"/>
  <c r="K302" i="1" s="1"/>
  <c r="C303" i="1"/>
  <c r="H303" i="1" s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K188" i="1" s="1"/>
  <c r="J189" i="1"/>
  <c r="M189" i="1" s="1"/>
  <c r="G189" i="1"/>
  <c r="K189" i="1" s="1"/>
  <c r="J190" i="1"/>
  <c r="M190" i="1" s="1"/>
  <c r="G190" i="1"/>
  <c r="K190" i="1" s="1"/>
  <c r="J191" i="1"/>
  <c r="M191" i="1" s="1"/>
  <c r="G191" i="1"/>
  <c r="K191" i="1" s="1"/>
  <c r="J192" i="1"/>
  <c r="M192" i="1" s="1"/>
  <c r="G192" i="1"/>
  <c r="K192" i="1" s="1"/>
  <c r="J193" i="1"/>
  <c r="M193" i="1" s="1"/>
  <c r="G193" i="1"/>
  <c r="K193" i="1" s="1"/>
  <c r="J194" i="1"/>
  <c r="M194" i="1" s="1"/>
  <c r="G194" i="1"/>
  <c r="K194" i="1" s="1"/>
  <c r="J195" i="1"/>
  <c r="M195" i="1" s="1"/>
  <c r="G195" i="1"/>
  <c r="K195" i="1" s="1"/>
  <c r="J196" i="1"/>
  <c r="M196" i="1" s="1"/>
  <c r="G196" i="1"/>
  <c r="K196" i="1" s="1"/>
  <c r="J197" i="1"/>
  <c r="M197" i="1" s="1"/>
  <c r="G197" i="1"/>
  <c r="K197" i="1" s="1"/>
  <c r="J198" i="1"/>
  <c r="M198" i="1" s="1"/>
  <c r="G198" i="1"/>
  <c r="K198" i="1" s="1"/>
  <c r="J199" i="1"/>
  <c r="M199" i="1" s="1"/>
  <c r="G199" i="1"/>
  <c r="K199" i="1" s="1"/>
  <c r="J200" i="1"/>
  <c r="M200" i="1" s="1"/>
  <c r="G200" i="1"/>
  <c r="K200" i="1" s="1"/>
  <c r="J201" i="1"/>
  <c r="M201" i="1" s="1"/>
  <c r="G201" i="1"/>
  <c r="K201" i="1" s="1"/>
  <c r="J202" i="1"/>
  <c r="M202" i="1" s="1"/>
  <c r="G202" i="1"/>
  <c r="K202" i="1" s="1"/>
  <c r="J203" i="1"/>
  <c r="M203" i="1" s="1"/>
  <c r="G203" i="1"/>
  <c r="K203" i="1" s="1"/>
  <c r="J204" i="1"/>
  <c r="M204" i="1" s="1"/>
  <c r="G204" i="1"/>
  <c r="K204" i="1" s="1"/>
  <c r="J205" i="1"/>
  <c r="M205" i="1" s="1"/>
  <c r="G205" i="1"/>
  <c r="K205" i="1" s="1"/>
  <c r="J206" i="1"/>
  <c r="M206" i="1" s="1"/>
  <c r="G206" i="1"/>
  <c r="K206" i="1" s="1"/>
  <c r="J207" i="1"/>
  <c r="M207" i="1" s="1"/>
  <c r="G207" i="1"/>
  <c r="K207" i="1" s="1"/>
  <c r="J208" i="1"/>
  <c r="M208" i="1" s="1"/>
  <c r="G208" i="1"/>
  <c r="K208" i="1" s="1"/>
  <c r="J209" i="1"/>
  <c r="M209" i="1" s="1"/>
  <c r="G209" i="1"/>
  <c r="K209" i="1" s="1"/>
  <c r="J210" i="1"/>
  <c r="M210" i="1" s="1"/>
  <c r="G210" i="1"/>
  <c r="K210" i="1" s="1"/>
  <c r="J211" i="1"/>
  <c r="M211" i="1" s="1"/>
  <c r="G211" i="1"/>
  <c r="K211" i="1" s="1"/>
  <c r="J5" i="1"/>
  <c r="M5" i="1" s="1"/>
  <c r="G5" i="1"/>
  <c r="K5" i="1" s="1"/>
  <c r="J6" i="1"/>
  <c r="M6" i="1" s="1"/>
  <c r="G6" i="1"/>
  <c r="K6" i="1" s="1"/>
  <c r="J7" i="1"/>
  <c r="M7" i="1" s="1"/>
  <c r="G7" i="1"/>
  <c r="K7" i="1" s="1"/>
  <c r="J8" i="1"/>
  <c r="M8" i="1" s="1"/>
  <c r="G8" i="1"/>
  <c r="K8" i="1" s="1"/>
  <c r="J9" i="1"/>
  <c r="M9" i="1" s="1"/>
  <c r="G9" i="1"/>
  <c r="K9" i="1" s="1"/>
  <c r="J10" i="1"/>
  <c r="M10" i="1" s="1"/>
  <c r="G10" i="1"/>
  <c r="K10" i="1" s="1"/>
  <c r="J11" i="1"/>
  <c r="M11" i="1" s="1"/>
  <c r="G11" i="1"/>
  <c r="K11" i="1" s="1"/>
  <c r="J12" i="1"/>
  <c r="M12" i="1" s="1"/>
  <c r="G12" i="1"/>
  <c r="K12" i="1" s="1"/>
  <c r="J13" i="1"/>
  <c r="M13" i="1" s="1"/>
  <c r="G13" i="1"/>
  <c r="K13" i="1" s="1"/>
  <c r="J14" i="1"/>
  <c r="M14" i="1" s="1"/>
  <c r="G14" i="1"/>
  <c r="K14" i="1" s="1"/>
  <c r="J15" i="1"/>
  <c r="M15" i="1" s="1"/>
  <c r="G15" i="1"/>
  <c r="K15" i="1" s="1"/>
  <c r="J16" i="1"/>
  <c r="M16" i="1" s="1"/>
  <c r="G16" i="1"/>
  <c r="K16" i="1" s="1"/>
  <c r="J17" i="1"/>
  <c r="M17" i="1" s="1"/>
  <c r="G17" i="1"/>
  <c r="K17" i="1" s="1"/>
  <c r="J18" i="1"/>
  <c r="M18" i="1" s="1"/>
  <c r="G18" i="1"/>
  <c r="K18" i="1" s="1"/>
  <c r="J19" i="1"/>
  <c r="M19" i="1" s="1"/>
  <c r="G19" i="1"/>
  <c r="K19" i="1" s="1"/>
  <c r="J20" i="1"/>
  <c r="M20" i="1" s="1"/>
  <c r="G20" i="1"/>
  <c r="K20" i="1" s="1"/>
  <c r="J21" i="1"/>
  <c r="M21" i="1" s="1"/>
  <c r="G21" i="1"/>
  <c r="K21" i="1" s="1"/>
  <c r="J22" i="1"/>
  <c r="M22" i="1" s="1"/>
  <c r="G22" i="1"/>
  <c r="K22" i="1" s="1"/>
  <c r="J23" i="1"/>
  <c r="M23" i="1" s="1"/>
  <c r="G23" i="1"/>
  <c r="K23" i="1" s="1"/>
  <c r="J24" i="1"/>
  <c r="M24" i="1" s="1"/>
  <c r="G24" i="1"/>
  <c r="K24" i="1" s="1"/>
  <c r="J25" i="1"/>
  <c r="M25" i="1" s="1"/>
  <c r="G25" i="1"/>
  <c r="K25" i="1" s="1"/>
  <c r="J26" i="1"/>
  <c r="M26" i="1" s="1"/>
  <c r="G26" i="1"/>
  <c r="K26" i="1" s="1"/>
  <c r="J27" i="1"/>
  <c r="M27" i="1" s="1"/>
  <c r="G27" i="1"/>
  <c r="K27" i="1" s="1"/>
  <c r="J28" i="1"/>
  <c r="M28" i="1" s="1"/>
  <c r="G28" i="1"/>
  <c r="K28" i="1" s="1"/>
  <c r="J29" i="1"/>
  <c r="M29" i="1" s="1"/>
  <c r="G29" i="1"/>
  <c r="K29" i="1" s="1"/>
  <c r="J30" i="1"/>
  <c r="M30" i="1" s="1"/>
  <c r="G30" i="1"/>
  <c r="K30" i="1" s="1"/>
  <c r="J31" i="1"/>
  <c r="M31" i="1" s="1"/>
  <c r="G31" i="1"/>
  <c r="K31" i="1" s="1"/>
  <c r="J32" i="1"/>
  <c r="M32" i="1" s="1"/>
  <c r="G32" i="1"/>
  <c r="K32" i="1" s="1"/>
  <c r="J33" i="1"/>
  <c r="M33" i="1" s="1"/>
  <c r="G33" i="1"/>
  <c r="K33" i="1" s="1"/>
  <c r="J34" i="1"/>
  <c r="M34" i="1" s="1"/>
  <c r="G34" i="1"/>
  <c r="K34" i="1" s="1"/>
  <c r="J35" i="1"/>
  <c r="M35" i="1" s="1"/>
  <c r="G35" i="1"/>
  <c r="K35" i="1" s="1"/>
  <c r="J36" i="1"/>
  <c r="M36" i="1" s="1"/>
  <c r="G36" i="1"/>
  <c r="K36" i="1" s="1"/>
  <c r="J37" i="1"/>
  <c r="M37" i="1" s="1"/>
  <c r="G37" i="1"/>
  <c r="K37" i="1" s="1"/>
  <c r="J38" i="1"/>
  <c r="M38" i="1" s="1"/>
  <c r="G38" i="1"/>
  <c r="K38" i="1" s="1"/>
  <c r="J39" i="1"/>
  <c r="M39" i="1" s="1"/>
  <c r="G39" i="1"/>
  <c r="K39" i="1" s="1"/>
  <c r="J40" i="1"/>
  <c r="M40" i="1" s="1"/>
  <c r="G40" i="1"/>
  <c r="K40" i="1" s="1"/>
  <c r="J41" i="1"/>
  <c r="M41" i="1" s="1"/>
  <c r="G41" i="1"/>
  <c r="K41" i="1" s="1"/>
  <c r="J42" i="1"/>
  <c r="M42" i="1" s="1"/>
  <c r="G42" i="1"/>
  <c r="K42" i="1" s="1"/>
  <c r="J43" i="1"/>
  <c r="M43" i="1" s="1"/>
  <c r="G43" i="1"/>
  <c r="K43" i="1" s="1"/>
  <c r="J44" i="1"/>
  <c r="M44" i="1" s="1"/>
  <c r="G44" i="1"/>
  <c r="K44" i="1" s="1"/>
  <c r="J45" i="1"/>
  <c r="M45" i="1" s="1"/>
  <c r="G45" i="1"/>
  <c r="K45" i="1" s="1"/>
  <c r="J46" i="1"/>
  <c r="M46" i="1" s="1"/>
  <c r="G46" i="1"/>
  <c r="K46" i="1" s="1"/>
  <c r="J47" i="1"/>
  <c r="M47" i="1" s="1"/>
  <c r="G47" i="1"/>
  <c r="K47" i="1" s="1"/>
  <c r="J48" i="1"/>
  <c r="M48" i="1" s="1"/>
  <c r="G48" i="1"/>
  <c r="K48" i="1" s="1"/>
  <c r="J49" i="1"/>
  <c r="M49" i="1" s="1"/>
  <c r="G49" i="1"/>
  <c r="K49" i="1" s="1"/>
  <c r="J50" i="1"/>
  <c r="M50" i="1" s="1"/>
  <c r="G50" i="1"/>
  <c r="K50" i="1" s="1"/>
  <c r="J51" i="1"/>
  <c r="M51" i="1" s="1"/>
  <c r="G51" i="1"/>
  <c r="K51" i="1" s="1"/>
  <c r="J52" i="1"/>
  <c r="M52" i="1" s="1"/>
  <c r="G52" i="1"/>
  <c r="K52" i="1" s="1"/>
  <c r="J53" i="1"/>
  <c r="M53" i="1" s="1"/>
  <c r="G53" i="1"/>
  <c r="K53" i="1" s="1"/>
  <c r="J54" i="1"/>
  <c r="M54" i="1" s="1"/>
  <c r="G54" i="1"/>
  <c r="K54" i="1" s="1"/>
  <c r="J55" i="1"/>
  <c r="M55" i="1" s="1"/>
  <c r="G55" i="1"/>
  <c r="K55" i="1" s="1"/>
  <c r="J56" i="1"/>
  <c r="M56" i="1" s="1"/>
  <c r="G56" i="1"/>
  <c r="K56" i="1" s="1"/>
  <c r="J57" i="1"/>
  <c r="M57" i="1" s="1"/>
  <c r="G57" i="1"/>
  <c r="K57" i="1" s="1"/>
  <c r="J58" i="1"/>
  <c r="M58" i="1" s="1"/>
  <c r="G58" i="1"/>
  <c r="K58" i="1" s="1"/>
  <c r="J59" i="1"/>
  <c r="M59" i="1" s="1"/>
  <c r="G59" i="1"/>
  <c r="K59" i="1" s="1"/>
  <c r="J60" i="1"/>
  <c r="M60" i="1" s="1"/>
  <c r="G60" i="1"/>
  <c r="K60" i="1" s="1"/>
  <c r="J61" i="1"/>
  <c r="M61" i="1" s="1"/>
  <c r="G61" i="1"/>
  <c r="K61" i="1" s="1"/>
  <c r="J62" i="1"/>
  <c r="M62" i="1" s="1"/>
  <c r="G62" i="1"/>
  <c r="K62" i="1" s="1"/>
  <c r="J63" i="1"/>
  <c r="M63" i="1" s="1"/>
  <c r="G63" i="1"/>
  <c r="K63" i="1" s="1"/>
  <c r="J64" i="1"/>
  <c r="M64" i="1" s="1"/>
  <c r="G64" i="1"/>
  <c r="K64" i="1" s="1"/>
  <c r="J65" i="1"/>
  <c r="M65" i="1" s="1"/>
  <c r="G65" i="1"/>
  <c r="K65" i="1" s="1"/>
  <c r="J66" i="1"/>
  <c r="M66" i="1" s="1"/>
  <c r="G66" i="1"/>
  <c r="K66" i="1" s="1"/>
  <c r="J67" i="1"/>
  <c r="M67" i="1" s="1"/>
  <c r="G67" i="1"/>
  <c r="K67" i="1" s="1"/>
  <c r="J68" i="1"/>
  <c r="M68" i="1" s="1"/>
  <c r="G68" i="1"/>
  <c r="K68" i="1" s="1"/>
  <c r="J69" i="1"/>
  <c r="M69" i="1" s="1"/>
  <c r="G69" i="1"/>
  <c r="K69" i="1" s="1"/>
  <c r="J70" i="1"/>
  <c r="M70" i="1" s="1"/>
  <c r="G70" i="1"/>
  <c r="K70" i="1" s="1"/>
  <c r="J71" i="1"/>
  <c r="M71" i="1" s="1"/>
  <c r="G71" i="1"/>
  <c r="K71" i="1" s="1"/>
  <c r="J72" i="1"/>
  <c r="M72" i="1" s="1"/>
  <c r="G72" i="1"/>
  <c r="K72" i="1" s="1"/>
  <c r="J73" i="1"/>
  <c r="M73" i="1" s="1"/>
  <c r="G73" i="1"/>
  <c r="K73" i="1" s="1"/>
  <c r="J74" i="1"/>
  <c r="M74" i="1" s="1"/>
  <c r="G74" i="1"/>
  <c r="K74" i="1" s="1"/>
  <c r="J75" i="1"/>
  <c r="M75" i="1" s="1"/>
  <c r="G75" i="1"/>
  <c r="K75" i="1" s="1"/>
  <c r="J76" i="1"/>
  <c r="M76" i="1" s="1"/>
  <c r="G76" i="1"/>
  <c r="K76" i="1" s="1"/>
  <c r="J77" i="1"/>
  <c r="M77" i="1" s="1"/>
  <c r="G77" i="1"/>
  <c r="K77" i="1" s="1"/>
  <c r="J78" i="1"/>
  <c r="M78" i="1" s="1"/>
  <c r="G78" i="1"/>
  <c r="K78" i="1" s="1"/>
  <c r="J79" i="1"/>
  <c r="M79" i="1" s="1"/>
  <c r="G79" i="1"/>
  <c r="K79" i="1" s="1"/>
  <c r="J80" i="1"/>
  <c r="M80" i="1" s="1"/>
  <c r="G80" i="1"/>
  <c r="K80" i="1" s="1"/>
  <c r="J81" i="1"/>
  <c r="M81" i="1" s="1"/>
  <c r="G81" i="1"/>
  <c r="K81" i="1" s="1"/>
  <c r="J82" i="1"/>
  <c r="M82" i="1" s="1"/>
  <c r="G82" i="1"/>
  <c r="K82" i="1" s="1"/>
  <c r="J83" i="1"/>
  <c r="M83" i="1" s="1"/>
  <c r="G83" i="1"/>
  <c r="K83" i="1" s="1"/>
  <c r="J84" i="1"/>
  <c r="M84" i="1" s="1"/>
  <c r="G84" i="1"/>
  <c r="K84" i="1" s="1"/>
  <c r="J85" i="1"/>
  <c r="M85" i="1" s="1"/>
  <c r="G85" i="1"/>
  <c r="K85" i="1" s="1"/>
  <c r="J86" i="1"/>
  <c r="M86" i="1" s="1"/>
  <c r="G86" i="1"/>
  <c r="K86" i="1" s="1"/>
  <c r="J87" i="1"/>
  <c r="M87" i="1" s="1"/>
  <c r="G87" i="1"/>
  <c r="K87" i="1" s="1"/>
  <c r="J88" i="1"/>
  <c r="M88" i="1" s="1"/>
  <c r="G88" i="1"/>
  <c r="K88" i="1" s="1"/>
  <c r="J89" i="1"/>
  <c r="M89" i="1" s="1"/>
  <c r="G89" i="1"/>
  <c r="K89" i="1" s="1"/>
  <c r="J90" i="1"/>
  <c r="M90" i="1" s="1"/>
  <c r="G90" i="1"/>
  <c r="K90" i="1" s="1"/>
  <c r="J91" i="1"/>
  <c r="M91" i="1" s="1"/>
  <c r="G91" i="1"/>
  <c r="K91" i="1" s="1"/>
  <c r="J92" i="1"/>
  <c r="M92" i="1" s="1"/>
  <c r="G92" i="1"/>
  <c r="K92" i="1" s="1"/>
  <c r="J93" i="1"/>
  <c r="M93" i="1" s="1"/>
  <c r="G93" i="1"/>
  <c r="K93" i="1" s="1"/>
  <c r="J94" i="1"/>
  <c r="M94" i="1" s="1"/>
  <c r="G94" i="1"/>
  <c r="K94" i="1" s="1"/>
  <c r="J95" i="1"/>
  <c r="M95" i="1" s="1"/>
  <c r="G95" i="1"/>
  <c r="K95" i="1" s="1"/>
  <c r="J96" i="1"/>
  <c r="M96" i="1" s="1"/>
  <c r="G96" i="1"/>
  <c r="K96" i="1" s="1"/>
  <c r="J97" i="1"/>
  <c r="M97" i="1" s="1"/>
  <c r="G97" i="1"/>
  <c r="K97" i="1" s="1"/>
  <c r="J98" i="1"/>
  <c r="M98" i="1" s="1"/>
  <c r="G98" i="1"/>
  <c r="K98" i="1" s="1"/>
  <c r="J99" i="1"/>
  <c r="M99" i="1" s="1"/>
  <c r="G99" i="1"/>
  <c r="K99" i="1" s="1"/>
  <c r="J100" i="1"/>
  <c r="M100" i="1" s="1"/>
  <c r="G100" i="1"/>
  <c r="K100" i="1" s="1"/>
  <c r="J101" i="1"/>
  <c r="M101" i="1" s="1"/>
  <c r="G101" i="1"/>
  <c r="K101" i="1" s="1"/>
  <c r="J102" i="1"/>
  <c r="M102" i="1" s="1"/>
  <c r="G102" i="1"/>
  <c r="K102" i="1" s="1"/>
  <c r="J103" i="1"/>
  <c r="M103" i="1" s="1"/>
  <c r="G103" i="1"/>
  <c r="K103" i="1" s="1"/>
  <c r="J104" i="1"/>
  <c r="M104" i="1" s="1"/>
  <c r="G104" i="1"/>
  <c r="K104" i="1" s="1"/>
  <c r="J105" i="1"/>
  <c r="M105" i="1" s="1"/>
  <c r="G105" i="1"/>
  <c r="K105" i="1" s="1"/>
  <c r="J106" i="1"/>
  <c r="M106" i="1" s="1"/>
  <c r="G106" i="1"/>
  <c r="K106" i="1" s="1"/>
  <c r="J107" i="1"/>
  <c r="M107" i="1" s="1"/>
  <c r="G107" i="1"/>
  <c r="K107" i="1" s="1"/>
  <c r="J108" i="1"/>
  <c r="M108" i="1" s="1"/>
  <c r="G108" i="1"/>
  <c r="K108" i="1" s="1"/>
  <c r="J109" i="1"/>
  <c r="M109" i="1" s="1"/>
  <c r="G109" i="1"/>
  <c r="K109" i="1" s="1"/>
  <c r="J110" i="1"/>
  <c r="M110" i="1" s="1"/>
  <c r="G110" i="1"/>
  <c r="K110" i="1" s="1"/>
  <c r="J111" i="1"/>
  <c r="M111" i="1" s="1"/>
  <c r="G111" i="1"/>
  <c r="K111" i="1" s="1"/>
  <c r="J112" i="1"/>
  <c r="M112" i="1" s="1"/>
  <c r="G112" i="1"/>
  <c r="K112" i="1" s="1"/>
  <c r="J113" i="1"/>
  <c r="M113" i="1" s="1"/>
  <c r="G113" i="1"/>
  <c r="K113" i="1" s="1"/>
  <c r="J114" i="1"/>
  <c r="M114" i="1" s="1"/>
  <c r="G114" i="1"/>
  <c r="K114" i="1" s="1"/>
  <c r="J115" i="1"/>
  <c r="M115" i="1" s="1"/>
  <c r="G115" i="1"/>
  <c r="K115" i="1" s="1"/>
  <c r="J116" i="1"/>
  <c r="M116" i="1" s="1"/>
  <c r="G116" i="1"/>
  <c r="K116" i="1" s="1"/>
  <c r="J117" i="1"/>
  <c r="M117" i="1" s="1"/>
  <c r="G117" i="1"/>
  <c r="K117" i="1" s="1"/>
  <c r="J118" i="1"/>
  <c r="M118" i="1" s="1"/>
  <c r="G118" i="1"/>
  <c r="K118" i="1" s="1"/>
  <c r="J119" i="1"/>
  <c r="M119" i="1" s="1"/>
  <c r="G119" i="1"/>
  <c r="K119" i="1" s="1"/>
  <c r="J120" i="1"/>
  <c r="M120" i="1" s="1"/>
  <c r="G120" i="1"/>
  <c r="K120" i="1" s="1"/>
  <c r="J121" i="1"/>
  <c r="M121" i="1" s="1"/>
  <c r="G121" i="1"/>
  <c r="K121" i="1" s="1"/>
  <c r="J122" i="1"/>
  <c r="M122" i="1" s="1"/>
  <c r="G122" i="1"/>
  <c r="K122" i="1" s="1"/>
  <c r="J123" i="1"/>
  <c r="M123" i="1" s="1"/>
  <c r="G123" i="1"/>
  <c r="K123" i="1" s="1"/>
  <c r="J124" i="1"/>
  <c r="M124" i="1" s="1"/>
  <c r="G124" i="1"/>
  <c r="K124" i="1" s="1"/>
  <c r="J125" i="1"/>
  <c r="M125" i="1" s="1"/>
  <c r="G125" i="1"/>
  <c r="K125" i="1" s="1"/>
  <c r="J126" i="1"/>
  <c r="M126" i="1" s="1"/>
  <c r="G126" i="1"/>
  <c r="K126" i="1" s="1"/>
  <c r="J127" i="1"/>
  <c r="M127" i="1" s="1"/>
  <c r="G127" i="1"/>
  <c r="K127" i="1" s="1"/>
  <c r="J128" i="1"/>
  <c r="M128" i="1" s="1"/>
  <c r="G128" i="1"/>
  <c r="K128" i="1" s="1"/>
  <c r="J129" i="1"/>
  <c r="M129" i="1" s="1"/>
  <c r="G129" i="1"/>
  <c r="K129" i="1" s="1"/>
  <c r="J130" i="1"/>
  <c r="M130" i="1" s="1"/>
  <c r="G130" i="1"/>
  <c r="K130" i="1" s="1"/>
  <c r="J131" i="1"/>
  <c r="M131" i="1" s="1"/>
  <c r="G131" i="1"/>
  <c r="K131" i="1" s="1"/>
  <c r="J132" i="1"/>
  <c r="M132" i="1" s="1"/>
  <c r="G132" i="1"/>
  <c r="K132" i="1" s="1"/>
  <c r="J133" i="1"/>
  <c r="M133" i="1" s="1"/>
  <c r="G133" i="1"/>
  <c r="K133" i="1" s="1"/>
  <c r="J134" i="1"/>
  <c r="M134" i="1" s="1"/>
  <c r="G134" i="1"/>
  <c r="K134" i="1" s="1"/>
  <c r="J135" i="1"/>
  <c r="M135" i="1" s="1"/>
  <c r="G135" i="1"/>
  <c r="K135" i="1" s="1"/>
  <c r="J136" i="1"/>
  <c r="M136" i="1" s="1"/>
  <c r="G136" i="1"/>
  <c r="K136" i="1" s="1"/>
  <c r="J137" i="1"/>
  <c r="M137" i="1" s="1"/>
  <c r="G137" i="1"/>
  <c r="K137" i="1" s="1"/>
  <c r="J138" i="1"/>
  <c r="M138" i="1" s="1"/>
  <c r="G138" i="1"/>
  <c r="K138" i="1" s="1"/>
  <c r="J139" i="1"/>
  <c r="M139" i="1" s="1"/>
  <c r="G139" i="1"/>
  <c r="K139" i="1" s="1"/>
  <c r="J140" i="1"/>
  <c r="M140" i="1" s="1"/>
  <c r="G140" i="1"/>
  <c r="K140" i="1" s="1"/>
  <c r="J141" i="1"/>
  <c r="M141" i="1" s="1"/>
  <c r="G141" i="1"/>
  <c r="K141" i="1" s="1"/>
  <c r="J142" i="1"/>
  <c r="M142" i="1" s="1"/>
  <c r="G142" i="1"/>
  <c r="K142" i="1" s="1"/>
  <c r="J143" i="1"/>
  <c r="M143" i="1" s="1"/>
  <c r="G143" i="1"/>
  <c r="K143" i="1" s="1"/>
  <c r="J144" i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K145" i="1" s="1"/>
  <c r="J146" i="1"/>
  <c r="M146" i="1" s="1"/>
  <c r="G146" i="1"/>
  <c r="K146" i="1" s="1"/>
  <c r="J147" i="1"/>
  <c r="M147" i="1" s="1"/>
  <c r="G147" i="1"/>
  <c r="K147" i="1" s="1"/>
  <c r="J148" i="1"/>
  <c r="M148" i="1" s="1"/>
  <c r="G148" i="1"/>
  <c r="K148" i="1" s="1"/>
  <c r="J149" i="1"/>
  <c r="M149" i="1" s="1"/>
  <c r="G149" i="1"/>
  <c r="K149" i="1" s="1"/>
  <c r="J150" i="1"/>
  <c r="M150" i="1" s="1"/>
  <c r="G150" i="1"/>
  <c r="K150" i="1" s="1"/>
  <c r="J151" i="1"/>
  <c r="M151" i="1" s="1"/>
  <c r="G151" i="1"/>
  <c r="K151" i="1" s="1"/>
  <c r="J152" i="1"/>
  <c r="M152" i="1" s="1"/>
  <c r="G152" i="1"/>
  <c r="K152" i="1" s="1"/>
  <c r="J153" i="1"/>
  <c r="M153" i="1" s="1"/>
  <c r="G153" i="1"/>
  <c r="K153" i="1" s="1"/>
  <c r="J154" i="1"/>
  <c r="M154" i="1" s="1"/>
  <c r="G154" i="1"/>
  <c r="K154" i="1" s="1"/>
  <c r="J155" i="1"/>
  <c r="M155" i="1" s="1"/>
  <c r="G155" i="1"/>
  <c r="K155" i="1" s="1"/>
  <c r="J156" i="1"/>
  <c r="M156" i="1" s="1"/>
  <c r="G156" i="1"/>
  <c r="K156" i="1" s="1"/>
  <c r="J157" i="1"/>
  <c r="M157" i="1" s="1"/>
  <c r="G157" i="1"/>
  <c r="K157" i="1" s="1"/>
  <c r="J158" i="1"/>
  <c r="M158" i="1" s="1"/>
  <c r="G158" i="1"/>
  <c r="K158" i="1" s="1"/>
  <c r="J159" i="1"/>
  <c r="M159" i="1" s="1"/>
  <c r="G159" i="1"/>
  <c r="K159" i="1" s="1"/>
  <c r="J160" i="1"/>
  <c r="M160" i="1" s="1"/>
  <c r="G160" i="1"/>
  <c r="K160" i="1" s="1"/>
  <c r="J161" i="1"/>
  <c r="M161" i="1" s="1"/>
  <c r="G161" i="1"/>
  <c r="K161" i="1" s="1"/>
  <c r="J162" i="1"/>
  <c r="M162" i="1" s="1"/>
  <c r="G162" i="1"/>
  <c r="K162" i="1" s="1"/>
  <c r="J163" i="1"/>
  <c r="M163" i="1" s="1"/>
  <c r="G163" i="1"/>
  <c r="K163" i="1" s="1"/>
  <c r="J164" i="1"/>
  <c r="M164" i="1" s="1"/>
  <c r="G164" i="1"/>
  <c r="K164" i="1" s="1"/>
  <c r="J165" i="1"/>
  <c r="M165" i="1" s="1"/>
  <c r="G165" i="1"/>
  <c r="K165" i="1" s="1"/>
  <c r="J166" i="1"/>
  <c r="M166" i="1" s="1"/>
  <c r="G166" i="1"/>
  <c r="K166" i="1" s="1"/>
  <c r="J167" i="1"/>
  <c r="M167" i="1" s="1"/>
  <c r="G167" i="1"/>
  <c r="K167" i="1" s="1"/>
  <c r="J168" i="1"/>
  <c r="M168" i="1" s="1"/>
  <c r="G168" i="1"/>
  <c r="K168" i="1" s="1"/>
  <c r="J169" i="1"/>
  <c r="M169" i="1" s="1"/>
  <c r="G169" i="1"/>
  <c r="K169" i="1" s="1"/>
  <c r="J170" i="1"/>
  <c r="M170" i="1" s="1"/>
  <c r="G170" i="1"/>
  <c r="K170" i="1" s="1"/>
  <c r="J171" i="1"/>
  <c r="M171" i="1" s="1"/>
  <c r="G171" i="1"/>
  <c r="K171" i="1" s="1"/>
  <c r="J172" i="1"/>
  <c r="M172" i="1" s="1"/>
  <c r="G172" i="1"/>
  <c r="K172" i="1" s="1"/>
  <c r="J173" i="1"/>
  <c r="M173" i="1" s="1"/>
  <c r="G173" i="1"/>
  <c r="K173" i="1" s="1"/>
  <c r="J174" i="1"/>
  <c r="M174" i="1" s="1"/>
  <c r="G174" i="1"/>
  <c r="K174" i="1" s="1"/>
  <c r="J175" i="1"/>
  <c r="M175" i="1" s="1"/>
  <c r="G175" i="1"/>
  <c r="K175" i="1" s="1"/>
  <c r="J176" i="1"/>
  <c r="M176" i="1" s="1"/>
  <c r="G176" i="1"/>
  <c r="K176" i="1" s="1"/>
  <c r="J177" i="1"/>
  <c r="M177" i="1" s="1"/>
  <c r="G177" i="1"/>
  <c r="K177" i="1" s="1"/>
  <c r="J178" i="1"/>
  <c r="M178" i="1" s="1"/>
  <c r="G178" i="1"/>
  <c r="K178" i="1" s="1"/>
  <c r="J179" i="1"/>
  <c r="M179" i="1" s="1"/>
  <c r="G179" i="1"/>
  <c r="K179" i="1" s="1"/>
  <c r="J180" i="1"/>
  <c r="M180" i="1" s="1"/>
  <c r="G180" i="1"/>
  <c r="K180" i="1" s="1"/>
  <c r="J181" i="1"/>
  <c r="M181" i="1" s="1"/>
  <c r="G181" i="1"/>
  <c r="K181" i="1" s="1"/>
  <c r="J182" i="1"/>
  <c r="M182" i="1" s="1"/>
  <c r="G182" i="1"/>
  <c r="K182" i="1" s="1"/>
  <c r="J183" i="1"/>
  <c r="M183" i="1" s="1"/>
  <c r="G183" i="1"/>
  <c r="K183" i="1" s="1"/>
  <c r="J184" i="1"/>
  <c r="M184" i="1" s="1"/>
  <c r="G184" i="1"/>
  <c r="K184" i="1" s="1"/>
  <c r="J185" i="1"/>
  <c r="M185" i="1" s="1"/>
  <c r="G185" i="1"/>
  <c r="K185" i="1" s="1"/>
  <c r="J186" i="1"/>
  <c r="M186" i="1" s="1"/>
  <c r="G186" i="1"/>
  <c r="K186" i="1" s="1"/>
  <c r="J187" i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<sst xmlns="http://schemas.openxmlformats.org/spreadsheetml/2006/main" count="40" uniqueCount="36">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</sst>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L2" zoomScale="85" zoomScaleNormal="85" workbookViewId="0">
      <selection activeCell="S10" sqref="S10"/>
    </sheetView>
  </sheetViews>
  <sheetFormatPr defaultRowHeight="15"/>
  <cols>
    <col min="10" max="10" width="12.28515625" customWidth="1"/>
    <col min="11" max="11" width="13.5703125" bestFit="1" customWidth="1"/>
    <col min="28" max="28" width="14" bestFit="1" customWidth="1"/>
  </cols>
  <sheetData>
    <row r="1" spans="1:29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-0.33889000000000002</v>
      </c>
      <c r="AC3" t="s">
        <v>30</v>
      </c>
    </row>
    <row r="4" spans="1:29">
      <c r="A4">
        <v>2.9500000000000002E-2</v>
      </c>
      <c r="B4">
        <v>0.92400000000000004</v>
      </c>
      <c r="C4">
        <f>A4*B4</f>
        <v>2.7258000000000004E-2</v>
      </c>
      <c r="D4">
        <v>1.6E-2</v>
      </c>
      <c r="E4">
        <v>3.8158201924077539E-3</v>
      </c>
      <c r="F4">
        <f>A4*200</f>
        <v>5.9</v>
      </c>
      <c r="G4">
        <f>-B4</f>
        <v>-0.92400000000000004</v>
      </c>
      <c r="H4">
        <f t="shared" ref="H4" si="0">-C4*200</f>
        <v>-5.4516000000000009</v>
      </c>
      <c r="I4">
        <v>1</v>
      </c>
      <c r="J4">
        <f>LN(F4/1000)</f>
        <v>-5.132802928070463</v>
      </c>
      <c r="K4">
        <f>((-G4)-$N$2)</f>
        <v>-0.29772515177521741</v>
      </c>
      <c r="L4">
        <v>1</v>
      </c>
      <c r="M4">
        <f>-1*($S$4+($S$5*J4))</f>
        <v>0.27808766869895279</v>
      </c>
      <c r="N4">
        <f>D4*A4</f>
        <v>4.7200000000000003E-4</v>
      </c>
      <c r="O4">
        <f>E4*A4</f>
        <v>1.1256669567602875E-4</v>
      </c>
      <c r="P4">
        <f>-K4-M4-N4-O4</f>
        <v>1.9052916380588588E-2</v>
      </c>
      <c r="R4" s="2" t="s">
        <v>16</v>
      </c>
      <c r="S4">
        <v>-0.49423</v>
      </c>
      <c r="V4">
        <v>-6</v>
      </c>
      <c r="W4">
        <f>V4*$S$5+$S$4</f>
        <v>-0.24157000000000001</v>
      </c>
      <c r="Y4">
        <v>0</v>
      </c>
      <c r="Z4">
        <f>$AB$4*Y4+$AB$3</f>
        <v>-0.33889000000000002</v>
      </c>
      <c r="AB4">
        <v>8.4570399999999992</v>
      </c>
      <c r="AC4" t="s">
        <v>31</v>
      </c>
    </row>
    <row r="5" spans="1:29">
      <c r="A5">
        <v>8.09E-2</v>
      </c>
      <c r="B5">
        <v>0.90700000000000003</v>
      </c>
      <c r="C5">
        <f t="shared" ref="C5:C68" si="1">A5*B5</f>
        <v>7.3376300000000005E-2</v>
      </c>
      <c r="D5">
        <v>1.6E-2</v>
      </c>
      <c r="E5">
        <v>3.8158201924077539E-3</v>
      </c>
      <c r="F5">
        <f t="shared" ref="F5:F68" si="2">A5*200</f>
        <v>16.18</v>
      </c>
      <c r="G5">
        <f t="shared" ref="G5:G68" si="3">-B5</f>
        <v>-0.90700000000000003</v>
      </c>
      <c r="H5">
        <f t="shared" ref="H5:H68" si="4">-C5*200</f>
        <v>-14.675260000000002</v>
      </c>
      <c r="I5">
        <v>1</v>
      </c>
      <c r="J5">
        <f t="shared" ref="J5:J68" si="5">LN(F5/1000)</f>
        <v>-4.123979367351791</v>
      </c>
      <c r="K5">
        <f t="shared" ref="K5:K68" si="6">((-G5)-$N$2)</f>
        <v>-0.31472515177521743</v>
      </c>
      <c r="L5">
        <v>1</v>
      </c>
      <c r="M5">
        <f t="shared" ref="M5:M68" si="7">-1*($S$4+($S$5*J5))</f>
        <v>0.32056922884081607</v>
      </c>
      <c r="N5">
        <f t="shared" ref="N5:N6" si="8">D5*A5</f>
        <v>1.2944E-3</v>
      </c>
      <c r="O5">
        <f>E5*A5</f>
        <v>3.0869985356578729E-4</v>
      </c>
      <c r="P5">
        <f>-K5-M5-N5-O5</f>
        <v>-7.4471769191644284E-3</v>
      </c>
      <c r="R5" s="2" t="s">
        <v>17</v>
      </c>
      <c r="S5">
        <v>-4.2110000000000002E-2</v>
      </c>
      <c r="V5">
        <v>-5.9</v>
      </c>
      <c r="W5">
        <f t="shared" ref="W5:W68" si="9">V5*$S$5+$S$4</f>
        <v>-0.24578099999999997</v>
      </c>
      <c r="Y5">
        <v>0.01</v>
      </c>
      <c r="Z5">
        <f t="shared" ref="Z5:Z31" si="10">$AB$4*Y5+$AB$3</f>
        <v>-0.25431960000000003</v>
      </c>
    </row>
    <row r="6" spans="1:29">
      <c r="A6">
        <v>0.13100000000000001</v>
      </c>
      <c r="B6">
        <v>0.86499999999999999</v>
      </c>
      <c r="C6">
        <f t="shared" si="1"/>
        <v>0.113315</v>
      </c>
      <c r="D6">
        <v>1.6E-2</v>
      </c>
      <c r="E6">
        <v>3.8158201924077539E-3</v>
      </c>
      <c r="F6">
        <f t="shared" si="2"/>
        <v>26.200000000000003</v>
      </c>
      <c r="G6">
        <f t="shared" si="3"/>
        <v>-0.86499999999999999</v>
      </c>
      <c r="H6">
        <f t="shared" si="4"/>
        <v>-22.663</v>
      </c>
      <c r="I6">
        <v>1</v>
      </c>
      <c r="J6">
        <f t="shared" si="5"/>
        <v>-3.6419958682150857</v>
      </c>
      <c r="K6">
        <f t="shared" si="6"/>
        <v>-0.35672515177521746</v>
      </c>
      <c r="L6">
        <v>1</v>
      </c>
      <c r="M6">
        <f t="shared" si="7"/>
        <v>0.34086555398946272</v>
      </c>
      <c r="N6">
        <f t="shared" si="8"/>
        <v>2.0960000000000002E-3</v>
      </c>
      <c r="O6">
        <f t="shared" ref="O6:O69" si="11">E6*A6</f>
        <v>4.9987244520541577E-4</v>
      </c>
      <c r="P6">
        <f t="shared" ref="P6:P69" si="12">-K6-M6-N6-O6</f>
        <v>1.3263725340549325E-2</v>
      </c>
      <c r="V6">
        <v>-5.8</v>
      </c>
      <c r="W6">
        <f t="shared" si="9"/>
        <v>-0.24999199999999999</v>
      </c>
      <c r="Y6">
        <v>0.02</v>
      </c>
      <c r="Z6">
        <f t="shared" si="10"/>
        <v>-0.16974920000000004</v>
      </c>
      <c r="AB6" t="s">
        <v>32</v>
      </c>
    </row>
    <row r="7" spans="1:29">
      <c r="A7">
        <v>0.183</v>
      </c>
      <c r="B7">
        <v>0.84899999999999998</v>
      </c>
      <c r="C7">
        <f t="shared" si="1"/>
        <v>0.15536700000000001</v>
      </c>
      <c r="D7">
        <v>1.6E-2</v>
      </c>
      <c r="E7">
        <v>3.8158201924077539E-3</v>
      </c>
      <c r="F7">
        <f t="shared" si="2"/>
        <v>36.6</v>
      </c>
      <c r="G7">
        <f t="shared" si="3"/>
        <v>-0.84899999999999998</v>
      </c>
      <c r="H7">
        <f t="shared" si="4"/>
        <v>-31.073399999999999</v>
      </c>
      <c r="I7">
        <v>1</v>
      </c>
      <c r="J7">
        <f t="shared" si="5"/>
        <v>-3.3077070385748164</v>
      </c>
      <c r="K7">
        <f t="shared" si="6"/>
        <v>-0.37272515177521748</v>
      </c>
      <c r="L7">
        <v>1</v>
      </c>
      <c r="M7">
        <f t="shared" si="7"/>
        <v>0.35494245660561446</v>
      </c>
      <c r="N7">
        <f t="shared" ref="N7:N70" si="13">D7*A7</f>
        <v>2.928E-3</v>
      </c>
      <c r="O7">
        <f t="shared" si="11"/>
        <v>6.9829509521061894E-4</v>
      </c>
      <c r="P7">
        <f t="shared" si="12"/>
        <v>1.4156400074392395E-2</v>
      </c>
      <c r="V7">
        <v>-5.7</v>
      </c>
      <c r="W7">
        <f t="shared" si="9"/>
        <v>-0.25420299999999996</v>
      </c>
      <c r="Y7">
        <v>0.03</v>
      </c>
      <c r="Z7">
        <f t="shared" si="10"/>
        <v>-8.5178800000000054E-2</v>
      </c>
      <c r="AB7" t="s">
        <v>33</v>
      </c>
      <c r="AC7">
        <f>-AB3/AB4</f>
        <v>4.0071940064135919E-2</v>
      </c>
    </row>
    <row r="8" spans="1:29">
      <c r="A8">
        <v>0.23399999999999999</v>
      </c>
      <c r="B8">
        <v>0.83799999999999997</v>
      </c>
      <c r="C8">
        <f t="shared" si="1"/>
        <v>0.19609199999999999</v>
      </c>
      <c r="D8">
        <v>1.6E-2</v>
      </c>
      <c r="E8">
        <v>3.8158201924077539E-3</v>
      </c>
      <c r="F8">
        <f t="shared" si="2"/>
        <v>46.8</v>
      </c>
      <c r="G8">
        <f t="shared" si="3"/>
        <v>-0.83799999999999997</v>
      </c>
      <c r="H8">
        <f t="shared" si="4"/>
        <v>-39.218399999999995</v>
      </c>
      <c r="I8">
        <v>1</v>
      </c>
      <c r="J8">
        <f t="shared" si="5"/>
        <v>-3.0618720760585361</v>
      </c>
      <c r="K8">
        <f t="shared" si="6"/>
        <v>-0.38372515177521749</v>
      </c>
      <c r="L8">
        <v>1</v>
      </c>
      <c r="M8">
        <f t="shared" si="7"/>
        <v>0.36529456687717504</v>
      </c>
      <c r="N8">
        <f t="shared" si="13"/>
        <v>3.7439999999999999E-3</v>
      </c>
      <c r="O8">
        <f t="shared" si="11"/>
        <v>8.929019250234144E-4</v>
      </c>
      <c r="P8">
        <f t="shared" si="12"/>
        <v>1.3793682973019031E-2</v>
      </c>
      <c r="V8">
        <v>-5.6</v>
      </c>
      <c r="W8">
        <f t="shared" si="9"/>
        <v>-0.25841400000000003</v>
      </c>
      <c r="Y8">
        <v>0.04</v>
      </c>
      <c r="Z8">
        <f t="shared" si="10"/>
        <v>-6.0840000000006444E-4</v>
      </c>
    </row>
    <row r="9" spans="1:29">
      <c r="A9">
        <v>0.28699999999999998</v>
      </c>
      <c r="B9">
        <v>0.83</v>
      </c>
      <c r="C9">
        <f t="shared" si="1"/>
        <v>0.23820999999999998</v>
      </c>
      <c r="D9">
        <v>1.6E-2</v>
      </c>
      <c r="E9">
        <v>3.8158201924077539E-3</v>
      </c>
      <c r="F9">
        <f t="shared" si="2"/>
        <v>57.4</v>
      </c>
      <c r="G9">
        <f t="shared" si="3"/>
        <v>-0.83</v>
      </c>
      <c r="H9">
        <f t="shared" si="4"/>
        <v>-47.641999999999996</v>
      </c>
      <c r="I9">
        <v>1</v>
      </c>
      <c r="J9">
        <f t="shared" si="5"/>
        <v>-2.8577109756566164</v>
      </c>
      <c r="K9">
        <f t="shared" si="6"/>
        <v>-0.39172515177521749</v>
      </c>
      <c r="L9">
        <v>1</v>
      </c>
      <c r="M9">
        <f t="shared" si="7"/>
        <v>0.37389179081509988</v>
      </c>
      <c r="N9">
        <f t="shared" si="13"/>
        <v>4.5919999999999997E-3</v>
      </c>
      <c r="O9">
        <f t="shared" si="11"/>
        <v>1.0951403952210253E-3</v>
      </c>
      <c r="P9">
        <f t="shared" si="12"/>
        <v>1.2146220564896592E-2</v>
      </c>
      <c r="V9">
        <v>-5.5</v>
      </c>
      <c r="W9">
        <f t="shared" si="9"/>
        <v>-0.262625</v>
      </c>
      <c r="Y9">
        <v>0.05</v>
      </c>
      <c r="Z9">
        <f t="shared" si="10"/>
        <v>8.3961999999999981E-2</v>
      </c>
      <c r="AB9" t="s">
        <v>35</v>
      </c>
      <c r="AC9">
        <v>3.8800000000000001E-2</v>
      </c>
    </row>
    <row r="10" spans="1:29">
      <c r="A10">
        <v>0.33799999999999997</v>
      </c>
      <c r="B10">
        <v>0.82299999999999995</v>
      </c>
      <c r="C10">
        <f t="shared" si="1"/>
        <v>0.27817399999999998</v>
      </c>
      <c r="D10">
        <v>1.6E-2</v>
      </c>
      <c r="E10">
        <v>3.8158201924077539E-3</v>
      </c>
      <c r="F10">
        <f t="shared" si="2"/>
        <v>67.599999999999994</v>
      </c>
      <c r="G10">
        <f t="shared" si="3"/>
        <v>-0.82299999999999995</v>
      </c>
      <c r="H10">
        <f t="shared" si="4"/>
        <v>-55.634799999999998</v>
      </c>
      <c r="I10">
        <v>1</v>
      </c>
      <c r="J10">
        <f t="shared" si="5"/>
        <v>-2.6941472959332189</v>
      </c>
      <c r="K10">
        <f t="shared" si="6"/>
        <v>-0.3987251517752175</v>
      </c>
      <c r="L10">
        <v>1</v>
      </c>
      <c r="M10">
        <f t="shared" si="7"/>
        <v>0.38077945736825214</v>
      </c>
      <c r="N10">
        <f t="shared" si="13"/>
        <v>5.4079999999999996E-3</v>
      </c>
      <c r="O10">
        <f t="shared" si="11"/>
        <v>1.2897472250338207E-3</v>
      </c>
      <c r="P10">
        <f t="shared" si="12"/>
        <v>1.1247947181931542E-2</v>
      </c>
      <c r="V10">
        <v>-5.4</v>
      </c>
      <c r="W10">
        <f t="shared" si="9"/>
        <v>-0.26683599999999996</v>
      </c>
      <c r="Y10">
        <v>0.06</v>
      </c>
      <c r="Z10">
        <f t="shared" si="10"/>
        <v>0.16853239999999992</v>
      </c>
    </row>
    <row r="11" spans="1:29">
      <c r="A11">
        <v>0.39</v>
      </c>
      <c r="B11">
        <v>0.81699999999999995</v>
      </c>
      <c r="C11">
        <f t="shared" si="1"/>
        <v>0.31862999999999997</v>
      </c>
      <c r="D11">
        <v>1.6E-2</v>
      </c>
      <c r="E11">
        <v>3.8158201924077539E-3</v>
      </c>
      <c r="F11">
        <f t="shared" si="2"/>
        <v>78</v>
      </c>
      <c r="G11">
        <f t="shared" si="3"/>
        <v>-0.81699999999999995</v>
      </c>
      <c r="H11">
        <f t="shared" si="4"/>
        <v>-63.725999999999992</v>
      </c>
      <c r="I11">
        <v>1</v>
      </c>
      <c r="J11">
        <f t="shared" si="5"/>
        <v>-2.5510464522925451</v>
      </c>
      <c r="K11">
        <f t="shared" si="6"/>
        <v>-0.40472515177521751</v>
      </c>
      <c r="L11">
        <v>1</v>
      </c>
      <c r="M11">
        <f t="shared" si="7"/>
        <v>0.38680543389396094</v>
      </c>
      <c r="N11">
        <f t="shared" si="13"/>
        <v>6.2400000000000008E-3</v>
      </c>
      <c r="O11">
        <f t="shared" si="11"/>
        <v>1.488169875039024E-3</v>
      </c>
      <c r="P11">
        <f t="shared" si="12"/>
        <v>1.0191548006217546E-2</v>
      </c>
      <c r="V11">
        <v>-5.3</v>
      </c>
      <c r="W11">
        <f t="shared" si="9"/>
        <v>-0.27104700000000004</v>
      </c>
      <c r="Y11">
        <v>7.0000000000000007E-2</v>
      </c>
      <c r="Z11">
        <f t="shared" si="10"/>
        <v>0.25310279999999996</v>
      </c>
      <c r="AB11" t="s">
        <v>34</v>
      </c>
      <c r="AC11">
        <f>AC7-AC9</f>
        <v>1.271940064135918E-3</v>
      </c>
    </row>
    <row r="12" spans="1:29">
      <c r="A12">
        <v>0.441</v>
      </c>
      <c r="B12">
        <v>0.81200000000000006</v>
      </c>
      <c r="C12">
        <f t="shared" si="1"/>
        <v>0.35809200000000002</v>
      </c>
      <c r="D12">
        <v>1.6E-2</v>
      </c>
      <c r="E12">
        <v>3.8158201924077539E-3</v>
      </c>
      <c r="F12">
        <f t="shared" si="2"/>
        <v>88.2</v>
      </c>
      <c r="G12">
        <f t="shared" si="3"/>
        <v>-0.81200000000000006</v>
      </c>
      <c r="H12">
        <f t="shared" si="4"/>
        <v>-71.618400000000008</v>
      </c>
      <c r="I12">
        <v>1</v>
      </c>
      <c r="J12">
        <f t="shared" si="5"/>
        <v>-2.4281483159693913</v>
      </c>
      <c r="K12">
        <f t="shared" si="6"/>
        <v>-0.4097251517752174</v>
      </c>
      <c r="L12">
        <v>1</v>
      </c>
      <c r="M12">
        <f t="shared" si="7"/>
        <v>0.39198067441452894</v>
      </c>
      <c r="N12">
        <f t="shared" si="13"/>
        <v>7.0559999999999998E-3</v>
      </c>
      <c r="O12">
        <f t="shared" si="11"/>
        <v>1.6827767048518195E-3</v>
      </c>
      <c r="P12">
        <f t="shared" si="12"/>
        <v>9.0057006558366404E-3</v>
      </c>
      <c r="V12">
        <v>-5.2</v>
      </c>
      <c r="W12">
        <f t="shared" si="9"/>
        <v>-0.275258</v>
      </c>
      <c r="Y12">
        <v>0.08</v>
      </c>
      <c r="Z12">
        <f t="shared" si="10"/>
        <v>0.3376731999999999</v>
      </c>
      <c r="AC12">
        <f>AC11*3</f>
        <v>3.8158201924077539E-3</v>
      </c>
    </row>
    <row r="13" spans="1:29">
      <c r="A13">
        <v>0.49399999999999999</v>
      </c>
      <c r="B13">
        <v>0.80800000000000005</v>
      </c>
      <c r="C13">
        <f t="shared" si="1"/>
        <v>0.39915200000000001</v>
      </c>
      <c r="D13">
        <v>1.6E-2</v>
      </c>
      <c r="E13">
        <v>3.8158201924077539E-3</v>
      </c>
      <c r="F13">
        <f t="shared" si="2"/>
        <v>98.8</v>
      </c>
      <c r="G13">
        <f t="shared" si="3"/>
        <v>-0.80800000000000005</v>
      </c>
      <c r="H13">
        <f t="shared" si="4"/>
        <v>-79.830399999999997</v>
      </c>
      <c r="I13">
        <v>1</v>
      </c>
      <c r="J13">
        <f t="shared" si="5"/>
        <v>-2.3146576742283149</v>
      </c>
      <c r="K13">
        <f t="shared" si="6"/>
        <v>-0.4137251517752174</v>
      </c>
      <c r="L13">
        <v>1</v>
      </c>
      <c r="M13">
        <f t="shared" si="7"/>
        <v>0.39675976533824564</v>
      </c>
      <c r="N13">
        <f t="shared" si="13"/>
        <v>7.9039999999999996E-3</v>
      </c>
      <c r="O13">
        <f t="shared" si="11"/>
        <v>1.8850151750494303E-3</v>
      </c>
      <c r="P13">
        <f t="shared" si="12"/>
        <v>7.1763712619223336E-3</v>
      </c>
      <c r="V13">
        <v>-5.0999999999999996</v>
      </c>
      <c r="W13">
        <f t="shared" si="9"/>
        <v>-0.27946900000000002</v>
      </c>
      <c r="Y13">
        <v>0.09</v>
      </c>
      <c r="Z13">
        <f t="shared" si="10"/>
        <v>0.42224359999999983</v>
      </c>
    </row>
    <row r="14" spans="1:29">
      <c r="A14">
        <v>0.54600000000000004</v>
      </c>
      <c r="B14">
        <v>0.80300000000000005</v>
      </c>
      <c r="C14">
        <f t="shared" si="1"/>
        <v>0.43843800000000005</v>
      </c>
      <c r="D14">
        <v>1.6E-2</v>
      </c>
      <c r="E14">
        <v>3.8158201924077539E-3</v>
      </c>
      <c r="F14">
        <f t="shared" si="2"/>
        <v>109.2</v>
      </c>
      <c r="G14">
        <f t="shared" si="3"/>
        <v>-0.80300000000000005</v>
      </c>
      <c r="H14">
        <f t="shared" si="4"/>
        <v>-87.687600000000003</v>
      </c>
      <c r="I14">
        <v>1</v>
      </c>
      <c r="J14">
        <f t="shared" si="5"/>
        <v>-2.2145742156713322</v>
      </c>
      <c r="K14">
        <f t="shared" si="6"/>
        <v>-0.41872515177521741</v>
      </c>
      <c r="L14">
        <v>1</v>
      </c>
      <c r="M14">
        <f t="shared" si="7"/>
        <v>0.4009742797780802</v>
      </c>
      <c r="N14">
        <f t="shared" si="13"/>
        <v>8.7360000000000007E-3</v>
      </c>
      <c r="O14">
        <f t="shared" si="11"/>
        <v>2.0834378250546336E-3</v>
      </c>
      <c r="P14">
        <f t="shared" si="12"/>
        <v>6.9314341720825732E-3</v>
      </c>
      <c r="V14">
        <v>-5</v>
      </c>
      <c r="W14">
        <f t="shared" si="9"/>
        <v>-0.28367999999999999</v>
      </c>
      <c r="Y14">
        <v>0.1</v>
      </c>
      <c r="Z14">
        <f t="shared" si="10"/>
        <v>0.50681399999999999</v>
      </c>
    </row>
    <row r="15" spans="1:29">
      <c r="A15">
        <v>0.6</v>
      </c>
      <c r="B15">
        <v>0.79900000000000004</v>
      </c>
      <c r="C15">
        <f t="shared" si="1"/>
        <v>0.47939999999999999</v>
      </c>
      <c r="D15">
        <v>1.6E-2</v>
      </c>
      <c r="E15">
        <v>3.8158201924077539E-3</v>
      </c>
      <c r="F15">
        <f t="shared" si="2"/>
        <v>120</v>
      </c>
      <c r="G15">
        <f t="shared" si="3"/>
        <v>-0.79900000000000004</v>
      </c>
      <c r="H15">
        <f t="shared" si="4"/>
        <v>-95.88</v>
      </c>
      <c r="I15">
        <v>1</v>
      </c>
      <c r="J15">
        <f t="shared" si="5"/>
        <v>-2.120263536200091</v>
      </c>
      <c r="K15">
        <f t="shared" si="6"/>
        <v>-0.42272515177521741</v>
      </c>
      <c r="L15">
        <v>1</v>
      </c>
      <c r="M15">
        <f t="shared" si="7"/>
        <v>0.40494570249061418</v>
      </c>
      <c r="N15">
        <f t="shared" si="13"/>
        <v>9.5999999999999992E-3</v>
      </c>
      <c r="O15">
        <f t="shared" si="11"/>
        <v>2.2894921154446523E-3</v>
      </c>
      <c r="P15">
        <f t="shared" si="12"/>
        <v>5.8899571691585807E-3</v>
      </c>
      <c r="V15">
        <v>-4.9000000000000004</v>
      </c>
      <c r="W15">
        <f t="shared" si="9"/>
        <v>-0.28789100000000001</v>
      </c>
      <c r="Y15">
        <v>0.11</v>
      </c>
      <c r="Z15">
        <f t="shared" si="10"/>
        <v>0.59138439999999992</v>
      </c>
    </row>
    <row r="16" spans="1:29">
      <c r="A16">
        <v>0.65099999999999991</v>
      </c>
      <c r="B16">
        <v>0.79600000000000004</v>
      </c>
      <c r="C16">
        <f t="shared" si="1"/>
        <v>0.51819599999999999</v>
      </c>
      <c r="D16">
        <v>1.6E-2</v>
      </c>
      <c r="E16">
        <v>3.8158201924077539E-3</v>
      </c>
      <c r="F16">
        <f t="shared" si="2"/>
        <v>130.19999999999999</v>
      </c>
      <c r="G16">
        <f t="shared" si="3"/>
        <v>-0.79600000000000004</v>
      </c>
      <c r="H16">
        <f t="shared" si="4"/>
        <v>-103.6392</v>
      </c>
      <c r="I16">
        <v>1</v>
      </c>
      <c r="J16">
        <f t="shared" si="5"/>
        <v>-2.0386835492076685</v>
      </c>
      <c r="K16">
        <f t="shared" si="6"/>
        <v>-0.42572515177521741</v>
      </c>
      <c r="L16">
        <v>1</v>
      </c>
      <c r="M16">
        <f t="shared" si="7"/>
        <v>0.40838103574286511</v>
      </c>
      <c r="N16">
        <f t="shared" si="13"/>
        <v>1.0415999999999998E-2</v>
      </c>
      <c r="O16">
        <f t="shared" si="11"/>
        <v>2.4840989452574475E-3</v>
      </c>
      <c r="P16">
        <f t="shared" si="12"/>
        <v>4.4440170870948623E-3</v>
      </c>
      <c r="V16">
        <v>-4.8</v>
      </c>
      <c r="W16">
        <f t="shared" si="9"/>
        <v>-0.29210199999999997</v>
      </c>
      <c r="Y16">
        <v>0.12</v>
      </c>
      <c r="Z16">
        <f t="shared" si="10"/>
        <v>0.67595479999999986</v>
      </c>
    </row>
    <row r="17" spans="1:26">
      <c r="A17">
        <v>0.70499999999999996</v>
      </c>
      <c r="B17">
        <v>0.79200000000000004</v>
      </c>
      <c r="C17">
        <f t="shared" si="1"/>
        <v>0.55835999999999997</v>
      </c>
      <c r="D17">
        <v>1.6E-2</v>
      </c>
      <c r="E17">
        <v>3.8158201924077539E-3</v>
      </c>
      <c r="F17">
        <f t="shared" si="2"/>
        <v>141</v>
      </c>
      <c r="G17">
        <f t="shared" si="3"/>
        <v>-0.79200000000000004</v>
      </c>
      <c r="H17">
        <f t="shared" si="4"/>
        <v>-111.672</v>
      </c>
      <c r="I17">
        <v>1</v>
      </c>
      <c r="J17">
        <f t="shared" si="5"/>
        <v>-1.9589953886039688</v>
      </c>
      <c r="K17">
        <f t="shared" si="6"/>
        <v>-0.42972515177521742</v>
      </c>
      <c r="L17">
        <v>1</v>
      </c>
      <c r="M17">
        <f t="shared" si="7"/>
        <v>0.41173670418588687</v>
      </c>
      <c r="N17">
        <f t="shared" si="13"/>
        <v>1.128E-2</v>
      </c>
      <c r="O17">
        <f t="shared" si="11"/>
        <v>2.6901532356474662E-3</v>
      </c>
      <c r="P17">
        <f t="shared" si="12"/>
        <v>4.0182943536830815E-3</v>
      </c>
      <c r="V17">
        <v>-4.7</v>
      </c>
      <c r="W17">
        <f t="shared" si="9"/>
        <v>-0.29631299999999999</v>
      </c>
      <c r="Y17">
        <v>0.13</v>
      </c>
      <c r="Z17">
        <f t="shared" si="10"/>
        <v>0.7605251999999999</v>
      </c>
    </row>
    <row r="18" spans="1:26">
      <c r="A18">
        <v>0.76</v>
      </c>
      <c r="B18">
        <v>0.78900000000000003</v>
      </c>
      <c r="C18">
        <f t="shared" si="1"/>
        <v>0.59964000000000006</v>
      </c>
      <c r="D18">
        <v>1.6E-2</v>
      </c>
      <c r="E18">
        <v>3.8158201924077539E-3</v>
      </c>
      <c r="F18">
        <f t="shared" si="2"/>
        <v>152</v>
      </c>
      <c r="G18">
        <f t="shared" si="3"/>
        <v>-0.78900000000000003</v>
      </c>
      <c r="H18">
        <f t="shared" si="4"/>
        <v>-119.92800000000001</v>
      </c>
      <c r="I18">
        <v>1</v>
      </c>
      <c r="J18">
        <f t="shared" si="5"/>
        <v>-1.8838747581358606</v>
      </c>
      <c r="K18">
        <f t="shared" si="6"/>
        <v>-0.43272515177521742</v>
      </c>
      <c r="L18">
        <v>1</v>
      </c>
      <c r="M18">
        <f t="shared" si="7"/>
        <v>0.41490003393489894</v>
      </c>
      <c r="N18">
        <f t="shared" si="13"/>
        <v>1.2160000000000001E-2</v>
      </c>
      <c r="O18">
        <f t="shared" si="11"/>
        <v>2.9000233462298931E-3</v>
      </c>
      <c r="P18">
        <f t="shared" si="12"/>
        <v>2.7650944940885891E-3</v>
      </c>
      <c r="V18">
        <v>-4.5999999999999996</v>
      </c>
      <c r="W18">
        <f t="shared" si="9"/>
        <v>-0.30052400000000001</v>
      </c>
      <c r="Y18">
        <v>0.14000000000000001</v>
      </c>
      <c r="Z18">
        <f t="shared" si="10"/>
        <v>0.84509559999999995</v>
      </c>
    </row>
    <row r="19" spans="1:26">
      <c r="A19">
        <v>0.81099999999999994</v>
      </c>
      <c r="B19">
        <v>0.78600000000000003</v>
      </c>
      <c r="C19">
        <f t="shared" si="1"/>
        <v>0.63744599999999996</v>
      </c>
      <c r="D19">
        <v>1.6E-2</v>
      </c>
      <c r="E19">
        <v>3.8158201924077539E-3</v>
      </c>
      <c r="F19">
        <f t="shared" si="2"/>
        <v>162.19999999999999</v>
      </c>
      <c r="G19">
        <f t="shared" si="3"/>
        <v>-0.78600000000000003</v>
      </c>
      <c r="H19">
        <f t="shared" si="4"/>
        <v>-127.4892</v>
      </c>
      <c r="I19">
        <v>1</v>
      </c>
      <c r="J19">
        <f t="shared" si="5"/>
        <v>-1.8189251373008246</v>
      </c>
      <c r="K19">
        <f t="shared" si="6"/>
        <v>-0.43572515177521742</v>
      </c>
      <c r="L19">
        <v>1</v>
      </c>
      <c r="M19">
        <f t="shared" si="7"/>
        <v>0.41763506246826226</v>
      </c>
      <c r="N19">
        <f t="shared" si="13"/>
        <v>1.2976E-2</v>
      </c>
      <c r="O19">
        <f t="shared" si="11"/>
        <v>3.0946301760426884E-3</v>
      </c>
      <c r="P19">
        <f t="shared" si="12"/>
        <v>2.0194591309124713E-3</v>
      </c>
      <c r="V19">
        <v>-4.5000000000000098</v>
      </c>
      <c r="W19">
        <f t="shared" si="9"/>
        <v>-0.30473499999999959</v>
      </c>
      <c r="Y19">
        <v>0.15</v>
      </c>
      <c r="Z19">
        <f t="shared" si="10"/>
        <v>0.92966599999999977</v>
      </c>
    </row>
    <row r="20" spans="1:26">
      <c r="A20">
        <v>0.86099999999999999</v>
      </c>
      <c r="B20">
        <v>0.78300000000000003</v>
      </c>
      <c r="C20">
        <f t="shared" si="1"/>
        <v>0.67416300000000007</v>
      </c>
      <c r="D20">
        <v>1.6E-2</v>
      </c>
      <c r="E20">
        <v>3.8158201924077539E-3</v>
      </c>
      <c r="F20">
        <f t="shared" si="2"/>
        <v>172.2</v>
      </c>
      <c r="G20">
        <f t="shared" si="3"/>
        <v>-0.78300000000000003</v>
      </c>
      <c r="H20">
        <f t="shared" si="4"/>
        <v>-134.83260000000001</v>
      </c>
      <c r="I20">
        <v>1</v>
      </c>
      <c r="J20">
        <f t="shared" si="5"/>
        <v>-1.7590986869885066</v>
      </c>
      <c r="K20">
        <f t="shared" si="6"/>
        <v>-0.43872515177521743</v>
      </c>
      <c r="L20">
        <v>1</v>
      </c>
      <c r="M20">
        <f t="shared" si="7"/>
        <v>0.42015435429091397</v>
      </c>
      <c r="N20">
        <f t="shared" si="13"/>
        <v>1.3776E-2</v>
      </c>
      <c r="O20">
        <f t="shared" si="11"/>
        <v>3.2854211856630762E-3</v>
      </c>
      <c r="P20">
        <f t="shared" si="12"/>
        <v>1.5093762986403822E-3</v>
      </c>
      <c r="V20">
        <v>-4.4000000000000101</v>
      </c>
      <c r="W20">
        <f t="shared" si="9"/>
        <v>-0.30894599999999961</v>
      </c>
      <c r="Y20">
        <v>0.16</v>
      </c>
      <c r="Z20">
        <f t="shared" si="10"/>
        <v>1.0142363999999997</v>
      </c>
    </row>
    <row r="21" spans="1:26">
      <c r="A21">
        <v>0.91400000000000003</v>
      </c>
      <c r="B21">
        <v>0.78</v>
      </c>
      <c r="C21">
        <f t="shared" si="1"/>
        <v>0.71292</v>
      </c>
      <c r="D21">
        <v>1.6E-2</v>
      </c>
      <c r="E21">
        <v>3.8158201924077539E-3</v>
      </c>
      <c r="F21">
        <f t="shared" si="2"/>
        <v>182.8</v>
      </c>
      <c r="G21">
        <f t="shared" si="3"/>
        <v>-0.78</v>
      </c>
      <c r="H21">
        <f t="shared" si="4"/>
        <v>-142.584</v>
      </c>
      <c r="I21">
        <v>1</v>
      </c>
      <c r="J21">
        <f t="shared" si="5"/>
        <v>-1.6993626199620873</v>
      </c>
      <c r="K21">
        <f t="shared" si="6"/>
        <v>-0.44172515177521743</v>
      </c>
      <c r="L21">
        <v>1</v>
      </c>
      <c r="M21">
        <f t="shared" si="7"/>
        <v>0.42266984007339647</v>
      </c>
      <c r="N21">
        <f t="shared" si="13"/>
        <v>1.4624000000000002E-2</v>
      </c>
      <c r="O21">
        <f t="shared" si="11"/>
        <v>3.4876596558606871E-3</v>
      </c>
      <c r="P21">
        <f t="shared" si="12"/>
        <v>9.4365204596026523E-4</v>
      </c>
      <c r="V21">
        <v>-4.3000000000000096</v>
      </c>
      <c r="W21">
        <f t="shared" si="9"/>
        <v>-0.31315699999999957</v>
      </c>
      <c r="Y21">
        <v>0.17</v>
      </c>
      <c r="Z21">
        <f t="shared" si="10"/>
        <v>1.0988067999999998</v>
      </c>
    </row>
    <row r="22" spans="1:26">
      <c r="A22">
        <v>0.96499999999999997</v>
      </c>
      <c r="B22">
        <v>0.77700000000000002</v>
      </c>
      <c r="C22">
        <f t="shared" si="1"/>
        <v>0.74980499999999994</v>
      </c>
      <c r="D22">
        <v>1.6E-2</v>
      </c>
      <c r="E22">
        <v>3.8158201924077539E-3</v>
      </c>
      <c r="F22">
        <f t="shared" si="2"/>
        <v>193</v>
      </c>
      <c r="G22">
        <f t="shared" si="3"/>
        <v>-0.77700000000000002</v>
      </c>
      <c r="H22">
        <f t="shared" si="4"/>
        <v>-149.96099999999998</v>
      </c>
      <c r="I22">
        <v>1</v>
      </c>
      <c r="J22">
        <f t="shared" si="5"/>
        <v>-1.6450650900772514</v>
      </c>
      <c r="K22">
        <f t="shared" si="6"/>
        <v>-0.44472515177521743</v>
      </c>
      <c r="L22">
        <v>1</v>
      </c>
      <c r="M22">
        <f t="shared" si="7"/>
        <v>0.42495630905684695</v>
      </c>
      <c r="N22">
        <f t="shared" si="13"/>
        <v>1.5440000000000001E-2</v>
      </c>
      <c r="O22">
        <f t="shared" si="11"/>
        <v>3.6822664856734823E-3</v>
      </c>
      <c r="P22">
        <f t="shared" si="12"/>
        <v>6.4657623269699996E-4</v>
      </c>
      <c r="V22">
        <v>-4.2000000000000099</v>
      </c>
      <c r="W22">
        <f t="shared" si="9"/>
        <v>-0.31736799999999954</v>
      </c>
      <c r="Y22">
        <v>0.18</v>
      </c>
      <c r="Z22">
        <f t="shared" si="10"/>
        <v>1.1833771999999998</v>
      </c>
    </row>
    <row r="23" spans="1:26">
      <c r="A23">
        <v>1.02</v>
      </c>
      <c r="B23">
        <v>0.77400000000000002</v>
      </c>
      <c r="C23">
        <f t="shared" si="1"/>
        <v>0.78948000000000007</v>
      </c>
      <c r="D23">
        <v>1.6E-2</v>
      </c>
      <c r="E23">
        <v>3.8158201924077539E-3</v>
      </c>
      <c r="F23">
        <f t="shared" si="2"/>
        <v>204</v>
      </c>
      <c r="G23">
        <f t="shared" si="3"/>
        <v>-0.77400000000000002</v>
      </c>
      <c r="H23">
        <f t="shared" si="4"/>
        <v>-157.89600000000002</v>
      </c>
      <c r="I23">
        <v>1</v>
      </c>
      <c r="J23">
        <f t="shared" si="5"/>
        <v>-1.5896352851379207</v>
      </c>
      <c r="K23">
        <f t="shared" si="6"/>
        <v>-0.44772515177521743</v>
      </c>
      <c r="L23">
        <v>1</v>
      </c>
      <c r="M23">
        <f t="shared" si="7"/>
        <v>0.42729045814284217</v>
      </c>
      <c r="N23">
        <f t="shared" si="13"/>
        <v>1.6320000000000001E-2</v>
      </c>
      <c r="O23">
        <f t="shared" si="11"/>
        <v>3.8921365962559093E-3</v>
      </c>
      <c r="P23">
        <f t="shared" si="12"/>
        <v>2.225570361193566E-4</v>
      </c>
      <c r="V23">
        <v>-4.1000000000000103</v>
      </c>
      <c r="W23">
        <f t="shared" si="9"/>
        <v>-0.32157899999999956</v>
      </c>
      <c r="Y23">
        <v>0.19</v>
      </c>
      <c r="Z23">
        <f t="shared" si="10"/>
        <v>1.2679475999999998</v>
      </c>
    </row>
    <row r="24" spans="1:26">
      <c r="A24">
        <v>1.07</v>
      </c>
      <c r="B24">
        <v>0.77200000000000002</v>
      </c>
      <c r="C24">
        <f t="shared" si="1"/>
        <v>0.82604000000000011</v>
      </c>
      <c r="D24">
        <v>1.6E-2</v>
      </c>
      <c r="E24">
        <v>3.8158201924077539E-3</v>
      </c>
      <c r="F24">
        <f t="shared" si="2"/>
        <v>214</v>
      </c>
      <c r="G24">
        <f t="shared" si="3"/>
        <v>-0.77200000000000002</v>
      </c>
      <c r="H24">
        <f t="shared" si="4"/>
        <v>-165.20800000000003</v>
      </c>
      <c r="I24">
        <v>1</v>
      </c>
      <c r="J24">
        <f t="shared" si="5"/>
        <v>-1.5417792639602856</v>
      </c>
      <c r="K24">
        <f t="shared" si="6"/>
        <v>-0.44972515177521744</v>
      </c>
      <c r="L24">
        <v>1</v>
      </c>
      <c r="M24">
        <f t="shared" si="7"/>
        <v>0.42930567519463236</v>
      </c>
      <c r="N24">
        <f t="shared" si="13"/>
        <v>1.712E-2</v>
      </c>
      <c r="O24">
        <f t="shared" si="11"/>
        <v>4.0829276058762971E-3</v>
      </c>
      <c r="P24">
        <f t="shared" si="12"/>
        <v>-7.8345102529122496E-4</v>
      </c>
      <c r="V24">
        <v>-4.0000000000000098</v>
      </c>
      <c r="W24">
        <f t="shared" si="9"/>
        <v>-0.32578999999999958</v>
      </c>
      <c r="Y24">
        <v>0.2</v>
      </c>
      <c r="Z24">
        <f t="shared" si="10"/>
        <v>1.3525179999999999</v>
      </c>
    </row>
    <row r="25" spans="1:26">
      <c r="A25">
        <v>1.1200000000000001</v>
      </c>
      <c r="B25">
        <v>0.76900000000000002</v>
      </c>
      <c r="C25">
        <f t="shared" si="1"/>
        <v>0.86128000000000005</v>
      </c>
      <c r="D25">
        <v>1.6E-2</v>
      </c>
      <c r="E25">
        <v>3.8158201924077539E-3</v>
      </c>
      <c r="F25">
        <f t="shared" si="2"/>
        <v>224.00000000000003</v>
      </c>
      <c r="G25">
        <f t="shared" si="3"/>
        <v>-0.76900000000000002</v>
      </c>
      <c r="H25">
        <f t="shared" si="4"/>
        <v>-172.256</v>
      </c>
      <c r="I25">
        <v>1</v>
      </c>
      <c r="J25">
        <f t="shared" si="5"/>
        <v>-1.496109227127097</v>
      </c>
      <c r="K25">
        <f t="shared" si="6"/>
        <v>-0.45272515177521744</v>
      </c>
      <c r="L25">
        <v>1</v>
      </c>
      <c r="M25">
        <f t="shared" si="7"/>
        <v>0.43122884044567794</v>
      </c>
      <c r="N25">
        <f t="shared" si="13"/>
        <v>1.7920000000000002E-2</v>
      </c>
      <c r="O25">
        <f t="shared" si="11"/>
        <v>4.273718615496685E-3</v>
      </c>
      <c r="P25">
        <f t="shared" si="12"/>
        <v>-6.9740728595718993E-4</v>
      </c>
      <c r="V25">
        <v>-3.9000000000000101</v>
      </c>
      <c r="W25">
        <f t="shared" si="9"/>
        <v>-0.33000099999999954</v>
      </c>
      <c r="Y25">
        <v>0.21</v>
      </c>
      <c r="Z25">
        <f t="shared" si="10"/>
        <v>1.4370883999999999</v>
      </c>
    </row>
    <row r="26" spans="1:26">
      <c r="A26">
        <v>1.17</v>
      </c>
      <c r="B26">
        <v>0.76700000000000002</v>
      </c>
      <c r="C26">
        <f t="shared" si="1"/>
        <v>0.89738999999999991</v>
      </c>
      <c r="D26">
        <v>1.6E-2</v>
      </c>
      <c r="E26">
        <v>3.8158201924077539E-3</v>
      </c>
      <c r="F26">
        <f t="shared" si="2"/>
        <v>234</v>
      </c>
      <c r="G26">
        <f t="shared" si="3"/>
        <v>-0.76700000000000002</v>
      </c>
      <c r="H26">
        <f t="shared" si="4"/>
        <v>-179.47799999999998</v>
      </c>
      <c r="I26">
        <v>1</v>
      </c>
      <c r="J26">
        <f t="shared" si="5"/>
        <v>-1.4524341636244356</v>
      </c>
      <c r="K26">
        <f t="shared" si="6"/>
        <v>-0.45472515177521744</v>
      </c>
      <c r="L26">
        <v>1</v>
      </c>
      <c r="M26">
        <f t="shared" si="7"/>
        <v>0.43306799736977503</v>
      </c>
      <c r="N26">
        <f t="shared" si="13"/>
        <v>1.8720000000000001E-2</v>
      </c>
      <c r="O26">
        <f t="shared" si="11"/>
        <v>4.464509625117072E-3</v>
      </c>
      <c r="P26">
        <f t="shared" si="12"/>
        <v>-1.5273552196746589E-3</v>
      </c>
      <c r="V26">
        <v>-3.80000000000001</v>
      </c>
      <c r="W26">
        <f t="shared" si="9"/>
        <v>-0.33421199999999956</v>
      </c>
      <c r="Y26">
        <v>0.22</v>
      </c>
      <c r="Z26">
        <f t="shared" si="10"/>
        <v>1.5216588</v>
      </c>
    </row>
    <row r="27" spans="1:26">
      <c r="A27">
        <v>1.22</v>
      </c>
      <c r="B27">
        <v>0.76500000000000001</v>
      </c>
      <c r="C27">
        <f t="shared" si="1"/>
        <v>0.93330000000000002</v>
      </c>
      <c r="D27">
        <v>1.6E-2</v>
      </c>
      <c r="E27">
        <v>3.8158201924077539E-3</v>
      </c>
      <c r="F27">
        <f t="shared" si="2"/>
        <v>244</v>
      </c>
      <c r="G27">
        <f t="shared" si="3"/>
        <v>-0.76500000000000001</v>
      </c>
      <c r="H27">
        <f t="shared" si="4"/>
        <v>-186.66</v>
      </c>
      <c r="I27">
        <v>1</v>
      </c>
      <c r="J27">
        <f t="shared" si="5"/>
        <v>-1.4105870536889351</v>
      </c>
      <c r="K27">
        <f t="shared" si="6"/>
        <v>-0.45672515177521744</v>
      </c>
      <c r="L27">
        <v>1</v>
      </c>
      <c r="M27">
        <f t="shared" si="7"/>
        <v>0.43483017916915895</v>
      </c>
      <c r="N27">
        <f t="shared" si="13"/>
        <v>1.9519999999999999E-2</v>
      </c>
      <c r="O27">
        <f t="shared" si="11"/>
        <v>4.6553006347374599E-3</v>
      </c>
      <c r="P27">
        <f t="shared" si="12"/>
        <v>-2.2803280286789653E-3</v>
      </c>
      <c r="V27">
        <v>-3.7000000000000099</v>
      </c>
      <c r="W27">
        <f t="shared" si="9"/>
        <v>-0.33842299999999959</v>
      </c>
      <c r="Y27">
        <v>0.23</v>
      </c>
      <c r="Z27">
        <f t="shared" si="10"/>
        <v>1.6062292</v>
      </c>
    </row>
    <row r="28" spans="1:26">
      <c r="A28">
        <v>1.27</v>
      </c>
      <c r="B28">
        <v>0.76200000000000001</v>
      </c>
      <c r="C28">
        <f t="shared" si="1"/>
        <v>0.96774000000000004</v>
      </c>
      <c r="D28">
        <v>1.6E-2</v>
      </c>
      <c r="E28">
        <v>3.8158201924077539E-3</v>
      </c>
      <c r="F28">
        <f t="shared" si="2"/>
        <v>254</v>
      </c>
      <c r="G28">
        <f t="shared" si="3"/>
        <v>-0.76200000000000001</v>
      </c>
      <c r="H28">
        <f t="shared" si="4"/>
        <v>-193.548</v>
      </c>
      <c r="I28">
        <v>1</v>
      </c>
      <c r="J28">
        <f t="shared" si="5"/>
        <v>-1.3704210119636004</v>
      </c>
      <c r="K28">
        <f t="shared" si="6"/>
        <v>-0.45972515177521744</v>
      </c>
      <c r="L28">
        <v>1</v>
      </c>
      <c r="M28">
        <f t="shared" si="7"/>
        <v>0.43652157118621276</v>
      </c>
      <c r="N28">
        <f t="shared" si="13"/>
        <v>2.0320000000000001E-2</v>
      </c>
      <c r="O28">
        <f t="shared" si="11"/>
        <v>4.8460916443578477E-3</v>
      </c>
      <c r="P28">
        <f t="shared" si="12"/>
        <v>-1.9625110553531692E-3</v>
      </c>
      <c r="V28">
        <v>-3.6000000000000099</v>
      </c>
      <c r="W28">
        <f t="shared" si="9"/>
        <v>-0.34263399999999955</v>
      </c>
      <c r="Y28">
        <v>0.24</v>
      </c>
      <c r="Z28">
        <f t="shared" si="10"/>
        <v>1.6907995999999996</v>
      </c>
    </row>
    <row r="29" spans="1:26">
      <c r="A29">
        <v>1.32</v>
      </c>
      <c r="B29">
        <v>0.76</v>
      </c>
      <c r="C29">
        <f t="shared" si="1"/>
        <v>1.0032000000000001</v>
      </c>
      <c r="D29">
        <v>1.6E-2</v>
      </c>
      <c r="E29">
        <v>3.8158201924077539E-3</v>
      </c>
      <c r="F29">
        <f t="shared" si="2"/>
        <v>264</v>
      </c>
      <c r="G29">
        <f t="shared" si="3"/>
        <v>-0.76</v>
      </c>
      <c r="H29">
        <f t="shared" si="4"/>
        <v>-200.64000000000001</v>
      </c>
      <c r="I29">
        <v>1</v>
      </c>
      <c r="J29">
        <f t="shared" si="5"/>
        <v>-1.3318061758358208</v>
      </c>
      <c r="K29">
        <f t="shared" si="6"/>
        <v>-0.46172515177521745</v>
      </c>
      <c r="L29">
        <v>1</v>
      </c>
      <c r="M29">
        <f t="shared" si="7"/>
        <v>0.43814764193555356</v>
      </c>
      <c r="N29">
        <f t="shared" si="13"/>
        <v>2.112E-2</v>
      </c>
      <c r="O29">
        <f t="shared" si="11"/>
        <v>5.0368826539782356E-3</v>
      </c>
      <c r="P29">
        <f t="shared" si="12"/>
        <v>-2.579372814314345E-3</v>
      </c>
      <c r="V29">
        <v>-3.5000000000000102</v>
      </c>
      <c r="W29">
        <f t="shared" si="9"/>
        <v>-0.34684499999999957</v>
      </c>
      <c r="Y29">
        <v>0.25</v>
      </c>
      <c r="Z29">
        <f t="shared" si="10"/>
        <v>1.7753699999999997</v>
      </c>
    </row>
    <row r="30" spans="1:26">
      <c r="A30">
        <v>1.38</v>
      </c>
      <c r="B30">
        <v>0.75700000000000001</v>
      </c>
      <c r="C30">
        <f t="shared" si="1"/>
        <v>1.0446599999999999</v>
      </c>
      <c r="D30">
        <v>1.6E-2</v>
      </c>
      <c r="E30">
        <v>3.8158201924077539E-3</v>
      </c>
      <c r="F30">
        <f t="shared" si="2"/>
        <v>276</v>
      </c>
      <c r="G30">
        <f t="shared" si="3"/>
        <v>-0.75700000000000001</v>
      </c>
      <c r="H30">
        <f t="shared" si="4"/>
        <v>-208.93199999999999</v>
      </c>
      <c r="I30">
        <v>1</v>
      </c>
      <c r="J30">
        <f t="shared" si="5"/>
        <v>-1.287354413264987</v>
      </c>
      <c r="K30">
        <f t="shared" si="6"/>
        <v>-0.46472515177521745</v>
      </c>
      <c r="L30">
        <v>1</v>
      </c>
      <c r="M30">
        <f t="shared" si="7"/>
        <v>0.44001950565741138</v>
      </c>
      <c r="N30">
        <f t="shared" si="13"/>
        <v>2.2079999999999999E-2</v>
      </c>
      <c r="O30">
        <f t="shared" si="11"/>
        <v>5.2658318655226998E-3</v>
      </c>
      <c r="P30">
        <f t="shared" si="12"/>
        <v>-2.6401857477166306E-3</v>
      </c>
      <c r="V30">
        <v>-3.4000000000000101</v>
      </c>
      <c r="W30">
        <f t="shared" si="9"/>
        <v>-0.35105599999999959</v>
      </c>
      <c r="Y30">
        <v>0.26</v>
      </c>
      <c r="Z30">
        <f t="shared" si="10"/>
        <v>1.8599403999999997</v>
      </c>
    </row>
    <row r="31" spans="1:26">
      <c r="A31">
        <v>1.43</v>
      </c>
      <c r="B31">
        <v>0.755</v>
      </c>
      <c r="C31">
        <f t="shared" si="1"/>
        <v>1.07965</v>
      </c>
      <c r="D31">
        <v>1.6E-2</v>
      </c>
      <c r="E31">
        <v>3.8158201924077539E-3</v>
      </c>
      <c r="F31">
        <f t="shared" si="2"/>
        <v>286</v>
      </c>
      <c r="G31">
        <f t="shared" si="3"/>
        <v>-0.755</v>
      </c>
      <c r="H31">
        <f t="shared" si="4"/>
        <v>-215.93</v>
      </c>
      <c r="I31">
        <v>1</v>
      </c>
      <c r="J31">
        <f t="shared" si="5"/>
        <v>-1.2517634681622845</v>
      </c>
      <c r="K31">
        <f t="shared" si="6"/>
        <v>-0.46672515177521745</v>
      </c>
      <c r="L31">
        <v>1</v>
      </c>
      <c r="M31">
        <f t="shared" si="7"/>
        <v>0.44151824035568621</v>
      </c>
      <c r="N31">
        <f t="shared" si="13"/>
        <v>2.2880000000000001E-2</v>
      </c>
      <c r="O31">
        <f t="shared" si="11"/>
        <v>5.4566228751430877E-3</v>
      </c>
      <c r="P31">
        <f t="shared" si="12"/>
        <v>-3.1297114556118472E-3</v>
      </c>
      <c r="V31">
        <v>-3.30000000000001</v>
      </c>
      <c r="W31">
        <f t="shared" si="9"/>
        <v>-0.35526699999999956</v>
      </c>
      <c r="Y31">
        <v>0.27</v>
      </c>
      <c r="Z31">
        <f t="shared" si="10"/>
        <v>1.9445107999999998</v>
      </c>
    </row>
    <row r="32" spans="1:26">
      <c r="A32">
        <v>1.48</v>
      </c>
      <c r="B32">
        <v>0.753</v>
      </c>
      <c r="C32">
        <f t="shared" si="1"/>
        <v>1.1144400000000001</v>
      </c>
      <c r="D32">
        <v>1.6E-2</v>
      </c>
      <c r="E32">
        <v>3.8158201924077539E-3</v>
      </c>
      <c r="F32">
        <f t="shared" si="2"/>
        <v>296</v>
      </c>
      <c r="G32">
        <f t="shared" si="3"/>
        <v>-0.753</v>
      </c>
      <c r="H32">
        <f t="shared" si="4"/>
        <v>-222.88800000000003</v>
      </c>
      <c r="I32">
        <v>1</v>
      </c>
      <c r="J32">
        <f t="shared" si="5"/>
        <v>-1.2173958246580767</v>
      </c>
      <c r="K32">
        <f t="shared" si="6"/>
        <v>-0.46872515177521745</v>
      </c>
      <c r="L32">
        <v>1</v>
      </c>
      <c r="M32">
        <f t="shared" si="7"/>
        <v>0.44296546182364838</v>
      </c>
      <c r="N32">
        <f t="shared" si="13"/>
        <v>2.368E-2</v>
      </c>
      <c r="O32">
        <f t="shared" si="11"/>
        <v>5.6474138847634756E-3</v>
      </c>
      <c r="P32">
        <f t="shared" si="12"/>
        <v>-3.5677239331943994E-3</v>
      </c>
      <c r="V32">
        <v>-3.2000000000000099</v>
      </c>
      <c r="W32">
        <f t="shared" si="9"/>
        <v>-0.35947799999999958</v>
      </c>
    </row>
    <row r="33" spans="1:23">
      <c r="A33">
        <v>1.53</v>
      </c>
      <c r="B33">
        <v>0.75</v>
      </c>
      <c r="C33">
        <f t="shared" si="1"/>
        <v>1.1475</v>
      </c>
      <c r="D33">
        <v>1.6E-2</v>
      </c>
      <c r="E33">
        <v>3.8158201924077539E-3</v>
      </c>
      <c r="F33">
        <f t="shared" si="2"/>
        <v>306</v>
      </c>
      <c r="G33">
        <f t="shared" si="3"/>
        <v>-0.75</v>
      </c>
      <c r="H33">
        <f t="shared" si="4"/>
        <v>-229.5</v>
      </c>
      <c r="I33">
        <v>1</v>
      </c>
      <c r="J33">
        <f t="shared" si="5"/>
        <v>-1.1841701770297564</v>
      </c>
      <c r="K33">
        <f t="shared" si="6"/>
        <v>-0.47172515177521745</v>
      </c>
      <c r="L33">
        <v>1</v>
      </c>
      <c r="M33">
        <f t="shared" si="7"/>
        <v>0.44436459384527693</v>
      </c>
      <c r="N33">
        <f t="shared" si="13"/>
        <v>2.4480000000000002E-2</v>
      </c>
      <c r="O33">
        <f t="shared" si="11"/>
        <v>5.8382048943838635E-3</v>
      </c>
      <c r="P33">
        <f t="shared" si="12"/>
        <v>-2.9576469644433442E-3</v>
      </c>
      <c r="V33">
        <v>-3.1000000000000099</v>
      </c>
      <c r="W33">
        <f t="shared" si="9"/>
        <v>-0.3636889999999996</v>
      </c>
    </row>
    <row r="34" spans="1:23">
      <c r="A34">
        <v>1.58</v>
      </c>
      <c r="B34">
        <v>0.748</v>
      </c>
      <c r="C34">
        <f t="shared" si="1"/>
        <v>1.18184</v>
      </c>
      <c r="D34">
        <v>1.6E-2</v>
      </c>
      <c r="E34">
        <v>3.8158201924077539E-3</v>
      </c>
      <c r="F34">
        <f t="shared" si="2"/>
        <v>316</v>
      </c>
      <c r="G34">
        <f t="shared" si="3"/>
        <v>-0.748</v>
      </c>
      <c r="H34">
        <f t="shared" si="4"/>
        <v>-236.36799999999999</v>
      </c>
      <c r="I34">
        <v>1</v>
      </c>
      <c r="J34">
        <f t="shared" si="5"/>
        <v>-1.152013065395225</v>
      </c>
      <c r="K34">
        <f t="shared" si="6"/>
        <v>-0.47372515177521746</v>
      </c>
      <c r="L34">
        <v>1</v>
      </c>
      <c r="M34">
        <f t="shared" si="7"/>
        <v>0.44571872981620708</v>
      </c>
      <c r="N34">
        <f t="shared" si="13"/>
        <v>2.528E-2</v>
      </c>
      <c r="O34">
        <f t="shared" si="11"/>
        <v>6.0289959040042513E-3</v>
      </c>
      <c r="P34">
        <f t="shared" si="12"/>
        <v>-3.302573944993877E-3</v>
      </c>
      <c r="V34">
        <v>-3.0000000000000102</v>
      </c>
      <c r="W34">
        <f t="shared" si="9"/>
        <v>-0.36789999999999956</v>
      </c>
    </row>
    <row r="35" spans="1:23">
      <c r="A35">
        <v>1.64</v>
      </c>
      <c r="B35">
        <v>0.746</v>
      </c>
      <c r="C35">
        <f t="shared" si="1"/>
        <v>1.2234399999999999</v>
      </c>
      <c r="D35">
        <v>1.6E-2</v>
      </c>
      <c r="E35">
        <v>3.8158201924077539E-3</v>
      </c>
      <c r="F35">
        <f t="shared" si="2"/>
        <v>328</v>
      </c>
      <c r="G35">
        <f t="shared" si="3"/>
        <v>-0.746</v>
      </c>
      <c r="H35">
        <f t="shared" si="4"/>
        <v>-244.68799999999996</v>
      </c>
      <c r="I35">
        <v>1</v>
      </c>
      <c r="J35">
        <f t="shared" si="5"/>
        <v>-1.1147416705979933</v>
      </c>
      <c r="K35">
        <f t="shared" si="6"/>
        <v>-0.47572515177521746</v>
      </c>
      <c r="L35">
        <v>1</v>
      </c>
      <c r="M35">
        <f t="shared" si="7"/>
        <v>0.44728822825111852</v>
      </c>
      <c r="N35">
        <f t="shared" si="13"/>
        <v>2.6239999999999999E-2</v>
      </c>
      <c r="O35">
        <f t="shared" si="11"/>
        <v>6.2579451155487164E-3</v>
      </c>
      <c r="P35">
        <f t="shared" si="12"/>
        <v>-4.0610215914497821E-3</v>
      </c>
      <c r="V35">
        <v>-2.9000000000000101</v>
      </c>
      <c r="W35">
        <f t="shared" si="9"/>
        <v>-0.37211099999999958</v>
      </c>
    </row>
    <row r="36" spans="1:23">
      <c r="A36">
        <v>1.69</v>
      </c>
      <c r="B36">
        <v>0.74399999999999999</v>
      </c>
      <c r="C36">
        <f t="shared" si="1"/>
        <v>1.25736</v>
      </c>
      <c r="D36">
        <v>1.6E-2</v>
      </c>
      <c r="E36">
        <v>3.8158201924077539E-3</v>
      </c>
      <c r="F36">
        <f t="shared" si="2"/>
        <v>338</v>
      </c>
      <c r="G36">
        <f t="shared" si="3"/>
        <v>-0.74399999999999999</v>
      </c>
      <c r="H36">
        <f t="shared" si="4"/>
        <v>-251.47200000000001</v>
      </c>
      <c r="I36">
        <v>1</v>
      </c>
      <c r="J36">
        <f t="shared" si="5"/>
        <v>-1.0847093834991182</v>
      </c>
      <c r="K36">
        <f t="shared" si="6"/>
        <v>-0.47772515177521746</v>
      </c>
      <c r="L36">
        <v>1</v>
      </c>
      <c r="M36">
        <f t="shared" si="7"/>
        <v>0.44855288786085212</v>
      </c>
      <c r="N36">
        <f t="shared" si="13"/>
        <v>2.7039999999999998E-2</v>
      </c>
      <c r="O36">
        <f t="shared" si="11"/>
        <v>6.4487361251691043E-3</v>
      </c>
      <c r="P36">
        <f t="shared" si="12"/>
        <v>-4.3164722108037651E-3</v>
      </c>
      <c r="V36">
        <v>-2.80000000000001</v>
      </c>
      <c r="W36">
        <f t="shared" si="9"/>
        <v>-0.3763219999999996</v>
      </c>
    </row>
    <row r="37" spans="1:23">
      <c r="A37">
        <v>1.74</v>
      </c>
      <c r="B37">
        <v>0.74199999999999999</v>
      </c>
      <c r="C37">
        <f t="shared" si="1"/>
        <v>1.29108</v>
      </c>
      <c r="D37">
        <v>1.6E-2</v>
      </c>
      <c r="E37">
        <v>3.8158201924077539E-3</v>
      </c>
      <c r="F37">
        <f t="shared" si="2"/>
        <v>348</v>
      </c>
      <c r="G37">
        <f t="shared" si="3"/>
        <v>-0.74199999999999999</v>
      </c>
      <c r="H37">
        <f t="shared" si="4"/>
        <v>-258.21600000000001</v>
      </c>
      <c r="I37">
        <v>1</v>
      </c>
      <c r="J37">
        <f t="shared" si="5"/>
        <v>-1.0555527992076628</v>
      </c>
      <c r="K37">
        <f t="shared" si="6"/>
        <v>-0.47972515177521746</v>
      </c>
      <c r="L37">
        <v>1</v>
      </c>
      <c r="M37">
        <f t="shared" si="7"/>
        <v>0.44978067162536534</v>
      </c>
      <c r="N37">
        <f t="shared" si="13"/>
        <v>2.784E-2</v>
      </c>
      <c r="O37">
        <f t="shared" si="11"/>
        <v>6.6395271347894922E-3</v>
      </c>
      <c r="P37">
        <f t="shared" si="12"/>
        <v>-4.5350469849373661E-3</v>
      </c>
      <c r="V37">
        <v>-2.7000000000000099</v>
      </c>
      <c r="W37">
        <f t="shared" si="9"/>
        <v>-0.38053299999999957</v>
      </c>
    </row>
    <row r="38" spans="1:23">
      <c r="A38">
        <v>1.79</v>
      </c>
      <c r="B38">
        <v>0.73899999999999999</v>
      </c>
      <c r="C38">
        <f t="shared" si="1"/>
        <v>1.32281</v>
      </c>
      <c r="D38">
        <v>1.6E-2</v>
      </c>
      <c r="E38">
        <v>3.8158201924077539E-3</v>
      </c>
      <c r="F38">
        <f t="shared" si="2"/>
        <v>358</v>
      </c>
      <c r="G38">
        <f t="shared" si="3"/>
        <v>-0.73899999999999999</v>
      </c>
      <c r="H38">
        <f t="shared" si="4"/>
        <v>-264.56200000000001</v>
      </c>
      <c r="I38">
        <v>1</v>
      </c>
      <c r="J38">
        <f t="shared" si="5"/>
        <v>-1.0272222925814367</v>
      </c>
      <c r="K38">
        <f t="shared" si="6"/>
        <v>-0.48272515177521746</v>
      </c>
      <c r="L38">
        <v>1</v>
      </c>
      <c r="M38">
        <f t="shared" si="7"/>
        <v>0.45097366925939569</v>
      </c>
      <c r="N38">
        <f t="shared" si="13"/>
        <v>2.8640000000000002E-2</v>
      </c>
      <c r="O38">
        <f t="shared" si="11"/>
        <v>6.83031814440988E-3</v>
      </c>
      <c r="P38">
        <f t="shared" si="12"/>
        <v>-3.7188356285881106E-3</v>
      </c>
      <c r="V38">
        <v>-2.6000000000000099</v>
      </c>
      <c r="W38">
        <f t="shared" si="9"/>
        <v>-0.38474399999999959</v>
      </c>
    </row>
    <row r="39" spans="1:23">
      <c r="A39">
        <v>1.84</v>
      </c>
      <c r="B39">
        <v>0.73699999999999999</v>
      </c>
      <c r="C39">
        <f t="shared" si="1"/>
        <v>1.35608</v>
      </c>
      <c r="D39">
        <v>1.6E-2</v>
      </c>
      <c r="E39">
        <v>3.8158201924077539E-3</v>
      </c>
      <c r="F39">
        <f t="shared" si="2"/>
        <v>368</v>
      </c>
      <c r="G39">
        <f t="shared" si="3"/>
        <v>-0.73699999999999999</v>
      </c>
      <c r="H39">
        <f t="shared" si="4"/>
        <v>-271.21600000000001</v>
      </c>
      <c r="I39">
        <v>1</v>
      </c>
      <c r="J39">
        <f t="shared" si="5"/>
        <v>-0.99967234081320611</v>
      </c>
      <c r="K39">
        <f t="shared" si="6"/>
        <v>-0.48472515177521747</v>
      </c>
      <c r="L39">
        <v>1</v>
      </c>
      <c r="M39">
        <f t="shared" si="7"/>
        <v>0.45213379772835588</v>
      </c>
      <c r="N39">
        <f t="shared" si="13"/>
        <v>2.9440000000000001E-2</v>
      </c>
      <c r="O39">
        <f t="shared" si="11"/>
        <v>7.0211091540302679E-3</v>
      </c>
      <c r="P39">
        <f t="shared" si="12"/>
        <v>-3.8697551071686818E-3</v>
      </c>
      <c r="V39">
        <v>-2.5000000000000102</v>
      </c>
      <c r="W39">
        <f t="shared" si="9"/>
        <v>-0.38895499999999955</v>
      </c>
    </row>
    <row r="40" spans="1:23">
      <c r="A40">
        <v>1.89</v>
      </c>
      <c r="B40">
        <v>0.73499999999999999</v>
      </c>
      <c r="C40">
        <f t="shared" si="1"/>
        <v>1.3891499999999999</v>
      </c>
      <c r="D40">
        <v>1.6E-2</v>
      </c>
      <c r="E40">
        <v>3.8158201924077539E-3</v>
      </c>
      <c r="F40">
        <f t="shared" si="2"/>
        <v>378</v>
      </c>
      <c r="G40">
        <f t="shared" si="3"/>
        <v>-0.73499999999999999</v>
      </c>
      <c r="H40">
        <f t="shared" si="4"/>
        <v>-277.83</v>
      </c>
      <c r="I40">
        <v>1</v>
      </c>
      <c r="J40">
        <f t="shared" si="5"/>
        <v>-0.97286108336254939</v>
      </c>
      <c r="K40">
        <f t="shared" si="6"/>
        <v>-0.48672515177521747</v>
      </c>
      <c r="L40">
        <v>1</v>
      </c>
      <c r="M40">
        <f t="shared" si="7"/>
        <v>0.45326281977960303</v>
      </c>
      <c r="N40">
        <f t="shared" si="13"/>
        <v>3.024E-2</v>
      </c>
      <c r="O40">
        <f t="shared" si="11"/>
        <v>7.2119001636506549E-3</v>
      </c>
      <c r="P40">
        <f t="shared" si="12"/>
        <v>-3.9895681680362184E-3</v>
      </c>
      <c r="V40">
        <v>-2.4000000000000101</v>
      </c>
      <c r="W40">
        <f t="shared" si="9"/>
        <v>-0.39316599999999957</v>
      </c>
    </row>
    <row r="41" spans="1:23">
      <c r="A41">
        <v>1.95</v>
      </c>
      <c r="B41">
        <v>0.73299999999999998</v>
      </c>
      <c r="C41">
        <f t="shared" si="1"/>
        <v>1.4293499999999999</v>
      </c>
      <c r="D41">
        <v>1.6E-2</v>
      </c>
      <c r="E41">
        <v>3.8158201924077539E-3</v>
      </c>
      <c r="F41">
        <f t="shared" si="2"/>
        <v>390</v>
      </c>
      <c r="G41">
        <f t="shared" si="3"/>
        <v>-0.73299999999999998</v>
      </c>
      <c r="H41">
        <f t="shared" si="4"/>
        <v>-285.87</v>
      </c>
      <c r="I41">
        <v>1</v>
      </c>
      <c r="J41">
        <f t="shared" si="5"/>
        <v>-0.94160853985844495</v>
      </c>
      <c r="K41">
        <f t="shared" si="6"/>
        <v>-0.48872515177521747</v>
      </c>
      <c r="L41">
        <v>1</v>
      </c>
      <c r="M41">
        <f t="shared" si="7"/>
        <v>0.45457886438656087</v>
      </c>
      <c r="N41">
        <f t="shared" si="13"/>
        <v>3.1199999999999999E-2</v>
      </c>
      <c r="O41">
        <f t="shared" si="11"/>
        <v>7.44084937519512E-3</v>
      </c>
      <c r="P41">
        <f t="shared" si="12"/>
        <v>-4.4945619865385143E-3</v>
      </c>
      <c r="V41">
        <v>-2.30000000000001</v>
      </c>
      <c r="W41">
        <f t="shared" si="9"/>
        <v>-0.39737699999999959</v>
      </c>
    </row>
    <row r="42" spans="1:23">
      <c r="A42">
        <v>2</v>
      </c>
      <c r="B42">
        <v>0.73099999999999998</v>
      </c>
      <c r="C42">
        <f t="shared" si="1"/>
        <v>1.462</v>
      </c>
      <c r="D42">
        <v>1.6E-2</v>
      </c>
      <c r="E42">
        <v>3.8158201924077539E-3</v>
      </c>
      <c r="F42">
        <f t="shared" si="2"/>
        <v>400</v>
      </c>
      <c r="G42">
        <f t="shared" si="3"/>
        <v>-0.73099999999999998</v>
      </c>
      <c r="H42">
        <f t="shared" si="4"/>
        <v>-292.39999999999998</v>
      </c>
      <c r="I42">
        <v>1</v>
      </c>
      <c r="J42">
        <f t="shared" si="5"/>
        <v>-0.916290731874155</v>
      </c>
      <c r="K42">
        <f t="shared" si="6"/>
        <v>-0.49072515177521747</v>
      </c>
      <c r="L42">
        <v>1</v>
      </c>
      <c r="M42">
        <f t="shared" si="7"/>
        <v>0.45564499728077934</v>
      </c>
      <c r="N42">
        <f t="shared" si="13"/>
        <v>3.2000000000000001E-2</v>
      </c>
      <c r="O42">
        <f t="shared" si="11"/>
        <v>7.6316403848155079E-3</v>
      </c>
      <c r="P42">
        <f t="shared" si="12"/>
        <v>-4.5514858903773769E-3</v>
      </c>
      <c r="V42">
        <v>-2.2000000000000099</v>
      </c>
      <c r="W42">
        <f t="shared" si="9"/>
        <v>-0.40158799999999961</v>
      </c>
    </row>
    <row r="43" spans="1:23">
      <c r="A43">
        <v>2.0499999999999998</v>
      </c>
      <c r="B43">
        <v>0.72899999999999998</v>
      </c>
      <c r="C43">
        <f t="shared" si="1"/>
        <v>1.4944499999999998</v>
      </c>
      <c r="D43">
        <v>1.6E-2</v>
      </c>
      <c r="E43">
        <v>3.8158201924077539E-3</v>
      </c>
      <c r="F43">
        <f t="shared" si="2"/>
        <v>409.99999999999994</v>
      </c>
      <c r="G43">
        <f t="shared" si="3"/>
        <v>-0.72899999999999998</v>
      </c>
      <c r="H43">
        <f t="shared" si="4"/>
        <v>-298.89</v>
      </c>
      <c r="I43">
        <v>1</v>
      </c>
      <c r="J43">
        <f t="shared" si="5"/>
        <v>-0.89159811928378374</v>
      </c>
      <c r="K43">
        <f t="shared" si="6"/>
        <v>-0.49272515177521747</v>
      </c>
      <c r="L43">
        <v>1</v>
      </c>
      <c r="M43">
        <f t="shared" si="7"/>
        <v>0.45668480319695987</v>
      </c>
      <c r="N43">
        <f t="shared" si="13"/>
        <v>3.2799999999999996E-2</v>
      </c>
      <c r="O43">
        <f t="shared" si="11"/>
        <v>7.8224313944358949E-3</v>
      </c>
      <c r="P43">
        <f t="shared" si="12"/>
        <v>-4.5820828161782824E-3</v>
      </c>
      <c r="V43">
        <v>-2.1000000000000099</v>
      </c>
      <c r="W43">
        <f t="shared" si="9"/>
        <v>-0.40579899999999958</v>
      </c>
    </row>
    <row r="44" spans="1:23">
      <c r="A44">
        <v>2.1</v>
      </c>
      <c r="B44">
        <v>0.72699999999999998</v>
      </c>
      <c r="C44">
        <f t="shared" si="1"/>
        <v>1.5266999999999999</v>
      </c>
      <c r="D44">
        <v>1.6E-2</v>
      </c>
      <c r="E44">
        <v>3.8158201924077539E-3</v>
      </c>
      <c r="F44">
        <f t="shared" si="2"/>
        <v>420</v>
      </c>
      <c r="G44">
        <f t="shared" si="3"/>
        <v>-0.72699999999999998</v>
      </c>
      <c r="H44">
        <f t="shared" si="4"/>
        <v>-305.33999999999997</v>
      </c>
      <c r="I44">
        <v>1</v>
      </c>
      <c r="J44">
        <f t="shared" si="5"/>
        <v>-0.86750056770472306</v>
      </c>
      <c r="K44">
        <f t="shared" si="6"/>
        <v>-0.49472515177521748</v>
      </c>
      <c r="L44">
        <v>1</v>
      </c>
      <c r="M44">
        <f t="shared" si="7"/>
        <v>0.4576995510939541</v>
      </c>
      <c r="N44">
        <f t="shared" si="13"/>
        <v>3.3600000000000005E-2</v>
      </c>
      <c r="O44">
        <f t="shared" si="11"/>
        <v>8.0132224040562836E-3</v>
      </c>
      <c r="P44">
        <f t="shared" si="12"/>
        <v>-4.5876217227929176E-3</v>
      </c>
      <c r="V44">
        <v>-2.0000000000000102</v>
      </c>
      <c r="W44">
        <f t="shared" si="9"/>
        <v>-0.41000999999999954</v>
      </c>
    </row>
    <row r="45" spans="1:23">
      <c r="A45">
        <v>2.15</v>
      </c>
      <c r="B45">
        <v>0.72499999999999998</v>
      </c>
      <c r="C45">
        <f t="shared" si="1"/>
        <v>1.5587499999999999</v>
      </c>
      <c r="D45">
        <v>1.6E-2</v>
      </c>
      <c r="E45">
        <v>3.8158201924077539E-3</v>
      </c>
      <c r="F45">
        <f t="shared" si="2"/>
        <v>430</v>
      </c>
      <c r="G45">
        <f t="shared" si="3"/>
        <v>-0.72499999999999998</v>
      </c>
      <c r="H45">
        <f t="shared" si="4"/>
        <v>-311.75</v>
      </c>
      <c r="I45">
        <v>1</v>
      </c>
      <c r="J45">
        <f t="shared" si="5"/>
        <v>-0.84397007029452897</v>
      </c>
      <c r="K45">
        <f t="shared" si="6"/>
        <v>-0.49672515177521748</v>
      </c>
      <c r="L45">
        <v>1</v>
      </c>
      <c r="M45">
        <f t="shared" si="7"/>
        <v>0.45869042033989738</v>
      </c>
      <c r="N45">
        <f t="shared" si="13"/>
        <v>3.44E-2</v>
      </c>
      <c r="O45">
        <f t="shared" si="11"/>
        <v>8.2040134136766706E-3</v>
      </c>
      <c r="P45">
        <f t="shared" si="12"/>
        <v>-4.5692819783565691E-3</v>
      </c>
      <c r="V45">
        <v>-1.9000000000000099</v>
      </c>
      <c r="W45">
        <f t="shared" si="9"/>
        <v>-0.41422099999999962</v>
      </c>
    </row>
    <row r="46" spans="1:23">
      <c r="A46">
        <v>2.2000000000000002</v>
      </c>
      <c r="B46">
        <v>0.72299999999999998</v>
      </c>
      <c r="C46">
        <f t="shared" si="1"/>
        <v>1.5906</v>
      </c>
      <c r="D46">
        <v>1.6E-2</v>
      </c>
      <c r="E46">
        <v>3.8158201924077539E-3</v>
      </c>
      <c r="F46">
        <f t="shared" si="2"/>
        <v>440.00000000000006</v>
      </c>
      <c r="G46">
        <f t="shared" si="3"/>
        <v>-0.72299999999999998</v>
      </c>
      <c r="H46">
        <f t="shared" si="4"/>
        <v>-318.12</v>
      </c>
      <c r="I46">
        <v>1</v>
      </c>
      <c r="J46">
        <f t="shared" si="5"/>
        <v>-0.82098055206983012</v>
      </c>
      <c r="K46">
        <f t="shared" si="6"/>
        <v>-0.49872515177521748</v>
      </c>
      <c r="L46">
        <v>1</v>
      </c>
      <c r="M46">
        <f t="shared" si="7"/>
        <v>0.45965850895233945</v>
      </c>
      <c r="N46">
        <f t="shared" si="13"/>
        <v>3.5200000000000002E-2</v>
      </c>
      <c r="O46">
        <f t="shared" si="11"/>
        <v>8.3948044232970594E-3</v>
      </c>
      <c r="P46">
        <f t="shared" si="12"/>
        <v>-4.5281616004190332E-3</v>
      </c>
      <c r="V46">
        <v>-1.80000000000001</v>
      </c>
      <c r="W46">
        <f t="shared" si="9"/>
        <v>-0.41843199999999958</v>
      </c>
    </row>
    <row r="47" spans="1:23">
      <c r="A47">
        <v>2.2599999999999998</v>
      </c>
      <c r="B47">
        <v>0.72099999999999997</v>
      </c>
      <c r="C47">
        <f t="shared" si="1"/>
        <v>1.6294599999999997</v>
      </c>
      <c r="D47">
        <v>1.6E-2</v>
      </c>
      <c r="E47">
        <v>3.8158201924077539E-3</v>
      </c>
      <c r="F47">
        <f t="shared" si="2"/>
        <v>451.99999999999994</v>
      </c>
      <c r="G47">
        <f t="shared" si="3"/>
        <v>-0.72099999999999997</v>
      </c>
      <c r="H47">
        <f t="shared" si="4"/>
        <v>-325.89199999999994</v>
      </c>
      <c r="I47">
        <v>1</v>
      </c>
      <c r="J47">
        <f t="shared" si="5"/>
        <v>-0.79407309914990598</v>
      </c>
      <c r="K47">
        <f t="shared" si="6"/>
        <v>-0.50072515177521748</v>
      </c>
      <c r="L47">
        <v>1</v>
      </c>
      <c r="M47">
        <f t="shared" si="7"/>
        <v>0.46079158179479746</v>
      </c>
      <c r="N47">
        <f t="shared" si="13"/>
        <v>3.6159999999999998E-2</v>
      </c>
      <c r="O47">
        <f t="shared" si="11"/>
        <v>8.6237536348415227E-3</v>
      </c>
      <c r="P47">
        <f t="shared" si="12"/>
        <v>-4.8501836544214954E-3</v>
      </c>
      <c r="V47">
        <v>-1.7000000000000199</v>
      </c>
      <c r="W47">
        <f t="shared" si="9"/>
        <v>-0.42264299999999916</v>
      </c>
    </row>
    <row r="48" spans="1:23">
      <c r="A48">
        <v>2.31</v>
      </c>
      <c r="B48">
        <v>0.71899999999999997</v>
      </c>
      <c r="C48">
        <f t="shared" si="1"/>
        <v>1.66089</v>
      </c>
      <c r="D48">
        <v>1.6E-2</v>
      </c>
      <c r="E48">
        <v>3.8158201924077539E-3</v>
      </c>
      <c r="F48">
        <f t="shared" si="2"/>
        <v>462</v>
      </c>
      <c r="G48">
        <f t="shared" si="3"/>
        <v>-0.71899999999999997</v>
      </c>
      <c r="H48">
        <f t="shared" si="4"/>
        <v>-332.178</v>
      </c>
      <c r="I48">
        <v>1</v>
      </c>
      <c r="J48">
        <f t="shared" si="5"/>
        <v>-0.77219038790039818</v>
      </c>
      <c r="K48">
        <f t="shared" si="6"/>
        <v>-0.50272515177521748</v>
      </c>
      <c r="L48">
        <v>1</v>
      </c>
      <c r="M48">
        <f t="shared" si="7"/>
        <v>0.46171306276551421</v>
      </c>
      <c r="N48">
        <f t="shared" si="13"/>
        <v>3.696E-2</v>
      </c>
      <c r="O48">
        <f t="shared" si="11"/>
        <v>8.8145446444619115E-3</v>
      </c>
      <c r="P48">
        <f t="shared" si="12"/>
        <v>-4.7624556347586437E-3</v>
      </c>
      <c r="V48">
        <v>-1.6000000000000201</v>
      </c>
      <c r="W48">
        <f t="shared" si="9"/>
        <v>-0.42685399999999918</v>
      </c>
    </row>
    <row r="49" spans="1:23">
      <c r="A49">
        <v>2.36</v>
      </c>
      <c r="B49">
        <v>0.71699999999999997</v>
      </c>
      <c r="C49">
        <f t="shared" si="1"/>
        <v>1.6921199999999998</v>
      </c>
      <c r="D49">
        <v>1.6E-2</v>
      </c>
      <c r="E49">
        <v>3.8158201924077539E-3</v>
      </c>
      <c r="F49">
        <f t="shared" si="2"/>
        <v>472</v>
      </c>
      <c r="G49">
        <f t="shared" si="3"/>
        <v>-0.71699999999999997</v>
      </c>
      <c r="H49">
        <f t="shared" si="4"/>
        <v>-338.42399999999998</v>
      </c>
      <c r="I49">
        <v>1</v>
      </c>
      <c r="J49">
        <f t="shared" si="5"/>
        <v>-0.7507762933965817</v>
      </c>
      <c r="K49">
        <f t="shared" si="6"/>
        <v>-0.50472515177521748</v>
      </c>
      <c r="L49">
        <v>1</v>
      </c>
      <c r="M49">
        <f t="shared" si="7"/>
        <v>0.46261481028506996</v>
      </c>
      <c r="N49">
        <f t="shared" si="13"/>
        <v>3.7760000000000002E-2</v>
      </c>
      <c r="O49">
        <f t="shared" si="11"/>
        <v>9.0053356540822985E-3</v>
      </c>
      <c r="P49">
        <f t="shared" si="12"/>
        <v>-4.6549941639347711E-3</v>
      </c>
      <c r="V49">
        <v>-1.50000000000002</v>
      </c>
      <c r="W49">
        <f t="shared" si="9"/>
        <v>-0.43106499999999914</v>
      </c>
    </row>
    <row r="50" spans="1:23">
      <c r="A50">
        <v>2.41</v>
      </c>
      <c r="B50">
        <v>0.71499999999999997</v>
      </c>
      <c r="C50">
        <f t="shared" si="1"/>
        <v>1.72315</v>
      </c>
      <c r="D50">
        <v>1.6E-2</v>
      </c>
      <c r="E50">
        <v>3.8158201924077539E-3</v>
      </c>
      <c r="F50">
        <f t="shared" si="2"/>
        <v>482</v>
      </c>
      <c r="G50">
        <f t="shared" si="3"/>
        <v>-0.71499999999999997</v>
      </c>
      <c r="H50">
        <f t="shared" si="4"/>
        <v>-344.63</v>
      </c>
      <c r="I50">
        <v>1</v>
      </c>
      <c r="J50">
        <f t="shared" si="5"/>
        <v>-0.72981116493153675</v>
      </c>
      <c r="K50">
        <f t="shared" si="6"/>
        <v>-0.50672515177521749</v>
      </c>
      <c r="L50">
        <v>1</v>
      </c>
      <c r="M50">
        <f t="shared" si="7"/>
        <v>0.46349765184473302</v>
      </c>
      <c r="N50">
        <f t="shared" si="13"/>
        <v>3.8560000000000004E-2</v>
      </c>
      <c r="O50">
        <f t="shared" si="11"/>
        <v>9.1961266637026872E-3</v>
      </c>
      <c r="P50">
        <f t="shared" si="12"/>
        <v>-4.5286267332182214E-3</v>
      </c>
      <c r="V50">
        <v>-1.4000000000000199</v>
      </c>
      <c r="W50">
        <f t="shared" si="9"/>
        <v>-0.43527599999999916</v>
      </c>
    </row>
    <row r="51" spans="1:23">
      <c r="A51">
        <v>2.46</v>
      </c>
      <c r="B51">
        <v>0.71299999999999997</v>
      </c>
      <c r="C51">
        <f t="shared" si="1"/>
        <v>1.7539799999999999</v>
      </c>
      <c r="D51">
        <v>1.6E-2</v>
      </c>
      <c r="E51">
        <v>3.8158201924077539E-3</v>
      </c>
      <c r="F51">
        <f t="shared" si="2"/>
        <v>492</v>
      </c>
      <c r="G51">
        <f t="shared" si="3"/>
        <v>-0.71299999999999997</v>
      </c>
      <c r="H51">
        <f t="shared" si="4"/>
        <v>-350.79599999999999</v>
      </c>
      <c r="I51">
        <v>1</v>
      </c>
      <c r="J51">
        <f t="shared" si="5"/>
        <v>-0.70927656248982895</v>
      </c>
      <c r="K51">
        <f t="shared" si="6"/>
        <v>-0.50872515177521749</v>
      </c>
      <c r="L51">
        <v>1</v>
      </c>
      <c r="M51">
        <f t="shared" si="7"/>
        <v>0.46436236395355329</v>
      </c>
      <c r="N51">
        <f t="shared" si="13"/>
        <v>3.9359999999999999E-2</v>
      </c>
      <c r="O51">
        <f t="shared" si="11"/>
        <v>9.3869176733230742E-3</v>
      </c>
      <c r="P51">
        <f t="shared" si="12"/>
        <v>-4.3841298516588776E-3</v>
      </c>
      <c r="V51">
        <v>-1.30000000000002</v>
      </c>
      <c r="W51">
        <f t="shared" si="9"/>
        <v>-0.43948699999999918</v>
      </c>
    </row>
    <row r="52" spans="1:23">
      <c r="A52">
        <v>2.5099999999999998</v>
      </c>
      <c r="B52">
        <v>0.71099999999999997</v>
      </c>
      <c r="C52">
        <f t="shared" si="1"/>
        <v>1.7846099999999998</v>
      </c>
      <c r="D52">
        <v>1.6E-2</v>
      </c>
      <c r="E52">
        <v>3.8158201924077539E-3</v>
      </c>
      <c r="F52">
        <f t="shared" si="2"/>
        <v>501.99999999999994</v>
      </c>
      <c r="G52">
        <f t="shared" si="3"/>
        <v>-0.71099999999999997</v>
      </c>
      <c r="H52">
        <f t="shared" si="4"/>
        <v>-356.92199999999997</v>
      </c>
      <c r="I52">
        <v>1</v>
      </c>
      <c r="J52">
        <f t="shared" si="5"/>
        <v>-0.68915515929040805</v>
      </c>
      <c r="K52">
        <f t="shared" si="6"/>
        <v>-0.51072515177521749</v>
      </c>
      <c r="L52">
        <v>1</v>
      </c>
      <c r="M52">
        <f t="shared" si="7"/>
        <v>0.46520967624228093</v>
      </c>
      <c r="N52">
        <f t="shared" si="13"/>
        <v>4.0159999999999994E-2</v>
      </c>
      <c r="O52">
        <f t="shared" si="11"/>
        <v>9.5777086829434612E-3</v>
      </c>
      <c r="P52">
        <f t="shared" si="12"/>
        <v>-4.2222331500068998E-3</v>
      </c>
      <c r="V52">
        <v>-1.2000000000000199</v>
      </c>
      <c r="W52">
        <f t="shared" si="9"/>
        <v>-0.44369799999999915</v>
      </c>
    </row>
    <row r="53" spans="1:23">
      <c r="A53">
        <v>2.56</v>
      </c>
      <c r="B53">
        <v>0.70899999999999996</v>
      </c>
      <c r="C53">
        <f t="shared" si="1"/>
        <v>1.81504</v>
      </c>
      <c r="D53">
        <v>1.6E-2</v>
      </c>
      <c r="E53">
        <v>3.8158201924077539E-3</v>
      </c>
      <c r="F53">
        <f t="shared" si="2"/>
        <v>512</v>
      </c>
      <c r="G53">
        <f t="shared" si="3"/>
        <v>-0.70899999999999996</v>
      </c>
      <c r="H53">
        <f t="shared" si="4"/>
        <v>-363.00799999999998</v>
      </c>
      <c r="I53">
        <v>1</v>
      </c>
      <c r="J53">
        <f t="shared" si="5"/>
        <v>-0.66943065394262924</v>
      </c>
      <c r="K53">
        <f t="shared" si="6"/>
        <v>-0.51272515177521749</v>
      </c>
      <c r="L53">
        <v>1</v>
      </c>
      <c r="M53">
        <f t="shared" si="7"/>
        <v>0.46604027516247587</v>
      </c>
      <c r="N53">
        <f t="shared" si="13"/>
        <v>4.0960000000000003E-2</v>
      </c>
      <c r="O53">
        <f t="shared" si="11"/>
        <v>9.76849969256385E-3</v>
      </c>
      <c r="P53">
        <f t="shared" si="12"/>
        <v>-4.0436230798222318E-3</v>
      </c>
      <c r="V53">
        <v>-1.1000000000000201</v>
      </c>
      <c r="W53">
        <f t="shared" si="9"/>
        <v>-0.44790899999999917</v>
      </c>
    </row>
    <row r="54" spans="1:23">
      <c r="A54">
        <v>2.62</v>
      </c>
      <c r="B54">
        <v>0.70699999999999996</v>
      </c>
      <c r="C54">
        <f t="shared" si="1"/>
        <v>1.8523399999999999</v>
      </c>
      <c r="D54">
        <v>1.6E-2</v>
      </c>
      <c r="E54">
        <v>3.8158201924077539E-3</v>
      </c>
      <c r="F54">
        <f t="shared" si="2"/>
        <v>524</v>
      </c>
      <c r="G54">
        <f t="shared" si="3"/>
        <v>-0.70699999999999996</v>
      </c>
      <c r="H54">
        <f t="shared" si="4"/>
        <v>-370.46799999999996</v>
      </c>
      <c r="I54">
        <v>1</v>
      </c>
      <c r="J54">
        <f t="shared" si="5"/>
        <v>-0.64626359466109484</v>
      </c>
      <c r="K54">
        <f t="shared" si="6"/>
        <v>-0.51472515177521749</v>
      </c>
      <c r="L54">
        <v>1</v>
      </c>
      <c r="M54">
        <f t="shared" si="7"/>
        <v>0.46701584002882129</v>
      </c>
      <c r="N54">
        <f t="shared" si="13"/>
        <v>4.1920000000000006E-2</v>
      </c>
      <c r="O54">
        <f t="shared" si="11"/>
        <v>9.997448904108315E-3</v>
      </c>
      <c r="P54">
        <f t="shared" si="12"/>
        <v>-4.2081371577121218E-3</v>
      </c>
      <c r="V54">
        <v>-1.00000000000002</v>
      </c>
      <c r="W54">
        <f t="shared" si="9"/>
        <v>-0.45211999999999919</v>
      </c>
    </row>
    <row r="55" spans="1:23">
      <c r="A55">
        <v>2.67</v>
      </c>
      <c r="B55">
        <v>0.70499999999999996</v>
      </c>
      <c r="C55">
        <f t="shared" si="1"/>
        <v>1.8823499999999997</v>
      </c>
      <c r="D55">
        <v>1.6E-2</v>
      </c>
      <c r="E55">
        <v>3.8158201924077539E-3</v>
      </c>
      <c r="F55">
        <f t="shared" si="2"/>
        <v>534</v>
      </c>
      <c r="G55">
        <f t="shared" si="3"/>
        <v>-0.70499999999999996</v>
      </c>
      <c r="H55">
        <f t="shared" si="4"/>
        <v>-376.46999999999997</v>
      </c>
      <c r="I55">
        <v>1</v>
      </c>
      <c r="J55">
        <f t="shared" si="5"/>
        <v>-0.62735944002194211</v>
      </c>
      <c r="K55">
        <f t="shared" si="6"/>
        <v>-0.51672515177521749</v>
      </c>
      <c r="L55">
        <v>1</v>
      </c>
      <c r="M55">
        <f t="shared" si="7"/>
        <v>0.46781189398067602</v>
      </c>
      <c r="N55">
        <f t="shared" si="13"/>
        <v>4.2720000000000001E-2</v>
      </c>
      <c r="O55">
        <f t="shared" si="11"/>
        <v>1.0188239913728702E-2</v>
      </c>
      <c r="P55">
        <f t="shared" si="12"/>
        <v>-3.9949821191872271E-3</v>
      </c>
      <c r="V55">
        <v>-0.90000000000002001</v>
      </c>
      <c r="W55">
        <f t="shared" si="9"/>
        <v>-0.45633099999999915</v>
      </c>
    </row>
    <row r="56" spans="1:23">
      <c r="A56">
        <v>2.72</v>
      </c>
      <c r="B56">
        <v>0.70299999999999996</v>
      </c>
      <c r="C56">
        <f t="shared" si="1"/>
        <v>1.9121600000000001</v>
      </c>
      <c r="D56">
        <v>1.6E-2</v>
      </c>
      <c r="E56">
        <v>3.8158201924077539E-3</v>
      </c>
      <c r="F56">
        <f t="shared" si="2"/>
        <v>544</v>
      </c>
      <c r="G56">
        <f t="shared" si="3"/>
        <v>-0.70299999999999996</v>
      </c>
      <c r="H56">
        <f t="shared" si="4"/>
        <v>-382.43200000000002</v>
      </c>
      <c r="I56">
        <v>1</v>
      </c>
      <c r="J56">
        <f t="shared" si="5"/>
        <v>-0.60880603212619433</v>
      </c>
      <c r="K56">
        <f t="shared" si="6"/>
        <v>-0.5187251517752175</v>
      </c>
      <c r="L56">
        <v>1</v>
      </c>
      <c r="M56">
        <f t="shared" si="7"/>
        <v>0.46859317798716593</v>
      </c>
      <c r="N56">
        <f t="shared" si="13"/>
        <v>4.3520000000000003E-2</v>
      </c>
      <c r="O56">
        <f t="shared" si="11"/>
        <v>1.0379030923349091E-2</v>
      </c>
      <c r="P56">
        <f t="shared" si="12"/>
        <v>-3.7670571352975291E-3</v>
      </c>
      <c r="V56">
        <v>-0.80000000000002003</v>
      </c>
      <c r="W56">
        <f t="shared" si="9"/>
        <v>-0.46054199999999917</v>
      </c>
    </row>
    <row r="57" spans="1:23">
      <c r="A57">
        <v>2.77</v>
      </c>
      <c r="B57">
        <v>0.70099999999999996</v>
      </c>
      <c r="C57">
        <f t="shared" si="1"/>
        <v>1.94177</v>
      </c>
      <c r="D57">
        <v>1.6E-2</v>
      </c>
      <c r="E57">
        <v>3.8158201924077539E-3</v>
      </c>
      <c r="F57">
        <f t="shared" si="2"/>
        <v>554</v>
      </c>
      <c r="G57">
        <f t="shared" si="3"/>
        <v>-0.70099999999999996</v>
      </c>
      <c r="H57">
        <f t="shared" si="4"/>
        <v>-388.35399999999998</v>
      </c>
      <c r="I57">
        <v>1</v>
      </c>
      <c r="J57">
        <f t="shared" si="5"/>
        <v>-0.59059059223485311</v>
      </c>
      <c r="K57">
        <f t="shared" si="6"/>
        <v>-0.5207251517752175</v>
      </c>
      <c r="L57">
        <v>1</v>
      </c>
      <c r="M57">
        <f t="shared" si="7"/>
        <v>0.46936023016099032</v>
      </c>
      <c r="N57">
        <f t="shared" si="13"/>
        <v>4.4319999999999998E-2</v>
      </c>
      <c r="O57">
        <f t="shared" si="11"/>
        <v>1.0569821932969478E-2</v>
      </c>
      <c r="P57">
        <f t="shared" si="12"/>
        <v>-3.5249003187422991E-3</v>
      </c>
      <c r="V57">
        <v>-0.70000000000002005</v>
      </c>
      <c r="W57">
        <f t="shared" si="9"/>
        <v>-0.46475299999999914</v>
      </c>
    </row>
    <row r="58" spans="1:23">
      <c r="A58">
        <v>2.82</v>
      </c>
      <c r="B58">
        <v>0.69899999999999995</v>
      </c>
      <c r="C58">
        <f t="shared" si="1"/>
        <v>1.9711799999999997</v>
      </c>
      <c r="D58">
        <v>1.6E-2</v>
      </c>
      <c r="E58">
        <v>3.8158201924077539E-3</v>
      </c>
      <c r="F58">
        <f t="shared" si="2"/>
        <v>564</v>
      </c>
      <c r="G58">
        <f t="shared" si="3"/>
        <v>-0.69899999999999995</v>
      </c>
      <c r="H58">
        <f t="shared" si="4"/>
        <v>-394.23599999999993</v>
      </c>
      <c r="I58">
        <v>1</v>
      </c>
      <c r="J58">
        <f t="shared" si="5"/>
        <v>-0.57270102748407825</v>
      </c>
      <c r="K58">
        <f t="shared" si="6"/>
        <v>-0.5227251517752175</v>
      </c>
      <c r="L58">
        <v>1</v>
      </c>
      <c r="M58">
        <f t="shared" si="7"/>
        <v>0.47011355973264546</v>
      </c>
      <c r="N58">
        <f t="shared" si="13"/>
        <v>4.512E-2</v>
      </c>
      <c r="O58">
        <f t="shared" si="11"/>
        <v>1.0760612942589865E-2</v>
      </c>
      <c r="P58">
        <f t="shared" si="12"/>
        <v>-3.2690209000178234E-3</v>
      </c>
      <c r="V58">
        <v>-0.60000000000001996</v>
      </c>
      <c r="W58">
        <f t="shared" si="9"/>
        <v>-0.46896399999999916</v>
      </c>
    </row>
    <row r="59" spans="1:23">
      <c r="A59">
        <v>2.87</v>
      </c>
      <c r="B59">
        <v>0.69699999999999995</v>
      </c>
      <c r="C59">
        <f t="shared" si="1"/>
        <v>2.0003899999999999</v>
      </c>
      <c r="D59">
        <v>1.6E-2</v>
      </c>
      <c r="E59">
        <v>3.8158201924077539E-3</v>
      </c>
      <c r="F59">
        <f t="shared" si="2"/>
        <v>574</v>
      </c>
      <c r="G59">
        <f t="shared" si="3"/>
        <v>-0.69699999999999995</v>
      </c>
      <c r="H59">
        <f t="shared" si="4"/>
        <v>-400.07799999999997</v>
      </c>
      <c r="I59">
        <v>1</v>
      </c>
      <c r="J59">
        <f t="shared" si="5"/>
        <v>-0.55512588266257068</v>
      </c>
      <c r="K59">
        <f t="shared" si="6"/>
        <v>-0.5247251517752175</v>
      </c>
      <c r="L59">
        <v>1</v>
      </c>
      <c r="M59">
        <f t="shared" si="7"/>
        <v>0.47085364908107913</v>
      </c>
      <c r="N59">
        <f t="shared" si="13"/>
        <v>4.5920000000000002E-2</v>
      </c>
      <c r="O59">
        <f t="shared" si="11"/>
        <v>1.0951403952210254E-2</v>
      </c>
      <c r="P59">
        <f t="shared" si="12"/>
        <v>-2.9999012580718826E-3</v>
      </c>
      <c r="V59">
        <v>-0.50000000000001998</v>
      </c>
      <c r="W59">
        <f t="shared" si="9"/>
        <v>-0.47317499999999918</v>
      </c>
    </row>
    <row r="60" spans="1:23">
      <c r="A60">
        <v>2.92</v>
      </c>
      <c r="B60">
        <v>0.69499999999999995</v>
      </c>
      <c r="C60">
        <f t="shared" si="1"/>
        <v>2.0293999999999999</v>
      </c>
      <c r="D60">
        <v>1.6E-2</v>
      </c>
      <c r="E60">
        <v>3.8158201924077539E-3</v>
      </c>
      <c r="F60">
        <f t="shared" si="2"/>
        <v>584</v>
      </c>
      <c r="G60">
        <f t="shared" si="3"/>
        <v>-0.69499999999999995</v>
      </c>
      <c r="H60">
        <f t="shared" si="4"/>
        <v>-405.88</v>
      </c>
      <c r="I60">
        <v>1</v>
      </c>
      <c r="J60">
        <f t="shared" si="5"/>
        <v>-0.53785429615391001</v>
      </c>
      <c r="K60">
        <f t="shared" si="6"/>
        <v>-0.5267251517752175</v>
      </c>
      <c r="L60">
        <v>1</v>
      </c>
      <c r="M60">
        <f t="shared" si="7"/>
        <v>0.47158095558895885</v>
      </c>
      <c r="N60">
        <f t="shared" si="13"/>
        <v>4.6719999999999998E-2</v>
      </c>
      <c r="O60">
        <f t="shared" si="11"/>
        <v>1.1142194961830641E-2</v>
      </c>
      <c r="P60">
        <f t="shared" si="12"/>
        <v>-2.7179987755719844E-3</v>
      </c>
      <c r="V60">
        <v>-0.40000000000002001</v>
      </c>
      <c r="W60">
        <f t="shared" si="9"/>
        <v>-0.47738599999999914</v>
      </c>
    </row>
    <row r="61" spans="1:23">
      <c r="A61">
        <v>2.98</v>
      </c>
      <c r="B61">
        <v>0.69299999999999995</v>
      </c>
      <c r="C61">
        <f t="shared" si="1"/>
        <v>2.06514</v>
      </c>
      <c r="D61">
        <v>1.6E-2</v>
      </c>
      <c r="E61">
        <v>3.8158201924077539E-3</v>
      </c>
      <c r="F61">
        <f t="shared" si="2"/>
        <v>596</v>
      </c>
      <c r="G61">
        <f t="shared" si="3"/>
        <v>-0.69299999999999995</v>
      </c>
      <c r="H61">
        <f t="shared" si="4"/>
        <v>-413.02800000000002</v>
      </c>
      <c r="I61">
        <v>1</v>
      </c>
      <c r="J61">
        <f t="shared" si="5"/>
        <v>-0.51751461191678738</v>
      </c>
      <c r="K61">
        <f t="shared" si="6"/>
        <v>-0.52872515177521751</v>
      </c>
      <c r="L61">
        <v>1</v>
      </c>
      <c r="M61">
        <f t="shared" si="7"/>
        <v>0.47243745969218409</v>
      </c>
      <c r="N61">
        <f t="shared" si="13"/>
        <v>4.768E-2</v>
      </c>
      <c r="O61">
        <f t="shared" si="11"/>
        <v>1.1371144173375107E-2</v>
      </c>
      <c r="P61">
        <f t="shared" si="12"/>
        <v>-2.7634520903416938E-3</v>
      </c>
      <c r="V61">
        <v>-0.30000000000001997</v>
      </c>
      <c r="W61">
        <f t="shared" si="9"/>
        <v>-0.48159699999999916</v>
      </c>
    </row>
    <row r="62" spans="1:23">
      <c r="A62">
        <v>3.03</v>
      </c>
      <c r="B62">
        <v>0.69099999999999995</v>
      </c>
      <c r="C62">
        <f t="shared" si="1"/>
        <v>2.0937299999999999</v>
      </c>
      <c r="D62">
        <v>1.6E-2</v>
      </c>
      <c r="E62">
        <v>3.8158201924077539E-3</v>
      </c>
      <c r="F62">
        <f t="shared" si="2"/>
        <v>606</v>
      </c>
      <c r="G62">
        <f t="shared" si="3"/>
        <v>-0.69099999999999995</v>
      </c>
      <c r="H62">
        <f t="shared" si="4"/>
        <v>-418.74599999999998</v>
      </c>
      <c r="I62">
        <v>1</v>
      </c>
      <c r="J62">
        <f t="shared" si="5"/>
        <v>-0.50087529291282262</v>
      </c>
      <c r="K62">
        <f t="shared" si="6"/>
        <v>-0.53072515177521751</v>
      </c>
      <c r="L62">
        <v>1</v>
      </c>
      <c r="M62">
        <f t="shared" si="7"/>
        <v>0.47313814141544103</v>
      </c>
      <c r="N62">
        <f t="shared" si="13"/>
        <v>4.8479999999999995E-2</v>
      </c>
      <c r="O62">
        <f t="shared" si="11"/>
        <v>1.1561935182995494E-2</v>
      </c>
      <c r="P62">
        <f t="shared" si="12"/>
        <v>-2.4549248232190093E-3</v>
      </c>
      <c r="V62">
        <v>-0.20000000000002</v>
      </c>
      <c r="W62">
        <f t="shared" si="9"/>
        <v>-0.48580799999999918</v>
      </c>
    </row>
    <row r="63" spans="1:23">
      <c r="A63">
        <v>3.08</v>
      </c>
      <c r="B63">
        <v>0.68899999999999995</v>
      </c>
      <c r="C63">
        <f t="shared" si="1"/>
        <v>2.1221199999999998</v>
      </c>
      <c r="D63">
        <v>1.6E-2</v>
      </c>
      <c r="E63">
        <v>3.8158201924077539E-3</v>
      </c>
      <c r="F63">
        <f t="shared" si="2"/>
        <v>616</v>
      </c>
      <c r="G63">
        <f t="shared" si="3"/>
        <v>-0.68899999999999995</v>
      </c>
      <c r="H63">
        <f t="shared" si="4"/>
        <v>-424.42399999999998</v>
      </c>
      <c r="I63">
        <v>1</v>
      </c>
      <c r="J63">
        <f t="shared" si="5"/>
        <v>-0.48450831544861728</v>
      </c>
      <c r="K63">
        <f t="shared" si="6"/>
        <v>-0.53272515177521751</v>
      </c>
      <c r="L63">
        <v>1</v>
      </c>
      <c r="M63">
        <f t="shared" si="7"/>
        <v>0.47382735483645871</v>
      </c>
      <c r="N63">
        <f t="shared" si="13"/>
        <v>4.9280000000000004E-2</v>
      </c>
      <c r="O63">
        <f t="shared" si="11"/>
        <v>1.1752726192615883E-2</v>
      </c>
      <c r="P63">
        <f t="shared" si="12"/>
        <v>-2.1349292538570923E-3</v>
      </c>
      <c r="V63">
        <v>-0.10000000000002</v>
      </c>
      <c r="W63">
        <f t="shared" si="9"/>
        <v>-0.49001899999999915</v>
      </c>
    </row>
    <row r="64" spans="1:23">
      <c r="A64">
        <v>3.13</v>
      </c>
      <c r="B64">
        <v>0.68700000000000006</v>
      </c>
      <c r="C64">
        <f t="shared" si="1"/>
        <v>2.1503100000000002</v>
      </c>
      <c r="D64">
        <v>1.6E-2</v>
      </c>
      <c r="E64">
        <v>3.8158201924077539E-3</v>
      </c>
      <c r="F64">
        <f t="shared" si="2"/>
        <v>626</v>
      </c>
      <c r="G64">
        <f t="shared" si="3"/>
        <v>-0.68700000000000006</v>
      </c>
      <c r="H64">
        <f t="shared" si="4"/>
        <v>-430.06200000000001</v>
      </c>
      <c r="I64">
        <v>1</v>
      </c>
      <c r="J64">
        <f t="shared" si="5"/>
        <v>-0.46840490788203853</v>
      </c>
      <c r="K64">
        <f t="shared" si="6"/>
        <v>-0.5347251517752174</v>
      </c>
      <c r="L64">
        <v>1</v>
      </c>
      <c r="M64">
        <f t="shared" si="7"/>
        <v>0.47450546932908738</v>
      </c>
      <c r="N64">
        <f t="shared" si="13"/>
        <v>5.008E-2</v>
      </c>
      <c r="O64">
        <f t="shared" si="11"/>
        <v>1.194351720223627E-2</v>
      </c>
      <c r="P64">
        <f t="shared" si="12"/>
        <v>-1.8038347561062512E-3</v>
      </c>
      <c r="V64">
        <v>-2.0428103653102899E-14</v>
      </c>
      <c r="W64">
        <f t="shared" si="9"/>
        <v>-0.49422999999999917</v>
      </c>
    </row>
    <row r="65" spans="1:23">
      <c r="A65">
        <v>3.18</v>
      </c>
      <c r="B65">
        <v>0.68500000000000005</v>
      </c>
      <c r="C65">
        <f t="shared" si="1"/>
        <v>2.1783000000000001</v>
      </c>
      <c r="D65">
        <v>1.6E-2</v>
      </c>
      <c r="E65">
        <v>3.8158201924077539E-3</v>
      </c>
      <c r="F65">
        <f t="shared" si="2"/>
        <v>636</v>
      </c>
      <c r="G65">
        <f t="shared" si="3"/>
        <v>-0.68500000000000005</v>
      </c>
      <c r="H65">
        <f t="shared" si="4"/>
        <v>-435.66</v>
      </c>
      <c r="I65">
        <v>1</v>
      </c>
      <c r="J65">
        <f t="shared" si="5"/>
        <v>-0.45255671564201488</v>
      </c>
      <c r="K65">
        <f t="shared" si="6"/>
        <v>-0.5367251517752174</v>
      </c>
      <c r="L65">
        <v>1</v>
      </c>
      <c r="M65">
        <f t="shared" si="7"/>
        <v>0.47517283670431476</v>
      </c>
      <c r="N65">
        <f t="shared" si="13"/>
        <v>5.0880000000000002E-2</v>
      </c>
      <c r="O65">
        <f t="shared" si="11"/>
        <v>1.2134308211856659E-2</v>
      </c>
      <c r="P65">
        <f t="shared" si="12"/>
        <v>-1.4619931409540193E-3</v>
      </c>
      <c r="V65">
        <v>9.9999999999980105E-2</v>
      </c>
      <c r="W65">
        <f t="shared" si="9"/>
        <v>-0.49844099999999919</v>
      </c>
    </row>
    <row r="66" spans="1:23">
      <c r="A66">
        <v>3.23</v>
      </c>
      <c r="B66">
        <v>0.68300000000000005</v>
      </c>
      <c r="C66">
        <f t="shared" si="1"/>
        <v>2.2060900000000001</v>
      </c>
      <c r="D66">
        <v>1.6E-2</v>
      </c>
      <c r="E66">
        <v>3.8158201924077539E-3</v>
      </c>
      <c r="F66">
        <f t="shared" si="2"/>
        <v>646</v>
      </c>
      <c r="G66">
        <f t="shared" si="3"/>
        <v>-0.68300000000000005</v>
      </c>
      <c r="H66">
        <f t="shared" si="4"/>
        <v>-441.21800000000002</v>
      </c>
      <c r="I66">
        <v>1</v>
      </c>
      <c r="J66">
        <f t="shared" si="5"/>
        <v>-0.43695577519953516</v>
      </c>
      <c r="K66">
        <f t="shared" si="6"/>
        <v>-0.5387251517752174</v>
      </c>
      <c r="L66">
        <v>1</v>
      </c>
      <c r="M66">
        <f t="shared" si="7"/>
        <v>0.47582979230634759</v>
      </c>
      <c r="N66">
        <f t="shared" si="13"/>
        <v>5.1680000000000004E-2</v>
      </c>
      <c r="O66">
        <f t="shared" si="11"/>
        <v>1.2325099221477046E-2</v>
      </c>
      <c r="P66">
        <f t="shared" si="12"/>
        <v>-1.1097397526072337E-3</v>
      </c>
      <c r="V66">
        <v>0.19999999999998</v>
      </c>
      <c r="W66">
        <f t="shared" si="9"/>
        <v>-0.50265199999999921</v>
      </c>
    </row>
    <row r="67" spans="1:23">
      <c r="A67">
        <v>3.28</v>
      </c>
      <c r="B67">
        <v>0.68100000000000005</v>
      </c>
      <c r="C67">
        <f t="shared" si="1"/>
        <v>2.2336800000000001</v>
      </c>
      <c r="D67">
        <v>1.6E-2</v>
      </c>
      <c r="E67">
        <v>3.8158201924077539E-3</v>
      </c>
      <c r="F67">
        <f t="shared" si="2"/>
        <v>656</v>
      </c>
      <c r="G67">
        <f t="shared" si="3"/>
        <v>-0.68100000000000005</v>
      </c>
      <c r="H67">
        <f t="shared" si="4"/>
        <v>-446.73600000000005</v>
      </c>
      <c r="I67">
        <v>1</v>
      </c>
      <c r="J67">
        <f t="shared" si="5"/>
        <v>-0.42159449003804794</v>
      </c>
      <c r="K67">
        <f t="shared" si="6"/>
        <v>-0.54072515177521741</v>
      </c>
      <c r="L67">
        <v>1</v>
      </c>
      <c r="M67">
        <f t="shared" si="7"/>
        <v>0.47647665602449779</v>
      </c>
      <c r="N67">
        <f t="shared" si="13"/>
        <v>5.2479999999999999E-2</v>
      </c>
      <c r="O67">
        <f t="shared" si="11"/>
        <v>1.2515890231097433E-2</v>
      </c>
      <c r="P67">
        <f t="shared" si="12"/>
        <v>-7.4739448037781757E-4</v>
      </c>
      <c r="V67">
        <v>0.29999999999998</v>
      </c>
      <c r="W67">
        <f t="shared" si="9"/>
        <v>-0.50686299999999918</v>
      </c>
    </row>
    <row r="68" spans="1:23">
      <c r="A68">
        <v>3.33</v>
      </c>
      <c r="B68">
        <v>0.67900000000000005</v>
      </c>
      <c r="C68">
        <f t="shared" si="1"/>
        <v>2.2610700000000001</v>
      </c>
      <c r="D68">
        <v>1.6E-2</v>
      </c>
      <c r="E68">
        <v>3.8158201924077539E-3</v>
      </c>
      <c r="F68">
        <f t="shared" si="2"/>
        <v>666</v>
      </c>
      <c r="G68">
        <f t="shared" si="3"/>
        <v>-0.67900000000000005</v>
      </c>
      <c r="H68">
        <f t="shared" si="4"/>
        <v>-452.21400000000006</v>
      </c>
      <c r="I68">
        <v>1</v>
      </c>
      <c r="J68">
        <f t="shared" si="5"/>
        <v>-0.40646560844174784</v>
      </c>
      <c r="K68">
        <f t="shared" si="6"/>
        <v>-0.54272515177521741</v>
      </c>
      <c r="L68">
        <v>1</v>
      </c>
      <c r="M68">
        <f t="shared" si="7"/>
        <v>0.47711373322851802</v>
      </c>
      <c r="N68">
        <f t="shared" si="13"/>
        <v>5.3280000000000001E-2</v>
      </c>
      <c r="O68">
        <f t="shared" si="11"/>
        <v>1.2706681240717822E-2</v>
      </c>
      <c r="P68">
        <f t="shared" si="12"/>
        <v>-3.7526269401843768E-4</v>
      </c>
      <c r="V68">
        <v>0.39999999999997998</v>
      </c>
      <c r="W68">
        <f t="shared" si="9"/>
        <v>-0.51107399999999914</v>
      </c>
    </row>
    <row r="69" spans="1:23">
      <c r="A69">
        <v>3.38</v>
      </c>
      <c r="B69">
        <v>0.67700000000000005</v>
      </c>
      <c r="C69">
        <f t="shared" ref="C69:C132" si="14">A69*B69</f>
        <v>2.2882600000000002</v>
      </c>
      <c r="D69">
        <v>1.6E-2</v>
      </c>
      <c r="E69">
        <v>3.8158201924077539E-3</v>
      </c>
      <c r="F69">
        <f t="shared" ref="F69:F132" si="15">A69*200</f>
        <v>676</v>
      </c>
      <c r="G69">
        <f t="shared" ref="G69:G132" si="16">-B69</f>
        <v>-0.67700000000000005</v>
      </c>
      <c r="H69">
        <f t="shared" ref="H69:H132" si="17">-C69*200</f>
        <v>-457.65200000000004</v>
      </c>
      <c r="I69">
        <v>1</v>
      </c>
      <c r="J69">
        <f t="shared" ref="J69:J132" si="18">LN(F69/1000)</f>
        <v>-0.39156220293917288</v>
      </c>
      <c r="K69">
        <f t="shared" ref="K69:K132" si="19">((-G69)-$N$2)</f>
        <v>-0.54472515177521741</v>
      </c>
      <c r="L69">
        <v>1</v>
      </c>
      <c r="M69">
        <f t="shared" ref="M69:M132" si="20">-1*($S$4+($S$5*J69))</f>
        <v>0.47774131563423144</v>
      </c>
      <c r="N69">
        <f t="shared" si="13"/>
        <v>5.4079999999999996E-2</v>
      </c>
      <c r="O69">
        <f t="shared" si="11"/>
        <v>1.2897472250338209E-2</v>
      </c>
      <c r="P69">
        <f t="shared" si="12"/>
        <v>6.3638906477592183E-6</v>
      </c>
      <c r="V69">
        <v>0.49999999999998002</v>
      </c>
      <c r="W69">
        <f t="shared" ref="W69:W132" si="21">V69*$S$5+$S$4</f>
        <v>-0.5152849999999991</v>
      </c>
    </row>
    <row r="70" spans="1:23">
      <c r="A70">
        <v>3.43</v>
      </c>
      <c r="B70">
        <v>0.67500000000000004</v>
      </c>
      <c r="C70">
        <f t="shared" si="14"/>
        <v>2.3152500000000003</v>
      </c>
      <c r="D70">
        <v>1.6E-2</v>
      </c>
      <c r="E70">
        <v>3.8158201924077539E-3</v>
      </c>
      <c r="F70">
        <f t="shared" si="15"/>
        <v>686</v>
      </c>
      <c r="G70">
        <f t="shared" si="16"/>
        <v>-0.67500000000000004</v>
      </c>
      <c r="H70">
        <f t="shared" si="17"/>
        <v>-463.05000000000007</v>
      </c>
      <c r="I70">
        <v>1</v>
      </c>
      <c r="J70">
        <f t="shared" si="18"/>
        <v>-0.37687765125625172</v>
      </c>
      <c r="K70">
        <f t="shared" si="19"/>
        <v>-0.54672515177521741</v>
      </c>
      <c r="L70">
        <v>1</v>
      </c>
      <c r="M70">
        <f t="shared" si="20"/>
        <v>0.47835968210559926</v>
      </c>
      <c r="N70">
        <f t="shared" si="13"/>
        <v>5.4880000000000005E-2</v>
      </c>
      <c r="O70">
        <f t="shared" ref="O70:O133" si="22">E70*A70</f>
        <v>1.3088263259958597E-2</v>
      </c>
      <c r="P70">
        <f t="shared" ref="P70:P133" si="23">-K70-M70-N70-O70</f>
        <v>3.9720640965954825E-4</v>
      </c>
      <c r="V70">
        <v>0.59999999999997999</v>
      </c>
      <c r="W70">
        <f t="shared" si="21"/>
        <v>-0.51949599999999918</v>
      </c>
    </row>
    <row r="71" spans="1:23">
      <c r="A71">
        <v>3.48</v>
      </c>
      <c r="B71">
        <v>0.67400000000000004</v>
      </c>
      <c r="C71">
        <f t="shared" si="14"/>
        <v>2.34552</v>
      </c>
      <c r="D71">
        <v>1.6E-2</v>
      </c>
      <c r="E71">
        <v>3.8158201924077539E-3</v>
      </c>
      <c r="F71">
        <f t="shared" si="15"/>
        <v>696</v>
      </c>
      <c r="G71">
        <f t="shared" si="16"/>
        <v>-0.67400000000000004</v>
      </c>
      <c r="H71">
        <f t="shared" si="17"/>
        <v>-469.10399999999998</v>
      </c>
      <c r="I71">
        <v>1</v>
      </c>
      <c r="J71">
        <f t="shared" si="18"/>
        <v>-0.36240561864771748</v>
      </c>
      <c r="K71">
        <f t="shared" si="19"/>
        <v>-0.54772515177521741</v>
      </c>
      <c r="L71">
        <v>1</v>
      </c>
      <c r="M71">
        <f t="shared" si="20"/>
        <v>0.4789690993987446</v>
      </c>
      <c r="N71">
        <f t="shared" ref="N71:N134" si="24">D71*A71</f>
        <v>5.568E-2</v>
      </c>
      <c r="O71">
        <f t="shared" si="22"/>
        <v>1.3279054269578984E-2</v>
      </c>
      <c r="P71">
        <f t="shared" si="23"/>
        <v>-2.0300189310617535E-4</v>
      </c>
      <c r="V71">
        <v>0.69999999999997997</v>
      </c>
      <c r="W71">
        <f t="shared" si="21"/>
        <v>-0.52370699999999915</v>
      </c>
    </row>
    <row r="72" spans="1:23">
      <c r="A72">
        <v>3.54</v>
      </c>
      <c r="B72">
        <v>0.67100000000000004</v>
      </c>
      <c r="C72">
        <f t="shared" si="14"/>
        <v>2.37534</v>
      </c>
      <c r="D72">
        <v>1.6E-2</v>
      </c>
      <c r="E72">
        <v>3.8158201924077539E-3</v>
      </c>
      <c r="F72">
        <f t="shared" si="15"/>
        <v>708</v>
      </c>
      <c r="G72">
        <f t="shared" si="16"/>
        <v>-0.67100000000000004</v>
      </c>
      <c r="H72">
        <f t="shared" si="17"/>
        <v>-475.06799999999998</v>
      </c>
      <c r="I72">
        <v>1</v>
      </c>
      <c r="J72">
        <f t="shared" si="18"/>
        <v>-0.34531118528841737</v>
      </c>
      <c r="K72">
        <f t="shared" si="19"/>
        <v>-0.55072515177521741</v>
      </c>
      <c r="L72">
        <v>1</v>
      </c>
      <c r="M72">
        <f t="shared" si="20"/>
        <v>0.47968894598750472</v>
      </c>
      <c r="N72">
        <f t="shared" si="24"/>
        <v>5.6640000000000003E-2</v>
      </c>
      <c r="O72">
        <f t="shared" si="22"/>
        <v>1.3508003481123449E-2</v>
      </c>
      <c r="P72">
        <f t="shared" si="23"/>
        <v>8.882023065892395E-4</v>
      </c>
      <c r="V72">
        <v>0.79999999999997995</v>
      </c>
      <c r="W72">
        <f t="shared" si="21"/>
        <v>-0.52791799999999911</v>
      </c>
    </row>
    <row r="73" spans="1:23">
      <c r="A73">
        <v>3.59</v>
      </c>
      <c r="B73">
        <v>0.66900000000000004</v>
      </c>
      <c r="C73">
        <f t="shared" si="14"/>
        <v>2.40171</v>
      </c>
      <c r="D73">
        <v>1.6E-2</v>
      </c>
      <c r="E73">
        <v>3.8158201924077539E-3</v>
      </c>
      <c r="F73">
        <f t="shared" si="15"/>
        <v>718</v>
      </c>
      <c r="G73">
        <f t="shared" si="16"/>
        <v>-0.66900000000000004</v>
      </c>
      <c r="H73">
        <f t="shared" si="17"/>
        <v>-480.34199999999998</v>
      </c>
      <c r="I73">
        <v>1</v>
      </c>
      <c r="J73">
        <f t="shared" si="18"/>
        <v>-0.33128570993391293</v>
      </c>
      <c r="K73">
        <f t="shared" si="19"/>
        <v>-0.55272515177521742</v>
      </c>
      <c r="L73">
        <v>1</v>
      </c>
      <c r="M73">
        <f t="shared" si="20"/>
        <v>0.48027955875468292</v>
      </c>
      <c r="N73">
        <f t="shared" si="24"/>
        <v>5.7439999999999998E-2</v>
      </c>
      <c r="O73">
        <f t="shared" si="22"/>
        <v>1.3698794490743836E-2</v>
      </c>
      <c r="P73">
        <f t="shared" si="23"/>
        <v>1.3067985297906589E-3</v>
      </c>
      <c r="V73">
        <v>0.89999999999998004</v>
      </c>
      <c r="W73">
        <f t="shared" si="21"/>
        <v>-0.53212899999999919</v>
      </c>
    </row>
    <row r="74" spans="1:23">
      <c r="A74">
        <v>3.64</v>
      </c>
      <c r="B74">
        <v>0.66700000000000004</v>
      </c>
      <c r="C74">
        <f t="shared" si="14"/>
        <v>2.42788</v>
      </c>
      <c r="D74">
        <v>1.6E-2</v>
      </c>
      <c r="E74">
        <v>3.8158201924077539E-3</v>
      </c>
      <c r="F74">
        <f t="shared" si="15"/>
        <v>728</v>
      </c>
      <c r="G74">
        <f t="shared" si="16"/>
        <v>-0.66700000000000004</v>
      </c>
      <c r="H74">
        <f t="shared" si="17"/>
        <v>-485.57600000000002</v>
      </c>
      <c r="I74">
        <v>1</v>
      </c>
      <c r="J74">
        <f t="shared" si="18"/>
        <v>-0.3174542307854511</v>
      </c>
      <c r="K74">
        <f t="shared" si="19"/>
        <v>-0.55472515177521742</v>
      </c>
      <c r="L74">
        <v>1</v>
      </c>
      <c r="M74">
        <f t="shared" si="20"/>
        <v>0.48086200234162468</v>
      </c>
      <c r="N74">
        <f t="shared" si="24"/>
        <v>5.824E-2</v>
      </c>
      <c r="O74">
        <f t="shared" si="22"/>
        <v>1.3889585500364225E-2</v>
      </c>
      <c r="P74">
        <f t="shared" si="23"/>
        <v>1.7335639332285088E-3</v>
      </c>
      <c r="V74">
        <v>0.99999999999998002</v>
      </c>
      <c r="W74">
        <f t="shared" si="21"/>
        <v>-0.53633999999999915</v>
      </c>
    </row>
    <row r="75" spans="1:23">
      <c r="A75">
        <v>3.69</v>
      </c>
      <c r="B75">
        <v>0.66500000000000004</v>
      </c>
      <c r="C75">
        <f t="shared" si="14"/>
        <v>2.4538500000000001</v>
      </c>
      <c r="D75">
        <v>1.6E-2</v>
      </c>
      <c r="E75">
        <v>3.8158201924077539E-3</v>
      </c>
      <c r="F75">
        <f t="shared" si="15"/>
        <v>738</v>
      </c>
      <c r="G75">
        <f t="shared" si="16"/>
        <v>-0.66500000000000004</v>
      </c>
      <c r="H75">
        <f t="shared" si="17"/>
        <v>-490.77000000000004</v>
      </c>
      <c r="I75">
        <v>1</v>
      </c>
      <c r="J75">
        <f t="shared" si="18"/>
        <v>-0.30381145438166457</v>
      </c>
      <c r="K75">
        <f t="shared" si="19"/>
        <v>-0.55672515177521742</v>
      </c>
      <c r="L75">
        <v>1</v>
      </c>
      <c r="M75">
        <f t="shared" si="20"/>
        <v>0.48143649965598811</v>
      </c>
      <c r="N75">
        <f t="shared" si="24"/>
        <v>5.9040000000000002E-2</v>
      </c>
      <c r="O75">
        <f t="shared" si="22"/>
        <v>1.4080376509984612E-2</v>
      </c>
      <c r="P75">
        <f t="shared" si="23"/>
        <v>2.1682756092446902E-3</v>
      </c>
      <c r="V75">
        <v>1.0999999999999699</v>
      </c>
      <c r="W75">
        <f t="shared" si="21"/>
        <v>-0.54055099999999878</v>
      </c>
    </row>
    <row r="76" spans="1:23">
      <c r="A76">
        <v>3.75</v>
      </c>
      <c r="B76">
        <v>0.66300000000000003</v>
      </c>
      <c r="C76">
        <f t="shared" si="14"/>
        <v>2.4862500000000001</v>
      </c>
      <c r="D76">
        <v>1.6E-2</v>
      </c>
      <c r="E76">
        <v>3.8158201924077539E-3</v>
      </c>
      <c r="F76">
        <f t="shared" si="15"/>
        <v>750</v>
      </c>
      <c r="G76">
        <f t="shared" si="16"/>
        <v>-0.66300000000000003</v>
      </c>
      <c r="H76">
        <f t="shared" si="17"/>
        <v>-497.25</v>
      </c>
      <c r="I76">
        <v>1</v>
      </c>
      <c r="J76">
        <f t="shared" si="18"/>
        <v>-0.2876820724517809</v>
      </c>
      <c r="K76">
        <f t="shared" si="19"/>
        <v>-0.55872515177521742</v>
      </c>
      <c r="L76">
        <v>1</v>
      </c>
      <c r="M76">
        <f t="shared" si="20"/>
        <v>0.4821157079290555</v>
      </c>
      <c r="N76">
        <f t="shared" si="24"/>
        <v>0.06</v>
      </c>
      <c r="O76">
        <f t="shared" si="22"/>
        <v>1.4309325721529077E-2</v>
      </c>
      <c r="P76">
        <f t="shared" si="23"/>
        <v>2.3001181246328425E-3</v>
      </c>
      <c r="V76">
        <v>1.19999999999997</v>
      </c>
      <c r="W76">
        <f t="shared" si="21"/>
        <v>-0.54476199999999875</v>
      </c>
    </row>
    <row r="77" spans="1:23">
      <c r="A77">
        <v>3.8</v>
      </c>
      <c r="B77">
        <v>0.66100000000000003</v>
      </c>
      <c r="C77">
        <f t="shared" si="14"/>
        <v>2.5118</v>
      </c>
      <c r="D77">
        <v>1.6E-2</v>
      </c>
      <c r="E77">
        <v>3.8158201924077539E-3</v>
      </c>
      <c r="F77">
        <f t="shared" si="15"/>
        <v>760</v>
      </c>
      <c r="G77">
        <f t="shared" si="16"/>
        <v>-0.66100000000000003</v>
      </c>
      <c r="H77">
        <f t="shared" si="17"/>
        <v>-502.36</v>
      </c>
      <c r="I77">
        <v>1</v>
      </c>
      <c r="J77">
        <f t="shared" si="18"/>
        <v>-0.2744368457017603</v>
      </c>
      <c r="K77">
        <f t="shared" si="19"/>
        <v>-0.56072515177521742</v>
      </c>
      <c r="L77">
        <v>1</v>
      </c>
      <c r="M77">
        <f t="shared" si="20"/>
        <v>0.48267346442749887</v>
      </c>
      <c r="N77">
        <f t="shared" si="24"/>
        <v>6.08E-2</v>
      </c>
      <c r="O77">
        <f t="shared" si="22"/>
        <v>1.4500116731149464E-2</v>
      </c>
      <c r="P77">
        <f t="shared" si="23"/>
        <v>2.7515706165690927E-3</v>
      </c>
      <c r="V77">
        <v>1.2999999999999701</v>
      </c>
      <c r="W77">
        <f t="shared" si="21"/>
        <v>-0.54897299999999871</v>
      </c>
    </row>
    <row r="78" spans="1:23">
      <c r="A78">
        <v>3.85</v>
      </c>
      <c r="B78">
        <v>0.65900000000000003</v>
      </c>
      <c r="C78">
        <f t="shared" si="14"/>
        <v>2.53715</v>
      </c>
      <c r="D78">
        <v>1.6E-2</v>
      </c>
      <c r="E78">
        <v>3.8158201924077539E-3</v>
      </c>
      <c r="F78">
        <f t="shared" si="15"/>
        <v>770</v>
      </c>
      <c r="G78">
        <f t="shared" si="16"/>
        <v>-0.65900000000000003</v>
      </c>
      <c r="H78">
        <f t="shared" si="17"/>
        <v>-507.43</v>
      </c>
      <c r="I78">
        <v>1</v>
      </c>
      <c r="J78">
        <f t="shared" si="18"/>
        <v>-0.26136476413440751</v>
      </c>
      <c r="K78">
        <f t="shared" si="19"/>
        <v>-0.56272515177521742</v>
      </c>
      <c r="L78">
        <v>1</v>
      </c>
      <c r="M78">
        <f t="shared" si="20"/>
        <v>0.48322392978230011</v>
      </c>
      <c r="N78">
        <f t="shared" si="24"/>
        <v>6.1600000000000002E-2</v>
      </c>
      <c r="O78">
        <f t="shared" si="22"/>
        <v>1.4690907740769853E-2</v>
      </c>
      <c r="P78">
        <f t="shared" si="23"/>
        <v>3.2103142521474597E-3</v>
      </c>
      <c r="V78">
        <v>1.3999999999999699</v>
      </c>
      <c r="W78">
        <f t="shared" si="21"/>
        <v>-0.55318399999999879</v>
      </c>
    </row>
    <row r="79" spans="1:23">
      <c r="A79">
        <v>3.9</v>
      </c>
      <c r="B79">
        <v>0.65700000000000003</v>
      </c>
      <c r="C79">
        <f t="shared" si="14"/>
        <v>2.5623</v>
      </c>
      <c r="D79">
        <v>1.6E-2</v>
      </c>
      <c r="E79">
        <v>3.8158201924077539E-3</v>
      </c>
      <c r="F79">
        <f t="shared" si="15"/>
        <v>780</v>
      </c>
      <c r="G79">
        <f t="shared" si="16"/>
        <v>-0.65700000000000003</v>
      </c>
      <c r="H79">
        <f t="shared" si="17"/>
        <v>-512.46</v>
      </c>
      <c r="I79">
        <v>1</v>
      </c>
      <c r="J79">
        <f t="shared" si="18"/>
        <v>-0.24846135929849961</v>
      </c>
      <c r="K79">
        <f t="shared" si="19"/>
        <v>-0.56472515177521743</v>
      </c>
      <c r="L79">
        <v>1</v>
      </c>
      <c r="M79">
        <f t="shared" si="20"/>
        <v>0.48376729215994019</v>
      </c>
      <c r="N79">
        <f t="shared" si="24"/>
        <v>6.2399999999999997E-2</v>
      </c>
      <c r="O79">
        <f t="shared" si="22"/>
        <v>1.488169875039024E-2</v>
      </c>
      <c r="P79">
        <f t="shared" si="23"/>
        <v>3.6761608648870018E-3</v>
      </c>
      <c r="V79">
        <v>1.49999999999997</v>
      </c>
      <c r="W79">
        <f t="shared" si="21"/>
        <v>-0.55739499999999875</v>
      </c>
    </row>
    <row r="80" spans="1:23">
      <c r="A80">
        <v>3.95</v>
      </c>
      <c r="B80">
        <v>0.65600000000000003</v>
      </c>
      <c r="C80">
        <f t="shared" si="14"/>
        <v>2.5912000000000002</v>
      </c>
      <c r="D80">
        <v>1.6E-2</v>
      </c>
      <c r="E80">
        <v>3.8158201924077539E-3</v>
      </c>
      <c r="F80">
        <f t="shared" si="15"/>
        <v>790</v>
      </c>
      <c r="G80">
        <f t="shared" si="16"/>
        <v>-0.65600000000000003</v>
      </c>
      <c r="H80">
        <f t="shared" si="17"/>
        <v>-518.24</v>
      </c>
      <c r="I80">
        <v>1</v>
      </c>
      <c r="J80">
        <f t="shared" si="18"/>
        <v>-0.23572233352106983</v>
      </c>
      <c r="K80">
        <f t="shared" si="19"/>
        <v>-0.56572515177521743</v>
      </c>
      <c r="L80">
        <v>1</v>
      </c>
      <c r="M80">
        <f t="shared" si="20"/>
        <v>0.48430373253542774</v>
      </c>
      <c r="N80">
        <f t="shared" si="24"/>
        <v>6.3200000000000006E-2</v>
      </c>
      <c r="O80">
        <f t="shared" si="22"/>
        <v>1.5072489760010629E-2</v>
      </c>
      <c r="P80">
        <f t="shared" si="23"/>
        <v>3.1489294797790481E-3</v>
      </c>
      <c r="V80">
        <v>1.5999999999999699</v>
      </c>
      <c r="W80">
        <f t="shared" si="21"/>
        <v>-0.56160599999999872</v>
      </c>
    </row>
    <row r="81" spans="1:23">
      <c r="A81">
        <v>4</v>
      </c>
      <c r="B81">
        <v>0.65300000000000002</v>
      </c>
      <c r="C81">
        <f t="shared" si="14"/>
        <v>2.6120000000000001</v>
      </c>
      <c r="D81">
        <v>1.6E-2</v>
      </c>
      <c r="E81">
        <v>3.8158201924077539E-3</v>
      </c>
      <c r="F81">
        <f t="shared" si="15"/>
        <v>800</v>
      </c>
      <c r="G81">
        <f t="shared" si="16"/>
        <v>-0.65300000000000002</v>
      </c>
      <c r="H81">
        <f t="shared" si="17"/>
        <v>-522.4</v>
      </c>
      <c r="I81">
        <v>1</v>
      </c>
      <c r="J81">
        <f t="shared" si="18"/>
        <v>-0.22314355131420971</v>
      </c>
      <c r="K81">
        <f t="shared" si="19"/>
        <v>-0.56872515177521743</v>
      </c>
      <c r="L81">
        <v>1</v>
      </c>
      <c r="M81">
        <f t="shared" si="20"/>
        <v>0.48483342505415861</v>
      </c>
      <c r="N81">
        <f t="shared" si="24"/>
        <v>6.4000000000000001E-2</v>
      </c>
      <c r="O81">
        <f t="shared" si="22"/>
        <v>1.5263280769631016E-2</v>
      </c>
      <c r="P81">
        <f t="shared" si="23"/>
        <v>4.6284459514278065E-3</v>
      </c>
      <c r="V81">
        <v>1.69999999999997</v>
      </c>
      <c r="W81">
        <f t="shared" si="21"/>
        <v>-0.56581699999999868</v>
      </c>
    </row>
    <row r="82" spans="1:23">
      <c r="A82">
        <v>4.0599999999999996</v>
      </c>
      <c r="B82">
        <v>0.65200000000000002</v>
      </c>
      <c r="C82">
        <f t="shared" si="14"/>
        <v>2.6471199999999997</v>
      </c>
      <c r="D82">
        <v>1.6E-2</v>
      </c>
      <c r="E82">
        <v>3.8158201924077539E-3</v>
      </c>
      <c r="F82">
        <f t="shared" si="15"/>
        <v>811.99999999999989</v>
      </c>
      <c r="G82">
        <f t="shared" si="16"/>
        <v>-0.65200000000000002</v>
      </c>
      <c r="H82">
        <f t="shared" si="17"/>
        <v>-529.42399999999998</v>
      </c>
      <c r="I82">
        <v>1</v>
      </c>
      <c r="J82">
        <f t="shared" si="18"/>
        <v>-0.20825493882045931</v>
      </c>
      <c r="K82">
        <f t="shared" si="19"/>
        <v>-0.56972515177521743</v>
      </c>
      <c r="L82">
        <v>1</v>
      </c>
      <c r="M82">
        <f t="shared" si="20"/>
        <v>0.48546038452627044</v>
      </c>
      <c r="N82">
        <f t="shared" si="24"/>
        <v>6.495999999999999E-2</v>
      </c>
      <c r="O82">
        <f t="shared" si="22"/>
        <v>1.5492229981175479E-2</v>
      </c>
      <c r="P82">
        <f t="shared" si="23"/>
        <v>3.8125372677715232E-3</v>
      </c>
      <c r="V82">
        <v>1.7999999999999701</v>
      </c>
      <c r="W82">
        <f t="shared" si="21"/>
        <v>-0.57002799999999876</v>
      </c>
    </row>
    <row r="83" spans="1:23">
      <c r="A83">
        <v>4.1100000000000003</v>
      </c>
      <c r="B83">
        <v>0.65</v>
      </c>
      <c r="C83">
        <f t="shared" si="14"/>
        <v>2.6715000000000004</v>
      </c>
      <c r="D83">
        <v>1.6E-2</v>
      </c>
      <c r="E83">
        <v>3.8158201924077539E-3</v>
      </c>
      <c r="F83">
        <f t="shared" si="15"/>
        <v>822.00000000000011</v>
      </c>
      <c r="G83">
        <f t="shared" si="16"/>
        <v>-0.65</v>
      </c>
      <c r="H83">
        <f t="shared" si="17"/>
        <v>-534.30000000000007</v>
      </c>
      <c r="I83">
        <v>1</v>
      </c>
      <c r="J83">
        <f t="shared" si="18"/>
        <v>-0.19601488392595706</v>
      </c>
      <c r="K83">
        <f t="shared" si="19"/>
        <v>-0.57172515177521743</v>
      </c>
      <c r="L83">
        <v>1</v>
      </c>
      <c r="M83">
        <f t="shared" si="20"/>
        <v>0.48597581323787797</v>
      </c>
      <c r="N83">
        <f t="shared" si="24"/>
        <v>6.5760000000000013E-2</v>
      </c>
      <c r="O83">
        <f t="shared" si="22"/>
        <v>1.5683020990795871E-2</v>
      </c>
      <c r="P83">
        <f t="shared" si="23"/>
        <v>4.3063175465435748E-3</v>
      </c>
      <c r="V83">
        <v>1.8999999999999699</v>
      </c>
      <c r="W83">
        <f t="shared" si="21"/>
        <v>-0.57423899999999872</v>
      </c>
    </row>
    <row r="84" spans="1:23">
      <c r="A84">
        <v>4.16</v>
      </c>
      <c r="B84">
        <v>0.64800000000000002</v>
      </c>
      <c r="C84">
        <f t="shared" si="14"/>
        <v>2.6956800000000003</v>
      </c>
      <c r="D84">
        <v>1.6E-2</v>
      </c>
      <c r="E84">
        <v>3.8158201924077539E-3</v>
      </c>
      <c r="F84">
        <f t="shared" si="15"/>
        <v>832</v>
      </c>
      <c r="G84">
        <f t="shared" si="16"/>
        <v>-0.64800000000000002</v>
      </c>
      <c r="H84">
        <f t="shared" si="17"/>
        <v>-539.13600000000008</v>
      </c>
      <c r="I84">
        <v>1</v>
      </c>
      <c r="J84">
        <f t="shared" si="18"/>
        <v>-0.1839228381609285</v>
      </c>
      <c r="K84">
        <f t="shared" si="19"/>
        <v>-0.57372515177521743</v>
      </c>
      <c r="L84">
        <v>1</v>
      </c>
      <c r="M84">
        <f t="shared" si="20"/>
        <v>0.48648500928504329</v>
      </c>
      <c r="N84">
        <f t="shared" si="24"/>
        <v>6.6560000000000008E-2</v>
      </c>
      <c r="O84">
        <f t="shared" si="22"/>
        <v>1.5873812000416258E-2</v>
      </c>
      <c r="P84">
        <f t="shared" si="23"/>
        <v>4.8063304897578776E-3</v>
      </c>
      <c r="V84">
        <v>1.99999999999997</v>
      </c>
      <c r="W84">
        <f t="shared" si="21"/>
        <v>-0.5784499999999988</v>
      </c>
    </row>
    <row r="85" spans="1:23">
      <c r="A85">
        <v>4.21</v>
      </c>
      <c r="B85">
        <v>0.64600000000000002</v>
      </c>
      <c r="C85">
        <f t="shared" si="14"/>
        <v>2.7196600000000002</v>
      </c>
      <c r="D85">
        <v>1.6E-2</v>
      </c>
      <c r="E85">
        <v>3.8158201924077539E-3</v>
      </c>
      <c r="F85">
        <f t="shared" si="15"/>
        <v>842</v>
      </c>
      <c r="G85">
        <f t="shared" si="16"/>
        <v>-0.64600000000000002</v>
      </c>
      <c r="H85">
        <f t="shared" si="17"/>
        <v>-543.93200000000002</v>
      </c>
      <c r="I85">
        <v>1</v>
      </c>
      <c r="J85">
        <f t="shared" si="18"/>
        <v>-0.17197526473981037</v>
      </c>
      <c r="K85">
        <f t="shared" si="19"/>
        <v>-0.57572515177521744</v>
      </c>
      <c r="L85">
        <v>1</v>
      </c>
      <c r="M85">
        <f t="shared" si="20"/>
        <v>0.4869881216018066</v>
      </c>
      <c r="N85">
        <f t="shared" si="24"/>
        <v>6.7360000000000003E-2</v>
      </c>
      <c r="O85">
        <f t="shared" si="22"/>
        <v>1.6064603010036645E-2</v>
      </c>
      <c r="P85">
        <f t="shared" si="23"/>
        <v>5.3124271633741872E-3</v>
      </c>
      <c r="V85">
        <v>2.0999999999999699</v>
      </c>
      <c r="W85">
        <f t="shared" si="21"/>
        <v>-0.58266099999999876</v>
      </c>
    </row>
    <row r="86" spans="1:23">
      <c r="A86">
        <v>4.26</v>
      </c>
      <c r="B86">
        <v>0.64400000000000002</v>
      </c>
      <c r="C86">
        <f t="shared" si="14"/>
        <v>2.7434400000000001</v>
      </c>
      <c r="D86">
        <v>1.6E-2</v>
      </c>
      <c r="E86">
        <v>3.8158201924077539E-3</v>
      </c>
      <c r="F86">
        <f t="shared" si="15"/>
        <v>852</v>
      </c>
      <c r="G86">
        <f t="shared" si="16"/>
        <v>-0.64400000000000002</v>
      </c>
      <c r="H86">
        <f t="shared" si="17"/>
        <v>-548.68799999999999</v>
      </c>
      <c r="I86">
        <v>1</v>
      </c>
      <c r="J86">
        <f t="shared" si="18"/>
        <v>-0.16016875215282134</v>
      </c>
      <c r="K86">
        <f t="shared" si="19"/>
        <v>-0.57772515177521744</v>
      </c>
      <c r="L86">
        <v>1</v>
      </c>
      <c r="M86">
        <f t="shared" si="20"/>
        <v>0.48748529384684469</v>
      </c>
      <c r="N86">
        <f t="shared" si="24"/>
        <v>6.8159999999999998E-2</v>
      </c>
      <c r="O86">
        <f t="shared" si="22"/>
        <v>1.6255394019657032E-2</v>
      </c>
      <c r="P86">
        <f t="shared" si="23"/>
        <v>5.8244639087157157E-3</v>
      </c>
      <c r="V86">
        <v>2.19999999999997</v>
      </c>
      <c r="W86">
        <f t="shared" si="21"/>
        <v>-0.58687199999999873</v>
      </c>
    </row>
    <row r="87" spans="1:23">
      <c r="A87">
        <v>4.3099999999999996</v>
      </c>
      <c r="B87">
        <v>0.64200000000000002</v>
      </c>
      <c r="C87">
        <f t="shared" si="14"/>
        <v>2.76702</v>
      </c>
      <c r="D87">
        <v>1.6E-2</v>
      </c>
      <c r="E87">
        <v>3.8158201924077539E-3</v>
      </c>
      <c r="F87">
        <f t="shared" si="15"/>
        <v>861.99999999999989</v>
      </c>
      <c r="G87">
        <f t="shared" si="16"/>
        <v>-0.64200000000000002</v>
      </c>
      <c r="H87">
        <f t="shared" si="17"/>
        <v>-553.404</v>
      </c>
      <c r="I87">
        <v>1</v>
      </c>
      <c r="J87">
        <f t="shared" si="18"/>
        <v>-0.14850000831844409</v>
      </c>
      <c r="K87">
        <f t="shared" si="19"/>
        <v>-0.57972515177521744</v>
      </c>
      <c r="L87">
        <v>1</v>
      </c>
      <c r="M87">
        <f t="shared" si="20"/>
        <v>0.48797666464971035</v>
      </c>
      <c r="N87">
        <f t="shared" si="24"/>
        <v>6.8959999999999994E-2</v>
      </c>
      <c r="O87">
        <f t="shared" si="22"/>
        <v>1.6446185029277419E-2</v>
      </c>
      <c r="P87">
        <f t="shared" si="23"/>
        <v>6.3423020962296815E-3</v>
      </c>
      <c r="V87">
        <v>2.2999999999999701</v>
      </c>
      <c r="W87">
        <f t="shared" si="21"/>
        <v>-0.59108299999999869</v>
      </c>
    </row>
    <row r="88" spans="1:23">
      <c r="A88">
        <v>4.3600000000000003</v>
      </c>
      <c r="B88">
        <v>0.63900000000000001</v>
      </c>
      <c r="C88">
        <f t="shared" si="14"/>
        <v>2.7860400000000003</v>
      </c>
      <c r="D88">
        <v>1.6E-2</v>
      </c>
      <c r="E88">
        <v>3.8158201924077539E-3</v>
      </c>
      <c r="F88">
        <f t="shared" si="15"/>
        <v>872.00000000000011</v>
      </c>
      <c r="G88">
        <f t="shared" si="16"/>
        <v>-0.63900000000000001</v>
      </c>
      <c r="H88">
        <f t="shared" si="17"/>
        <v>-557.20800000000008</v>
      </c>
      <c r="I88">
        <v>1</v>
      </c>
      <c r="J88">
        <f t="shared" si="18"/>
        <v>-0.13696585507315731</v>
      </c>
      <c r="K88">
        <f t="shared" si="19"/>
        <v>-0.58272515177521744</v>
      </c>
      <c r="L88">
        <v>1</v>
      </c>
      <c r="M88">
        <f t="shared" si="20"/>
        <v>0.48846236784286934</v>
      </c>
      <c r="N88">
        <f t="shared" si="24"/>
        <v>6.9760000000000003E-2</v>
      </c>
      <c r="O88">
        <f t="shared" si="22"/>
        <v>1.663697603889781E-2</v>
      </c>
      <c r="P88">
        <f t="shared" si="23"/>
        <v>7.8658078934502919E-3</v>
      </c>
      <c r="V88">
        <v>2.3999999999999702</v>
      </c>
      <c r="W88">
        <f t="shared" si="21"/>
        <v>-0.59529399999999877</v>
      </c>
    </row>
    <row r="89" spans="1:23">
      <c r="A89">
        <v>4.42</v>
      </c>
      <c r="B89">
        <v>0.63700000000000001</v>
      </c>
      <c r="C89">
        <f t="shared" si="14"/>
        <v>2.8155399999999999</v>
      </c>
      <c r="D89">
        <v>1.6E-2</v>
      </c>
      <c r="E89">
        <v>3.8158201924077539E-3</v>
      </c>
      <c r="F89">
        <f t="shared" si="15"/>
        <v>884</v>
      </c>
      <c r="G89">
        <f t="shared" si="16"/>
        <v>-0.63700000000000001</v>
      </c>
      <c r="H89">
        <f t="shared" si="17"/>
        <v>-563.10799999999995</v>
      </c>
      <c r="I89">
        <v>1</v>
      </c>
      <c r="J89">
        <f t="shared" si="18"/>
        <v>-0.1232982163444936</v>
      </c>
      <c r="K89">
        <f t="shared" si="19"/>
        <v>-0.58472515177521744</v>
      </c>
      <c r="L89">
        <v>1</v>
      </c>
      <c r="M89">
        <f t="shared" si="20"/>
        <v>0.48903791210973335</v>
      </c>
      <c r="N89">
        <f t="shared" si="24"/>
        <v>7.0720000000000005E-2</v>
      </c>
      <c r="O89">
        <f t="shared" si="22"/>
        <v>1.6865925250442271E-2</v>
      </c>
      <c r="P89">
        <f t="shared" si="23"/>
        <v>8.1013144150418152E-3</v>
      </c>
      <c r="V89">
        <v>2.4999999999999698</v>
      </c>
      <c r="W89">
        <f t="shared" si="21"/>
        <v>-0.59950499999999873</v>
      </c>
    </row>
    <row r="90" spans="1:23">
      <c r="A90">
        <v>4.47</v>
      </c>
      <c r="B90">
        <v>0.63500000000000001</v>
      </c>
      <c r="C90">
        <f t="shared" si="14"/>
        <v>2.8384499999999999</v>
      </c>
      <c r="D90">
        <v>1.6E-2</v>
      </c>
      <c r="E90">
        <v>3.8158201924077539E-3</v>
      </c>
      <c r="F90">
        <f t="shared" si="15"/>
        <v>894</v>
      </c>
      <c r="G90">
        <f t="shared" si="16"/>
        <v>-0.63500000000000001</v>
      </c>
      <c r="H90">
        <f t="shared" si="17"/>
        <v>-567.68999999999994</v>
      </c>
      <c r="I90">
        <v>1</v>
      </c>
      <c r="J90">
        <f t="shared" si="18"/>
        <v>-0.11204950380862289</v>
      </c>
      <c r="K90">
        <f t="shared" si="19"/>
        <v>-0.58672515177521745</v>
      </c>
      <c r="L90">
        <v>1</v>
      </c>
      <c r="M90">
        <f t="shared" si="20"/>
        <v>0.48951159539461891</v>
      </c>
      <c r="N90">
        <f t="shared" si="24"/>
        <v>7.152E-2</v>
      </c>
      <c r="O90">
        <f t="shared" si="22"/>
        <v>1.7056716260062658E-2</v>
      </c>
      <c r="P90">
        <f t="shared" si="23"/>
        <v>8.6368401205358727E-3</v>
      </c>
      <c r="V90">
        <v>2.5999999999999699</v>
      </c>
      <c r="W90">
        <f t="shared" si="21"/>
        <v>-0.6037159999999987</v>
      </c>
    </row>
    <row r="91" spans="1:23">
      <c r="A91">
        <v>4.5199999999999996</v>
      </c>
      <c r="B91">
        <v>0.63400000000000001</v>
      </c>
      <c r="C91">
        <f t="shared" si="14"/>
        <v>2.8656799999999998</v>
      </c>
      <c r="D91">
        <v>1.6E-2</v>
      </c>
      <c r="E91">
        <v>3.8158201924077539E-3</v>
      </c>
      <c r="F91">
        <f t="shared" si="15"/>
        <v>903.99999999999989</v>
      </c>
      <c r="G91">
        <f t="shared" si="16"/>
        <v>-0.63400000000000001</v>
      </c>
      <c r="H91">
        <f t="shared" si="17"/>
        <v>-573.13599999999997</v>
      </c>
      <c r="I91">
        <v>1</v>
      </c>
      <c r="J91">
        <f t="shared" si="18"/>
        <v>-0.10092591858996065</v>
      </c>
      <c r="K91">
        <f t="shared" si="19"/>
        <v>-0.58772515177521745</v>
      </c>
      <c r="L91">
        <v>1</v>
      </c>
      <c r="M91">
        <f t="shared" si="20"/>
        <v>0.48998000956817678</v>
      </c>
      <c r="N91">
        <f t="shared" si="24"/>
        <v>7.2319999999999995E-2</v>
      </c>
      <c r="O91">
        <f t="shared" si="22"/>
        <v>1.7247507269683045E-2</v>
      </c>
      <c r="P91">
        <f t="shared" si="23"/>
        <v>8.1776349373576286E-3</v>
      </c>
      <c r="V91">
        <v>2.69999999999997</v>
      </c>
      <c r="W91">
        <f t="shared" si="21"/>
        <v>-0.60792699999999877</v>
      </c>
    </row>
    <row r="92" spans="1:23">
      <c r="A92">
        <v>4.57</v>
      </c>
      <c r="B92">
        <v>0.63200000000000001</v>
      </c>
      <c r="C92">
        <f t="shared" si="14"/>
        <v>2.8882400000000001</v>
      </c>
      <c r="D92">
        <v>1.6E-2</v>
      </c>
      <c r="E92">
        <v>3.8158201924077539E-3</v>
      </c>
      <c r="F92">
        <f t="shared" si="15"/>
        <v>914</v>
      </c>
      <c r="G92">
        <f t="shared" si="16"/>
        <v>-0.63200000000000001</v>
      </c>
      <c r="H92">
        <f t="shared" si="17"/>
        <v>-577.64800000000002</v>
      </c>
      <c r="I92">
        <v>1</v>
      </c>
      <c r="J92">
        <f t="shared" si="18"/>
        <v>-8.9924707527987008E-2</v>
      </c>
      <c r="K92">
        <f t="shared" si="19"/>
        <v>-0.58972515177521745</v>
      </c>
      <c r="L92">
        <v>1</v>
      </c>
      <c r="M92">
        <f t="shared" si="20"/>
        <v>0.49044327056599646</v>
      </c>
      <c r="N92">
        <f t="shared" si="24"/>
        <v>7.3120000000000004E-2</v>
      </c>
      <c r="O92">
        <f t="shared" si="22"/>
        <v>1.7438298279303436E-2</v>
      </c>
      <c r="P92">
        <f t="shared" si="23"/>
        <v>8.7235829299175498E-3</v>
      </c>
      <c r="V92">
        <v>2.7999999999999701</v>
      </c>
      <c r="W92">
        <f t="shared" si="21"/>
        <v>-0.61213799999999874</v>
      </c>
    </row>
    <row r="93" spans="1:23">
      <c r="A93">
        <v>4.62</v>
      </c>
      <c r="B93">
        <v>0.63</v>
      </c>
      <c r="C93">
        <f t="shared" si="14"/>
        <v>2.9106000000000001</v>
      </c>
      <c r="D93">
        <v>1.6E-2</v>
      </c>
      <c r="E93">
        <v>3.8158201924077539E-3</v>
      </c>
      <c r="F93">
        <f t="shared" si="15"/>
        <v>924</v>
      </c>
      <c r="G93">
        <f t="shared" si="16"/>
        <v>-0.63</v>
      </c>
      <c r="H93">
        <f t="shared" si="17"/>
        <v>-582.12</v>
      </c>
      <c r="I93">
        <v>1</v>
      </c>
      <c r="J93">
        <f t="shared" si="18"/>
        <v>-7.9043207340452851E-2</v>
      </c>
      <c r="K93">
        <f t="shared" si="19"/>
        <v>-0.59172515177521745</v>
      </c>
      <c r="L93">
        <v>1</v>
      </c>
      <c r="M93">
        <f t="shared" si="20"/>
        <v>0.49090149053889354</v>
      </c>
      <c r="N93">
        <f t="shared" si="24"/>
        <v>7.392E-2</v>
      </c>
      <c r="O93">
        <f t="shared" si="22"/>
        <v>1.7629089288923823E-2</v>
      </c>
      <c r="P93">
        <f t="shared" si="23"/>
        <v>9.2745719474000912E-3</v>
      </c>
      <c r="V93">
        <v>2.8999999999999702</v>
      </c>
      <c r="W93">
        <f t="shared" si="21"/>
        <v>-0.6163489999999987</v>
      </c>
    </row>
    <row r="94" spans="1:23">
      <c r="A94">
        <v>4.67</v>
      </c>
      <c r="B94">
        <v>0.628</v>
      </c>
      <c r="C94">
        <f t="shared" si="14"/>
        <v>2.93276</v>
      </c>
      <c r="D94">
        <v>1.6E-2</v>
      </c>
      <c r="E94">
        <v>3.8158201924077539E-3</v>
      </c>
      <c r="F94">
        <f t="shared" si="15"/>
        <v>934</v>
      </c>
      <c r="G94">
        <f t="shared" si="16"/>
        <v>-0.628</v>
      </c>
      <c r="H94">
        <f t="shared" si="17"/>
        <v>-586.55200000000002</v>
      </c>
      <c r="I94">
        <v>1</v>
      </c>
      <c r="J94">
        <f t="shared" si="18"/>
        <v>-6.8278840753294379E-2</v>
      </c>
      <c r="K94">
        <f t="shared" si="19"/>
        <v>-0.59372515177521745</v>
      </c>
      <c r="L94">
        <v>1</v>
      </c>
      <c r="M94">
        <f t="shared" si="20"/>
        <v>0.49135477801587879</v>
      </c>
      <c r="N94">
        <f t="shared" si="24"/>
        <v>7.4719999999999995E-2</v>
      </c>
      <c r="O94">
        <f t="shared" si="22"/>
        <v>1.781988029854421E-2</v>
      </c>
      <c r="P94">
        <f t="shared" si="23"/>
        <v>9.8304934607944573E-3</v>
      </c>
      <c r="V94">
        <v>2.9999999999999698</v>
      </c>
      <c r="W94">
        <f t="shared" si="21"/>
        <v>-0.62055999999999867</v>
      </c>
    </row>
    <row r="95" spans="1:23">
      <c r="A95">
        <v>4.72</v>
      </c>
      <c r="B95">
        <v>0.626</v>
      </c>
      <c r="C95">
        <f t="shared" si="14"/>
        <v>2.95472</v>
      </c>
      <c r="D95">
        <v>1.6E-2</v>
      </c>
      <c r="E95">
        <v>3.8158201924077539E-3</v>
      </c>
      <c r="F95">
        <f t="shared" si="15"/>
        <v>944</v>
      </c>
      <c r="G95">
        <f t="shared" si="16"/>
        <v>-0.626</v>
      </c>
      <c r="H95">
        <f t="shared" si="17"/>
        <v>-590.94399999999996</v>
      </c>
      <c r="I95">
        <v>1</v>
      </c>
      <c r="J95">
        <f t="shared" si="18"/>
        <v>-5.7629112836636416E-2</v>
      </c>
      <c r="K95">
        <f t="shared" si="19"/>
        <v>-0.59572515177521745</v>
      </c>
      <c r="L95">
        <v>1</v>
      </c>
      <c r="M95">
        <f t="shared" si="20"/>
        <v>0.49180323805844922</v>
      </c>
      <c r="N95">
        <f t="shared" si="24"/>
        <v>7.5520000000000004E-2</v>
      </c>
      <c r="O95">
        <f t="shared" si="22"/>
        <v>1.8010671308164597E-2</v>
      </c>
      <c r="P95">
        <f t="shared" si="23"/>
        <v>1.0391242408603632E-2</v>
      </c>
      <c r="V95">
        <v>3.0999999999999699</v>
      </c>
      <c r="W95">
        <f t="shared" si="21"/>
        <v>-0.62477099999999874</v>
      </c>
    </row>
    <row r="96" spans="1:23">
      <c r="A96">
        <v>4.78</v>
      </c>
      <c r="B96">
        <v>0.624</v>
      </c>
      <c r="C96">
        <f t="shared" si="14"/>
        <v>2.98272</v>
      </c>
      <c r="D96">
        <v>1.6E-2</v>
      </c>
      <c r="E96">
        <v>3.8158201924077539E-3</v>
      </c>
      <c r="F96">
        <f t="shared" si="15"/>
        <v>956</v>
      </c>
      <c r="G96">
        <f t="shared" si="16"/>
        <v>-0.624</v>
      </c>
      <c r="H96">
        <f t="shared" si="17"/>
        <v>-596.54399999999998</v>
      </c>
      <c r="I96">
        <v>1</v>
      </c>
      <c r="J96">
        <f t="shared" si="18"/>
        <v>-4.4997365930735805E-2</v>
      </c>
      <c r="K96">
        <f t="shared" si="19"/>
        <v>-0.59772515177521746</v>
      </c>
      <c r="L96">
        <v>1</v>
      </c>
      <c r="M96">
        <f t="shared" si="20"/>
        <v>0.49233516092065671</v>
      </c>
      <c r="N96">
        <f t="shared" si="24"/>
        <v>7.6480000000000006E-2</v>
      </c>
      <c r="O96">
        <f t="shared" si="22"/>
        <v>1.8239620519709066E-2</v>
      </c>
      <c r="P96">
        <f t="shared" si="23"/>
        <v>1.0670370334851673E-2</v>
      </c>
      <c r="V96">
        <v>3.19999999999997</v>
      </c>
      <c r="W96">
        <f t="shared" si="21"/>
        <v>-0.62898199999999871</v>
      </c>
    </row>
    <row r="97" spans="1:23">
      <c r="A97">
        <v>4.84</v>
      </c>
      <c r="B97">
        <v>0.621</v>
      </c>
      <c r="C97">
        <f t="shared" si="14"/>
        <v>3.0056400000000001</v>
      </c>
      <c r="D97">
        <v>1.6E-2</v>
      </c>
      <c r="E97">
        <v>3.8158201924077539E-3</v>
      </c>
      <c r="F97">
        <f t="shared" si="15"/>
        <v>968</v>
      </c>
      <c r="G97">
        <f t="shared" si="16"/>
        <v>-0.621</v>
      </c>
      <c r="H97">
        <f t="shared" si="17"/>
        <v>-601.12800000000004</v>
      </c>
      <c r="I97">
        <v>1</v>
      </c>
      <c r="J97">
        <f t="shared" si="18"/>
        <v>-3.2523191705560062E-2</v>
      </c>
      <c r="K97">
        <f t="shared" si="19"/>
        <v>-0.60072515177521746</v>
      </c>
      <c r="L97">
        <v>1</v>
      </c>
      <c r="M97">
        <f t="shared" si="20"/>
        <v>0.49286044839727888</v>
      </c>
      <c r="N97">
        <f t="shared" si="24"/>
        <v>7.7439999999999995E-2</v>
      </c>
      <c r="O97">
        <f t="shared" si="22"/>
        <v>1.8468569731253527E-2</v>
      </c>
      <c r="P97">
        <f t="shared" si="23"/>
        <v>1.1956133646685053E-2</v>
      </c>
      <c r="V97">
        <v>3.2999999999999701</v>
      </c>
      <c r="W97">
        <f t="shared" si="21"/>
        <v>-0.63319299999999878</v>
      </c>
    </row>
    <row r="98" spans="1:23">
      <c r="A98">
        <v>4.8899999999999997</v>
      </c>
      <c r="B98">
        <v>0.61899999999999999</v>
      </c>
      <c r="C98">
        <f t="shared" si="14"/>
        <v>3.02691</v>
      </c>
      <c r="D98">
        <v>1.6E-2</v>
      </c>
      <c r="E98">
        <v>3.8158201924077539E-3</v>
      </c>
      <c r="F98">
        <f t="shared" si="15"/>
        <v>977.99999999999989</v>
      </c>
      <c r="G98">
        <f t="shared" si="16"/>
        <v>-0.61899999999999999</v>
      </c>
      <c r="H98">
        <f t="shared" si="17"/>
        <v>-605.38199999999995</v>
      </c>
      <c r="I98">
        <v>1</v>
      </c>
      <c r="J98">
        <f t="shared" si="18"/>
        <v>-2.2245608947319851E-2</v>
      </c>
      <c r="K98">
        <f t="shared" si="19"/>
        <v>-0.60272515177521746</v>
      </c>
      <c r="L98">
        <v>1</v>
      </c>
      <c r="M98">
        <f t="shared" si="20"/>
        <v>0.49329323740722836</v>
      </c>
      <c r="N98">
        <f t="shared" si="24"/>
        <v>7.823999999999999E-2</v>
      </c>
      <c r="O98">
        <f t="shared" si="22"/>
        <v>1.8659360740873914E-2</v>
      </c>
      <c r="P98">
        <f t="shared" si="23"/>
        <v>1.2532553627115198E-2</v>
      </c>
      <c r="V98">
        <v>3.3999999999999702</v>
      </c>
      <c r="W98">
        <f t="shared" si="21"/>
        <v>-0.63740399999999875</v>
      </c>
    </row>
    <row r="99" spans="1:23">
      <c r="A99">
        <v>4.9400000000000004</v>
      </c>
      <c r="B99">
        <v>0.61699999999999999</v>
      </c>
      <c r="C99">
        <f t="shared" si="14"/>
        <v>3.0479800000000004</v>
      </c>
      <c r="D99">
        <v>1.6E-2</v>
      </c>
      <c r="E99">
        <v>3.8158201924077539E-3</v>
      </c>
      <c r="F99">
        <f t="shared" si="15"/>
        <v>988.00000000000011</v>
      </c>
      <c r="G99">
        <f t="shared" si="16"/>
        <v>-0.61699999999999999</v>
      </c>
      <c r="H99">
        <f t="shared" si="17"/>
        <v>-609.59600000000012</v>
      </c>
      <c r="I99">
        <v>1</v>
      </c>
      <c r="J99">
        <f t="shared" si="18"/>
        <v>-1.2072581234269136E-2</v>
      </c>
      <c r="K99">
        <f t="shared" si="19"/>
        <v>-0.60472515177521746</v>
      </c>
      <c r="L99">
        <v>1</v>
      </c>
      <c r="M99">
        <f t="shared" si="20"/>
        <v>0.49372162360422495</v>
      </c>
      <c r="N99">
        <f t="shared" si="24"/>
        <v>7.9040000000000013E-2</v>
      </c>
      <c r="O99">
        <f t="shared" si="22"/>
        <v>1.8850151750494305E-2</v>
      </c>
      <c r="P99">
        <f t="shared" si="23"/>
        <v>1.3113376420498198E-2</v>
      </c>
      <c r="V99">
        <v>3.4999999999999698</v>
      </c>
      <c r="W99">
        <f t="shared" si="21"/>
        <v>-0.64161499999999871</v>
      </c>
    </row>
    <row r="100" spans="1:23">
      <c r="A100">
        <v>4.99</v>
      </c>
      <c r="B100">
        <v>0.61499999999999999</v>
      </c>
      <c r="C100">
        <f t="shared" si="14"/>
        <v>3.0688500000000003</v>
      </c>
      <c r="D100">
        <v>1.6E-2</v>
      </c>
      <c r="E100">
        <v>3.8158201924077539E-3</v>
      </c>
      <c r="F100">
        <f t="shared" si="15"/>
        <v>998</v>
      </c>
      <c r="G100">
        <f t="shared" si="16"/>
        <v>-0.61499999999999999</v>
      </c>
      <c r="H100">
        <f t="shared" si="17"/>
        <v>-613.7700000000001</v>
      </c>
      <c r="I100">
        <v>1</v>
      </c>
      <c r="J100">
        <f t="shared" si="18"/>
        <v>-2.0020026706730793E-3</v>
      </c>
      <c r="K100">
        <f t="shared" si="19"/>
        <v>-0.60672515177521746</v>
      </c>
      <c r="L100">
        <v>1</v>
      </c>
      <c r="M100">
        <f t="shared" si="20"/>
        <v>0.49414569566753797</v>
      </c>
      <c r="N100">
        <f t="shared" si="24"/>
        <v>7.9840000000000008E-2</v>
      </c>
      <c r="O100">
        <f t="shared" si="22"/>
        <v>1.9040942760114692E-2</v>
      </c>
      <c r="P100">
        <f t="shared" si="23"/>
        <v>1.3698513347564799E-2</v>
      </c>
      <c r="V100">
        <v>3.5999999999999699</v>
      </c>
      <c r="W100">
        <f t="shared" si="21"/>
        <v>-0.64582599999999868</v>
      </c>
    </row>
    <row r="101" spans="1:23">
      <c r="A101">
        <v>5.05</v>
      </c>
      <c r="B101">
        <v>0.61299999999999999</v>
      </c>
      <c r="C101">
        <f t="shared" si="14"/>
        <v>3.09565</v>
      </c>
      <c r="D101">
        <v>1.6E-2</v>
      </c>
      <c r="E101">
        <v>3.8158201924077539E-3</v>
      </c>
      <c r="F101">
        <f t="shared" si="15"/>
        <v>1010</v>
      </c>
      <c r="G101">
        <f t="shared" si="16"/>
        <v>-0.61299999999999999</v>
      </c>
      <c r="H101">
        <f t="shared" si="17"/>
        <v>-619.13</v>
      </c>
      <c r="I101">
        <v>1</v>
      </c>
      <c r="J101">
        <f t="shared" si="18"/>
        <v>9.950330853168092E-3</v>
      </c>
      <c r="K101">
        <f t="shared" si="19"/>
        <v>-0.60872515177521747</v>
      </c>
      <c r="L101">
        <v>1</v>
      </c>
      <c r="M101">
        <f t="shared" si="20"/>
        <v>0.49464900843222692</v>
      </c>
      <c r="N101">
        <f t="shared" si="24"/>
        <v>8.0799999999999997E-2</v>
      </c>
      <c r="O101">
        <f t="shared" si="22"/>
        <v>1.9269891971659157E-2</v>
      </c>
      <c r="P101">
        <f t="shared" si="23"/>
        <v>1.400625137133139E-2</v>
      </c>
      <c r="V101">
        <v>3.69999999999997</v>
      </c>
      <c r="W101">
        <f t="shared" si="21"/>
        <v>-0.65003699999999875</v>
      </c>
    </row>
    <row r="102" spans="1:23">
      <c r="A102">
        <v>5.0999999999999996</v>
      </c>
      <c r="B102">
        <v>0.61099999999999999</v>
      </c>
      <c r="C102">
        <f t="shared" si="14"/>
        <v>3.1160999999999999</v>
      </c>
      <c r="D102">
        <v>1.6E-2</v>
      </c>
      <c r="E102">
        <v>3.8158201924077539E-3</v>
      </c>
      <c r="F102">
        <f t="shared" si="15"/>
        <v>1019.9999999999999</v>
      </c>
      <c r="G102">
        <f t="shared" si="16"/>
        <v>-0.61099999999999999</v>
      </c>
      <c r="H102">
        <f t="shared" si="17"/>
        <v>-623.22</v>
      </c>
      <c r="I102">
        <v>1</v>
      </c>
      <c r="J102">
        <f t="shared" si="18"/>
        <v>1.9802627296179511E-2</v>
      </c>
      <c r="K102">
        <f t="shared" si="19"/>
        <v>-0.61072515177521747</v>
      </c>
      <c r="L102">
        <v>1</v>
      </c>
      <c r="M102">
        <f t="shared" si="20"/>
        <v>0.4950638886354421</v>
      </c>
      <c r="N102">
        <f t="shared" si="24"/>
        <v>8.1599999999999992E-2</v>
      </c>
      <c r="O102">
        <f t="shared" si="22"/>
        <v>1.9460682981279544E-2</v>
      </c>
      <c r="P102">
        <f t="shared" si="23"/>
        <v>1.4600580158495836E-2</v>
      </c>
      <c r="V102">
        <v>3.7999999999999701</v>
      </c>
      <c r="W102">
        <f t="shared" si="21"/>
        <v>-0.65424799999999872</v>
      </c>
    </row>
    <row r="103" spans="1:23">
      <c r="A103">
        <v>5.15</v>
      </c>
      <c r="B103">
        <v>0.60899999999999999</v>
      </c>
      <c r="C103">
        <f t="shared" si="14"/>
        <v>3.1363500000000002</v>
      </c>
      <c r="D103">
        <v>1.6E-2</v>
      </c>
      <c r="E103">
        <v>3.8158201924077539E-3</v>
      </c>
      <c r="F103">
        <f t="shared" si="15"/>
        <v>1030</v>
      </c>
      <c r="G103">
        <f t="shared" si="16"/>
        <v>-0.60899999999999999</v>
      </c>
      <c r="H103">
        <f t="shared" si="17"/>
        <v>-627.27</v>
      </c>
      <c r="I103">
        <v>1</v>
      </c>
      <c r="J103">
        <f t="shared" si="18"/>
        <v>2.9558802241544429E-2</v>
      </c>
      <c r="K103">
        <f t="shared" si="19"/>
        <v>-0.61272515177521747</v>
      </c>
      <c r="L103">
        <v>1</v>
      </c>
      <c r="M103">
        <f t="shared" si="20"/>
        <v>0.49547472116239144</v>
      </c>
      <c r="N103">
        <f t="shared" si="24"/>
        <v>8.2400000000000001E-2</v>
      </c>
      <c r="O103">
        <f t="shared" si="22"/>
        <v>1.9651473990899934E-2</v>
      </c>
      <c r="P103">
        <f t="shared" si="23"/>
        <v>1.5198956621926094E-2</v>
      </c>
      <c r="V103">
        <v>3.8999999999999599</v>
      </c>
      <c r="W103">
        <f t="shared" si="21"/>
        <v>-0.65845899999999835</v>
      </c>
    </row>
    <row r="104" spans="1:23">
      <c r="A104">
        <v>5.2</v>
      </c>
      <c r="B104">
        <v>0.60699999999999998</v>
      </c>
      <c r="C104">
        <f t="shared" si="14"/>
        <v>3.1564000000000001</v>
      </c>
      <c r="D104">
        <v>1.6E-2</v>
      </c>
      <c r="E104">
        <v>3.8158201924077539E-3</v>
      </c>
      <c r="F104">
        <f t="shared" si="15"/>
        <v>1040</v>
      </c>
      <c r="G104">
        <f t="shared" si="16"/>
        <v>-0.60699999999999998</v>
      </c>
      <c r="H104">
        <f t="shared" si="17"/>
        <v>-631.28</v>
      </c>
      <c r="I104">
        <v>1</v>
      </c>
      <c r="J104">
        <f t="shared" si="18"/>
        <v>3.9220713153281329E-2</v>
      </c>
      <c r="K104">
        <f t="shared" si="19"/>
        <v>-0.61472515177521747</v>
      </c>
      <c r="L104">
        <v>1</v>
      </c>
      <c r="M104">
        <f t="shared" si="20"/>
        <v>0.49588158423088469</v>
      </c>
      <c r="N104">
        <f t="shared" si="24"/>
        <v>8.320000000000001E-2</v>
      </c>
      <c r="O104">
        <f t="shared" si="22"/>
        <v>1.9842265000520321E-2</v>
      </c>
      <c r="P104">
        <f t="shared" si="23"/>
        <v>1.5801302543812453E-2</v>
      </c>
      <c r="V104">
        <v>3.99999999999996</v>
      </c>
      <c r="W104">
        <f t="shared" si="21"/>
        <v>-0.66266999999999832</v>
      </c>
    </row>
    <row r="105" spans="1:23">
      <c r="A105">
        <v>5.25</v>
      </c>
      <c r="B105">
        <v>0.60499999999999998</v>
      </c>
      <c r="C105">
        <f t="shared" si="14"/>
        <v>3.17625</v>
      </c>
      <c r="D105">
        <v>1.6E-2</v>
      </c>
      <c r="E105">
        <v>3.8158201924077539E-3</v>
      </c>
      <c r="F105">
        <f t="shared" si="15"/>
        <v>1050</v>
      </c>
      <c r="G105">
        <f t="shared" si="16"/>
        <v>-0.60499999999999998</v>
      </c>
      <c r="H105">
        <f t="shared" si="17"/>
        <v>-635.25</v>
      </c>
      <c r="I105">
        <v>1</v>
      </c>
      <c r="J105">
        <f t="shared" si="18"/>
        <v>4.8790164169432049E-2</v>
      </c>
      <c r="K105">
        <f t="shared" si="19"/>
        <v>-0.61672515177521747</v>
      </c>
      <c r="L105">
        <v>1</v>
      </c>
      <c r="M105">
        <f t="shared" si="20"/>
        <v>0.49628455381317477</v>
      </c>
      <c r="N105">
        <f t="shared" si="24"/>
        <v>8.4000000000000005E-2</v>
      </c>
      <c r="O105">
        <f t="shared" si="22"/>
        <v>2.0033056010140708E-2</v>
      </c>
      <c r="P105">
        <f t="shared" si="23"/>
        <v>1.6407541951901992E-2</v>
      </c>
      <c r="V105">
        <v>4.0999999999999996</v>
      </c>
      <c r="W105">
        <f t="shared" si="21"/>
        <v>-0.66688100000000006</v>
      </c>
    </row>
    <row r="106" spans="1:23">
      <c r="A106">
        <v>5.31</v>
      </c>
      <c r="B106">
        <v>0.60299999999999998</v>
      </c>
      <c r="C106">
        <f t="shared" si="14"/>
        <v>3.2019299999999995</v>
      </c>
      <c r="D106">
        <v>1.6E-2</v>
      </c>
      <c r="E106">
        <v>3.8158201924077539E-3</v>
      </c>
      <c r="F106">
        <f t="shared" si="15"/>
        <v>1062</v>
      </c>
      <c r="G106">
        <f t="shared" si="16"/>
        <v>-0.60299999999999998</v>
      </c>
      <c r="H106">
        <f t="shared" si="17"/>
        <v>-640.38599999999985</v>
      </c>
      <c r="I106">
        <v>1</v>
      </c>
      <c r="J106">
        <f t="shared" si="18"/>
        <v>6.0153922819747144E-2</v>
      </c>
      <c r="K106">
        <f t="shared" si="19"/>
        <v>-0.61872515177521747</v>
      </c>
      <c r="L106">
        <v>1</v>
      </c>
      <c r="M106">
        <f t="shared" si="20"/>
        <v>0.49676308168993955</v>
      </c>
      <c r="N106">
        <f t="shared" si="24"/>
        <v>8.4959999999999994E-2</v>
      </c>
      <c r="O106">
        <f t="shared" si="22"/>
        <v>2.0262005221685173E-2</v>
      </c>
      <c r="P106">
        <f t="shared" si="23"/>
        <v>1.6740064863592762E-2</v>
      </c>
      <c r="V106">
        <v>4.2</v>
      </c>
      <c r="W106">
        <f t="shared" si="21"/>
        <v>-0.67109200000000002</v>
      </c>
    </row>
    <row r="107" spans="1:23">
      <c r="A107">
        <v>5.36</v>
      </c>
      <c r="B107">
        <v>0.60099999999999998</v>
      </c>
      <c r="C107">
        <f t="shared" si="14"/>
        <v>3.2213600000000002</v>
      </c>
      <c r="D107">
        <v>1.6E-2</v>
      </c>
      <c r="E107">
        <v>3.8158201924077539E-3</v>
      </c>
      <c r="F107">
        <f t="shared" si="15"/>
        <v>1072</v>
      </c>
      <c r="G107">
        <f t="shared" si="16"/>
        <v>-0.60099999999999998</v>
      </c>
      <c r="H107">
        <f t="shared" si="17"/>
        <v>-644.27200000000005</v>
      </c>
      <c r="I107">
        <v>1</v>
      </c>
      <c r="J107">
        <f t="shared" si="18"/>
        <v>6.9526062648610304E-2</v>
      </c>
      <c r="K107">
        <f t="shared" si="19"/>
        <v>-0.62072515177521748</v>
      </c>
      <c r="L107">
        <v>1</v>
      </c>
      <c r="M107">
        <f t="shared" si="20"/>
        <v>0.49715774249813299</v>
      </c>
      <c r="N107">
        <f t="shared" si="24"/>
        <v>8.5760000000000003E-2</v>
      </c>
      <c r="O107">
        <f t="shared" si="22"/>
        <v>2.0452796231305564E-2</v>
      </c>
      <c r="P107">
        <f t="shared" si="23"/>
        <v>1.7354613045778917E-2</v>
      </c>
      <c r="V107">
        <v>4.3</v>
      </c>
      <c r="W107">
        <f t="shared" si="21"/>
        <v>-0.67530299999999999</v>
      </c>
    </row>
    <row r="108" spans="1:23">
      <c r="A108">
        <v>5.42</v>
      </c>
      <c r="B108">
        <v>0.59799999999999998</v>
      </c>
      <c r="C108">
        <f t="shared" si="14"/>
        <v>3.2411599999999998</v>
      </c>
      <c r="D108">
        <v>1.6E-2</v>
      </c>
      <c r="E108">
        <v>3.8158201924077539E-3</v>
      </c>
      <c r="F108">
        <f t="shared" si="15"/>
        <v>1084</v>
      </c>
      <c r="G108">
        <f t="shared" si="16"/>
        <v>-0.59799999999999998</v>
      </c>
      <c r="H108">
        <f t="shared" si="17"/>
        <v>-648.23199999999997</v>
      </c>
      <c r="I108">
        <v>1</v>
      </c>
      <c r="J108">
        <f t="shared" si="18"/>
        <v>8.0657903017454541E-2</v>
      </c>
      <c r="K108">
        <f t="shared" si="19"/>
        <v>-0.62372515177521748</v>
      </c>
      <c r="L108">
        <v>1</v>
      </c>
      <c r="M108">
        <f t="shared" si="20"/>
        <v>0.49762650429606503</v>
      </c>
      <c r="N108">
        <f t="shared" si="24"/>
        <v>8.6720000000000005E-2</v>
      </c>
      <c r="O108">
        <f t="shared" si="22"/>
        <v>2.0681745442850025E-2</v>
      </c>
      <c r="P108">
        <f t="shared" si="23"/>
        <v>1.8696902036302417E-2</v>
      </c>
      <c r="V108">
        <v>4.4000000000000004</v>
      </c>
      <c r="W108">
        <f t="shared" si="21"/>
        <v>-0.67951400000000006</v>
      </c>
    </row>
    <row r="109" spans="1:23">
      <c r="A109">
        <v>5.47</v>
      </c>
      <c r="B109">
        <v>0.59599999999999997</v>
      </c>
      <c r="C109">
        <f t="shared" si="14"/>
        <v>3.2601199999999997</v>
      </c>
      <c r="D109">
        <v>1.6E-2</v>
      </c>
      <c r="E109">
        <v>3.8158201924077539E-3</v>
      </c>
      <c r="F109">
        <f t="shared" si="15"/>
        <v>1094</v>
      </c>
      <c r="G109">
        <f t="shared" si="16"/>
        <v>-0.59599999999999997</v>
      </c>
      <c r="H109">
        <f t="shared" si="17"/>
        <v>-652.02399999999989</v>
      </c>
      <c r="I109">
        <v>1</v>
      </c>
      <c r="J109">
        <f t="shared" si="18"/>
        <v>8.9840703999789537E-2</v>
      </c>
      <c r="K109">
        <f t="shared" si="19"/>
        <v>-0.62572515177521748</v>
      </c>
      <c r="L109">
        <v>1</v>
      </c>
      <c r="M109">
        <f t="shared" si="20"/>
        <v>0.49801319204543115</v>
      </c>
      <c r="N109">
        <f t="shared" si="24"/>
        <v>8.7520000000000001E-2</v>
      </c>
      <c r="O109">
        <f t="shared" si="22"/>
        <v>2.0872536452470412E-2</v>
      </c>
      <c r="P109">
        <f t="shared" si="23"/>
        <v>1.9319423277315916E-2</v>
      </c>
      <c r="V109">
        <v>4.5</v>
      </c>
      <c r="W109">
        <f t="shared" si="21"/>
        <v>-0.68372500000000003</v>
      </c>
    </row>
    <row r="110" spans="1:23">
      <c r="A110">
        <v>5.52</v>
      </c>
      <c r="B110">
        <v>0.59399999999999997</v>
      </c>
      <c r="C110">
        <f t="shared" si="14"/>
        <v>3.2788799999999996</v>
      </c>
      <c r="D110">
        <v>1.6E-2</v>
      </c>
      <c r="E110">
        <v>3.8158201924077539E-3</v>
      </c>
      <c r="F110">
        <f t="shared" si="15"/>
        <v>1104</v>
      </c>
      <c r="G110">
        <f t="shared" si="16"/>
        <v>-0.59399999999999997</v>
      </c>
      <c r="H110">
        <f t="shared" si="17"/>
        <v>-655.77599999999995</v>
      </c>
      <c r="I110">
        <v>1</v>
      </c>
      <c r="J110">
        <f t="shared" si="18"/>
        <v>9.8939947854903648E-2</v>
      </c>
      <c r="K110">
        <f t="shared" si="19"/>
        <v>-0.62772515177521748</v>
      </c>
      <c r="L110">
        <v>1</v>
      </c>
      <c r="M110">
        <f t="shared" si="20"/>
        <v>0.49839636120416997</v>
      </c>
      <c r="N110">
        <f t="shared" si="24"/>
        <v>8.8319999999999996E-2</v>
      </c>
      <c r="O110">
        <f t="shared" si="22"/>
        <v>2.1063327462090799E-2</v>
      </c>
      <c r="P110">
        <f t="shared" si="23"/>
        <v>1.9945463108956719E-2</v>
      </c>
      <c r="V110">
        <v>4.5999999999999996</v>
      </c>
      <c r="W110">
        <f t="shared" si="21"/>
        <v>-0.68793599999999999</v>
      </c>
    </row>
    <row r="111" spans="1:23">
      <c r="A111">
        <v>5.58</v>
      </c>
      <c r="B111">
        <v>0.59199999999999997</v>
      </c>
      <c r="C111">
        <f t="shared" si="14"/>
        <v>3.3033600000000001</v>
      </c>
      <c r="D111">
        <v>1.6E-2</v>
      </c>
      <c r="E111">
        <v>3.8158201924077539E-3</v>
      </c>
      <c r="F111">
        <f t="shared" si="15"/>
        <v>1116</v>
      </c>
      <c r="G111">
        <f t="shared" si="16"/>
        <v>-0.59199999999999997</v>
      </c>
      <c r="H111">
        <f t="shared" si="17"/>
        <v>-660.67200000000003</v>
      </c>
      <c r="I111">
        <v>1</v>
      </c>
      <c r="J111">
        <f t="shared" si="18"/>
        <v>0.10975086395911929</v>
      </c>
      <c r="K111">
        <f t="shared" si="19"/>
        <v>-0.62972515177521748</v>
      </c>
      <c r="L111">
        <v>1</v>
      </c>
      <c r="M111">
        <f t="shared" si="20"/>
        <v>0.49885160888131852</v>
      </c>
      <c r="N111">
        <f t="shared" si="24"/>
        <v>8.9279999999999998E-2</v>
      </c>
      <c r="O111">
        <f t="shared" si="22"/>
        <v>2.1292276673635268E-2</v>
      </c>
      <c r="P111">
        <f t="shared" si="23"/>
        <v>2.0301266220263698E-2</v>
      </c>
      <c r="V111">
        <v>4.7</v>
      </c>
      <c r="W111">
        <f t="shared" si="21"/>
        <v>-0.69214700000000007</v>
      </c>
    </row>
    <row r="112" spans="1:23">
      <c r="A112">
        <v>5.63</v>
      </c>
      <c r="B112">
        <v>0.59</v>
      </c>
      <c r="C112">
        <f t="shared" si="14"/>
        <v>3.3216999999999999</v>
      </c>
      <c r="D112">
        <v>1.6E-2</v>
      </c>
      <c r="E112">
        <v>3.8158201924077539E-3</v>
      </c>
      <c r="F112">
        <f t="shared" si="15"/>
        <v>1126</v>
      </c>
      <c r="G112">
        <f t="shared" si="16"/>
        <v>-0.59</v>
      </c>
      <c r="H112">
        <f t="shared" si="17"/>
        <v>-664.33999999999992</v>
      </c>
      <c r="I112">
        <v>1</v>
      </c>
      <c r="J112">
        <f t="shared" si="18"/>
        <v>0.11867152971749854</v>
      </c>
      <c r="K112">
        <f t="shared" si="19"/>
        <v>-0.63172515177521749</v>
      </c>
      <c r="L112">
        <v>1</v>
      </c>
      <c r="M112">
        <f t="shared" si="20"/>
        <v>0.49922725811640389</v>
      </c>
      <c r="N112">
        <f t="shared" si="24"/>
        <v>9.0079999999999993E-2</v>
      </c>
      <c r="O112">
        <f t="shared" si="22"/>
        <v>2.1483067683255655E-2</v>
      </c>
      <c r="P112">
        <f t="shared" si="23"/>
        <v>2.0934825975557944E-2</v>
      </c>
      <c r="V112">
        <v>4.8</v>
      </c>
      <c r="W112">
        <f t="shared" si="21"/>
        <v>-0.69635800000000003</v>
      </c>
    </row>
    <row r="113" spans="1:23">
      <c r="A113">
        <v>5.68</v>
      </c>
      <c r="B113">
        <v>0.58699999999999997</v>
      </c>
      <c r="C113">
        <f t="shared" si="14"/>
        <v>3.3341599999999998</v>
      </c>
      <c r="D113">
        <v>1.6E-2</v>
      </c>
      <c r="E113">
        <v>3.8158201924077539E-3</v>
      </c>
      <c r="F113">
        <f t="shared" si="15"/>
        <v>1136</v>
      </c>
      <c r="G113">
        <f t="shared" si="16"/>
        <v>-0.58699999999999997</v>
      </c>
      <c r="H113">
        <f t="shared" si="17"/>
        <v>-666.83199999999999</v>
      </c>
      <c r="I113">
        <v>1</v>
      </c>
      <c r="J113">
        <f t="shared" si="18"/>
        <v>0.12751332029895951</v>
      </c>
      <c r="K113">
        <f t="shared" si="19"/>
        <v>-0.63472515177521749</v>
      </c>
      <c r="L113">
        <v>1</v>
      </c>
      <c r="M113">
        <f t="shared" si="20"/>
        <v>0.49959958591778919</v>
      </c>
      <c r="N113">
        <f t="shared" si="24"/>
        <v>9.0880000000000002E-2</v>
      </c>
      <c r="O113">
        <f t="shared" si="22"/>
        <v>2.1673858692876042E-2</v>
      </c>
      <c r="P113">
        <f t="shared" si="23"/>
        <v>2.2571707164552254E-2</v>
      </c>
      <c r="V113">
        <v>4.9000000000000004</v>
      </c>
      <c r="W113">
        <f t="shared" si="21"/>
        <v>-0.700569</v>
      </c>
    </row>
    <row r="114" spans="1:23">
      <c r="A114">
        <v>5.73</v>
      </c>
      <c r="B114">
        <v>0.58499999999999996</v>
      </c>
      <c r="C114">
        <f t="shared" si="14"/>
        <v>3.3520500000000002</v>
      </c>
      <c r="D114">
        <v>1.6E-2</v>
      </c>
      <c r="E114">
        <v>3.8158201924077539E-3</v>
      </c>
      <c r="F114">
        <f t="shared" si="15"/>
        <v>1146</v>
      </c>
      <c r="G114">
        <f t="shared" si="16"/>
        <v>-0.58499999999999996</v>
      </c>
      <c r="H114">
        <f t="shared" si="17"/>
        <v>-670.41000000000008</v>
      </c>
      <c r="I114">
        <v>1</v>
      </c>
      <c r="J114">
        <f t="shared" si="18"/>
        <v>0.13627761829254775</v>
      </c>
      <c r="K114">
        <f t="shared" si="19"/>
        <v>-0.63672515177521749</v>
      </c>
      <c r="L114">
        <v>1</v>
      </c>
      <c r="M114">
        <f t="shared" si="20"/>
        <v>0.49996865050629918</v>
      </c>
      <c r="N114">
        <f t="shared" si="24"/>
        <v>9.1680000000000011E-2</v>
      </c>
      <c r="O114">
        <f t="shared" si="22"/>
        <v>2.1864649702496432E-2</v>
      </c>
      <c r="P114">
        <f t="shared" si="23"/>
        <v>2.3211851566421863E-2</v>
      </c>
      <c r="V114">
        <v>5</v>
      </c>
      <c r="W114">
        <f t="shared" si="21"/>
        <v>-0.70477999999999996</v>
      </c>
    </row>
    <row r="115" spans="1:23">
      <c r="A115">
        <v>5.79</v>
      </c>
      <c r="B115">
        <v>0.58299999999999996</v>
      </c>
      <c r="C115">
        <f t="shared" si="14"/>
        <v>3.3755699999999997</v>
      </c>
      <c r="D115">
        <v>1.6E-2</v>
      </c>
      <c r="E115">
        <v>3.8158201924077539E-3</v>
      </c>
      <c r="F115">
        <f t="shared" si="15"/>
        <v>1158</v>
      </c>
      <c r="G115">
        <f t="shared" si="16"/>
        <v>-0.58299999999999996</v>
      </c>
      <c r="H115">
        <f t="shared" si="17"/>
        <v>-675.11399999999992</v>
      </c>
      <c r="I115">
        <v>1</v>
      </c>
      <c r="J115">
        <f t="shared" si="18"/>
        <v>0.14669437915080344</v>
      </c>
      <c r="K115">
        <f t="shared" si="19"/>
        <v>-0.63872515177521749</v>
      </c>
      <c r="L115">
        <v>1</v>
      </c>
      <c r="M115">
        <f t="shared" si="20"/>
        <v>0.5004073003060403</v>
      </c>
      <c r="N115">
        <f t="shared" si="24"/>
        <v>9.264E-2</v>
      </c>
      <c r="O115">
        <f t="shared" si="22"/>
        <v>2.2093598914040894E-2</v>
      </c>
      <c r="P115">
        <f t="shared" si="23"/>
        <v>2.3584252555136295E-2</v>
      </c>
      <c r="V115">
        <v>5.0999999999999996</v>
      </c>
      <c r="W115">
        <f t="shared" si="21"/>
        <v>-0.70899099999999993</v>
      </c>
    </row>
    <row r="116" spans="1:23">
      <c r="A116">
        <v>5.84</v>
      </c>
      <c r="B116">
        <v>0.58099999999999996</v>
      </c>
      <c r="C116">
        <f t="shared" si="14"/>
        <v>3.3930399999999996</v>
      </c>
      <c r="D116">
        <v>1.6E-2</v>
      </c>
      <c r="E116">
        <v>3.8158201924077539E-3</v>
      </c>
      <c r="F116">
        <f t="shared" si="15"/>
        <v>1168</v>
      </c>
      <c r="G116">
        <f t="shared" si="16"/>
        <v>-0.58099999999999996</v>
      </c>
      <c r="H116">
        <f t="shared" si="17"/>
        <v>-678.60799999999995</v>
      </c>
      <c r="I116">
        <v>1</v>
      </c>
      <c r="J116">
        <f t="shared" si="18"/>
        <v>0.15529288440603525</v>
      </c>
      <c r="K116">
        <f t="shared" si="19"/>
        <v>-0.64072515177521749</v>
      </c>
      <c r="L116">
        <v>1</v>
      </c>
      <c r="M116">
        <f t="shared" si="20"/>
        <v>0.50076938336233812</v>
      </c>
      <c r="N116">
        <f t="shared" si="24"/>
        <v>9.3439999999999995E-2</v>
      </c>
      <c r="O116">
        <f t="shared" si="22"/>
        <v>2.2284389923661281E-2</v>
      </c>
      <c r="P116">
        <f t="shared" si="23"/>
        <v>2.4231378489218101E-2</v>
      </c>
      <c r="V116">
        <v>5.2</v>
      </c>
      <c r="W116">
        <f t="shared" si="21"/>
        <v>-0.713202</v>
      </c>
    </row>
    <row r="117" spans="1:23">
      <c r="A117">
        <v>5.89</v>
      </c>
      <c r="B117">
        <v>0.57899999999999996</v>
      </c>
      <c r="C117">
        <f t="shared" si="14"/>
        <v>3.4103099999999995</v>
      </c>
      <c r="D117">
        <v>1.6E-2</v>
      </c>
      <c r="E117">
        <v>3.8158201924077539E-3</v>
      </c>
      <c r="F117">
        <f t="shared" si="15"/>
        <v>1178</v>
      </c>
      <c r="G117">
        <f t="shared" si="16"/>
        <v>-0.57899999999999996</v>
      </c>
      <c r="H117">
        <f t="shared" si="17"/>
        <v>-682.0619999999999</v>
      </c>
      <c r="I117">
        <v>1</v>
      </c>
      <c r="J117">
        <f t="shared" si="18"/>
        <v>0.16381808522939492</v>
      </c>
      <c r="K117">
        <f t="shared" si="19"/>
        <v>-0.6427251517752175</v>
      </c>
      <c r="L117">
        <v>1</v>
      </c>
      <c r="M117">
        <f t="shared" si="20"/>
        <v>0.5011283795690098</v>
      </c>
      <c r="N117">
        <f t="shared" si="24"/>
        <v>9.423999999999999E-2</v>
      </c>
      <c r="O117">
        <f t="shared" si="22"/>
        <v>2.2475180933281668E-2</v>
      </c>
      <c r="P117">
        <f t="shared" si="23"/>
        <v>2.4881591272926041E-2</v>
      </c>
      <c r="V117">
        <v>5.3</v>
      </c>
      <c r="W117">
        <f t="shared" si="21"/>
        <v>-0.71741299999999997</v>
      </c>
    </row>
    <row r="118" spans="1:23">
      <c r="A118">
        <v>5.94</v>
      </c>
      <c r="B118">
        <v>0.57699999999999996</v>
      </c>
      <c r="C118">
        <f t="shared" si="14"/>
        <v>3.4273799999999999</v>
      </c>
      <c r="D118">
        <v>1.6E-2</v>
      </c>
      <c r="E118">
        <v>3.8158201924077539E-3</v>
      </c>
      <c r="F118">
        <f t="shared" si="15"/>
        <v>1188</v>
      </c>
      <c r="G118">
        <f t="shared" si="16"/>
        <v>-0.57699999999999996</v>
      </c>
      <c r="H118">
        <f t="shared" si="17"/>
        <v>-685.476</v>
      </c>
      <c r="I118">
        <v>1</v>
      </c>
      <c r="J118">
        <f t="shared" si="18"/>
        <v>0.17227122094045313</v>
      </c>
      <c r="K118">
        <f t="shared" si="19"/>
        <v>-0.6447251517752175</v>
      </c>
      <c r="L118">
        <v>1</v>
      </c>
      <c r="M118">
        <f t="shared" si="20"/>
        <v>0.50148434111380247</v>
      </c>
      <c r="N118">
        <f t="shared" si="24"/>
        <v>9.5040000000000013E-2</v>
      </c>
      <c r="O118">
        <f t="shared" si="22"/>
        <v>2.2665971942902059E-2</v>
      </c>
      <c r="P118">
        <f t="shared" si="23"/>
        <v>2.5534838718512958E-2</v>
      </c>
      <c r="V118">
        <v>5.4</v>
      </c>
      <c r="W118">
        <f t="shared" si="21"/>
        <v>-0.72162400000000004</v>
      </c>
    </row>
    <row r="119" spans="1:23">
      <c r="A119">
        <v>5.99</v>
      </c>
      <c r="B119">
        <v>0.57499999999999996</v>
      </c>
      <c r="C119">
        <f t="shared" si="14"/>
        <v>3.4442499999999998</v>
      </c>
      <c r="D119">
        <v>1.6E-2</v>
      </c>
      <c r="E119">
        <v>3.8158201924077539E-3</v>
      </c>
      <c r="F119">
        <f t="shared" si="15"/>
        <v>1198</v>
      </c>
      <c r="G119">
        <f t="shared" si="16"/>
        <v>-0.57499999999999996</v>
      </c>
      <c r="H119">
        <f t="shared" si="17"/>
        <v>-688.84999999999991</v>
      </c>
      <c r="I119">
        <v>1</v>
      </c>
      <c r="J119">
        <f t="shared" si="18"/>
        <v>0.18065349969325756</v>
      </c>
      <c r="K119">
        <f t="shared" si="19"/>
        <v>-0.6467251517752175</v>
      </c>
      <c r="L119">
        <v>1</v>
      </c>
      <c r="M119">
        <f t="shared" si="20"/>
        <v>0.50183731887208305</v>
      </c>
      <c r="N119">
        <f t="shared" si="24"/>
        <v>9.5840000000000009E-2</v>
      </c>
      <c r="O119">
        <f t="shared" si="22"/>
        <v>2.2856762952522446E-2</v>
      </c>
      <c r="P119">
        <f t="shared" si="23"/>
        <v>2.6191069950611996E-2</v>
      </c>
      <c r="V119">
        <v>5.5</v>
      </c>
      <c r="W119">
        <f t="shared" si="21"/>
        <v>-0.72583500000000001</v>
      </c>
    </row>
    <row r="120" spans="1:23">
      <c r="A120">
        <v>6.05</v>
      </c>
      <c r="B120">
        <v>0.57299999999999995</v>
      </c>
      <c r="C120">
        <f t="shared" si="14"/>
        <v>3.4666499999999996</v>
      </c>
      <c r="D120">
        <v>1.6E-2</v>
      </c>
      <c r="E120">
        <v>3.8158201924077539E-3</v>
      </c>
      <c r="F120">
        <f t="shared" si="15"/>
        <v>1210</v>
      </c>
      <c r="G120">
        <f t="shared" si="16"/>
        <v>-0.57299999999999995</v>
      </c>
      <c r="H120">
        <f t="shared" si="17"/>
        <v>-693.32999999999993</v>
      </c>
      <c r="I120">
        <v>1</v>
      </c>
      <c r="J120">
        <f t="shared" si="18"/>
        <v>0.1906203596086497</v>
      </c>
      <c r="K120">
        <f t="shared" si="19"/>
        <v>-0.6487251517752175</v>
      </c>
      <c r="L120">
        <v>1</v>
      </c>
      <c r="M120">
        <f t="shared" si="20"/>
        <v>0.50225702334312028</v>
      </c>
      <c r="N120">
        <f t="shared" si="24"/>
        <v>9.6799999999999997E-2</v>
      </c>
      <c r="O120">
        <f t="shared" si="22"/>
        <v>2.3085712164066911E-2</v>
      </c>
      <c r="P120">
        <f t="shared" si="23"/>
        <v>2.6582416268030314E-2</v>
      </c>
      <c r="V120">
        <v>5.6</v>
      </c>
      <c r="W120">
        <f t="shared" si="21"/>
        <v>-0.73004599999999997</v>
      </c>
    </row>
    <row r="121" spans="1:23">
      <c r="A121">
        <v>6.1</v>
      </c>
      <c r="B121">
        <v>0.57099999999999995</v>
      </c>
      <c r="C121">
        <f t="shared" si="14"/>
        <v>3.4830999999999994</v>
      </c>
      <c r="D121">
        <v>1.6E-2</v>
      </c>
      <c r="E121">
        <v>3.8158201924077539E-3</v>
      </c>
      <c r="F121">
        <f t="shared" si="15"/>
        <v>1220</v>
      </c>
      <c r="G121">
        <f t="shared" si="16"/>
        <v>-0.57099999999999995</v>
      </c>
      <c r="H121">
        <f t="shared" si="17"/>
        <v>-696.61999999999989</v>
      </c>
      <c r="I121">
        <v>1</v>
      </c>
      <c r="J121">
        <f t="shared" si="18"/>
        <v>0.19885085874516517</v>
      </c>
      <c r="K121">
        <f t="shared" si="19"/>
        <v>-0.6507251517752175</v>
      </c>
      <c r="L121">
        <v>1</v>
      </c>
      <c r="M121">
        <f t="shared" si="20"/>
        <v>0.50260360966175888</v>
      </c>
      <c r="N121">
        <f t="shared" si="24"/>
        <v>9.7599999999999992E-2</v>
      </c>
      <c r="O121">
        <f t="shared" si="22"/>
        <v>2.3276503173687298E-2</v>
      </c>
      <c r="P121">
        <f t="shared" si="23"/>
        <v>2.7245038939771336E-2</v>
      </c>
      <c r="V121">
        <v>5.7</v>
      </c>
      <c r="W121">
        <f t="shared" si="21"/>
        <v>-0.73425700000000005</v>
      </c>
    </row>
    <row r="122" spans="1:23">
      <c r="A122">
        <v>6.15</v>
      </c>
      <c r="B122">
        <v>0.56799999999999995</v>
      </c>
      <c r="C122">
        <f t="shared" si="14"/>
        <v>3.4931999999999999</v>
      </c>
      <c r="D122">
        <v>1.6E-2</v>
      </c>
      <c r="E122">
        <v>3.8158201924077539E-3</v>
      </c>
      <c r="F122">
        <f t="shared" si="15"/>
        <v>1230</v>
      </c>
      <c r="G122">
        <f t="shared" si="16"/>
        <v>-0.56799999999999995</v>
      </c>
      <c r="H122">
        <f t="shared" si="17"/>
        <v>-698.64</v>
      </c>
      <c r="I122">
        <v>1</v>
      </c>
      <c r="J122">
        <f t="shared" si="18"/>
        <v>0.20701416938432612</v>
      </c>
      <c r="K122">
        <f t="shared" si="19"/>
        <v>-0.65372515177521751</v>
      </c>
      <c r="L122">
        <v>1</v>
      </c>
      <c r="M122">
        <f t="shared" si="20"/>
        <v>0.50294736667277395</v>
      </c>
      <c r="N122">
        <f t="shared" si="24"/>
        <v>9.8400000000000001E-2</v>
      </c>
      <c r="O122">
        <f t="shared" si="22"/>
        <v>2.3467294183307688E-2</v>
      </c>
      <c r="P122">
        <f t="shared" si="23"/>
        <v>2.8910490919135862E-2</v>
      </c>
      <c r="V122">
        <v>5.8</v>
      </c>
      <c r="W122">
        <f t="shared" si="21"/>
        <v>-0.73846800000000001</v>
      </c>
    </row>
    <row r="123" spans="1:23">
      <c r="A123">
        <v>6.2</v>
      </c>
      <c r="B123">
        <v>0.56599999999999995</v>
      </c>
      <c r="C123">
        <f t="shared" si="14"/>
        <v>3.5091999999999999</v>
      </c>
      <c r="D123">
        <v>1.6E-2</v>
      </c>
      <c r="E123">
        <v>3.8158201924077539E-3</v>
      </c>
      <c r="F123">
        <f t="shared" si="15"/>
        <v>1240</v>
      </c>
      <c r="G123">
        <f t="shared" si="16"/>
        <v>-0.56599999999999995</v>
      </c>
      <c r="H123">
        <f t="shared" si="17"/>
        <v>-701.83999999999992</v>
      </c>
      <c r="I123">
        <v>1</v>
      </c>
      <c r="J123">
        <f t="shared" si="18"/>
        <v>0.21511137961694549</v>
      </c>
      <c r="K123">
        <f t="shared" si="19"/>
        <v>-0.65572515177521751</v>
      </c>
      <c r="L123">
        <v>1</v>
      </c>
      <c r="M123">
        <f t="shared" si="20"/>
        <v>0.50328834019566959</v>
      </c>
      <c r="N123">
        <f t="shared" si="24"/>
        <v>9.920000000000001E-2</v>
      </c>
      <c r="O123">
        <f t="shared" si="22"/>
        <v>2.3658085192928075E-2</v>
      </c>
      <c r="P123">
        <f t="shared" si="23"/>
        <v>2.957872638661983E-2</v>
      </c>
      <c r="V123">
        <v>5.9</v>
      </c>
      <c r="W123">
        <f t="shared" si="21"/>
        <v>-0.74267900000000009</v>
      </c>
    </row>
    <row r="124" spans="1:23">
      <c r="A124">
        <v>6.26</v>
      </c>
      <c r="B124">
        <v>0.56399999999999995</v>
      </c>
      <c r="C124">
        <f t="shared" si="14"/>
        <v>3.5306399999999996</v>
      </c>
      <c r="D124">
        <v>1.6E-2</v>
      </c>
      <c r="E124">
        <v>3.8158201924077539E-3</v>
      </c>
      <c r="F124">
        <f t="shared" si="15"/>
        <v>1252</v>
      </c>
      <c r="G124">
        <f t="shared" si="16"/>
        <v>-0.56399999999999995</v>
      </c>
      <c r="H124">
        <f t="shared" si="17"/>
        <v>-706.12799999999993</v>
      </c>
      <c r="I124">
        <v>1</v>
      </c>
      <c r="J124">
        <f t="shared" si="18"/>
        <v>0.22474227267790678</v>
      </c>
      <c r="K124">
        <f t="shared" si="19"/>
        <v>-0.65772515177521751</v>
      </c>
      <c r="L124">
        <v>1</v>
      </c>
      <c r="M124">
        <f t="shared" si="20"/>
        <v>0.5036938971024667</v>
      </c>
      <c r="N124">
        <f t="shared" si="24"/>
        <v>0.10016</v>
      </c>
      <c r="O124">
        <f t="shared" si="22"/>
        <v>2.388703440447254E-2</v>
      </c>
      <c r="P124">
        <f t="shared" si="23"/>
        <v>2.9984220268278267E-2</v>
      </c>
      <c r="V124">
        <v>6</v>
      </c>
      <c r="W124">
        <f t="shared" si="21"/>
        <v>-0.74689000000000005</v>
      </c>
    </row>
    <row r="125" spans="1:23">
      <c r="A125">
        <v>6.31</v>
      </c>
      <c r="B125">
        <v>0.56200000000000006</v>
      </c>
      <c r="C125">
        <f t="shared" si="14"/>
        <v>3.5462199999999999</v>
      </c>
      <c r="D125">
        <v>1.6E-2</v>
      </c>
      <c r="E125">
        <v>3.8158201924077539E-3</v>
      </c>
      <c r="F125">
        <f t="shared" si="15"/>
        <v>1262</v>
      </c>
      <c r="G125">
        <f t="shared" si="16"/>
        <v>-0.56200000000000006</v>
      </c>
      <c r="H125">
        <f t="shared" si="17"/>
        <v>-709.24400000000003</v>
      </c>
      <c r="I125">
        <v>1</v>
      </c>
      <c r="J125">
        <f t="shared" si="18"/>
        <v>0.23269776411902143</v>
      </c>
      <c r="K125">
        <f t="shared" si="19"/>
        <v>-0.6597251517752174</v>
      </c>
      <c r="L125">
        <v>1</v>
      </c>
      <c r="M125">
        <f t="shared" si="20"/>
        <v>0.50402890284705204</v>
      </c>
      <c r="N125">
        <f t="shared" si="24"/>
        <v>0.10095999999999999</v>
      </c>
      <c r="O125">
        <f t="shared" si="22"/>
        <v>2.4077825414092927E-2</v>
      </c>
      <c r="P125">
        <f t="shared" si="23"/>
        <v>3.0658423514072438E-2</v>
      </c>
      <c r="V125">
        <v>6.1</v>
      </c>
      <c r="W125">
        <f t="shared" si="21"/>
        <v>-0.75110100000000002</v>
      </c>
    </row>
    <row r="126" spans="1:23">
      <c r="A126">
        <v>6.36</v>
      </c>
      <c r="B126">
        <v>0.56000000000000005</v>
      </c>
      <c r="C126">
        <f t="shared" si="14"/>
        <v>3.5616000000000003</v>
      </c>
      <c r="D126">
        <v>1.6E-2</v>
      </c>
      <c r="E126">
        <v>3.8158201924077539E-3</v>
      </c>
      <c r="F126">
        <f t="shared" si="15"/>
        <v>1272</v>
      </c>
      <c r="G126">
        <f t="shared" si="16"/>
        <v>-0.56000000000000005</v>
      </c>
      <c r="H126">
        <f t="shared" si="17"/>
        <v>-712.32</v>
      </c>
      <c r="I126">
        <v>1</v>
      </c>
      <c r="J126">
        <f t="shared" si="18"/>
        <v>0.24059046491793043</v>
      </c>
      <c r="K126">
        <f t="shared" si="19"/>
        <v>-0.6617251517752174</v>
      </c>
      <c r="L126">
        <v>1</v>
      </c>
      <c r="M126">
        <f t="shared" si="20"/>
        <v>0.50436126447769403</v>
      </c>
      <c r="N126">
        <f t="shared" si="24"/>
        <v>0.10176</v>
      </c>
      <c r="O126">
        <f t="shared" si="22"/>
        <v>2.4268616423713318E-2</v>
      </c>
      <c r="P126">
        <f t="shared" si="23"/>
        <v>3.133527087381005E-2</v>
      </c>
      <c r="V126">
        <v>6.2</v>
      </c>
      <c r="W126">
        <f t="shared" si="21"/>
        <v>-0.75531199999999998</v>
      </c>
    </row>
    <row r="127" spans="1:23">
      <c r="A127">
        <v>6.41</v>
      </c>
      <c r="B127">
        <v>0.55800000000000005</v>
      </c>
      <c r="C127">
        <f t="shared" si="14"/>
        <v>3.5767800000000003</v>
      </c>
      <c r="D127">
        <v>1.6E-2</v>
      </c>
      <c r="E127">
        <v>3.8158201924077539E-3</v>
      </c>
      <c r="F127">
        <f t="shared" si="15"/>
        <v>1282</v>
      </c>
      <c r="G127">
        <f t="shared" si="16"/>
        <v>-0.55800000000000005</v>
      </c>
      <c r="H127">
        <f t="shared" si="17"/>
        <v>-715.35600000000011</v>
      </c>
      <c r="I127">
        <v>1</v>
      </c>
      <c r="J127">
        <f t="shared" si="18"/>
        <v>0.24842135849847832</v>
      </c>
      <c r="K127">
        <f t="shared" si="19"/>
        <v>-0.6637251517752174</v>
      </c>
      <c r="L127">
        <v>1</v>
      </c>
      <c r="M127">
        <f t="shared" si="20"/>
        <v>0.50469102340637095</v>
      </c>
      <c r="N127">
        <f t="shared" si="24"/>
        <v>0.10256</v>
      </c>
      <c r="O127">
        <f t="shared" si="22"/>
        <v>2.4459407433333705E-2</v>
      </c>
      <c r="P127">
        <f t="shared" si="23"/>
        <v>3.2014720935512747E-2</v>
      </c>
      <c r="V127">
        <v>6.3</v>
      </c>
      <c r="W127">
        <f t="shared" si="21"/>
        <v>-0.75952299999999995</v>
      </c>
    </row>
    <row r="128" spans="1:23">
      <c r="A128">
        <v>6.47</v>
      </c>
      <c r="B128">
        <v>0.55600000000000005</v>
      </c>
      <c r="C128">
        <f t="shared" si="14"/>
        <v>3.5973200000000003</v>
      </c>
      <c r="D128">
        <v>1.6E-2</v>
      </c>
      <c r="E128">
        <v>3.8158201924077539E-3</v>
      </c>
      <c r="F128">
        <f t="shared" si="15"/>
        <v>1294</v>
      </c>
      <c r="G128">
        <f t="shared" si="16"/>
        <v>-0.55600000000000005</v>
      </c>
      <c r="H128">
        <f t="shared" si="17"/>
        <v>-719.46400000000006</v>
      </c>
      <c r="I128">
        <v>1</v>
      </c>
      <c r="J128">
        <f t="shared" si="18"/>
        <v>0.25773819607870885</v>
      </c>
      <c r="K128">
        <f t="shared" si="19"/>
        <v>-0.66572515177521741</v>
      </c>
      <c r="L128">
        <v>1</v>
      </c>
      <c r="M128">
        <f t="shared" si="20"/>
        <v>0.50508335543687444</v>
      </c>
      <c r="N128">
        <f t="shared" si="24"/>
        <v>0.10352</v>
      </c>
      <c r="O128">
        <f t="shared" si="22"/>
        <v>2.4688356644878166E-2</v>
      </c>
      <c r="P128">
        <f t="shared" si="23"/>
        <v>3.2433439693464801E-2</v>
      </c>
      <c r="V128">
        <v>6.4</v>
      </c>
      <c r="W128">
        <f t="shared" si="21"/>
        <v>-0.76373400000000002</v>
      </c>
    </row>
    <row r="129" spans="1:23">
      <c r="A129">
        <v>6.52</v>
      </c>
      <c r="B129">
        <v>0.55300000000000005</v>
      </c>
      <c r="C129">
        <f t="shared" si="14"/>
        <v>3.6055600000000001</v>
      </c>
      <c r="D129">
        <v>1.6E-2</v>
      </c>
      <c r="E129">
        <v>3.8158201924077539E-3</v>
      </c>
      <c r="F129">
        <f t="shared" si="15"/>
        <v>1304</v>
      </c>
      <c r="G129">
        <f t="shared" si="16"/>
        <v>-0.55300000000000005</v>
      </c>
      <c r="H129">
        <f t="shared" si="17"/>
        <v>-721.11199999999997</v>
      </c>
      <c r="I129">
        <v>1</v>
      </c>
      <c r="J129">
        <f t="shared" si="18"/>
        <v>0.26543646350446126</v>
      </c>
      <c r="K129">
        <f t="shared" si="19"/>
        <v>-0.66872515177521741</v>
      </c>
      <c r="L129">
        <v>1</v>
      </c>
      <c r="M129">
        <f t="shared" si="20"/>
        <v>0.50540752947817291</v>
      </c>
      <c r="N129">
        <f t="shared" si="24"/>
        <v>0.10432</v>
      </c>
      <c r="O129">
        <f t="shared" si="22"/>
        <v>2.4879147654498553E-2</v>
      </c>
      <c r="P129">
        <f t="shared" si="23"/>
        <v>3.4118474642545943E-2</v>
      </c>
      <c r="V129">
        <v>6.5</v>
      </c>
      <c r="W129">
        <f t="shared" si="21"/>
        <v>-0.76794499999999999</v>
      </c>
    </row>
    <row r="130" spans="1:23">
      <c r="A130">
        <v>6.57</v>
      </c>
      <c r="B130">
        <v>0.55100000000000005</v>
      </c>
      <c r="C130">
        <f t="shared" si="14"/>
        <v>3.6200700000000006</v>
      </c>
      <c r="D130">
        <v>1.6E-2</v>
      </c>
      <c r="E130">
        <v>3.8158201924077539E-3</v>
      </c>
      <c r="F130">
        <f t="shared" si="15"/>
        <v>1314</v>
      </c>
      <c r="G130">
        <f t="shared" si="16"/>
        <v>-0.55100000000000005</v>
      </c>
      <c r="H130">
        <f t="shared" si="17"/>
        <v>-724.01400000000012</v>
      </c>
      <c r="I130">
        <v>1</v>
      </c>
      <c r="J130">
        <f t="shared" si="18"/>
        <v>0.27307592006241882</v>
      </c>
      <c r="K130">
        <f t="shared" si="19"/>
        <v>-0.67072515177521741</v>
      </c>
      <c r="L130">
        <v>1</v>
      </c>
      <c r="M130">
        <f t="shared" si="20"/>
        <v>0.5057292269938285</v>
      </c>
      <c r="N130">
        <f t="shared" si="24"/>
        <v>0.10512000000000001</v>
      </c>
      <c r="O130">
        <f t="shared" si="22"/>
        <v>2.5069938664118944E-2</v>
      </c>
      <c r="P130">
        <f t="shared" si="23"/>
        <v>3.4805986117269969E-2</v>
      </c>
      <c r="V130">
        <v>6.6</v>
      </c>
      <c r="W130">
        <f t="shared" si="21"/>
        <v>-0.77215600000000006</v>
      </c>
    </row>
    <row r="131" spans="1:23">
      <c r="A131">
        <v>6.62</v>
      </c>
      <c r="B131">
        <v>0.54900000000000004</v>
      </c>
      <c r="C131">
        <f t="shared" si="14"/>
        <v>3.6343800000000002</v>
      </c>
      <c r="D131">
        <v>1.6E-2</v>
      </c>
      <c r="E131">
        <v>3.8158201924077539E-3</v>
      </c>
      <c r="F131">
        <f t="shared" si="15"/>
        <v>1324</v>
      </c>
      <c r="G131">
        <f t="shared" si="16"/>
        <v>-0.54900000000000004</v>
      </c>
      <c r="H131">
        <f t="shared" si="17"/>
        <v>-726.87599999999998</v>
      </c>
      <c r="I131">
        <v>1</v>
      </c>
      <c r="J131">
        <f t="shared" si="18"/>
        <v>0.28065745751481652</v>
      </c>
      <c r="K131">
        <f t="shared" si="19"/>
        <v>-0.67272515177521741</v>
      </c>
      <c r="L131">
        <v>1</v>
      </c>
      <c r="M131">
        <f t="shared" si="20"/>
        <v>0.50604848553594894</v>
      </c>
      <c r="N131">
        <f t="shared" si="24"/>
        <v>0.10592</v>
      </c>
      <c r="O131">
        <f t="shared" si="22"/>
        <v>2.5260729673739331E-2</v>
      </c>
      <c r="P131">
        <f t="shared" si="23"/>
        <v>3.5495936565529136E-2</v>
      </c>
      <c r="V131">
        <v>6.7</v>
      </c>
      <c r="W131">
        <f t="shared" si="21"/>
        <v>-0.77636700000000003</v>
      </c>
    </row>
    <row r="132" spans="1:23">
      <c r="A132">
        <v>6.67</v>
      </c>
      <c r="B132">
        <v>0.54700000000000004</v>
      </c>
      <c r="C132">
        <f t="shared" si="14"/>
        <v>3.6484900000000002</v>
      </c>
      <c r="D132">
        <v>1.6E-2</v>
      </c>
      <c r="E132">
        <v>3.8158201924077539E-3</v>
      </c>
      <c r="F132">
        <f t="shared" si="15"/>
        <v>1334</v>
      </c>
      <c r="G132">
        <f t="shared" si="16"/>
        <v>-0.54700000000000004</v>
      </c>
      <c r="H132">
        <f t="shared" si="17"/>
        <v>-729.69800000000009</v>
      </c>
      <c r="I132">
        <v>1</v>
      </c>
      <c r="J132">
        <f t="shared" si="18"/>
        <v>0.28818194749343201</v>
      </c>
      <c r="K132">
        <f t="shared" si="19"/>
        <v>-0.67472515177521741</v>
      </c>
      <c r="L132">
        <v>1</v>
      </c>
      <c r="M132">
        <f t="shared" si="20"/>
        <v>0.50636534180894843</v>
      </c>
      <c r="N132">
        <f t="shared" si="24"/>
        <v>0.10672</v>
      </c>
      <c r="O132">
        <f t="shared" si="22"/>
        <v>2.5451520683359718E-2</v>
      </c>
      <c r="P132">
        <f t="shared" si="23"/>
        <v>3.6188289282909264E-2</v>
      </c>
      <c r="V132">
        <v>6.8</v>
      </c>
      <c r="W132">
        <f t="shared" si="21"/>
        <v>-0.78057799999999999</v>
      </c>
    </row>
    <row r="133" spans="1:23">
      <c r="A133">
        <v>6.72</v>
      </c>
      <c r="B133">
        <v>0.54500000000000004</v>
      </c>
      <c r="C133">
        <f t="shared" ref="C133:C196" si="25">A133*B133</f>
        <v>3.6624000000000003</v>
      </c>
      <c r="D133">
        <v>1.6E-2</v>
      </c>
      <c r="E133">
        <v>3.8158201924077539E-3</v>
      </c>
      <c r="F133">
        <f t="shared" ref="F133:F196" si="26">A133*200</f>
        <v>1344</v>
      </c>
      <c r="G133">
        <f t="shared" ref="G133:G144" si="27">-B133</f>
        <v>-0.54500000000000004</v>
      </c>
      <c r="H133">
        <f t="shared" ref="H133:H196" si="28">-C133*200</f>
        <v>-732.48</v>
      </c>
      <c r="I133">
        <v>1</v>
      </c>
      <c r="J133">
        <f t="shared" ref="J133:J196" si="29">LN(F133/1000)</f>
        <v>0.29565024210095786</v>
      </c>
      <c r="K133">
        <f t="shared" ref="K133:K187" si="30">((-G133)-$N$2)</f>
        <v>-0.67672515177521742</v>
      </c>
      <c r="L133">
        <v>1</v>
      </c>
      <c r="M133">
        <f t="shared" ref="M133:M196" si="31">-1*($S$4+($S$5*J133))</f>
        <v>0.5066798316948713</v>
      </c>
      <c r="N133">
        <f t="shared" si="24"/>
        <v>0.10752</v>
      </c>
      <c r="O133">
        <f t="shared" si="22"/>
        <v>2.5642311692980105E-2</v>
      </c>
      <c r="P133">
        <f t="shared" si="23"/>
        <v>3.6883008387366009E-2</v>
      </c>
      <c r="V133">
        <v>6.9</v>
      </c>
      <c r="W133">
        <f t="shared" ref="W133:W139" si="32">V133*$S$5+$S$4</f>
        <v>-0.78478899999999996</v>
      </c>
    </row>
    <row r="134" spans="1:23">
      <c r="A134">
        <v>6.77</v>
      </c>
      <c r="B134">
        <v>0.54300000000000004</v>
      </c>
      <c r="C134">
        <f t="shared" si="25"/>
        <v>3.67611</v>
      </c>
      <c r="D134">
        <v>1.6E-2</v>
      </c>
      <c r="E134">
        <v>3.8158201924077539E-3</v>
      </c>
      <c r="F134">
        <f t="shared" si="26"/>
        <v>1354</v>
      </c>
      <c r="G134">
        <f t="shared" si="27"/>
        <v>-0.54300000000000004</v>
      </c>
      <c r="H134">
        <f t="shared" si="28"/>
        <v>-735.22199999999998</v>
      </c>
      <c r="I134">
        <v>1</v>
      </c>
      <c r="J134">
        <f t="shared" si="29"/>
        <v>0.3030631744900833</v>
      </c>
      <c r="K134">
        <f t="shared" si="30"/>
        <v>-0.67872515177521742</v>
      </c>
      <c r="L134">
        <v>1</v>
      </c>
      <c r="M134">
        <f t="shared" si="31"/>
        <v>0.50699199027777742</v>
      </c>
      <c r="N134">
        <f t="shared" si="24"/>
        <v>0.10832</v>
      </c>
      <c r="O134">
        <f t="shared" ref="O134:O144" si="33">E134*A134</f>
        <v>2.5833102702600492E-2</v>
      </c>
      <c r="P134">
        <f t="shared" ref="P134:P144" si="34">-K134-M134-N134-O134</f>
        <v>3.7580058794839513E-2</v>
      </c>
      <c r="V134">
        <v>7</v>
      </c>
      <c r="W134">
        <f t="shared" si="32"/>
        <v>-0.78900000000000003</v>
      </c>
    </row>
    <row r="135" spans="1:23">
      <c r="A135">
        <v>6.82</v>
      </c>
      <c r="B135">
        <v>0.54100000000000004</v>
      </c>
      <c r="C135">
        <f t="shared" si="25"/>
        <v>3.6896200000000006</v>
      </c>
      <c r="D135">
        <v>1.6E-2</v>
      </c>
      <c r="E135">
        <v>3.8158201924077539E-3</v>
      </c>
      <c r="F135">
        <f t="shared" si="26"/>
        <v>1364</v>
      </c>
      <c r="G135">
        <f t="shared" si="27"/>
        <v>-0.54100000000000004</v>
      </c>
      <c r="H135">
        <f t="shared" si="28"/>
        <v>-737.92400000000009</v>
      </c>
      <c r="I135">
        <v>1</v>
      </c>
      <c r="J135">
        <f t="shared" si="29"/>
        <v>0.31042155942127042</v>
      </c>
      <c r="K135">
        <f t="shared" si="30"/>
        <v>-0.68072515177521742</v>
      </c>
      <c r="L135">
        <v>1</v>
      </c>
      <c r="M135">
        <f t="shared" si="31"/>
        <v>0.50730185186722965</v>
      </c>
      <c r="N135">
        <f t="shared" ref="N135:N144" si="35">D135*A135</f>
        <v>0.10912000000000001</v>
      </c>
      <c r="O135">
        <f t="shared" si="33"/>
        <v>2.6023893712220882E-2</v>
      </c>
      <c r="P135">
        <f t="shared" si="34"/>
        <v>3.8279406195766877E-2</v>
      </c>
      <c r="V135">
        <v>7.1</v>
      </c>
      <c r="W135">
        <f t="shared" si="32"/>
        <v>-0.793211</v>
      </c>
    </row>
    <row r="136" spans="1:23">
      <c r="A136">
        <v>6.87</v>
      </c>
      <c r="B136">
        <v>0.53900000000000003</v>
      </c>
      <c r="C136">
        <f t="shared" si="25"/>
        <v>3.7029300000000003</v>
      </c>
      <c r="D136">
        <v>1.6E-2</v>
      </c>
      <c r="E136">
        <v>3.8158201924077539E-3</v>
      </c>
      <c r="F136">
        <f t="shared" si="26"/>
        <v>1374</v>
      </c>
      <c r="G136">
        <f t="shared" si="27"/>
        <v>-0.53900000000000003</v>
      </c>
      <c r="H136">
        <f t="shared" si="28"/>
        <v>-740.58600000000001</v>
      </c>
      <c r="I136">
        <v>1</v>
      </c>
      <c r="J136">
        <f t="shared" si="29"/>
        <v>0.31772619380015765</v>
      </c>
      <c r="K136">
        <f t="shared" si="30"/>
        <v>-0.68272515177521742</v>
      </c>
      <c r="L136">
        <v>1</v>
      </c>
      <c r="M136">
        <f t="shared" si="31"/>
        <v>0.50760945002092461</v>
      </c>
      <c r="N136">
        <f t="shared" si="35"/>
        <v>0.10992</v>
      </c>
      <c r="O136">
        <f t="shared" si="33"/>
        <v>2.6214684721841269E-2</v>
      </c>
      <c r="P136">
        <f t="shared" si="34"/>
        <v>3.8981017032451534E-2</v>
      </c>
      <c r="V136">
        <v>7.2</v>
      </c>
      <c r="W136">
        <f t="shared" si="32"/>
        <v>-0.79742200000000008</v>
      </c>
    </row>
    <row r="137" spans="1:23">
      <c r="A137">
        <v>6.93</v>
      </c>
      <c r="B137">
        <v>0.53600000000000003</v>
      </c>
      <c r="C137">
        <f t="shared" si="25"/>
        <v>3.71448</v>
      </c>
      <c r="D137">
        <v>1.6E-2</v>
      </c>
      <c r="E137">
        <v>3.8158201924077539E-3</v>
      </c>
      <c r="F137">
        <f t="shared" si="26"/>
        <v>1386</v>
      </c>
      <c r="G137">
        <f t="shared" si="27"/>
        <v>-0.53600000000000003</v>
      </c>
      <c r="H137">
        <f t="shared" si="28"/>
        <v>-742.89599999999996</v>
      </c>
      <c r="I137">
        <v>1</v>
      </c>
      <c r="J137">
        <f t="shared" si="29"/>
        <v>0.32642190076771144</v>
      </c>
      <c r="K137">
        <f t="shared" si="30"/>
        <v>-0.68572515177521742</v>
      </c>
      <c r="L137">
        <v>1</v>
      </c>
      <c r="M137">
        <f t="shared" si="31"/>
        <v>0.5079756262413283</v>
      </c>
      <c r="N137">
        <f t="shared" si="35"/>
        <v>0.11087999999999999</v>
      </c>
      <c r="O137">
        <f t="shared" si="33"/>
        <v>2.6443633933385734E-2</v>
      </c>
      <c r="P137">
        <f t="shared" si="34"/>
        <v>4.0425891600503389E-2</v>
      </c>
      <c r="V137">
        <v>7.3</v>
      </c>
      <c r="W137">
        <f t="shared" si="32"/>
        <v>-0.80163300000000004</v>
      </c>
    </row>
    <row r="138" spans="1:23">
      <c r="A138">
        <v>6.98</v>
      </c>
      <c r="B138">
        <v>0.53400000000000003</v>
      </c>
      <c r="C138">
        <f t="shared" si="25"/>
        <v>3.7273200000000006</v>
      </c>
      <c r="D138">
        <v>1.6E-2</v>
      </c>
      <c r="E138">
        <v>3.8158201924077539E-3</v>
      </c>
      <c r="F138">
        <f t="shared" si="26"/>
        <v>1396</v>
      </c>
      <c r="G138">
        <f t="shared" si="27"/>
        <v>-0.53400000000000003</v>
      </c>
      <c r="H138">
        <f t="shared" si="28"/>
        <v>-745.46400000000017</v>
      </c>
      <c r="I138">
        <v>1</v>
      </c>
      <c r="J138">
        <f t="shared" si="29"/>
        <v>0.33361100434018065</v>
      </c>
      <c r="K138">
        <f t="shared" si="30"/>
        <v>-0.68772515177521742</v>
      </c>
      <c r="L138">
        <v>1</v>
      </c>
      <c r="M138">
        <f t="shared" si="31"/>
        <v>0.508278359392765</v>
      </c>
      <c r="N138">
        <f t="shared" si="35"/>
        <v>0.11168000000000002</v>
      </c>
      <c r="O138">
        <f t="shared" si="33"/>
        <v>2.6634424943006125E-2</v>
      </c>
      <c r="P138">
        <f t="shared" si="34"/>
        <v>4.1132367439446288E-2</v>
      </c>
      <c r="V138">
        <v>7.4</v>
      </c>
      <c r="W138">
        <f t="shared" si="32"/>
        <v>-0.805844</v>
      </c>
    </row>
    <row r="139" spans="1:23">
      <c r="A139">
        <v>7.03</v>
      </c>
      <c r="B139">
        <v>0.53200000000000003</v>
      </c>
      <c r="C139">
        <f t="shared" si="25"/>
        <v>3.7399600000000004</v>
      </c>
      <c r="D139">
        <v>1.6E-2</v>
      </c>
      <c r="E139">
        <v>3.8158201924077539E-3</v>
      </c>
      <c r="F139">
        <f t="shared" si="26"/>
        <v>1406</v>
      </c>
      <c r="G139">
        <f t="shared" si="27"/>
        <v>-0.53200000000000003</v>
      </c>
      <c r="H139">
        <f t="shared" si="28"/>
        <v>-747.99200000000008</v>
      </c>
      <c r="I139">
        <v>1</v>
      </c>
      <c r="J139">
        <f t="shared" si="29"/>
        <v>0.34074879338847308</v>
      </c>
      <c r="K139">
        <f t="shared" si="30"/>
        <v>-0.68972515177521743</v>
      </c>
      <c r="L139">
        <v>1</v>
      </c>
      <c r="M139">
        <f t="shared" si="31"/>
        <v>0.50857893168958856</v>
      </c>
      <c r="N139">
        <f t="shared" si="35"/>
        <v>0.11248000000000001</v>
      </c>
      <c r="O139">
        <f t="shared" si="33"/>
        <v>2.6825215952626512E-2</v>
      </c>
      <c r="P139">
        <f t="shared" si="34"/>
        <v>4.1841004133002339E-2</v>
      </c>
      <c r="V139">
        <v>7.5</v>
      </c>
      <c r="W139">
        <f t="shared" si="32"/>
        <v>-0.81005499999999997</v>
      </c>
    </row>
    <row r="140" spans="1:23">
      <c r="A140">
        <v>7.09</v>
      </c>
      <c r="B140">
        <v>0.53</v>
      </c>
      <c r="C140">
        <f t="shared" si="25"/>
        <v>3.7577000000000003</v>
      </c>
      <c r="D140">
        <v>1.6E-2</v>
      </c>
      <c r="E140">
        <v>3.8158201924077539E-3</v>
      </c>
      <c r="F140">
        <f t="shared" si="26"/>
        <v>1418</v>
      </c>
      <c r="G140">
        <f t="shared" si="27"/>
        <v>-0.53</v>
      </c>
      <c r="H140">
        <f t="shared" si="28"/>
        <v>-751.54000000000008</v>
      </c>
      <c r="I140">
        <v>1</v>
      </c>
      <c r="J140">
        <f t="shared" si="29"/>
        <v>0.3492474281099357</v>
      </c>
      <c r="K140">
        <f t="shared" si="30"/>
        <v>-0.69172515177521743</v>
      </c>
      <c r="L140">
        <v>1</v>
      </c>
      <c r="M140">
        <f t="shared" si="31"/>
        <v>0.50893680919770945</v>
      </c>
      <c r="N140">
        <f t="shared" si="35"/>
        <v>0.11344</v>
      </c>
      <c r="O140">
        <f t="shared" si="33"/>
        <v>2.7054165164170974E-2</v>
      </c>
      <c r="P140">
        <f t="shared" si="34"/>
        <v>4.2294177413337006E-2</v>
      </c>
    </row>
    <row r="141" spans="1:23">
      <c r="A141">
        <v>7.14</v>
      </c>
      <c r="B141">
        <v>0.52800000000000002</v>
      </c>
      <c r="C141">
        <f t="shared" si="25"/>
        <v>3.7699199999999999</v>
      </c>
      <c r="D141">
        <v>1.6E-2</v>
      </c>
      <c r="E141">
        <v>3.8158201924077539E-3</v>
      </c>
      <c r="F141">
        <f t="shared" si="26"/>
        <v>1428</v>
      </c>
      <c r="G141">
        <f t="shared" si="27"/>
        <v>-0.52800000000000002</v>
      </c>
      <c r="H141">
        <f t="shared" si="28"/>
        <v>-753.98400000000004</v>
      </c>
      <c r="I141">
        <v>1</v>
      </c>
      <c r="J141">
        <f t="shared" si="29"/>
        <v>0.3562748639173926</v>
      </c>
      <c r="K141">
        <f t="shared" si="30"/>
        <v>-0.69372515177521743</v>
      </c>
      <c r="L141">
        <v>1</v>
      </c>
      <c r="M141">
        <f t="shared" si="31"/>
        <v>0.50923273451956141</v>
      </c>
      <c r="N141">
        <f t="shared" si="35"/>
        <v>0.11423999999999999</v>
      </c>
      <c r="O141">
        <f t="shared" si="33"/>
        <v>2.7244956173791361E-2</v>
      </c>
      <c r="P141">
        <f t="shared" si="34"/>
        <v>4.3007461081864665E-2</v>
      </c>
    </row>
    <row r="142" spans="1:23">
      <c r="A142">
        <v>7.19</v>
      </c>
      <c r="B142">
        <v>0.52500000000000002</v>
      </c>
      <c r="C142">
        <f t="shared" si="25"/>
        <v>3.7747500000000005</v>
      </c>
      <c r="D142">
        <v>1.6E-2</v>
      </c>
      <c r="E142">
        <v>3.8158201924077539E-3</v>
      </c>
      <c r="F142">
        <f t="shared" si="26"/>
        <v>1438</v>
      </c>
      <c r="G142">
        <f t="shared" si="27"/>
        <v>-0.52500000000000002</v>
      </c>
      <c r="H142">
        <f t="shared" si="28"/>
        <v>-754.95</v>
      </c>
      <c r="I142">
        <v>1</v>
      </c>
      <c r="J142">
        <f t="shared" si="29"/>
        <v>0.36325325929885488</v>
      </c>
      <c r="K142">
        <f t="shared" si="30"/>
        <v>-0.69672515177521743</v>
      </c>
      <c r="L142">
        <v>1</v>
      </c>
      <c r="M142">
        <f t="shared" si="31"/>
        <v>0.5095265947490748</v>
      </c>
      <c r="N142">
        <f t="shared" si="35"/>
        <v>0.11504</v>
      </c>
      <c r="O142">
        <f t="shared" si="33"/>
        <v>2.7435747183411751E-2</v>
      </c>
      <c r="P142">
        <f t="shared" si="34"/>
        <v>4.4722809842730873E-2</v>
      </c>
    </row>
    <row r="143" spans="1:23">
      <c r="A143">
        <v>7.24</v>
      </c>
      <c r="B143">
        <v>0.52300000000000002</v>
      </c>
      <c r="C143">
        <f t="shared" si="25"/>
        <v>3.7865200000000003</v>
      </c>
      <c r="D143">
        <v>1.6E-2</v>
      </c>
      <c r="E143">
        <v>3.8158201924077539E-3</v>
      </c>
      <c r="F143">
        <f t="shared" si="26"/>
        <v>1448</v>
      </c>
      <c r="G143">
        <f t="shared" si="27"/>
        <v>-0.52300000000000002</v>
      </c>
      <c r="H143">
        <f t="shared" si="28"/>
        <v>-757.30400000000009</v>
      </c>
      <c r="I143">
        <v>1</v>
      </c>
      <c r="J143">
        <f t="shared" si="29"/>
        <v>0.37018329396352462</v>
      </c>
      <c r="K143">
        <f t="shared" si="30"/>
        <v>-0.69872515177521743</v>
      </c>
      <c r="L143">
        <v>1</v>
      </c>
      <c r="M143">
        <f t="shared" si="31"/>
        <v>0.50981841850880405</v>
      </c>
      <c r="N143">
        <f t="shared" si="35"/>
        <v>0.11584000000000001</v>
      </c>
      <c r="O143">
        <f t="shared" si="33"/>
        <v>2.7626538193032138E-2</v>
      </c>
      <c r="P143">
        <f t="shared" si="34"/>
        <v>4.5440195073381234E-2</v>
      </c>
    </row>
    <row r="144" spans="1:23">
      <c r="A144">
        <v>7.29</v>
      </c>
      <c r="B144">
        <v>0.52100000000000002</v>
      </c>
      <c r="C144">
        <f t="shared" si="25"/>
        <v>3.7980900000000002</v>
      </c>
      <c r="D144">
        <v>1.6E-2</v>
      </c>
      <c r="E144">
        <v>3.8158201924077539E-3</v>
      </c>
      <c r="F144">
        <f t="shared" si="26"/>
        <v>1458</v>
      </c>
      <c r="G144">
        <f t="shared" si="27"/>
        <v>-0.52100000000000002</v>
      </c>
      <c r="H144">
        <f t="shared" si="28"/>
        <v>-759.61800000000005</v>
      </c>
      <c r="I144">
        <v>1</v>
      </c>
      <c r="J144">
        <f t="shared" si="29"/>
        <v>0.37706563358646639</v>
      </c>
      <c r="K144">
        <f t="shared" si="30"/>
        <v>-0.70072515177521744</v>
      </c>
      <c r="L144">
        <v>1</v>
      </c>
      <c r="M144">
        <f t="shared" si="31"/>
        <v>0.51010823383032611</v>
      </c>
      <c r="N144">
        <f t="shared" si="35"/>
        <v>0.11664000000000001</v>
      </c>
      <c r="O144">
        <f t="shared" si="33"/>
        <v>2.7817329202652525E-2</v>
      </c>
      <c r="P144">
        <f t="shared" si="34"/>
        <v>4.61595887422388E-2</v>
      </c>
    </row>
    <row r="145" spans="1:16">
      <c r="A145">
        <v>7.35</v>
      </c>
      <c r="B145">
        <v>0.51900000000000002</v>
      </c>
      <c r="C145">
        <f t="shared" si="25"/>
        <v>3.8146499999999999</v>
      </c>
      <c r="D145">
        <v>1.6E-2</v>
      </c>
      <c r="E145">
        <v>3.8158201924077539E-3</v>
      </c>
      <c r="F145">
        <f t="shared" si="26"/>
        <v>1470</v>
      </c>
      <c r="G145">
        <f t="shared" ref="G145:G187" si="36">-B145</f>
        <v>-0.51900000000000002</v>
      </c>
      <c r="H145">
        <f t="shared" si="28"/>
        <v>-762.93</v>
      </c>
      <c r="I145">
        <v>1</v>
      </c>
      <c r="J145">
        <f t="shared" si="29"/>
        <v>0.38526240079064489</v>
      </c>
      <c r="K145">
        <f t="shared" si="30"/>
        <v>-0.70272515177521744</v>
      </c>
      <c r="L145">
        <v>1</v>
      </c>
      <c r="M145">
        <f t="shared" si="31"/>
        <v>0.51045339969729409</v>
      </c>
      <c r="N145">
        <f t="shared" ref="N145:N187" si="37">D145*A145</f>
        <v>0.1176</v>
      </c>
      <c r="O145">
        <f t="shared" ref="O145:O187" si="38">E145*A145</f>
        <v>2.804627841419699E-2</v>
      </c>
      <c r="P145">
        <f t="shared" ref="P145:P187" si="39">-K145-M145-N145-O145</f>
        <v>4.6625473663726366E-2</v>
      </c>
    </row>
    <row r="146" spans="1:16">
      <c r="A146">
        <v>7.4</v>
      </c>
      <c r="B146">
        <v>0.51700000000000002</v>
      </c>
      <c r="C146">
        <f t="shared" si="25"/>
        <v>3.8258000000000001</v>
      </c>
      <c r="D146">
        <v>1.6E-2</v>
      </c>
      <c r="E146">
        <v>3.8158201924077539E-3</v>
      </c>
      <c r="F146">
        <f t="shared" si="26"/>
        <v>1480</v>
      </c>
      <c r="G146">
        <f t="shared" si="36"/>
        <v>-0.51700000000000002</v>
      </c>
      <c r="H146">
        <f t="shared" si="28"/>
        <v>-765.16</v>
      </c>
      <c r="I146">
        <v>1</v>
      </c>
      <c r="J146">
        <f t="shared" si="29"/>
        <v>0.39204208777602367</v>
      </c>
      <c r="K146">
        <f t="shared" si="30"/>
        <v>-0.70472515177521744</v>
      </c>
      <c r="L146">
        <v>1</v>
      </c>
      <c r="M146">
        <f t="shared" si="31"/>
        <v>0.51073889231624836</v>
      </c>
      <c r="N146">
        <f t="shared" si="37"/>
        <v>0.11840000000000001</v>
      </c>
      <c r="O146">
        <f t="shared" si="38"/>
        <v>2.8237069423817381E-2</v>
      </c>
      <c r="P146">
        <f t="shared" si="39"/>
        <v>4.7349190035151693E-2</v>
      </c>
    </row>
    <row r="147" spans="1:16">
      <c r="A147">
        <v>7.45</v>
      </c>
      <c r="B147">
        <v>0.51500000000000001</v>
      </c>
      <c r="C147">
        <f t="shared" si="25"/>
        <v>3.8367500000000003</v>
      </c>
      <c r="D147">
        <v>1.6E-2</v>
      </c>
      <c r="E147">
        <v>3.8158201924077539E-3</v>
      </c>
      <c r="F147">
        <f t="shared" si="26"/>
        <v>1490</v>
      </c>
      <c r="G147">
        <f t="shared" si="36"/>
        <v>-0.51500000000000001</v>
      </c>
      <c r="H147">
        <f t="shared" si="28"/>
        <v>-767.35</v>
      </c>
      <c r="I147">
        <v>1</v>
      </c>
      <c r="J147">
        <f t="shared" si="29"/>
        <v>0.39877611995736778</v>
      </c>
      <c r="K147">
        <f t="shared" si="30"/>
        <v>-0.70672515177521744</v>
      </c>
      <c r="L147">
        <v>1</v>
      </c>
      <c r="M147">
        <f t="shared" si="31"/>
        <v>0.51102246241140481</v>
      </c>
      <c r="N147">
        <f t="shared" si="37"/>
        <v>0.1192</v>
      </c>
      <c r="O147">
        <f t="shared" si="38"/>
        <v>2.8427860433437768E-2</v>
      </c>
      <c r="P147">
        <f t="shared" si="39"/>
        <v>4.807482893037486E-2</v>
      </c>
    </row>
    <row r="148" spans="1:16">
      <c r="A148">
        <v>7.5</v>
      </c>
      <c r="B148">
        <v>0.51200000000000001</v>
      </c>
      <c r="C148">
        <f t="shared" si="25"/>
        <v>3.84</v>
      </c>
      <c r="D148">
        <v>1.6E-2</v>
      </c>
      <c r="E148">
        <v>3.8158201924077539E-3</v>
      </c>
      <c r="F148">
        <f t="shared" si="26"/>
        <v>1500</v>
      </c>
      <c r="G148">
        <f t="shared" si="36"/>
        <v>-0.51200000000000001</v>
      </c>
      <c r="H148">
        <f t="shared" si="28"/>
        <v>-768</v>
      </c>
      <c r="I148">
        <v>1</v>
      </c>
      <c r="J148">
        <f t="shared" si="29"/>
        <v>0.40546510810816438</v>
      </c>
      <c r="K148">
        <f t="shared" si="30"/>
        <v>-0.70972515177521744</v>
      </c>
      <c r="L148">
        <v>1</v>
      </c>
      <c r="M148">
        <f t="shared" si="31"/>
        <v>0.51130413570243483</v>
      </c>
      <c r="N148">
        <f t="shared" si="37"/>
        <v>0.12</v>
      </c>
      <c r="O148">
        <f t="shared" si="38"/>
        <v>2.8618651443058155E-2</v>
      </c>
      <c r="P148">
        <f t="shared" si="39"/>
        <v>4.9802364629724469E-2</v>
      </c>
    </row>
    <row r="149" spans="1:16">
      <c r="A149">
        <v>7.55</v>
      </c>
      <c r="B149">
        <v>0.51</v>
      </c>
      <c r="C149">
        <f t="shared" si="25"/>
        <v>3.8504999999999998</v>
      </c>
      <c r="D149">
        <v>1.6E-2</v>
      </c>
      <c r="E149">
        <v>3.8158201924077539E-3</v>
      </c>
      <c r="F149">
        <f t="shared" si="26"/>
        <v>1510</v>
      </c>
      <c r="G149">
        <f t="shared" si="36"/>
        <v>-0.51</v>
      </c>
      <c r="H149">
        <f t="shared" si="28"/>
        <v>-770.09999999999991</v>
      </c>
      <c r="I149">
        <v>1</v>
      </c>
      <c r="J149">
        <f t="shared" si="29"/>
        <v>0.41210965082683298</v>
      </c>
      <c r="K149">
        <f t="shared" si="30"/>
        <v>-0.71172515177521745</v>
      </c>
      <c r="L149">
        <v>1</v>
      </c>
      <c r="M149">
        <f t="shared" si="31"/>
        <v>0.51158393739631791</v>
      </c>
      <c r="N149">
        <f t="shared" si="37"/>
        <v>0.1208</v>
      </c>
      <c r="O149">
        <f t="shared" si="38"/>
        <v>2.8809442452678542E-2</v>
      </c>
      <c r="P149">
        <f t="shared" si="39"/>
        <v>5.0531771926220992E-2</v>
      </c>
    </row>
    <row r="150" spans="1:16">
      <c r="A150">
        <v>7.6</v>
      </c>
      <c r="B150">
        <v>0.50800000000000001</v>
      </c>
      <c r="C150">
        <f t="shared" si="25"/>
        <v>3.8607999999999998</v>
      </c>
      <c r="D150">
        <v>1.6E-2</v>
      </c>
      <c r="E150">
        <v>3.8158201924077539E-3</v>
      </c>
      <c r="F150">
        <f t="shared" si="26"/>
        <v>1520</v>
      </c>
      <c r="G150">
        <f t="shared" si="36"/>
        <v>-0.50800000000000001</v>
      </c>
      <c r="H150">
        <f t="shared" si="28"/>
        <v>-772.16</v>
      </c>
      <c r="I150">
        <v>1</v>
      </c>
      <c r="J150">
        <f t="shared" si="29"/>
        <v>0.41871033485818504</v>
      </c>
      <c r="K150">
        <f t="shared" si="30"/>
        <v>-0.71372515177521745</v>
      </c>
      <c r="L150">
        <v>1</v>
      </c>
      <c r="M150">
        <f t="shared" si="31"/>
        <v>0.51186189220087819</v>
      </c>
      <c r="N150">
        <f t="shared" si="37"/>
        <v>0.1216</v>
      </c>
      <c r="O150">
        <f t="shared" si="38"/>
        <v>2.9000233462298929E-2</v>
      </c>
      <c r="P150">
        <f t="shared" si="39"/>
        <v>5.1263026112040332E-2</v>
      </c>
    </row>
    <row r="151" spans="1:16">
      <c r="A151">
        <v>7.66</v>
      </c>
      <c r="B151">
        <v>0.50600000000000001</v>
      </c>
      <c r="C151">
        <f t="shared" si="25"/>
        <v>3.8759600000000001</v>
      </c>
      <c r="D151">
        <v>1.6E-2</v>
      </c>
      <c r="E151">
        <v>3.8158201924077539E-3</v>
      </c>
      <c r="F151">
        <f t="shared" si="26"/>
        <v>1532</v>
      </c>
      <c r="G151">
        <f t="shared" si="36"/>
        <v>-0.50600000000000001</v>
      </c>
      <c r="H151">
        <f t="shared" si="28"/>
        <v>-775.19200000000001</v>
      </c>
      <c r="I151">
        <v>1</v>
      </c>
      <c r="J151">
        <f t="shared" si="29"/>
        <v>0.42657407131839958</v>
      </c>
      <c r="K151">
        <f t="shared" si="30"/>
        <v>-0.71572515177521745</v>
      </c>
      <c r="L151">
        <v>1</v>
      </c>
      <c r="M151">
        <f t="shared" si="31"/>
        <v>0.51219303414321782</v>
      </c>
      <c r="N151">
        <f t="shared" si="37"/>
        <v>0.12256</v>
      </c>
      <c r="O151">
        <f t="shared" si="38"/>
        <v>2.9229182673843397E-2</v>
      </c>
      <c r="P151">
        <f t="shared" si="39"/>
        <v>5.1742934958156232E-2</v>
      </c>
    </row>
    <row r="152" spans="1:16">
      <c r="A152">
        <v>7.71</v>
      </c>
      <c r="B152">
        <v>0.504</v>
      </c>
      <c r="C152">
        <f t="shared" si="25"/>
        <v>3.88584</v>
      </c>
      <c r="D152">
        <v>1.6E-2</v>
      </c>
      <c r="E152">
        <v>3.8158201924077539E-3</v>
      </c>
      <c r="F152">
        <f t="shared" si="26"/>
        <v>1542</v>
      </c>
      <c r="G152">
        <f t="shared" si="36"/>
        <v>-0.504</v>
      </c>
      <c r="H152">
        <f t="shared" si="28"/>
        <v>-777.16800000000001</v>
      </c>
      <c r="I152">
        <v>1</v>
      </c>
      <c r="J152">
        <f t="shared" si="29"/>
        <v>0.43308027514113778</v>
      </c>
      <c r="K152">
        <f t="shared" si="30"/>
        <v>-0.71772515177521745</v>
      </c>
      <c r="L152">
        <v>1</v>
      </c>
      <c r="M152">
        <f t="shared" si="31"/>
        <v>0.51246701038619336</v>
      </c>
      <c r="N152">
        <f t="shared" si="37"/>
        <v>0.12336</v>
      </c>
      <c r="O152">
        <f t="shared" si="38"/>
        <v>2.9419973683463784E-2</v>
      </c>
      <c r="P152">
        <f t="shared" si="39"/>
        <v>5.2478167705560311E-2</v>
      </c>
    </row>
    <row r="153" spans="1:16">
      <c r="A153">
        <v>7.76</v>
      </c>
      <c r="B153">
        <v>0.502</v>
      </c>
      <c r="C153">
        <f t="shared" si="25"/>
        <v>3.8955199999999999</v>
      </c>
      <c r="D153">
        <v>1.6E-2</v>
      </c>
      <c r="E153">
        <v>3.8158201924077539E-3</v>
      </c>
      <c r="F153">
        <f t="shared" si="26"/>
        <v>1552</v>
      </c>
      <c r="G153">
        <f t="shared" si="36"/>
        <v>-0.502</v>
      </c>
      <c r="H153">
        <f t="shared" si="28"/>
        <v>-779.10399999999993</v>
      </c>
      <c r="I153">
        <v>1</v>
      </c>
      <c r="J153">
        <f t="shared" si="29"/>
        <v>0.43954442176102704</v>
      </c>
      <c r="K153">
        <f t="shared" si="30"/>
        <v>-0.71972515177521745</v>
      </c>
      <c r="L153">
        <v>1</v>
      </c>
      <c r="M153">
        <f t="shared" si="31"/>
        <v>0.51273921560035685</v>
      </c>
      <c r="N153">
        <f t="shared" si="37"/>
        <v>0.12415999999999999</v>
      </c>
      <c r="O153">
        <f t="shared" si="38"/>
        <v>2.9610764693084171E-2</v>
      </c>
      <c r="P153">
        <f t="shared" si="39"/>
        <v>5.3215171481776444E-2</v>
      </c>
    </row>
    <row r="154" spans="1:16">
      <c r="A154">
        <v>7.81</v>
      </c>
      <c r="B154">
        <v>0.5</v>
      </c>
      <c r="C154">
        <f t="shared" si="25"/>
        <v>3.9049999999999998</v>
      </c>
      <c r="D154">
        <v>1.6E-2</v>
      </c>
      <c r="E154">
        <v>3.8158201924077539E-3</v>
      </c>
      <c r="F154">
        <f t="shared" si="26"/>
        <v>1562</v>
      </c>
      <c r="G154">
        <f t="shared" si="36"/>
        <v>-0.5</v>
      </c>
      <c r="H154">
        <f t="shared" si="28"/>
        <v>-781</v>
      </c>
      <c r="I154">
        <v>1</v>
      </c>
      <c r="J154">
        <f t="shared" si="29"/>
        <v>0.44596705141749426</v>
      </c>
      <c r="K154">
        <f t="shared" si="30"/>
        <v>-0.72172515177521745</v>
      </c>
      <c r="L154">
        <v>1</v>
      </c>
      <c r="M154">
        <f t="shared" si="31"/>
        <v>0.5130096725351907</v>
      </c>
      <c r="N154">
        <f t="shared" si="37"/>
        <v>0.12496</v>
      </c>
      <c r="O154">
        <f t="shared" si="38"/>
        <v>2.9801555702704558E-2</v>
      </c>
      <c r="P154">
        <f t="shared" si="39"/>
        <v>5.3953923537322201E-2</v>
      </c>
    </row>
    <row r="155" spans="1:16">
      <c r="A155">
        <v>7.87</v>
      </c>
      <c r="B155">
        <v>0.497</v>
      </c>
      <c r="C155">
        <f t="shared" si="25"/>
        <v>3.9113899999999999</v>
      </c>
      <c r="D155">
        <v>1.6E-2</v>
      </c>
      <c r="E155">
        <v>3.8158201924077539E-3</v>
      </c>
      <c r="F155">
        <f t="shared" si="26"/>
        <v>1574</v>
      </c>
      <c r="G155">
        <f t="shared" si="36"/>
        <v>-0.497</v>
      </c>
      <c r="H155">
        <f t="shared" si="28"/>
        <v>-782.27800000000002</v>
      </c>
      <c r="I155">
        <v>1</v>
      </c>
      <c r="J155">
        <f t="shared" si="29"/>
        <v>0.45362014999521155</v>
      </c>
      <c r="K155">
        <f t="shared" si="30"/>
        <v>-0.72472515177521746</v>
      </c>
      <c r="L155">
        <v>1</v>
      </c>
      <c r="M155">
        <f t="shared" si="31"/>
        <v>0.51333194451629838</v>
      </c>
      <c r="N155">
        <f t="shared" si="37"/>
        <v>0.12592</v>
      </c>
      <c r="O155">
        <f t="shared" si="38"/>
        <v>3.0030504914249023E-2</v>
      </c>
      <c r="P155">
        <f t="shared" si="39"/>
        <v>5.5442702344670053E-2</v>
      </c>
    </row>
    <row r="156" spans="1:16">
      <c r="A156">
        <v>7.92</v>
      </c>
      <c r="B156">
        <v>0.495</v>
      </c>
      <c r="C156">
        <f t="shared" si="25"/>
        <v>3.9203999999999999</v>
      </c>
      <c r="D156">
        <v>1.6E-2</v>
      </c>
      <c r="E156">
        <v>3.8158201924077539E-3</v>
      </c>
      <c r="F156">
        <f t="shared" si="26"/>
        <v>1584</v>
      </c>
      <c r="G156">
        <f t="shared" si="36"/>
        <v>-0.495</v>
      </c>
      <c r="H156">
        <f t="shared" si="28"/>
        <v>-784.07999999999993</v>
      </c>
      <c r="I156">
        <v>1</v>
      </c>
      <c r="J156">
        <f t="shared" si="29"/>
        <v>0.45995329339223417</v>
      </c>
      <c r="K156">
        <f t="shared" si="30"/>
        <v>-0.72672515177521746</v>
      </c>
      <c r="L156">
        <v>1</v>
      </c>
      <c r="M156">
        <f t="shared" si="31"/>
        <v>0.51359863318474697</v>
      </c>
      <c r="N156">
        <f t="shared" si="37"/>
        <v>0.12672</v>
      </c>
      <c r="O156">
        <f t="shared" si="38"/>
        <v>3.022129592386941E-2</v>
      </c>
      <c r="P156">
        <f t="shared" si="39"/>
        <v>5.6185222666601087E-2</v>
      </c>
    </row>
    <row r="157" spans="1:16">
      <c r="A157">
        <v>7.97</v>
      </c>
      <c r="B157">
        <v>0.49299999999999999</v>
      </c>
      <c r="C157">
        <f t="shared" si="25"/>
        <v>3.9292099999999999</v>
      </c>
      <c r="D157">
        <v>1.6E-2</v>
      </c>
      <c r="E157">
        <v>3.8158201924077539E-3</v>
      </c>
      <c r="F157">
        <f t="shared" si="26"/>
        <v>1594</v>
      </c>
      <c r="G157">
        <f t="shared" si="36"/>
        <v>-0.49299999999999999</v>
      </c>
      <c r="H157">
        <f t="shared" si="28"/>
        <v>-785.84199999999998</v>
      </c>
      <c r="I157">
        <v>1</v>
      </c>
      <c r="J157">
        <f t="shared" si="29"/>
        <v>0.46624658036802336</v>
      </c>
      <c r="K157">
        <f t="shared" si="30"/>
        <v>-0.72872515177521746</v>
      </c>
      <c r="L157">
        <v>1</v>
      </c>
      <c r="M157">
        <f t="shared" si="31"/>
        <v>0.51386364349929747</v>
      </c>
      <c r="N157">
        <f t="shared" si="37"/>
        <v>0.12751999999999999</v>
      </c>
      <c r="O157">
        <f t="shared" si="38"/>
        <v>3.0412086933489797E-2</v>
      </c>
      <c r="P157">
        <f t="shared" si="39"/>
        <v>5.6929421342430196E-2</v>
      </c>
    </row>
    <row r="158" spans="1:16">
      <c r="A158">
        <v>8.02</v>
      </c>
      <c r="B158">
        <v>0.49099999999999999</v>
      </c>
      <c r="C158">
        <f t="shared" si="25"/>
        <v>3.9378199999999999</v>
      </c>
      <c r="D158">
        <v>1.6E-2</v>
      </c>
      <c r="E158">
        <v>3.8158201924077539E-3</v>
      </c>
      <c r="F158">
        <f t="shared" si="26"/>
        <v>1604</v>
      </c>
      <c r="G158">
        <f t="shared" si="36"/>
        <v>-0.49099999999999999</v>
      </c>
      <c r="H158">
        <f t="shared" si="28"/>
        <v>-787.56399999999996</v>
      </c>
      <c r="I158">
        <v>1</v>
      </c>
      <c r="J158">
        <f t="shared" si="29"/>
        <v>0.47250050944432281</v>
      </c>
      <c r="K158">
        <f t="shared" si="30"/>
        <v>-0.73072515177521746</v>
      </c>
      <c r="L158">
        <v>1</v>
      </c>
      <c r="M158">
        <f t="shared" si="31"/>
        <v>0.51412699645270044</v>
      </c>
      <c r="N158">
        <f t="shared" si="37"/>
        <v>0.12831999999999999</v>
      </c>
      <c r="O158">
        <f t="shared" si="38"/>
        <v>3.0602877943110184E-2</v>
      </c>
      <c r="P158">
        <f t="shared" si="39"/>
        <v>5.767527737940685E-2</v>
      </c>
    </row>
    <row r="159" spans="1:16">
      <c r="A159">
        <v>8.08</v>
      </c>
      <c r="B159">
        <v>0.48899999999999999</v>
      </c>
      <c r="C159">
        <f t="shared" si="25"/>
        <v>3.95112</v>
      </c>
      <c r="D159">
        <v>1.6E-2</v>
      </c>
      <c r="E159">
        <v>3.8158201924077539E-3</v>
      </c>
      <c r="F159">
        <f t="shared" si="26"/>
        <v>1616</v>
      </c>
      <c r="G159">
        <f t="shared" si="36"/>
        <v>-0.48899999999999999</v>
      </c>
      <c r="H159">
        <f t="shared" si="28"/>
        <v>-790.22400000000005</v>
      </c>
      <c r="I159">
        <v>1</v>
      </c>
      <c r="J159">
        <f t="shared" si="29"/>
        <v>0.47995396009890368</v>
      </c>
      <c r="K159">
        <f t="shared" si="30"/>
        <v>-0.73272515177521746</v>
      </c>
      <c r="L159">
        <v>1</v>
      </c>
      <c r="M159">
        <f t="shared" si="31"/>
        <v>0.51444086125976485</v>
      </c>
      <c r="N159">
        <f t="shared" si="37"/>
        <v>0.12928000000000001</v>
      </c>
      <c r="O159">
        <f t="shared" si="38"/>
        <v>3.0831827154654653E-2</v>
      </c>
      <c r="P159">
        <f t="shared" si="39"/>
        <v>5.8172463360797955E-2</v>
      </c>
    </row>
    <row r="160" spans="1:16">
      <c r="A160">
        <v>8.1300000000000008</v>
      </c>
      <c r="B160">
        <v>0.48699999999999999</v>
      </c>
      <c r="C160">
        <f t="shared" si="25"/>
        <v>3.9593100000000003</v>
      </c>
      <c r="D160">
        <v>1.6E-2</v>
      </c>
      <c r="E160">
        <v>3.8158201924077539E-3</v>
      </c>
      <c r="F160">
        <f t="shared" si="26"/>
        <v>1626.0000000000002</v>
      </c>
      <c r="G160">
        <f t="shared" si="36"/>
        <v>-0.48699999999999999</v>
      </c>
      <c r="H160">
        <f t="shared" si="28"/>
        <v>-791.86200000000008</v>
      </c>
      <c r="I160">
        <v>1</v>
      </c>
      <c r="J160">
        <f t="shared" si="29"/>
        <v>0.48612301112561906</v>
      </c>
      <c r="K160">
        <f t="shared" si="30"/>
        <v>-0.73472515177521747</v>
      </c>
      <c r="L160">
        <v>1</v>
      </c>
      <c r="M160">
        <f t="shared" si="31"/>
        <v>0.5147006399984998</v>
      </c>
      <c r="N160">
        <f t="shared" si="37"/>
        <v>0.13008000000000003</v>
      </c>
      <c r="O160">
        <f t="shared" si="38"/>
        <v>3.1022618164275043E-2</v>
      </c>
      <c r="P160">
        <f t="shared" si="39"/>
        <v>5.89218936124426E-2</v>
      </c>
    </row>
    <row r="161" spans="1:16">
      <c r="A161">
        <v>8.18</v>
      </c>
      <c r="B161">
        <v>0.48399999999999999</v>
      </c>
      <c r="C161">
        <f t="shared" si="25"/>
        <v>3.9591199999999995</v>
      </c>
      <c r="D161">
        <v>1.6E-2</v>
      </c>
      <c r="E161">
        <v>3.8158201924077539E-3</v>
      </c>
      <c r="F161">
        <f t="shared" si="26"/>
        <v>1636</v>
      </c>
      <c r="G161">
        <f t="shared" si="36"/>
        <v>-0.48399999999999999</v>
      </c>
      <c r="H161">
        <f t="shared" si="28"/>
        <v>-791.82399999999996</v>
      </c>
      <c r="I161">
        <v>1</v>
      </c>
      <c r="J161">
        <f t="shared" si="29"/>
        <v>0.49225423818055525</v>
      </c>
      <c r="K161">
        <f t="shared" si="30"/>
        <v>-0.73772515177521747</v>
      </c>
      <c r="L161">
        <v>1</v>
      </c>
      <c r="M161">
        <f t="shared" si="31"/>
        <v>0.51495882596978315</v>
      </c>
      <c r="N161">
        <f t="shared" si="37"/>
        <v>0.13088</v>
      </c>
      <c r="O161">
        <f t="shared" si="38"/>
        <v>3.1213409173895427E-2</v>
      </c>
      <c r="P161">
        <f t="shared" si="39"/>
        <v>6.0672916631538898E-2</v>
      </c>
    </row>
    <row r="162" spans="1:16">
      <c r="A162">
        <v>8.23</v>
      </c>
      <c r="B162">
        <v>0.48199999999999998</v>
      </c>
      <c r="C162">
        <f t="shared" si="25"/>
        <v>3.9668600000000001</v>
      </c>
      <c r="D162">
        <v>1.6E-2</v>
      </c>
      <c r="E162">
        <v>3.8158201924077539E-3</v>
      </c>
      <c r="F162">
        <f t="shared" si="26"/>
        <v>1646</v>
      </c>
      <c r="G162">
        <f t="shared" si="36"/>
        <v>-0.48199999999999998</v>
      </c>
      <c r="H162">
        <f t="shared" si="28"/>
        <v>-793.37199999999996</v>
      </c>
      <c r="I162">
        <v>1</v>
      </c>
      <c r="J162">
        <f t="shared" si="29"/>
        <v>0.49834810225487802</v>
      </c>
      <c r="K162">
        <f t="shared" si="30"/>
        <v>-0.73972515177521747</v>
      </c>
      <c r="L162">
        <v>1</v>
      </c>
      <c r="M162">
        <f t="shared" si="31"/>
        <v>0.51521543858595287</v>
      </c>
      <c r="N162">
        <f t="shared" si="37"/>
        <v>0.13168000000000002</v>
      </c>
      <c r="O162">
        <f t="shared" si="38"/>
        <v>3.1404200183515814E-2</v>
      </c>
      <c r="P162">
        <f t="shared" si="39"/>
        <v>6.1425513005748771E-2</v>
      </c>
    </row>
    <row r="163" spans="1:16">
      <c r="A163">
        <v>8.2799999999999994</v>
      </c>
      <c r="B163">
        <v>0.48</v>
      </c>
      <c r="C163">
        <f t="shared" si="25"/>
        <v>3.9743999999999997</v>
      </c>
      <c r="D163">
        <v>1.6E-2</v>
      </c>
      <c r="E163">
        <v>3.8158201924077539E-3</v>
      </c>
      <c r="F163">
        <f t="shared" si="26"/>
        <v>1655.9999999999998</v>
      </c>
      <c r="G163">
        <f t="shared" si="36"/>
        <v>-0.48</v>
      </c>
      <c r="H163">
        <f t="shared" si="28"/>
        <v>-794.88</v>
      </c>
      <c r="I163">
        <v>1</v>
      </c>
      <c r="J163">
        <f t="shared" si="29"/>
        <v>0.50440505596306773</v>
      </c>
      <c r="K163">
        <f t="shared" si="30"/>
        <v>-0.74172515177521747</v>
      </c>
      <c r="L163">
        <v>1</v>
      </c>
      <c r="M163">
        <f t="shared" si="31"/>
        <v>0.51547049690660474</v>
      </c>
      <c r="N163">
        <f t="shared" si="37"/>
        <v>0.13247999999999999</v>
      </c>
      <c r="O163">
        <f t="shared" si="38"/>
        <v>3.1594991193136197E-2</v>
      </c>
      <c r="P163">
        <f t="shared" si="39"/>
        <v>6.2179663675476553E-2</v>
      </c>
    </row>
    <row r="164" spans="1:16">
      <c r="A164">
        <v>8.33</v>
      </c>
      <c r="B164">
        <v>0.47799999999999998</v>
      </c>
      <c r="C164">
        <f t="shared" si="25"/>
        <v>3.9817399999999998</v>
      </c>
      <c r="D164">
        <v>1.6E-2</v>
      </c>
      <c r="E164">
        <v>3.8158201924077539E-3</v>
      </c>
      <c r="F164">
        <f t="shared" si="26"/>
        <v>1666</v>
      </c>
      <c r="G164">
        <f t="shared" si="36"/>
        <v>-0.47799999999999998</v>
      </c>
      <c r="H164">
        <f t="shared" si="28"/>
        <v>-796.34799999999996</v>
      </c>
      <c r="I164">
        <v>1</v>
      </c>
      <c r="J164">
        <f t="shared" si="29"/>
        <v>0.51042554374465088</v>
      </c>
      <c r="K164">
        <f t="shared" si="30"/>
        <v>-0.74372515177521747</v>
      </c>
      <c r="L164">
        <v>1</v>
      </c>
      <c r="M164">
        <f t="shared" si="31"/>
        <v>0.51572401964708725</v>
      </c>
      <c r="N164">
        <f t="shared" si="37"/>
        <v>0.13328000000000001</v>
      </c>
      <c r="O164">
        <f t="shared" si="38"/>
        <v>3.1785782202756588E-2</v>
      </c>
      <c r="P164">
        <f t="shared" si="39"/>
        <v>6.2935349925373626E-2</v>
      </c>
    </row>
    <row r="165" spans="1:16">
      <c r="A165">
        <v>8.39</v>
      </c>
      <c r="B165">
        <v>0.47599999999999998</v>
      </c>
      <c r="C165">
        <f t="shared" si="25"/>
        <v>3.9936400000000001</v>
      </c>
      <c r="D165">
        <v>1.6E-2</v>
      </c>
      <c r="E165">
        <v>3.8158201924077539E-3</v>
      </c>
      <c r="F165">
        <f t="shared" si="26"/>
        <v>1678</v>
      </c>
      <c r="G165">
        <f t="shared" si="36"/>
        <v>-0.47599999999999998</v>
      </c>
      <c r="H165">
        <f t="shared" si="28"/>
        <v>-798.72800000000007</v>
      </c>
      <c r="I165">
        <v>1</v>
      </c>
      <c r="J165">
        <f t="shared" si="29"/>
        <v>0.51760260804501435</v>
      </c>
      <c r="K165">
        <f t="shared" si="30"/>
        <v>-0.74572515177521748</v>
      </c>
      <c r="L165">
        <v>1</v>
      </c>
      <c r="M165">
        <f t="shared" si="31"/>
        <v>0.51602624582477552</v>
      </c>
      <c r="N165">
        <f t="shared" si="37"/>
        <v>0.13424</v>
      </c>
      <c r="O165">
        <f t="shared" si="38"/>
        <v>3.2014731414301056E-2</v>
      </c>
      <c r="P165">
        <f t="shared" si="39"/>
        <v>6.3444174536140902E-2</v>
      </c>
    </row>
    <row r="166" spans="1:16">
      <c r="A166">
        <v>8.44</v>
      </c>
      <c r="B166">
        <v>0.47299999999999998</v>
      </c>
      <c r="C166">
        <f t="shared" si="25"/>
        <v>3.9921199999999994</v>
      </c>
      <c r="D166">
        <v>1.6E-2</v>
      </c>
      <c r="E166">
        <v>3.8158201924077539E-3</v>
      </c>
      <c r="F166">
        <f t="shared" si="26"/>
        <v>1688</v>
      </c>
      <c r="G166">
        <f t="shared" si="36"/>
        <v>-0.47299999999999998</v>
      </c>
      <c r="H166">
        <f t="shared" si="28"/>
        <v>-798.42399999999986</v>
      </c>
      <c r="I166">
        <v>1</v>
      </c>
      <c r="J166">
        <f t="shared" si="29"/>
        <v>0.52354439617376536</v>
      </c>
      <c r="K166">
        <f t="shared" si="30"/>
        <v>-0.74872515177521748</v>
      </c>
      <c r="L166">
        <v>1</v>
      </c>
      <c r="M166">
        <f t="shared" si="31"/>
        <v>0.51627645452287729</v>
      </c>
      <c r="N166">
        <f t="shared" si="37"/>
        <v>0.13503999999999999</v>
      </c>
      <c r="O166">
        <f t="shared" si="38"/>
        <v>3.220552242392144E-2</v>
      </c>
      <c r="P166">
        <f t="shared" si="39"/>
        <v>6.5203174828418753E-2</v>
      </c>
    </row>
    <row r="167" spans="1:16">
      <c r="A167">
        <v>8.49</v>
      </c>
      <c r="B167">
        <v>0.47099999999999997</v>
      </c>
      <c r="C167">
        <f t="shared" si="25"/>
        <v>3.9987900000000001</v>
      </c>
      <c r="D167">
        <v>1.6E-2</v>
      </c>
      <c r="E167">
        <v>3.8158201924077539E-3</v>
      </c>
      <c r="F167">
        <f t="shared" si="26"/>
        <v>1698</v>
      </c>
      <c r="G167">
        <f t="shared" si="36"/>
        <v>-0.47099999999999997</v>
      </c>
      <c r="H167">
        <f t="shared" si="28"/>
        <v>-799.75800000000004</v>
      </c>
      <c r="I167">
        <v>1</v>
      </c>
      <c r="J167">
        <f t="shared" si="29"/>
        <v>0.52945108788915551</v>
      </c>
      <c r="K167">
        <f t="shared" si="30"/>
        <v>-0.75072515177521748</v>
      </c>
      <c r="L167">
        <v>1</v>
      </c>
      <c r="M167">
        <f t="shared" si="31"/>
        <v>0.51652518531101232</v>
      </c>
      <c r="N167">
        <f t="shared" si="37"/>
        <v>0.13584000000000002</v>
      </c>
      <c r="O167">
        <f t="shared" si="38"/>
        <v>3.239631343354183E-2</v>
      </c>
      <c r="P167">
        <f t="shared" si="39"/>
        <v>6.5963653030663316E-2</v>
      </c>
    </row>
    <row r="168" spans="1:16">
      <c r="A168">
        <v>8.5399999999999991</v>
      </c>
      <c r="B168">
        <v>0.46899999999999997</v>
      </c>
      <c r="C168">
        <f t="shared" si="25"/>
        <v>4.0052599999999989</v>
      </c>
      <c r="D168">
        <v>1.6E-2</v>
      </c>
      <c r="E168">
        <v>3.8158201924077539E-3</v>
      </c>
      <c r="F168">
        <f t="shared" si="26"/>
        <v>1707.9999999999998</v>
      </c>
      <c r="G168">
        <f t="shared" si="36"/>
        <v>-0.46899999999999997</v>
      </c>
      <c r="H168">
        <f t="shared" si="28"/>
        <v>-801.05199999999979</v>
      </c>
      <c r="I168">
        <v>1</v>
      </c>
      <c r="J168">
        <f t="shared" si="29"/>
        <v>0.53532309536637801</v>
      </c>
      <c r="K168">
        <f t="shared" si="30"/>
        <v>-0.75272515177521748</v>
      </c>
      <c r="L168">
        <v>1</v>
      </c>
      <c r="M168">
        <f t="shared" si="31"/>
        <v>0.51677245554587814</v>
      </c>
      <c r="N168">
        <f t="shared" si="37"/>
        <v>0.13663999999999998</v>
      </c>
      <c r="O168">
        <f t="shared" si="38"/>
        <v>3.2587104443162214E-2</v>
      </c>
      <c r="P168">
        <f t="shared" si="39"/>
        <v>6.6725591786177152E-2</v>
      </c>
    </row>
    <row r="169" spans="1:16">
      <c r="A169">
        <v>8.59</v>
      </c>
      <c r="B169">
        <v>0.46700000000000003</v>
      </c>
      <c r="C169">
        <f t="shared" si="25"/>
        <v>4.0115300000000005</v>
      </c>
      <c r="D169">
        <v>1.6E-2</v>
      </c>
      <c r="E169">
        <v>3.8158201924077539E-3</v>
      </c>
      <c r="F169">
        <f t="shared" si="26"/>
        <v>1718</v>
      </c>
      <c r="G169">
        <f t="shared" si="36"/>
        <v>-0.46700000000000003</v>
      </c>
      <c r="H169">
        <f t="shared" si="28"/>
        <v>-802.30600000000004</v>
      </c>
      <c r="I169">
        <v>1</v>
      </c>
      <c r="J169">
        <f t="shared" si="29"/>
        <v>0.54116082356206363</v>
      </c>
      <c r="K169">
        <f t="shared" si="30"/>
        <v>-0.75472515177521737</v>
      </c>
      <c r="L169">
        <v>1</v>
      </c>
      <c r="M169">
        <f t="shared" si="31"/>
        <v>0.51701828228019853</v>
      </c>
      <c r="N169">
        <f t="shared" si="37"/>
        <v>0.13744000000000001</v>
      </c>
      <c r="O169">
        <f t="shared" si="38"/>
        <v>3.2777895452782604E-2</v>
      </c>
      <c r="P169">
        <f t="shared" si="39"/>
        <v>6.7488974042236236E-2</v>
      </c>
    </row>
    <row r="170" spans="1:16">
      <c r="A170">
        <v>8.65</v>
      </c>
      <c r="B170">
        <v>0.46500000000000002</v>
      </c>
      <c r="C170">
        <f t="shared" si="25"/>
        <v>4.0222500000000005</v>
      </c>
      <c r="D170">
        <v>1.6E-2</v>
      </c>
      <c r="E170">
        <v>3.8158201924077539E-3</v>
      </c>
      <c r="F170">
        <f t="shared" si="26"/>
        <v>1730</v>
      </c>
      <c r="G170">
        <f t="shared" si="36"/>
        <v>-0.46500000000000002</v>
      </c>
      <c r="H170">
        <f t="shared" si="28"/>
        <v>-804.45000000000016</v>
      </c>
      <c r="I170">
        <v>1</v>
      </c>
      <c r="J170">
        <f t="shared" si="29"/>
        <v>0.5481214085096876</v>
      </c>
      <c r="K170">
        <f t="shared" si="30"/>
        <v>-0.75672515177521738</v>
      </c>
      <c r="L170">
        <v>1</v>
      </c>
      <c r="M170">
        <f t="shared" si="31"/>
        <v>0.51731139251234293</v>
      </c>
      <c r="N170">
        <f t="shared" si="37"/>
        <v>0.1384</v>
      </c>
      <c r="O170">
        <f t="shared" si="38"/>
        <v>3.3006844664327073E-2</v>
      </c>
      <c r="P170">
        <f t="shared" si="39"/>
        <v>6.800691459854738E-2</v>
      </c>
    </row>
    <row r="171" spans="1:16">
      <c r="A171">
        <v>8.6999999999999993</v>
      </c>
      <c r="B171">
        <v>0.46300000000000002</v>
      </c>
      <c r="C171">
        <f t="shared" si="25"/>
        <v>4.0281000000000002</v>
      </c>
      <c r="D171">
        <v>1.6E-2</v>
      </c>
      <c r="E171">
        <v>3.8158201924077539E-3</v>
      </c>
      <c r="F171">
        <f t="shared" si="26"/>
        <v>1739.9999999999998</v>
      </c>
      <c r="G171">
        <f t="shared" si="36"/>
        <v>-0.46300000000000002</v>
      </c>
      <c r="H171">
        <f t="shared" si="28"/>
        <v>-805.62</v>
      </c>
      <c r="I171">
        <v>1</v>
      </c>
      <c r="J171">
        <f t="shared" si="29"/>
        <v>0.55388511322643752</v>
      </c>
      <c r="K171">
        <f t="shared" si="30"/>
        <v>-0.75872515177521738</v>
      </c>
      <c r="L171">
        <v>1</v>
      </c>
      <c r="M171">
        <f t="shared" si="31"/>
        <v>0.51755410211796526</v>
      </c>
      <c r="N171">
        <f t="shared" si="37"/>
        <v>0.13919999999999999</v>
      </c>
      <c r="O171">
        <f t="shared" si="38"/>
        <v>3.3197635673947457E-2</v>
      </c>
      <c r="P171">
        <f t="shared" si="39"/>
        <v>6.8773413983304665E-2</v>
      </c>
    </row>
    <row r="172" spans="1:16">
      <c r="A172">
        <v>8.75</v>
      </c>
      <c r="B172">
        <v>0.46100000000000002</v>
      </c>
      <c r="C172">
        <f t="shared" si="25"/>
        <v>4.0337500000000004</v>
      </c>
      <c r="D172">
        <v>1.6E-2</v>
      </c>
      <c r="E172">
        <v>3.8158201924077539E-3</v>
      </c>
      <c r="F172">
        <f t="shared" si="26"/>
        <v>1750</v>
      </c>
      <c r="G172">
        <f t="shared" si="36"/>
        <v>-0.46100000000000002</v>
      </c>
      <c r="H172">
        <f t="shared" si="28"/>
        <v>-806.75000000000011</v>
      </c>
      <c r="I172">
        <v>1</v>
      </c>
      <c r="J172">
        <f t="shared" si="29"/>
        <v>0.55961578793542266</v>
      </c>
      <c r="K172">
        <f t="shared" si="30"/>
        <v>-0.76072515177521738</v>
      </c>
      <c r="L172">
        <v>1</v>
      </c>
      <c r="M172">
        <f t="shared" si="31"/>
        <v>0.51779542082996066</v>
      </c>
      <c r="N172">
        <f t="shared" si="37"/>
        <v>0.14000000000000001</v>
      </c>
      <c r="O172">
        <f t="shared" si="38"/>
        <v>3.3388426683567847E-2</v>
      </c>
      <c r="P172">
        <f t="shared" si="39"/>
        <v>6.9541304261688863E-2</v>
      </c>
    </row>
    <row r="173" spans="1:16">
      <c r="A173">
        <v>8.81</v>
      </c>
      <c r="B173">
        <v>0.45900000000000002</v>
      </c>
      <c r="C173">
        <f t="shared" si="25"/>
        <v>4.0437900000000004</v>
      </c>
      <c r="D173">
        <v>1.6E-2</v>
      </c>
      <c r="E173">
        <v>3.8158201924077539E-3</v>
      </c>
      <c r="F173">
        <f t="shared" si="26"/>
        <v>1762</v>
      </c>
      <c r="G173">
        <f t="shared" si="36"/>
        <v>-0.45900000000000002</v>
      </c>
      <c r="H173">
        <f t="shared" si="28"/>
        <v>-808.75800000000004</v>
      </c>
      <c r="I173">
        <v>1</v>
      </c>
      <c r="J173">
        <f t="shared" si="29"/>
        <v>0.5664495275139878</v>
      </c>
      <c r="K173">
        <f t="shared" si="30"/>
        <v>-0.76272515177521738</v>
      </c>
      <c r="L173">
        <v>1</v>
      </c>
      <c r="M173">
        <f t="shared" si="31"/>
        <v>0.51808318960361399</v>
      </c>
      <c r="N173">
        <f t="shared" si="37"/>
        <v>0.14096</v>
      </c>
      <c r="O173">
        <f t="shared" si="38"/>
        <v>3.3617375895112316E-2</v>
      </c>
      <c r="P173">
        <f t="shared" si="39"/>
        <v>7.0064586276491064E-2</v>
      </c>
    </row>
    <row r="174" spans="1:16">
      <c r="A174">
        <v>8.86</v>
      </c>
      <c r="B174">
        <v>0.45600000000000002</v>
      </c>
      <c r="C174">
        <f t="shared" si="25"/>
        <v>4.0401600000000002</v>
      </c>
      <c r="D174">
        <v>1.6E-2</v>
      </c>
      <c r="E174">
        <v>3.8158201924077539E-3</v>
      </c>
      <c r="F174">
        <f t="shared" si="26"/>
        <v>1772</v>
      </c>
      <c r="G174">
        <f t="shared" si="36"/>
        <v>-0.45600000000000002</v>
      </c>
      <c r="H174">
        <f t="shared" si="28"/>
        <v>-808.03200000000004</v>
      </c>
      <c r="I174">
        <v>1</v>
      </c>
      <c r="J174">
        <f t="shared" si="29"/>
        <v>0.5721088521828892</v>
      </c>
      <c r="K174">
        <f t="shared" si="30"/>
        <v>-0.76572515177521749</v>
      </c>
      <c r="L174">
        <v>1</v>
      </c>
      <c r="M174">
        <f t="shared" si="31"/>
        <v>0.51832150376542152</v>
      </c>
      <c r="N174">
        <f t="shared" si="37"/>
        <v>0.14176</v>
      </c>
      <c r="O174">
        <f t="shared" si="38"/>
        <v>3.3808166904732699E-2</v>
      </c>
      <c r="P174">
        <f t="shared" si="39"/>
        <v>7.183548110506327E-2</v>
      </c>
    </row>
    <row r="175" spans="1:16">
      <c r="A175">
        <v>8.91</v>
      </c>
      <c r="B175">
        <v>0.45400000000000001</v>
      </c>
      <c r="C175">
        <f t="shared" si="25"/>
        <v>4.04514</v>
      </c>
      <c r="D175">
        <v>1.6E-2</v>
      </c>
      <c r="E175">
        <v>3.8158201924077539E-3</v>
      </c>
      <c r="F175">
        <f t="shared" si="26"/>
        <v>1782</v>
      </c>
      <c r="G175">
        <f t="shared" si="36"/>
        <v>-0.45400000000000001</v>
      </c>
      <c r="H175">
        <f t="shared" si="28"/>
        <v>-809.02800000000002</v>
      </c>
      <c r="I175">
        <v>1</v>
      </c>
      <c r="J175">
        <f t="shared" si="29"/>
        <v>0.5777363290486176</v>
      </c>
      <c r="K175">
        <f t="shared" si="30"/>
        <v>-0.7677251517752175</v>
      </c>
      <c r="L175">
        <v>1</v>
      </c>
      <c r="M175">
        <f t="shared" si="31"/>
        <v>0.51855847681623723</v>
      </c>
      <c r="N175">
        <f t="shared" si="37"/>
        <v>0.14255999999999999</v>
      </c>
      <c r="O175">
        <f t="shared" si="38"/>
        <v>3.399895791435309E-2</v>
      </c>
      <c r="P175">
        <f t="shared" si="39"/>
        <v>7.2607717044627179E-2</v>
      </c>
    </row>
    <row r="176" spans="1:16">
      <c r="A176">
        <v>8.9600000000000009</v>
      </c>
      <c r="B176">
        <v>0.45200000000000001</v>
      </c>
      <c r="C176">
        <f t="shared" si="25"/>
        <v>4.0499200000000002</v>
      </c>
      <c r="D176">
        <v>1.6E-2</v>
      </c>
      <c r="E176">
        <v>3.8158201924077539E-3</v>
      </c>
      <c r="F176">
        <f t="shared" si="26"/>
        <v>1792.0000000000002</v>
      </c>
      <c r="G176">
        <f t="shared" si="36"/>
        <v>-0.45200000000000001</v>
      </c>
      <c r="H176">
        <f t="shared" si="28"/>
        <v>-809.98400000000004</v>
      </c>
      <c r="I176">
        <v>1</v>
      </c>
      <c r="J176">
        <f t="shared" si="29"/>
        <v>0.58333231455273893</v>
      </c>
      <c r="K176">
        <f t="shared" si="30"/>
        <v>-0.7697251517752175</v>
      </c>
      <c r="L176">
        <v>1</v>
      </c>
      <c r="M176">
        <f t="shared" si="31"/>
        <v>0.5187941237658158</v>
      </c>
      <c r="N176">
        <f t="shared" si="37"/>
        <v>0.14336000000000002</v>
      </c>
      <c r="O176">
        <f t="shared" si="38"/>
        <v>3.418974892397348E-2</v>
      </c>
      <c r="P176">
        <f t="shared" si="39"/>
        <v>7.3381279085428214E-2</v>
      </c>
    </row>
    <row r="177" spans="1:16">
      <c r="A177">
        <v>9.01</v>
      </c>
      <c r="B177">
        <v>0.45</v>
      </c>
      <c r="C177">
        <f t="shared" si="25"/>
        <v>4.0545</v>
      </c>
      <c r="D177">
        <v>1.6E-2</v>
      </c>
      <c r="E177">
        <v>3.8158201924077539E-3</v>
      </c>
      <c r="F177">
        <f t="shared" si="26"/>
        <v>1802</v>
      </c>
      <c r="G177">
        <f t="shared" si="36"/>
        <v>-0.45</v>
      </c>
      <c r="H177">
        <f t="shared" si="28"/>
        <v>-810.9</v>
      </c>
      <c r="I177">
        <v>1</v>
      </c>
      <c r="J177">
        <f t="shared" si="29"/>
        <v>0.58889715918614616</v>
      </c>
      <c r="K177">
        <f t="shared" si="30"/>
        <v>-0.7717251517752175</v>
      </c>
      <c r="L177">
        <v>1</v>
      </c>
      <c r="M177">
        <f t="shared" si="31"/>
        <v>0.51902845937332864</v>
      </c>
      <c r="N177">
        <f t="shared" si="37"/>
        <v>0.14416000000000001</v>
      </c>
      <c r="O177">
        <f t="shared" si="38"/>
        <v>3.4380539933593864E-2</v>
      </c>
      <c r="P177">
        <f t="shared" si="39"/>
        <v>7.4156152468294989E-2</v>
      </c>
    </row>
    <row r="178" spans="1:16">
      <c r="A178">
        <v>9.06</v>
      </c>
      <c r="B178">
        <v>0.44800000000000001</v>
      </c>
      <c r="C178">
        <f t="shared" si="25"/>
        <v>4.0588800000000003</v>
      </c>
      <c r="D178">
        <v>1.6E-2</v>
      </c>
      <c r="E178">
        <v>3.8158201924077539E-3</v>
      </c>
      <c r="F178">
        <f t="shared" si="26"/>
        <v>1812</v>
      </c>
      <c r="G178">
        <f t="shared" si="36"/>
        <v>-0.44800000000000001</v>
      </c>
      <c r="H178">
        <f t="shared" si="28"/>
        <v>-811.77600000000007</v>
      </c>
      <c r="I178">
        <v>1</v>
      </c>
      <c r="J178">
        <f t="shared" si="29"/>
        <v>0.5944312076207876</v>
      </c>
      <c r="K178">
        <f t="shared" si="30"/>
        <v>-0.7737251517752175</v>
      </c>
      <c r="L178">
        <v>1</v>
      </c>
      <c r="M178">
        <f t="shared" si="31"/>
        <v>0.51926149815291134</v>
      </c>
      <c r="N178">
        <f t="shared" si="37"/>
        <v>0.14496000000000001</v>
      </c>
      <c r="O178">
        <f t="shared" si="38"/>
        <v>3.4571330943214254E-2</v>
      </c>
      <c r="P178">
        <f t="shared" si="39"/>
        <v>7.4932322679091903E-2</v>
      </c>
    </row>
    <row r="179" spans="1:16">
      <c r="A179">
        <v>9.11</v>
      </c>
      <c r="B179">
        <v>0.44600000000000001</v>
      </c>
      <c r="C179">
        <f t="shared" si="25"/>
        <v>4.0630600000000001</v>
      </c>
      <c r="D179">
        <v>1.6E-2</v>
      </c>
      <c r="E179">
        <v>3.8158201924077539E-3</v>
      </c>
      <c r="F179">
        <f t="shared" si="26"/>
        <v>1822</v>
      </c>
      <c r="G179">
        <f t="shared" si="36"/>
        <v>-0.44600000000000001</v>
      </c>
      <c r="H179">
        <f t="shared" si="28"/>
        <v>-812.61200000000008</v>
      </c>
      <c r="I179">
        <v>1</v>
      </c>
      <c r="J179">
        <f t="shared" si="29"/>
        <v>0.59993479883776657</v>
      </c>
      <c r="K179">
        <f t="shared" si="30"/>
        <v>-0.7757251517752175</v>
      </c>
      <c r="L179">
        <v>1</v>
      </c>
      <c r="M179">
        <f t="shared" si="31"/>
        <v>0.51949325437905836</v>
      </c>
      <c r="N179">
        <f t="shared" si="37"/>
        <v>0.14576</v>
      </c>
      <c r="O179">
        <f t="shared" si="38"/>
        <v>3.4762121952834638E-2</v>
      </c>
      <c r="P179">
        <f t="shared" si="39"/>
        <v>7.5709775443324509E-2</v>
      </c>
    </row>
    <row r="180" spans="1:16">
      <c r="A180">
        <v>9.16</v>
      </c>
      <c r="B180">
        <v>0.44400000000000001</v>
      </c>
      <c r="C180">
        <f t="shared" si="25"/>
        <v>4.0670400000000004</v>
      </c>
      <c r="D180">
        <v>1.6E-2</v>
      </c>
      <c r="E180">
        <v>3.8158201924077539E-3</v>
      </c>
      <c r="F180">
        <f t="shared" si="26"/>
        <v>1832</v>
      </c>
      <c r="G180">
        <f t="shared" si="36"/>
        <v>-0.44400000000000001</v>
      </c>
      <c r="H180">
        <f t="shared" si="28"/>
        <v>-813.40800000000013</v>
      </c>
      <c r="I180">
        <v>1</v>
      </c>
      <c r="J180">
        <f t="shared" si="29"/>
        <v>0.60540826625193855</v>
      </c>
      <c r="K180">
        <f t="shared" si="30"/>
        <v>-0.7777251517752175</v>
      </c>
      <c r="L180">
        <v>1</v>
      </c>
      <c r="M180">
        <f t="shared" si="31"/>
        <v>0.51972374209186911</v>
      </c>
      <c r="N180">
        <f t="shared" si="37"/>
        <v>0.14656</v>
      </c>
      <c r="O180">
        <f t="shared" si="38"/>
        <v>3.4952912962455028E-2</v>
      </c>
      <c r="P180">
        <f t="shared" si="39"/>
        <v>7.6488496720893362E-2</v>
      </c>
    </row>
    <row r="181" spans="1:16">
      <c r="A181">
        <v>9.2100000000000009</v>
      </c>
      <c r="B181">
        <v>0.441</v>
      </c>
      <c r="C181">
        <f t="shared" si="25"/>
        <v>4.0616100000000008</v>
      </c>
      <c r="D181">
        <v>1.6E-2</v>
      </c>
      <c r="E181">
        <v>3.8158201924077539E-3</v>
      </c>
      <c r="F181">
        <f t="shared" si="26"/>
        <v>1842.0000000000002</v>
      </c>
      <c r="G181">
        <f t="shared" si="36"/>
        <v>-0.441</v>
      </c>
      <c r="H181">
        <f t="shared" si="28"/>
        <v>-812.32200000000012</v>
      </c>
      <c r="I181">
        <v>1</v>
      </c>
      <c r="J181">
        <f t="shared" si="29"/>
        <v>0.61085193783311531</v>
      </c>
      <c r="K181">
        <f t="shared" si="30"/>
        <v>-0.7807251517752174</v>
      </c>
      <c r="L181">
        <v>1</v>
      </c>
      <c r="M181">
        <f t="shared" si="31"/>
        <v>0.51995297510215244</v>
      </c>
      <c r="N181">
        <f t="shared" si="37"/>
        <v>0.14736000000000002</v>
      </c>
      <c r="O181">
        <f t="shared" si="38"/>
        <v>3.5143703972075419E-2</v>
      </c>
      <c r="P181">
        <f t="shared" si="39"/>
        <v>7.8268472700989522E-2</v>
      </c>
    </row>
    <row r="182" spans="1:16">
      <c r="A182">
        <v>9.26</v>
      </c>
      <c r="B182">
        <v>0.44</v>
      </c>
      <c r="C182">
        <f t="shared" si="25"/>
        <v>4.0743999999999998</v>
      </c>
      <c r="D182">
        <v>1.6E-2</v>
      </c>
      <c r="E182">
        <v>3.8158201924077539E-3</v>
      </c>
      <c r="F182">
        <f t="shared" si="26"/>
        <v>1852</v>
      </c>
      <c r="G182">
        <f t="shared" si="36"/>
        <v>-0.44</v>
      </c>
      <c r="H182">
        <f t="shared" si="28"/>
        <v>-814.88</v>
      </c>
      <c r="I182">
        <v>1</v>
      </c>
      <c r="J182">
        <f t="shared" si="29"/>
        <v>0.61626613622398774</v>
      </c>
      <c r="K182">
        <f t="shared" si="30"/>
        <v>-0.78172515177521751</v>
      </c>
      <c r="L182">
        <v>1</v>
      </c>
      <c r="M182">
        <f t="shared" si="31"/>
        <v>0.52018096699639216</v>
      </c>
      <c r="N182">
        <f t="shared" si="37"/>
        <v>0.14815999999999999</v>
      </c>
      <c r="O182">
        <f t="shared" si="38"/>
        <v>3.5334494981695802E-2</v>
      </c>
      <c r="P182">
        <f t="shared" si="39"/>
        <v>7.8049689797129562E-2</v>
      </c>
    </row>
    <row r="183" spans="1:16">
      <c r="A183">
        <v>9.31</v>
      </c>
      <c r="B183">
        <v>0.437</v>
      </c>
      <c r="C183">
        <f t="shared" si="25"/>
        <v>4.0684700000000005</v>
      </c>
      <c r="D183">
        <v>1.6E-2</v>
      </c>
      <c r="E183">
        <v>3.8158201924077539E-3</v>
      </c>
      <c r="F183">
        <f t="shared" si="26"/>
        <v>1862</v>
      </c>
      <c r="G183">
        <f t="shared" si="36"/>
        <v>-0.437</v>
      </c>
      <c r="H183">
        <f t="shared" si="28"/>
        <v>-813.69400000000007</v>
      </c>
      <c r="I183">
        <v>1</v>
      </c>
      <c r="J183">
        <f t="shared" si="29"/>
        <v>0.62165117885487542</v>
      </c>
      <c r="K183">
        <f t="shared" si="30"/>
        <v>-0.7847251517752174</v>
      </c>
      <c r="L183">
        <v>1</v>
      </c>
      <c r="M183">
        <f t="shared" si="31"/>
        <v>0.52040773114157879</v>
      </c>
      <c r="N183">
        <f t="shared" si="37"/>
        <v>0.14896000000000001</v>
      </c>
      <c r="O183">
        <f t="shared" si="38"/>
        <v>3.5525285991316193E-2</v>
      </c>
      <c r="P183">
        <f t="shared" si="39"/>
        <v>7.9832134642322417E-2</v>
      </c>
    </row>
    <row r="184" spans="1:16">
      <c r="A184">
        <v>9.36</v>
      </c>
      <c r="B184">
        <v>0.435</v>
      </c>
      <c r="C184">
        <f t="shared" si="25"/>
        <v>4.0716000000000001</v>
      </c>
      <c r="D184">
        <v>1.6E-2</v>
      </c>
      <c r="E184">
        <v>3.8158201924077539E-3</v>
      </c>
      <c r="F184">
        <f t="shared" si="26"/>
        <v>1872</v>
      </c>
      <c r="G184">
        <f t="shared" si="36"/>
        <v>-0.435</v>
      </c>
      <c r="H184">
        <f t="shared" si="28"/>
        <v>-814.32</v>
      </c>
      <c r="I184">
        <v>1</v>
      </c>
      <c r="J184">
        <f t="shared" si="29"/>
        <v>0.62700737805540041</v>
      </c>
      <c r="K184">
        <f t="shared" si="30"/>
        <v>-0.7867251517752174</v>
      </c>
      <c r="L184">
        <v>1</v>
      </c>
      <c r="M184">
        <f t="shared" si="31"/>
        <v>0.52063328068991288</v>
      </c>
      <c r="N184">
        <f t="shared" si="37"/>
        <v>0.14976</v>
      </c>
      <c r="O184">
        <f t="shared" si="38"/>
        <v>3.5716077000936576E-2</v>
      </c>
      <c r="P184">
        <f t="shared" si="39"/>
        <v>8.0615794084367948E-2</v>
      </c>
    </row>
    <row r="185" spans="1:16">
      <c r="A185">
        <v>9.42</v>
      </c>
      <c r="B185">
        <v>0.434</v>
      </c>
      <c r="C185">
        <f t="shared" si="25"/>
        <v>4.0882800000000001</v>
      </c>
      <c r="D185">
        <v>1.6E-2</v>
      </c>
      <c r="E185">
        <v>3.8158201924077539E-3</v>
      </c>
      <c r="F185">
        <f t="shared" si="26"/>
        <v>1884</v>
      </c>
      <c r="G185">
        <f t="shared" si="36"/>
        <v>-0.434</v>
      </c>
      <c r="H185">
        <f t="shared" si="28"/>
        <v>-817.65600000000006</v>
      </c>
      <c r="I185">
        <v>1</v>
      </c>
      <c r="J185">
        <f t="shared" si="29"/>
        <v>0.63339717615417124</v>
      </c>
      <c r="K185">
        <f t="shared" si="30"/>
        <v>-0.78772515177521751</v>
      </c>
      <c r="L185">
        <v>1</v>
      </c>
      <c r="M185">
        <f t="shared" si="31"/>
        <v>0.52090235508785221</v>
      </c>
      <c r="N185">
        <f t="shared" si="37"/>
        <v>0.15071999999999999</v>
      </c>
      <c r="O185">
        <f t="shared" si="38"/>
        <v>3.5945026212481045E-2</v>
      </c>
      <c r="P185">
        <f t="shared" si="39"/>
        <v>8.015777047488426E-2</v>
      </c>
    </row>
    <row r="186" spans="1:16">
      <c r="A186">
        <v>9.4700000000000006</v>
      </c>
      <c r="B186">
        <v>0.432</v>
      </c>
      <c r="C186">
        <f t="shared" si="25"/>
        <v>4.0910400000000005</v>
      </c>
      <c r="D186">
        <v>1.6E-2</v>
      </c>
      <c r="E186">
        <v>3.8158201924077539E-3</v>
      </c>
      <c r="F186">
        <f t="shared" si="26"/>
        <v>1894.0000000000002</v>
      </c>
      <c r="G186">
        <f t="shared" si="36"/>
        <v>-0.432</v>
      </c>
      <c r="H186">
        <f t="shared" si="28"/>
        <v>-818.20800000000008</v>
      </c>
      <c r="I186">
        <v>1</v>
      </c>
      <c r="J186">
        <f t="shared" si="29"/>
        <v>0.63869099476388658</v>
      </c>
      <c r="K186">
        <f t="shared" si="30"/>
        <v>-0.78972515177521752</v>
      </c>
      <c r="L186">
        <v>1</v>
      </c>
      <c r="M186">
        <f t="shared" si="31"/>
        <v>0.52112527778950724</v>
      </c>
      <c r="N186">
        <f t="shared" si="37"/>
        <v>0.15152000000000002</v>
      </c>
      <c r="O186">
        <f t="shared" si="38"/>
        <v>3.6135817222101435E-2</v>
      </c>
      <c r="P186">
        <f t="shared" si="39"/>
        <v>8.0944056763608829E-2</v>
      </c>
    </row>
    <row r="187" spans="1:16">
      <c r="A187">
        <v>9.42</v>
      </c>
      <c r="B187">
        <v>0.433</v>
      </c>
      <c r="C187">
        <f t="shared" si="25"/>
        <v>4.0788599999999997</v>
      </c>
      <c r="D187">
        <v>1.6E-2</v>
      </c>
      <c r="E187">
        <v>3.8158201924077539E-3</v>
      </c>
      <c r="F187">
        <f t="shared" si="26"/>
        <v>1884</v>
      </c>
      <c r="G187">
        <f t="shared" si="36"/>
        <v>-0.433</v>
      </c>
      <c r="H187">
        <f t="shared" si="28"/>
        <v>-815.77199999999993</v>
      </c>
      <c r="I187">
        <v>1</v>
      </c>
      <c r="J187">
        <f t="shared" si="29"/>
        <v>0.63339717615417124</v>
      </c>
      <c r="K187">
        <f t="shared" si="30"/>
        <v>-0.7887251517752174</v>
      </c>
      <c r="L187">
        <v>1</v>
      </c>
      <c r="M187">
        <f t="shared" si="31"/>
        <v>0.52090235508785221</v>
      </c>
      <c r="N187">
        <f t="shared" si="37"/>
        <v>0.15071999999999999</v>
      </c>
      <c r="O187">
        <f t="shared" si="38"/>
        <v>3.5945026212481045E-2</v>
      </c>
      <c r="P187">
        <f t="shared" si="39"/>
        <v>8.115777047488415E-2</v>
      </c>
    </row>
    <row r="188" spans="1:16">
      <c r="A188">
        <v>9.36</v>
      </c>
      <c r="B188">
        <v>0.434</v>
      </c>
      <c r="C188">
        <f t="shared" si="25"/>
        <v>4.0622400000000001</v>
      </c>
      <c r="D188">
        <v>1.6E-2</v>
      </c>
      <c r="E188">
        <v>3.8158201924077539E-3</v>
      </c>
      <c r="F188">
        <f t="shared" si="26"/>
        <v>1872</v>
      </c>
      <c r="G188">
        <f t="shared" ref="G188:G211" si="40">-B188</f>
        <v>-0.434</v>
      </c>
      <c r="H188">
        <f t="shared" si="28"/>
        <v>-812.44799999999998</v>
      </c>
      <c r="I188">
        <v>1</v>
      </c>
      <c r="J188">
        <f t="shared" si="29"/>
        <v>0.62700737805540041</v>
      </c>
      <c r="K188">
        <f t="shared" ref="K188:K211" si="41">((-G188)-$N$2)</f>
        <v>-0.78772515177521751</v>
      </c>
      <c r="L188">
        <v>1</v>
      </c>
      <c r="M188">
        <f t="shared" si="31"/>
        <v>0.52063328068991288</v>
      </c>
      <c r="N188">
        <f t="shared" ref="N188:N211" si="42">D188*A188</f>
        <v>0.14976</v>
      </c>
      <c r="O188">
        <f t="shared" ref="O188:O211" si="43">E188*A188</f>
        <v>3.5716077000936576E-2</v>
      </c>
      <c r="P188">
        <f t="shared" ref="P188:P211" si="44">-K188-M188-N188-O188</f>
        <v>8.161579408436806E-2</v>
      </c>
    </row>
    <row r="189" spans="1:16">
      <c r="A189">
        <v>9.41</v>
      </c>
      <c r="B189">
        <v>0.433</v>
      </c>
      <c r="C189">
        <f t="shared" si="25"/>
        <v>4.0745300000000002</v>
      </c>
      <c r="D189">
        <v>1.6E-2</v>
      </c>
      <c r="E189">
        <v>3.8158201924077539E-3</v>
      </c>
      <c r="F189">
        <f t="shared" si="26"/>
        <v>1882</v>
      </c>
      <c r="G189">
        <f t="shared" si="40"/>
        <v>-0.433</v>
      </c>
      <c r="H189">
        <f t="shared" si="28"/>
        <v>-814.90600000000006</v>
      </c>
      <c r="I189">
        <v>1</v>
      </c>
      <c r="J189">
        <f t="shared" si="29"/>
        <v>0.63233504116318784</v>
      </c>
      <c r="K189">
        <f t="shared" si="41"/>
        <v>-0.7887251517752174</v>
      </c>
      <c r="L189">
        <v>1</v>
      </c>
      <c r="M189">
        <f t="shared" si="31"/>
        <v>0.5208576285833818</v>
      </c>
      <c r="N189">
        <f t="shared" si="42"/>
        <v>0.15056</v>
      </c>
      <c r="O189">
        <f t="shared" si="43"/>
        <v>3.5906868010556967E-2</v>
      </c>
      <c r="P189">
        <f t="shared" si="44"/>
        <v>8.1400655181278633E-2</v>
      </c>
    </row>
    <row r="190" spans="1:16">
      <c r="A190">
        <v>9.4700000000000006</v>
      </c>
      <c r="B190">
        <v>0.43099999999999999</v>
      </c>
      <c r="C190">
        <f t="shared" si="25"/>
        <v>4.0815700000000001</v>
      </c>
      <c r="D190">
        <v>1.6E-2</v>
      </c>
      <c r="E190">
        <v>3.8158201924077539E-3</v>
      </c>
      <c r="F190">
        <f t="shared" si="26"/>
        <v>1894.0000000000002</v>
      </c>
      <c r="G190">
        <f t="shared" si="40"/>
        <v>-0.43099999999999999</v>
      </c>
      <c r="H190">
        <f t="shared" si="28"/>
        <v>-816.31400000000008</v>
      </c>
      <c r="I190">
        <v>1</v>
      </c>
      <c r="J190">
        <f t="shared" si="29"/>
        <v>0.63869099476388658</v>
      </c>
      <c r="K190">
        <f t="shared" si="41"/>
        <v>-0.79072515177521741</v>
      </c>
      <c r="L190">
        <v>1</v>
      </c>
      <c r="M190">
        <f t="shared" si="31"/>
        <v>0.52112527778950724</v>
      </c>
      <c r="N190">
        <f t="shared" si="42"/>
        <v>0.15152000000000002</v>
      </c>
      <c r="O190">
        <f t="shared" si="43"/>
        <v>3.6135817222101435E-2</v>
      </c>
      <c r="P190">
        <f t="shared" si="44"/>
        <v>8.1944056763608719E-2</v>
      </c>
    </row>
    <row r="191" spans="1:16">
      <c r="A191">
        <v>9.52</v>
      </c>
      <c r="B191">
        <v>0.42899999999999999</v>
      </c>
      <c r="C191">
        <f t="shared" si="25"/>
        <v>4.0840800000000002</v>
      </c>
      <c r="D191">
        <v>1.6E-2</v>
      </c>
      <c r="E191">
        <v>3.8158201924077539E-3</v>
      </c>
      <c r="F191">
        <f t="shared" si="26"/>
        <v>1904</v>
      </c>
      <c r="G191">
        <f t="shared" si="40"/>
        <v>-0.42899999999999999</v>
      </c>
      <c r="H191">
        <f t="shared" si="28"/>
        <v>-816.81600000000003</v>
      </c>
      <c r="I191">
        <v>1</v>
      </c>
      <c r="J191">
        <f t="shared" si="29"/>
        <v>0.6439569363691735</v>
      </c>
      <c r="K191">
        <f t="shared" si="41"/>
        <v>-0.79272515177521741</v>
      </c>
      <c r="L191">
        <v>1</v>
      </c>
      <c r="M191">
        <f t="shared" si="31"/>
        <v>0.52134702659050591</v>
      </c>
      <c r="N191">
        <f t="shared" si="42"/>
        <v>0.15231999999999998</v>
      </c>
      <c r="O191">
        <f t="shared" si="43"/>
        <v>3.6326608231721819E-2</v>
      </c>
      <c r="P191">
        <f t="shared" si="44"/>
        <v>8.2731516952989692E-2</v>
      </c>
    </row>
    <row r="192" spans="1:16">
      <c r="A192">
        <v>9.57</v>
      </c>
      <c r="B192">
        <v>0.42699999999999999</v>
      </c>
      <c r="C192">
        <f t="shared" si="25"/>
        <v>4.0863899999999997</v>
      </c>
      <c r="D192">
        <v>1.6E-2</v>
      </c>
      <c r="E192">
        <v>3.8158201924077539E-3</v>
      </c>
      <c r="F192">
        <f t="shared" si="26"/>
        <v>1914</v>
      </c>
      <c r="G192">
        <f t="shared" si="40"/>
        <v>-0.42699999999999999</v>
      </c>
      <c r="H192">
        <f t="shared" si="28"/>
        <v>-817.27799999999991</v>
      </c>
      <c r="I192">
        <v>1</v>
      </c>
      <c r="J192">
        <f t="shared" si="29"/>
        <v>0.64919529303076251</v>
      </c>
      <c r="K192">
        <f t="shared" si="41"/>
        <v>-0.79472515177521741</v>
      </c>
      <c r="L192">
        <v>1</v>
      </c>
      <c r="M192">
        <f t="shared" si="31"/>
        <v>0.52156761378952543</v>
      </c>
      <c r="N192">
        <f t="shared" si="42"/>
        <v>0.15312000000000001</v>
      </c>
      <c r="O192">
        <f t="shared" si="43"/>
        <v>3.6517399241342209E-2</v>
      </c>
      <c r="P192">
        <f t="shared" si="44"/>
        <v>8.352013874434977E-2</v>
      </c>
    </row>
    <row r="193" spans="1:16">
      <c r="A193">
        <v>9.6199999999999992</v>
      </c>
      <c r="B193">
        <v>0.42499999999999999</v>
      </c>
      <c r="C193">
        <f t="shared" si="25"/>
        <v>4.0884999999999998</v>
      </c>
      <c r="D193">
        <v>1.6E-2</v>
      </c>
      <c r="E193">
        <v>3.8158201924077539E-3</v>
      </c>
      <c r="F193">
        <f t="shared" si="26"/>
        <v>1923.9999999999998</v>
      </c>
      <c r="G193">
        <f t="shared" si="40"/>
        <v>-0.42499999999999999</v>
      </c>
      <c r="H193">
        <f t="shared" si="28"/>
        <v>-817.69999999999993</v>
      </c>
      <c r="I193">
        <v>1</v>
      </c>
      <c r="J193">
        <f t="shared" si="29"/>
        <v>0.65440635224351462</v>
      </c>
      <c r="K193">
        <f t="shared" si="41"/>
        <v>-0.79672515177521741</v>
      </c>
      <c r="L193">
        <v>1</v>
      </c>
      <c r="M193">
        <f t="shared" si="31"/>
        <v>0.52178705149297444</v>
      </c>
      <c r="N193">
        <f t="shared" si="42"/>
        <v>0.15392</v>
      </c>
      <c r="O193">
        <f t="shared" si="43"/>
        <v>3.6708190250962593E-2</v>
      </c>
      <c r="P193">
        <f t="shared" si="44"/>
        <v>8.4309910031280383E-2</v>
      </c>
    </row>
    <row r="194" spans="1:16">
      <c r="A194">
        <v>9.67</v>
      </c>
      <c r="B194">
        <v>0.42299999999999999</v>
      </c>
      <c r="C194">
        <f t="shared" si="25"/>
        <v>4.0904099999999994</v>
      </c>
      <c r="D194">
        <v>1.6E-2</v>
      </c>
      <c r="E194">
        <v>3.8158201924077539E-3</v>
      </c>
      <c r="F194">
        <f t="shared" si="26"/>
        <v>1934</v>
      </c>
      <c r="G194">
        <f t="shared" si="40"/>
        <v>-0.42299999999999999</v>
      </c>
      <c r="H194">
        <f t="shared" si="28"/>
        <v>-818.08199999999988</v>
      </c>
      <c r="I194">
        <v>1</v>
      </c>
      <c r="J194">
        <f t="shared" si="29"/>
        <v>0.65959039703110256</v>
      </c>
      <c r="K194">
        <f t="shared" si="41"/>
        <v>-0.79872515177521741</v>
      </c>
      <c r="L194">
        <v>1</v>
      </c>
      <c r="M194">
        <f t="shared" si="31"/>
        <v>0.52200535161897976</v>
      </c>
      <c r="N194">
        <f t="shared" si="42"/>
        <v>0.15472</v>
      </c>
      <c r="O194">
        <f t="shared" si="43"/>
        <v>3.6898981260582983E-2</v>
      </c>
      <c r="P194">
        <f t="shared" si="44"/>
        <v>8.510081889565467E-2</v>
      </c>
    </row>
    <row r="195" spans="1:16">
      <c r="A195">
        <v>9.7200000000000006</v>
      </c>
      <c r="B195">
        <v>0.42099999999999999</v>
      </c>
      <c r="C195">
        <f t="shared" si="25"/>
        <v>4.0921200000000004</v>
      </c>
      <c r="D195">
        <v>1.6E-2</v>
      </c>
      <c r="E195">
        <v>3.8158201924077539E-3</v>
      </c>
      <c r="F195">
        <f t="shared" si="26"/>
        <v>1944.0000000000002</v>
      </c>
      <c r="G195">
        <f t="shared" si="40"/>
        <v>-0.42099999999999999</v>
      </c>
      <c r="H195">
        <f t="shared" si="28"/>
        <v>-818.42400000000009</v>
      </c>
      <c r="I195">
        <v>1</v>
      </c>
      <c r="J195">
        <f t="shared" si="29"/>
        <v>0.6647477060382474</v>
      </c>
      <c r="K195">
        <f t="shared" si="41"/>
        <v>-0.80072515177521741</v>
      </c>
      <c r="L195">
        <v>1</v>
      </c>
      <c r="M195">
        <f t="shared" si="31"/>
        <v>0.52222252590127061</v>
      </c>
      <c r="N195">
        <f t="shared" si="42"/>
        <v>0.15552000000000002</v>
      </c>
      <c r="O195">
        <f t="shared" si="43"/>
        <v>3.7089772270203374E-2</v>
      </c>
      <c r="P195">
        <f t="shared" si="44"/>
        <v>8.5892853603743408E-2</v>
      </c>
    </row>
    <row r="196" spans="1:16">
      <c r="A196">
        <v>9.7799999999999994</v>
      </c>
      <c r="B196">
        <v>0.41899999999999998</v>
      </c>
      <c r="C196">
        <f t="shared" si="25"/>
        <v>4.0978199999999996</v>
      </c>
      <c r="D196">
        <v>1.6E-2</v>
      </c>
      <c r="E196">
        <v>3.8158201924077539E-3</v>
      </c>
      <c r="F196">
        <f t="shared" si="26"/>
        <v>1955.9999999999998</v>
      </c>
      <c r="G196">
        <f t="shared" si="40"/>
        <v>-0.41899999999999998</v>
      </c>
      <c r="H196">
        <f t="shared" si="28"/>
        <v>-819.56399999999996</v>
      </c>
      <c r="I196">
        <v>1</v>
      </c>
      <c r="J196">
        <f t="shared" si="29"/>
        <v>0.67090157161262542</v>
      </c>
      <c r="K196">
        <f t="shared" si="41"/>
        <v>-0.80272515177521742</v>
      </c>
      <c r="L196">
        <v>1</v>
      </c>
      <c r="M196">
        <f t="shared" si="31"/>
        <v>0.52248166518060768</v>
      </c>
      <c r="N196">
        <f t="shared" si="42"/>
        <v>0.15647999999999998</v>
      </c>
      <c r="O196">
        <f t="shared" si="43"/>
        <v>3.7318721481747828E-2</v>
      </c>
      <c r="P196">
        <f t="shared" si="44"/>
        <v>8.6444765112861921E-2</v>
      </c>
    </row>
    <row r="197" spans="1:16">
      <c r="A197">
        <v>9.83</v>
      </c>
      <c r="B197">
        <v>0.41599999999999998</v>
      </c>
      <c r="C197">
        <f t="shared" ref="C197:C211" si="45">A197*B197</f>
        <v>4.0892799999999996</v>
      </c>
      <c r="D197">
        <v>1.6E-2</v>
      </c>
      <c r="E197">
        <v>3.8158201924077539E-3</v>
      </c>
      <c r="F197">
        <f t="shared" ref="F197:F260" si="46">A197*200</f>
        <v>1966</v>
      </c>
      <c r="G197">
        <f t="shared" si="40"/>
        <v>-0.41599999999999998</v>
      </c>
      <c r="H197">
        <f t="shared" ref="H197:H211" si="47">-C197*200</f>
        <v>-817.85599999999988</v>
      </c>
      <c r="I197">
        <v>1</v>
      </c>
      <c r="J197">
        <f t="shared" ref="J197:J260" si="48">LN(F197/1000)</f>
        <v>0.67600102172497478</v>
      </c>
      <c r="K197">
        <f t="shared" si="41"/>
        <v>-0.80572515177521753</v>
      </c>
      <c r="L197">
        <v>1</v>
      </c>
      <c r="M197">
        <f t="shared" ref="M197:M260" si="49">-1*($S$4+($S$5*J197))</f>
        <v>0.52269640302483866</v>
      </c>
      <c r="N197">
        <f t="shared" si="42"/>
        <v>0.15728</v>
      </c>
      <c r="O197">
        <f t="shared" si="43"/>
        <v>3.7509512491368219E-2</v>
      </c>
      <c r="P197">
        <f t="shared" si="44"/>
        <v>8.8239236259010645E-2</v>
      </c>
    </row>
    <row r="198" spans="1:16">
      <c r="A198">
        <v>9.8800000000000008</v>
      </c>
      <c r="B198">
        <v>0.41399999999999998</v>
      </c>
      <c r="C198">
        <f t="shared" si="45"/>
        <v>4.0903200000000002</v>
      </c>
      <c r="D198">
        <v>1.6E-2</v>
      </c>
      <c r="E198">
        <v>3.8158201924077539E-3</v>
      </c>
      <c r="F198">
        <f t="shared" si="46"/>
        <v>1976.0000000000002</v>
      </c>
      <c r="G198">
        <f t="shared" si="40"/>
        <v>-0.41399999999999998</v>
      </c>
      <c r="H198">
        <f t="shared" si="47"/>
        <v>-818.06400000000008</v>
      </c>
      <c r="I198">
        <v>1</v>
      </c>
      <c r="J198">
        <f t="shared" si="48"/>
        <v>0.68107459932567616</v>
      </c>
      <c r="K198">
        <f t="shared" si="41"/>
        <v>-0.80772515177521753</v>
      </c>
      <c r="L198">
        <v>1</v>
      </c>
      <c r="M198">
        <f t="shared" si="49"/>
        <v>0.52291005137760427</v>
      </c>
      <c r="N198">
        <f t="shared" si="42"/>
        <v>0.15808000000000003</v>
      </c>
      <c r="O198">
        <f t="shared" si="43"/>
        <v>3.7700303500988609E-2</v>
      </c>
      <c r="P198">
        <f t="shared" si="44"/>
        <v>8.9034796896624635E-2</v>
      </c>
    </row>
    <row r="199" spans="1:16">
      <c r="A199">
        <v>9.94</v>
      </c>
      <c r="B199">
        <v>0.41199999999999998</v>
      </c>
      <c r="C199">
        <f t="shared" si="45"/>
        <v>4.0952799999999998</v>
      </c>
      <c r="D199">
        <v>1.6E-2</v>
      </c>
      <c r="E199">
        <v>3.8158201924077539E-3</v>
      </c>
      <c r="F199">
        <f t="shared" si="46"/>
        <v>1988</v>
      </c>
      <c r="G199">
        <f t="shared" si="40"/>
        <v>-0.41199999999999998</v>
      </c>
      <c r="H199">
        <f t="shared" si="47"/>
        <v>-819.05599999999993</v>
      </c>
      <c r="I199">
        <v>1</v>
      </c>
      <c r="J199">
        <f t="shared" si="48"/>
        <v>0.68712910823438234</v>
      </c>
      <c r="K199">
        <f t="shared" si="41"/>
        <v>-0.80972515177521753</v>
      </c>
      <c r="L199">
        <v>1</v>
      </c>
      <c r="M199">
        <f t="shared" si="49"/>
        <v>0.52316500674774979</v>
      </c>
      <c r="N199">
        <f t="shared" si="42"/>
        <v>0.15903999999999999</v>
      </c>
      <c r="O199">
        <f t="shared" si="43"/>
        <v>3.7929252712533071E-2</v>
      </c>
      <c r="P199">
        <f t="shared" si="44"/>
        <v>8.9590892314934681E-2</v>
      </c>
    </row>
    <row r="200" spans="1:16">
      <c r="A200">
        <v>9.99</v>
      </c>
      <c r="B200">
        <v>0.41</v>
      </c>
      <c r="C200">
        <f t="shared" si="45"/>
        <v>4.0958999999999994</v>
      </c>
      <c r="D200">
        <v>1.6E-2</v>
      </c>
      <c r="E200">
        <v>3.8158201924077539E-3</v>
      </c>
      <c r="F200">
        <f t="shared" si="46"/>
        <v>1998</v>
      </c>
      <c r="G200">
        <f t="shared" si="40"/>
        <v>-0.41</v>
      </c>
      <c r="H200">
        <f t="shared" si="47"/>
        <v>-819.17999999999984</v>
      </c>
      <c r="I200">
        <v>1</v>
      </c>
      <c r="J200">
        <f t="shared" si="48"/>
        <v>0.69214668022636172</v>
      </c>
      <c r="K200">
        <f t="shared" si="41"/>
        <v>-0.81172515177521753</v>
      </c>
      <c r="L200">
        <v>1</v>
      </c>
      <c r="M200">
        <f t="shared" si="49"/>
        <v>0.52337629670433206</v>
      </c>
      <c r="N200">
        <f t="shared" si="42"/>
        <v>0.15984000000000001</v>
      </c>
      <c r="O200">
        <f t="shared" si="43"/>
        <v>3.8120043722153461E-2</v>
      </c>
      <c r="P200">
        <f t="shared" si="44"/>
        <v>9.0388811348732001E-2</v>
      </c>
    </row>
    <row r="201" spans="1:16">
      <c r="A201">
        <v>10</v>
      </c>
      <c r="B201">
        <v>0.40799999999999997</v>
      </c>
      <c r="C201">
        <f t="shared" si="45"/>
        <v>4.08</v>
      </c>
      <c r="D201">
        <v>1.6E-2</v>
      </c>
      <c r="E201">
        <v>3.8158201924077539E-3</v>
      </c>
      <c r="F201">
        <f t="shared" si="46"/>
        <v>2000</v>
      </c>
      <c r="G201">
        <f t="shared" si="40"/>
        <v>-0.40799999999999997</v>
      </c>
      <c r="H201">
        <f t="shared" si="47"/>
        <v>-816</v>
      </c>
      <c r="I201">
        <v>1</v>
      </c>
      <c r="J201">
        <f t="shared" si="48"/>
        <v>0.69314718055994529</v>
      </c>
      <c r="K201">
        <f t="shared" si="41"/>
        <v>-0.81372515177521754</v>
      </c>
      <c r="L201">
        <v>1</v>
      </c>
      <c r="M201">
        <f t="shared" si="49"/>
        <v>0.52341842777337932</v>
      </c>
      <c r="N201">
        <f t="shared" si="42"/>
        <v>0.16</v>
      </c>
      <c r="O201">
        <f t="shared" si="43"/>
        <v>3.8158201924077539E-2</v>
      </c>
      <c r="P201">
        <f t="shared" si="44"/>
        <v>9.214852207776067E-2</v>
      </c>
    </row>
    <row r="202" spans="1:16">
      <c r="A202">
        <v>10.1</v>
      </c>
      <c r="B202">
        <v>0.40600000000000003</v>
      </c>
      <c r="C202">
        <f t="shared" si="45"/>
        <v>4.1006</v>
      </c>
      <c r="D202">
        <v>1.6E-2</v>
      </c>
      <c r="E202">
        <v>3.8158201924077539E-3</v>
      </c>
      <c r="F202">
        <f t="shared" si="46"/>
        <v>2020</v>
      </c>
      <c r="G202">
        <f t="shared" si="40"/>
        <v>-0.40600000000000003</v>
      </c>
      <c r="H202">
        <f t="shared" si="47"/>
        <v>-820.12</v>
      </c>
      <c r="I202">
        <v>1</v>
      </c>
      <c r="J202">
        <f t="shared" si="48"/>
        <v>0.70309751141311339</v>
      </c>
      <c r="K202">
        <f t="shared" si="41"/>
        <v>-0.81572515177521743</v>
      </c>
      <c r="L202">
        <v>1</v>
      </c>
      <c r="M202">
        <f t="shared" si="49"/>
        <v>0.52383743620560619</v>
      </c>
      <c r="N202">
        <f t="shared" si="42"/>
        <v>0.16159999999999999</v>
      </c>
      <c r="O202">
        <f t="shared" si="43"/>
        <v>3.8539783943318313E-2</v>
      </c>
      <c r="P202">
        <f t="shared" si="44"/>
        <v>9.1747931626292939E-2</v>
      </c>
    </row>
    <row r="203" spans="1:16">
      <c r="A203">
        <v>10.1</v>
      </c>
      <c r="B203">
        <v>0.40400000000000003</v>
      </c>
      <c r="C203">
        <f t="shared" si="45"/>
        <v>4.0804</v>
      </c>
      <c r="D203">
        <v>1.6E-2</v>
      </c>
      <c r="E203">
        <v>3.8158201924077539E-3</v>
      </c>
      <c r="F203">
        <f t="shared" si="46"/>
        <v>2020</v>
      </c>
      <c r="G203">
        <f t="shared" si="40"/>
        <v>-0.40400000000000003</v>
      </c>
      <c r="H203">
        <f t="shared" si="47"/>
        <v>-816.08</v>
      </c>
      <c r="I203">
        <v>1</v>
      </c>
      <c r="J203">
        <f t="shared" si="48"/>
        <v>0.70309751141311339</v>
      </c>
      <c r="K203">
        <f t="shared" si="41"/>
        <v>-0.81772515177521743</v>
      </c>
      <c r="L203">
        <v>1</v>
      </c>
      <c r="M203">
        <f t="shared" si="49"/>
        <v>0.52383743620560619</v>
      </c>
      <c r="N203">
        <f t="shared" si="42"/>
        <v>0.16159999999999999</v>
      </c>
      <c r="O203">
        <f t="shared" si="43"/>
        <v>3.8539783943318313E-2</v>
      </c>
      <c r="P203">
        <f t="shared" si="44"/>
        <v>9.3747931626292941E-2</v>
      </c>
    </row>
    <row r="204" spans="1:16">
      <c r="A204">
        <v>10.199999999999999</v>
      </c>
      <c r="B204">
        <v>0.40200000000000002</v>
      </c>
      <c r="C204">
        <f t="shared" si="45"/>
        <v>4.1003999999999996</v>
      </c>
      <c r="D204">
        <v>1.6E-2</v>
      </c>
      <c r="E204">
        <v>3.8158201924077539E-3</v>
      </c>
      <c r="F204">
        <f t="shared" si="46"/>
        <v>2039.9999999999998</v>
      </c>
      <c r="G204">
        <f t="shared" si="40"/>
        <v>-0.40200000000000002</v>
      </c>
      <c r="H204">
        <f t="shared" si="47"/>
        <v>-820.07999999999993</v>
      </c>
      <c r="I204">
        <v>1</v>
      </c>
      <c r="J204">
        <f t="shared" si="48"/>
        <v>0.71294980785612483</v>
      </c>
      <c r="K204">
        <f t="shared" si="41"/>
        <v>-0.81972515177521743</v>
      </c>
      <c r="L204">
        <v>1</v>
      </c>
      <c r="M204">
        <f t="shared" si="49"/>
        <v>0.52425231640882142</v>
      </c>
      <c r="N204">
        <f t="shared" si="42"/>
        <v>0.16319999999999998</v>
      </c>
      <c r="O204">
        <f t="shared" si="43"/>
        <v>3.8921365962559087E-2</v>
      </c>
      <c r="P204">
        <f t="shared" si="44"/>
        <v>9.3351469403836942E-2</v>
      </c>
    </row>
    <row r="205" spans="1:16">
      <c r="A205">
        <v>10.3</v>
      </c>
      <c r="B205">
        <v>0.4</v>
      </c>
      <c r="C205">
        <f t="shared" si="45"/>
        <v>4.12</v>
      </c>
      <c r="D205">
        <v>1.6E-2</v>
      </c>
      <c r="E205">
        <v>3.8158201924077539E-3</v>
      </c>
      <c r="F205">
        <f t="shared" si="46"/>
        <v>2060</v>
      </c>
      <c r="G205">
        <f t="shared" si="40"/>
        <v>-0.4</v>
      </c>
      <c r="H205">
        <f t="shared" si="47"/>
        <v>-824</v>
      </c>
      <c r="I205">
        <v>1</v>
      </c>
      <c r="J205">
        <f t="shared" si="48"/>
        <v>0.72270598280148979</v>
      </c>
      <c r="K205">
        <f t="shared" si="41"/>
        <v>-0.82172515177521743</v>
      </c>
      <c r="L205">
        <v>1</v>
      </c>
      <c r="M205">
        <f t="shared" si="49"/>
        <v>0.52466314893577071</v>
      </c>
      <c r="N205">
        <f t="shared" si="42"/>
        <v>0.1648</v>
      </c>
      <c r="O205">
        <f t="shared" si="43"/>
        <v>3.9302947981799868E-2</v>
      </c>
      <c r="P205">
        <f t="shared" si="44"/>
        <v>9.2959054857646856E-2</v>
      </c>
    </row>
    <row r="206" spans="1:16">
      <c r="A206">
        <v>10.3</v>
      </c>
      <c r="B206">
        <v>0.39700000000000002</v>
      </c>
      <c r="C206">
        <f t="shared" si="45"/>
        <v>4.0891000000000002</v>
      </c>
      <c r="D206">
        <v>1.6E-2</v>
      </c>
      <c r="E206">
        <v>3.8158201924077539E-3</v>
      </c>
      <c r="F206">
        <f t="shared" si="46"/>
        <v>2060</v>
      </c>
      <c r="G206">
        <f t="shared" si="40"/>
        <v>-0.39700000000000002</v>
      </c>
      <c r="H206">
        <f t="shared" si="47"/>
        <v>-817.82</v>
      </c>
      <c r="I206">
        <v>1</v>
      </c>
      <c r="J206">
        <f t="shared" si="48"/>
        <v>0.72270598280148979</v>
      </c>
      <c r="K206">
        <f t="shared" si="41"/>
        <v>-0.82472515177521744</v>
      </c>
      <c r="L206">
        <v>1</v>
      </c>
      <c r="M206">
        <f t="shared" si="49"/>
        <v>0.52466314893577071</v>
      </c>
      <c r="N206">
        <f t="shared" si="42"/>
        <v>0.1648</v>
      </c>
      <c r="O206">
        <f t="shared" si="43"/>
        <v>3.9302947981799868E-2</v>
      </c>
      <c r="P206">
        <f t="shared" si="44"/>
        <v>9.5959054857646858E-2</v>
      </c>
    </row>
    <row r="207" spans="1:16">
      <c r="A207">
        <v>10.4</v>
      </c>
      <c r="B207">
        <v>0.39500000000000002</v>
      </c>
      <c r="C207">
        <f t="shared" si="45"/>
        <v>4.1080000000000005</v>
      </c>
      <c r="D207">
        <v>1.6E-2</v>
      </c>
      <c r="E207">
        <v>3.8158201924077539E-3</v>
      </c>
      <c r="F207">
        <f t="shared" si="46"/>
        <v>2080</v>
      </c>
      <c r="G207">
        <f t="shared" si="40"/>
        <v>-0.39500000000000002</v>
      </c>
      <c r="H207">
        <f t="shared" si="47"/>
        <v>-821.60000000000014</v>
      </c>
      <c r="I207">
        <v>1</v>
      </c>
      <c r="J207">
        <f t="shared" si="48"/>
        <v>0.73236789371322664</v>
      </c>
      <c r="K207">
        <f t="shared" si="41"/>
        <v>-0.82672515177521744</v>
      </c>
      <c r="L207">
        <v>1</v>
      </c>
      <c r="M207">
        <f t="shared" si="49"/>
        <v>0.52507001200426395</v>
      </c>
      <c r="N207">
        <f t="shared" si="42"/>
        <v>0.16640000000000002</v>
      </c>
      <c r="O207">
        <f t="shared" si="43"/>
        <v>3.9684530001040642E-2</v>
      </c>
      <c r="P207">
        <f t="shared" si="44"/>
        <v>9.5570609769912829E-2</v>
      </c>
    </row>
    <row r="208" spans="1:16">
      <c r="A208">
        <v>10.4</v>
      </c>
      <c r="B208">
        <v>0.39300000000000002</v>
      </c>
      <c r="C208">
        <f t="shared" si="45"/>
        <v>4.0872000000000002</v>
      </c>
      <c r="D208">
        <v>1.6E-2</v>
      </c>
      <c r="E208">
        <v>3.8158201924077539E-3</v>
      </c>
      <c r="F208">
        <f t="shared" si="46"/>
        <v>2080</v>
      </c>
      <c r="G208">
        <f t="shared" si="40"/>
        <v>-0.39300000000000002</v>
      </c>
      <c r="H208">
        <f t="shared" si="47"/>
        <v>-817.44</v>
      </c>
      <c r="I208">
        <v>1</v>
      </c>
      <c r="J208">
        <f t="shared" si="48"/>
        <v>0.73236789371322664</v>
      </c>
      <c r="K208">
        <f t="shared" si="41"/>
        <v>-0.82872515177521744</v>
      </c>
      <c r="L208">
        <v>1</v>
      </c>
      <c r="M208">
        <f t="shared" si="49"/>
        <v>0.52507001200426395</v>
      </c>
      <c r="N208">
        <f t="shared" si="42"/>
        <v>0.16640000000000002</v>
      </c>
      <c r="O208">
        <f t="shared" si="43"/>
        <v>3.9684530001040642E-2</v>
      </c>
      <c r="P208">
        <f t="shared" si="44"/>
        <v>9.7570609769912831E-2</v>
      </c>
    </row>
    <row r="209" spans="1:16">
      <c r="A209">
        <v>10.5</v>
      </c>
      <c r="B209">
        <v>0.39100000000000001</v>
      </c>
      <c r="C209">
        <f t="shared" si="45"/>
        <v>4.1055000000000001</v>
      </c>
      <c r="D209">
        <v>1.6E-2</v>
      </c>
      <c r="E209">
        <v>3.8158201924077539E-3</v>
      </c>
      <c r="F209">
        <f t="shared" si="46"/>
        <v>2100</v>
      </c>
      <c r="G209">
        <f t="shared" si="40"/>
        <v>-0.39100000000000001</v>
      </c>
      <c r="H209">
        <f t="shared" si="47"/>
        <v>-821.1</v>
      </c>
      <c r="I209">
        <v>1</v>
      </c>
      <c r="J209">
        <f t="shared" si="48"/>
        <v>0.74193734472937733</v>
      </c>
      <c r="K209">
        <f t="shared" si="41"/>
        <v>-0.83072515177521744</v>
      </c>
      <c r="L209">
        <v>1</v>
      </c>
      <c r="M209">
        <f t="shared" si="49"/>
        <v>0.52547298158655409</v>
      </c>
      <c r="N209">
        <f t="shared" si="42"/>
        <v>0.16800000000000001</v>
      </c>
      <c r="O209">
        <f t="shared" si="43"/>
        <v>4.0066112020281416E-2</v>
      </c>
      <c r="P209">
        <f t="shared" si="44"/>
        <v>9.7186058168381925E-2</v>
      </c>
    </row>
    <row r="210" spans="1:16">
      <c r="A210">
        <v>10.5</v>
      </c>
      <c r="B210">
        <v>0.38900000000000001</v>
      </c>
      <c r="C210">
        <f t="shared" si="45"/>
        <v>4.0845000000000002</v>
      </c>
      <c r="D210">
        <v>1.6E-2</v>
      </c>
      <c r="E210">
        <v>3.8158201924077539E-3</v>
      </c>
      <c r="F210">
        <f t="shared" si="46"/>
        <v>2100</v>
      </c>
      <c r="G210">
        <f t="shared" si="40"/>
        <v>-0.38900000000000001</v>
      </c>
      <c r="H210">
        <f t="shared" si="47"/>
        <v>-816.90000000000009</v>
      </c>
      <c r="I210">
        <v>1</v>
      </c>
      <c r="J210">
        <f t="shared" si="48"/>
        <v>0.74193734472937733</v>
      </c>
      <c r="K210">
        <f t="shared" si="41"/>
        <v>-0.83272515177521744</v>
      </c>
      <c r="L210">
        <v>1</v>
      </c>
      <c r="M210">
        <f t="shared" si="49"/>
        <v>0.52547298158655409</v>
      </c>
      <c r="N210">
        <f t="shared" si="42"/>
        <v>0.16800000000000001</v>
      </c>
      <c r="O210">
        <f t="shared" si="43"/>
        <v>4.0066112020281416E-2</v>
      </c>
      <c r="P210">
        <f t="shared" si="44"/>
        <v>9.9186058168381927E-2</v>
      </c>
    </row>
    <row r="211" spans="1:16">
      <c r="A211">
        <v>10.6</v>
      </c>
      <c r="B211">
        <v>0.38700000000000001</v>
      </c>
      <c r="C211">
        <f t="shared" si="45"/>
        <v>4.1021999999999998</v>
      </c>
      <c r="D211">
        <v>1.6E-2</v>
      </c>
      <c r="E211">
        <v>3.8158201924077539E-3</v>
      </c>
      <c r="F211">
        <f t="shared" si="46"/>
        <v>2120</v>
      </c>
      <c r="G211">
        <f t="shared" si="40"/>
        <v>-0.38700000000000001</v>
      </c>
      <c r="H211">
        <f t="shared" si="47"/>
        <v>-820.43999999999994</v>
      </c>
      <c r="I211">
        <v>1</v>
      </c>
      <c r="J211">
        <f t="shared" si="48"/>
        <v>0.75141608868392118</v>
      </c>
      <c r="K211">
        <f t="shared" si="41"/>
        <v>-0.83472515177521744</v>
      </c>
      <c r="L211">
        <v>1</v>
      </c>
      <c r="M211">
        <f t="shared" si="49"/>
        <v>0.52587213149447987</v>
      </c>
      <c r="N211">
        <f t="shared" si="42"/>
        <v>0.1696</v>
      </c>
      <c r="O211">
        <f t="shared" si="43"/>
        <v>4.044769403952219E-2</v>
      </c>
      <c r="P211">
        <f t="shared" si="44"/>
        <v>9.880532624121538E-2</v>
      </c>
    </row>
    <row r="212" spans="1:16">
      <c r="A212">
        <v>10.6</v>
      </c>
      <c r="B212">
        <v>0.38500000000000001</v>
      </c>
      <c r="C212">
        <f t="shared" ref="C212:C275" si="50">A212*B212</f>
        <v>4.0809999999999995</v>
      </c>
      <c r="D212">
        <v>1.6E-2</v>
      </c>
      <c r="E212">
        <v>3.8158201924077539E-3</v>
      </c>
      <c r="F212">
        <f t="shared" si="46"/>
        <v>2120</v>
      </c>
      <c r="G212">
        <f t="shared" ref="G212:G275" si="51">-B212</f>
        <v>-0.38500000000000001</v>
      </c>
      <c r="H212">
        <f t="shared" ref="H212:H275" si="52">-C212*200</f>
        <v>-816.19999999999993</v>
      </c>
      <c r="I212">
        <v>1</v>
      </c>
      <c r="J212">
        <f t="shared" si="48"/>
        <v>0.75141608868392118</v>
      </c>
      <c r="K212">
        <f t="shared" ref="K212:K275" si="53">((-G212)-$N$2)</f>
        <v>-0.83672515177521745</v>
      </c>
      <c r="L212">
        <v>1</v>
      </c>
      <c r="M212">
        <f t="shared" si="49"/>
        <v>0.52587213149447987</v>
      </c>
      <c r="N212">
        <f t="shared" ref="N212:N275" si="54">D212*A212</f>
        <v>0.1696</v>
      </c>
      <c r="O212">
        <f t="shared" ref="O212:O275" si="55">E212*A212</f>
        <v>4.044769403952219E-2</v>
      </c>
      <c r="P212">
        <f t="shared" ref="P212:P275" si="56">-K212-M212-N212-O212</f>
        <v>0.10080532624121538</v>
      </c>
    </row>
    <row r="213" spans="1:16">
      <c r="A213">
        <v>10.7</v>
      </c>
      <c r="B213">
        <v>0.38300000000000001</v>
      </c>
      <c r="C213">
        <f t="shared" si="50"/>
        <v>4.0980999999999996</v>
      </c>
      <c r="D213">
        <v>1.6E-2</v>
      </c>
      <c r="E213">
        <v>3.8158201924077539E-3</v>
      </c>
      <c r="F213">
        <f t="shared" si="46"/>
        <v>2140</v>
      </c>
      <c r="G213">
        <f t="shared" si="51"/>
        <v>-0.38300000000000001</v>
      </c>
      <c r="H213">
        <f t="shared" si="52"/>
        <v>-819.61999999999989</v>
      </c>
      <c r="I213">
        <v>1</v>
      </c>
      <c r="J213">
        <f t="shared" si="48"/>
        <v>0.76080582903376015</v>
      </c>
      <c r="K213">
        <f t="shared" si="53"/>
        <v>-0.83872515177521745</v>
      </c>
      <c r="L213">
        <v>1</v>
      </c>
      <c r="M213">
        <f t="shared" si="49"/>
        <v>0.52626753346061161</v>
      </c>
      <c r="N213">
        <f t="shared" si="54"/>
        <v>0.17119999999999999</v>
      </c>
      <c r="O213">
        <f t="shared" si="55"/>
        <v>4.0829276058762964E-2</v>
      </c>
      <c r="P213">
        <f t="shared" si="56"/>
        <v>0.10042834225584288</v>
      </c>
    </row>
    <row r="214" spans="1:16">
      <c r="A214">
        <v>10.7</v>
      </c>
      <c r="B214">
        <v>0.38100000000000001</v>
      </c>
      <c r="C214">
        <f t="shared" si="50"/>
        <v>4.0766999999999998</v>
      </c>
      <c r="D214">
        <v>1.6E-2</v>
      </c>
      <c r="E214">
        <v>3.8158201924077539E-3</v>
      </c>
      <c r="F214">
        <f t="shared" si="46"/>
        <v>2140</v>
      </c>
      <c r="G214">
        <f t="shared" si="51"/>
        <v>-0.38100000000000001</v>
      </c>
      <c r="H214">
        <f t="shared" si="52"/>
        <v>-815.33999999999992</v>
      </c>
      <c r="I214">
        <v>1</v>
      </c>
      <c r="J214">
        <f t="shared" si="48"/>
        <v>0.76080582903376015</v>
      </c>
      <c r="K214">
        <f t="shared" si="53"/>
        <v>-0.84072515177521745</v>
      </c>
      <c r="L214">
        <v>1</v>
      </c>
      <c r="M214">
        <f t="shared" si="49"/>
        <v>0.52626753346061161</v>
      </c>
      <c r="N214">
        <f t="shared" si="54"/>
        <v>0.17119999999999999</v>
      </c>
      <c r="O214">
        <f t="shared" si="55"/>
        <v>4.0829276058762964E-2</v>
      </c>
      <c r="P214">
        <f t="shared" si="56"/>
        <v>0.10242834225584288</v>
      </c>
    </row>
    <row r="215" spans="1:16">
      <c r="A215">
        <v>10.8</v>
      </c>
      <c r="B215">
        <v>0.378</v>
      </c>
      <c r="C215">
        <f t="shared" si="50"/>
        <v>4.0824000000000007</v>
      </c>
      <c r="D215">
        <v>1.6E-2</v>
      </c>
      <c r="E215">
        <v>3.8158201924077539E-3</v>
      </c>
      <c r="F215">
        <f t="shared" si="46"/>
        <v>2160</v>
      </c>
      <c r="G215">
        <f t="shared" si="51"/>
        <v>-0.378</v>
      </c>
      <c r="H215">
        <f t="shared" si="52"/>
        <v>-816.48000000000013</v>
      </c>
      <c r="I215">
        <v>1</v>
      </c>
      <c r="J215">
        <f t="shared" si="48"/>
        <v>0.77010822169607374</v>
      </c>
      <c r="K215">
        <f t="shared" si="53"/>
        <v>-0.84372515177521745</v>
      </c>
      <c r="L215">
        <v>1</v>
      </c>
      <c r="M215">
        <f t="shared" si="49"/>
        <v>0.52665925721562168</v>
      </c>
      <c r="N215">
        <f t="shared" si="54"/>
        <v>0.17280000000000001</v>
      </c>
      <c r="O215">
        <f t="shared" si="55"/>
        <v>4.1210858078003745E-2</v>
      </c>
      <c r="P215">
        <f t="shared" si="56"/>
        <v>0.10305503648159202</v>
      </c>
    </row>
    <row r="216" spans="1:16">
      <c r="A216">
        <v>10.8</v>
      </c>
      <c r="B216">
        <v>0.376</v>
      </c>
      <c r="C216">
        <f t="shared" si="50"/>
        <v>4.0608000000000004</v>
      </c>
      <c r="D216">
        <v>1.6E-2</v>
      </c>
      <c r="E216">
        <v>3.8158201924077539E-3</v>
      </c>
      <c r="F216">
        <f t="shared" si="46"/>
        <v>2160</v>
      </c>
      <c r="G216">
        <f t="shared" si="51"/>
        <v>-0.376</v>
      </c>
      <c r="H216">
        <f t="shared" si="52"/>
        <v>-812.16000000000008</v>
      </c>
      <c r="I216">
        <v>1</v>
      </c>
      <c r="J216">
        <f t="shared" si="48"/>
        <v>0.77010822169607374</v>
      </c>
      <c r="K216">
        <f t="shared" si="53"/>
        <v>-0.84572515177521745</v>
      </c>
      <c r="L216">
        <v>1</v>
      </c>
      <c r="M216">
        <f t="shared" si="49"/>
        <v>0.52665925721562168</v>
      </c>
      <c r="N216">
        <f t="shared" si="54"/>
        <v>0.17280000000000001</v>
      </c>
      <c r="O216">
        <f t="shared" si="55"/>
        <v>4.1210858078003745E-2</v>
      </c>
      <c r="P216">
        <f t="shared" si="56"/>
        <v>0.10505503648159202</v>
      </c>
    </row>
    <row r="217" spans="1:16">
      <c r="A217">
        <v>10.9</v>
      </c>
      <c r="B217">
        <v>0.374</v>
      </c>
      <c r="C217">
        <f t="shared" si="50"/>
        <v>4.0766</v>
      </c>
      <c r="D217">
        <v>1.6E-2</v>
      </c>
      <c r="E217">
        <v>3.8158201924077539E-3</v>
      </c>
      <c r="F217">
        <f t="shared" si="46"/>
        <v>2180</v>
      </c>
      <c r="G217">
        <f t="shared" si="51"/>
        <v>-0.374</v>
      </c>
      <c r="H217">
        <f t="shared" si="52"/>
        <v>-815.32</v>
      </c>
      <c r="I217">
        <v>1</v>
      </c>
      <c r="J217">
        <f t="shared" si="48"/>
        <v>0.77932487680099771</v>
      </c>
      <c r="K217">
        <f t="shared" si="53"/>
        <v>-0.84772515177521746</v>
      </c>
      <c r="L217">
        <v>1</v>
      </c>
      <c r="M217">
        <f t="shared" si="49"/>
        <v>0.52704737056209006</v>
      </c>
      <c r="N217">
        <f t="shared" si="54"/>
        <v>0.1744</v>
      </c>
      <c r="O217">
        <f t="shared" si="55"/>
        <v>4.1592440097244519E-2</v>
      </c>
      <c r="P217">
        <f t="shared" si="56"/>
        <v>0.10468534111588287</v>
      </c>
    </row>
    <row r="218" spans="1:16">
      <c r="A218">
        <v>10.9</v>
      </c>
      <c r="B218">
        <v>0.372</v>
      </c>
      <c r="C218">
        <f t="shared" si="50"/>
        <v>4.0548000000000002</v>
      </c>
      <c r="D218">
        <v>1.6E-2</v>
      </c>
      <c r="E218">
        <v>3.8158201924077539E-3</v>
      </c>
      <c r="F218">
        <f t="shared" si="46"/>
        <v>2180</v>
      </c>
      <c r="G218">
        <f t="shared" si="51"/>
        <v>-0.372</v>
      </c>
      <c r="H218">
        <f t="shared" si="52"/>
        <v>-810.96</v>
      </c>
      <c r="I218">
        <v>1</v>
      </c>
      <c r="J218">
        <f t="shared" si="48"/>
        <v>0.77932487680099771</v>
      </c>
      <c r="K218">
        <f t="shared" si="53"/>
        <v>-0.84972515177521746</v>
      </c>
      <c r="L218">
        <v>1</v>
      </c>
      <c r="M218">
        <f t="shared" si="49"/>
        <v>0.52704737056209006</v>
      </c>
      <c r="N218">
        <f t="shared" si="54"/>
        <v>0.1744</v>
      </c>
      <c r="O218">
        <f t="shared" si="55"/>
        <v>4.1592440097244519E-2</v>
      </c>
      <c r="P218">
        <f t="shared" si="56"/>
        <v>0.10668534111588288</v>
      </c>
    </row>
    <row r="219" spans="1:16">
      <c r="A219">
        <v>11</v>
      </c>
      <c r="B219">
        <v>0.37</v>
      </c>
      <c r="C219">
        <f t="shared" si="50"/>
        <v>4.07</v>
      </c>
      <c r="D219">
        <v>1.6E-2</v>
      </c>
      <c r="E219">
        <v>3.8158201924077539E-3</v>
      </c>
      <c r="F219">
        <f t="shared" si="46"/>
        <v>2200</v>
      </c>
      <c r="G219">
        <f t="shared" si="51"/>
        <v>-0.37</v>
      </c>
      <c r="H219">
        <f t="shared" si="52"/>
        <v>-814</v>
      </c>
      <c r="I219">
        <v>1</v>
      </c>
      <c r="J219">
        <f t="shared" si="48"/>
        <v>0.78845736036427028</v>
      </c>
      <c r="K219">
        <f t="shared" si="53"/>
        <v>-0.85172515177521746</v>
      </c>
      <c r="L219">
        <v>1</v>
      </c>
      <c r="M219">
        <f t="shared" si="49"/>
        <v>0.52743193944493938</v>
      </c>
      <c r="N219">
        <f t="shared" si="54"/>
        <v>0.17599999999999999</v>
      </c>
      <c r="O219">
        <f t="shared" si="55"/>
        <v>4.1974022116485293E-2</v>
      </c>
      <c r="P219">
        <f t="shared" si="56"/>
        <v>0.1063191902137928</v>
      </c>
    </row>
    <row r="220" spans="1:16">
      <c r="A220">
        <v>11</v>
      </c>
      <c r="B220">
        <v>0.36699999999999999</v>
      </c>
      <c r="C220">
        <f t="shared" si="50"/>
        <v>4.0369999999999999</v>
      </c>
      <c r="D220">
        <v>1.6E-2</v>
      </c>
      <c r="E220">
        <v>3.8158201924077539E-3</v>
      </c>
      <c r="F220">
        <f t="shared" si="46"/>
        <v>2200</v>
      </c>
      <c r="G220">
        <f t="shared" si="51"/>
        <v>-0.36699999999999999</v>
      </c>
      <c r="H220">
        <f t="shared" si="52"/>
        <v>-807.4</v>
      </c>
      <c r="I220">
        <v>1</v>
      </c>
      <c r="J220">
        <f t="shared" si="48"/>
        <v>0.78845736036427028</v>
      </c>
      <c r="K220">
        <f t="shared" si="53"/>
        <v>-0.85472515177521746</v>
      </c>
      <c r="L220">
        <v>1</v>
      </c>
      <c r="M220">
        <f t="shared" si="49"/>
        <v>0.52743193944493938</v>
      </c>
      <c r="N220">
        <f t="shared" si="54"/>
        <v>0.17599999999999999</v>
      </c>
      <c r="O220">
        <f t="shared" si="55"/>
        <v>4.1974022116485293E-2</v>
      </c>
      <c r="P220">
        <f t="shared" si="56"/>
        <v>0.1093191902137928</v>
      </c>
    </row>
    <row r="221" spans="1:16">
      <c r="A221">
        <v>11.1</v>
      </c>
      <c r="B221">
        <v>0.36499999999999999</v>
      </c>
      <c r="C221">
        <f t="shared" si="50"/>
        <v>4.0514999999999999</v>
      </c>
      <c r="D221">
        <v>1.6E-2</v>
      </c>
      <c r="E221">
        <v>3.8158201924077539E-3</v>
      </c>
      <c r="F221">
        <f t="shared" si="46"/>
        <v>2220</v>
      </c>
      <c r="G221">
        <f t="shared" si="51"/>
        <v>-0.36499999999999999</v>
      </c>
      <c r="H221">
        <f t="shared" si="52"/>
        <v>-810.3</v>
      </c>
      <c r="I221">
        <v>1</v>
      </c>
      <c r="J221">
        <f t="shared" si="48"/>
        <v>0.79750719588418817</v>
      </c>
      <c r="K221">
        <f t="shared" si="53"/>
        <v>-0.85672515177521746</v>
      </c>
      <c r="L221">
        <v>1</v>
      </c>
      <c r="M221">
        <f t="shared" si="49"/>
        <v>0.52781302801868313</v>
      </c>
      <c r="N221">
        <f t="shared" si="54"/>
        <v>0.17760000000000001</v>
      </c>
      <c r="O221">
        <f t="shared" si="55"/>
        <v>4.2355604135726067E-2</v>
      </c>
      <c r="P221">
        <f t="shared" si="56"/>
        <v>0.10895651962080827</v>
      </c>
    </row>
    <row r="222" spans="1:16">
      <c r="A222">
        <v>11.1</v>
      </c>
      <c r="B222">
        <v>0.36299999999999999</v>
      </c>
      <c r="C222">
        <f t="shared" si="50"/>
        <v>4.0293000000000001</v>
      </c>
      <c r="D222">
        <v>1.6E-2</v>
      </c>
      <c r="E222">
        <v>3.8158201924077539E-3</v>
      </c>
      <c r="F222">
        <f t="shared" si="46"/>
        <v>2220</v>
      </c>
      <c r="G222">
        <f t="shared" si="51"/>
        <v>-0.36299999999999999</v>
      </c>
      <c r="H222">
        <f t="shared" si="52"/>
        <v>-805.86</v>
      </c>
      <c r="I222">
        <v>1</v>
      </c>
      <c r="J222">
        <f t="shared" si="48"/>
        <v>0.79750719588418817</v>
      </c>
      <c r="K222">
        <f t="shared" si="53"/>
        <v>-0.85872515177521747</v>
      </c>
      <c r="L222">
        <v>1</v>
      </c>
      <c r="M222">
        <f t="shared" si="49"/>
        <v>0.52781302801868313</v>
      </c>
      <c r="N222">
        <f t="shared" si="54"/>
        <v>0.17760000000000001</v>
      </c>
      <c r="O222">
        <f t="shared" si="55"/>
        <v>4.2355604135726067E-2</v>
      </c>
      <c r="P222">
        <f t="shared" si="56"/>
        <v>0.11095651962080827</v>
      </c>
    </row>
    <row r="223" spans="1:16">
      <c r="A223">
        <v>11.2</v>
      </c>
      <c r="B223">
        <v>0.36099999999999999</v>
      </c>
      <c r="C223">
        <f t="shared" si="50"/>
        <v>4.0431999999999997</v>
      </c>
      <c r="D223">
        <v>1.6E-2</v>
      </c>
      <c r="E223">
        <v>3.8158201924077539E-3</v>
      </c>
      <c r="F223">
        <f t="shared" si="46"/>
        <v>2240</v>
      </c>
      <c r="G223">
        <f t="shared" si="51"/>
        <v>-0.36099999999999999</v>
      </c>
      <c r="H223">
        <f t="shared" si="52"/>
        <v>-808.64</v>
      </c>
      <c r="I223">
        <v>1</v>
      </c>
      <c r="J223">
        <f t="shared" si="48"/>
        <v>0.80647586586694853</v>
      </c>
      <c r="K223">
        <f t="shared" si="53"/>
        <v>-0.86072515177521747</v>
      </c>
      <c r="L223">
        <v>1</v>
      </c>
      <c r="M223">
        <f t="shared" si="49"/>
        <v>0.52819069871165725</v>
      </c>
      <c r="N223">
        <f t="shared" si="54"/>
        <v>0.1792</v>
      </c>
      <c r="O223">
        <f t="shared" si="55"/>
        <v>4.2737186154966841E-2</v>
      </c>
      <c r="P223">
        <f t="shared" si="56"/>
        <v>0.11059726690859338</v>
      </c>
    </row>
    <row r="224" spans="1:16">
      <c r="A224">
        <v>11.2</v>
      </c>
      <c r="B224">
        <v>0.35899999999999999</v>
      </c>
      <c r="C224">
        <f t="shared" si="50"/>
        <v>4.0207999999999995</v>
      </c>
      <c r="D224">
        <v>1.6E-2</v>
      </c>
      <c r="E224">
        <v>3.8158201924077539E-3</v>
      </c>
      <c r="F224">
        <f t="shared" si="46"/>
        <v>2240</v>
      </c>
      <c r="G224">
        <f t="shared" si="51"/>
        <v>-0.35899999999999999</v>
      </c>
      <c r="H224">
        <f t="shared" si="52"/>
        <v>-804.15999999999985</v>
      </c>
      <c r="I224">
        <v>1</v>
      </c>
      <c r="J224">
        <f t="shared" si="48"/>
        <v>0.80647586586694853</v>
      </c>
      <c r="K224">
        <f t="shared" si="53"/>
        <v>-0.86272515177521747</v>
      </c>
      <c r="L224">
        <v>1</v>
      </c>
      <c r="M224">
        <f t="shared" si="49"/>
        <v>0.52819069871165725</v>
      </c>
      <c r="N224">
        <f t="shared" si="54"/>
        <v>0.1792</v>
      </c>
      <c r="O224">
        <f t="shared" si="55"/>
        <v>4.2737186154966841E-2</v>
      </c>
      <c r="P224">
        <f t="shared" si="56"/>
        <v>0.11259726690859338</v>
      </c>
    </row>
    <row r="225" spans="1:18">
      <c r="A225">
        <v>11.3</v>
      </c>
      <c r="B225">
        <v>0.35699999999999998</v>
      </c>
      <c r="C225">
        <f t="shared" si="50"/>
        <v>4.0341000000000005</v>
      </c>
      <c r="D225">
        <v>1.6E-2</v>
      </c>
      <c r="E225">
        <v>3.8158201924077539E-3</v>
      </c>
      <c r="F225">
        <f t="shared" si="46"/>
        <v>2260</v>
      </c>
      <c r="G225">
        <f t="shared" si="51"/>
        <v>-0.35699999999999998</v>
      </c>
      <c r="H225">
        <f t="shared" si="52"/>
        <v>-806.82</v>
      </c>
      <c r="I225">
        <v>1</v>
      </c>
      <c r="J225">
        <f t="shared" si="48"/>
        <v>0.81536481328419441</v>
      </c>
      <c r="K225">
        <f t="shared" si="53"/>
        <v>-0.86472515177521747</v>
      </c>
      <c r="L225">
        <v>1</v>
      </c>
      <c r="M225">
        <f t="shared" si="49"/>
        <v>0.52856501228739738</v>
      </c>
      <c r="N225">
        <f t="shared" si="54"/>
        <v>0.18080000000000002</v>
      </c>
      <c r="O225">
        <f t="shared" si="55"/>
        <v>4.3118768174207622E-2</v>
      </c>
      <c r="P225">
        <f t="shared" si="56"/>
        <v>0.11224137131361245</v>
      </c>
      <c r="R225">
        <f>O225+N225+M225</f>
        <v>0.75248378046160502</v>
      </c>
    </row>
    <row r="226" spans="1:18">
      <c r="A226">
        <v>11.4</v>
      </c>
      <c r="B226">
        <v>0.35499999999999998</v>
      </c>
      <c r="C226">
        <f t="shared" si="50"/>
        <v>4.0469999999999997</v>
      </c>
      <c r="D226">
        <v>1.6E-2</v>
      </c>
      <c r="E226">
        <v>3.8158201924077539E-3</v>
      </c>
      <c r="F226">
        <f t="shared" si="46"/>
        <v>2280</v>
      </c>
      <c r="G226">
        <f t="shared" si="51"/>
        <v>-0.35499999999999998</v>
      </c>
      <c r="H226">
        <f t="shared" si="52"/>
        <v>-809.4</v>
      </c>
      <c r="I226">
        <v>1</v>
      </c>
      <c r="J226">
        <f t="shared" si="48"/>
        <v>0.82417544296634937</v>
      </c>
      <c r="K226">
        <f t="shared" si="53"/>
        <v>-0.86672515177521747</v>
      </c>
      <c r="L226">
        <v>1</v>
      </c>
      <c r="M226">
        <f t="shared" si="49"/>
        <v>0.52893602790331296</v>
      </c>
      <c r="N226">
        <f t="shared" si="54"/>
        <v>0.18240000000000001</v>
      </c>
      <c r="O226">
        <f t="shared" si="55"/>
        <v>4.3500350193448396E-2</v>
      </c>
      <c r="P226">
        <f t="shared" si="56"/>
        <v>0.11188877367845612</v>
      </c>
    </row>
    <row r="227" spans="1:18">
      <c r="A227">
        <v>11.5</v>
      </c>
      <c r="B227">
        <v>0.35199999999999998</v>
      </c>
      <c r="C227">
        <f t="shared" si="50"/>
        <v>4.048</v>
      </c>
      <c r="D227">
        <v>1.6E-2</v>
      </c>
      <c r="E227">
        <v>3.8158201924077539E-3</v>
      </c>
      <c r="F227">
        <f t="shared" si="46"/>
        <v>2300</v>
      </c>
      <c r="G227">
        <f t="shared" si="51"/>
        <v>-0.35199999999999998</v>
      </c>
      <c r="H227">
        <f t="shared" si="52"/>
        <v>-809.6</v>
      </c>
      <c r="I227">
        <v>1</v>
      </c>
      <c r="J227">
        <f t="shared" si="48"/>
        <v>0.83290912293510388</v>
      </c>
      <c r="K227">
        <f t="shared" si="53"/>
        <v>-0.86972515177521748</v>
      </c>
      <c r="L227">
        <v>1</v>
      </c>
      <c r="M227">
        <f t="shared" si="49"/>
        <v>0.52930380316679726</v>
      </c>
      <c r="N227">
        <f t="shared" si="54"/>
        <v>0.184</v>
      </c>
      <c r="O227">
        <f t="shared" si="55"/>
        <v>4.388193221268917E-2</v>
      </c>
      <c r="P227">
        <f t="shared" si="56"/>
        <v>0.11253941639573105</v>
      </c>
    </row>
    <row r="228" spans="1:18">
      <c r="A228">
        <v>11.4</v>
      </c>
      <c r="B228">
        <v>0.35199999999999998</v>
      </c>
      <c r="C228">
        <f t="shared" si="50"/>
        <v>4.0127999999999995</v>
      </c>
      <c r="D228">
        <v>1.6E-2</v>
      </c>
      <c r="E228">
        <v>3.8158201924077539E-3</v>
      </c>
      <c r="F228">
        <f t="shared" si="46"/>
        <v>2280</v>
      </c>
      <c r="G228">
        <f t="shared" si="51"/>
        <v>-0.35199999999999998</v>
      </c>
      <c r="H228">
        <f t="shared" si="52"/>
        <v>-802.56</v>
      </c>
      <c r="I228">
        <v>1</v>
      </c>
      <c r="J228">
        <f t="shared" si="48"/>
        <v>0.82417544296634937</v>
      </c>
      <c r="K228">
        <f t="shared" si="53"/>
        <v>-0.86972515177521748</v>
      </c>
      <c r="L228">
        <v>1</v>
      </c>
      <c r="M228">
        <f t="shared" si="49"/>
        <v>0.52893602790331296</v>
      </c>
      <c r="N228">
        <f t="shared" si="54"/>
        <v>0.18240000000000001</v>
      </c>
      <c r="O228">
        <f t="shared" si="55"/>
        <v>4.3500350193448396E-2</v>
      </c>
      <c r="P228">
        <f t="shared" si="56"/>
        <v>0.11488877367845612</v>
      </c>
    </row>
    <row r="229" spans="1:18">
      <c r="A229">
        <v>11.4</v>
      </c>
      <c r="B229">
        <v>0.35399999999999998</v>
      </c>
      <c r="C229">
        <f t="shared" si="50"/>
        <v>4.0355999999999996</v>
      </c>
      <c r="D229">
        <v>1.6E-2</v>
      </c>
      <c r="E229">
        <v>3.8158201924077539E-3</v>
      </c>
      <c r="F229">
        <f t="shared" si="46"/>
        <v>2280</v>
      </c>
      <c r="G229">
        <f t="shared" si="51"/>
        <v>-0.35399999999999998</v>
      </c>
      <c r="H229">
        <f t="shared" si="52"/>
        <v>-807.11999999999989</v>
      </c>
      <c r="I229">
        <v>1</v>
      </c>
      <c r="J229">
        <f t="shared" si="48"/>
        <v>0.82417544296634937</v>
      </c>
      <c r="K229">
        <f t="shared" si="53"/>
        <v>-0.86772515177521747</v>
      </c>
      <c r="L229">
        <v>1</v>
      </c>
      <c r="M229">
        <f t="shared" si="49"/>
        <v>0.52893602790331296</v>
      </c>
      <c r="N229">
        <f t="shared" si="54"/>
        <v>0.18240000000000001</v>
      </c>
      <c r="O229">
        <f t="shared" si="55"/>
        <v>4.3500350193448396E-2</v>
      </c>
      <c r="P229">
        <f t="shared" si="56"/>
        <v>0.11288877367845612</v>
      </c>
    </row>
    <row r="230" spans="1:18">
      <c r="A230">
        <v>11.3</v>
      </c>
      <c r="B230">
        <v>0.35499999999999998</v>
      </c>
      <c r="C230">
        <f t="shared" si="50"/>
        <v>4.0114999999999998</v>
      </c>
      <c r="D230">
        <v>1.6E-2</v>
      </c>
      <c r="E230">
        <v>3.8158201924077539E-3</v>
      </c>
      <c r="F230">
        <f t="shared" si="46"/>
        <v>2260</v>
      </c>
      <c r="G230">
        <f t="shared" si="51"/>
        <v>-0.35499999999999998</v>
      </c>
      <c r="H230">
        <f t="shared" si="52"/>
        <v>-802.3</v>
      </c>
      <c r="I230">
        <v>1</v>
      </c>
      <c r="J230">
        <f t="shared" si="48"/>
        <v>0.81536481328419441</v>
      </c>
      <c r="K230">
        <f t="shared" si="53"/>
        <v>-0.86672515177521747</v>
      </c>
      <c r="L230">
        <v>1</v>
      </c>
      <c r="M230">
        <f t="shared" si="49"/>
        <v>0.52856501228739738</v>
      </c>
      <c r="N230">
        <f t="shared" si="54"/>
        <v>0.18080000000000002</v>
      </c>
      <c r="O230">
        <f t="shared" si="55"/>
        <v>4.3118768174207622E-2</v>
      </c>
      <c r="P230">
        <f t="shared" si="56"/>
        <v>0.11424137131361245</v>
      </c>
    </row>
    <row r="231" spans="1:18">
      <c r="A231">
        <v>11.3</v>
      </c>
      <c r="B231">
        <v>0.35699999999999998</v>
      </c>
      <c r="C231">
        <f t="shared" si="50"/>
        <v>4.0341000000000005</v>
      </c>
      <c r="D231">
        <v>1.6E-2</v>
      </c>
      <c r="E231">
        <v>3.8158201924077539E-3</v>
      </c>
      <c r="F231">
        <f t="shared" si="46"/>
        <v>2260</v>
      </c>
      <c r="G231">
        <f t="shared" si="51"/>
        <v>-0.35699999999999998</v>
      </c>
      <c r="H231">
        <f t="shared" si="52"/>
        <v>-806.82</v>
      </c>
      <c r="I231">
        <v>1</v>
      </c>
      <c r="J231">
        <f t="shared" si="48"/>
        <v>0.81536481328419441</v>
      </c>
      <c r="K231">
        <f t="shared" si="53"/>
        <v>-0.86472515177521747</v>
      </c>
      <c r="L231">
        <v>1</v>
      </c>
      <c r="M231">
        <f t="shared" si="49"/>
        <v>0.52856501228739738</v>
      </c>
      <c r="N231">
        <f t="shared" si="54"/>
        <v>0.18080000000000002</v>
      </c>
      <c r="O231">
        <f t="shared" si="55"/>
        <v>4.3118768174207622E-2</v>
      </c>
      <c r="P231">
        <f t="shared" si="56"/>
        <v>0.11224137131361245</v>
      </c>
    </row>
    <row r="232" spans="1:18">
      <c r="A232">
        <v>11.3</v>
      </c>
      <c r="B232">
        <v>0.35599999999999998</v>
      </c>
      <c r="C232">
        <f t="shared" si="50"/>
        <v>4.0228000000000002</v>
      </c>
      <c r="D232">
        <v>1.6E-2</v>
      </c>
      <c r="E232">
        <v>3.8158201924077539E-3</v>
      </c>
      <c r="F232">
        <f t="shared" si="46"/>
        <v>2260</v>
      </c>
      <c r="G232">
        <f t="shared" si="51"/>
        <v>-0.35599999999999998</v>
      </c>
      <c r="H232">
        <f t="shared" si="52"/>
        <v>-804.56000000000006</v>
      </c>
      <c r="I232">
        <v>1</v>
      </c>
      <c r="J232">
        <f t="shared" si="48"/>
        <v>0.81536481328419441</v>
      </c>
      <c r="K232">
        <f t="shared" si="53"/>
        <v>-0.86572515177521747</v>
      </c>
      <c r="L232">
        <v>1</v>
      </c>
      <c r="M232">
        <f t="shared" si="49"/>
        <v>0.52856501228739738</v>
      </c>
      <c r="N232">
        <f t="shared" si="54"/>
        <v>0.18080000000000002</v>
      </c>
      <c r="O232">
        <f t="shared" si="55"/>
        <v>4.3118768174207622E-2</v>
      </c>
      <c r="P232">
        <f t="shared" si="56"/>
        <v>0.11324137131361245</v>
      </c>
    </row>
    <row r="233" spans="1:18">
      <c r="A233">
        <v>11.4</v>
      </c>
      <c r="B233">
        <v>0.35399999999999998</v>
      </c>
      <c r="C233">
        <f t="shared" si="50"/>
        <v>4.0355999999999996</v>
      </c>
      <c r="D233">
        <v>1.6E-2</v>
      </c>
      <c r="E233">
        <v>3.8158201924077539E-3</v>
      </c>
      <c r="F233">
        <f t="shared" si="46"/>
        <v>2280</v>
      </c>
      <c r="G233">
        <f t="shared" si="51"/>
        <v>-0.35399999999999998</v>
      </c>
      <c r="H233">
        <f t="shared" si="52"/>
        <v>-807.11999999999989</v>
      </c>
      <c r="I233">
        <v>1</v>
      </c>
      <c r="J233">
        <f t="shared" si="48"/>
        <v>0.82417544296634937</v>
      </c>
      <c r="K233">
        <f t="shared" si="53"/>
        <v>-0.86772515177521747</v>
      </c>
      <c r="L233">
        <v>1</v>
      </c>
      <c r="M233">
        <f t="shared" si="49"/>
        <v>0.52893602790331296</v>
      </c>
      <c r="N233">
        <f t="shared" si="54"/>
        <v>0.18240000000000001</v>
      </c>
      <c r="O233">
        <f t="shared" si="55"/>
        <v>4.3500350193448396E-2</v>
      </c>
      <c r="P233">
        <f t="shared" si="56"/>
        <v>0.11288877367845612</v>
      </c>
    </row>
    <row r="234" spans="1:18">
      <c r="A234">
        <v>11.3</v>
      </c>
      <c r="B234">
        <v>0.35499999999999998</v>
      </c>
      <c r="C234">
        <f t="shared" si="50"/>
        <v>4.0114999999999998</v>
      </c>
      <c r="D234">
        <v>1.6E-2</v>
      </c>
      <c r="E234">
        <v>3.8158201924077539E-3</v>
      </c>
      <c r="F234">
        <f t="shared" si="46"/>
        <v>2260</v>
      </c>
      <c r="G234">
        <f t="shared" si="51"/>
        <v>-0.35499999999999998</v>
      </c>
      <c r="H234">
        <f t="shared" si="52"/>
        <v>-802.3</v>
      </c>
      <c r="I234">
        <v>1</v>
      </c>
      <c r="J234">
        <f t="shared" si="48"/>
        <v>0.81536481328419441</v>
      </c>
      <c r="K234">
        <f t="shared" si="53"/>
        <v>-0.86672515177521747</v>
      </c>
      <c r="L234">
        <v>1</v>
      </c>
      <c r="M234">
        <f t="shared" si="49"/>
        <v>0.52856501228739738</v>
      </c>
      <c r="N234">
        <f t="shared" si="54"/>
        <v>0.18080000000000002</v>
      </c>
      <c r="O234">
        <f t="shared" si="55"/>
        <v>4.3118768174207622E-2</v>
      </c>
      <c r="P234">
        <f t="shared" si="56"/>
        <v>0.11424137131361245</v>
      </c>
    </row>
    <row r="235" spans="1:18">
      <c r="A235">
        <v>11.4</v>
      </c>
      <c r="B235">
        <v>0.35299999999999998</v>
      </c>
      <c r="C235">
        <f t="shared" si="50"/>
        <v>4.0241999999999996</v>
      </c>
      <c r="D235">
        <v>1.6E-2</v>
      </c>
      <c r="E235">
        <v>3.8158201924077539E-3</v>
      </c>
      <c r="F235">
        <f t="shared" si="46"/>
        <v>2280</v>
      </c>
      <c r="G235">
        <f t="shared" si="51"/>
        <v>-0.35299999999999998</v>
      </c>
      <c r="H235">
        <f t="shared" si="52"/>
        <v>-804.83999999999992</v>
      </c>
      <c r="I235">
        <v>1</v>
      </c>
      <c r="J235">
        <f t="shared" si="48"/>
        <v>0.82417544296634937</v>
      </c>
      <c r="K235">
        <f t="shared" si="53"/>
        <v>-0.86872515177521747</v>
      </c>
      <c r="L235">
        <v>1</v>
      </c>
      <c r="M235">
        <f t="shared" si="49"/>
        <v>0.52893602790331296</v>
      </c>
      <c r="N235">
        <f t="shared" si="54"/>
        <v>0.18240000000000001</v>
      </c>
      <c r="O235">
        <f t="shared" si="55"/>
        <v>4.3500350193448396E-2</v>
      </c>
      <c r="P235">
        <f t="shared" si="56"/>
        <v>0.11388877367845612</v>
      </c>
    </row>
    <row r="236" spans="1:18">
      <c r="A236">
        <v>11.4</v>
      </c>
      <c r="B236">
        <v>0.35099999999999998</v>
      </c>
      <c r="C236">
        <f t="shared" si="50"/>
        <v>4.0014000000000003</v>
      </c>
      <c r="D236">
        <v>1.6E-2</v>
      </c>
      <c r="E236">
        <v>3.8158201924077539E-3</v>
      </c>
      <c r="F236">
        <f t="shared" si="46"/>
        <v>2280</v>
      </c>
      <c r="G236">
        <f t="shared" si="51"/>
        <v>-0.35099999999999998</v>
      </c>
      <c r="H236">
        <f t="shared" si="52"/>
        <v>-800.28000000000009</v>
      </c>
      <c r="I236">
        <v>1</v>
      </c>
      <c r="J236">
        <f t="shared" si="48"/>
        <v>0.82417544296634937</v>
      </c>
      <c r="K236">
        <f t="shared" si="53"/>
        <v>-0.87072515177521748</v>
      </c>
      <c r="L236">
        <v>1</v>
      </c>
      <c r="M236">
        <f t="shared" si="49"/>
        <v>0.52893602790331296</v>
      </c>
      <c r="N236">
        <f t="shared" si="54"/>
        <v>0.18240000000000001</v>
      </c>
      <c r="O236">
        <f t="shared" si="55"/>
        <v>4.3500350193448396E-2</v>
      </c>
      <c r="P236">
        <f t="shared" si="56"/>
        <v>0.11588877367845613</v>
      </c>
    </row>
    <row r="237" spans="1:18">
      <c r="A237">
        <v>11.4</v>
      </c>
      <c r="B237">
        <v>0.35199999999999998</v>
      </c>
      <c r="C237">
        <f t="shared" si="50"/>
        <v>4.0127999999999995</v>
      </c>
      <c r="D237">
        <v>1.6E-2</v>
      </c>
      <c r="E237">
        <v>3.8158201924077539E-3</v>
      </c>
      <c r="F237">
        <f t="shared" si="46"/>
        <v>2280</v>
      </c>
      <c r="G237">
        <f t="shared" si="51"/>
        <v>-0.35199999999999998</v>
      </c>
      <c r="H237">
        <f t="shared" si="52"/>
        <v>-802.56</v>
      </c>
      <c r="I237">
        <v>1</v>
      </c>
      <c r="J237">
        <f t="shared" si="48"/>
        <v>0.82417544296634937</v>
      </c>
      <c r="K237">
        <f t="shared" si="53"/>
        <v>-0.86972515177521748</v>
      </c>
      <c r="L237">
        <v>1</v>
      </c>
      <c r="M237">
        <f t="shared" si="49"/>
        <v>0.52893602790331296</v>
      </c>
      <c r="N237">
        <f t="shared" si="54"/>
        <v>0.18240000000000001</v>
      </c>
      <c r="O237">
        <f t="shared" si="55"/>
        <v>4.3500350193448396E-2</v>
      </c>
      <c r="P237">
        <f t="shared" si="56"/>
        <v>0.11488877367845612</v>
      </c>
    </row>
    <row r="238" spans="1:18">
      <c r="A238">
        <v>11.4</v>
      </c>
      <c r="B238">
        <v>0.35099999999999998</v>
      </c>
      <c r="C238">
        <f t="shared" si="50"/>
        <v>4.0014000000000003</v>
      </c>
      <c r="D238">
        <v>1.6E-2</v>
      </c>
      <c r="E238">
        <v>3.8158201924077539E-3</v>
      </c>
      <c r="F238">
        <f t="shared" si="46"/>
        <v>2280</v>
      </c>
      <c r="G238">
        <f t="shared" si="51"/>
        <v>-0.35099999999999998</v>
      </c>
      <c r="H238">
        <f t="shared" si="52"/>
        <v>-800.28000000000009</v>
      </c>
      <c r="I238">
        <v>1</v>
      </c>
      <c r="J238">
        <f t="shared" si="48"/>
        <v>0.82417544296634937</v>
      </c>
      <c r="K238">
        <f t="shared" si="53"/>
        <v>-0.87072515177521748</v>
      </c>
      <c r="L238">
        <v>1</v>
      </c>
      <c r="M238">
        <f t="shared" si="49"/>
        <v>0.52893602790331296</v>
      </c>
      <c r="N238">
        <f t="shared" si="54"/>
        <v>0.18240000000000001</v>
      </c>
      <c r="O238">
        <f t="shared" si="55"/>
        <v>4.3500350193448396E-2</v>
      </c>
      <c r="P238">
        <f t="shared" si="56"/>
        <v>0.11588877367845613</v>
      </c>
    </row>
    <row r="239" spans="1:18">
      <c r="A239">
        <v>11.4</v>
      </c>
      <c r="B239">
        <v>0.35199999999999998</v>
      </c>
      <c r="C239">
        <f t="shared" si="50"/>
        <v>4.0127999999999995</v>
      </c>
      <c r="D239">
        <v>1.6E-2</v>
      </c>
      <c r="E239">
        <v>3.8158201924077539E-3</v>
      </c>
      <c r="F239">
        <f t="shared" si="46"/>
        <v>2280</v>
      </c>
      <c r="G239">
        <f t="shared" si="51"/>
        <v>-0.35199999999999998</v>
      </c>
      <c r="H239">
        <f t="shared" si="52"/>
        <v>-802.56</v>
      </c>
      <c r="I239">
        <v>1</v>
      </c>
      <c r="J239">
        <f t="shared" si="48"/>
        <v>0.82417544296634937</v>
      </c>
      <c r="K239">
        <f t="shared" si="53"/>
        <v>-0.86972515177521748</v>
      </c>
      <c r="L239">
        <v>1</v>
      </c>
      <c r="M239">
        <f t="shared" si="49"/>
        <v>0.52893602790331296</v>
      </c>
      <c r="N239">
        <f t="shared" si="54"/>
        <v>0.18240000000000001</v>
      </c>
      <c r="O239">
        <f t="shared" si="55"/>
        <v>4.3500350193448396E-2</v>
      </c>
      <c r="P239">
        <f t="shared" si="56"/>
        <v>0.11488877367845612</v>
      </c>
    </row>
    <row r="240" spans="1:18">
      <c r="A240">
        <v>11.4</v>
      </c>
      <c r="B240">
        <v>0.35099999999999998</v>
      </c>
      <c r="C240">
        <f t="shared" si="50"/>
        <v>4.0014000000000003</v>
      </c>
      <c r="D240">
        <v>1.6E-2</v>
      </c>
      <c r="E240">
        <v>3.8158201924077539E-3</v>
      </c>
      <c r="F240">
        <f t="shared" si="46"/>
        <v>2280</v>
      </c>
      <c r="G240">
        <f t="shared" si="51"/>
        <v>-0.35099999999999998</v>
      </c>
      <c r="H240">
        <f t="shared" si="52"/>
        <v>-800.28000000000009</v>
      </c>
      <c r="I240">
        <v>1</v>
      </c>
      <c r="J240">
        <f t="shared" si="48"/>
        <v>0.82417544296634937</v>
      </c>
      <c r="K240">
        <f t="shared" si="53"/>
        <v>-0.87072515177521748</v>
      </c>
      <c r="L240">
        <v>1</v>
      </c>
      <c r="M240">
        <f t="shared" si="49"/>
        <v>0.52893602790331296</v>
      </c>
      <c r="N240">
        <f t="shared" si="54"/>
        <v>0.18240000000000001</v>
      </c>
      <c r="O240">
        <f t="shared" si="55"/>
        <v>4.3500350193448396E-2</v>
      </c>
      <c r="P240">
        <f t="shared" si="56"/>
        <v>0.11588877367845613</v>
      </c>
    </row>
    <row r="241" spans="1:16">
      <c r="A241">
        <v>11.5</v>
      </c>
      <c r="B241">
        <v>0.34799999999999998</v>
      </c>
      <c r="C241">
        <f t="shared" si="50"/>
        <v>4.0019999999999998</v>
      </c>
      <c r="D241">
        <v>1.6E-2</v>
      </c>
      <c r="E241">
        <v>3.8158201924077539E-3</v>
      </c>
      <c r="F241">
        <f t="shared" si="46"/>
        <v>2300</v>
      </c>
      <c r="G241">
        <f t="shared" si="51"/>
        <v>-0.34799999999999998</v>
      </c>
      <c r="H241">
        <f t="shared" si="52"/>
        <v>-800.4</v>
      </c>
      <c r="I241">
        <v>1</v>
      </c>
      <c r="J241">
        <f t="shared" si="48"/>
        <v>0.83290912293510388</v>
      </c>
      <c r="K241">
        <f t="shared" si="53"/>
        <v>-0.87372515177521748</v>
      </c>
      <c r="L241">
        <v>1</v>
      </c>
      <c r="M241">
        <f t="shared" si="49"/>
        <v>0.52930380316679726</v>
      </c>
      <c r="N241">
        <f t="shared" si="54"/>
        <v>0.184</v>
      </c>
      <c r="O241">
        <f t="shared" si="55"/>
        <v>4.388193221268917E-2</v>
      </c>
      <c r="P241">
        <f t="shared" si="56"/>
        <v>0.11653941639573105</v>
      </c>
    </row>
    <row r="242" spans="1:16">
      <c r="A242">
        <v>11.5</v>
      </c>
      <c r="B242">
        <v>0.34599999999999997</v>
      </c>
      <c r="C242">
        <f t="shared" si="50"/>
        <v>3.9789999999999996</v>
      </c>
      <c r="D242">
        <v>1.6E-2</v>
      </c>
      <c r="E242">
        <v>3.8158201924077539E-3</v>
      </c>
      <c r="F242">
        <f t="shared" si="46"/>
        <v>2300</v>
      </c>
      <c r="G242">
        <f t="shared" si="51"/>
        <v>-0.34599999999999997</v>
      </c>
      <c r="H242">
        <f t="shared" si="52"/>
        <v>-795.8</v>
      </c>
      <c r="I242">
        <v>1</v>
      </c>
      <c r="J242">
        <f t="shared" si="48"/>
        <v>0.83290912293510388</v>
      </c>
      <c r="K242">
        <f t="shared" si="53"/>
        <v>-0.87572515177521748</v>
      </c>
      <c r="L242">
        <v>1</v>
      </c>
      <c r="M242">
        <f t="shared" si="49"/>
        <v>0.52930380316679726</v>
      </c>
      <c r="N242">
        <f t="shared" si="54"/>
        <v>0.184</v>
      </c>
      <c r="O242">
        <f t="shared" si="55"/>
        <v>4.388193221268917E-2</v>
      </c>
      <c r="P242">
        <f t="shared" si="56"/>
        <v>0.11853941639573105</v>
      </c>
    </row>
    <row r="243" spans="1:16">
      <c r="A243">
        <v>11.6</v>
      </c>
      <c r="B243">
        <v>0.34399999999999997</v>
      </c>
      <c r="C243">
        <f t="shared" si="50"/>
        <v>3.9903999999999997</v>
      </c>
      <c r="D243">
        <v>1.6E-2</v>
      </c>
      <c r="E243">
        <v>3.8158201924077539E-3</v>
      </c>
      <c r="F243">
        <f t="shared" si="46"/>
        <v>2320</v>
      </c>
      <c r="G243">
        <f t="shared" si="51"/>
        <v>-0.34399999999999997</v>
      </c>
      <c r="H243">
        <f t="shared" si="52"/>
        <v>-798.07999999999993</v>
      </c>
      <c r="I243">
        <v>1</v>
      </c>
      <c r="J243">
        <f t="shared" si="48"/>
        <v>0.84156718567821853</v>
      </c>
      <c r="K243">
        <f t="shared" si="53"/>
        <v>-0.87772515177521748</v>
      </c>
      <c r="L243">
        <v>1</v>
      </c>
      <c r="M243">
        <f t="shared" si="49"/>
        <v>0.52966839418890976</v>
      </c>
      <c r="N243">
        <f t="shared" si="54"/>
        <v>0.18559999999999999</v>
      </c>
      <c r="O243">
        <f t="shared" si="55"/>
        <v>4.4263514231929944E-2</v>
      </c>
      <c r="P243">
        <f t="shared" si="56"/>
        <v>0.11819324335437778</v>
      </c>
    </row>
    <row r="244" spans="1:16">
      <c r="A244">
        <v>11.5</v>
      </c>
      <c r="B244">
        <v>0.34499999999999997</v>
      </c>
      <c r="C244">
        <f t="shared" si="50"/>
        <v>3.9674999999999998</v>
      </c>
      <c r="D244">
        <v>1.6E-2</v>
      </c>
      <c r="E244">
        <v>3.8158201924077539E-3</v>
      </c>
      <c r="F244">
        <f t="shared" si="46"/>
        <v>2300</v>
      </c>
      <c r="G244">
        <f t="shared" si="51"/>
        <v>-0.34499999999999997</v>
      </c>
      <c r="H244">
        <f t="shared" si="52"/>
        <v>-793.5</v>
      </c>
      <c r="I244">
        <v>1</v>
      </c>
      <c r="J244">
        <f t="shared" si="48"/>
        <v>0.83290912293510388</v>
      </c>
      <c r="K244">
        <f t="shared" si="53"/>
        <v>-0.87672515177521748</v>
      </c>
      <c r="L244">
        <v>1</v>
      </c>
      <c r="M244">
        <f t="shared" si="49"/>
        <v>0.52930380316679726</v>
      </c>
      <c r="N244">
        <f t="shared" si="54"/>
        <v>0.184</v>
      </c>
      <c r="O244">
        <f t="shared" si="55"/>
        <v>4.388193221268917E-2</v>
      </c>
      <c r="P244">
        <f t="shared" si="56"/>
        <v>0.11953941639573105</v>
      </c>
    </row>
    <row r="245" spans="1:16">
      <c r="A245">
        <v>11.6</v>
      </c>
      <c r="B245">
        <v>0.34399999999999997</v>
      </c>
      <c r="C245">
        <f t="shared" si="50"/>
        <v>3.9903999999999997</v>
      </c>
      <c r="D245">
        <v>1.6E-2</v>
      </c>
      <c r="E245">
        <v>3.8158201924077539E-3</v>
      </c>
      <c r="F245">
        <f t="shared" si="46"/>
        <v>2320</v>
      </c>
      <c r="G245">
        <f t="shared" si="51"/>
        <v>-0.34399999999999997</v>
      </c>
      <c r="H245">
        <f t="shared" si="52"/>
        <v>-798.07999999999993</v>
      </c>
      <c r="I245">
        <v>1</v>
      </c>
      <c r="J245">
        <f t="shared" si="48"/>
        <v>0.84156718567821853</v>
      </c>
      <c r="K245">
        <f t="shared" si="53"/>
        <v>-0.87772515177521748</v>
      </c>
      <c r="L245">
        <v>1</v>
      </c>
      <c r="M245">
        <f t="shared" si="49"/>
        <v>0.52966839418890976</v>
      </c>
      <c r="N245">
        <f t="shared" si="54"/>
        <v>0.18559999999999999</v>
      </c>
      <c r="O245">
        <f t="shared" si="55"/>
        <v>4.4263514231929944E-2</v>
      </c>
      <c r="P245">
        <f t="shared" si="56"/>
        <v>0.11819324335437778</v>
      </c>
    </row>
    <row r="246" spans="1:16">
      <c r="A246">
        <v>11.7</v>
      </c>
      <c r="B246">
        <v>0.34200000000000003</v>
      </c>
      <c r="C246">
        <f t="shared" si="50"/>
        <v>4.0014000000000003</v>
      </c>
      <c r="D246">
        <v>1.6E-2</v>
      </c>
      <c r="E246">
        <v>3.8158201924077539E-3</v>
      </c>
      <c r="F246">
        <f t="shared" si="46"/>
        <v>2340</v>
      </c>
      <c r="G246">
        <f t="shared" si="51"/>
        <v>-0.34200000000000003</v>
      </c>
      <c r="H246">
        <f t="shared" si="52"/>
        <v>-800.28000000000009</v>
      </c>
      <c r="I246">
        <v>1</v>
      </c>
      <c r="J246">
        <f t="shared" si="48"/>
        <v>0.85015092936961001</v>
      </c>
      <c r="K246">
        <f t="shared" si="53"/>
        <v>-0.87972515177521737</v>
      </c>
      <c r="L246">
        <v>1</v>
      </c>
      <c r="M246">
        <f t="shared" si="49"/>
        <v>0.53002985563575433</v>
      </c>
      <c r="N246">
        <f t="shared" si="54"/>
        <v>0.18720000000000001</v>
      </c>
      <c r="O246">
        <f t="shared" si="55"/>
        <v>4.4645096251170718E-2</v>
      </c>
      <c r="P246">
        <f t="shared" si="56"/>
        <v>0.11785019988829232</v>
      </c>
    </row>
    <row r="247" spans="1:16">
      <c r="A247">
        <v>11.7</v>
      </c>
      <c r="B247">
        <v>0.33900000000000002</v>
      </c>
      <c r="C247">
        <f t="shared" si="50"/>
        <v>3.9662999999999999</v>
      </c>
      <c r="D247">
        <v>1.6E-2</v>
      </c>
      <c r="E247">
        <v>3.8158201924077539E-3</v>
      </c>
      <c r="F247">
        <f t="shared" si="46"/>
        <v>2340</v>
      </c>
      <c r="G247">
        <f t="shared" si="51"/>
        <v>-0.33900000000000002</v>
      </c>
      <c r="H247">
        <f t="shared" si="52"/>
        <v>-793.26</v>
      </c>
      <c r="I247">
        <v>1</v>
      </c>
      <c r="J247">
        <f t="shared" si="48"/>
        <v>0.85015092936961001</v>
      </c>
      <c r="K247">
        <f t="shared" si="53"/>
        <v>-0.88272515177521749</v>
      </c>
      <c r="L247">
        <v>1</v>
      </c>
      <c r="M247">
        <f t="shared" si="49"/>
        <v>0.53002985563575433</v>
      </c>
      <c r="N247">
        <f t="shared" si="54"/>
        <v>0.18720000000000001</v>
      </c>
      <c r="O247">
        <f t="shared" si="55"/>
        <v>4.4645096251170718E-2</v>
      </c>
      <c r="P247">
        <f t="shared" si="56"/>
        <v>0.12085019988829243</v>
      </c>
    </row>
    <row r="248" spans="1:16">
      <c r="A248">
        <v>11.7</v>
      </c>
      <c r="B248">
        <v>0.34</v>
      </c>
      <c r="C248">
        <f t="shared" si="50"/>
        <v>3.9780000000000002</v>
      </c>
      <c r="D248">
        <v>1.6E-2</v>
      </c>
      <c r="E248">
        <v>3.8158201924077539E-3</v>
      </c>
      <c r="F248">
        <f t="shared" si="46"/>
        <v>2340</v>
      </c>
      <c r="G248">
        <f t="shared" si="51"/>
        <v>-0.34</v>
      </c>
      <c r="H248">
        <f t="shared" si="52"/>
        <v>-795.6</v>
      </c>
      <c r="I248">
        <v>1</v>
      </c>
      <c r="J248">
        <f t="shared" si="48"/>
        <v>0.85015092936961001</v>
      </c>
      <c r="K248">
        <f t="shared" si="53"/>
        <v>-0.88172515177521738</v>
      </c>
      <c r="L248">
        <v>1</v>
      </c>
      <c r="M248">
        <f t="shared" si="49"/>
        <v>0.53002985563575433</v>
      </c>
      <c r="N248">
        <f t="shared" si="54"/>
        <v>0.18720000000000001</v>
      </c>
      <c r="O248">
        <f t="shared" si="55"/>
        <v>4.4645096251170718E-2</v>
      </c>
      <c r="P248">
        <f t="shared" si="56"/>
        <v>0.11985019988829232</v>
      </c>
    </row>
    <row r="249" spans="1:16">
      <c r="A249">
        <v>11.7</v>
      </c>
      <c r="B249">
        <v>0.33900000000000002</v>
      </c>
      <c r="C249">
        <f t="shared" si="50"/>
        <v>3.9662999999999999</v>
      </c>
      <c r="D249">
        <v>1.6E-2</v>
      </c>
      <c r="E249">
        <v>3.8158201924077539E-3</v>
      </c>
      <c r="F249">
        <f t="shared" si="46"/>
        <v>2340</v>
      </c>
      <c r="G249">
        <f t="shared" si="51"/>
        <v>-0.33900000000000002</v>
      </c>
      <c r="H249">
        <f t="shared" si="52"/>
        <v>-793.26</v>
      </c>
      <c r="I249">
        <v>1</v>
      </c>
      <c r="J249">
        <f t="shared" si="48"/>
        <v>0.85015092936961001</v>
      </c>
      <c r="K249">
        <f t="shared" si="53"/>
        <v>-0.88272515177521749</v>
      </c>
      <c r="L249">
        <v>1</v>
      </c>
      <c r="M249">
        <f t="shared" si="49"/>
        <v>0.53002985563575433</v>
      </c>
      <c r="N249">
        <f t="shared" si="54"/>
        <v>0.18720000000000001</v>
      </c>
      <c r="O249">
        <f t="shared" si="55"/>
        <v>4.4645096251170718E-2</v>
      </c>
      <c r="P249">
        <f t="shared" si="56"/>
        <v>0.12085019988829243</v>
      </c>
    </row>
    <row r="250" spans="1:16">
      <c r="A250">
        <v>11.8</v>
      </c>
      <c r="B250">
        <v>0.33600000000000002</v>
      </c>
      <c r="C250">
        <f t="shared" si="50"/>
        <v>3.9648000000000003</v>
      </c>
      <c r="D250">
        <v>1.6E-2</v>
      </c>
      <c r="E250">
        <v>3.8158201924077539E-3</v>
      </c>
      <c r="F250">
        <f t="shared" si="46"/>
        <v>2360</v>
      </c>
      <c r="G250">
        <f t="shared" si="51"/>
        <v>-0.33600000000000002</v>
      </c>
      <c r="H250">
        <f t="shared" si="52"/>
        <v>-792.96</v>
      </c>
      <c r="I250">
        <v>1</v>
      </c>
      <c r="J250">
        <f t="shared" si="48"/>
        <v>0.8586616190375187</v>
      </c>
      <c r="K250">
        <f t="shared" si="53"/>
        <v>-0.88572515177521738</v>
      </c>
      <c r="L250">
        <v>1</v>
      </c>
      <c r="M250">
        <f t="shared" si="49"/>
        <v>0.53038824077766988</v>
      </c>
      <c r="N250">
        <f t="shared" si="54"/>
        <v>0.18880000000000002</v>
      </c>
      <c r="O250">
        <f t="shared" si="55"/>
        <v>4.5026678270411499E-2</v>
      </c>
      <c r="P250">
        <f t="shared" si="56"/>
        <v>0.12151023272713597</v>
      </c>
    </row>
    <row r="251" spans="1:16">
      <c r="A251">
        <v>11.8</v>
      </c>
      <c r="B251">
        <v>0.33400000000000002</v>
      </c>
      <c r="C251">
        <f t="shared" si="50"/>
        <v>3.9412000000000003</v>
      </c>
      <c r="D251">
        <v>1.6E-2</v>
      </c>
      <c r="E251">
        <v>3.8158201924077539E-3</v>
      </c>
      <c r="F251">
        <f t="shared" si="46"/>
        <v>2360</v>
      </c>
      <c r="G251">
        <f t="shared" si="51"/>
        <v>-0.33400000000000002</v>
      </c>
      <c r="H251">
        <f t="shared" si="52"/>
        <v>-788.24</v>
      </c>
      <c r="I251">
        <v>1</v>
      </c>
      <c r="J251">
        <f t="shared" si="48"/>
        <v>0.8586616190375187</v>
      </c>
      <c r="K251">
        <f t="shared" si="53"/>
        <v>-0.88772515177521738</v>
      </c>
      <c r="L251">
        <v>1</v>
      </c>
      <c r="M251">
        <f t="shared" si="49"/>
        <v>0.53038824077766988</v>
      </c>
      <c r="N251">
        <f t="shared" si="54"/>
        <v>0.18880000000000002</v>
      </c>
      <c r="O251">
        <f t="shared" si="55"/>
        <v>4.5026678270411499E-2</v>
      </c>
      <c r="P251">
        <f t="shared" si="56"/>
        <v>0.12351023272713597</v>
      </c>
    </row>
    <row r="252" spans="1:16">
      <c r="A252">
        <v>11.9</v>
      </c>
      <c r="B252">
        <v>0.33200000000000002</v>
      </c>
      <c r="C252">
        <f t="shared" si="50"/>
        <v>3.9508000000000005</v>
      </c>
      <c r="D252">
        <v>1.6E-2</v>
      </c>
      <c r="E252">
        <v>3.8158201924077539E-3</v>
      </c>
      <c r="F252">
        <f t="shared" si="46"/>
        <v>2380</v>
      </c>
      <c r="G252">
        <f t="shared" si="51"/>
        <v>-0.33200000000000002</v>
      </c>
      <c r="H252">
        <f t="shared" si="52"/>
        <v>-790.16000000000008</v>
      </c>
      <c r="I252">
        <v>1</v>
      </c>
      <c r="J252">
        <f t="shared" si="48"/>
        <v>0.86710048768338333</v>
      </c>
      <c r="K252">
        <f t="shared" si="53"/>
        <v>-0.88972515177521738</v>
      </c>
      <c r="L252">
        <v>1</v>
      </c>
      <c r="M252">
        <f t="shared" si="49"/>
        <v>0.53074360153634725</v>
      </c>
      <c r="N252">
        <f t="shared" si="54"/>
        <v>0.19040000000000001</v>
      </c>
      <c r="O252">
        <f t="shared" si="55"/>
        <v>4.5408260289652273E-2</v>
      </c>
      <c r="P252">
        <f t="shared" si="56"/>
        <v>0.12317328994921783</v>
      </c>
    </row>
    <row r="253" spans="1:16">
      <c r="A253">
        <v>11.9</v>
      </c>
      <c r="B253">
        <v>0.32900000000000001</v>
      </c>
      <c r="C253">
        <f t="shared" si="50"/>
        <v>3.9151000000000002</v>
      </c>
      <c r="D253">
        <v>1.6E-2</v>
      </c>
      <c r="E253">
        <v>3.8158201924077539E-3</v>
      </c>
      <c r="F253">
        <f t="shared" si="46"/>
        <v>2380</v>
      </c>
      <c r="G253">
        <f t="shared" si="51"/>
        <v>-0.32900000000000001</v>
      </c>
      <c r="H253">
        <f t="shared" si="52"/>
        <v>-783.0200000000001</v>
      </c>
      <c r="I253">
        <v>1</v>
      </c>
      <c r="J253">
        <f t="shared" si="48"/>
        <v>0.86710048768338333</v>
      </c>
      <c r="K253">
        <f t="shared" si="53"/>
        <v>-0.8927251517752175</v>
      </c>
      <c r="L253">
        <v>1</v>
      </c>
      <c r="M253">
        <f t="shared" si="49"/>
        <v>0.53074360153634725</v>
      </c>
      <c r="N253">
        <f t="shared" si="54"/>
        <v>0.19040000000000001</v>
      </c>
      <c r="O253">
        <f t="shared" si="55"/>
        <v>4.5408260289652273E-2</v>
      </c>
      <c r="P253">
        <f t="shared" si="56"/>
        <v>0.12617328994921795</v>
      </c>
    </row>
    <row r="254" spans="1:16">
      <c r="A254">
        <v>12</v>
      </c>
      <c r="B254">
        <v>0.32700000000000001</v>
      </c>
      <c r="C254">
        <f t="shared" si="50"/>
        <v>3.9240000000000004</v>
      </c>
      <c r="D254">
        <v>1.6E-2</v>
      </c>
      <c r="E254">
        <v>3.8158201924077539E-3</v>
      </c>
      <c r="F254">
        <f t="shared" si="46"/>
        <v>2400</v>
      </c>
      <c r="G254">
        <f t="shared" si="51"/>
        <v>-0.32700000000000001</v>
      </c>
      <c r="H254">
        <f t="shared" si="52"/>
        <v>-784.80000000000007</v>
      </c>
      <c r="I254">
        <v>1</v>
      </c>
      <c r="J254">
        <f t="shared" si="48"/>
        <v>0.87546873735389985</v>
      </c>
      <c r="K254">
        <f t="shared" si="53"/>
        <v>-0.8947251517752175</v>
      </c>
      <c r="L254">
        <v>1</v>
      </c>
      <c r="M254">
        <f t="shared" si="49"/>
        <v>0.53109598852997275</v>
      </c>
      <c r="N254">
        <f t="shared" si="54"/>
        <v>0.192</v>
      </c>
      <c r="O254">
        <f t="shared" si="55"/>
        <v>4.5789842308893047E-2</v>
      </c>
      <c r="P254">
        <f t="shared" si="56"/>
        <v>0.1258393209363517</v>
      </c>
    </row>
    <row r="255" spans="1:16">
      <c r="A255">
        <v>12</v>
      </c>
      <c r="B255">
        <v>0.32500000000000001</v>
      </c>
      <c r="C255">
        <f t="shared" si="50"/>
        <v>3.9000000000000004</v>
      </c>
      <c r="D255">
        <v>1.6E-2</v>
      </c>
      <c r="E255">
        <v>3.8158201924077539E-3</v>
      </c>
      <c r="F255">
        <f t="shared" si="46"/>
        <v>2400</v>
      </c>
      <c r="G255">
        <f t="shared" si="51"/>
        <v>-0.32500000000000001</v>
      </c>
      <c r="H255">
        <f t="shared" si="52"/>
        <v>-780.00000000000011</v>
      </c>
      <c r="I255">
        <v>1</v>
      </c>
      <c r="J255">
        <f t="shared" si="48"/>
        <v>0.87546873735389985</v>
      </c>
      <c r="K255">
        <f t="shared" si="53"/>
        <v>-0.8967251517752175</v>
      </c>
      <c r="L255">
        <v>1</v>
      </c>
      <c r="M255">
        <f t="shared" si="49"/>
        <v>0.53109598852997275</v>
      </c>
      <c r="N255">
        <f t="shared" si="54"/>
        <v>0.192</v>
      </c>
      <c r="O255">
        <f t="shared" si="55"/>
        <v>4.5789842308893047E-2</v>
      </c>
      <c r="P255">
        <f t="shared" si="56"/>
        <v>0.1278393209363517</v>
      </c>
    </row>
    <row r="256" spans="1:16">
      <c r="A256">
        <v>12.1</v>
      </c>
      <c r="B256">
        <v>0.32300000000000001</v>
      </c>
      <c r="C256">
        <f t="shared" si="50"/>
        <v>3.9083000000000001</v>
      </c>
      <c r="D256">
        <v>1.6E-2</v>
      </c>
      <c r="E256">
        <v>3.8158201924077539E-3</v>
      </c>
      <c r="F256">
        <f t="shared" si="46"/>
        <v>2420</v>
      </c>
      <c r="G256">
        <f t="shared" si="51"/>
        <v>-0.32300000000000001</v>
      </c>
      <c r="H256">
        <f t="shared" si="52"/>
        <v>-781.66</v>
      </c>
      <c r="I256">
        <v>1</v>
      </c>
      <c r="J256">
        <f t="shared" si="48"/>
        <v>0.88376754016859504</v>
      </c>
      <c r="K256">
        <f t="shared" si="53"/>
        <v>-0.8987251517752175</v>
      </c>
      <c r="L256">
        <v>1</v>
      </c>
      <c r="M256">
        <f t="shared" si="49"/>
        <v>0.53144545111649955</v>
      </c>
      <c r="N256">
        <f t="shared" si="54"/>
        <v>0.19359999999999999</v>
      </c>
      <c r="O256">
        <f t="shared" si="55"/>
        <v>4.6171424328133821E-2</v>
      </c>
      <c r="P256">
        <f t="shared" si="56"/>
        <v>0.12750827633058415</v>
      </c>
    </row>
    <row r="257" spans="1:16">
      <c r="A257">
        <v>12.1</v>
      </c>
      <c r="B257">
        <v>0.32</v>
      </c>
      <c r="C257">
        <f t="shared" si="50"/>
        <v>3.8719999999999999</v>
      </c>
      <c r="D257">
        <v>1.6E-2</v>
      </c>
      <c r="E257">
        <v>3.8158201924077539E-3</v>
      </c>
      <c r="F257">
        <f t="shared" si="46"/>
        <v>2420</v>
      </c>
      <c r="G257">
        <f t="shared" si="51"/>
        <v>-0.32</v>
      </c>
      <c r="H257">
        <f t="shared" si="52"/>
        <v>-774.4</v>
      </c>
      <c r="I257">
        <v>1</v>
      </c>
      <c r="J257">
        <f t="shared" si="48"/>
        <v>0.88376754016859504</v>
      </c>
      <c r="K257">
        <f t="shared" si="53"/>
        <v>-0.90172515177521739</v>
      </c>
      <c r="L257">
        <v>1</v>
      </c>
      <c r="M257">
        <f t="shared" si="49"/>
        <v>0.53144545111649955</v>
      </c>
      <c r="N257">
        <f t="shared" si="54"/>
        <v>0.19359999999999999</v>
      </c>
      <c r="O257">
        <f t="shared" si="55"/>
        <v>4.6171424328133821E-2</v>
      </c>
      <c r="P257">
        <f t="shared" si="56"/>
        <v>0.13050827633058404</v>
      </c>
    </row>
    <row r="258" spans="1:16">
      <c r="A258">
        <v>12.2</v>
      </c>
      <c r="B258">
        <v>0.318</v>
      </c>
      <c r="C258">
        <f t="shared" si="50"/>
        <v>3.8795999999999999</v>
      </c>
      <c r="D258">
        <v>1.6E-2</v>
      </c>
      <c r="E258">
        <v>3.8158201924077539E-3</v>
      </c>
      <c r="F258">
        <f t="shared" si="46"/>
        <v>2440</v>
      </c>
      <c r="G258">
        <f t="shared" si="51"/>
        <v>-0.318</v>
      </c>
      <c r="H258">
        <f t="shared" si="52"/>
        <v>-775.92</v>
      </c>
      <c r="I258">
        <v>1</v>
      </c>
      <c r="J258">
        <f t="shared" si="48"/>
        <v>0.89199803930511046</v>
      </c>
      <c r="K258">
        <f t="shared" si="53"/>
        <v>-0.90372515177521739</v>
      </c>
      <c r="L258">
        <v>1</v>
      </c>
      <c r="M258">
        <f t="shared" si="49"/>
        <v>0.53179203743513825</v>
      </c>
      <c r="N258">
        <f t="shared" si="54"/>
        <v>0.19519999999999998</v>
      </c>
      <c r="O258">
        <f t="shared" si="55"/>
        <v>4.6553006347374595E-2</v>
      </c>
      <c r="P258">
        <f t="shared" si="56"/>
        <v>0.13018010799270457</v>
      </c>
    </row>
    <row r="259" spans="1:16">
      <c r="A259">
        <v>12.2</v>
      </c>
      <c r="B259">
        <v>0.316</v>
      </c>
      <c r="C259">
        <f t="shared" si="50"/>
        <v>3.8552</v>
      </c>
      <c r="D259">
        <v>1.6E-2</v>
      </c>
      <c r="E259">
        <v>3.8158201924077539E-3</v>
      </c>
      <c r="F259">
        <f t="shared" si="46"/>
        <v>2440</v>
      </c>
      <c r="G259">
        <f t="shared" si="51"/>
        <v>-0.316</v>
      </c>
      <c r="H259">
        <f t="shared" si="52"/>
        <v>-771.04</v>
      </c>
      <c r="I259">
        <v>1</v>
      </c>
      <c r="J259">
        <f t="shared" si="48"/>
        <v>0.89199803930511046</v>
      </c>
      <c r="K259">
        <f t="shared" si="53"/>
        <v>-0.9057251517752174</v>
      </c>
      <c r="L259">
        <v>1</v>
      </c>
      <c r="M259">
        <f t="shared" si="49"/>
        <v>0.53179203743513825</v>
      </c>
      <c r="N259">
        <f t="shared" si="54"/>
        <v>0.19519999999999998</v>
      </c>
      <c r="O259">
        <f t="shared" si="55"/>
        <v>4.6553006347374595E-2</v>
      </c>
      <c r="P259">
        <f t="shared" si="56"/>
        <v>0.13218010799270458</v>
      </c>
    </row>
    <row r="260" spans="1:16">
      <c r="A260">
        <v>12.3</v>
      </c>
      <c r="B260">
        <v>0.313</v>
      </c>
      <c r="C260">
        <f t="shared" si="50"/>
        <v>3.8499000000000003</v>
      </c>
      <c r="D260">
        <v>1.6E-2</v>
      </c>
      <c r="E260">
        <v>3.8158201924077539E-3</v>
      </c>
      <c r="F260">
        <f t="shared" si="46"/>
        <v>2460</v>
      </c>
      <c r="G260">
        <f t="shared" si="51"/>
        <v>-0.313</v>
      </c>
      <c r="H260">
        <f t="shared" si="52"/>
        <v>-769.98</v>
      </c>
      <c r="I260">
        <v>1</v>
      </c>
      <c r="J260">
        <f t="shared" si="48"/>
        <v>0.90016134994427144</v>
      </c>
      <c r="K260">
        <f t="shared" si="53"/>
        <v>-0.90872515177521751</v>
      </c>
      <c r="L260">
        <v>1</v>
      </c>
      <c r="M260">
        <f t="shared" si="49"/>
        <v>0.53213579444615333</v>
      </c>
      <c r="N260">
        <f t="shared" si="54"/>
        <v>0.1968</v>
      </c>
      <c r="O260">
        <f t="shared" si="55"/>
        <v>4.6934588366615376E-2</v>
      </c>
      <c r="P260">
        <f t="shared" si="56"/>
        <v>0.1328547689624488</v>
      </c>
    </row>
    <row r="261" spans="1:16">
      <c r="A261">
        <v>12.3</v>
      </c>
      <c r="B261">
        <v>0.311</v>
      </c>
      <c r="C261">
        <f t="shared" si="50"/>
        <v>3.8253000000000004</v>
      </c>
      <c r="D261">
        <v>1.6E-2</v>
      </c>
      <c r="E261">
        <v>3.8158201924077539E-3</v>
      </c>
      <c r="F261">
        <f t="shared" ref="F261:F303" si="57">A261*200</f>
        <v>2460</v>
      </c>
      <c r="G261">
        <f t="shared" si="51"/>
        <v>-0.311</v>
      </c>
      <c r="H261">
        <f t="shared" si="52"/>
        <v>-765.06000000000006</v>
      </c>
      <c r="I261">
        <v>1</v>
      </c>
      <c r="J261">
        <f t="shared" ref="J261:J303" si="58">LN(F261/1000)</f>
        <v>0.90016134994427144</v>
      </c>
      <c r="K261">
        <f t="shared" si="53"/>
        <v>-0.91072515177521751</v>
      </c>
      <c r="L261">
        <v>1</v>
      </c>
      <c r="M261">
        <f t="shared" ref="M261:M303" si="59">-1*($S$4+($S$5*J261))</f>
        <v>0.53213579444615333</v>
      </c>
      <c r="N261">
        <f t="shared" si="54"/>
        <v>0.1968</v>
      </c>
      <c r="O261">
        <f t="shared" si="55"/>
        <v>4.6934588366615376E-2</v>
      </c>
      <c r="P261">
        <f t="shared" si="56"/>
        <v>0.1348547689624488</v>
      </c>
    </row>
    <row r="262" spans="1:16">
      <c r="A262">
        <v>12.4</v>
      </c>
      <c r="B262">
        <v>0.309</v>
      </c>
      <c r="C262">
        <f t="shared" si="50"/>
        <v>3.8315999999999999</v>
      </c>
      <c r="D262">
        <v>1.6E-2</v>
      </c>
      <c r="E262">
        <v>3.8158201924077539E-3</v>
      </c>
      <c r="F262">
        <f t="shared" si="57"/>
        <v>2480</v>
      </c>
      <c r="G262">
        <f t="shared" si="51"/>
        <v>-0.309</v>
      </c>
      <c r="H262">
        <f t="shared" si="52"/>
        <v>-766.31999999999994</v>
      </c>
      <c r="I262">
        <v>1</v>
      </c>
      <c r="J262">
        <f t="shared" si="58"/>
        <v>0.90825856017689077</v>
      </c>
      <c r="K262">
        <f t="shared" si="53"/>
        <v>-0.91272515177521751</v>
      </c>
      <c r="L262">
        <v>1</v>
      </c>
      <c r="M262">
        <f t="shared" si="59"/>
        <v>0.53247676796904886</v>
      </c>
      <c r="N262">
        <f t="shared" si="54"/>
        <v>0.19840000000000002</v>
      </c>
      <c r="O262">
        <f t="shared" si="55"/>
        <v>4.731617038585615E-2</v>
      </c>
      <c r="P262">
        <f t="shared" si="56"/>
        <v>0.13453221342031249</v>
      </c>
    </row>
    <row r="263" spans="1:16">
      <c r="A263">
        <v>12.4</v>
      </c>
      <c r="B263">
        <v>0.307</v>
      </c>
      <c r="C263">
        <f t="shared" si="50"/>
        <v>3.8068</v>
      </c>
      <c r="D263">
        <v>1.6E-2</v>
      </c>
      <c r="E263">
        <v>3.8158201924077539E-3</v>
      </c>
      <c r="F263">
        <f t="shared" si="57"/>
        <v>2480</v>
      </c>
      <c r="G263">
        <f t="shared" si="51"/>
        <v>-0.307</v>
      </c>
      <c r="H263">
        <f t="shared" si="52"/>
        <v>-761.36</v>
      </c>
      <c r="I263">
        <v>1</v>
      </c>
      <c r="J263">
        <f t="shared" si="58"/>
        <v>0.90825856017689077</v>
      </c>
      <c r="K263">
        <f t="shared" si="53"/>
        <v>-0.91472515177521752</v>
      </c>
      <c r="L263">
        <v>1</v>
      </c>
      <c r="M263">
        <f t="shared" si="59"/>
        <v>0.53247676796904886</v>
      </c>
      <c r="N263">
        <f t="shared" si="54"/>
        <v>0.19840000000000002</v>
      </c>
      <c r="O263">
        <f t="shared" si="55"/>
        <v>4.731617038585615E-2</v>
      </c>
      <c r="P263">
        <f t="shared" si="56"/>
        <v>0.13653221342031249</v>
      </c>
    </row>
    <row r="264" spans="1:16">
      <c r="A264">
        <v>12.5</v>
      </c>
      <c r="B264">
        <v>0.30399999999999999</v>
      </c>
      <c r="C264">
        <f t="shared" si="50"/>
        <v>3.8</v>
      </c>
      <c r="D264">
        <v>1.6E-2</v>
      </c>
      <c r="E264">
        <v>3.8158201924077539E-3</v>
      </c>
      <c r="F264">
        <f t="shared" si="57"/>
        <v>2500</v>
      </c>
      <c r="G264">
        <f t="shared" si="51"/>
        <v>-0.30399999999999999</v>
      </c>
      <c r="H264">
        <f t="shared" si="52"/>
        <v>-760</v>
      </c>
      <c r="I264">
        <v>1</v>
      </c>
      <c r="J264">
        <f t="shared" si="58"/>
        <v>0.91629073187415511</v>
      </c>
      <c r="K264">
        <f t="shared" si="53"/>
        <v>-0.91772515177521741</v>
      </c>
      <c r="L264">
        <v>1</v>
      </c>
      <c r="M264">
        <f t="shared" si="59"/>
        <v>0.53281500271922067</v>
      </c>
      <c r="N264">
        <f t="shared" si="54"/>
        <v>0.2</v>
      </c>
      <c r="O264">
        <f t="shared" si="55"/>
        <v>4.7697752405096924E-2</v>
      </c>
      <c r="P264">
        <f t="shared" si="56"/>
        <v>0.13721239665089979</v>
      </c>
    </row>
    <row r="265" spans="1:16">
      <c r="A265">
        <v>12.5</v>
      </c>
      <c r="B265">
        <v>0.30199999999999999</v>
      </c>
      <c r="C265">
        <f t="shared" si="50"/>
        <v>3.7749999999999999</v>
      </c>
      <c r="D265">
        <v>1.6E-2</v>
      </c>
      <c r="E265">
        <v>3.8158201924077539E-3</v>
      </c>
      <c r="F265">
        <f t="shared" si="57"/>
        <v>2500</v>
      </c>
      <c r="G265">
        <f t="shared" si="51"/>
        <v>-0.30199999999999999</v>
      </c>
      <c r="H265">
        <f t="shared" si="52"/>
        <v>-755</v>
      </c>
      <c r="I265">
        <v>1</v>
      </c>
      <c r="J265">
        <f t="shared" si="58"/>
        <v>0.91629073187415511</v>
      </c>
      <c r="K265">
        <f t="shared" si="53"/>
        <v>-0.91972515177521741</v>
      </c>
      <c r="L265">
        <v>1</v>
      </c>
      <c r="M265">
        <f t="shared" si="59"/>
        <v>0.53281500271922067</v>
      </c>
      <c r="N265">
        <f t="shared" si="54"/>
        <v>0.2</v>
      </c>
      <c r="O265">
        <f t="shared" si="55"/>
        <v>4.7697752405096924E-2</v>
      </c>
      <c r="P265">
        <f t="shared" si="56"/>
        <v>0.13921239665089979</v>
      </c>
    </row>
    <row r="266" spans="1:16">
      <c r="A266">
        <v>12.6</v>
      </c>
      <c r="B266">
        <v>0.29899999999999999</v>
      </c>
      <c r="C266">
        <f t="shared" si="50"/>
        <v>3.7673999999999999</v>
      </c>
      <c r="D266">
        <v>1.6E-2</v>
      </c>
      <c r="E266">
        <v>3.8158201924077539E-3</v>
      </c>
      <c r="F266">
        <f t="shared" si="57"/>
        <v>2520</v>
      </c>
      <c r="G266">
        <f t="shared" si="51"/>
        <v>-0.29899999999999999</v>
      </c>
      <c r="H266">
        <f t="shared" si="52"/>
        <v>-753.48</v>
      </c>
      <c r="I266">
        <v>1</v>
      </c>
      <c r="J266">
        <f t="shared" si="58"/>
        <v>0.9242589015233319</v>
      </c>
      <c r="K266">
        <f t="shared" si="53"/>
        <v>-0.92272515177521752</v>
      </c>
      <c r="L266">
        <v>1</v>
      </c>
      <c r="M266">
        <f t="shared" si="59"/>
        <v>0.53315054234314752</v>
      </c>
      <c r="N266">
        <f t="shared" si="54"/>
        <v>0.2016</v>
      </c>
      <c r="O266">
        <f t="shared" si="55"/>
        <v>4.8079334424337698E-2</v>
      </c>
      <c r="P266">
        <f t="shared" si="56"/>
        <v>0.1398952750077323</v>
      </c>
    </row>
    <row r="267" spans="1:16">
      <c r="A267">
        <v>12.7</v>
      </c>
      <c r="B267">
        <v>0.29699999999999999</v>
      </c>
      <c r="C267">
        <f t="shared" si="50"/>
        <v>3.7718999999999996</v>
      </c>
      <c r="D267">
        <v>1.6E-2</v>
      </c>
      <c r="E267">
        <v>3.8158201924077539E-3</v>
      </c>
      <c r="F267">
        <f t="shared" si="57"/>
        <v>2540</v>
      </c>
      <c r="G267">
        <f t="shared" si="51"/>
        <v>-0.29699999999999999</v>
      </c>
      <c r="H267">
        <f t="shared" si="52"/>
        <v>-754.37999999999988</v>
      </c>
      <c r="I267">
        <v>1</v>
      </c>
      <c r="J267">
        <f t="shared" si="58"/>
        <v>0.93216408103044524</v>
      </c>
      <c r="K267">
        <f t="shared" si="53"/>
        <v>-0.92472515177521752</v>
      </c>
      <c r="L267">
        <v>1</v>
      </c>
      <c r="M267">
        <f t="shared" si="59"/>
        <v>0.53348342945219207</v>
      </c>
      <c r="N267">
        <f t="shared" si="54"/>
        <v>0.20319999999999999</v>
      </c>
      <c r="O267">
        <f t="shared" si="55"/>
        <v>4.8460916443578472E-2</v>
      </c>
      <c r="P267">
        <f t="shared" si="56"/>
        <v>0.13958080587944699</v>
      </c>
    </row>
    <row r="268" spans="1:16">
      <c r="A268">
        <v>12.7</v>
      </c>
      <c r="B268">
        <v>0.29499999999999998</v>
      </c>
      <c r="C268">
        <f t="shared" si="50"/>
        <v>3.7464999999999997</v>
      </c>
      <c r="D268">
        <v>1.6E-2</v>
      </c>
      <c r="E268">
        <v>3.8158201924077539E-3</v>
      </c>
      <c r="F268">
        <f t="shared" si="57"/>
        <v>2540</v>
      </c>
      <c r="G268">
        <f t="shared" si="51"/>
        <v>-0.29499999999999998</v>
      </c>
      <c r="H268">
        <f t="shared" si="52"/>
        <v>-749.3</v>
      </c>
      <c r="I268">
        <v>1</v>
      </c>
      <c r="J268">
        <f t="shared" si="58"/>
        <v>0.93216408103044524</v>
      </c>
      <c r="K268">
        <f t="shared" si="53"/>
        <v>-0.92672515177521753</v>
      </c>
      <c r="L268">
        <v>1</v>
      </c>
      <c r="M268">
        <f t="shared" si="59"/>
        <v>0.53348342945219207</v>
      </c>
      <c r="N268">
        <f t="shared" si="54"/>
        <v>0.20319999999999999</v>
      </c>
      <c r="O268">
        <f t="shared" si="55"/>
        <v>4.8460916443578472E-2</v>
      </c>
      <c r="P268">
        <f t="shared" si="56"/>
        <v>0.14158080587944699</v>
      </c>
    </row>
    <row r="269" spans="1:16">
      <c r="A269">
        <v>12.8</v>
      </c>
      <c r="B269">
        <v>0.29199999999999998</v>
      </c>
      <c r="C269">
        <f t="shared" si="50"/>
        <v>3.7376</v>
      </c>
      <c r="D269">
        <v>1.6E-2</v>
      </c>
      <c r="E269">
        <v>3.8158201924077539E-3</v>
      </c>
      <c r="F269">
        <f t="shared" si="57"/>
        <v>2560</v>
      </c>
      <c r="G269">
        <f t="shared" si="51"/>
        <v>-0.29199999999999998</v>
      </c>
      <c r="H269">
        <f t="shared" si="52"/>
        <v>-747.52</v>
      </c>
      <c r="I269">
        <v>1</v>
      </c>
      <c r="J269">
        <f t="shared" si="58"/>
        <v>0.94000725849147115</v>
      </c>
      <c r="K269">
        <f t="shared" si="53"/>
        <v>-0.92972515177521742</v>
      </c>
      <c r="L269">
        <v>1</v>
      </c>
      <c r="M269">
        <f t="shared" si="59"/>
        <v>0.5338137056550758</v>
      </c>
      <c r="N269">
        <f t="shared" si="54"/>
        <v>0.20480000000000001</v>
      </c>
      <c r="O269">
        <f t="shared" si="55"/>
        <v>4.8842498462819253E-2</v>
      </c>
      <c r="P269">
        <f t="shared" si="56"/>
        <v>0.14226894765732234</v>
      </c>
    </row>
    <row r="270" spans="1:16">
      <c r="A270">
        <v>12.8</v>
      </c>
      <c r="B270">
        <v>0.28999999999999998</v>
      </c>
      <c r="C270">
        <f t="shared" si="50"/>
        <v>3.7119999999999997</v>
      </c>
      <c r="D270">
        <v>1.6E-2</v>
      </c>
      <c r="E270">
        <v>3.8158201924077539E-3</v>
      </c>
      <c r="F270">
        <f t="shared" si="57"/>
        <v>2560</v>
      </c>
      <c r="G270">
        <f t="shared" si="51"/>
        <v>-0.28999999999999998</v>
      </c>
      <c r="H270">
        <f t="shared" si="52"/>
        <v>-742.4</v>
      </c>
      <c r="I270">
        <v>1</v>
      </c>
      <c r="J270">
        <f t="shared" si="58"/>
        <v>0.94000725849147115</v>
      </c>
      <c r="K270">
        <f t="shared" si="53"/>
        <v>-0.93172515177521742</v>
      </c>
      <c r="L270">
        <v>1</v>
      </c>
      <c r="M270">
        <f t="shared" si="59"/>
        <v>0.5338137056550758</v>
      </c>
      <c r="N270">
        <f t="shared" si="54"/>
        <v>0.20480000000000001</v>
      </c>
      <c r="O270">
        <f t="shared" si="55"/>
        <v>4.8842498462819253E-2</v>
      </c>
      <c r="P270">
        <f t="shared" si="56"/>
        <v>0.14426894765732234</v>
      </c>
    </row>
    <row r="271" spans="1:16">
      <c r="A271">
        <v>12.9</v>
      </c>
      <c r="B271">
        <v>0.28699999999999998</v>
      </c>
      <c r="C271">
        <f t="shared" si="50"/>
        <v>3.7022999999999997</v>
      </c>
      <c r="D271">
        <v>1.6E-2</v>
      </c>
      <c r="E271">
        <v>3.8158201924077539E-3</v>
      </c>
      <c r="F271">
        <f t="shared" si="57"/>
        <v>2580</v>
      </c>
      <c r="G271">
        <f t="shared" si="51"/>
        <v>-0.28699999999999998</v>
      </c>
      <c r="H271">
        <f t="shared" si="52"/>
        <v>-740.45999999999992</v>
      </c>
      <c r="I271">
        <v>1</v>
      </c>
      <c r="J271">
        <f t="shared" si="58"/>
        <v>0.94778939893352609</v>
      </c>
      <c r="K271">
        <f t="shared" si="53"/>
        <v>-0.93472515177521753</v>
      </c>
      <c r="L271">
        <v>1</v>
      </c>
      <c r="M271">
        <f t="shared" si="59"/>
        <v>0.53414141158909079</v>
      </c>
      <c r="N271">
        <f t="shared" si="54"/>
        <v>0.2064</v>
      </c>
      <c r="O271">
        <f t="shared" si="55"/>
        <v>4.9224080482060027E-2</v>
      </c>
      <c r="P271">
        <f t="shared" si="56"/>
        <v>0.14495965970406671</v>
      </c>
    </row>
    <row r="272" spans="1:16">
      <c r="A272">
        <v>12.9</v>
      </c>
      <c r="B272">
        <v>0.28499999999999998</v>
      </c>
      <c r="C272">
        <f t="shared" si="50"/>
        <v>3.6764999999999999</v>
      </c>
      <c r="D272">
        <v>1.6E-2</v>
      </c>
      <c r="E272">
        <v>3.8158201924077539E-3</v>
      </c>
      <c r="F272">
        <f t="shared" si="57"/>
        <v>2580</v>
      </c>
      <c r="G272">
        <f t="shared" si="51"/>
        <v>-0.28499999999999998</v>
      </c>
      <c r="H272">
        <f t="shared" si="52"/>
        <v>-735.3</v>
      </c>
      <c r="I272">
        <v>1</v>
      </c>
      <c r="J272">
        <f t="shared" si="58"/>
        <v>0.94778939893352609</v>
      </c>
      <c r="K272">
        <f t="shared" si="53"/>
        <v>-0.93672515177521753</v>
      </c>
      <c r="L272">
        <v>1</v>
      </c>
      <c r="M272">
        <f t="shared" si="59"/>
        <v>0.53414141158909079</v>
      </c>
      <c r="N272">
        <f t="shared" si="54"/>
        <v>0.2064</v>
      </c>
      <c r="O272">
        <f t="shared" si="55"/>
        <v>4.9224080482060027E-2</v>
      </c>
      <c r="P272">
        <f t="shared" si="56"/>
        <v>0.14695965970406671</v>
      </c>
    </row>
    <row r="273" spans="1:16">
      <c r="A273">
        <v>13</v>
      </c>
      <c r="B273">
        <v>0.28199999999999997</v>
      </c>
      <c r="C273">
        <f t="shared" si="50"/>
        <v>3.6659999999999995</v>
      </c>
      <c r="D273">
        <v>1.6E-2</v>
      </c>
      <c r="E273">
        <v>3.8158201924077539E-3</v>
      </c>
      <c r="F273">
        <f t="shared" si="57"/>
        <v>2600</v>
      </c>
      <c r="G273">
        <f t="shared" si="51"/>
        <v>-0.28199999999999997</v>
      </c>
      <c r="H273">
        <f t="shared" si="52"/>
        <v>-733.19999999999993</v>
      </c>
      <c r="I273">
        <v>1</v>
      </c>
      <c r="J273">
        <f t="shared" si="58"/>
        <v>0.95551144502743635</v>
      </c>
      <c r="K273">
        <f t="shared" si="53"/>
        <v>-0.93972515177521743</v>
      </c>
      <c r="L273">
        <v>1</v>
      </c>
      <c r="M273">
        <f t="shared" si="59"/>
        <v>0.53446658695010529</v>
      </c>
      <c r="N273">
        <f t="shared" si="54"/>
        <v>0.20800000000000002</v>
      </c>
      <c r="O273">
        <f t="shared" si="55"/>
        <v>4.9605662501300801E-2</v>
      </c>
      <c r="P273">
        <f t="shared" si="56"/>
        <v>0.14765290232381131</v>
      </c>
    </row>
    <row r="274" spans="1:16">
      <c r="A274">
        <v>13</v>
      </c>
      <c r="B274">
        <v>0.28000000000000003</v>
      </c>
      <c r="C274">
        <f t="shared" si="50"/>
        <v>3.6400000000000006</v>
      </c>
      <c r="D274">
        <v>1.6E-2</v>
      </c>
      <c r="E274">
        <v>3.8158201924077539E-3</v>
      </c>
      <c r="F274">
        <f t="shared" si="57"/>
        <v>2600</v>
      </c>
      <c r="G274">
        <f t="shared" si="51"/>
        <v>-0.28000000000000003</v>
      </c>
      <c r="H274">
        <f t="shared" si="52"/>
        <v>-728.00000000000011</v>
      </c>
      <c r="I274">
        <v>1</v>
      </c>
      <c r="J274">
        <f t="shared" si="58"/>
        <v>0.95551144502743635</v>
      </c>
      <c r="K274">
        <f t="shared" si="53"/>
        <v>-0.94172515177521743</v>
      </c>
      <c r="L274">
        <v>1</v>
      </c>
      <c r="M274">
        <f t="shared" si="59"/>
        <v>0.53446658695010529</v>
      </c>
      <c r="N274">
        <f t="shared" si="54"/>
        <v>0.20800000000000002</v>
      </c>
      <c r="O274">
        <f t="shared" si="55"/>
        <v>4.9605662501300801E-2</v>
      </c>
      <c r="P274">
        <f t="shared" si="56"/>
        <v>0.14965290232381132</v>
      </c>
    </row>
    <row r="275" spans="1:16">
      <c r="A275">
        <v>13.1</v>
      </c>
      <c r="B275">
        <v>0.27800000000000002</v>
      </c>
      <c r="C275">
        <f t="shared" si="50"/>
        <v>3.6418000000000004</v>
      </c>
      <c r="D275">
        <v>1.6E-2</v>
      </c>
      <c r="E275">
        <v>3.8158201924077539E-3</v>
      </c>
      <c r="F275">
        <f t="shared" si="57"/>
        <v>2620</v>
      </c>
      <c r="G275">
        <f t="shared" si="51"/>
        <v>-0.27800000000000002</v>
      </c>
      <c r="H275">
        <f t="shared" si="52"/>
        <v>-728.36000000000013</v>
      </c>
      <c r="I275">
        <v>1</v>
      </c>
      <c r="J275">
        <f t="shared" si="58"/>
        <v>0.96317431777300555</v>
      </c>
      <c r="K275">
        <f t="shared" si="53"/>
        <v>-0.94372515177521743</v>
      </c>
      <c r="L275">
        <v>1</v>
      </c>
      <c r="M275">
        <f t="shared" si="59"/>
        <v>0.53478927052142122</v>
      </c>
      <c r="N275">
        <f t="shared" si="54"/>
        <v>0.20960000000000001</v>
      </c>
      <c r="O275">
        <f t="shared" si="55"/>
        <v>4.9987244520541575E-2</v>
      </c>
      <c r="P275">
        <f t="shared" si="56"/>
        <v>0.14934863673325463</v>
      </c>
    </row>
    <row r="276" spans="1:16">
      <c r="A276">
        <v>13.1</v>
      </c>
      <c r="B276">
        <v>0.27500000000000002</v>
      </c>
      <c r="C276">
        <f t="shared" ref="C276:C303" si="60">A276*B276</f>
        <v>3.6025</v>
      </c>
      <c r="D276">
        <v>1.6E-2</v>
      </c>
      <c r="E276">
        <v>3.8158201924077539E-3</v>
      </c>
      <c r="F276">
        <f t="shared" si="57"/>
        <v>2620</v>
      </c>
      <c r="G276">
        <f t="shared" ref="G276:G303" si="61">-B276</f>
        <v>-0.27500000000000002</v>
      </c>
      <c r="H276">
        <f t="shared" ref="H276:H303" si="62">-C276*200</f>
        <v>-720.5</v>
      </c>
      <c r="I276">
        <v>1</v>
      </c>
      <c r="J276">
        <f t="shared" si="58"/>
        <v>0.96317431777300555</v>
      </c>
      <c r="K276">
        <f t="shared" ref="K276:K303" si="63">((-G276)-$N$2)</f>
        <v>-0.94672515177521743</v>
      </c>
      <c r="L276">
        <v>1</v>
      </c>
      <c r="M276">
        <f t="shared" si="59"/>
        <v>0.53478927052142122</v>
      </c>
      <c r="N276">
        <f t="shared" ref="N276:N303" si="64">D276*A276</f>
        <v>0.20960000000000001</v>
      </c>
      <c r="O276">
        <f t="shared" ref="O276:O303" si="65">E276*A276</f>
        <v>4.9987244520541575E-2</v>
      </c>
      <c r="P276">
        <f t="shared" ref="P276:P303" si="66">-K276-M276-N276-O276</f>
        <v>0.15234863673325463</v>
      </c>
    </row>
    <row r="277" spans="1:16">
      <c r="A277">
        <v>13.2</v>
      </c>
      <c r="B277">
        <v>0.27300000000000002</v>
      </c>
      <c r="C277">
        <f t="shared" si="60"/>
        <v>3.6036000000000001</v>
      </c>
      <c r="D277">
        <v>1.6E-2</v>
      </c>
      <c r="E277">
        <v>3.8158201924077539E-3</v>
      </c>
      <c r="F277">
        <f t="shared" si="57"/>
        <v>2640</v>
      </c>
      <c r="G277">
        <f t="shared" si="61"/>
        <v>-0.27300000000000002</v>
      </c>
      <c r="H277">
        <f t="shared" si="62"/>
        <v>-720.72</v>
      </c>
      <c r="I277">
        <v>1</v>
      </c>
      <c r="J277">
        <f t="shared" si="58"/>
        <v>0.97077891715822484</v>
      </c>
      <c r="K277">
        <f t="shared" si="63"/>
        <v>-0.94872515177521743</v>
      </c>
      <c r="L277">
        <v>1</v>
      </c>
      <c r="M277">
        <f t="shared" si="59"/>
        <v>0.53510950020153281</v>
      </c>
      <c r="N277">
        <f t="shared" si="64"/>
        <v>0.2112</v>
      </c>
      <c r="O277">
        <f t="shared" si="65"/>
        <v>5.0368826539782349E-2</v>
      </c>
      <c r="P277">
        <f t="shared" si="66"/>
        <v>0.15204682503390227</v>
      </c>
    </row>
    <row r="278" spans="1:16">
      <c r="A278">
        <v>13.2</v>
      </c>
      <c r="B278">
        <v>0.27</v>
      </c>
      <c r="C278">
        <f t="shared" si="60"/>
        <v>3.5640000000000001</v>
      </c>
      <c r="D278">
        <v>1.6E-2</v>
      </c>
      <c r="E278">
        <v>3.8158201924077539E-3</v>
      </c>
      <c r="F278">
        <f t="shared" si="57"/>
        <v>2640</v>
      </c>
      <c r="G278">
        <f t="shared" si="61"/>
        <v>-0.27</v>
      </c>
      <c r="H278">
        <f t="shared" si="62"/>
        <v>-712.8</v>
      </c>
      <c r="I278">
        <v>1</v>
      </c>
      <c r="J278">
        <f t="shared" si="58"/>
        <v>0.97077891715822484</v>
      </c>
      <c r="K278">
        <f t="shared" si="63"/>
        <v>-0.95172515177521744</v>
      </c>
      <c r="L278">
        <v>1</v>
      </c>
      <c r="M278">
        <f t="shared" si="59"/>
        <v>0.53510950020153281</v>
      </c>
      <c r="N278">
        <f t="shared" si="64"/>
        <v>0.2112</v>
      </c>
      <c r="O278">
        <f t="shared" si="65"/>
        <v>5.0368826539782349E-2</v>
      </c>
      <c r="P278">
        <f t="shared" si="66"/>
        <v>0.15504682503390227</v>
      </c>
    </row>
    <row r="279" spans="1:16">
      <c r="A279">
        <v>13.3</v>
      </c>
      <c r="B279">
        <v>0.26800000000000002</v>
      </c>
      <c r="C279">
        <f t="shared" si="60"/>
        <v>3.5644000000000005</v>
      </c>
      <c r="D279">
        <v>1.6E-2</v>
      </c>
      <c r="E279">
        <v>3.8158201924077539E-3</v>
      </c>
      <c r="F279">
        <f t="shared" si="57"/>
        <v>2660</v>
      </c>
      <c r="G279">
        <f t="shared" si="61"/>
        <v>-0.26800000000000002</v>
      </c>
      <c r="H279">
        <f t="shared" si="62"/>
        <v>-712.88000000000011</v>
      </c>
      <c r="I279">
        <v>1</v>
      </c>
      <c r="J279">
        <f t="shared" si="58"/>
        <v>0.97832612279360776</v>
      </c>
      <c r="K279">
        <f t="shared" si="63"/>
        <v>-0.95372515177521744</v>
      </c>
      <c r="L279">
        <v>1</v>
      </c>
      <c r="M279">
        <f t="shared" si="59"/>
        <v>0.53542731303083879</v>
      </c>
      <c r="N279">
        <f t="shared" si="64"/>
        <v>0.21280000000000002</v>
      </c>
      <c r="O279">
        <f t="shared" si="65"/>
        <v>5.075040855902313E-2</v>
      </c>
      <c r="P279">
        <f t="shared" si="66"/>
        <v>0.1547474301853555</v>
      </c>
    </row>
    <row r="280" spans="1:16">
      <c r="A280">
        <v>13.3</v>
      </c>
      <c r="B280">
        <v>0.26500000000000001</v>
      </c>
      <c r="C280">
        <f t="shared" si="60"/>
        <v>3.5245000000000002</v>
      </c>
      <c r="D280">
        <v>1.6E-2</v>
      </c>
      <c r="E280">
        <v>3.8158201924077539E-3</v>
      </c>
      <c r="F280">
        <f t="shared" si="57"/>
        <v>2660</v>
      </c>
      <c r="G280">
        <f t="shared" si="61"/>
        <v>-0.26500000000000001</v>
      </c>
      <c r="H280">
        <f t="shared" si="62"/>
        <v>-704.90000000000009</v>
      </c>
      <c r="I280">
        <v>1</v>
      </c>
      <c r="J280">
        <f t="shared" si="58"/>
        <v>0.97832612279360776</v>
      </c>
      <c r="K280">
        <f t="shared" si="63"/>
        <v>-0.95672515177521744</v>
      </c>
      <c r="L280">
        <v>1</v>
      </c>
      <c r="M280">
        <f t="shared" si="59"/>
        <v>0.53542731303083879</v>
      </c>
      <c r="N280">
        <f t="shared" si="64"/>
        <v>0.21280000000000002</v>
      </c>
      <c r="O280">
        <f t="shared" si="65"/>
        <v>5.075040855902313E-2</v>
      </c>
      <c r="P280">
        <f t="shared" si="66"/>
        <v>0.1577474301853555</v>
      </c>
    </row>
    <row r="281" spans="1:16">
      <c r="A281">
        <v>13.4</v>
      </c>
      <c r="B281">
        <v>0.26300000000000001</v>
      </c>
      <c r="C281">
        <f t="shared" si="60"/>
        <v>3.5242000000000004</v>
      </c>
      <c r="D281">
        <v>1.6E-2</v>
      </c>
      <c r="E281">
        <v>3.8158201924077539E-3</v>
      </c>
      <c r="F281">
        <f t="shared" si="57"/>
        <v>2680</v>
      </c>
      <c r="G281">
        <f t="shared" si="61"/>
        <v>-0.26300000000000001</v>
      </c>
      <c r="H281">
        <f t="shared" si="62"/>
        <v>-704.84000000000015</v>
      </c>
      <c r="I281">
        <v>1</v>
      </c>
      <c r="J281">
        <f t="shared" si="58"/>
        <v>0.98581679452276538</v>
      </c>
      <c r="K281">
        <f t="shared" si="63"/>
        <v>-0.95872515177521744</v>
      </c>
      <c r="L281">
        <v>1</v>
      </c>
      <c r="M281">
        <f t="shared" si="59"/>
        <v>0.53574274521735366</v>
      </c>
      <c r="N281">
        <f t="shared" si="64"/>
        <v>0.21440000000000001</v>
      </c>
      <c r="O281">
        <f t="shared" si="65"/>
        <v>5.1131990578263904E-2</v>
      </c>
      <c r="P281">
        <f t="shared" si="66"/>
        <v>0.15745041597959988</v>
      </c>
    </row>
    <row r="282" spans="1:16">
      <c r="A282">
        <v>13.4</v>
      </c>
      <c r="B282">
        <v>0.25900000000000001</v>
      </c>
      <c r="C282">
        <f t="shared" si="60"/>
        <v>3.4706000000000001</v>
      </c>
      <c r="D282">
        <v>1.6E-2</v>
      </c>
      <c r="E282">
        <v>3.8158201924077539E-3</v>
      </c>
      <c r="F282">
        <f t="shared" si="57"/>
        <v>2680</v>
      </c>
      <c r="G282">
        <f t="shared" si="61"/>
        <v>-0.25900000000000001</v>
      </c>
      <c r="H282">
        <f t="shared" si="62"/>
        <v>-694.12</v>
      </c>
      <c r="I282">
        <v>1</v>
      </c>
      <c r="J282">
        <f t="shared" si="58"/>
        <v>0.98581679452276538</v>
      </c>
      <c r="K282">
        <f t="shared" si="63"/>
        <v>-0.96272515177521745</v>
      </c>
      <c r="L282">
        <v>1</v>
      </c>
      <c r="M282">
        <f t="shared" si="59"/>
        <v>0.53574274521735366</v>
      </c>
      <c r="N282">
        <f t="shared" si="64"/>
        <v>0.21440000000000001</v>
      </c>
      <c r="O282">
        <f t="shared" si="65"/>
        <v>5.1131990578263904E-2</v>
      </c>
      <c r="P282">
        <f t="shared" si="66"/>
        <v>0.16145041597959989</v>
      </c>
    </row>
    <row r="283" spans="1:16">
      <c r="A283">
        <v>13.5</v>
      </c>
      <c r="B283">
        <v>0.25700000000000001</v>
      </c>
      <c r="C283">
        <f t="shared" si="60"/>
        <v>3.4695</v>
      </c>
      <c r="D283">
        <v>1.6E-2</v>
      </c>
      <c r="E283">
        <v>3.8158201924077539E-3</v>
      </c>
      <c r="F283">
        <f t="shared" si="57"/>
        <v>2700</v>
      </c>
      <c r="G283">
        <f t="shared" si="61"/>
        <v>-0.25700000000000001</v>
      </c>
      <c r="H283">
        <f t="shared" si="62"/>
        <v>-693.9</v>
      </c>
      <c r="I283">
        <v>1</v>
      </c>
      <c r="J283">
        <f t="shared" si="58"/>
        <v>0.99325177301028345</v>
      </c>
      <c r="K283">
        <f t="shared" si="63"/>
        <v>-0.96472515177521745</v>
      </c>
      <c r="L283">
        <v>1</v>
      </c>
      <c r="M283">
        <f t="shared" si="59"/>
        <v>0.53605583216146302</v>
      </c>
      <c r="N283">
        <f t="shared" si="64"/>
        <v>0.216</v>
      </c>
      <c r="O283">
        <f t="shared" si="65"/>
        <v>5.1513572597504678E-2</v>
      </c>
      <c r="P283">
        <f t="shared" si="66"/>
        <v>0.16115574701624974</v>
      </c>
    </row>
    <row r="284" spans="1:16">
      <c r="A284">
        <v>13.5</v>
      </c>
      <c r="B284">
        <v>0.254</v>
      </c>
      <c r="C284">
        <f t="shared" si="60"/>
        <v>3.4290000000000003</v>
      </c>
      <c r="D284">
        <v>1.6E-2</v>
      </c>
      <c r="E284">
        <v>3.8158201924077539E-3</v>
      </c>
      <c r="F284">
        <f t="shared" si="57"/>
        <v>2700</v>
      </c>
      <c r="G284">
        <f t="shared" si="61"/>
        <v>-0.254</v>
      </c>
      <c r="H284">
        <f t="shared" si="62"/>
        <v>-685.80000000000007</v>
      </c>
      <c r="I284">
        <v>1</v>
      </c>
      <c r="J284">
        <f t="shared" si="58"/>
        <v>0.99325177301028345</v>
      </c>
      <c r="K284">
        <f t="shared" si="63"/>
        <v>-0.96772515177521745</v>
      </c>
      <c r="L284">
        <v>1</v>
      </c>
      <c r="M284">
        <f t="shared" si="59"/>
        <v>0.53605583216146302</v>
      </c>
      <c r="N284">
        <f t="shared" si="64"/>
        <v>0.216</v>
      </c>
      <c r="O284">
        <f t="shared" si="65"/>
        <v>5.1513572597504678E-2</v>
      </c>
      <c r="P284">
        <f t="shared" si="66"/>
        <v>0.16415574701624974</v>
      </c>
    </row>
    <row r="285" spans="1:16">
      <c r="A285">
        <v>13.6</v>
      </c>
      <c r="B285">
        <v>0.252</v>
      </c>
      <c r="C285">
        <f t="shared" si="60"/>
        <v>3.4272</v>
      </c>
      <c r="D285">
        <v>1.6E-2</v>
      </c>
      <c r="E285">
        <v>3.8158201924077539E-3</v>
      </c>
      <c r="F285">
        <f t="shared" si="57"/>
        <v>2720</v>
      </c>
      <c r="G285">
        <f t="shared" si="61"/>
        <v>-0.252</v>
      </c>
      <c r="H285">
        <f t="shared" si="62"/>
        <v>-685.44</v>
      </c>
      <c r="I285">
        <v>1</v>
      </c>
      <c r="J285">
        <f t="shared" si="58"/>
        <v>1.000631880307906</v>
      </c>
      <c r="K285">
        <f t="shared" si="63"/>
        <v>-0.96972515177521745</v>
      </c>
      <c r="L285">
        <v>1</v>
      </c>
      <c r="M285">
        <f t="shared" si="59"/>
        <v>0.53636660847976592</v>
      </c>
      <c r="N285">
        <f t="shared" si="64"/>
        <v>0.21759999999999999</v>
      </c>
      <c r="O285">
        <f t="shared" si="65"/>
        <v>5.1895154616745452E-2</v>
      </c>
      <c r="P285">
        <f t="shared" si="66"/>
        <v>0.16386338867870609</v>
      </c>
    </row>
    <row r="286" spans="1:16">
      <c r="A286">
        <v>13.6</v>
      </c>
      <c r="B286">
        <v>0.252</v>
      </c>
      <c r="C286">
        <f t="shared" si="60"/>
        <v>3.4272</v>
      </c>
      <c r="D286">
        <v>1.6E-2</v>
      </c>
      <c r="E286">
        <v>3.8158201924077539E-3</v>
      </c>
      <c r="F286">
        <f t="shared" si="57"/>
        <v>2720</v>
      </c>
      <c r="G286">
        <f t="shared" si="61"/>
        <v>-0.252</v>
      </c>
      <c r="H286">
        <f t="shared" si="62"/>
        <v>-685.44</v>
      </c>
      <c r="I286">
        <v>1</v>
      </c>
      <c r="J286">
        <f t="shared" si="58"/>
        <v>1.000631880307906</v>
      </c>
      <c r="K286">
        <f t="shared" si="63"/>
        <v>-0.96972515177521745</v>
      </c>
      <c r="L286">
        <v>1</v>
      </c>
      <c r="M286">
        <f t="shared" si="59"/>
        <v>0.53636660847976592</v>
      </c>
      <c r="N286">
        <f t="shared" si="64"/>
        <v>0.21759999999999999</v>
      </c>
      <c r="O286">
        <f t="shared" si="65"/>
        <v>5.1895154616745452E-2</v>
      </c>
      <c r="P286">
        <f t="shared" si="66"/>
        <v>0.16386338867870609</v>
      </c>
    </row>
    <row r="287" spans="1:16">
      <c r="C287">
        <f t="shared" si="60"/>
        <v>0</v>
      </c>
      <c r="D287">
        <v>1.6E-2</v>
      </c>
      <c r="E287">
        <v>3.8158201924077539E-3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1:16">
      <c r="C288">
        <f t="shared" si="60"/>
        <v>0</v>
      </c>
      <c r="D288">
        <v>1.6E-2</v>
      </c>
      <c r="E288">
        <v>3.8158201924077539E-3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>
      <c r="C289">
        <f t="shared" si="60"/>
        <v>0</v>
      </c>
      <c r="D289">
        <v>1.6E-2</v>
      </c>
      <c r="E289">
        <v>3.8158201924077539E-3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>
      <c r="C290">
        <f t="shared" si="60"/>
        <v>0</v>
      </c>
      <c r="D290">
        <v>1.6E-2</v>
      </c>
      <c r="E290">
        <v>3.8158201924077539E-3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>
      <c r="C291">
        <f t="shared" si="60"/>
        <v>0</v>
      </c>
      <c r="D291">
        <v>1.6E-2</v>
      </c>
      <c r="E291">
        <v>3.8158201924077539E-3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>
      <c r="C292">
        <f t="shared" si="60"/>
        <v>0</v>
      </c>
      <c r="D292">
        <v>1.6E-2</v>
      </c>
      <c r="E292">
        <v>3.8158201924077539E-3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>
      <c r="C293">
        <f t="shared" si="60"/>
        <v>0</v>
      </c>
      <c r="D293">
        <v>1.6E-2</v>
      </c>
      <c r="E293">
        <v>3.8158201924077539E-3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>
      <c r="C294">
        <f t="shared" si="60"/>
        <v>0</v>
      </c>
      <c r="D294">
        <v>1.6E-2</v>
      </c>
      <c r="E294">
        <v>3.8158201924077539E-3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>
      <c r="C295">
        <f t="shared" si="60"/>
        <v>0</v>
      </c>
      <c r="D295">
        <v>1.6E-2</v>
      </c>
      <c r="E295">
        <v>3.8158201924077539E-3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>
      <c r="C296">
        <f t="shared" si="60"/>
        <v>0</v>
      </c>
      <c r="D296">
        <v>1.6E-2</v>
      </c>
      <c r="E296">
        <v>3.8158201924077539E-3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>
      <c r="C297">
        <f t="shared" si="60"/>
        <v>0</v>
      </c>
      <c r="D297">
        <v>1.6E-2</v>
      </c>
      <c r="E297">
        <v>3.8158201924077539E-3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>
      <c r="C298">
        <f t="shared" si="60"/>
        <v>0</v>
      </c>
      <c r="D298">
        <v>1.6E-2</v>
      </c>
      <c r="E298">
        <v>3.8158201924077539E-3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>
      <c r="C299">
        <f t="shared" si="60"/>
        <v>0</v>
      </c>
      <c r="D299">
        <v>1.6E-2</v>
      </c>
      <c r="E299">
        <v>3.8158201924077539E-3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>
      <c r="C300">
        <f t="shared" si="60"/>
        <v>0</v>
      </c>
      <c r="D300">
        <v>1.6E-2</v>
      </c>
      <c r="E300">
        <v>3.8158201924077539E-3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>
      <c r="C301">
        <f t="shared" si="60"/>
        <v>0</v>
      </c>
      <c r="D301">
        <v>1.6E-2</v>
      </c>
      <c r="E301">
        <v>3.8158201924077539E-3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>
      <c r="C302">
        <f t="shared" si="60"/>
        <v>0</v>
      </c>
      <c r="D302">
        <v>1.6E-2</v>
      </c>
      <c r="E302">
        <v>3.8158201924077539E-3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>
      <c r="C303">
        <f t="shared" si="60"/>
        <v>0</v>
      </c>
      <c r="D303">
        <v>1.6E-2</v>
      </c>
      <c r="E303">
        <v>3.8158201924077539E-3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5"/>
  <sheetData>
    <row r="1" spans="1:15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>
      <c r="N224">
        <v>2314.1242000000002</v>
      </c>
      <c r="O224">
        <f t="shared" si="27"/>
        <v>11.570621000000001</v>
      </c>
    </row>
    <row r="225" spans="14:15">
      <c r="N225">
        <v>2325.4281999999998</v>
      </c>
      <c r="O225">
        <f t="shared" si="27"/>
        <v>11.627141</v>
      </c>
    </row>
    <row r="226" spans="14:15">
      <c r="N226">
        <v>2335.8152</v>
      </c>
      <c r="O226">
        <f t="shared" si="27"/>
        <v>11.679076</v>
      </c>
    </row>
    <row r="227" spans="14:15">
      <c r="N227">
        <v>2345.9987999999998</v>
      </c>
      <c r="O227">
        <f t="shared" si="27"/>
        <v>11.729994</v>
      </c>
    </row>
    <row r="228" spans="14:15">
      <c r="N228">
        <v>2356.7937999999999</v>
      </c>
      <c r="O228">
        <f t="shared" si="27"/>
        <v>11.783968999999999</v>
      </c>
    </row>
    <row r="229" spans="14:15">
      <c r="N229">
        <v>2366.8755999999998</v>
      </c>
      <c r="O229">
        <f t="shared" si="27"/>
        <v>11.834377999999999</v>
      </c>
    </row>
    <row r="230" spans="14:15">
      <c r="N230">
        <v>2377.0594000000001</v>
      </c>
      <c r="O230">
        <f t="shared" si="27"/>
        <v>11.885297000000001</v>
      </c>
    </row>
    <row r="231" spans="14:15">
      <c r="N231">
        <v>2387.1410000000001</v>
      </c>
      <c r="O231">
        <f t="shared" si="27"/>
        <v>11.935705</v>
      </c>
    </row>
    <row r="232" spans="14:15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DavidOHalla</cp:lastModifiedBy>
  <dcterms:created xsi:type="dcterms:W3CDTF">2025-09-17T02:43:03Z</dcterms:created>
  <dcterms:modified xsi:type="dcterms:W3CDTF">2026-03-23T14:07:58Z</dcterms:modified>
</cp:coreProperties>
</file>